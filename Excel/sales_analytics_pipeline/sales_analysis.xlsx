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Products" sheetId="2" state="visible" r:id="rId4"/>
    <sheet name="Orders" sheetId="3" state="visible" r:id="rId5"/>
    <sheet name="Monthly Revenue" sheetId="4" state="visible" r:id="rId6"/>
    <sheet name="Top Customers" sheetId="5" state="visible" r:id="rId7"/>
    <sheet name="Product Performance" sheetId="6" state="visible" r:id="rId8"/>
    <sheet name="Segment Summary" sheetId="7" state="visible" r:id="rId9"/>
    <sheet name="Order Statu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<sst xmlns="http://schemas.openxmlformats.org/spreadsheetml/2006/main" count="14943" uniqueCount="1747">
  <si>
    <t xml:space="preserve">customer_id</t>
  </si>
  <si>
    <t xml:space="preserve">customer_name</t>
  </si>
  <si>
    <t xml:space="preserve">email</t>
  </si>
  <si>
    <t xml:space="preserve">city</t>
  </si>
  <si>
    <t xml:space="preserve">state</t>
  </si>
  <si>
    <t xml:space="preserve">segment</t>
  </si>
  <si>
    <t xml:space="preserve">signup_date</t>
  </si>
  <si>
    <t xml:space="preserve">Linda Smith</t>
  </si>
  <si>
    <t xml:space="preserve">linda.smith1@example.com</t>
  </si>
  <si>
    <t xml:space="preserve">Dallas</t>
  </si>
  <si>
    <t xml:space="preserve">TX</t>
  </si>
  <si>
    <t xml:space="preserve">Consumer</t>
  </si>
  <si>
    <t xml:space="preserve">2023-09-08</t>
  </si>
  <si>
    <t xml:space="preserve">Robert Smith</t>
  </si>
  <si>
    <t xml:space="preserve">robert.smith2@example.com</t>
  </si>
  <si>
    <t xml:space="preserve">Chicago</t>
  </si>
  <si>
    <t xml:space="preserve">IL</t>
  </si>
  <si>
    <t xml:space="preserve">Small Business</t>
  </si>
  <si>
    <t xml:space="preserve">2023-08-12</t>
  </si>
  <si>
    <t xml:space="preserve">Joseph Anderson</t>
  </si>
  <si>
    <t xml:space="preserve">joseph.anderson3@example.com</t>
  </si>
  <si>
    <t xml:space="preserve">Mexico City</t>
  </si>
  <si>
    <t xml:space="preserve">CDMX</t>
  </si>
  <si>
    <t xml:space="preserve">Corporate</t>
  </si>
  <si>
    <t xml:space="preserve">2023-10-12</t>
  </si>
  <si>
    <t xml:space="preserve">Susan Harris</t>
  </si>
  <si>
    <t xml:space="preserve">susan.harris4@example.com</t>
  </si>
  <si>
    <t xml:space="preserve">Miami</t>
  </si>
  <si>
    <t xml:space="preserve">FL</t>
  </si>
  <si>
    <t xml:space="preserve">2023-04-15</t>
  </si>
  <si>
    <t xml:space="preserve">Luis Brown</t>
  </si>
  <si>
    <t xml:space="preserve">luis.brown5@example.com</t>
  </si>
  <si>
    <t xml:space="preserve">Boston</t>
  </si>
  <si>
    <t xml:space="preserve">MA</t>
  </si>
  <si>
    <t xml:space="preserve">2023-03-22</t>
  </si>
  <si>
    <t xml:space="preserve">John Johnson</t>
  </si>
  <si>
    <t xml:space="preserve">john.johnson6@example.com</t>
  </si>
  <si>
    <t xml:space="preserve">San Diego</t>
  </si>
  <si>
    <t xml:space="preserve">CA</t>
  </si>
  <si>
    <t xml:space="preserve">2023-10-24</t>
  </si>
  <si>
    <t xml:space="preserve">Lisa Garcia</t>
  </si>
  <si>
    <t xml:space="preserve">lisa.garcia7@example.com</t>
  </si>
  <si>
    <t xml:space="preserve">Atlanta</t>
  </si>
  <si>
    <t xml:space="preserve">GA</t>
  </si>
  <si>
    <t xml:space="preserve">2023-12-30</t>
  </si>
  <si>
    <t xml:space="preserve">Luis White</t>
  </si>
  <si>
    <t xml:space="preserve">luis.white8@example.com</t>
  </si>
  <si>
    <t xml:space="preserve">2023-06-17</t>
  </si>
  <si>
    <t xml:space="preserve">Patricia Davis</t>
  </si>
  <si>
    <t xml:space="preserve">patricia.davis9@example.com</t>
  </si>
  <si>
    <t xml:space="preserve">Los Angeles</t>
  </si>
  <si>
    <t xml:space="preserve">2023-11-20</t>
  </si>
  <si>
    <t xml:space="preserve">Valentina Gonzalez</t>
  </si>
  <si>
    <t xml:space="preserve">valentina.gonzalez10@example.com</t>
  </si>
  <si>
    <t xml:space="preserve">Denver</t>
  </si>
  <si>
    <t xml:space="preserve">CO</t>
  </si>
  <si>
    <t xml:space="preserve">2023-05-27</t>
  </si>
  <si>
    <t xml:space="preserve">Mariana Gonzalez</t>
  </si>
  <si>
    <t xml:space="preserve">mariana.gonzalez11@example.com</t>
  </si>
  <si>
    <t xml:space="preserve">2023-08-13</t>
  </si>
  <si>
    <t xml:space="preserve">David Sanchez</t>
  </si>
  <si>
    <t xml:space="preserve">david.sanchez12@example.com</t>
  </si>
  <si>
    <t xml:space="preserve">Seattle</t>
  </si>
  <si>
    <t xml:space="preserve">WA</t>
  </si>
  <si>
    <t xml:space="preserve">2024-09-02</t>
  </si>
  <si>
    <t xml:space="preserve">James Perez</t>
  </si>
  <si>
    <t xml:space="preserve">james.perez13@example.com</t>
  </si>
  <si>
    <t xml:space="preserve">Houston</t>
  </si>
  <si>
    <t xml:space="preserve">2024-11-29</t>
  </si>
  <si>
    <t xml:space="preserve">Camila Smith</t>
  </si>
  <si>
    <t xml:space="preserve">camila.smith14@example.com</t>
  </si>
  <si>
    <t xml:space="preserve">2024-05-27</t>
  </si>
  <si>
    <t xml:space="preserve">Richard Jones</t>
  </si>
  <si>
    <t xml:space="preserve">2023-06-15</t>
  </si>
  <si>
    <t xml:space="preserve">Linda Robinson</t>
  </si>
  <si>
    <t xml:space="preserve">linda.robinson16@example.com</t>
  </si>
  <si>
    <t xml:space="preserve">2023-11-11</t>
  </si>
  <si>
    <t xml:space="preserve">John Harris</t>
  </si>
  <si>
    <t xml:space="preserve">john.harris17@example.com</t>
  </si>
  <si>
    <t xml:space="preserve">Toronto</t>
  </si>
  <si>
    <t xml:space="preserve">ON</t>
  </si>
  <si>
    <t xml:space="preserve">2023-05-09</t>
  </si>
  <si>
    <t xml:space="preserve">Susan Robinson</t>
  </si>
  <si>
    <t xml:space="preserve">susan.robinson18@example.com</t>
  </si>
  <si>
    <t xml:space="preserve">2024-12-07</t>
  </si>
  <si>
    <t xml:space="preserve">Juan Brown</t>
  </si>
  <si>
    <t xml:space="preserve">juan.brown19@example.com</t>
  </si>
  <si>
    <t xml:space="preserve">2023-08-19</t>
  </si>
  <si>
    <t xml:space="preserve">patricia.davis20@example.com</t>
  </si>
  <si>
    <t xml:space="preserve">2023-02-02</t>
  </si>
  <si>
    <t xml:space="preserve">Diego Jackson</t>
  </si>
  <si>
    <t xml:space="preserve">diego.jackson21@example.com</t>
  </si>
  <si>
    <t xml:space="preserve">Bogota</t>
  </si>
  <si>
    <t xml:space="preserve">DC</t>
  </si>
  <si>
    <t xml:space="preserve">2023-09-06</t>
  </si>
  <si>
    <t xml:space="preserve">Mark Anderson</t>
  </si>
  <si>
    <t xml:space="preserve">mark.anderson22@example.com</t>
  </si>
  <si>
    <t xml:space="preserve">2024-11-20</t>
  </si>
  <si>
    <t xml:space="preserve">Richard Moore</t>
  </si>
  <si>
    <t xml:space="preserve">richard.moore23@example.com</t>
  </si>
  <si>
    <t xml:space="preserve">2023-05-24</t>
  </si>
  <si>
    <t xml:space="preserve">Isabella Brown</t>
  </si>
  <si>
    <t xml:space="preserve">isabella.brown24@example.com</t>
  </si>
  <si>
    <t xml:space="preserve">2024-10-29</t>
  </si>
  <si>
    <t xml:space="preserve">Valentina Thomas</t>
  </si>
  <si>
    <t xml:space="preserve">San Antonio</t>
  </si>
  <si>
    <t xml:space="preserve">2024-02-15</t>
  </si>
  <si>
    <t xml:space="preserve">Camila Martinez</t>
  </si>
  <si>
    <t xml:space="preserve">camila.martinez26@example.com</t>
  </si>
  <si>
    <t xml:space="preserve">2024-12-14</t>
  </si>
  <si>
    <t xml:space="preserve">Susan Johnson</t>
  </si>
  <si>
    <t xml:space="preserve">susan.johnson27@example.com</t>
  </si>
  <si>
    <t xml:space="preserve">2024-07-09</t>
  </si>
  <si>
    <t xml:space="preserve">Carlos Williams</t>
  </si>
  <si>
    <t xml:space="preserve">carlos.williams28@example.com</t>
  </si>
  <si>
    <t xml:space="preserve">Philadelphia</t>
  </si>
  <si>
    <t xml:space="preserve">PA</t>
  </si>
  <si>
    <t xml:space="preserve">2023-03-12</t>
  </si>
  <si>
    <t xml:space="preserve">Miguel Johnson</t>
  </si>
  <si>
    <t xml:space="preserve">miguel.johnson29@example.com</t>
  </si>
  <si>
    <t xml:space="preserve">2024-03-05</t>
  </si>
  <si>
    <t xml:space="preserve">Jessica Rodriguez</t>
  </si>
  <si>
    <t xml:space="preserve">jessica.rodriguez30@example.com</t>
  </si>
  <si>
    <t xml:space="preserve">Unknown</t>
  </si>
  <si>
    <t xml:space="preserve">2023-05-15</t>
  </si>
  <si>
    <t xml:space="preserve">Laura Jackson</t>
  </si>
  <si>
    <t xml:space="preserve">laura.jackson31@example.com</t>
  </si>
  <si>
    <t xml:space="preserve">2023-03-17</t>
  </si>
  <si>
    <t xml:space="preserve">Lisa Martinez</t>
  </si>
  <si>
    <t xml:space="preserve">lisa.martinez32@example.com</t>
  </si>
  <si>
    <t xml:space="preserve">2024-03-24</t>
  </si>
  <si>
    <t xml:space="preserve">Isabella Martinez</t>
  </si>
  <si>
    <t xml:space="preserve">isabella.martinez33@example.com</t>
  </si>
  <si>
    <t xml:space="preserve">2023-05-18</t>
  </si>
  <si>
    <t xml:space="preserve">Nancy Miller</t>
  </si>
  <si>
    <t xml:space="preserve">nancy.miller34@example.com</t>
  </si>
  <si>
    <t xml:space="preserve">2024-06-01</t>
  </si>
  <si>
    <t xml:space="preserve">robert.smith35@example.com</t>
  </si>
  <si>
    <t xml:space="preserve">2023-05-14</t>
  </si>
  <si>
    <t xml:space="preserve">Linda Williams</t>
  </si>
  <si>
    <t xml:space="preserve">linda.williams36@example.com</t>
  </si>
  <si>
    <t xml:space="preserve">Phoenix</t>
  </si>
  <si>
    <t xml:space="preserve">AZ</t>
  </si>
  <si>
    <t xml:space="preserve">2024-07-12</t>
  </si>
  <si>
    <t xml:space="preserve">Robert Lewis</t>
  </si>
  <si>
    <t xml:space="preserve">robert.lewis37@example.com</t>
  </si>
  <si>
    <t xml:space="preserve">2023-08-04</t>
  </si>
  <si>
    <t xml:space="preserve">Elizabeth Robinson</t>
  </si>
  <si>
    <t xml:space="preserve">2023-06-16</t>
  </si>
  <si>
    <t xml:space="preserve">Mark Sanchez</t>
  </si>
  <si>
    <t xml:space="preserve">mark.sanchez39@example.com</t>
  </si>
  <si>
    <t xml:space="preserve">2023-10-01</t>
  </si>
  <si>
    <t xml:space="preserve">Camila Lopez</t>
  </si>
  <si>
    <t xml:space="preserve">camila.lopez40@example.com</t>
  </si>
  <si>
    <t xml:space="preserve">Austin</t>
  </si>
  <si>
    <t xml:space="preserve">2023-08-22</t>
  </si>
  <si>
    <t xml:space="preserve">Sarah Lopez</t>
  </si>
  <si>
    <t xml:space="preserve">Medellin</t>
  </si>
  <si>
    <t xml:space="preserve">ANT</t>
  </si>
  <si>
    <t xml:space="preserve">2024-02-14</t>
  </si>
  <si>
    <t xml:space="preserve">Thomas Johnson</t>
  </si>
  <si>
    <t xml:space="preserve">thomas.johnson42@example.com</t>
  </si>
  <si>
    <t xml:space="preserve">Diego Miller</t>
  </si>
  <si>
    <t xml:space="preserve">diego.miller43@example.com</t>
  </si>
  <si>
    <t xml:space="preserve">2023-02-15</t>
  </si>
  <si>
    <t xml:space="preserve">Richard Lopez</t>
  </si>
  <si>
    <t xml:space="preserve">richard.lopez44@example.com</t>
  </si>
  <si>
    <t xml:space="preserve">2023-03-13</t>
  </si>
  <si>
    <t xml:space="preserve">Karen Taylor</t>
  </si>
  <si>
    <t xml:space="preserve">karen.taylor45@example.com</t>
  </si>
  <si>
    <t xml:space="preserve">2024-11-13</t>
  </si>
  <si>
    <t xml:space="preserve">Anthony Perez</t>
  </si>
  <si>
    <t xml:space="preserve">anthony.perez46@example.com</t>
  </si>
  <si>
    <t xml:space="preserve">2024-09-22</t>
  </si>
  <si>
    <t xml:space="preserve">Mariana Martin</t>
  </si>
  <si>
    <t xml:space="preserve">mariana.martin47@example.com</t>
  </si>
  <si>
    <t xml:space="preserve">2024-04-21</t>
  </si>
  <si>
    <t xml:space="preserve">Jennifer Martinez</t>
  </si>
  <si>
    <t xml:space="preserve">jennifer.martinez48@example.com</t>
  </si>
  <si>
    <t xml:space="preserve">2024-11-10</t>
  </si>
  <si>
    <t xml:space="preserve">richard.jones49@example.com</t>
  </si>
  <si>
    <t xml:space="preserve">New York</t>
  </si>
  <si>
    <t xml:space="preserve">NY</t>
  </si>
  <si>
    <t xml:space="preserve">2023-02-17</t>
  </si>
  <si>
    <t xml:space="preserve">diego.miller50@example.com</t>
  </si>
  <si>
    <t xml:space="preserve">2024-05-21</t>
  </si>
  <si>
    <t xml:space="preserve">Joseph Garcia</t>
  </si>
  <si>
    <t xml:space="preserve">joseph.garcia51@example.com</t>
  </si>
  <si>
    <t xml:space="preserve">2024-04-20</t>
  </si>
  <si>
    <t xml:space="preserve">Isabella Martin</t>
  </si>
  <si>
    <t xml:space="preserve">isabella.martin52@example.com</t>
  </si>
  <si>
    <t xml:space="preserve">2024-03-29</t>
  </si>
  <si>
    <t xml:space="preserve">David White</t>
  </si>
  <si>
    <t xml:space="preserve">david.white53@example.com</t>
  </si>
  <si>
    <t xml:space="preserve">2024-04-05</t>
  </si>
  <si>
    <t xml:space="preserve">jessica.rodriguez54@example.com</t>
  </si>
  <si>
    <t xml:space="preserve">2023-03-21</t>
  </si>
  <si>
    <t xml:space="preserve">Joseph Gonzalez</t>
  </si>
  <si>
    <t xml:space="preserve">joseph.gonzalez55@example.com</t>
  </si>
  <si>
    <t xml:space="preserve">2024-12-24</t>
  </si>
  <si>
    <t xml:space="preserve">Mark Gonzalez</t>
  </si>
  <si>
    <t xml:space="preserve">mark.gonzalez56@example.com</t>
  </si>
  <si>
    <t xml:space="preserve">2024-12-13</t>
  </si>
  <si>
    <t xml:space="preserve">Anthony Ramirez</t>
  </si>
  <si>
    <t xml:space="preserve">anthony.ramirez57@example.com</t>
  </si>
  <si>
    <t xml:space="preserve">2024-07-05</t>
  </si>
  <si>
    <t xml:space="preserve">Valentina Smith</t>
  </si>
  <si>
    <t xml:space="preserve">valentina.smith58@example.com</t>
  </si>
  <si>
    <t xml:space="preserve">2023-12-11</t>
  </si>
  <si>
    <t xml:space="preserve">Luis Smith</t>
  </si>
  <si>
    <t xml:space="preserve">luis.smith59@example.com</t>
  </si>
  <si>
    <t xml:space="preserve">2024-08-29</t>
  </si>
  <si>
    <t xml:space="preserve">Thomas Gonzalez</t>
  </si>
  <si>
    <t xml:space="preserve">thomas.gonzalez60@example.com</t>
  </si>
  <si>
    <t xml:space="preserve">2023-08-05</t>
  </si>
  <si>
    <t xml:space="preserve">Jennifer Thomas</t>
  </si>
  <si>
    <t xml:space="preserve">jennifer.thomas61@example.com</t>
  </si>
  <si>
    <t xml:space="preserve">2024-07-06</t>
  </si>
  <si>
    <t xml:space="preserve">Mary Davis</t>
  </si>
  <si>
    <t xml:space="preserve">mary.davis62@example.com</t>
  </si>
  <si>
    <t xml:space="preserve">2023-01-21</t>
  </si>
  <si>
    <t xml:space="preserve">Thomas Harris</t>
  </si>
  <si>
    <t xml:space="preserve">thomas.harris63@example.com</t>
  </si>
  <si>
    <t xml:space="preserve">2023-06-21</t>
  </si>
  <si>
    <t xml:space="preserve">Michael Jackson</t>
  </si>
  <si>
    <t xml:space="preserve">michael.jackson64@example.com</t>
  </si>
  <si>
    <t xml:space="preserve">2023-11-16</t>
  </si>
  <si>
    <t xml:space="preserve">Jessica Brown</t>
  </si>
  <si>
    <t xml:space="preserve">jessica.brown65@example.com</t>
  </si>
  <si>
    <t xml:space="preserve">2024-12-01</t>
  </si>
  <si>
    <t xml:space="preserve">Lisa Williams</t>
  </si>
  <si>
    <t xml:space="preserve">lisa.williams66@example.com</t>
  </si>
  <si>
    <t xml:space="preserve">2024-10-25</t>
  </si>
  <si>
    <t xml:space="preserve">Camila Thompson</t>
  </si>
  <si>
    <t xml:space="preserve">camila.thompson67@example.com</t>
  </si>
  <si>
    <t xml:space="preserve">2024-03-21</t>
  </si>
  <si>
    <t xml:space="preserve">Camila Wilson</t>
  </si>
  <si>
    <t xml:space="preserve">camila.wilson68@example.com</t>
  </si>
  <si>
    <t xml:space="preserve">2023-10-02</t>
  </si>
  <si>
    <t xml:space="preserve">Camila Jackson</t>
  </si>
  <si>
    <t xml:space="preserve">camila.jackson69@example.com</t>
  </si>
  <si>
    <t xml:space="preserve">Miguel Thompson</t>
  </si>
  <si>
    <t xml:space="preserve">miguel.thompson70@example.com</t>
  </si>
  <si>
    <t xml:space="preserve">2024-07-23</t>
  </si>
  <si>
    <t xml:space="preserve">Jessica Thompson</t>
  </si>
  <si>
    <t xml:space="preserve">2024-10-23</t>
  </si>
  <si>
    <t xml:space="preserve">Jessica Martinez</t>
  </si>
  <si>
    <t xml:space="preserve">jessica.martinez72@example.com</t>
  </si>
  <si>
    <t xml:space="preserve">2024-01-13</t>
  </si>
  <si>
    <t xml:space="preserve">Camila Rodriguez</t>
  </si>
  <si>
    <t xml:space="preserve">camila.rodriguez73@example.com</t>
  </si>
  <si>
    <t xml:space="preserve">2023-09-15</t>
  </si>
  <si>
    <t xml:space="preserve">Susan White</t>
  </si>
  <si>
    <t xml:space="preserve">susan.white74@example.com</t>
  </si>
  <si>
    <t xml:space="preserve">2023-10-11</t>
  </si>
  <si>
    <t xml:space="preserve">Charles Davis</t>
  </si>
  <si>
    <t xml:space="preserve">charles.davis75@example.com</t>
  </si>
  <si>
    <t xml:space="preserve">2023-07-03</t>
  </si>
  <si>
    <t xml:space="preserve">William Lee</t>
  </si>
  <si>
    <t xml:space="preserve">william.lee76@example.com</t>
  </si>
  <si>
    <t xml:space="preserve">2023-04-16</t>
  </si>
  <si>
    <t xml:space="preserve">Thomas Ramirez</t>
  </si>
  <si>
    <t xml:space="preserve">thomas.ramirez77@example.com</t>
  </si>
  <si>
    <t xml:space="preserve">2023-04-27</t>
  </si>
  <si>
    <t xml:space="preserve">Diego Martinez</t>
  </si>
  <si>
    <t xml:space="preserve">diego.martinez78@example.com</t>
  </si>
  <si>
    <t xml:space="preserve">2023-09-12</t>
  </si>
  <si>
    <t xml:space="preserve">Anthony Anderson</t>
  </si>
  <si>
    <t xml:space="preserve">anthony.anderson79@example.com</t>
  </si>
  <si>
    <t xml:space="preserve">2023-11-01</t>
  </si>
  <si>
    <t xml:space="preserve">Michael Harris</t>
  </si>
  <si>
    <t xml:space="preserve">michael.harris80@example.com</t>
  </si>
  <si>
    <t xml:space="preserve">2024-10-02</t>
  </si>
  <si>
    <t xml:space="preserve">mark.anderson81@example.com</t>
  </si>
  <si>
    <t xml:space="preserve">2023-10-26</t>
  </si>
  <si>
    <t xml:space="preserve">Thomas Sanchez</t>
  </si>
  <si>
    <t xml:space="preserve">thomas.sanchez82@example.com</t>
  </si>
  <si>
    <t xml:space="preserve">2024-11-08</t>
  </si>
  <si>
    <t xml:space="preserve">Elizabeth Williams</t>
  </si>
  <si>
    <t xml:space="preserve">elizabeth.williams83@example.com</t>
  </si>
  <si>
    <t xml:space="preserve">2023-06-19</t>
  </si>
  <si>
    <t xml:space="preserve">Karen Thompson</t>
  </si>
  <si>
    <t xml:space="preserve">karen.thompson84@example.com</t>
  </si>
  <si>
    <t xml:space="preserve">2023-10-06</t>
  </si>
  <si>
    <t xml:space="preserve">Miguel Rodriguez</t>
  </si>
  <si>
    <t xml:space="preserve">miguel.rodriguez85@example.com</t>
  </si>
  <si>
    <t xml:space="preserve">2023-04-04</t>
  </si>
  <si>
    <t xml:space="preserve">Sarah Jackson</t>
  </si>
  <si>
    <t xml:space="preserve">sarah.jackson86@example.com</t>
  </si>
  <si>
    <t xml:space="preserve">2023-06-29</t>
  </si>
  <si>
    <t xml:space="preserve">Valentina Williams</t>
  </si>
  <si>
    <t xml:space="preserve">valentina.williams87@example.com</t>
  </si>
  <si>
    <t xml:space="preserve">2023-12-23</t>
  </si>
  <si>
    <t xml:space="preserve">Charles Perez</t>
  </si>
  <si>
    <t xml:space="preserve">charles.perez88@example.com</t>
  </si>
  <si>
    <t xml:space="preserve">2024-07-17</t>
  </si>
  <si>
    <t xml:space="preserve">james.perez89@example.com</t>
  </si>
  <si>
    <t xml:space="preserve">2024-04-18</t>
  </si>
  <si>
    <t xml:space="preserve">Patricia Miller</t>
  </si>
  <si>
    <t xml:space="preserve">patricia.miller90@example.com</t>
  </si>
  <si>
    <t xml:space="preserve">2024-07-16</t>
  </si>
  <si>
    <t xml:space="preserve">Miguel Sanchez</t>
  </si>
  <si>
    <t xml:space="preserve">miguel.sanchez91@example.com</t>
  </si>
  <si>
    <t xml:space="preserve">2024-12-27</t>
  </si>
  <si>
    <t xml:space="preserve">Linda Lee</t>
  </si>
  <si>
    <t xml:space="preserve">linda.lee92@example.com</t>
  </si>
  <si>
    <t xml:space="preserve">2024-05-25</t>
  </si>
  <si>
    <t xml:space="preserve">Jessica Anderson</t>
  </si>
  <si>
    <t xml:space="preserve">jessica.anderson93@example.com</t>
  </si>
  <si>
    <t xml:space="preserve">2023-05-29</t>
  </si>
  <si>
    <t xml:space="preserve">Mark Hernandez</t>
  </si>
  <si>
    <t xml:space="preserve">mark.hernandez94@example.com</t>
  </si>
  <si>
    <t xml:space="preserve">Elizabeth Anderson</t>
  </si>
  <si>
    <t xml:space="preserve">elizabeth.anderson95@example.com</t>
  </si>
  <si>
    <t xml:space="preserve">2024-05-10</t>
  </si>
  <si>
    <t xml:space="preserve">Jessica Jackson</t>
  </si>
  <si>
    <t xml:space="preserve">jessica.jackson96@example.com</t>
  </si>
  <si>
    <t xml:space="preserve">2023-08-28</t>
  </si>
  <si>
    <t xml:space="preserve">Elizabeth Thomas</t>
  </si>
  <si>
    <t xml:space="preserve">elizabeth.thomas97@example.com</t>
  </si>
  <si>
    <t xml:space="preserve">2023-05-10</t>
  </si>
  <si>
    <t xml:space="preserve">camila.smith98@example.com</t>
  </si>
  <si>
    <t xml:space="preserve">2024-02-24</t>
  </si>
  <si>
    <t xml:space="preserve">Betty Lee</t>
  </si>
  <si>
    <t xml:space="preserve">betty.lee99@example.com</t>
  </si>
  <si>
    <t xml:space="preserve">2023-12-03</t>
  </si>
  <si>
    <t xml:space="preserve">Valentina Ramirez</t>
  </si>
  <si>
    <t xml:space="preserve">valentina.ramirez100@example.com</t>
  </si>
  <si>
    <t xml:space="preserve">2023-02-06</t>
  </si>
  <si>
    <t xml:space="preserve">Margaret Brown</t>
  </si>
  <si>
    <t xml:space="preserve">2024-03-30</t>
  </si>
  <si>
    <t xml:space="preserve">Charles Lopez</t>
  </si>
  <si>
    <t xml:space="preserve">charles.lopez102@example.com</t>
  </si>
  <si>
    <t xml:space="preserve">2024-03-17</t>
  </si>
  <si>
    <t xml:space="preserve">Laura Ramirez</t>
  </si>
  <si>
    <t xml:space="preserve">laura.ramirez103@example.com</t>
  </si>
  <si>
    <t xml:space="preserve">2024-09-26</t>
  </si>
  <si>
    <t xml:space="preserve">Thomas Perez</t>
  </si>
  <si>
    <t xml:space="preserve">thomas.perez104@example.com</t>
  </si>
  <si>
    <t xml:space="preserve">Karen Lee</t>
  </si>
  <si>
    <t xml:space="preserve">karen.lee105@example.com</t>
  </si>
  <si>
    <t xml:space="preserve">Anthony Jackson</t>
  </si>
  <si>
    <t xml:space="preserve">2024-08-11</t>
  </si>
  <si>
    <t xml:space="preserve">James Jackson</t>
  </si>
  <si>
    <t xml:space="preserve">james.jackson107@example.com</t>
  </si>
  <si>
    <t xml:space="preserve">2024-09-12</t>
  </si>
  <si>
    <t xml:space="preserve">Matthew Davis</t>
  </si>
  <si>
    <t xml:space="preserve">matthew.davis108@example.com</t>
  </si>
  <si>
    <t xml:space="preserve">2024-09-27</t>
  </si>
  <si>
    <t xml:space="preserve">Robert Martinez</t>
  </si>
  <si>
    <t xml:space="preserve">robert.martinez109@example.com</t>
  </si>
  <si>
    <t xml:space="preserve">2023-02-04</t>
  </si>
  <si>
    <t xml:space="preserve">richard.jones110@example.com</t>
  </si>
  <si>
    <t xml:space="preserve">2024-01-10</t>
  </si>
  <si>
    <t xml:space="preserve">Charles White</t>
  </si>
  <si>
    <t xml:space="preserve">charles.white111@example.com</t>
  </si>
  <si>
    <t xml:space="preserve">2023-04-28</t>
  </si>
  <si>
    <t xml:space="preserve">Betty Ramirez</t>
  </si>
  <si>
    <t xml:space="preserve">betty.ramirez112@example.com</t>
  </si>
  <si>
    <t xml:space="preserve">Thomas Jackson</t>
  </si>
  <si>
    <t xml:space="preserve">2024-10-15</t>
  </si>
  <si>
    <t xml:space="preserve">Laura Davis</t>
  </si>
  <si>
    <t xml:space="preserve">laura.davis114@example.com</t>
  </si>
  <si>
    <t xml:space="preserve">2024-10-12</t>
  </si>
  <si>
    <t xml:space="preserve">robert.martinez115@example.com</t>
  </si>
  <si>
    <t xml:space="preserve">2023-04-29</t>
  </si>
  <si>
    <t xml:space="preserve">Luis Wilson</t>
  </si>
  <si>
    <t xml:space="preserve">luis.wilson116@example.com</t>
  </si>
  <si>
    <t xml:space="preserve">2023-06-08</t>
  </si>
  <si>
    <t xml:space="preserve">Lisa Miller</t>
  </si>
  <si>
    <t xml:space="preserve">lisa.miller117@example.com</t>
  </si>
  <si>
    <t xml:space="preserve">2024-03-31</t>
  </si>
  <si>
    <t xml:space="preserve">Matthew Johnson</t>
  </si>
  <si>
    <t xml:space="preserve">matthew.johnson118@example.com</t>
  </si>
  <si>
    <t xml:space="preserve">2023-10-10</t>
  </si>
  <si>
    <t xml:space="preserve">Miguel Smith</t>
  </si>
  <si>
    <t xml:space="preserve">miguel.smith119@example.com</t>
  </si>
  <si>
    <t xml:space="preserve">2023-12-08</t>
  </si>
  <si>
    <t xml:space="preserve">Susan Clark</t>
  </si>
  <si>
    <t xml:space="preserve">susan.clark120@example.com</t>
  </si>
  <si>
    <t xml:space="preserve">Luis Rodriguez</t>
  </si>
  <si>
    <t xml:space="preserve">2023-04-23</t>
  </si>
  <si>
    <t xml:space="preserve">Mary Garcia</t>
  </si>
  <si>
    <t xml:space="preserve">mary.garcia122@example.com</t>
  </si>
  <si>
    <t xml:space="preserve">2023-02-23</t>
  </si>
  <si>
    <t xml:space="preserve">Carlos Jackson</t>
  </si>
  <si>
    <t xml:space="preserve">carlos.jackson123@example.com</t>
  </si>
  <si>
    <t xml:space="preserve">2024-04-07</t>
  </si>
  <si>
    <t xml:space="preserve">Camila Lee</t>
  </si>
  <si>
    <t xml:space="preserve">camila.lee124@example.com</t>
  </si>
  <si>
    <t xml:space="preserve">2023-03-04</t>
  </si>
  <si>
    <t xml:space="preserve">John Lewis</t>
  </si>
  <si>
    <t xml:space="preserve">john.lewis125@example.com</t>
  </si>
  <si>
    <t xml:space="preserve">2023-11-26</t>
  </si>
  <si>
    <t xml:space="preserve">Anthony Martin</t>
  </si>
  <si>
    <t xml:space="preserve">anthony.martin126@example.com</t>
  </si>
  <si>
    <t xml:space="preserve">2023-10-29</t>
  </si>
  <si>
    <t xml:space="preserve">Isabella White</t>
  </si>
  <si>
    <t xml:space="preserve">isabella.white127@example.com</t>
  </si>
  <si>
    <t xml:space="preserve">2024-03-16</t>
  </si>
  <si>
    <t xml:space="preserve">Daniel Wilson</t>
  </si>
  <si>
    <t xml:space="preserve">daniel.wilson128@example.com</t>
  </si>
  <si>
    <t xml:space="preserve">2024-11-12</t>
  </si>
  <si>
    <t xml:space="preserve">Jennifer Wilson</t>
  </si>
  <si>
    <t xml:space="preserve">jennifer.wilson129@example.com</t>
  </si>
  <si>
    <t xml:space="preserve">2024-01-17</t>
  </si>
  <si>
    <t xml:space="preserve">Mark Lopez</t>
  </si>
  <si>
    <t xml:space="preserve">mark.lopez130@example.com</t>
  </si>
  <si>
    <t xml:space="preserve">2023-02-22</t>
  </si>
  <si>
    <t xml:space="preserve">Andres Davis</t>
  </si>
  <si>
    <t xml:space="preserve">andres.davis131@example.com</t>
  </si>
  <si>
    <t xml:space="preserve">2023-12-25</t>
  </si>
  <si>
    <t xml:space="preserve">Laura Martin</t>
  </si>
  <si>
    <t xml:space="preserve">2023-01-27</t>
  </si>
  <si>
    <t xml:space="preserve">Karen Robinson</t>
  </si>
  <si>
    <t xml:space="preserve">karen.robinson133@example.com</t>
  </si>
  <si>
    <t xml:space="preserve">2023-12-26</t>
  </si>
  <si>
    <t xml:space="preserve">Mary Williams</t>
  </si>
  <si>
    <t xml:space="preserve">mary.williams134@example.com</t>
  </si>
  <si>
    <t xml:space="preserve">2023-08-09</t>
  </si>
  <si>
    <t xml:space="preserve">Diego Martin</t>
  </si>
  <si>
    <t xml:space="preserve">diego.martin135@example.com</t>
  </si>
  <si>
    <t xml:space="preserve">Valentina Martin</t>
  </si>
  <si>
    <t xml:space="preserve">valentina.martin136@example.com</t>
  </si>
  <si>
    <t xml:space="preserve">2024-02-29</t>
  </si>
  <si>
    <t xml:space="preserve">Mariana Thomas</t>
  </si>
  <si>
    <t xml:space="preserve">mariana.thomas137@example.com</t>
  </si>
  <si>
    <t xml:space="preserve">2024-11-14</t>
  </si>
  <si>
    <t xml:space="preserve">susan.harris138@example.com</t>
  </si>
  <si>
    <t xml:space="preserve">2023-09-19</t>
  </si>
  <si>
    <t xml:space="preserve">Joseph Taylor</t>
  </si>
  <si>
    <t xml:space="preserve">joseph.taylor139@example.com</t>
  </si>
  <si>
    <t xml:space="preserve">2024-11-15</t>
  </si>
  <si>
    <t xml:space="preserve">John Ramirez</t>
  </si>
  <si>
    <t xml:space="preserve">john.ramirez140@example.com</t>
  </si>
  <si>
    <t xml:space="preserve">2024-08-12</t>
  </si>
  <si>
    <t xml:space="preserve">Daniel Garcia</t>
  </si>
  <si>
    <t xml:space="preserve">daniel.garcia141@example.com</t>
  </si>
  <si>
    <t xml:space="preserve">Jennifer Gonzalez</t>
  </si>
  <si>
    <t xml:space="preserve">jennifer.gonzalez142@example.com</t>
  </si>
  <si>
    <t xml:space="preserve">2023-12-14</t>
  </si>
  <si>
    <t xml:space="preserve">Matthew Lopez</t>
  </si>
  <si>
    <t xml:space="preserve">matthew.lopez143@example.com</t>
  </si>
  <si>
    <t xml:space="preserve">2023-08-30</t>
  </si>
  <si>
    <t xml:space="preserve">Valentina Anderson</t>
  </si>
  <si>
    <t xml:space="preserve">valentina.anderson144@example.com</t>
  </si>
  <si>
    <t xml:space="preserve">2024-08-16</t>
  </si>
  <si>
    <t xml:space="preserve">Daniel Jones</t>
  </si>
  <si>
    <t xml:space="preserve">daniel.jones145@example.com</t>
  </si>
  <si>
    <t xml:space="preserve">2023-03-11</t>
  </si>
  <si>
    <t xml:space="preserve">Karen Anderson</t>
  </si>
  <si>
    <t xml:space="preserve">karen.anderson146@example.com</t>
  </si>
  <si>
    <t xml:space="preserve">2023-02-08</t>
  </si>
  <si>
    <t xml:space="preserve">Carlos Gonzalez</t>
  </si>
  <si>
    <t xml:space="preserve">carlos.gonzalez147@example.com</t>
  </si>
  <si>
    <t xml:space="preserve">2024-08-17</t>
  </si>
  <si>
    <t xml:space="preserve">Daniel Martin</t>
  </si>
  <si>
    <t xml:space="preserve">daniel.martin148@example.com</t>
  </si>
  <si>
    <t xml:space="preserve">2024-05-28</t>
  </si>
  <si>
    <t xml:space="preserve">Jennifer Taylor</t>
  </si>
  <si>
    <t xml:space="preserve">jennifer.taylor149@example.com</t>
  </si>
  <si>
    <t xml:space="preserve">2023-02-10</t>
  </si>
  <si>
    <t xml:space="preserve">Charles Gonzalez</t>
  </si>
  <si>
    <t xml:space="preserve">charles.gonzalez150@example.com</t>
  </si>
  <si>
    <t xml:space="preserve">2023-12-13</t>
  </si>
  <si>
    <t xml:space="preserve">Anthony Martinez</t>
  </si>
  <si>
    <t xml:space="preserve">anthony.martinez151@example.com</t>
  </si>
  <si>
    <t xml:space="preserve">2024-11-03</t>
  </si>
  <si>
    <t xml:space="preserve">Matthew Martinez</t>
  </si>
  <si>
    <t xml:space="preserve">matthew.martinez152@example.com</t>
  </si>
  <si>
    <t xml:space="preserve">2023-05-13</t>
  </si>
  <si>
    <t xml:space="preserve">Sofia Williams</t>
  </si>
  <si>
    <t xml:space="preserve">sofia.williams153@example.com</t>
  </si>
  <si>
    <t xml:space="preserve">2024-06-04</t>
  </si>
  <si>
    <t xml:space="preserve">William Jones</t>
  </si>
  <si>
    <t xml:space="preserve">william.jones154@example.com</t>
  </si>
  <si>
    <t xml:space="preserve">2023-10-30</t>
  </si>
  <si>
    <t xml:space="preserve">Nancy Lewis</t>
  </si>
  <si>
    <t xml:space="preserve">nancy.lewis155@example.com</t>
  </si>
  <si>
    <t xml:space="preserve">2024-09-03</t>
  </si>
  <si>
    <t xml:space="preserve">Robert Wilson</t>
  </si>
  <si>
    <t xml:space="preserve">robert.wilson156@example.com</t>
  </si>
  <si>
    <t xml:space="preserve">2024-11-23</t>
  </si>
  <si>
    <t xml:space="preserve">jessica.martinez157@example.com</t>
  </si>
  <si>
    <t xml:space="preserve">2023-07-18</t>
  </si>
  <si>
    <t xml:space="preserve">Carlos Taylor</t>
  </si>
  <si>
    <t xml:space="preserve">carlos.taylor158@example.com</t>
  </si>
  <si>
    <t xml:space="preserve">Lisa Moore</t>
  </si>
  <si>
    <t xml:space="preserve">lisa.moore159@example.com</t>
  </si>
  <si>
    <t xml:space="preserve">2024-12-29</t>
  </si>
  <si>
    <t xml:space="preserve">Carlos Jones</t>
  </si>
  <si>
    <t xml:space="preserve">carlos.jones160@example.com</t>
  </si>
  <si>
    <t xml:space="preserve">Betty Taylor</t>
  </si>
  <si>
    <t xml:space="preserve">betty.taylor161@example.com</t>
  </si>
  <si>
    <t xml:space="preserve">Nancy Sanchez</t>
  </si>
  <si>
    <t xml:space="preserve">nancy.sanchez162@example.com</t>
  </si>
  <si>
    <t xml:space="preserve">2023-05-21</t>
  </si>
  <si>
    <t xml:space="preserve">Laura Smith</t>
  </si>
  <si>
    <t xml:space="preserve">laura.smith163@example.com</t>
  </si>
  <si>
    <t xml:space="preserve">2023-01-20</t>
  </si>
  <si>
    <t xml:space="preserve">charles.davis164@example.com</t>
  </si>
  <si>
    <t xml:space="preserve">2023-05-05</t>
  </si>
  <si>
    <t xml:space="preserve">valentina.martin165@example.com</t>
  </si>
  <si>
    <t xml:space="preserve">2023-01-17</t>
  </si>
  <si>
    <t xml:space="preserve">jessica.jackson166@example.com</t>
  </si>
  <si>
    <t xml:space="preserve">2023-07-11</t>
  </si>
  <si>
    <t xml:space="preserve">Carlos Moore</t>
  </si>
  <si>
    <t xml:space="preserve">carlos.moore167@example.com</t>
  </si>
  <si>
    <t xml:space="preserve">2024-02-04</t>
  </si>
  <si>
    <t xml:space="preserve">John Lopez</t>
  </si>
  <si>
    <t xml:space="preserve">john.lopez168@example.com</t>
  </si>
  <si>
    <t xml:space="preserve">Nancy Clark</t>
  </si>
  <si>
    <t xml:space="preserve">nancy.clark169@example.com</t>
  </si>
  <si>
    <t xml:space="preserve">2024-12-02</t>
  </si>
  <si>
    <t xml:space="preserve">Camila Johnson</t>
  </si>
  <si>
    <t xml:space="preserve">camila.johnson170@example.com</t>
  </si>
  <si>
    <t xml:space="preserve">2023-07-26</t>
  </si>
  <si>
    <t xml:space="preserve">Luis Thomas</t>
  </si>
  <si>
    <t xml:space="preserve">luis.thomas171@example.com</t>
  </si>
  <si>
    <t xml:space="preserve">2023-02-07</t>
  </si>
  <si>
    <t xml:space="preserve">Linda Sanchez</t>
  </si>
  <si>
    <t xml:space="preserve">linda.sanchez172@example.com</t>
  </si>
  <si>
    <t xml:space="preserve">2024-03-23</t>
  </si>
  <si>
    <t xml:space="preserve">Valentina Lopez</t>
  </si>
  <si>
    <t xml:space="preserve">valentina.lopez173@example.com</t>
  </si>
  <si>
    <t xml:space="preserve">Daniel Brown</t>
  </si>
  <si>
    <t xml:space="preserve">daniel.brown174@example.com</t>
  </si>
  <si>
    <t xml:space="preserve">2023-12-02</t>
  </si>
  <si>
    <t xml:space="preserve">Juan Johnson</t>
  </si>
  <si>
    <t xml:space="preserve">juan.johnson175@example.com</t>
  </si>
  <si>
    <t xml:space="preserve">2024-09-21</t>
  </si>
  <si>
    <t xml:space="preserve">Betty Lopez</t>
  </si>
  <si>
    <t xml:space="preserve">betty.lopez176@example.com</t>
  </si>
  <si>
    <t xml:space="preserve">2024-11-26</t>
  </si>
  <si>
    <t xml:space="preserve">John Davis</t>
  </si>
  <si>
    <t xml:space="preserve">john.davis177@example.com</t>
  </si>
  <si>
    <t xml:space="preserve">2024-01-06</t>
  </si>
  <si>
    <t xml:space="preserve">John Jackson</t>
  </si>
  <si>
    <t xml:space="preserve">john.jackson178@example.com</t>
  </si>
  <si>
    <t xml:space="preserve">2024-06-26</t>
  </si>
  <si>
    <t xml:space="preserve">Valentina Taylor</t>
  </si>
  <si>
    <t xml:space="preserve">valentina.taylor179@example.com</t>
  </si>
  <si>
    <t xml:space="preserve">2024-07-29</t>
  </si>
  <si>
    <t xml:space="preserve">Valentina Miller</t>
  </si>
  <si>
    <t xml:space="preserve">valentina.miller180@example.com</t>
  </si>
  <si>
    <t xml:space="preserve">2023-05-19</t>
  </si>
  <si>
    <t xml:space="preserve">Daniel Perez</t>
  </si>
  <si>
    <t xml:space="preserve">daniel.perez181@example.com</t>
  </si>
  <si>
    <t xml:space="preserve">Barbara Sanchez</t>
  </si>
  <si>
    <t xml:space="preserve">barbara.sanchez182@example.com</t>
  </si>
  <si>
    <t xml:space="preserve">Isabella Jackson</t>
  </si>
  <si>
    <t xml:space="preserve">isabella.jackson183@example.com</t>
  </si>
  <si>
    <t xml:space="preserve">2024-04-23</t>
  </si>
  <si>
    <t xml:space="preserve">Andres Taylor</t>
  </si>
  <si>
    <t xml:space="preserve">andres.taylor184@example.com</t>
  </si>
  <si>
    <t xml:space="preserve">Sofia Lopez</t>
  </si>
  <si>
    <t xml:space="preserve">sofia.lopez185@example.com</t>
  </si>
  <si>
    <t xml:space="preserve">2024-07-18</t>
  </si>
  <si>
    <t xml:space="preserve">Sofia Jones</t>
  </si>
  <si>
    <t xml:space="preserve">sofia.jones186@example.com</t>
  </si>
  <si>
    <t xml:space="preserve">2023-06-18</t>
  </si>
  <si>
    <t xml:space="preserve">Jennifer Rodriguez</t>
  </si>
  <si>
    <t xml:space="preserve">jennifer.rodriguez187@example.com</t>
  </si>
  <si>
    <t xml:space="preserve">David Jackson</t>
  </si>
  <si>
    <t xml:space="preserve">david.jackson188@example.com</t>
  </si>
  <si>
    <t xml:space="preserve">2023-06-07</t>
  </si>
  <si>
    <t xml:space="preserve">mary.williams189@example.com</t>
  </si>
  <si>
    <t xml:space="preserve">2024-10-18</t>
  </si>
  <si>
    <t xml:space="preserve">Valentina Lewis</t>
  </si>
  <si>
    <t xml:space="preserve">valentina.lewis190@example.com</t>
  </si>
  <si>
    <t xml:space="preserve">John Thompson</t>
  </si>
  <si>
    <t xml:space="preserve">john.thompson191@example.com</t>
  </si>
  <si>
    <t xml:space="preserve">2023-06-11</t>
  </si>
  <si>
    <t xml:space="preserve">Daniel White</t>
  </si>
  <si>
    <t xml:space="preserve">daniel.white192@example.com</t>
  </si>
  <si>
    <t xml:space="preserve">2024-02-13</t>
  </si>
  <si>
    <t xml:space="preserve">Juan Davis</t>
  </si>
  <si>
    <t xml:space="preserve">juan.davis193@example.com</t>
  </si>
  <si>
    <t xml:space="preserve">2023-04-10</t>
  </si>
  <si>
    <t xml:space="preserve">Diego White</t>
  </si>
  <si>
    <t xml:space="preserve">diego.white194@example.com</t>
  </si>
  <si>
    <t xml:space="preserve">2023-07-14</t>
  </si>
  <si>
    <t xml:space="preserve">jennifer.gonzalez195@example.com</t>
  </si>
  <si>
    <t xml:space="preserve">2024-04-13</t>
  </si>
  <si>
    <t xml:space="preserve">Andres Martinez</t>
  </si>
  <si>
    <t xml:space="preserve">andres.martinez196@example.com</t>
  </si>
  <si>
    <t xml:space="preserve">2023-01-09</t>
  </si>
  <si>
    <t xml:space="preserve">Betty Johnson</t>
  </si>
  <si>
    <t xml:space="preserve">betty.johnson197@example.com</t>
  </si>
  <si>
    <t xml:space="preserve">Laura Perez</t>
  </si>
  <si>
    <t xml:space="preserve">laura.perez198@example.com</t>
  </si>
  <si>
    <t xml:space="preserve">2023-05-12</t>
  </si>
  <si>
    <t xml:space="preserve">Richard Martin</t>
  </si>
  <si>
    <t xml:space="preserve">richard.martin199@example.com</t>
  </si>
  <si>
    <t xml:space="preserve">2024-02-16</t>
  </si>
  <si>
    <t xml:space="preserve">Elizabeth Martin</t>
  </si>
  <si>
    <t xml:space="preserve">elizabeth.martin200@example.com</t>
  </si>
  <si>
    <t xml:space="preserve">Mariana Hernandez</t>
  </si>
  <si>
    <t xml:space="preserve">mariana.hernandez201@example.com</t>
  </si>
  <si>
    <t xml:space="preserve">2024-06-05</t>
  </si>
  <si>
    <t xml:space="preserve">Linda Wilson</t>
  </si>
  <si>
    <t xml:space="preserve">2023-11-12</t>
  </si>
  <si>
    <t xml:space="preserve">Mariana Jackson</t>
  </si>
  <si>
    <t xml:space="preserve">mariana.jackson203@example.com</t>
  </si>
  <si>
    <t xml:space="preserve">Jessica Johnson</t>
  </si>
  <si>
    <t xml:space="preserve">jessica.johnson204@example.com</t>
  </si>
  <si>
    <t xml:space="preserve">2024-12-18</t>
  </si>
  <si>
    <t xml:space="preserve">Carlos Harris</t>
  </si>
  <si>
    <t xml:space="preserve">carlos.harris205@example.com</t>
  </si>
  <si>
    <t xml:space="preserve">2023-03-05</t>
  </si>
  <si>
    <t xml:space="preserve">daniel.garcia206@example.com</t>
  </si>
  <si>
    <t xml:space="preserve">2024-06-29</t>
  </si>
  <si>
    <t xml:space="preserve">Thomas Martin</t>
  </si>
  <si>
    <t xml:space="preserve">thomas.martin207@example.com</t>
  </si>
  <si>
    <t xml:space="preserve">2023-07-16</t>
  </si>
  <si>
    <t xml:space="preserve">Susan Thompson</t>
  </si>
  <si>
    <t xml:space="preserve">susan.thompson208@example.com</t>
  </si>
  <si>
    <t xml:space="preserve">2023-11-21</t>
  </si>
  <si>
    <t xml:space="preserve">Luis Gonzalez</t>
  </si>
  <si>
    <t xml:space="preserve">luis.gonzalez209@example.com</t>
  </si>
  <si>
    <t xml:space="preserve">2023-12-20</t>
  </si>
  <si>
    <t xml:space="preserve">Juan Lee</t>
  </si>
  <si>
    <t xml:space="preserve">juan.lee210@example.com</t>
  </si>
  <si>
    <t xml:space="preserve">2024-05-05</t>
  </si>
  <si>
    <t xml:space="preserve">Laura White</t>
  </si>
  <si>
    <t xml:space="preserve">laura.white211@example.com</t>
  </si>
  <si>
    <t xml:space="preserve">2023-09-03</t>
  </si>
  <si>
    <t xml:space="preserve">Nancy Thompson</t>
  </si>
  <si>
    <t xml:space="preserve">nancy.thompson212@example.com</t>
  </si>
  <si>
    <t xml:space="preserve">2023-04-13</t>
  </si>
  <si>
    <t xml:space="preserve">Andres Thomas</t>
  </si>
  <si>
    <t xml:space="preserve">andres.thomas213@example.com</t>
  </si>
  <si>
    <t xml:space="preserve">2023-10-22</t>
  </si>
  <si>
    <t xml:space="preserve">Robert Robinson</t>
  </si>
  <si>
    <t xml:space="preserve">robert.robinson214@example.com</t>
  </si>
  <si>
    <t xml:space="preserve">2024-03-03</t>
  </si>
  <si>
    <t xml:space="preserve">Barbara Robinson</t>
  </si>
  <si>
    <t xml:space="preserve">barbara.robinson215@example.com</t>
  </si>
  <si>
    <t xml:space="preserve">Luis Taylor</t>
  </si>
  <si>
    <t xml:space="preserve">luis.taylor216@example.com</t>
  </si>
  <si>
    <t xml:space="preserve">Thomas Thompson</t>
  </si>
  <si>
    <t xml:space="preserve">thomas.thompson217@example.com</t>
  </si>
  <si>
    <t xml:space="preserve">2023-01-15</t>
  </si>
  <si>
    <t xml:space="preserve">Betty Clark</t>
  </si>
  <si>
    <t xml:space="preserve">betty.clark218@example.com</t>
  </si>
  <si>
    <t xml:space="preserve">2024-06-11</t>
  </si>
  <si>
    <t xml:space="preserve">Jessica Smith</t>
  </si>
  <si>
    <t xml:space="preserve">jessica.smith219@example.com</t>
  </si>
  <si>
    <t xml:space="preserve">2024-01-28</t>
  </si>
  <si>
    <t xml:space="preserve">Thomas Lee</t>
  </si>
  <si>
    <t xml:space="preserve">thomas.lee220@example.com</t>
  </si>
  <si>
    <t xml:space="preserve">2024-12-10</t>
  </si>
  <si>
    <t xml:space="preserve">karen.thompson221@example.com</t>
  </si>
  <si>
    <t xml:space="preserve">2024-10-16</t>
  </si>
  <si>
    <t xml:space="preserve">Camila White</t>
  </si>
  <si>
    <t xml:space="preserve">camila.white222@example.com</t>
  </si>
  <si>
    <t xml:space="preserve">2024-03-01</t>
  </si>
  <si>
    <t xml:space="preserve">Miguel Ramirez</t>
  </si>
  <si>
    <t xml:space="preserve">miguel.ramirez223@example.com</t>
  </si>
  <si>
    <t xml:space="preserve">2024-06-22</t>
  </si>
  <si>
    <t xml:space="preserve">Carlos Miller</t>
  </si>
  <si>
    <t xml:space="preserve">carlos.miller224@example.com</t>
  </si>
  <si>
    <t xml:space="preserve">2024-07-03</t>
  </si>
  <si>
    <t xml:space="preserve">valentina.williams225@example.com</t>
  </si>
  <si>
    <t xml:space="preserve">2024-04-01</t>
  </si>
  <si>
    <t xml:space="preserve">Karen White</t>
  </si>
  <si>
    <t xml:space="preserve">karen.white226@example.com</t>
  </si>
  <si>
    <t xml:space="preserve">2024-02-10</t>
  </si>
  <si>
    <t xml:space="preserve">John Moore</t>
  </si>
  <si>
    <t xml:space="preserve">john.moore227@example.com</t>
  </si>
  <si>
    <t xml:space="preserve">mark.lopez228@example.com</t>
  </si>
  <si>
    <t xml:space="preserve">2024-04-04</t>
  </si>
  <si>
    <t xml:space="preserve">william.lee229@example.com</t>
  </si>
  <si>
    <t xml:space="preserve">2023-05-02</t>
  </si>
  <si>
    <t xml:space="preserve">Mary Martinez</t>
  </si>
  <si>
    <t xml:space="preserve">mary.martinez230@example.com</t>
  </si>
  <si>
    <t xml:space="preserve">Sarah Miller</t>
  </si>
  <si>
    <t xml:space="preserve">sarah.miller231@example.com</t>
  </si>
  <si>
    <t xml:space="preserve">John Brown</t>
  </si>
  <si>
    <t xml:space="preserve">john.brown232@example.com</t>
  </si>
  <si>
    <t xml:space="preserve">2024-04-02</t>
  </si>
  <si>
    <t xml:space="preserve">Luis Miller</t>
  </si>
  <si>
    <t xml:space="preserve">luis.miller233@example.com</t>
  </si>
  <si>
    <t xml:space="preserve">Daniel Davis</t>
  </si>
  <si>
    <t xml:space="preserve">daniel.davis234@example.com</t>
  </si>
  <si>
    <t xml:space="preserve">Barbara Lee</t>
  </si>
  <si>
    <t xml:space="preserve">barbara.lee235@example.com</t>
  </si>
  <si>
    <t xml:space="preserve">Mark Wilson</t>
  </si>
  <si>
    <t xml:space="preserve">mark.wilson236@example.com</t>
  </si>
  <si>
    <t xml:space="preserve">2023-11-04</t>
  </si>
  <si>
    <t xml:space="preserve">Elizabeth Sanchez</t>
  </si>
  <si>
    <t xml:space="preserve">elizabeth.sanchez237@example.com</t>
  </si>
  <si>
    <t xml:space="preserve">2023-03-01</t>
  </si>
  <si>
    <t xml:space="preserve">Nancy Lee</t>
  </si>
  <si>
    <t xml:space="preserve">nancy.lee238@example.com</t>
  </si>
  <si>
    <t xml:space="preserve">Miguel Martin</t>
  </si>
  <si>
    <t xml:space="preserve">miguel.martin239@example.com</t>
  </si>
  <si>
    <t xml:space="preserve">2023-03-16</t>
  </si>
  <si>
    <t xml:space="preserve">Nancy Martinez</t>
  </si>
  <si>
    <t xml:space="preserve">nancy.martinez240@example.com</t>
  </si>
  <si>
    <t xml:space="preserve">miguel.thompson241@example.com</t>
  </si>
  <si>
    <t xml:space="preserve">2024-02-11</t>
  </si>
  <si>
    <t xml:space="preserve">Karen Rodriguez</t>
  </si>
  <si>
    <t xml:space="preserve">karen.rodriguez242@example.com</t>
  </si>
  <si>
    <t xml:space="preserve">2024-06-09</t>
  </si>
  <si>
    <t xml:space="preserve">Lisa Hernandez</t>
  </si>
  <si>
    <t xml:space="preserve">lisa.hernandez243@example.com</t>
  </si>
  <si>
    <t xml:space="preserve">2023-02-16</t>
  </si>
  <si>
    <t xml:space="preserve">Mark Martinez</t>
  </si>
  <si>
    <t xml:space="preserve">mark.martinez244@example.com</t>
  </si>
  <si>
    <t xml:space="preserve">2023-07-20</t>
  </si>
  <si>
    <t xml:space="preserve">Nancy Rodriguez</t>
  </si>
  <si>
    <t xml:space="preserve">nancy.rodriguez245@example.com</t>
  </si>
  <si>
    <t xml:space="preserve">2024-10-19</t>
  </si>
  <si>
    <t xml:space="preserve">Valentina Garcia</t>
  </si>
  <si>
    <t xml:space="preserve">valentina.garcia246@example.com</t>
  </si>
  <si>
    <t xml:space="preserve">James Wilson</t>
  </si>
  <si>
    <t xml:space="preserve">2024-10-07</t>
  </si>
  <si>
    <t xml:space="preserve">Patricia Martin</t>
  </si>
  <si>
    <t xml:space="preserve">2024-11-06</t>
  </si>
  <si>
    <t xml:space="preserve">Luis Martinez</t>
  </si>
  <si>
    <t xml:space="preserve">luis.martinez249@example.com</t>
  </si>
  <si>
    <t xml:space="preserve">2024-05-29</t>
  </si>
  <si>
    <t xml:space="preserve">sofia.jones250@example.com</t>
  </si>
  <si>
    <t xml:space="preserve">Betty Anderson</t>
  </si>
  <si>
    <t xml:space="preserve">betty.anderson251@example.com</t>
  </si>
  <si>
    <t xml:space="preserve">2023-09-07</t>
  </si>
  <si>
    <t xml:space="preserve">Robert Williams</t>
  </si>
  <si>
    <t xml:space="preserve">robert.williams252@example.com</t>
  </si>
  <si>
    <t xml:space="preserve">2024-01-24</t>
  </si>
  <si>
    <t xml:space="preserve">Margaret Lee</t>
  </si>
  <si>
    <t xml:space="preserve">margaret.lee253@example.com</t>
  </si>
  <si>
    <t xml:space="preserve">2024-08-02</t>
  </si>
  <si>
    <t xml:space="preserve">Diego Thomas</t>
  </si>
  <si>
    <t xml:space="preserve">diego.thomas254@example.com</t>
  </si>
  <si>
    <t xml:space="preserve">Daniel Smith</t>
  </si>
  <si>
    <t xml:space="preserve">daniel.smith255@example.com</t>
  </si>
  <si>
    <t xml:space="preserve">2024-08-24</t>
  </si>
  <si>
    <t xml:space="preserve">jessica.jackson256@example.com</t>
  </si>
  <si>
    <t xml:space="preserve">2024-11-24</t>
  </si>
  <si>
    <t xml:space="preserve">Carlos White</t>
  </si>
  <si>
    <t xml:space="preserve">carlos.white257@example.com</t>
  </si>
  <si>
    <t xml:space="preserve">2023-02-24</t>
  </si>
  <si>
    <t xml:space="preserve">Betty Harris</t>
  </si>
  <si>
    <t xml:space="preserve">betty.harris258@example.com</t>
  </si>
  <si>
    <t xml:space="preserve">2023-01-31</t>
  </si>
  <si>
    <t xml:space="preserve">Margaret Garcia</t>
  </si>
  <si>
    <t xml:space="preserve">margaret.garcia259@example.com</t>
  </si>
  <si>
    <t xml:space="preserve">2024-11-07</t>
  </si>
  <si>
    <t xml:space="preserve">Elizabeth Gonzalez</t>
  </si>
  <si>
    <t xml:space="preserve">2024-02-03</t>
  </si>
  <si>
    <t xml:space="preserve">Sarah Brown</t>
  </si>
  <si>
    <t xml:space="preserve">sarah.brown261@example.com</t>
  </si>
  <si>
    <t xml:space="preserve">2023-03-31</t>
  </si>
  <si>
    <t xml:space="preserve">Isabella Williams</t>
  </si>
  <si>
    <t xml:space="preserve">isabella.williams262@example.com</t>
  </si>
  <si>
    <t xml:space="preserve">2024-01-30</t>
  </si>
  <si>
    <t xml:space="preserve">jessica.jackson263@example.com</t>
  </si>
  <si>
    <t xml:space="preserve">2023-06-23</t>
  </si>
  <si>
    <t xml:space="preserve">Margaret Rodriguez</t>
  </si>
  <si>
    <t xml:space="preserve">margaret.rodriguez264@example.com</t>
  </si>
  <si>
    <t xml:space="preserve">2023-11-03</t>
  </si>
  <si>
    <t xml:space="preserve">Laura Miller</t>
  </si>
  <si>
    <t xml:space="preserve">laura.miller265@example.com</t>
  </si>
  <si>
    <t xml:space="preserve">2023-04-20</t>
  </si>
  <si>
    <t xml:space="preserve">Nancy Anderson</t>
  </si>
  <si>
    <t xml:space="preserve">nancy.anderson266@example.com</t>
  </si>
  <si>
    <t xml:space="preserve">Richard Thomas</t>
  </si>
  <si>
    <t xml:space="preserve">richard.thomas267@example.com</t>
  </si>
  <si>
    <t xml:space="preserve">2023-07-01</t>
  </si>
  <si>
    <t xml:space="preserve">Jessica Hernandez</t>
  </si>
  <si>
    <t xml:space="preserve">jessica.hernandez268@example.com</t>
  </si>
  <si>
    <t xml:space="preserve">2023-10-15</t>
  </si>
  <si>
    <t xml:space="preserve">Barbara Perez</t>
  </si>
  <si>
    <t xml:space="preserve">barbara.perez269@example.com</t>
  </si>
  <si>
    <t xml:space="preserve">2023-01-28</t>
  </si>
  <si>
    <t xml:space="preserve">John Clark</t>
  </si>
  <si>
    <t xml:space="preserve">john.clark270@example.com</t>
  </si>
  <si>
    <t xml:space="preserve">Anthony Williams</t>
  </si>
  <si>
    <t xml:space="preserve">anthony.williams271@example.com</t>
  </si>
  <si>
    <t xml:space="preserve">2024-09-04</t>
  </si>
  <si>
    <t xml:space="preserve">Robert Sanchez</t>
  </si>
  <si>
    <t xml:space="preserve">robert.sanchez272@example.com</t>
  </si>
  <si>
    <t xml:space="preserve">2024-12-19</t>
  </si>
  <si>
    <t xml:space="preserve">Matthew Garcia</t>
  </si>
  <si>
    <t xml:space="preserve">matthew.garcia273@example.com</t>
  </si>
  <si>
    <t xml:space="preserve">2024-07-30</t>
  </si>
  <si>
    <t xml:space="preserve">Michael Rodriguez</t>
  </si>
  <si>
    <t xml:space="preserve">michael.rodriguez274@example.com</t>
  </si>
  <si>
    <t xml:space="preserve">2024-06-06</t>
  </si>
  <si>
    <t xml:space="preserve">Mariana Thompson</t>
  </si>
  <si>
    <t xml:space="preserve">mariana.thompson275@example.com</t>
  </si>
  <si>
    <t xml:space="preserve">2023-06-04</t>
  </si>
  <si>
    <t xml:space="preserve">Elizabeth Lopez</t>
  </si>
  <si>
    <t xml:space="preserve">elizabeth.lopez276@example.com</t>
  </si>
  <si>
    <t xml:space="preserve">2023-12-18</t>
  </si>
  <si>
    <t xml:space="preserve">Juan Hernandez</t>
  </si>
  <si>
    <t xml:space="preserve">David Robinson</t>
  </si>
  <si>
    <t xml:space="preserve">david.robinson278@example.com</t>
  </si>
  <si>
    <t xml:space="preserve">2024-06-12</t>
  </si>
  <si>
    <t xml:space="preserve">Barbara Garcia</t>
  </si>
  <si>
    <t xml:space="preserve">barbara.garcia279@example.com</t>
  </si>
  <si>
    <t xml:space="preserve">Susan Miller</t>
  </si>
  <si>
    <t xml:space="preserve">susan.miller280@example.com</t>
  </si>
  <si>
    <t xml:space="preserve">2024-12-21</t>
  </si>
  <si>
    <t xml:space="preserve">Richard Anderson</t>
  </si>
  <si>
    <t xml:space="preserve">richard.anderson281@example.com</t>
  </si>
  <si>
    <t xml:space="preserve">2023-09-26</t>
  </si>
  <si>
    <t xml:space="preserve">Mariana Brown</t>
  </si>
  <si>
    <t xml:space="preserve">mariana.brown282@example.com</t>
  </si>
  <si>
    <t xml:space="preserve">2023-12-27</t>
  </si>
  <si>
    <t xml:space="preserve">Mariana Williams</t>
  </si>
  <si>
    <t xml:space="preserve">mariana.williams283@example.com</t>
  </si>
  <si>
    <t xml:space="preserve">2023-11-17</t>
  </si>
  <si>
    <t xml:space="preserve">Miguel Jones</t>
  </si>
  <si>
    <t xml:space="preserve">miguel.jones284@example.com</t>
  </si>
  <si>
    <t xml:space="preserve">Valentina Martinez</t>
  </si>
  <si>
    <t xml:space="preserve">valentina.martinez285@example.com</t>
  </si>
  <si>
    <t xml:space="preserve">Richard Clark</t>
  </si>
  <si>
    <t xml:space="preserve">richard.clark286@example.com</t>
  </si>
  <si>
    <t xml:space="preserve">Jennifer Jackson</t>
  </si>
  <si>
    <t xml:space="preserve">jennifer.jackson287@example.com</t>
  </si>
  <si>
    <t xml:space="preserve">2023-08-14</t>
  </si>
  <si>
    <t xml:space="preserve">Valentina Moore</t>
  </si>
  <si>
    <t xml:space="preserve">valentina.moore288@example.com</t>
  </si>
  <si>
    <t xml:space="preserve">2023-04-26</t>
  </si>
  <si>
    <t xml:space="preserve">Robert Harris</t>
  </si>
  <si>
    <t xml:space="preserve">robert.harris289@example.com</t>
  </si>
  <si>
    <t xml:space="preserve">2024-07-13</t>
  </si>
  <si>
    <t xml:space="preserve">Robert Anderson</t>
  </si>
  <si>
    <t xml:space="preserve">robert.anderson290@example.com</t>
  </si>
  <si>
    <t xml:space="preserve">mariana.thompson291@example.com</t>
  </si>
  <si>
    <t xml:space="preserve">2024-12-28</t>
  </si>
  <si>
    <t xml:space="preserve">Diego Lopez</t>
  </si>
  <si>
    <t xml:space="preserve">diego.lopez292@example.com</t>
  </si>
  <si>
    <t xml:space="preserve">Carlos Lewis</t>
  </si>
  <si>
    <t xml:space="preserve">carlos.lewis293@example.com</t>
  </si>
  <si>
    <t xml:space="preserve">William Davis</t>
  </si>
  <si>
    <t xml:space="preserve">william.davis294@example.com</t>
  </si>
  <si>
    <t xml:space="preserve">Sarah Lee</t>
  </si>
  <si>
    <t xml:space="preserve">sarah.lee295@example.com</t>
  </si>
  <si>
    <t xml:space="preserve">2024-01-20</t>
  </si>
  <si>
    <t xml:space="preserve">Lisa Anderson</t>
  </si>
  <si>
    <t xml:space="preserve">lisa.anderson296@example.com</t>
  </si>
  <si>
    <t xml:space="preserve">Matthew Ramirez</t>
  </si>
  <si>
    <t xml:space="preserve">matthew.ramirez297@example.com</t>
  </si>
  <si>
    <t xml:space="preserve">2024-07-01</t>
  </si>
  <si>
    <t xml:space="preserve">Nancy Moore</t>
  </si>
  <si>
    <t xml:space="preserve">nancy.moore298@example.com</t>
  </si>
  <si>
    <t xml:space="preserve">camila.smith299@example.com</t>
  </si>
  <si>
    <t xml:space="preserve">Karen Garcia</t>
  </si>
  <si>
    <t xml:space="preserve">karen.garcia300@example.com</t>
  </si>
  <si>
    <t xml:space="preserve">2023-04-06</t>
  </si>
  <si>
    <t xml:space="preserve">2024-03-15</t>
  </si>
  <si>
    <t xml:space="preserve">Mariana Davis</t>
  </si>
  <si>
    <t xml:space="preserve">mariana.davis302@example.com</t>
  </si>
  <si>
    <t xml:space="preserve">2024-11-27</t>
  </si>
  <si>
    <t xml:space="preserve">Andres Williams</t>
  </si>
  <si>
    <t xml:space="preserve">andres.williams303@example.com</t>
  </si>
  <si>
    <t xml:space="preserve">william.lee304@example.com</t>
  </si>
  <si>
    <t xml:space="preserve">elizabeth.robinson305@example.com</t>
  </si>
  <si>
    <t xml:space="preserve">Anthony Lopez</t>
  </si>
  <si>
    <t xml:space="preserve">anthony.lopez306@example.com</t>
  </si>
  <si>
    <t xml:space="preserve">2023-11-19</t>
  </si>
  <si>
    <t xml:space="preserve">Miguel Martinez</t>
  </si>
  <si>
    <t xml:space="preserve">miguel.martinez307@example.com</t>
  </si>
  <si>
    <t xml:space="preserve">2024-11-05</t>
  </si>
  <si>
    <t xml:space="preserve">Patricia Sanchez</t>
  </si>
  <si>
    <t xml:space="preserve">patricia.sanchez308@example.com</t>
  </si>
  <si>
    <t xml:space="preserve">daniel.jones309@example.com</t>
  </si>
  <si>
    <t xml:space="preserve">2024-08-05</t>
  </si>
  <si>
    <t xml:space="preserve">John Smith</t>
  </si>
  <si>
    <t xml:space="preserve">john.smith310@example.com</t>
  </si>
  <si>
    <t xml:space="preserve">mark.wilson311@example.com</t>
  </si>
  <si>
    <t xml:space="preserve">2023-03-26</t>
  </si>
  <si>
    <t xml:space="preserve">Susan Sanchez</t>
  </si>
  <si>
    <t xml:space="preserve">susan.sanchez312@example.com</t>
  </si>
  <si>
    <t xml:space="preserve">Margaret White</t>
  </si>
  <si>
    <t xml:space="preserve">margaret.white313@example.com</t>
  </si>
  <si>
    <t xml:space="preserve">Barbara Brown</t>
  </si>
  <si>
    <t xml:space="preserve">barbara.brown314@example.com</t>
  </si>
  <si>
    <t xml:space="preserve">2024-12-25</t>
  </si>
  <si>
    <t xml:space="preserve">Thomas Garcia</t>
  </si>
  <si>
    <t xml:space="preserve">thomas.garcia315@example.com</t>
  </si>
  <si>
    <t xml:space="preserve">margaret.rodriguez316@example.com</t>
  </si>
  <si>
    <t xml:space="preserve">2023-03-07</t>
  </si>
  <si>
    <t xml:space="preserve">valentina.ramirez317@example.com</t>
  </si>
  <si>
    <t xml:space="preserve">2023-06-20</t>
  </si>
  <si>
    <t xml:space="preserve">Carlos Smith</t>
  </si>
  <si>
    <t xml:space="preserve">carlos.smith318@example.com</t>
  </si>
  <si>
    <t xml:space="preserve">2023-01-13</t>
  </si>
  <si>
    <t xml:space="preserve">Mark Davis</t>
  </si>
  <si>
    <t xml:space="preserve">mark.davis319@example.com</t>
  </si>
  <si>
    <t xml:space="preserve">Patricia Garcia</t>
  </si>
  <si>
    <t xml:space="preserve">patricia.garcia320@example.com</t>
  </si>
  <si>
    <t xml:space="preserve">Karen Hernandez</t>
  </si>
  <si>
    <t xml:space="preserve">karen.hernandez321@example.com</t>
  </si>
  <si>
    <t xml:space="preserve">2024-07-20</t>
  </si>
  <si>
    <t xml:space="preserve">camila.lopez322@example.com</t>
  </si>
  <si>
    <t xml:space="preserve">2024-05-20</t>
  </si>
  <si>
    <t xml:space="preserve">Mark Smith</t>
  </si>
  <si>
    <t xml:space="preserve">mark.smith323@example.com</t>
  </si>
  <si>
    <t xml:space="preserve">2024-07-08</t>
  </si>
  <si>
    <t xml:space="preserve">anthony.ramirez324@example.com</t>
  </si>
  <si>
    <t xml:space="preserve">2023-04-17</t>
  </si>
  <si>
    <t xml:space="preserve">Jennifer Johnson</t>
  </si>
  <si>
    <t xml:space="preserve">jennifer.johnson325@example.com</t>
  </si>
  <si>
    <t xml:space="preserve">2024-06-16</t>
  </si>
  <si>
    <t xml:space="preserve">william.lee326@example.com</t>
  </si>
  <si>
    <t xml:space="preserve">2023-03-18</t>
  </si>
  <si>
    <t xml:space="preserve">Daniel Robinson</t>
  </si>
  <si>
    <t xml:space="preserve">daniel.robinson327@example.com</t>
  </si>
  <si>
    <t xml:space="preserve">mariana.brown328@example.com</t>
  </si>
  <si>
    <t xml:space="preserve">2023-04-19</t>
  </si>
  <si>
    <t xml:space="preserve">camila.rodriguez329@example.com</t>
  </si>
  <si>
    <t xml:space="preserve">2023-04-03</t>
  </si>
  <si>
    <t xml:space="preserve">daniel.jones330@example.com</t>
  </si>
  <si>
    <t xml:space="preserve">Barbara Smith</t>
  </si>
  <si>
    <t xml:space="preserve">barbara.smith331@example.com</t>
  </si>
  <si>
    <t xml:space="preserve">2024-04-08</t>
  </si>
  <si>
    <t xml:space="preserve">Patricia Clark</t>
  </si>
  <si>
    <t xml:space="preserve">patricia.clark332@example.com</t>
  </si>
  <si>
    <t xml:space="preserve">Thomas Robinson</t>
  </si>
  <si>
    <t xml:space="preserve">thomas.robinson333@example.com</t>
  </si>
  <si>
    <t xml:space="preserve">2023-01-23</t>
  </si>
  <si>
    <t xml:space="preserve">Nancy Brown</t>
  </si>
  <si>
    <t xml:space="preserve">nancy.brown334@example.com</t>
  </si>
  <si>
    <t xml:space="preserve">2024-04-17</t>
  </si>
  <si>
    <t xml:space="preserve">margaret.garcia335@example.com</t>
  </si>
  <si>
    <t xml:space="preserve">2023-08-08</t>
  </si>
  <si>
    <t xml:space="preserve">Jessica Lee</t>
  </si>
  <si>
    <t xml:space="preserve">jessica.lee336@example.com</t>
  </si>
  <si>
    <t xml:space="preserve">Sofia Davis</t>
  </si>
  <si>
    <t xml:space="preserve">sofia.davis337@example.com</t>
  </si>
  <si>
    <t xml:space="preserve">Diego Taylor</t>
  </si>
  <si>
    <t xml:space="preserve">2024-02-02</t>
  </si>
  <si>
    <t xml:space="preserve">andres.taylor339@example.com</t>
  </si>
  <si>
    <t xml:space="preserve">2024-08-21</t>
  </si>
  <si>
    <t xml:space="preserve">Patricia Harris</t>
  </si>
  <si>
    <t xml:space="preserve">patricia.harris340@example.com</t>
  </si>
  <si>
    <t xml:space="preserve">mariana.hernandez341@example.com</t>
  </si>
  <si>
    <t xml:space="preserve">2024-08-28</t>
  </si>
  <si>
    <t xml:space="preserve">valentina.moore342@example.com</t>
  </si>
  <si>
    <t xml:space="preserve">Nancy Robinson</t>
  </si>
  <si>
    <t xml:space="preserve">nancy.robinson343@example.com</t>
  </si>
  <si>
    <t xml:space="preserve">mariana.thompson344@example.com</t>
  </si>
  <si>
    <t xml:space="preserve">2023-04-24</t>
  </si>
  <si>
    <t xml:space="preserve">Michael Hernandez</t>
  </si>
  <si>
    <t xml:space="preserve">michael.hernandez345@example.com</t>
  </si>
  <si>
    <t xml:space="preserve">2023-11-27</t>
  </si>
  <si>
    <t xml:space="preserve">Barbara Thompson</t>
  </si>
  <si>
    <t xml:space="preserve">barbara.thompson346@example.com</t>
  </si>
  <si>
    <t xml:space="preserve">2024-12-11</t>
  </si>
  <si>
    <t xml:space="preserve">Charles Jones</t>
  </si>
  <si>
    <t xml:space="preserve">charles.jones347@example.com</t>
  </si>
  <si>
    <t xml:space="preserve">2023-01-02</t>
  </si>
  <si>
    <t xml:space="preserve">Miguel Hernandez</t>
  </si>
  <si>
    <t xml:space="preserve">miguel.hernandez348@example.com</t>
  </si>
  <si>
    <t xml:space="preserve">2024-12-26</t>
  </si>
  <si>
    <t xml:space="preserve">john.lopez350@example.com</t>
  </si>
  <si>
    <t xml:space="preserve">2023-04-21</t>
  </si>
  <si>
    <t xml:space="preserve">valentina.lewis351@example.com</t>
  </si>
  <si>
    <t xml:space="preserve">John Hernandez</t>
  </si>
  <si>
    <t xml:space="preserve">john.hernandez353@example.com</t>
  </si>
  <si>
    <t xml:space="preserve">Laura Lewis</t>
  </si>
  <si>
    <t xml:space="preserve">laura.lewis354@example.com</t>
  </si>
  <si>
    <t xml:space="preserve">2024-12-22</t>
  </si>
  <si>
    <t xml:space="preserve">nancy.miller355@example.com</t>
  </si>
  <si>
    <t xml:space="preserve">Michael Johnson</t>
  </si>
  <si>
    <t xml:space="preserve">2024-08-08</t>
  </si>
  <si>
    <t xml:space="preserve">Miguel Thomas</t>
  </si>
  <si>
    <t xml:space="preserve">miguel.thomas357@example.com</t>
  </si>
  <si>
    <t xml:space="preserve">Betty Thomas</t>
  </si>
  <si>
    <t xml:space="preserve">betty.thomas358@example.com</t>
  </si>
  <si>
    <t xml:space="preserve">juan.johnson359@example.com</t>
  </si>
  <si>
    <t xml:space="preserve">2024-03-26</t>
  </si>
  <si>
    <t xml:space="preserve">Jennifer Perez</t>
  </si>
  <si>
    <t xml:space="preserve">jennifer.perez360@example.com</t>
  </si>
  <si>
    <t xml:space="preserve">Mark Moore</t>
  </si>
  <si>
    <t xml:space="preserve">mark.moore361@example.com</t>
  </si>
  <si>
    <t xml:space="preserve">2024-08-09</t>
  </si>
  <si>
    <t xml:space="preserve">Diego Lewis</t>
  </si>
  <si>
    <t xml:space="preserve">diego.lewis362@example.com</t>
  </si>
  <si>
    <t xml:space="preserve">David Miller</t>
  </si>
  <si>
    <t xml:space="preserve">david.miller363@example.com</t>
  </si>
  <si>
    <t xml:space="preserve">miguel.rodriguez364@example.com</t>
  </si>
  <si>
    <t xml:space="preserve">2023-03-10</t>
  </si>
  <si>
    <t xml:space="preserve">James Sanchez</t>
  </si>
  <si>
    <t xml:space="preserve">james.sanchez365@example.com</t>
  </si>
  <si>
    <t xml:space="preserve">2024-06-19</t>
  </si>
  <si>
    <t xml:space="preserve">Michael Robinson</t>
  </si>
  <si>
    <t xml:space="preserve">michael.robinson366@example.com</t>
  </si>
  <si>
    <t xml:space="preserve">Valentina Jackson</t>
  </si>
  <si>
    <t xml:space="preserve">valentina.jackson367@example.com</t>
  </si>
  <si>
    <t xml:space="preserve">2023-02-20</t>
  </si>
  <si>
    <t xml:space="preserve">valentina.ramirez369@example.com</t>
  </si>
  <si>
    <t xml:space="preserve">Miguel Lee</t>
  </si>
  <si>
    <t xml:space="preserve">miguel.lee370@example.com</t>
  </si>
  <si>
    <t xml:space="preserve">2023-07-12</t>
  </si>
  <si>
    <t xml:space="preserve">Patricia Taylor</t>
  </si>
  <si>
    <t xml:space="preserve">patricia.taylor371@example.com</t>
  </si>
  <si>
    <t xml:space="preserve">2023-03-09</t>
  </si>
  <si>
    <t xml:space="preserve">Richard Lewis</t>
  </si>
  <si>
    <t xml:space="preserve">richard.lewis372@example.com</t>
  </si>
  <si>
    <t xml:space="preserve">Camila Taylor</t>
  </si>
  <si>
    <t xml:space="preserve">camila.taylor373@example.com</t>
  </si>
  <si>
    <t xml:space="preserve">Andres Jackson</t>
  </si>
  <si>
    <t xml:space="preserve">andres.jackson374@example.com</t>
  </si>
  <si>
    <t xml:space="preserve">Anthony Johnson</t>
  </si>
  <si>
    <t xml:space="preserve">anthony.johnson375@example.com</t>
  </si>
  <si>
    <t xml:space="preserve">Mark Taylor</t>
  </si>
  <si>
    <t xml:space="preserve">mark.taylor376@example.com</t>
  </si>
  <si>
    <t xml:space="preserve">miguel.sanchez377@example.com</t>
  </si>
  <si>
    <t xml:space="preserve">2024-12-30</t>
  </si>
  <si>
    <t xml:space="preserve">Susan Anderson</t>
  </si>
  <si>
    <t xml:space="preserve">lisa.moore379@example.com</t>
  </si>
  <si>
    <t xml:space="preserve">2023-11-02</t>
  </si>
  <si>
    <t xml:space="preserve">thomas.lee380@example.com</t>
  </si>
  <si>
    <t xml:space="preserve">daniel.perez381@example.com</t>
  </si>
  <si>
    <t xml:space="preserve">mariana.thompson382@example.com</t>
  </si>
  <si>
    <t xml:space="preserve">Matthew Taylor</t>
  </si>
  <si>
    <t xml:space="preserve">matthew.taylor383@example.com</t>
  </si>
  <si>
    <t xml:space="preserve">2023-06-24</t>
  </si>
  <si>
    <t xml:space="preserve">Isabella Harris</t>
  </si>
  <si>
    <t xml:space="preserve">isabella.harris384@example.com</t>
  </si>
  <si>
    <t xml:space="preserve">Nancy Lopez</t>
  </si>
  <si>
    <t xml:space="preserve">nancy.lopez385@example.com</t>
  </si>
  <si>
    <t xml:space="preserve">2024-08-22</t>
  </si>
  <si>
    <t xml:space="preserve">Laura Williams</t>
  </si>
  <si>
    <t xml:space="preserve">laura.williams386@example.com</t>
  </si>
  <si>
    <t xml:space="preserve">2023-07-19</t>
  </si>
  <si>
    <t xml:space="preserve">Elizabeth Jones</t>
  </si>
  <si>
    <t xml:space="preserve">elizabeth.jones387@example.com</t>
  </si>
  <si>
    <t xml:space="preserve">2023-12-17</t>
  </si>
  <si>
    <t xml:space="preserve">Barbara Harris</t>
  </si>
  <si>
    <t xml:space="preserve">barbara.harris388@example.com</t>
  </si>
  <si>
    <t xml:space="preserve">2024-05-14</t>
  </si>
  <si>
    <t xml:space="preserve">david.jackson389@example.com</t>
  </si>
  <si>
    <t xml:space="preserve">2024-05-16</t>
  </si>
  <si>
    <t xml:space="preserve">Andres Gonzalez</t>
  </si>
  <si>
    <t xml:space="preserve">andres.gonzalez390@example.com</t>
  </si>
  <si>
    <t xml:space="preserve">James Lee</t>
  </si>
  <si>
    <t xml:space="preserve">james.lee391@example.com</t>
  </si>
  <si>
    <t xml:space="preserve">2023-08-20</t>
  </si>
  <si>
    <t xml:space="preserve">john.clark392@example.com</t>
  </si>
  <si>
    <t xml:space="preserve">William Hernandez</t>
  </si>
  <si>
    <t xml:space="preserve">william.hernandez393@example.com</t>
  </si>
  <si>
    <t xml:space="preserve">2024-01-03</t>
  </si>
  <si>
    <t xml:space="preserve">William Miller</t>
  </si>
  <si>
    <t xml:space="preserve">william.miller394@example.com</t>
  </si>
  <si>
    <t xml:space="preserve">2024-08-26</t>
  </si>
  <si>
    <t xml:space="preserve">thomas.harris395@example.com</t>
  </si>
  <si>
    <t xml:space="preserve">2024-09-30</t>
  </si>
  <si>
    <t xml:space="preserve">linda.wilson396@example.com</t>
  </si>
  <si>
    <t xml:space="preserve">2024-01-25</t>
  </si>
  <si>
    <t xml:space="preserve">Karen Wilson</t>
  </si>
  <si>
    <t xml:space="preserve">karen.wilson397@example.com</t>
  </si>
  <si>
    <t xml:space="preserve">2024-11-09</t>
  </si>
  <si>
    <t xml:space="preserve">Laura Brown</t>
  </si>
  <si>
    <t xml:space="preserve">laura.brown398@example.com</t>
  </si>
  <si>
    <t xml:space="preserve">Matthew Thompson</t>
  </si>
  <si>
    <t xml:space="preserve">matthew.thompson399@example.com</t>
  </si>
  <si>
    <t xml:space="preserve">James Smith</t>
  </si>
  <si>
    <t xml:space="preserve">james.smith400@example.com</t>
  </si>
  <si>
    <t xml:space="preserve">Michael Lewis</t>
  </si>
  <si>
    <t xml:space="preserve">michael.lewis401@example.com</t>
  </si>
  <si>
    <t xml:space="preserve">2024-10-21</t>
  </si>
  <si>
    <t xml:space="preserve">Robert Ramirez</t>
  </si>
  <si>
    <t xml:space="preserve">robert.ramirez402@example.com</t>
  </si>
  <si>
    <t xml:space="preserve">2024-01-04</t>
  </si>
  <si>
    <t xml:space="preserve">William Perez</t>
  </si>
  <si>
    <t xml:space="preserve">william.perez403@example.com</t>
  </si>
  <si>
    <t xml:space="preserve">Nancy Garcia</t>
  </si>
  <si>
    <t xml:space="preserve">nancy.garcia404@example.com</t>
  </si>
  <si>
    <t xml:space="preserve">David Brown</t>
  </si>
  <si>
    <t xml:space="preserve">david.brown405@example.com</t>
  </si>
  <si>
    <t xml:space="preserve">Diego Perez</t>
  </si>
  <si>
    <t xml:space="preserve">diego.perez406@example.com</t>
  </si>
  <si>
    <t xml:space="preserve">2023-07-05</t>
  </si>
  <si>
    <t xml:space="preserve">William Thomas</t>
  </si>
  <si>
    <t xml:space="preserve">william.thomas407@example.com</t>
  </si>
  <si>
    <t xml:space="preserve">Sofia Harris</t>
  </si>
  <si>
    <t xml:space="preserve">sofia.harris408@example.com</t>
  </si>
  <si>
    <t xml:space="preserve">2024-08-01</t>
  </si>
  <si>
    <t xml:space="preserve">Michael Wilson</t>
  </si>
  <si>
    <t xml:space="preserve">michael.wilson409@example.com</t>
  </si>
  <si>
    <t xml:space="preserve">2024-05-08</t>
  </si>
  <si>
    <t xml:space="preserve">Laura Johnson</t>
  </si>
  <si>
    <t xml:space="preserve">laura.johnson410@example.com</t>
  </si>
  <si>
    <t xml:space="preserve">2024-10-20</t>
  </si>
  <si>
    <t xml:space="preserve">Valentina Hernandez</t>
  </si>
  <si>
    <t xml:space="preserve">valentina.hernandez411@example.com</t>
  </si>
  <si>
    <t xml:space="preserve">2023-12-05</t>
  </si>
  <si>
    <t xml:space="preserve">Jennifer Anderson</t>
  </si>
  <si>
    <t xml:space="preserve">jennifer.anderson412@example.com</t>
  </si>
  <si>
    <t xml:space="preserve">Mary Brown</t>
  </si>
  <si>
    <t xml:space="preserve">mary.brown413@example.com</t>
  </si>
  <si>
    <t xml:space="preserve">2024-02-27</t>
  </si>
  <si>
    <t xml:space="preserve">carlos.moore414@example.com</t>
  </si>
  <si>
    <t xml:space="preserve">2024-11-01</t>
  </si>
  <si>
    <t xml:space="preserve">nancy.moore415@example.com</t>
  </si>
  <si>
    <t xml:space="preserve">Charles Moore</t>
  </si>
  <si>
    <t xml:space="preserve">charles.moore416@example.com</t>
  </si>
  <si>
    <t xml:space="preserve">2024-01-18</t>
  </si>
  <si>
    <t xml:space="preserve">Mark Brown</t>
  </si>
  <si>
    <t xml:space="preserve">mark.brown417@example.com</t>
  </si>
  <si>
    <t xml:space="preserve">2024-09-17</t>
  </si>
  <si>
    <t xml:space="preserve">michael.harris418@example.com</t>
  </si>
  <si>
    <t xml:space="preserve">Mariana Taylor</t>
  </si>
  <si>
    <t xml:space="preserve">mariana.taylor419@example.com</t>
  </si>
  <si>
    <t xml:space="preserve">carlos.harris420@example.com</t>
  </si>
  <si>
    <t xml:space="preserve">2024-12-09</t>
  </si>
  <si>
    <t xml:space="preserve">Daniel Taylor</t>
  </si>
  <si>
    <t xml:space="preserve">daniel.taylor421@example.com</t>
  </si>
  <si>
    <t xml:space="preserve">2024-03-04</t>
  </si>
  <si>
    <t xml:space="preserve">Juan Sanchez</t>
  </si>
  <si>
    <t xml:space="preserve">juan.sanchez422@example.com</t>
  </si>
  <si>
    <t xml:space="preserve">2023-05-22</t>
  </si>
  <si>
    <t xml:space="preserve">Daniel Thompson</t>
  </si>
  <si>
    <t xml:space="preserve">daniel.thompson423@example.com</t>
  </si>
  <si>
    <t xml:space="preserve">2024-10-09</t>
  </si>
  <si>
    <t xml:space="preserve">Barbara Taylor</t>
  </si>
  <si>
    <t xml:space="preserve">barbara.taylor424@example.com</t>
  </si>
  <si>
    <t xml:space="preserve">Mark Perez</t>
  </si>
  <si>
    <t xml:space="preserve">2023-10-20</t>
  </si>
  <si>
    <t xml:space="preserve">Elizabeth Johnson</t>
  </si>
  <si>
    <t xml:space="preserve">elizabeth.johnson426@example.com</t>
  </si>
  <si>
    <t xml:space="preserve">2023-07-24</t>
  </si>
  <si>
    <t xml:space="preserve">Charles Miller</t>
  </si>
  <si>
    <t xml:space="preserve">charles.miller427@example.com</t>
  </si>
  <si>
    <t xml:space="preserve">2023-02-03</t>
  </si>
  <si>
    <t xml:space="preserve">Isabella Gonzalez</t>
  </si>
  <si>
    <t xml:space="preserve">isabella.gonzalez428@example.com</t>
  </si>
  <si>
    <t xml:space="preserve">2024-06-07</t>
  </si>
  <si>
    <t xml:space="preserve">Daniel Moore</t>
  </si>
  <si>
    <t xml:space="preserve">daniel.moore429@example.com</t>
  </si>
  <si>
    <t xml:space="preserve">2023-01-14</t>
  </si>
  <si>
    <t xml:space="preserve">Lisa Harris</t>
  </si>
  <si>
    <t xml:space="preserve">lisa.harris430@example.com</t>
  </si>
  <si>
    <t xml:space="preserve">John Garcia</t>
  </si>
  <si>
    <t xml:space="preserve">john.garcia431@example.com</t>
  </si>
  <si>
    <t xml:space="preserve">2024-06-10</t>
  </si>
  <si>
    <t xml:space="preserve">Thomas Smith</t>
  </si>
  <si>
    <t xml:space="preserve">thomas.smith432@example.com</t>
  </si>
  <si>
    <t xml:space="preserve">2024-04-22</t>
  </si>
  <si>
    <t xml:space="preserve">Laura Clark</t>
  </si>
  <si>
    <t xml:space="preserve">laura.clark433@example.com</t>
  </si>
  <si>
    <t xml:space="preserve">2024-05-17</t>
  </si>
  <si>
    <t xml:space="preserve">barbara.taylor434@example.com</t>
  </si>
  <si>
    <t xml:space="preserve">nancy.lopez435@example.com</t>
  </si>
  <si>
    <t xml:space="preserve">Matthew Anderson</t>
  </si>
  <si>
    <t xml:space="preserve">matthew.anderson436@example.com</t>
  </si>
  <si>
    <t xml:space="preserve">Linda Gonzalez</t>
  </si>
  <si>
    <t xml:space="preserve">linda.gonzalez437@example.com</t>
  </si>
  <si>
    <t xml:space="preserve">2024-07-07</t>
  </si>
  <si>
    <t xml:space="preserve">Juan Thomas</t>
  </si>
  <si>
    <t xml:space="preserve">juan.thomas438@example.com</t>
  </si>
  <si>
    <t xml:space="preserve">2023-10-31</t>
  </si>
  <si>
    <t xml:space="preserve">Luis Moore</t>
  </si>
  <si>
    <t xml:space="preserve">luis.moore439@example.com</t>
  </si>
  <si>
    <t xml:space="preserve">2024-10-03</t>
  </si>
  <si>
    <t xml:space="preserve">Susan Moore</t>
  </si>
  <si>
    <t xml:space="preserve">2024-10-24</t>
  </si>
  <si>
    <t xml:space="preserve">Jennifer Williams</t>
  </si>
  <si>
    <t xml:space="preserve">jennifer.williams441@example.com</t>
  </si>
  <si>
    <t xml:space="preserve">2023-07-02</t>
  </si>
  <si>
    <t xml:space="preserve">2024-03-19</t>
  </si>
  <si>
    <t xml:space="preserve">Mariana Johnson</t>
  </si>
  <si>
    <t xml:space="preserve">mariana.johnson443@example.com</t>
  </si>
  <si>
    <t xml:space="preserve">2024-01-02</t>
  </si>
  <si>
    <t xml:space="preserve">Juan Gonzalez</t>
  </si>
  <si>
    <t xml:space="preserve">juan.gonzalez444@example.com</t>
  </si>
  <si>
    <t xml:space="preserve">Elizabeth Martinez</t>
  </si>
  <si>
    <t xml:space="preserve">2023-01-12</t>
  </si>
  <si>
    <t xml:space="preserve">isabella.williams446@example.com</t>
  </si>
  <si>
    <t xml:space="preserve">Elizabeth Garcia</t>
  </si>
  <si>
    <t xml:space="preserve">elizabeth.garcia447@example.com</t>
  </si>
  <si>
    <t xml:space="preserve">2023-08-15</t>
  </si>
  <si>
    <t xml:space="preserve">Isabella Anderson</t>
  </si>
  <si>
    <t xml:space="preserve">isabella.anderson448@example.com</t>
  </si>
  <si>
    <t xml:space="preserve">Matthew Jones</t>
  </si>
  <si>
    <t xml:space="preserve">matthew.jones449@example.com</t>
  </si>
  <si>
    <t xml:space="preserve">karen.thompson450@example.com</t>
  </si>
  <si>
    <t xml:space="preserve">2023-06-06</t>
  </si>
  <si>
    <t xml:space="preserve">Joseph Thompson</t>
  </si>
  <si>
    <t xml:space="preserve">joseph.thompson451@example.com</t>
  </si>
  <si>
    <t xml:space="preserve">Karen Thomas</t>
  </si>
  <si>
    <t xml:space="preserve">karen.thomas452@example.com</t>
  </si>
  <si>
    <t xml:space="preserve">2023-04-22</t>
  </si>
  <si>
    <t xml:space="preserve">Richard Rodriguez</t>
  </si>
  <si>
    <t xml:space="preserve">richard.rodriguez453@example.com</t>
  </si>
  <si>
    <t xml:space="preserve">2023-03-19</t>
  </si>
  <si>
    <t xml:space="preserve">Mariana Miller</t>
  </si>
  <si>
    <t xml:space="preserve">mariana.miller454@example.com</t>
  </si>
  <si>
    <t xml:space="preserve">Joseph Lewis</t>
  </si>
  <si>
    <t xml:space="preserve">joseph.lewis455@example.com</t>
  </si>
  <si>
    <t xml:space="preserve">2023-10-25</t>
  </si>
  <si>
    <t xml:space="preserve">laura.perez456@example.com</t>
  </si>
  <si>
    <t xml:space="preserve">Andres Lopez</t>
  </si>
  <si>
    <t xml:space="preserve">andres.lopez457@example.com</t>
  </si>
  <si>
    <t xml:space="preserve">Lisa Gonzalez</t>
  </si>
  <si>
    <t xml:space="preserve">lisa.gonzalez458@example.com</t>
  </si>
  <si>
    <t xml:space="preserve">2024-04-10</t>
  </si>
  <si>
    <t xml:space="preserve">Sarah Clark</t>
  </si>
  <si>
    <t xml:space="preserve">sarah.clark459@example.com</t>
  </si>
  <si>
    <t xml:space="preserve">2024-08-15</t>
  </si>
  <si>
    <t xml:space="preserve">John Taylor</t>
  </si>
  <si>
    <t xml:space="preserve">john.taylor460@example.com</t>
  </si>
  <si>
    <t xml:space="preserve">2024-01-21</t>
  </si>
  <si>
    <t xml:space="preserve">Andres Lewis</t>
  </si>
  <si>
    <t xml:space="preserve">andres.lewis461@example.com</t>
  </si>
  <si>
    <t xml:space="preserve">barbara.garcia462@example.com</t>
  </si>
  <si>
    <t xml:space="preserve">2024-09-08</t>
  </si>
  <si>
    <t xml:space="preserve">2024-08-27</t>
  </si>
  <si>
    <t xml:space="preserve">Mariana Garcia</t>
  </si>
  <si>
    <t xml:space="preserve">mariana.garcia464@example.com</t>
  </si>
  <si>
    <t xml:space="preserve">2024-10-06</t>
  </si>
  <si>
    <t xml:space="preserve">Betty Martin</t>
  </si>
  <si>
    <t xml:space="preserve">betty.martin465@example.com</t>
  </si>
  <si>
    <t xml:space="preserve">2024-10-14</t>
  </si>
  <si>
    <t xml:space="preserve">miguel.thomas466@example.com</t>
  </si>
  <si>
    <t xml:space="preserve">Carlos Rodriguez</t>
  </si>
  <si>
    <t xml:space="preserve">carlos.rodriguez467@example.com</t>
  </si>
  <si>
    <t xml:space="preserve">2024-12-03</t>
  </si>
  <si>
    <t xml:space="preserve">Mary Miller</t>
  </si>
  <si>
    <t xml:space="preserve">mary.miller468@example.com</t>
  </si>
  <si>
    <t xml:space="preserve">2024-05-31</t>
  </si>
  <si>
    <t xml:space="preserve">luis.taylor469@example.com</t>
  </si>
  <si>
    <t xml:space="preserve">Sofia Wilson</t>
  </si>
  <si>
    <t xml:space="preserve">sofia.wilson470@example.com</t>
  </si>
  <si>
    <t xml:space="preserve">2023-02-14</t>
  </si>
  <si>
    <t xml:space="preserve">Diego Brown</t>
  </si>
  <si>
    <t xml:space="preserve">diego.brown471@example.com</t>
  </si>
  <si>
    <t xml:space="preserve">Mark Rodriguez</t>
  </si>
  <si>
    <t xml:space="preserve">mark.rodriguez472@example.com</t>
  </si>
  <si>
    <t xml:space="preserve">2023-01-06</t>
  </si>
  <si>
    <t xml:space="preserve">susan.thompson473@example.com</t>
  </si>
  <si>
    <t xml:space="preserve">2024-02-23</t>
  </si>
  <si>
    <t xml:space="preserve">Lisa Martin</t>
  </si>
  <si>
    <t xml:space="preserve">lisa.martin474@example.com</t>
  </si>
  <si>
    <t xml:space="preserve">Isabella Thomas</t>
  </si>
  <si>
    <t xml:space="preserve">isabella.thomas475@example.com</t>
  </si>
  <si>
    <t xml:space="preserve">joseph.anderson476@example.com</t>
  </si>
  <si>
    <t xml:space="preserve">patricia.garcia477@example.com</t>
  </si>
  <si>
    <t xml:space="preserve">2024-10-13</t>
  </si>
  <si>
    <t xml:space="preserve">Thomas Davis</t>
  </si>
  <si>
    <t xml:space="preserve">thomas.davis478@example.com</t>
  </si>
  <si>
    <t xml:space="preserve">2023-03-23</t>
  </si>
  <si>
    <t xml:space="preserve">miguel.johnson479@example.com</t>
  </si>
  <si>
    <t xml:space="preserve">2024-10-17</t>
  </si>
  <si>
    <t xml:space="preserve">robert.sanchez480@example.com</t>
  </si>
  <si>
    <t xml:space="preserve">David Williams</t>
  </si>
  <si>
    <t xml:space="preserve">david.williams481@example.com</t>
  </si>
  <si>
    <t xml:space="preserve">Jennifer Moore</t>
  </si>
  <si>
    <t xml:space="preserve">jennifer.moore482@example.com</t>
  </si>
  <si>
    <t xml:space="preserve">2024-07-26</t>
  </si>
  <si>
    <t xml:space="preserve">Camila Robinson</t>
  </si>
  <si>
    <t xml:space="preserve">camila.robinson483@example.com</t>
  </si>
  <si>
    <t xml:space="preserve">linda.sanchez484@example.com</t>
  </si>
  <si>
    <t xml:space="preserve">2023-09-21</t>
  </si>
  <si>
    <t xml:space="preserve">Jessica Harris</t>
  </si>
  <si>
    <t xml:space="preserve">jessica.harris485@example.com</t>
  </si>
  <si>
    <t xml:space="preserve">2024-04-14</t>
  </si>
  <si>
    <t xml:space="preserve">Joseph Perez</t>
  </si>
  <si>
    <t xml:space="preserve">joseph.perez486@example.com</t>
  </si>
  <si>
    <t xml:space="preserve">jennifer.gonzalez487@example.com</t>
  </si>
  <si>
    <t xml:space="preserve">richard.thomas488@example.com</t>
  </si>
  <si>
    <t xml:space="preserve">2023-08-29</t>
  </si>
  <si>
    <t xml:space="preserve">matthew.jones489@example.com</t>
  </si>
  <si>
    <t xml:space="preserve">2023-05-03</t>
  </si>
  <si>
    <t xml:space="preserve">andres.lopez490@example.com</t>
  </si>
  <si>
    <t xml:space="preserve">2024-05-19</t>
  </si>
  <si>
    <t xml:space="preserve">carlos.rodriguez491@example.com</t>
  </si>
  <si>
    <t xml:space="preserve">2023-08-16</t>
  </si>
  <si>
    <t xml:space="preserve">Matthew Gonzalez</t>
  </si>
  <si>
    <t xml:space="preserve">matthew.gonzalez492@example.com</t>
  </si>
  <si>
    <t xml:space="preserve">anthony.jackson493@example.com</t>
  </si>
  <si>
    <t xml:space="preserve">2023-11-30</t>
  </si>
  <si>
    <t xml:space="preserve">Laura Hernandez</t>
  </si>
  <si>
    <t xml:space="preserve">laura.hernandez494@example.com</t>
  </si>
  <si>
    <t xml:space="preserve">2023-07-08</t>
  </si>
  <si>
    <t xml:space="preserve">Barbara Jackson</t>
  </si>
  <si>
    <t xml:space="preserve">barbara.jackson495@example.com</t>
  </si>
  <si>
    <t xml:space="preserve">Anthony Miller</t>
  </si>
  <si>
    <t xml:space="preserve">anthony.miller496@example.com</t>
  </si>
  <si>
    <t xml:space="preserve">2023-06-03</t>
  </si>
  <si>
    <t xml:space="preserve">Daniel Sanchez</t>
  </si>
  <si>
    <t xml:space="preserve">daniel.sanchez497@example.com</t>
  </si>
  <si>
    <t xml:space="preserve">Thomas Thomas</t>
  </si>
  <si>
    <t xml:space="preserve">thomas.thomas498@example.com</t>
  </si>
  <si>
    <t xml:space="preserve">mark.brown499@example.com</t>
  </si>
  <si>
    <t xml:space="preserve">charles.lopez500@example.com</t>
  </si>
  <si>
    <t xml:space="preserve">product_id</t>
  </si>
  <si>
    <t xml:space="preserve">product_name</t>
  </si>
  <si>
    <t xml:space="preserve">category</t>
  </si>
  <si>
    <t xml:space="preserve">unit_cost</t>
  </si>
  <si>
    <t xml:space="preserve">unit_price</t>
  </si>
  <si>
    <t xml:space="preserve">Wireless Mouse</t>
  </si>
  <si>
    <t xml:space="preserve">Electronics</t>
  </si>
  <si>
    <t xml:space="preserve">Mechanical Keyboard</t>
  </si>
  <si>
    <t xml:space="preserve">USB-C Hub</t>
  </si>
  <si>
    <t xml:space="preserve">27in Monitor</t>
  </si>
  <si>
    <t xml:space="preserve">Webcam HD</t>
  </si>
  <si>
    <t xml:space="preserve">Noise Cancelling Headset</t>
  </si>
  <si>
    <t xml:space="preserve">Portable SSD 1TB</t>
  </si>
  <si>
    <t xml:space="preserve">Laptop Stand</t>
  </si>
  <si>
    <t xml:space="preserve">Bluetooth Speaker</t>
  </si>
  <si>
    <t xml:space="preserve">Ergonomic Chair</t>
  </si>
  <si>
    <t xml:space="preserve">Office Supplies</t>
  </si>
  <si>
    <t xml:space="preserve">Standing Desk</t>
  </si>
  <si>
    <t xml:space="preserve">Desk Lamp</t>
  </si>
  <si>
    <t xml:space="preserve">Notebook Set</t>
  </si>
  <si>
    <t xml:space="preserve">Whiteboard</t>
  </si>
  <si>
    <t xml:space="preserve">Filing Cabinet</t>
  </si>
  <si>
    <t xml:space="preserve">Stapler</t>
  </si>
  <si>
    <t xml:space="preserve">Printer Paper (Box)</t>
  </si>
  <si>
    <t xml:space="preserve">Analytics Suite License</t>
  </si>
  <si>
    <t xml:space="preserve">Software</t>
  </si>
  <si>
    <t xml:space="preserve">CRM Subscription (Annual)</t>
  </si>
  <si>
    <t xml:space="preserve">Antivirus Bundle</t>
  </si>
  <si>
    <t xml:space="preserve">Cloud Storage Plan</t>
  </si>
  <si>
    <t xml:space="preserve">Project Mgmt Tool</t>
  </si>
  <si>
    <t xml:space="preserve">Bookshelf</t>
  </si>
  <si>
    <t xml:space="preserve">Furniture</t>
  </si>
  <si>
    <t xml:space="preserve">Conference Table</t>
  </si>
  <si>
    <t xml:space="preserve">Office Cabinet</t>
  </si>
  <si>
    <t xml:space="preserve">Reception Sofa</t>
  </si>
  <si>
    <t xml:space="preserve">order_id</t>
  </si>
  <si>
    <t xml:space="preserve">order_date</t>
  </si>
  <si>
    <t xml:space="preserve">quantity</t>
  </si>
  <si>
    <t xml:space="preserve">discount</t>
  </si>
  <si>
    <t xml:space="preserve">order_status</t>
  </si>
  <si>
    <t xml:space="preserve">net_revenue</t>
  </si>
  <si>
    <t xml:space="preserve">customer_segment</t>
  </si>
  <si>
    <t xml:space="preserve">product_category</t>
  </si>
  <si>
    <t xml:space="preserve">order_month</t>
  </si>
  <si>
    <t xml:space="preserve">Completed</t>
  </si>
  <si>
    <t xml:space="preserve">2023-03-15</t>
  </si>
  <si>
    <t xml:space="preserve">2024-10-22</t>
  </si>
  <si>
    <t xml:space="preserve">2024-04-06</t>
  </si>
  <si>
    <t xml:space="preserve">2024-07-15</t>
  </si>
  <si>
    <t xml:space="preserve">2023-06-09</t>
  </si>
  <si>
    <t xml:space="preserve">2024-12-15</t>
  </si>
  <si>
    <t xml:space="preserve">2024-06-20</t>
  </si>
  <si>
    <t xml:space="preserve">2023-05-20</t>
  </si>
  <si>
    <t xml:space="preserve">2023-07-13</t>
  </si>
  <si>
    <t xml:space="preserve">Cancelled</t>
  </si>
  <si>
    <t xml:space="preserve">2024-01-23</t>
  </si>
  <si>
    <t xml:space="preserve">2024-05-18</t>
  </si>
  <si>
    <t xml:space="preserve">2023-10-16</t>
  </si>
  <si>
    <t xml:space="preserve">2023-08-11</t>
  </si>
  <si>
    <t xml:space="preserve">2024-07-10</t>
  </si>
  <si>
    <t xml:space="preserve">2023-04-07</t>
  </si>
  <si>
    <t xml:space="preserve">2023-06-12</t>
  </si>
  <si>
    <t xml:space="preserve">2024-03-20</t>
  </si>
  <si>
    <t xml:space="preserve">2023-02-13</t>
  </si>
  <si>
    <t xml:space="preserve">2023-03-03</t>
  </si>
  <si>
    <t xml:space="preserve">2024-07-25</t>
  </si>
  <si>
    <t xml:space="preserve">2024-01-22</t>
  </si>
  <si>
    <t xml:space="preserve">2024-09-05</t>
  </si>
  <si>
    <t xml:space="preserve">2024-01-11</t>
  </si>
  <si>
    <t xml:space="preserve">2024-01-08</t>
  </si>
  <si>
    <t xml:space="preserve">2024-01-05</t>
  </si>
  <si>
    <t xml:space="preserve">2024-09-23</t>
  </si>
  <si>
    <t xml:space="preserve">2024-11-21</t>
  </si>
  <si>
    <t xml:space="preserve">2023-09-04</t>
  </si>
  <si>
    <t xml:space="preserve">2023-11-06</t>
  </si>
  <si>
    <t xml:space="preserve">2024-08-07</t>
  </si>
  <si>
    <t xml:space="preserve">2024-09-01</t>
  </si>
  <si>
    <t xml:space="preserve">2024-07-28</t>
  </si>
  <si>
    <t xml:space="preserve">Returned</t>
  </si>
  <si>
    <t xml:space="preserve">2024-08-31</t>
  </si>
  <si>
    <t xml:space="preserve">2023-03-29</t>
  </si>
  <si>
    <t xml:space="preserve">2024-07-04</t>
  </si>
  <si>
    <t xml:space="preserve">2024-12-12</t>
  </si>
  <si>
    <t xml:space="preserve">2023-10-27</t>
  </si>
  <si>
    <t xml:space="preserve">2023-01-19</t>
  </si>
  <si>
    <t xml:space="preserve">2023-10-14</t>
  </si>
  <si>
    <t xml:space="preserve">2024-11-25</t>
  </si>
  <si>
    <t xml:space="preserve">2024-09-11</t>
  </si>
  <si>
    <t xml:space="preserve">2023-07-27</t>
  </si>
  <si>
    <t xml:space="preserve">2024-02-26</t>
  </si>
  <si>
    <t xml:space="preserve">2024-09-19</t>
  </si>
  <si>
    <t xml:space="preserve">2024-04-30</t>
  </si>
  <si>
    <t xml:space="preserve">2024-09-14</t>
  </si>
  <si>
    <t xml:space="preserve">2023-05-07</t>
  </si>
  <si>
    <t xml:space="preserve">2023-08-01</t>
  </si>
  <si>
    <t xml:space="preserve">2024-08-14</t>
  </si>
  <si>
    <t xml:space="preserve">2024-11-19</t>
  </si>
  <si>
    <t xml:space="preserve">2023-10-09</t>
  </si>
  <si>
    <t xml:space="preserve">2024-03-13</t>
  </si>
  <si>
    <t xml:space="preserve">2023-08-27</t>
  </si>
  <si>
    <t xml:space="preserve">2023-08-06</t>
  </si>
  <si>
    <t xml:space="preserve">2023-01-30</t>
  </si>
  <si>
    <t xml:space="preserve">2023-12-29</t>
  </si>
  <si>
    <t xml:space="preserve">2023-04-05</t>
  </si>
  <si>
    <t xml:space="preserve">2023-08-03</t>
  </si>
  <si>
    <t xml:space="preserve">2023-10-07</t>
  </si>
  <si>
    <t xml:space="preserve">2023-06-25</t>
  </si>
  <si>
    <t xml:space="preserve">2024-11-22</t>
  </si>
  <si>
    <t xml:space="preserve">2024-12-31</t>
  </si>
  <si>
    <t xml:space="preserve">2024-11-16</t>
  </si>
  <si>
    <t xml:space="preserve">2023-12-19</t>
  </si>
  <si>
    <t xml:space="preserve">2024-02-20</t>
  </si>
  <si>
    <t xml:space="preserve">2024-03-10</t>
  </si>
  <si>
    <t xml:space="preserve">2024-03-07</t>
  </si>
  <si>
    <t xml:space="preserve">2023-11-08</t>
  </si>
  <si>
    <t xml:space="preserve">2023-06-28</t>
  </si>
  <si>
    <t xml:space="preserve">2023-12-10</t>
  </si>
  <si>
    <t xml:space="preserve">2023-09-05</t>
  </si>
  <si>
    <t xml:space="preserve">2024-07-14</t>
  </si>
  <si>
    <t xml:space="preserve">2023-03-30</t>
  </si>
  <si>
    <t xml:space="preserve">2023-09-29</t>
  </si>
  <si>
    <t xml:space="preserve">2023-09-23</t>
  </si>
  <si>
    <t xml:space="preserve">2024-05-24</t>
  </si>
  <si>
    <t xml:space="preserve">2023-12-04</t>
  </si>
  <si>
    <t xml:space="preserve">2024-07-02</t>
  </si>
  <si>
    <t xml:space="preserve">2023-08-07</t>
  </si>
  <si>
    <t xml:space="preserve">2023-06-22</t>
  </si>
  <si>
    <t xml:space="preserve">2023-04-02</t>
  </si>
  <si>
    <t xml:space="preserve">2023-11-05</t>
  </si>
  <si>
    <t xml:space="preserve">2023-06-30</t>
  </si>
  <si>
    <t xml:space="preserve">2023-12-09</t>
  </si>
  <si>
    <t xml:space="preserve">2024-04-27</t>
  </si>
  <si>
    <t xml:space="preserve">2024-02-01</t>
  </si>
  <si>
    <t xml:space="preserve">2023-05-11</t>
  </si>
  <si>
    <t xml:space="preserve">2023-08-10</t>
  </si>
  <si>
    <t xml:space="preserve">2023-09-11</t>
  </si>
  <si>
    <t xml:space="preserve">2024-06-27</t>
  </si>
  <si>
    <t xml:space="preserve">2024-08-20</t>
  </si>
  <si>
    <t xml:space="preserve">2024-01-15</t>
  </si>
  <si>
    <t xml:space="preserve">2023-12-07</t>
  </si>
  <si>
    <t xml:space="preserve">2023-01-24</t>
  </si>
  <si>
    <t xml:space="preserve">2023-12-28</t>
  </si>
  <si>
    <t xml:space="preserve">2023-01-26</t>
  </si>
  <si>
    <t xml:space="preserve">2024-08-10</t>
  </si>
  <si>
    <t xml:space="preserve">2024-02-08</t>
  </si>
  <si>
    <t xml:space="preserve">2023-08-18</t>
  </si>
  <si>
    <t xml:space="preserve">2023-05-08</t>
  </si>
  <si>
    <t xml:space="preserve">2024-05-07</t>
  </si>
  <si>
    <t xml:space="preserve">2023-02-19</t>
  </si>
  <si>
    <t xml:space="preserve">2023-03-20</t>
  </si>
  <si>
    <t xml:space="preserve">2024-03-28</t>
  </si>
  <si>
    <t xml:space="preserve">2023-09-17</t>
  </si>
  <si>
    <t xml:space="preserve">2023-07-30</t>
  </si>
  <si>
    <t xml:space="preserve">2024-08-06</t>
  </si>
  <si>
    <t xml:space="preserve">2024-05-02</t>
  </si>
  <si>
    <t xml:space="preserve">2023-05-31</t>
  </si>
  <si>
    <t xml:space="preserve">2024-04-26</t>
  </si>
  <si>
    <t xml:space="preserve">2024-03-14</t>
  </si>
  <si>
    <t xml:space="preserve">2023-04-11</t>
  </si>
  <si>
    <t xml:space="preserve">2023-10-21</t>
  </si>
  <si>
    <t xml:space="preserve">2023-01-29</t>
  </si>
  <si>
    <t xml:space="preserve">2023-03-27</t>
  </si>
  <si>
    <t xml:space="preserve">2024-11-04</t>
  </si>
  <si>
    <t xml:space="preserve">2024-11-30</t>
  </si>
  <si>
    <t xml:space="preserve">2024-12-08</t>
  </si>
  <si>
    <t xml:space="preserve">2024-03-25</t>
  </si>
  <si>
    <t xml:space="preserve">2023-03-24</t>
  </si>
  <si>
    <t xml:space="preserve">2024-03-08</t>
  </si>
  <si>
    <t xml:space="preserve">2023-06-27</t>
  </si>
  <si>
    <t xml:space="preserve">2024-02-07</t>
  </si>
  <si>
    <t xml:space="preserve">2024-08-03</t>
  </si>
  <si>
    <t xml:space="preserve">2024-09-24</t>
  </si>
  <si>
    <t xml:space="preserve">2023-05-17</t>
  </si>
  <si>
    <t xml:space="preserve">2023-05-16</t>
  </si>
  <si>
    <t xml:space="preserve">2024-05-26</t>
  </si>
  <si>
    <t xml:space="preserve">2023-09-27</t>
  </si>
  <si>
    <t xml:space="preserve">2023-06-01</t>
  </si>
  <si>
    <t xml:space="preserve">2023-11-28</t>
  </si>
  <si>
    <t xml:space="preserve">2023-03-14</t>
  </si>
  <si>
    <t xml:space="preserve">2024-10-31</t>
  </si>
  <si>
    <t xml:space="preserve">2023-07-10</t>
  </si>
  <si>
    <t xml:space="preserve">2024-04-24</t>
  </si>
  <si>
    <t xml:space="preserve">2023-07-06</t>
  </si>
  <si>
    <t xml:space="preserve">2024-03-22</t>
  </si>
  <si>
    <t xml:space="preserve">2024-09-18</t>
  </si>
  <si>
    <t xml:space="preserve">2024-08-13</t>
  </si>
  <si>
    <t xml:space="preserve">2024-09-29</t>
  </si>
  <si>
    <t xml:space="preserve">2024-10-30</t>
  </si>
  <si>
    <t xml:space="preserve">2024-01-01</t>
  </si>
  <si>
    <t xml:space="preserve">2024-06-03</t>
  </si>
  <si>
    <t xml:space="preserve">2023-11-18</t>
  </si>
  <si>
    <t xml:space="preserve">2024-10-26</t>
  </si>
  <si>
    <t xml:space="preserve">2024-10-04</t>
  </si>
  <si>
    <t xml:space="preserve">2023-07-17</t>
  </si>
  <si>
    <t xml:space="preserve">2024-02-17</t>
  </si>
  <si>
    <t xml:space="preserve">2024-01-16</t>
  </si>
  <si>
    <t xml:space="preserve">2024-05-15</t>
  </si>
  <si>
    <t xml:space="preserve">2023-09-09</t>
  </si>
  <si>
    <t xml:space="preserve">2024-06-24</t>
  </si>
  <si>
    <t xml:space="preserve">2023-07-07</t>
  </si>
  <si>
    <t xml:space="preserve">2024-08-23</t>
  </si>
  <si>
    <t xml:space="preserve">2023-10-03</t>
  </si>
  <si>
    <t xml:space="preserve">2023-01-01</t>
  </si>
  <si>
    <t xml:space="preserve">2024-03-18</t>
  </si>
  <si>
    <t xml:space="preserve">2023-09-25</t>
  </si>
  <si>
    <t xml:space="preserve">2023-01-10</t>
  </si>
  <si>
    <t xml:space="preserve">2023-03-25</t>
  </si>
  <si>
    <t xml:space="preserve">2024-10-27</t>
  </si>
  <si>
    <t xml:space="preserve">2024-06-14</t>
  </si>
  <si>
    <t xml:space="preserve">2024-03-06</t>
  </si>
  <si>
    <t xml:space="preserve">2024-08-30</t>
  </si>
  <si>
    <t xml:space="preserve">2023-05-30</t>
  </si>
  <si>
    <t xml:space="preserve">2023-12-06</t>
  </si>
  <si>
    <t xml:space="preserve">2023-04-14</t>
  </si>
  <si>
    <t xml:space="preserve">2023-11-10</t>
  </si>
  <si>
    <t xml:space="preserve">2024-09-28</t>
  </si>
  <si>
    <t xml:space="preserve">2024-01-27</t>
  </si>
  <si>
    <t xml:space="preserve">2024-02-12</t>
  </si>
  <si>
    <t xml:space="preserve">2024-02-05</t>
  </si>
  <si>
    <t xml:space="preserve">2023-07-31</t>
  </si>
  <si>
    <t xml:space="preserve">2023-12-22</t>
  </si>
  <si>
    <t xml:space="preserve">2024-12-16</t>
  </si>
  <si>
    <t xml:space="preserve">2024-10-05</t>
  </si>
  <si>
    <t xml:space="preserve">2023-01-11</t>
  </si>
  <si>
    <t xml:space="preserve">2023-02-05</t>
  </si>
  <si>
    <t xml:space="preserve">2023-04-09</t>
  </si>
  <si>
    <t xml:space="preserve">2023-12-01</t>
  </si>
  <si>
    <t xml:space="preserve">2023-05-04</t>
  </si>
  <si>
    <t xml:space="preserve">2023-11-13</t>
  </si>
  <si>
    <t xml:space="preserve">2023-10-23</t>
  </si>
  <si>
    <t xml:space="preserve">2024-11-11</t>
  </si>
  <si>
    <t xml:space="preserve">2023-05-25</t>
  </si>
  <si>
    <t xml:space="preserve">2024-09-16</t>
  </si>
  <si>
    <t xml:space="preserve">2024-01-19</t>
  </si>
  <si>
    <t xml:space="preserve">2023-09-10</t>
  </si>
  <si>
    <t xml:space="preserve">2023-02-28</t>
  </si>
  <si>
    <t xml:space="preserve">2023-05-23</t>
  </si>
  <si>
    <t xml:space="preserve">2024-09-07</t>
  </si>
  <si>
    <t xml:space="preserve">2023-10-18</t>
  </si>
  <si>
    <t xml:space="preserve">2024-11-17</t>
  </si>
  <si>
    <t xml:space="preserve">2023-05-01</t>
  </si>
  <si>
    <t xml:space="preserve">2023-03-28</t>
  </si>
  <si>
    <t xml:space="preserve">2024-02-21</t>
  </si>
  <si>
    <t xml:space="preserve">2023-12-24</t>
  </si>
  <si>
    <t xml:space="preserve">2023-11-22</t>
  </si>
  <si>
    <t xml:space="preserve">2023-08-23</t>
  </si>
  <si>
    <t xml:space="preserve">2024-10-11</t>
  </si>
  <si>
    <t xml:space="preserve">2023-09-30</t>
  </si>
  <si>
    <t xml:space="preserve">2023-01-22</t>
  </si>
  <si>
    <t xml:space="preserve">2023-07-15</t>
  </si>
  <si>
    <t xml:space="preserve">2023-09-16</t>
  </si>
  <si>
    <t xml:space="preserve">2023-01-04</t>
  </si>
  <si>
    <t xml:space="preserve">2024-05-30</t>
  </si>
  <si>
    <t xml:space="preserve">2023-07-28</t>
  </si>
  <si>
    <t xml:space="preserve">2024-10-01</t>
  </si>
  <si>
    <t xml:space="preserve">2024-11-02</t>
  </si>
  <si>
    <t xml:space="preserve">2024-06-30</t>
  </si>
  <si>
    <t xml:space="preserve">2023-01-18</t>
  </si>
  <si>
    <t xml:space="preserve">2024-03-02</t>
  </si>
  <si>
    <t xml:space="preserve">2024-03-09</t>
  </si>
  <si>
    <t xml:space="preserve">2023-02-25</t>
  </si>
  <si>
    <t xml:space="preserve">2023-06-05</t>
  </si>
  <si>
    <t xml:space="preserve">2024-11-28</t>
  </si>
  <si>
    <t xml:space="preserve">2024-04-16</t>
  </si>
  <si>
    <t xml:space="preserve">2024-02-28</t>
  </si>
  <si>
    <t xml:space="preserve">2024-03-12</t>
  </si>
  <si>
    <t xml:space="preserve">2024-07-11</t>
  </si>
  <si>
    <t xml:space="preserve">2023-01-08</t>
  </si>
  <si>
    <t xml:space="preserve">2024-06-13</t>
  </si>
  <si>
    <t xml:space="preserve">2024-02-06</t>
  </si>
  <si>
    <t xml:space="preserve">2023-07-04</t>
  </si>
  <si>
    <t xml:space="preserve">2024-09-06</t>
  </si>
  <si>
    <t xml:space="preserve">2024-06-08</t>
  </si>
  <si>
    <t xml:space="preserve">2024-09-13</t>
  </si>
  <si>
    <t xml:space="preserve">2024-12-05</t>
  </si>
  <si>
    <t xml:space="preserve">2024-11-18</t>
  </si>
  <si>
    <t xml:space="preserve">2023-07-22</t>
  </si>
  <si>
    <t xml:space="preserve">2023-02-18</t>
  </si>
  <si>
    <t xml:space="preserve">2023-04-18</t>
  </si>
  <si>
    <t xml:space="preserve">2024-02-19</t>
  </si>
  <si>
    <t xml:space="preserve">2023-07-09</t>
  </si>
  <si>
    <t xml:space="preserve">2023-01-16</t>
  </si>
  <si>
    <t xml:space="preserve">2023-07-21</t>
  </si>
  <si>
    <t xml:space="preserve">2024-05-22</t>
  </si>
  <si>
    <t xml:space="preserve">2023-02-26</t>
  </si>
  <si>
    <t xml:space="preserve">2023-09-24</t>
  </si>
  <si>
    <t xml:space="preserve">2023-07-25</t>
  </si>
  <si>
    <t xml:space="preserve">2023-08-26</t>
  </si>
  <si>
    <t xml:space="preserve">2023-08-31</t>
  </si>
  <si>
    <t xml:space="preserve">2023-10-05</t>
  </si>
  <si>
    <t xml:space="preserve">2023-11-07</t>
  </si>
  <si>
    <t xml:space="preserve">2024-08-04</t>
  </si>
  <si>
    <t xml:space="preserve">2024-01-29</t>
  </si>
  <si>
    <t xml:space="preserve">2023-09-01</t>
  </si>
  <si>
    <t xml:space="preserve">2024-04-28</t>
  </si>
  <si>
    <t xml:space="preserve">2024-07-21</t>
  </si>
  <si>
    <t xml:space="preserve">2024-08-25</t>
  </si>
  <si>
    <t xml:space="preserve">2024-06-21</t>
  </si>
  <si>
    <t xml:space="preserve">2023-06-10</t>
  </si>
  <si>
    <t xml:space="preserve">2024-05-11</t>
  </si>
  <si>
    <t xml:space="preserve">2024-03-11</t>
  </si>
  <si>
    <t xml:space="preserve">2023-09-28</t>
  </si>
  <si>
    <t xml:space="preserve">2023-10-13</t>
  </si>
  <si>
    <t xml:space="preserve">2024-06-18</t>
  </si>
  <si>
    <t xml:space="preserve">2023-04-30</t>
  </si>
  <si>
    <t xml:space="preserve">2023-11-14</t>
  </si>
  <si>
    <t xml:space="preserve">2024-05-09</t>
  </si>
  <si>
    <t xml:space="preserve">2023-06-26</t>
  </si>
  <si>
    <t xml:space="preserve">2024-01-14</t>
  </si>
  <si>
    <t xml:space="preserve">2023-10-28</t>
  </si>
  <si>
    <t xml:space="preserve">2024-10-10</t>
  </si>
  <si>
    <t xml:space="preserve">2024-12-06</t>
  </si>
  <si>
    <t xml:space="preserve">2023-10-19</t>
  </si>
  <si>
    <t xml:space="preserve">2024-02-18</t>
  </si>
  <si>
    <t xml:space="preserve">2023-11-29</t>
  </si>
  <si>
    <t xml:space="preserve">2023-06-13</t>
  </si>
  <si>
    <t xml:space="preserve">2024-04-15</t>
  </si>
  <si>
    <t xml:space="preserve">2023-02-27</t>
  </si>
  <si>
    <t xml:space="preserve">2024-10-28</t>
  </si>
  <si>
    <t xml:space="preserve">2024-07-19</t>
  </si>
  <si>
    <t xml:space="preserve">2024-10-08</t>
  </si>
  <si>
    <t xml:space="preserve">2024-06-28</t>
  </si>
  <si>
    <t xml:space="preserve">2023-10-08</t>
  </si>
  <si>
    <t xml:space="preserve">2023-04-25</t>
  </si>
  <si>
    <t xml:space="preserve">2024-09-09</t>
  </si>
  <si>
    <t xml:space="preserve">2023-04-08</t>
  </si>
  <si>
    <t xml:space="preserve">2024-04-09</t>
  </si>
  <si>
    <t xml:space="preserve">2023-12-12</t>
  </si>
  <si>
    <t xml:space="preserve">2024-04-12</t>
  </si>
  <si>
    <t xml:space="preserve">2024-06-17</t>
  </si>
  <si>
    <t xml:space="preserve">2023-12-16</t>
  </si>
  <si>
    <t xml:space="preserve">2024-09-10</t>
  </si>
  <si>
    <t xml:space="preserve">2024-07-27</t>
  </si>
  <si>
    <t xml:space="preserve">2023-02-01</t>
  </si>
  <si>
    <t xml:space="preserve">2024-06-23</t>
  </si>
  <si>
    <t xml:space="preserve">2023-11-25</t>
  </si>
  <si>
    <t xml:space="preserve">2023-09-22</t>
  </si>
  <si>
    <t xml:space="preserve">2024-02-09</t>
  </si>
  <si>
    <t xml:space="preserve">2023-02-12</t>
  </si>
  <si>
    <t xml:space="preserve">2023-03-08</t>
  </si>
  <si>
    <t xml:space="preserve">2024-04-19</t>
  </si>
  <si>
    <t xml:space="preserve">2024-04-25</t>
  </si>
  <si>
    <t xml:space="preserve">2023-02-21</t>
  </si>
  <si>
    <t xml:space="preserve">2023-03-06</t>
  </si>
  <si>
    <t xml:space="preserve">2023-08-17</t>
  </si>
  <si>
    <t xml:space="preserve">2023-11-24</t>
  </si>
  <si>
    <t xml:space="preserve">2023-05-28</t>
  </si>
  <si>
    <t xml:space="preserve">2023-07-29</t>
  </si>
  <si>
    <t xml:space="preserve">2024-07-24</t>
  </si>
  <si>
    <t xml:space="preserve">2024-04-03</t>
  </si>
  <si>
    <t xml:space="preserve">2024-12-20</t>
  </si>
  <si>
    <t xml:space="preserve">2024-01-12</t>
  </si>
  <si>
    <t xml:space="preserve">2023-08-21</t>
  </si>
  <si>
    <t xml:space="preserve">2023-01-25</t>
  </si>
  <si>
    <t xml:space="preserve">2023-09-13</t>
  </si>
  <si>
    <t xml:space="preserve">2024-05-23</t>
  </si>
  <si>
    <t xml:space="preserve">2024-05-12</t>
  </si>
  <si>
    <t xml:space="preserve">2024-01-31</t>
  </si>
  <si>
    <t xml:space="preserve">2023-08-25</t>
  </si>
  <si>
    <t xml:space="preserve">2023-06-02</t>
  </si>
  <si>
    <t xml:space="preserve">2024-06-25</t>
  </si>
  <si>
    <t xml:space="preserve">2024-12-17</t>
  </si>
  <si>
    <t xml:space="preserve">2024-08-19</t>
  </si>
  <si>
    <t xml:space="preserve">2023-09-02</t>
  </si>
  <si>
    <t xml:space="preserve">2024-05-06</t>
  </si>
  <si>
    <t xml:space="preserve">2023-12-15</t>
  </si>
  <si>
    <t xml:space="preserve">2023-02-11</t>
  </si>
  <si>
    <t xml:space="preserve">2023-01-03</t>
  </si>
  <si>
    <t xml:space="preserve">2023-06-14</t>
  </si>
  <si>
    <t xml:space="preserve">2024-09-25</t>
  </si>
  <si>
    <t xml:space="preserve">2024-02-22</t>
  </si>
  <si>
    <t xml:space="preserve">2024-05-03</t>
  </si>
  <si>
    <t xml:space="preserve">2024-01-09</t>
  </si>
  <si>
    <t xml:space="preserve">2024-09-15</t>
  </si>
  <si>
    <t xml:space="preserve">2024-07-31</t>
  </si>
  <si>
    <t xml:space="preserve">2023-04-01</t>
  </si>
  <si>
    <t xml:space="preserve">2023-10-17</t>
  </si>
  <si>
    <t xml:space="preserve">2024-09-20</t>
  </si>
  <si>
    <t xml:space="preserve">2024-07-22</t>
  </si>
  <si>
    <t xml:space="preserve">2023-08-24</t>
  </si>
  <si>
    <t xml:space="preserve">2024-05-01</t>
  </si>
  <si>
    <t xml:space="preserve">2023-07-23</t>
  </si>
  <si>
    <t xml:space="preserve">2023-03-02</t>
  </si>
  <si>
    <t xml:space="preserve">2024-01-07</t>
  </si>
  <si>
    <t xml:space="preserve">2023-09-20</t>
  </si>
  <si>
    <t xml:space="preserve">2023-04-12</t>
  </si>
  <si>
    <t xml:space="preserve">2024-01-26</t>
  </si>
  <si>
    <t xml:space="preserve">2023-11-15</t>
  </si>
  <si>
    <t xml:space="preserve">2023-05-26</t>
  </si>
  <si>
    <t xml:space="preserve">2024-04-29</t>
  </si>
  <si>
    <t xml:space="preserve">2023-11-23</t>
  </si>
  <si>
    <t xml:space="preserve">2023-12-31</t>
  </si>
  <si>
    <t xml:space="preserve">2024-05-04</t>
  </si>
  <si>
    <t xml:space="preserve">2024-08-18</t>
  </si>
  <si>
    <t xml:space="preserve">2023-12-21</t>
  </si>
  <si>
    <t xml:space="preserve">2024-02-25</t>
  </si>
  <si>
    <t xml:space="preserve">2023-05-06</t>
  </si>
  <si>
    <t xml:space="preserve">2023-01-07</t>
  </si>
  <si>
    <t xml:space="preserve">2024-03-27</t>
  </si>
  <si>
    <t xml:space="preserve">2023-10-04</t>
  </si>
  <si>
    <t xml:space="preserve">2024-12-04</t>
  </si>
  <si>
    <t xml:space="preserve">2024-05-13</t>
  </si>
  <si>
    <t xml:space="preserve">2023-09-14</t>
  </si>
  <si>
    <t xml:space="preserve">2023-09-18</t>
  </si>
  <si>
    <t xml:space="preserve">2023-01-05</t>
  </si>
  <si>
    <t xml:space="preserve">2023-02-09</t>
  </si>
  <si>
    <t xml:space="preserve">2023-11-09</t>
  </si>
  <si>
    <t xml:space="preserve">2023-08-02</t>
  </si>
  <si>
    <t xml:space="preserve">2024-06-02</t>
  </si>
  <si>
    <t xml:space="preserve">2024-04-11</t>
  </si>
  <si>
    <t xml:space="preserve">2024-06-15</t>
  </si>
  <si>
    <t xml:space="preserve">2024-12-23</t>
  </si>
  <si>
    <t xml:space="preserve">Objective: total revenue and orders per month, and % growth vs the previous month.</t>
  </si>
  <si>
    <t xml:space="preserve">month</t>
  </si>
  <si>
    <t xml:space="preserve">total_revenue</t>
  </si>
  <si>
    <t xml:space="preserve">total_orders</t>
  </si>
  <si>
    <t xml:space="preserve">prev_month_revenue</t>
  </si>
  <si>
    <t xml:space="preserve">growth_pct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</si>
  <si>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</si>
  <si>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</si>
  <si>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</si>
  <si>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</si>
  <si>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</si>
  <si>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</si>
  <si>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</si>
  <si>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</si>
  <si>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</si>
  <si>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</si>
  <si>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</si>
  <si>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</si>
  <si>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</si>
  <si>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</si>
  <si>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</si>
  <si>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</si>
  <si>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</si>
  <si>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</si>
  <si>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</si>
  <si>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</si>
  <si>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</si>
  <si>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</si>
  <si>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</si>
  <si>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</si>
  <si>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Objective: top 5 customers by revenue - could be used for a loyalty/retention list.</t>
  </si>
  <si>
    <t xml:space="preserve">Top 5</t>
  </si>
  <si>
    <t xml:space="preserve">rank</t>
  </si>
  <si>
    <t xml:space="preserve">All customers (helper table)</t>
  </si>
  <si>
    <t xml:space="preserve">Objective: units sold, revenue and profit per product, and rolled up by category.</t>
  </si>
  <si>
    <t xml:space="preserve">By product</t>
  </si>
  <si>
    <t xml:space="preserve">units_sold</t>
  </si>
  <si>
    <t xml:space="preserve">total_cost</t>
  </si>
  <si>
    <t xml:space="preserve">total_profit</t>
  </si>
  <si>
    <t xml:space="preserve">By category</t>
  </si>
  <si>
    <t xml:space="preserve">Objective: revenue and orders by customer segment (Consumer/Corporate/Small Business/Unknown).</t>
  </si>
  <si>
    <t xml:space="preserve">Objective: breakdown of orders by status, and % of total.</t>
  </si>
  <si>
    <t xml:space="preserve">pct_of_total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</si>
</sst>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5" hidden="false" customHeight="true" outlineLevel="0" collapsed="false">
      <c r="A3" s="1" t="n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customFormat="false" ht="15" hidden="false" customHeight="true" outlineLevel="0" collapsed="false">
      <c r="A4" s="1" t="n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customFormat="false" ht="15" hidden="false" customHeight="true" outlineLevel="0" collapsed="false">
      <c r="A5" s="1" t="n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  <c r="G5" s="1" t="s">
        <v>29</v>
      </c>
    </row>
    <row r="6" customFormat="false" ht="15" hidden="false" customHeight="true" outlineLevel="0" collapsed="false">
      <c r="A6" s="1" t="n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17</v>
      </c>
      <c r="G6" s="1" t="s">
        <v>34</v>
      </c>
    </row>
    <row r="7" customFormat="false" ht="15" hidden="false" customHeight="true" outlineLevel="0" collapsed="false">
      <c r="A7" s="1" t="n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23</v>
      </c>
      <c r="G7" s="1" t="s">
        <v>39</v>
      </c>
    </row>
    <row r="8" customFormat="false" ht="15" hidden="false" customHeight="true" outlineLevel="0" collapsed="false">
      <c r="A8" s="1" t="n">
        <v>7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17</v>
      </c>
      <c r="G8" s="1" t="s">
        <v>44</v>
      </c>
    </row>
    <row r="9" customFormat="false" ht="15" hidden="false" customHeight="true" outlineLevel="0" collapsed="false">
      <c r="A9" s="1" t="n">
        <v>8</v>
      </c>
      <c r="B9" s="1" t="s">
        <v>45</v>
      </c>
      <c r="C9" s="1" t="s">
        <v>46</v>
      </c>
      <c r="D9" s="1" t="s">
        <v>37</v>
      </c>
      <c r="E9" s="1" t="s">
        <v>38</v>
      </c>
      <c r="F9" s="1" t="s">
        <v>11</v>
      </c>
      <c r="G9" s="1" t="s">
        <v>47</v>
      </c>
    </row>
    <row r="10" customFormat="false" ht="15" hidden="false" customHeight="true" outlineLevel="0" collapsed="false">
      <c r="A10" s="1" t="n">
        <v>9</v>
      </c>
      <c r="B10" s="1" t="s">
        <v>48</v>
      </c>
      <c r="C10" s="1" t="s">
        <v>49</v>
      </c>
      <c r="D10" s="1" t="s">
        <v>50</v>
      </c>
      <c r="E10" s="1" t="s">
        <v>38</v>
      </c>
      <c r="F10" s="1" t="s">
        <v>17</v>
      </c>
      <c r="G10" s="1" t="s">
        <v>51</v>
      </c>
    </row>
    <row r="11" customFormat="false" ht="15" hidden="false" customHeight="true" outlineLevel="0" collapsed="false">
      <c r="A11" s="1" t="n">
        <v>10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17</v>
      </c>
      <c r="G11" s="1" t="s">
        <v>56</v>
      </c>
    </row>
    <row r="12" customFormat="false" ht="15" hidden="false" customHeight="true" outlineLevel="0" collapsed="false">
      <c r="A12" s="1" t="n">
        <v>11</v>
      </c>
      <c r="B12" s="1" t="s">
        <v>57</v>
      </c>
      <c r="C12" s="1" t="s">
        <v>58</v>
      </c>
      <c r="D12" s="1" t="s">
        <v>42</v>
      </c>
      <c r="E12" s="1" t="s">
        <v>43</v>
      </c>
      <c r="F12" s="1" t="s">
        <v>11</v>
      </c>
      <c r="G12" s="1" t="s">
        <v>59</v>
      </c>
    </row>
    <row r="13" customFormat="false" ht="15" hidden="false" customHeight="true" outlineLevel="0" collapsed="false">
      <c r="A13" s="1" t="n">
        <v>12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17</v>
      </c>
      <c r="G13" s="1" t="s">
        <v>64</v>
      </c>
    </row>
    <row r="14" customFormat="false" ht="15" hidden="false" customHeight="true" outlineLevel="0" collapsed="false">
      <c r="A14" s="1" t="n">
        <v>13</v>
      </c>
      <c r="B14" s="1" t="s">
        <v>65</v>
      </c>
      <c r="C14" s="1" t="s">
        <v>66</v>
      </c>
      <c r="D14" s="1" t="s">
        <v>67</v>
      </c>
      <c r="E14" s="1" t="s">
        <v>10</v>
      </c>
      <c r="F14" s="1" t="s">
        <v>23</v>
      </c>
      <c r="G14" s="1" t="s">
        <v>68</v>
      </c>
    </row>
    <row r="15" customFormat="false" ht="15" hidden="false" customHeight="true" outlineLevel="0" collapsed="false">
      <c r="A15" s="1" t="n">
        <v>14</v>
      </c>
      <c r="B15" s="1" t="s">
        <v>69</v>
      </c>
      <c r="C15" s="1" t="s">
        <v>70</v>
      </c>
      <c r="D15" s="1" t="s">
        <v>9</v>
      </c>
      <c r="E15" s="1" t="s">
        <v>10</v>
      </c>
      <c r="F15" s="1" t="s">
        <v>17</v>
      </c>
      <c r="G15" s="1" t="s">
        <v>71</v>
      </c>
    </row>
    <row r="16" customFormat="false" ht="15" hidden="false" customHeight="true" outlineLevel="0" collapsed="false">
      <c r="A16" s="1" t="n">
        <v>15</v>
      </c>
      <c r="B16" s="1" t="s">
        <v>72</v>
      </c>
      <c r="D16" s="1" t="s">
        <v>42</v>
      </c>
      <c r="E16" s="1" t="s">
        <v>43</v>
      </c>
      <c r="F16" s="1" t="s">
        <v>23</v>
      </c>
      <c r="G16" s="1" t="s">
        <v>73</v>
      </c>
    </row>
    <row r="17" customFormat="false" ht="15" hidden="false" customHeight="true" outlineLevel="0" collapsed="false">
      <c r="A17" s="1" t="n">
        <v>16</v>
      </c>
      <c r="B17" s="1" t="s">
        <v>74</v>
      </c>
      <c r="C17" s="1" t="s">
        <v>75</v>
      </c>
      <c r="D17" s="1" t="s">
        <v>42</v>
      </c>
      <c r="E17" s="1" t="s">
        <v>43</v>
      </c>
      <c r="F17" s="1" t="s">
        <v>17</v>
      </c>
      <c r="G17" s="1" t="s">
        <v>76</v>
      </c>
    </row>
    <row r="18" customFormat="false" ht="15" hidden="false" customHeight="true" outlineLevel="0" collapsed="false">
      <c r="A18" s="1" t="n">
        <v>17</v>
      </c>
      <c r="B18" s="1" t="s">
        <v>77</v>
      </c>
      <c r="C18" s="1" t="s">
        <v>78</v>
      </c>
      <c r="D18" s="1" t="s">
        <v>79</v>
      </c>
      <c r="E18" s="1" t="s">
        <v>80</v>
      </c>
      <c r="F18" s="1" t="s">
        <v>17</v>
      </c>
      <c r="G18" s="1" t="s">
        <v>81</v>
      </c>
    </row>
    <row r="19" customFormat="false" ht="15" hidden="false" customHeight="true" outlineLevel="0" collapsed="false">
      <c r="A19" s="1" t="n">
        <v>18</v>
      </c>
      <c r="B19" s="1" t="s">
        <v>82</v>
      </c>
      <c r="C19" s="1" t="s">
        <v>83</v>
      </c>
      <c r="D19" s="1" t="s">
        <v>79</v>
      </c>
      <c r="E19" s="1" t="s">
        <v>80</v>
      </c>
      <c r="F19" s="1" t="s">
        <v>23</v>
      </c>
      <c r="G19" s="1" t="s">
        <v>84</v>
      </c>
    </row>
    <row r="20" customFormat="false" ht="15" hidden="false" customHeight="true" outlineLevel="0" collapsed="false">
      <c r="A20" s="1" t="n">
        <v>19</v>
      </c>
      <c r="B20" s="1" t="s">
        <v>85</v>
      </c>
      <c r="C20" s="1" t="s">
        <v>86</v>
      </c>
      <c r="D20" s="1" t="s">
        <v>37</v>
      </c>
      <c r="E20" s="1" t="s">
        <v>38</v>
      </c>
      <c r="F20" s="1" t="s">
        <v>11</v>
      </c>
      <c r="G20" s="1" t="s">
        <v>87</v>
      </c>
    </row>
    <row r="21" customFormat="false" ht="15" hidden="false" customHeight="true" outlineLevel="0" collapsed="false">
      <c r="A21" s="1" t="n">
        <v>20</v>
      </c>
      <c r="B21" s="1" t="s">
        <v>48</v>
      </c>
      <c r="C21" s="1" t="s">
        <v>88</v>
      </c>
      <c r="D21" s="1" t="s">
        <v>15</v>
      </c>
      <c r="E21" s="1" t="s">
        <v>16</v>
      </c>
      <c r="F21" s="1" t="s">
        <v>11</v>
      </c>
      <c r="G21" s="1" t="s">
        <v>89</v>
      </c>
    </row>
    <row r="22" customFormat="false" ht="15" hidden="false" customHeight="true" outlineLevel="0" collapsed="false">
      <c r="A22" s="1" t="n">
        <v>21</v>
      </c>
      <c r="B22" s="1" t="s">
        <v>90</v>
      </c>
      <c r="C22" s="1" t="s">
        <v>91</v>
      </c>
      <c r="D22" s="1" t="s">
        <v>92</v>
      </c>
      <c r="E22" s="1" t="s">
        <v>93</v>
      </c>
      <c r="F22" s="1" t="s">
        <v>23</v>
      </c>
      <c r="G22" s="1" t="s">
        <v>94</v>
      </c>
    </row>
    <row r="23" customFormat="false" ht="15" hidden="false" customHeight="true" outlineLevel="0" collapsed="false">
      <c r="A23" s="1" t="n">
        <v>22</v>
      </c>
      <c r="B23" s="1" t="s">
        <v>95</v>
      </c>
      <c r="C23" s="1" t="s">
        <v>96</v>
      </c>
      <c r="D23" s="1" t="s">
        <v>50</v>
      </c>
      <c r="E23" s="1" t="s">
        <v>38</v>
      </c>
      <c r="F23" s="1" t="s">
        <v>11</v>
      </c>
      <c r="G23" s="1" t="s">
        <v>97</v>
      </c>
    </row>
    <row r="24" customFormat="false" ht="15" hidden="false" customHeight="true" outlineLevel="0" collapsed="false">
      <c r="A24" s="1" t="n">
        <v>23</v>
      </c>
      <c r="B24" s="1" t="s">
        <v>98</v>
      </c>
      <c r="C24" s="1" t="s">
        <v>99</v>
      </c>
      <c r="D24" s="1" t="s">
        <v>54</v>
      </c>
      <c r="E24" s="1" t="s">
        <v>55</v>
      </c>
      <c r="F24" s="1" t="s">
        <v>23</v>
      </c>
      <c r="G24" s="1" t="s">
        <v>100</v>
      </c>
    </row>
    <row r="25" customFormat="false" ht="15" hidden="false" customHeight="true" outlineLevel="0" collapsed="false">
      <c r="A25" s="1" t="n">
        <v>24</v>
      </c>
      <c r="B25" s="1" t="s">
        <v>101</v>
      </c>
      <c r="C25" s="1" t="s">
        <v>102</v>
      </c>
      <c r="D25" s="1" t="s">
        <v>50</v>
      </c>
      <c r="E25" s="1" t="s">
        <v>38</v>
      </c>
      <c r="F25" s="1" t="s">
        <v>11</v>
      </c>
      <c r="G25" s="1" t="s">
        <v>103</v>
      </c>
    </row>
    <row r="26" customFormat="false" ht="15" hidden="false" customHeight="true" outlineLevel="0" collapsed="false">
      <c r="A26" s="1" t="n">
        <v>25</v>
      </c>
      <c r="B26" s="1" t="s">
        <v>104</v>
      </c>
      <c r="D26" s="1" t="s">
        <v>105</v>
      </c>
      <c r="E26" s="1" t="s">
        <v>10</v>
      </c>
      <c r="F26" s="1" t="s">
        <v>23</v>
      </c>
      <c r="G26" s="1" t="s">
        <v>106</v>
      </c>
    </row>
    <row r="27" customFormat="false" ht="15" hidden="false" customHeight="true" outlineLevel="0" collapsed="false">
      <c r="A27" s="1" t="n">
        <v>26</v>
      </c>
      <c r="B27" s="1" t="s">
        <v>107</v>
      </c>
      <c r="C27" s="1" t="s">
        <v>108</v>
      </c>
      <c r="D27" s="1" t="s">
        <v>62</v>
      </c>
      <c r="E27" s="1" t="s">
        <v>63</v>
      </c>
      <c r="F27" s="1" t="s">
        <v>11</v>
      </c>
      <c r="G27" s="1" t="s">
        <v>109</v>
      </c>
    </row>
    <row r="28" customFormat="false" ht="15" hidden="false" customHeight="true" outlineLevel="0" collapsed="false">
      <c r="A28" s="1" t="n">
        <v>27</v>
      </c>
      <c r="B28" s="1" t="s">
        <v>110</v>
      </c>
      <c r="C28" s="1" t="s">
        <v>111</v>
      </c>
      <c r="D28" s="1" t="s">
        <v>21</v>
      </c>
      <c r="E28" s="1" t="s">
        <v>22</v>
      </c>
      <c r="F28" s="1" t="s">
        <v>17</v>
      </c>
      <c r="G28" s="1" t="s">
        <v>112</v>
      </c>
    </row>
    <row r="29" customFormat="false" ht="15" hidden="false" customHeight="true" outlineLevel="0" collapsed="false">
      <c r="A29" s="1" t="n">
        <v>28</v>
      </c>
      <c r="B29" s="1" t="s">
        <v>113</v>
      </c>
      <c r="C29" s="1" t="s">
        <v>114</v>
      </c>
      <c r="D29" s="1" t="s">
        <v>115</v>
      </c>
      <c r="E29" s="1" t="s">
        <v>116</v>
      </c>
      <c r="F29" s="1" t="s">
        <v>17</v>
      </c>
      <c r="G29" s="1" t="s">
        <v>117</v>
      </c>
    </row>
    <row r="30" customFormat="false" ht="15" hidden="false" customHeight="true" outlineLevel="0" collapsed="false">
      <c r="A30" s="1" t="n">
        <v>29</v>
      </c>
      <c r="B30" s="1" t="s">
        <v>118</v>
      </c>
      <c r="C30" s="1" t="s">
        <v>119</v>
      </c>
      <c r="D30" s="1" t="s">
        <v>15</v>
      </c>
      <c r="E30" s="1" t="s">
        <v>16</v>
      </c>
      <c r="F30" s="1" t="s">
        <v>17</v>
      </c>
      <c r="G30" s="1" t="s">
        <v>120</v>
      </c>
    </row>
    <row r="31" customFormat="false" ht="15" hidden="false" customHeight="true" outlineLevel="0" collapsed="false">
      <c r="A31" s="1" t="n">
        <v>30</v>
      </c>
      <c r="B31" s="1" t="s">
        <v>121</v>
      </c>
      <c r="C31" s="1" t="s">
        <v>122</v>
      </c>
      <c r="D31" s="1" t="s">
        <v>32</v>
      </c>
      <c r="E31" s="1" t="s">
        <v>33</v>
      </c>
      <c r="F31" s="1" t="s">
        <v>123</v>
      </c>
      <c r="G31" s="1" t="s">
        <v>124</v>
      </c>
    </row>
    <row r="32" customFormat="false" ht="15" hidden="false" customHeight="true" outlineLevel="0" collapsed="false">
      <c r="A32" s="1" t="n">
        <v>31</v>
      </c>
      <c r="B32" s="1" t="s">
        <v>125</v>
      </c>
      <c r="C32" s="1" t="s">
        <v>126</v>
      </c>
      <c r="D32" s="1" t="s">
        <v>67</v>
      </c>
      <c r="E32" s="1" t="s">
        <v>10</v>
      </c>
      <c r="F32" s="1" t="s">
        <v>11</v>
      </c>
      <c r="G32" s="1" t="s">
        <v>127</v>
      </c>
    </row>
    <row r="33" customFormat="false" ht="15" hidden="false" customHeight="true" outlineLevel="0" collapsed="false">
      <c r="A33" s="1" t="n">
        <v>32</v>
      </c>
      <c r="B33" s="1" t="s">
        <v>128</v>
      </c>
      <c r="C33" s="1" t="s">
        <v>129</v>
      </c>
      <c r="D33" s="1" t="s">
        <v>115</v>
      </c>
      <c r="E33" s="1" t="s">
        <v>116</v>
      </c>
      <c r="F33" s="1" t="s">
        <v>17</v>
      </c>
      <c r="G33" s="1" t="s">
        <v>130</v>
      </c>
    </row>
    <row r="34" customFormat="false" ht="15" hidden="false" customHeight="true" outlineLevel="0" collapsed="false">
      <c r="A34" s="1" t="n">
        <v>33</v>
      </c>
      <c r="B34" s="1" t="s">
        <v>131</v>
      </c>
      <c r="C34" s="1" t="s">
        <v>132</v>
      </c>
      <c r="D34" s="1" t="s">
        <v>67</v>
      </c>
      <c r="E34" s="1" t="s">
        <v>10</v>
      </c>
      <c r="F34" s="1" t="s">
        <v>23</v>
      </c>
      <c r="G34" s="1" t="s">
        <v>133</v>
      </c>
    </row>
    <row r="35" customFormat="false" ht="15" hidden="false" customHeight="true" outlineLevel="0" collapsed="false">
      <c r="A35" s="1" t="n">
        <v>34</v>
      </c>
      <c r="B35" s="1" t="s">
        <v>134</v>
      </c>
      <c r="C35" s="1" t="s">
        <v>135</v>
      </c>
      <c r="D35" s="1" t="s">
        <v>9</v>
      </c>
      <c r="E35" s="1" t="s">
        <v>10</v>
      </c>
      <c r="F35" s="1" t="s">
        <v>23</v>
      </c>
      <c r="G35" s="1" t="s">
        <v>136</v>
      </c>
    </row>
    <row r="36" customFormat="false" ht="15" hidden="false" customHeight="true" outlineLevel="0" collapsed="false">
      <c r="A36" s="1" t="n">
        <v>35</v>
      </c>
      <c r="B36" s="1" t="s">
        <v>13</v>
      </c>
      <c r="C36" s="1" t="s">
        <v>137</v>
      </c>
      <c r="D36" s="1" t="s">
        <v>27</v>
      </c>
      <c r="E36" s="1" t="s">
        <v>28</v>
      </c>
      <c r="F36" s="1" t="s">
        <v>23</v>
      </c>
      <c r="G36" s="1" t="s">
        <v>138</v>
      </c>
    </row>
    <row r="37" customFormat="false" ht="15" hidden="false" customHeight="true" outlineLevel="0" collapsed="false">
      <c r="A37" s="1" t="n">
        <v>36</v>
      </c>
      <c r="B37" s="1" t="s">
        <v>139</v>
      </c>
      <c r="C37" s="1" t="s">
        <v>140</v>
      </c>
      <c r="D37" s="1" t="s">
        <v>141</v>
      </c>
      <c r="E37" s="1" t="s">
        <v>142</v>
      </c>
      <c r="F37" s="1" t="s">
        <v>11</v>
      </c>
      <c r="G37" s="1" t="s">
        <v>143</v>
      </c>
    </row>
    <row r="38" customFormat="false" ht="15" hidden="false" customHeight="true" outlineLevel="0" collapsed="false">
      <c r="A38" s="1" t="n">
        <v>37</v>
      </c>
      <c r="B38" s="1" t="s">
        <v>144</v>
      </c>
      <c r="C38" s="1" t="s">
        <v>145</v>
      </c>
      <c r="D38" s="1" t="s">
        <v>42</v>
      </c>
      <c r="E38" s="1" t="s">
        <v>43</v>
      </c>
      <c r="F38" s="1" t="s">
        <v>23</v>
      </c>
      <c r="G38" s="1" t="s">
        <v>146</v>
      </c>
    </row>
    <row r="39" customFormat="false" ht="15" hidden="false" customHeight="true" outlineLevel="0" collapsed="false">
      <c r="A39" s="1" t="n">
        <v>38</v>
      </c>
      <c r="B39" s="1" t="s">
        <v>147</v>
      </c>
      <c r="D39" s="1" t="s">
        <v>37</v>
      </c>
      <c r="E39" s="1" t="s">
        <v>38</v>
      </c>
      <c r="F39" s="1" t="s">
        <v>17</v>
      </c>
      <c r="G39" s="1" t="s">
        <v>148</v>
      </c>
    </row>
    <row r="40" customFormat="false" ht="15" hidden="false" customHeight="true" outlineLevel="0" collapsed="false">
      <c r="A40" s="1" t="n">
        <v>39</v>
      </c>
      <c r="B40" s="1" t="s">
        <v>149</v>
      </c>
      <c r="C40" s="1" t="s">
        <v>150</v>
      </c>
      <c r="D40" s="1" t="s">
        <v>37</v>
      </c>
      <c r="E40" s="1" t="s">
        <v>38</v>
      </c>
      <c r="F40" s="1" t="s">
        <v>23</v>
      </c>
      <c r="G40" s="1" t="s">
        <v>151</v>
      </c>
    </row>
    <row r="41" customFormat="false" ht="15" hidden="false" customHeight="true" outlineLevel="0" collapsed="false">
      <c r="A41" s="1" t="n">
        <v>40</v>
      </c>
      <c r="B41" s="1" t="s">
        <v>152</v>
      </c>
      <c r="C41" s="1" t="s">
        <v>153</v>
      </c>
      <c r="D41" s="1" t="s">
        <v>154</v>
      </c>
      <c r="E41" s="1" t="s">
        <v>10</v>
      </c>
      <c r="F41" s="1" t="s">
        <v>11</v>
      </c>
      <c r="G41" s="1" t="s">
        <v>155</v>
      </c>
    </row>
    <row r="42" customFormat="false" ht="15" hidden="false" customHeight="true" outlineLevel="0" collapsed="false">
      <c r="A42" s="1" t="n">
        <v>41</v>
      </c>
      <c r="B42" s="1" t="s">
        <v>156</v>
      </c>
      <c r="D42" s="1" t="s">
        <v>157</v>
      </c>
      <c r="E42" s="1" t="s">
        <v>158</v>
      </c>
      <c r="F42" s="1" t="s">
        <v>23</v>
      </c>
      <c r="G42" s="1" t="s">
        <v>159</v>
      </c>
    </row>
    <row r="43" customFormat="false" ht="15" hidden="false" customHeight="true" outlineLevel="0" collapsed="false">
      <c r="A43" s="1" t="n">
        <v>42</v>
      </c>
      <c r="B43" s="1" t="s">
        <v>160</v>
      </c>
      <c r="C43" s="1" t="s">
        <v>161</v>
      </c>
      <c r="D43" s="1" t="s">
        <v>67</v>
      </c>
      <c r="E43" s="1" t="s">
        <v>10</v>
      </c>
      <c r="F43" s="1" t="s">
        <v>17</v>
      </c>
      <c r="G43" s="1" t="s">
        <v>64</v>
      </c>
    </row>
    <row r="44" customFormat="false" ht="15" hidden="false" customHeight="true" outlineLevel="0" collapsed="false">
      <c r="A44" s="1" t="n">
        <v>43</v>
      </c>
      <c r="B44" s="1" t="s">
        <v>162</v>
      </c>
      <c r="C44" s="1" t="s">
        <v>163</v>
      </c>
      <c r="D44" s="1" t="s">
        <v>9</v>
      </c>
      <c r="E44" s="1" t="s">
        <v>10</v>
      </c>
      <c r="F44" s="1" t="s">
        <v>17</v>
      </c>
      <c r="G44" s="1" t="s">
        <v>164</v>
      </c>
    </row>
    <row r="45" customFormat="false" ht="15" hidden="false" customHeight="true" outlineLevel="0" collapsed="false">
      <c r="A45" s="1" t="n">
        <v>44</v>
      </c>
      <c r="B45" s="1" t="s">
        <v>165</v>
      </c>
      <c r="C45" s="1" t="s">
        <v>166</v>
      </c>
      <c r="D45" s="1" t="s">
        <v>62</v>
      </c>
      <c r="E45" s="1" t="s">
        <v>63</v>
      </c>
      <c r="F45" s="1" t="s">
        <v>11</v>
      </c>
      <c r="G45" s="1" t="s">
        <v>167</v>
      </c>
    </row>
    <row r="46" customFormat="false" ht="15" hidden="false" customHeight="true" outlineLevel="0" collapsed="false">
      <c r="A46" s="1" t="n">
        <v>45</v>
      </c>
      <c r="B46" s="1" t="s">
        <v>168</v>
      </c>
      <c r="C46" s="1" t="s">
        <v>169</v>
      </c>
      <c r="D46" s="1" t="s">
        <v>154</v>
      </c>
      <c r="E46" s="1" t="s">
        <v>10</v>
      </c>
      <c r="F46" s="1" t="s">
        <v>23</v>
      </c>
      <c r="G46" s="1" t="s">
        <v>170</v>
      </c>
    </row>
    <row r="47" customFormat="false" ht="15" hidden="false" customHeight="true" outlineLevel="0" collapsed="false">
      <c r="A47" s="1" t="n">
        <v>46</v>
      </c>
      <c r="B47" s="1" t="s">
        <v>171</v>
      </c>
      <c r="C47" s="1" t="s">
        <v>172</v>
      </c>
      <c r="D47" s="1" t="s">
        <v>115</v>
      </c>
      <c r="E47" s="1" t="s">
        <v>116</v>
      </c>
      <c r="F47" s="1" t="s">
        <v>11</v>
      </c>
      <c r="G47" s="1" t="s">
        <v>173</v>
      </c>
    </row>
    <row r="48" customFormat="false" ht="15" hidden="false" customHeight="true" outlineLevel="0" collapsed="false">
      <c r="A48" s="1" t="n">
        <v>47</v>
      </c>
      <c r="B48" s="1" t="s">
        <v>174</v>
      </c>
      <c r="C48" s="1" t="s">
        <v>175</v>
      </c>
      <c r="D48" s="1" t="s">
        <v>27</v>
      </c>
      <c r="E48" s="1" t="s">
        <v>28</v>
      </c>
      <c r="F48" s="1" t="s">
        <v>17</v>
      </c>
      <c r="G48" s="1" t="s">
        <v>176</v>
      </c>
    </row>
    <row r="49" customFormat="false" ht="15" hidden="false" customHeight="true" outlineLevel="0" collapsed="false">
      <c r="A49" s="1" t="n">
        <v>48</v>
      </c>
      <c r="B49" s="1" t="s">
        <v>177</v>
      </c>
      <c r="C49" s="1" t="s">
        <v>178</v>
      </c>
      <c r="D49" s="1" t="s">
        <v>157</v>
      </c>
      <c r="E49" s="1" t="s">
        <v>158</v>
      </c>
      <c r="F49" s="1" t="s">
        <v>17</v>
      </c>
      <c r="G49" s="1" t="s">
        <v>179</v>
      </c>
    </row>
    <row r="50" customFormat="false" ht="15" hidden="false" customHeight="true" outlineLevel="0" collapsed="false">
      <c r="A50" s="1" t="n">
        <v>49</v>
      </c>
      <c r="B50" s="1" t="s">
        <v>72</v>
      </c>
      <c r="C50" s="1" t="s">
        <v>180</v>
      </c>
      <c r="D50" s="1" t="s">
        <v>181</v>
      </c>
      <c r="E50" s="1" t="s">
        <v>182</v>
      </c>
      <c r="F50" s="1" t="s">
        <v>23</v>
      </c>
      <c r="G50" s="1" t="s">
        <v>183</v>
      </c>
    </row>
    <row r="51" customFormat="false" ht="15" hidden="false" customHeight="true" outlineLevel="0" collapsed="false">
      <c r="A51" s="1" t="n">
        <v>50</v>
      </c>
      <c r="B51" s="1" t="s">
        <v>162</v>
      </c>
      <c r="C51" s="1" t="s">
        <v>184</v>
      </c>
      <c r="D51" s="1" t="s">
        <v>32</v>
      </c>
      <c r="E51" s="1" t="s">
        <v>33</v>
      </c>
      <c r="F51" s="1" t="s">
        <v>11</v>
      </c>
      <c r="G51" s="1" t="s">
        <v>185</v>
      </c>
    </row>
    <row r="52" customFormat="false" ht="15" hidden="false" customHeight="true" outlineLevel="0" collapsed="false">
      <c r="A52" s="1" t="n">
        <v>51</v>
      </c>
      <c r="B52" s="1" t="s">
        <v>186</v>
      </c>
      <c r="C52" s="1" t="s">
        <v>187</v>
      </c>
      <c r="D52" s="1" t="s">
        <v>157</v>
      </c>
      <c r="E52" s="1" t="s">
        <v>158</v>
      </c>
      <c r="F52" s="1" t="s">
        <v>23</v>
      </c>
      <c r="G52" s="1" t="s">
        <v>188</v>
      </c>
    </row>
    <row r="53" customFormat="false" ht="15" hidden="false" customHeight="true" outlineLevel="0" collapsed="false">
      <c r="A53" s="1" t="n">
        <v>52</v>
      </c>
      <c r="B53" s="1" t="s">
        <v>189</v>
      </c>
      <c r="C53" s="1" t="s">
        <v>190</v>
      </c>
      <c r="D53" s="1" t="s">
        <v>27</v>
      </c>
      <c r="E53" s="1" t="s">
        <v>28</v>
      </c>
      <c r="F53" s="1" t="s">
        <v>17</v>
      </c>
      <c r="G53" s="1" t="s">
        <v>191</v>
      </c>
    </row>
    <row r="54" customFormat="false" ht="15" hidden="false" customHeight="true" outlineLevel="0" collapsed="false">
      <c r="A54" s="1" t="n">
        <v>53</v>
      </c>
      <c r="B54" s="1" t="s">
        <v>192</v>
      </c>
      <c r="C54" s="1" t="s">
        <v>193</v>
      </c>
      <c r="D54" s="1" t="s">
        <v>92</v>
      </c>
      <c r="E54" s="1" t="s">
        <v>93</v>
      </c>
      <c r="F54" s="1" t="s">
        <v>17</v>
      </c>
      <c r="G54" s="1" t="s">
        <v>194</v>
      </c>
    </row>
    <row r="55" customFormat="false" ht="15" hidden="false" customHeight="true" outlineLevel="0" collapsed="false">
      <c r="A55" s="1" t="n">
        <v>54</v>
      </c>
      <c r="B55" s="1" t="s">
        <v>121</v>
      </c>
      <c r="C55" s="1" t="s">
        <v>195</v>
      </c>
      <c r="D55" s="1" t="s">
        <v>54</v>
      </c>
      <c r="E55" s="1" t="s">
        <v>55</v>
      </c>
      <c r="F55" s="1" t="s">
        <v>11</v>
      </c>
      <c r="G55" s="1" t="s">
        <v>196</v>
      </c>
    </row>
    <row r="56" customFormat="false" ht="15" hidden="false" customHeight="true" outlineLevel="0" collapsed="false">
      <c r="A56" s="1" t="n">
        <v>55</v>
      </c>
      <c r="B56" s="1" t="s">
        <v>197</v>
      </c>
      <c r="C56" s="1" t="s">
        <v>198</v>
      </c>
      <c r="D56" s="1" t="s">
        <v>141</v>
      </c>
      <c r="E56" s="1" t="s">
        <v>142</v>
      </c>
      <c r="F56" s="1" t="s">
        <v>11</v>
      </c>
      <c r="G56" s="1" t="s">
        <v>199</v>
      </c>
    </row>
    <row r="57" customFormat="false" ht="15" hidden="false" customHeight="true" outlineLevel="0" collapsed="false">
      <c r="A57" s="1" t="n">
        <v>56</v>
      </c>
      <c r="B57" s="1" t="s">
        <v>200</v>
      </c>
      <c r="C57" s="1" t="s">
        <v>201</v>
      </c>
      <c r="D57" s="1" t="s">
        <v>21</v>
      </c>
      <c r="E57" s="1" t="s">
        <v>22</v>
      </c>
      <c r="F57" s="1" t="s">
        <v>23</v>
      </c>
      <c r="G57" s="1" t="s">
        <v>202</v>
      </c>
    </row>
    <row r="58" customFormat="false" ht="15" hidden="false" customHeight="true" outlineLevel="0" collapsed="false">
      <c r="A58" s="1" t="n">
        <v>57</v>
      </c>
      <c r="B58" s="1" t="s">
        <v>203</v>
      </c>
      <c r="C58" s="1" t="s">
        <v>204</v>
      </c>
      <c r="D58" s="1" t="s">
        <v>62</v>
      </c>
      <c r="E58" s="1" t="s">
        <v>63</v>
      </c>
      <c r="F58" s="1" t="s">
        <v>11</v>
      </c>
      <c r="G58" s="1" t="s">
        <v>205</v>
      </c>
    </row>
    <row r="59" customFormat="false" ht="15" hidden="false" customHeight="true" outlineLevel="0" collapsed="false">
      <c r="A59" s="1" t="n">
        <v>58</v>
      </c>
      <c r="B59" s="1" t="s">
        <v>206</v>
      </c>
      <c r="C59" s="1" t="s">
        <v>207</v>
      </c>
      <c r="D59" s="1" t="s">
        <v>32</v>
      </c>
      <c r="E59" s="1" t="s">
        <v>33</v>
      </c>
      <c r="F59" s="1" t="s">
        <v>11</v>
      </c>
      <c r="G59" s="1" t="s">
        <v>208</v>
      </c>
    </row>
    <row r="60" customFormat="false" ht="15" hidden="false" customHeight="true" outlineLevel="0" collapsed="false">
      <c r="A60" s="1" t="n">
        <v>59</v>
      </c>
      <c r="B60" s="1" t="s">
        <v>209</v>
      </c>
      <c r="C60" s="1" t="s">
        <v>210</v>
      </c>
      <c r="D60" s="1" t="s">
        <v>32</v>
      </c>
      <c r="E60" s="1" t="s">
        <v>33</v>
      </c>
      <c r="F60" s="1" t="s">
        <v>23</v>
      </c>
      <c r="G60" s="1" t="s">
        <v>211</v>
      </c>
    </row>
    <row r="61" customFormat="false" ht="15" hidden="false" customHeight="true" outlineLevel="0" collapsed="false">
      <c r="A61" s="1" t="n">
        <v>60</v>
      </c>
      <c r="B61" s="1" t="s">
        <v>212</v>
      </c>
      <c r="C61" s="1" t="s">
        <v>213</v>
      </c>
      <c r="D61" s="1" t="s">
        <v>27</v>
      </c>
      <c r="E61" s="1" t="s">
        <v>28</v>
      </c>
      <c r="F61" s="1" t="s">
        <v>23</v>
      </c>
      <c r="G61" s="1" t="s">
        <v>214</v>
      </c>
    </row>
    <row r="62" customFormat="false" ht="15" hidden="false" customHeight="true" outlineLevel="0" collapsed="false">
      <c r="A62" s="1" t="n">
        <v>61</v>
      </c>
      <c r="B62" s="1" t="s">
        <v>215</v>
      </c>
      <c r="C62" s="1" t="s">
        <v>216</v>
      </c>
      <c r="D62" s="1" t="s">
        <v>181</v>
      </c>
      <c r="E62" s="1" t="s">
        <v>182</v>
      </c>
      <c r="F62" s="1" t="s">
        <v>17</v>
      </c>
      <c r="G62" s="1" t="s">
        <v>217</v>
      </c>
    </row>
    <row r="63" customFormat="false" ht="15" hidden="false" customHeight="true" outlineLevel="0" collapsed="false">
      <c r="A63" s="1" t="n">
        <v>62</v>
      </c>
      <c r="B63" s="1" t="s">
        <v>218</v>
      </c>
      <c r="C63" s="1" t="s">
        <v>219</v>
      </c>
      <c r="D63" s="1" t="s">
        <v>105</v>
      </c>
      <c r="E63" s="1" t="s">
        <v>10</v>
      </c>
      <c r="F63" s="1" t="s">
        <v>11</v>
      </c>
      <c r="G63" s="1" t="s">
        <v>220</v>
      </c>
    </row>
    <row r="64" customFormat="false" ht="15" hidden="false" customHeight="true" outlineLevel="0" collapsed="false">
      <c r="A64" s="1" t="n">
        <v>63</v>
      </c>
      <c r="B64" s="1" t="s">
        <v>221</v>
      </c>
      <c r="C64" s="1" t="s">
        <v>222</v>
      </c>
      <c r="D64" s="1" t="s">
        <v>42</v>
      </c>
      <c r="E64" s="1" t="s">
        <v>43</v>
      </c>
      <c r="F64" s="1" t="s">
        <v>11</v>
      </c>
      <c r="G64" s="1" t="s">
        <v>223</v>
      </c>
    </row>
    <row r="65" customFormat="false" ht="15" hidden="false" customHeight="true" outlineLevel="0" collapsed="false">
      <c r="A65" s="1" t="n">
        <v>64</v>
      </c>
      <c r="B65" s="1" t="s">
        <v>224</v>
      </c>
      <c r="C65" s="1" t="s">
        <v>225</v>
      </c>
      <c r="D65" s="1" t="s">
        <v>181</v>
      </c>
      <c r="E65" s="1" t="s">
        <v>182</v>
      </c>
      <c r="F65" s="1" t="s">
        <v>11</v>
      </c>
      <c r="G65" s="1" t="s">
        <v>226</v>
      </c>
    </row>
    <row r="66" customFormat="false" ht="15" hidden="false" customHeight="true" outlineLevel="0" collapsed="false">
      <c r="A66" s="1" t="n">
        <v>65</v>
      </c>
      <c r="B66" s="1" t="s">
        <v>227</v>
      </c>
      <c r="C66" s="1" t="s">
        <v>228</v>
      </c>
      <c r="D66" s="1" t="s">
        <v>154</v>
      </c>
      <c r="E66" s="1" t="s">
        <v>10</v>
      </c>
      <c r="F66" s="1" t="s">
        <v>23</v>
      </c>
      <c r="G66" s="1" t="s">
        <v>229</v>
      </c>
    </row>
    <row r="67" customFormat="false" ht="15" hidden="false" customHeight="true" outlineLevel="0" collapsed="false">
      <c r="A67" s="1" t="n">
        <v>66</v>
      </c>
      <c r="B67" s="1" t="s">
        <v>230</v>
      </c>
      <c r="C67" s="1" t="s">
        <v>231</v>
      </c>
      <c r="D67" s="1" t="s">
        <v>157</v>
      </c>
      <c r="E67" s="1" t="s">
        <v>158</v>
      </c>
      <c r="F67" s="1" t="s">
        <v>23</v>
      </c>
      <c r="G67" s="1" t="s">
        <v>232</v>
      </c>
    </row>
    <row r="68" customFormat="false" ht="15" hidden="false" customHeight="true" outlineLevel="0" collapsed="false">
      <c r="A68" s="1" t="n">
        <v>67</v>
      </c>
      <c r="B68" s="1" t="s">
        <v>233</v>
      </c>
      <c r="C68" s="1" t="s">
        <v>234</v>
      </c>
      <c r="D68" s="1" t="s">
        <v>141</v>
      </c>
      <c r="E68" s="1" t="s">
        <v>142</v>
      </c>
      <c r="F68" s="1" t="s">
        <v>17</v>
      </c>
      <c r="G68" s="1" t="s">
        <v>235</v>
      </c>
    </row>
    <row r="69" customFormat="false" ht="15" hidden="false" customHeight="true" outlineLevel="0" collapsed="false">
      <c r="A69" s="1" t="n">
        <v>68</v>
      </c>
      <c r="B69" s="1" t="s">
        <v>236</v>
      </c>
      <c r="C69" s="1" t="s">
        <v>237</v>
      </c>
      <c r="D69" s="1" t="s">
        <v>21</v>
      </c>
      <c r="E69" s="1" t="s">
        <v>22</v>
      </c>
      <c r="F69" s="1" t="s">
        <v>23</v>
      </c>
      <c r="G69" s="1" t="s">
        <v>238</v>
      </c>
    </row>
    <row r="70" customFormat="false" ht="15" hidden="false" customHeight="true" outlineLevel="0" collapsed="false">
      <c r="A70" s="1" t="n">
        <v>69</v>
      </c>
      <c r="B70" s="1" t="s">
        <v>239</v>
      </c>
      <c r="C70" s="1" t="s">
        <v>240</v>
      </c>
      <c r="D70" s="1" t="s">
        <v>32</v>
      </c>
      <c r="E70" s="1" t="s">
        <v>33</v>
      </c>
      <c r="F70" s="1" t="s">
        <v>23</v>
      </c>
      <c r="G70" s="1" t="s">
        <v>208</v>
      </c>
    </row>
    <row r="71" customFormat="false" ht="15" hidden="false" customHeight="true" outlineLevel="0" collapsed="false">
      <c r="A71" s="1" t="n">
        <v>70</v>
      </c>
      <c r="B71" s="1" t="s">
        <v>241</v>
      </c>
      <c r="C71" s="1" t="s">
        <v>242</v>
      </c>
      <c r="D71" s="1" t="s">
        <v>9</v>
      </c>
      <c r="E71" s="1" t="s">
        <v>10</v>
      </c>
      <c r="F71" s="1" t="s">
        <v>23</v>
      </c>
      <c r="G71" s="1" t="s">
        <v>243</v>
      </c>
    </row>
    <row r="72" customFormat="false" ht="15" hidden="false" customHeight="true" outlineLevel="0" collapsed="false">
      <c r="A72" s="1" t="n">
        <v>71</v>
      </c>
      <c r="B72" s="1" t="s">
        <v>244</v>
      </c>
      <c r="D72" s="1" t="s">
        <v>92</v>
      </c>
      <c r="E72" s="1" t="s">
        <v>93</v>
      </c>
      <c r="F72" s="1" t="s">
        <v>23</v>
      </c>
      <c r="G72" s="1" t="s">
        <v>245</v>
      </c>
    </row>
    <row r="73" customFormat="false" ht="15" hidden="false" customHeight="true" outlineLevel="0" collapsed="false">
      <c r="A73" s="1" t="n">
        <v>72</v>
      </c>
      <c r="B73" s="1" t="s">
        <v>246</v>
      </c>
      <c r="C73" s="1" t="s">
        <v>247</v>
      </c>
      <c r="D73" s="1" t="s">
        <v>21</v>
      </c>
      <c r="E73" s="1" t="s">
        <v>22</v>
      </c>
      <c r="F73" s="1" t="s">
        <v>23</v>
      </c>
      <c r="G73" s="1" t="s">
        <v>248</v>
      </c>
    </row>
    <row r="74" customFormat="false" ht="15" hidden="false" customHeight="true" outlineLevel="0" collapsed="false">
      <c r="A74" s="1" t="n">
        <v>73</v>
      </c>
      <c r="B74" s="1" t="s">
        <v>249</v>
      </c>
      <c r="C74" s="1" t="s">
        <v>250</v>
      </c>
      <c r="D74" s="1" t="s">
        <v>154</v>
      </c>
      <c r="E74" s="1" t="s">
        <v>10</v>
      </c>
      <c r="F74" s="1" t="s">
        <v>17</v>
      </c>
      <c r="G74" s="1" t="s">
        <v>251</v>
      </c>
    </row>
    <row r="75" customFormat="false" ht="15" hidden="false" customHeight="true" outlineLevel="0" collapsed="false">
      <c r="A75" s="1" t="n">
        <v>74</v>
      </c>
      <c r="B75" s="1" t="s">
        <v>252</v>
      </c>
      <c r="C75" s="1" t="s">
        <v>253</v>
      </c>
      <c r="D75" s="1" t="s">
        <v>92</v>
      </c>
      <c r="E75" s="1" t="s">
        <v>93</v>
      </c>
      <c r="F75" s="1" t="s">
        <v>11</v>
      </c>
      <c r="G75" s="1" t="s">
        <v>254</v>
      </c>
    </row>
    <row r="76" customFormat="false" ht="15" hidden="false" customHeight="true" outlineLevel="0" collapsed="false">
      <c r="A76" s="1" t="n">
        <v>75</v>
      </c>
      <c r="B76" s="1" t="s">
        <v>255</v>
      </c>
      <c r="C76" s="1" t="s">
        <v>256</v>
      </c>
      <c r="D76" s="1" t="s">
        <v>42</v>
      </c>
      <c r="E76" s="1" t="s">
        <v>43</v>
      </c>
      <c r="F76" s="1" t="s">
        <v>11</v>
      </c>
      <c r="G76" s="1" t="s">
        <v>257</v>
      </c>
    </row>
    <row r="77" customFormat="false" ht="15" hidden="false" customHeight="true" outlineLevel="0" collapsed="false">
      <c r="A77" s="1" t="n">
        <v>76</v>
      </c>
      <c r="B77" s="1" t="s">
        <v>258</v>
      </c>
      <c r="C77" s="1" t="s">
        <v>259</v>
      </c>
      <c r="D77" s="1" t="s">
        <v>92</v>
      </c>
      <c r="E77" s="1" t="s">
        <v>93</v>
      </c>
      <c r="F77" s="1" t="s">
        <v>11</v>
      </c>
      <c r="G77" s="1" t="s">
        <v>260</v>
      </c>
    </row>
    <row r="78" customFormat="false" ht="15" hidden="false" customHeight="true" outlineLevel="0" collapsed="false">
      <c r="A78" s="1" t="n">
        <v>77</v>
      </c>
      <c r="B78" s="1" t="s">
        <v>261</v>
      </c>
      <c r="C78" s="1" t="s">
        <v>262</v>
      </c>
      <c r="D78" s="1" t="s">
        <v>92</v>
      </c>
      <c r="E78" s="1" t="s">
        <v>93</v>
      </c>
      <c r="F78" s="1" t="s">
        <v>11</v>
      </c>
      <c r="G78" s="1" t="s">
        <v>263</v>
      </c>
    </row>
    <row r="79" customFormat="false" ht="15" hidden="false" customHeight="true" outlineLevel="0" collapsed="false">
      <c r="A79" s="1" t="n">
        <v>78</v>
      </c>
      <c r="B79" s="1" t="s">
        <v>264</v>
      </c>
      <c r="C79" s="1" t="s">
        <v>265</v>
      </c>
      <c r="D79" s="1" t="s">
        <v>15</v>
      </c>
      <c r="E79" s="1" t="s">
        <v>16</v>
      </c>
      <c r="F79" s="1" t="s">
        <v>11</v>
      </c>
      <c r="G79" s="1" t="s">
        <v>266</v>
      </c>
    </row>
    <row r="80" customFormat="false" ht="15" hidden="false" customHeight="true" outlineLevel="0" collapsed="false">
      <c r="A80" s="1" t="n">
        <v>79</v>
      </c>
      <c r="B80" s="1" t="s">
        <v>267</v>
      </c>
      <c r="C80" s="1" t="s">
        <v>268</v>
      </c>
      <c r="D80" s="1" t="s">
        <v>54</v>
      </c>
      <c r="E80" s="1" t="s">
        <v>55</v>
      </c>
      <c r="F80" s="1" t="s">
        <v>17</v>
      </c>
      <c r="G80" s="1" t="s">
        <v>269</v>
      </c>
    </row>
    <row r="81" customFormat="false" ht="15" hidden="false" customHeight="true" outlineLevel="0" collapsed="false">
      <c r="A81" s="1" t="n">
        <v>80</v>
      </c>
      <c r="B81" s="1" t="s">
        <v>270</v>
      </c>
      <c r="C81" s="1" t="s">
        <v>271</v>
      </c>
      <c r="D81" s="1" t="s">
        <v>105</v>
      </c>
      <c r="E81" s="1" t="s">
        <v>10</v>
      </c>
      <c r="F81" s="1" t="s">
        <v>11</v>
      </c>
      <c r="G81" s="1" t="s">
        <v>272</v>
      </c>
    </row>
    <row r="82" customFormat="false" ht="15" hidden="false" customHeight="true" outlineLevel="0" collapsed="false">
      <c r="A82" s="1" t="n">
        <v>81</v>
      </c>
      <c r="B82" s="1" t="s">
        <v>95</v>
      </c>
      <c r="C82" s="1" t="s">
        <v>273</v>
      </c>
      <c r="D82" s="1" t="s">
        <v>92</v>
      </c>
      <c r="E82" s="1" t="s">
        <v>93</v>
      </c>
      <c r="F82" s="1" t="s">
        <v>11</v>
      </c>
      <c r="G82" s="1" t="s">
        <v>274</v>
      </c>
    </row>
    <row r="83" customFormat="false" ht="15" hidden="false" customHeight="true" outlineLevel="0" collapsed="false">
      <c r="A83" s="1" t="n">
        <v>82</v>
      </c>
      <c r="B83" s="1" t="s">
        <v>275</v>
      </c>
      <c r="C83" s="1" t="s">
        <v>276</v>
      </c>
      <c r="D83" s="1" t="s">
        <v>21</v>
      </c>
      <c r="E83" s="1" t="s">
        <v>22</v>
      </c>
      <c r="F83" s="1" t="s">
        <v>11</v>
      </c>
      <c r="G83" s="1" t="s">
        <v>277</v>
      </c>
    </row>
    <row r="84" customFormat="false" ht="15" hidden="false" customHeight="true" outlineLevel="0" collapsed="false">
      <c r="A84" s="1" t="n">
        <v>83</v>
      </c>
      <c r="B84" s="1" t="s">
        <v>278</v>
      </c>
      <c r="C84" s="1" t="s">
        <v>279</v>
      </c>
      <c r="D84" s="1" t="s">
        <v>50</v>
      </c>
      <c r="E84" s="1" t="s">
        <v>38</v>
      </c>
      <c r="F84" s="1" t="s">
        <v>23</v>
      </c>
      <c r="G84" s="1" t="s">
        <v>280</v>
      </c>
    </row>
    <row r="85" customFormat="false" ht="15" hidden="false" customHeight="true" outlineLevel="0" collapsed="false">
      <c r="A85" s="1" t="n">
        <v>84</v>
      </c>
      <c r="B85" s="1" t="s">
        <v>281</v>
      </c>
      <c r="C85" s="1" t="s">
        <v>282</v>
      </c>
      <c r="D85" s="1" t="s">
        <v>32</v>
      </c>
      <c r="E85" s="1" t="s">
        <v>33</v>
      </c>
      <c r="F85" s="1" t="s">
        <v>23</v>
      </c>
      <c r="G85" s="1" t="s">
        <v>283</v>
      </c>
    </row>
    <row r="86" customFormat="false" ht="15" hidden="false" customHeight="true" outlineLevel="0" collapsed="false">
      <c r="A86" s="1" t="n">
        <v>85</v>
      </c>
      <c r="B86" s="1" t="s">
        <v>284</v>
      </c>
      <c r="C86" s="1" t="s">
        <v>285</v>
      </c>
      <c r="D86" s="1" t="s">
        <v>181</v>
      </c>
      <c r="E86" s="1" t="s">
        <v>182</v>
      </c>
      <c r="F86" s="1" t="s">
        <v>11</v>
      </c>
      <c r="G86" s="1" t="s">
        <v>286</v>
      </c>
    </row>
    <row r="87" customFormat="false" ht="15" hidden="false" customHeight="true" outlineLevel="0" collapsed="false">
      <c r="A87" s="1" t="n">
        <v>86</v>
      </c>
      <c r="B87" s="1" t="s">
        <v>287</v>
      </c>
      <c r="C87" s="1" t="s">
        <v>288</v>
      </c>
      <c r="D87" s="1" t="s">
        <v>50</v>
      </c>
      <c r="E87" s="1" t="s">
        <v>38</v>
      </c>
      <c r="F87" s="1" t="s">
        <v>17</v>
      </c>
      <c r="G87" s="1" t="s">
        <v>289</v>
      </c>
    </row>
    <row r="88" customFormat="false" ht="15" hidden="false" customHeight="true" outlineLevel="0" collapsed="false">
      <c r="A88" s="1" t="n">
        <v>87</v>
      </c>
      <c r="B88" s="1" t="s">
        <v>290</v>
      </c>
      <c r="C88" s="1" t="s">
        <v>291</v>
      </c>
      <c r="D88" s="1" t="s">
        <v>92</v>
      </c>
      <c r="E88" s="1" t="s">
        <v>93</v>
      </c>
      <c r="F88" s="1" t="s">
        <v>23</v>
      </c>
      <c r="G88" s="1" t="s">
        <v>292</v>
      </c>
    </row>
    <row r="89" customFormat="false" ht="15" hidden="false" customHeight="true" outlineLevel="0" collapsed="false">
      <c r="A89" s="1" t="n">
        <v>88</v>
      </c>
      <c r="B89" s="1" t="s">
        <v>293</v>
      </c>
      <c r="C89" s="1" t="s">
        <v>294</v>
      </c>
      <c r="D89" s="1" t="s">
        <v>32</v>
      </c>
      <c r="E89" s="1" t="s">
        <v>33</v>
      </c>
      <c r="F89" s="1" t="s">
        <v>23</v>
      </c>
      <c r="G89" s="1" t="s">
        <v>295</v>
      </c>
    </row>
    <row r="90" customFormat="false" ht="15" hidden="false" customHeight="true" outlineLevel="0" collapsed="false">
      <c r="A90" s="1" t="n">
        <v>89</v>
      </c>
      <c r="B90" s="1" t="s">
        <v>65</v>
      </c>
      <c r="C90" s="1" t="s">
        <v>296</v>
      </c>
      <c r="D90" s="1" t="s">
        <v>79</v>
      </c>
      <c r="E90" s="1" t="s">
        <v>80</v>
      </c>
      <c r="F90" s="1" t="s">
        <v>17</v>
      </c>
      <c r="G90" s="1" t="s">
        <v>297</v>
      </c>
    </row>
    <row r="91" customFormat="false" ht="15" hidden="false" customHeight="true" outlineLevel="0" collapsed="false">
      <c r="A91" s="1" t="n">
        <v>90</v>
      </c>
      <c r="B91" s="1" t="s">
        <v>298</v>
      </c>
      <c r="C91" s="1" t="s">
        <v>299</v>
      </c>
      <c r="D91" s="1" t="s">
        <v>9</v>
      </c>
      <c r="E91" s="1" t="s">
        <v>10</v>
      </c>
      <c r="F91" s="1" t="s">
        <v>11</v>
      </c>
      <c r="G91" s="1" t="s">
        <v>300</v>
      </c>
    </row>
    <row r="92" customFormat="false" ht="15" hidden="false" customHeight="true" outlineLevel="0" collapsed="false">
      <c r="A92" s="1" t="n">
        <v>91</v>
      </c>
      <c r="B92" s="1" t="s">
        <v>301</v>
      </c>
      <c r="C92" s="1" t="s">
        <v>302</v>
      </c>
      <c r="D92" s="1" t="s">
        <v>37</v>
      </c>
      <c r="E92" s="1" t="s">
        <v>38</v>
      </c>
      <c r="F92" s="1" t="s">
        <v>11</v>
      </c>
      <c r="G92" s="1" t="s">
        <v>303</v>
      </c>
    </row>
    <row r="93" customFormat="false" ht="15" hidden="false" customHeight="true" outlineLevel="0" collapsed="false">
      <c r="A93" s="1" t="n">
        <v>92</v>
      </c>
      <c r="B93" s="1" t="s">
        <v>304</v>
      </c>
      <c r="C93" s="1" t="s">
        <v>305</v>
      </c>
      <c r="D93" s="1" t="s">
        <v>141</v>
      </c>
      <c r="E93" s="1" t="s">
        <v>142</v>
      </c>
      <c r="F93" s="1" t="s">
        <v>23</v>
      </c>
      <c r="G93" s="1" t="s">
        <v>306</v>
      </c>
    </row>
    <row r="94" customFormat="false" ht="15" hidden="false" customHeight="true" outlineLevel="0" collapsed="false">
      <c r="A94" s="1" t="n">
        <v>93</v>
      </c>
      <c r="B94" s="1" t="s">
        <v>307</v>
      </c>
      <c r="C94" s="1" t="s">
        <v>308</v>
      </c>
      <c r="D94" s="1" t="s">
        <v>79</v>
      </c>
      <c r="E94" s="1" t="s">
        <v>80</v>
      </c>
      <c r="F94" s="1" t="s">
        <v>11</v>
      </c>
      <c r="G94" s="1" t="s">
        <v>309</v>
      </c>
    </row>
    <row r="95" customFormat="false" ht="15" hidden="false" customHeight="true" outlineLevel="0" collapsed="false">
      <c r="A95" s="1" t="n">
        <v>94</v>
      </c>
      <c r="B95" s="1" t="s">
        <v>310</v>
      </c>
      <c r="C95" s="1" t="s">
        <v>311</v>
      </c>
      <c r="D95" s="1" t="s">
        <v>157</v>
      </c>
      <c r="E95" s="1" t="s">
        <v>158</v>
      </c>
      <c r="F95" s="1" t="s">
        <v>17</v>
      </c>
      <c r="G95" s="1" t="s">
        <v>151</v>
      </c>
    </row>
    <row r="96" customFormat="false" ht="15" hidden="false" customHeight="true" outlineLevel="0" collapsed="false">
      <c r="A96" s="1" t="n">
        <v>95</v>
      </c>
      <c r="B96" s="1" t="s">
        <v>312</v>
      </c>
      <c r="C96" s="1" t="s">
        <v>313</v>
      </c>
      <c r="D96" s="1" t="s">
        <v>79</v>
      </c>
      <c r="E96" s="1" t="s">
        <v>80</v>
      </c>
      <c r="F96" s="1" t="s">
        <v>23</v>
      </c>
      <c r="G96" s="1" t="s">
        <v>314</v>
      </c>
    </row>
    <row r="97" customFormat="false" ht="15" hidden="false" customHeight="true" outlineLevel="0" collapsed="false">
      <c r="A97" s="1" t="n">
        <v>96</v>
      </c>
      <c r="B97" s="1" t="s">
        <v>315</v>
      </c>
      <c r="C97" s="1" t="s">
        <v>316</v>
      </c>
      <c r="D97" s="1" t="s">
        <v>32</v>
      </c>
      <c r="E97" s="1" t="s">
        <v>33</v>
      </c>
      <c r="F97" s="1" t="s">
        <v>23</v>
      </c>
      <c r="G97" s="1" t="s">
        <v>317</v>
      </c>
    </row>
    <row r="98" customFormat="false" ht="15" hidden="false" customHeight="true" outlineLevel="0" collapsed="false">
      <c r="A98" s="1" t="n">
        <v>97</v>
      </c>
      <c r="B98" s="1" t="s">
        <v>318</v>
      </c>
      <c r="C98" s="1" t="s">
        <v>319</v>
      </c>
      <c r="D98" s="1" t="s">
        <v>50</v>
      </c>
      <c r="E98" s="1" t="s">
        <v>38</v>
      </c>
      <c r="F98" s="1" t="s">
        <v>23</v>
      </c>
      <c r="G98" s="1" t="s">
        <v>320</v>
      </c>
    </row>
    <row r="99" customFormat="false" ht="15" hidden="false" customHeight="true" outlineLevel="0" collapsed="false">
      <c r="A99" s="1" t="n">
        <v>98</v>
      </c>
      <c r="B99" s="1" t="s">
        <v>69</v>
      </c>
      <c r="C99" s="1" t="s">
        <v>321</v>
      </c>
      <c r="D99" s="1" t="s">
        <v>141</v>
      </c>
      <c r="E99" s="1" t="s">
        <v>142</v>
      </c>
      <c r="F99" s="1" t="s">
        <v>23</v>
      </c>
      <c r="G99" s="1" t="s">
        <v>322</v>
      </c>
    </row>
    <row r="100" customFormat="false" ht="15" hidden="false" customHeight="true" outlineLevel="0" collapsed="false">
      <c r="A100" s="1" t="n">
        <v>99</v>
      </c>
      <c r="B100" s="1" t="s">
        <v>323</v>
      </c>
      <c r="C100" s="1" t="s">
        <v>324</v>
      </c>
      <c r="D100" s="1" t="s">
        <v>15</v>
      </c>
      <c r="E100" s="1" t="s">
        <v>16</v>
      </c>
      <c r="F100" s="1" t="s">
        <v>17</v>
      </c>
      <c r="G100" s="1" t="s">
        <v>325</v>
      </c>
    </row>
    <row r="101" customFormat="false" ht="15" hidden="false" customHeight="true" outlineLevel="0" collapsed="false">
      <c r="A101" s="1" t="n">
        <v>100</v>
      </c>
      <c r="B101" s="1" t="s">
        <v>326</v>
      </c>
      <c r="C101" s="1" t="s">
        <v>327</v>
      </c>
      <c r="D101" s="1" t="s">
        <v>79</v>
      </c>
      <c r="E101" s="1" t="s">
        <v>80</v>
      </c>
      <c r="F101" s="1" t="s">
        <v>11</v>
      </c>
      <c r="G101" s="1" t="s">
        <v>328</v>
      </c>
    </row>
    <row r="102" customFormat="false" ht="15" hidden="false" customHeight="true" outlineLevel="0" collapsed="false">
      <c r="A102" s="1" t="n">
        <v>101</v>
      </c>
      <c r="B102" s="1" t="s">
        <v>329</v>
      </c>
      <c r="D102" s="1" t="s">
        <v>67</v>
      </c>
      <c r="E102" s="1" t="s">
        <v>10</v>
      </c>
      <c r="F102" s="1" t="s">
        <v>23</v>
      </c>
      <c r="G102" s="1" t="s">
        <v>330</v>
      </c>
    </row>
    <row r="103" customFormat="false" ht="15" hidden="false" customHeight="true" outlineLevel="0" collapsed="false">
      <c r="A103" s="1" t="n">
        <v>102</v>
      </c>
      <c r="B103" s="1" t="s">
        <v>331</v>
      </c>
      <c r="C103" s="1" t="s">
        <v>332</v>
      </c>
      <c r="D103" s="1" t="s">
        <v>42</v>
      </c>
      <c r="E103" s="1" t="s">
        <v>43</v>
      </c>
      <c r="F103" s="1" t="s">
        <v>11</v>
      </c>
      <c r="G103" s="1" t="s">
        <v>333</v>
      </c>
    </row>
    <row r="104" customFormat="false" ht="15" hidden="false" customHeight="true" outlineLevel="0" collapsed="false">
      <c r="A104" s="1" t="n">
        <v>103</v>
      </c>
      <c r="B104" s="1" t="s">
        <v>334</v>
      </c>
      <c r="C104" s="1" t="s">
        <v>335</v>
      </c>
      <c r="D104" s="1" t="s">
        <v>32</v>
      </c>
      <c r="E104" s="1" t="s">
        <v>33</v>
      </c>
      <c r="F104" s="1" t="s">
        <v>17</v>
      </c>
      <c r="G104" s="1" t="s">
        <v>336</v>
      </c>
    </row>
    <row r="105" customFormat="false" ht="15" hidden="false" customHeight="true" outlineLevel="0" collapsed="false">
      <c r="A105" s="1" t="n">
        <v>104</v>
      </c>
      <c r="B105" s="1" t="s">
        <v>337</v>
      </c>
      <c r="C105" s="1" t="s">
        <v>338</v>
      </c>
      <c r="D105" s="1" t="s">
        <v>181</v>
      </c>
      <c r="E105" s="1" t="s">
        <v>182</v>
      </c>
      <c r="F105" s="1" t="s">
        <v>23</v>
      </c>
      <c r="G105" s="1" t="s">
        <v>176</v>
      </c>
    </row>
    <row r="106" customFormat="false" ht="15" hidden="false" customHeight="true" outlineLevel="0" collapsed="false">
      <c r="A106" s="1" t="n">
        <v>105</v>
      </c>
      <c r="B106" s="1" t="s">
        <v>339</v>
      </c>
      <c r="C106" s="1" t="s">
        <v>340</v>
      </c>
      <c r="D106" s="1" t="s">
        <v>62</v>
      </c>
      <c r="E106" s="1" t="s">
        <v>63</v>
      </c>
      <c r="F106" s="1" t="s">
        <v>23</v>
      </c>
      <c r="G106" s="1" t="s">
        <v>84</v>
      </c>
    </row>
    <row r="107" customFormat="false" ht="15" hidden="false" customHeight="true" outlineLevel="0" collapsed="false">
      <c r="A107" s="1" t="n">
        <v>106</v>
      </c>
      <c r="B107" s="1" t="s">
        <v>341</v>
      </c>
      <c r="D107" s="1" t="s">
        <v>42</v>
      </c>
      <c r="E107" s="1" t="s">
        <v>43</v>
      </c>
      <c r="F107" s="1" t="s">
        <v>17</v>
      </c>
      <c r="G107" s="1" t="s">
        <v>342</v>
      </c>
    </row>
    <row r="108" customFormat="false" ht="15" hidden="false" customHeight="true" outlineLevel="0" collapsed="false">
      <c r="A108" s="1" t="n">
        <v>107</v>
      </c>
      <c r="B108" s="1" t="s">
        <v>343</v>
      </c>
      <c r="C108" s="1" t="s">
        <v>344</v>
      </c>
      <c r="D108" s="1" t="s">
        <v>50</v>
      </c>
      <c r="E108" s="1" t="s">
        <v>38</v>
      </c>
      <c r="F108" s="1" t="s">
        <v>11</v>
      </c>
      <c r="G108" s="1" t="s">
        <v>345</v>
      </c>
    </row>
    <row r="109" customFormat="false" ht="15" hidden="false" customHeight="true" outlineLevel="0" collapsed="false">
      <c r="A109" s="1" t="n">
        <v>108</v>
      </c>
      <c r="B109" s="1" t="s">
        <v>346</v>
      </c>
      <c r="C109" s="1" t="s">
        <v>347</v>
      </c>
      <c r="D109" s="1" t="s">
        <v>105</v>
      </c>
      <c r="E109" s="1" t="s">
        <v>10</v>
      </c>
      <c r="F109" s="1" t="s">
        <v>11</v>
      </c>
      <c r="G109" s="1" t="s">
        <v>348</v>
      </c>
    </row>
    <row r="110" customFormat="false" ht="15" hidden="false" customHeight="true" outlineLevel="0" collapsed="false">
      <c r="A110" s="1" t="n">
        <v>109</v>
      </c>
      <c r="B110" s="1" t="s">
        <v>349</v>
      </c>
      <c r="C110" s="1" t="s">
        <v>350</v>
      </c>
      <c r="D110" s="1" t="s">
        <v>54</v>
      </c>
      <c r="E110" s="1" t="s">
        <v>55</v>
      </c>
      <c r="F110" s="1" t="s">
        <v>17</v>
      </c>
      <c r="G110" s="1" t="s">
        <v>351</v>
      </c>
    </row>
    <row r="111" customFormat="false" ht="15" hidden="false" customHeight="true" outlineLevel="0" collapsed="false">
      <c r="A111" s="1" t="n">
        <v>110</v>
      </c>
      <c r="B111" s="1" t="s">
        <v>72</v>
      </c>
      <c r="C111" s="1" t="s">
        <v>352</v>
      </c>
      <c r="D111" s="1" t="s">
        <v>79</v>
      </c>
      <c r="E111" s="1" t="s">
        <v>80</v>
      </c>
      <c r="F111" s="1" t="s">
        <v>23</v>
      </c>
      <c r="G111" s="1" t="s">
        <v>353</v>
      </c>
    </row>
    <row r="112" customFormat="false" ht="15" hidden="false" customHeight="true" outlineLevel="0" collapsed="false">
      <c r="A112" s="1" t="n">
        <v>111</v>
      </c>
      <c r="B112" s="1" t="s">
        <v>354</v>
      </c>
      <c r="C112" s="1" t="s">
        <v>355</v>
      </c>
      <c r="D112" s="1" t="s">
        <v>27</v>
      </c>
      <c r="E112" s="1" t="s">
        <v>28</v>
      </c>
      <c r="F112" s="1" t="s">
        <v>17</v>
      </c>
      <c r="G112" s="1" t="s">
        <v>356</v>
      </c>
    </row>
    <row r="113" customFormat="false" ht="15" hidden="false" customHeight="true" outlineLevel="0" collapsed="false">
      <c r="A113" s="1" t="n">
        <v>112</v>
      </c>
      <c r="B113" s="1" t="s">
        <v>357</v>
      </c>
      <c r="C113" s="1" t="s">
        <v>358</v>
      </c>
      <c r="D113" s="1" t="s">
        <v>79</v>
      </c>
      <c r="E113" s="1" t="s">
        <v>80</v>
      </c>
      <c r="F113" s="1" t="s">
        <v>23</v>
      </c>
      <c r="G113" s="1" t="s">
        <v>353</v>
      </c>
    </row>
    <row r="114" customFormat="false" ht="15" hidden="false" customHeight="true" outlineLevel="0" collapsed="false">
      <c r="A114" s="1" t="n">
        <v>113</v>
      </c>
      <c r="B114" s="1" t="s">
        <v>359</v>
      </c>
      <c r="D114" s="1" t="s">
        <v>32</v>
      </c>
      <c r="E114" s="1" t="s">
        <v>33</v>
      </c>
      <c r="F114" s="1" t="s">
        <v>17</v>
      </c>
      <c r="G114" s="1" t="s">
        <v>360</v>
      </c>
    </row>
    <row r="115" customFormat="false" ht="15" hidden="false" customHeight="true" outlineLevel="0" collapsed="false">
      <c r="A115" s="1" t="n">
        <v>114</v>
      </c>
      <c r="B115" s="1" t="s">
        <v>361</v>
      </c>
      <c r="C115" s="1" t="s">
        <v>362</v>
      </c>
      <c r="D115" s="1" t="s">
        <v>15</v>
      </c>
      <c r="E115" s="1" t="s">
        <v>16</v>
      </c>
      <c r="F115" s="1" t="s">
        <v>11</v>
      </c>
      <c r="G115" s="1" t="s">
        <v>363</v>
      </c>
    </row>
    <row r="116" customFormat="false" ht="15" hidden="false" customHeight="true" outlineLevel="0" collapsed="false">
      <c r="A116" s="1" t="n">
        <v>115</v>
      </c>
      <c r="B116" s="1" t="s">
        <v>349</v>
      </c>
      <c r="C116" s="1" t="s">
        <v>364</v>
      </c>
      <c r="D116" s="1" t="s">
        <v>92</v>
      </c>
      <c r="E116" s="1" t="s">
        <v>93</v>
      </c>
      <c r="F116" s="1" t="s">
        <v>17</v>
      </c>
      <c r="G116" s="1" t="s">
        <v>365</v>
      </c>
    </row>
    <row r="117" customFormat="false" ht="15" hidden="false" customHeight="true" outlineLevel="0" collapsed="false">
      <c r="A117" s="1" t="n">
        <v>116</v>
      </c>
      <c r="B117" s="1" t="s">
        <v>366</v>
      </c>
      <c r="C117" s="1" t="s">
        <v>367</v>
      </c>
      <c r="D117" s="1" t="s">
        <v>21</v>
      </c>
      <c r="E117" s="1" t="s">
        <v>22</v>
      </c>
      <c r="F117" s="1" t="s">
        <v>23</v>
      </c>
      <c r="G117" s="1" t="s">
        <v>368</v>
      </c>
    </row>
    <row r="118" customFormat="false" ht="15" hidden="false" customHeight="true" outlineLevel="0" collapsed="false">
      <c r="A118" s="1" t="n">
        <v>117</v>
      </c>
      <c r="B118" s="1" t="s">
        <v>369</v>
      </c>
      <c r="C118" s="1" t="s">
        <v>370</v>
      </c>
      <c r="D118" s="1" t="s">
        <v>54</v>
      </c>
      <c r="E118" s="1" t="s">
        <v>55</v>
      </c>
      <c r="F118" s="1" t="s">
        <v>17</v>
      </c>
      <c r="G118" s="1" t="s">
        <v>371</v>
      </c>
    </row>
    <row r="119" customFormat="false" ht="15" hidden="false" customHeight="true" outlineLevel="0" collapsed="false">
      <c r="A119" s="1" t="n">
        <v>118</v>
      </c>
      <c r="B119" s="1" t="s">
        <v>372</v>
      </c>
      <c r="C119" s="1" t="s">
        <v>373</v>
      </c>
      <c r="D119" s="1" t="s">
        <v>32</v>
      </c>
      <c r="E119" s="1" t="s">
        <v>33</v>
      </c>
      <c r="F119" s="1" t="s">
        <v>17</v>
      </c>
      <c r="G119" s="1" t="s">
        <v>374</v>
      </c>
    </row>
    <row r="120" customFormat="false" ht="15" hidden="false" customHeight="true" outlineLevel="0" collapsed="false">
      <c r="A120" s="1" t="n">
        <v>119</v>
      </c>
      <c r="B120" s="1" t="s">
        <v>375</v>
      </c>
      <c r="C120" s="1" t="s">
        <v>376</v>
      </c>
      <c r="D120" s="1" t="s">
        <v>50</v>
      </c>
      <c r="E120" s="1" t="s">
        <v>38</v>
      </c>
      <c r="F120" s="1" t="s">
        <v>17</v>
      </c>
      <c r="G120" s="1" t="s">
        <v>377</v>
      </c>
    </row>
    <row r="121" customFormat="false" ht="15" hidden="false" customHeight="true" outlineLevel="0" collapsed="false">
      <c r="A121" s="1" t="n">
        <v>120</v>
      </c>
      <c r="B121" s="1" t="s">
        <v>378</v>
      </c>
      <c r="C121" s="1" t="s">
        <v>379</v>
      </c>
      <c r="D121" s="1" t="s">
        <v>37</v>
      </c>
      <c r="E121" s="1" t="s">
        <v>38</v>
      </c>
      <c r="F121" s="1" t="s">
        <v>11</v>
      </c>
      <c r="G121" s="1" t="s">
        <v>325</v>
      </c>
    </row>
    <row r="122" customFormat="false" ht="15" hidden="false" customHeight="true" outlineLevel="0" collapsed="false">
      <c r="A122" s="1" t="n">
        <v>121</v>
      </c>
      <c r="B122" s="1" t="s">
        <v>380</v>
      </c>
      <c r="D122" s="1" t="s">
        <v>115</v>
      </c>
      <c r="E122" s="1" t="s">
        <v>116</v>
      </c>
      <c r="F122" s="1" t="s">
        <v>11</v>
      </c>
      <c r="G122" s="1" t="s">
        <v>381</v>
      </c>
    </row>
    <row r="123" customFormat="false" ht="15" hidden="false" customHeight="true" outlineLevel="0" collapsed="false">
      <c r="A123" s="1" t="n">
        <v>122</v>
      </c>
      <c r="B123" s="1" t="s">
        <v>382</v>
      </c>
      <c r="C123" s="1" t="s">
        <v>383</v>
      </c>
      <c r="D123" s="1" t="s">
        <v>9</v>
      </c>
      <c r="E123" s="1" t="s">
        <v>10</v>
      </c>
      <c r="F123" s="1" t="s">
        <v>23</v>
      </c>
      <c r="G123" s="1" t="s">
        <v>384</v>
      </c>
    </row>
    <row r="124" customFormat="false" ht="15" hidden="false" customHeight="true" outlineLevel="0" collapsed="false">
      <c r="A124" s="1" t="n">
        <v>123</v>
      </c>
      <c r="B124" s="1" t="s">
        <v>385</v>
      </c>
      <c r="C124" s="1" t="s">
        <v>386</v>
      </c>
      <c r="D124" s="1" t="s">
        <v>67</v>
      </c>
      <c r="E124" s="1" t="s">
        <v>10</v>
      </c>
      <c r="F124" s="1" t="s">
        <v>17</v>
      </c>
      <c r="G124" s="1" t="s">
        <v>387</v>
      </c>
    </row>
    <row r="125" customFormat="false" ht="15" hidden="false" customHeight="true" outlineLevel="0" collapsed="false">
      <c r="A125" s="1" t="n">
        <v>124</v>
      </c>
      <c r="B125" s="1" t="s">
        <v>388</v>
      </c>
      <c r="C125" s="1" t="s">
        <v>389</v>
      </c>
      <c r="D125" s="1" t="s">
        <v>181</v>
      </c>
      <c r="E125" s="1" t="s">
        <v>182</v>
      </c>
      <c r="F125" s="1" t="s">
        <v>17</v>
      </c>
      <c r="G125" s="1" t="s">
        <v>390</v>
      </c>
    </row>
    <row r="126" customFormat="false" ht="15" hidden="false" customHeight="true" outlineLevel="0" collapsed="false">
      <c r="A126" s="1" t="n">
        <v>125</v>
      </c>
      <c r="B126" s="1" t="s">
        <v>391</v>
      </c>
      <c r="C126" s="1" t="s">
        <v>392</v>
      </c>
      <c r="D126" s="1" t="s">
        <v>15</v>
      </c>
      <c r="E126" s="1" t="s">
        <v>16</v>
      </c>
      <c r="F126" s="1" t="s">
        <v>17</v>
      </c>
      <c r="G126" s="1" t="s">
        <v>393</v>
      </c>
    </row>
    <row r="127" customFormat="false" ht="15" hidden="false" customHeight="true" outlineLevel="0" collapsed="false">
      <c r="A127" s="1" t="n">
        <v>126</v>
      </c>
      <c r="B127" s="1" t="s">
        <v>394</v>
      </c>
      <c r="C127" s="1" t="s">
        <v>395</v>
      </c>
      <c r="D127" s="1" t="s">
        <v>157</v>
      </c>
      <c r="E127" s="1" t="s">
        <v>158</v>
      </c>
      <c r="F127" s="1" t="s">
        <v>17</v>
      </c>
      <c r="G127" s="1" t="s">
        <v>396</v>
      </c>
    </row>
    <row r="128" customFormat="false" ht="15" hidden="false" customHeight="true" outlineLevel="0" collapsed="false">
      <c r="A128" s="1" t="n">
        <v>127</v>
      </c>
      <c r="B128" s="1" t="s">
        <v>397</v>
      </c>
      <c r="C128" s="1" t="s">
        <v>398</v>
      </c>
      <c r="D128" s="1" t="s">
        <v>105</v>
      </c>
      <c r="E128" s="1" t="s">
        <v>10</v>
      </c>
      <c r="F128" s="1" t="s">
        <v>23</v>
      </c>
      <c r="G128" s="1" t="s">
        <v>399</v>
      </c>
    </row>
    <row r="129" customFormat="false" ht="15" hidden="false" customHeight="true" outlineLevel="0" collapsed="false">
      <c r="A129" s="1" t="n">
        <v>128</v>
      </c>
      <c r="B129" s="1" t="s">
        <v>400</v>
      </c>
      <c r="C129" s="1" t="s">
        <v>401</v>
      </c>
      <c r="D129" s="1" t="s">
        <v>27</v>
      </c>
      <c r="E129" s="1" t="s">
        <v>28</v>
      </c>
      <c r="F129" s="1" t="s">
        <v>11</v>
      </c>
      <c r="G129" s="1" t="s">
        <v>402</v>
      </c>
    </row>
    <row r="130" customFormat="false" ht="15" hidden="false" customHeight="true" outlineLevel="0" collapsed="false">
      <c r="A130" s="1" t="n">
        <v>129</v>
      </c>
      <c r="B130" s="1" t="s">
        <v>403</v>
      </c>
      <c r="C130" s="1" t="s">
        <v>404</v>
      </c>
      <c r="D130" s="1" t="s">
        <v>67</v>
      </c>
      <c r="E130" s="1" t="s">
        <v>10</v>
      </c>
      <c r="F130" s="1" t="s">
        <v>23</v>
      </c>
      <c r="G130" s="1" t="s">
        <v>405</v>
      </c>
    </row>
    <row r="131" customFormat="false" ht="15" hidden="false" customHeight="true" outlineLevel="0" collapsed="false">
      <c r="A131" s="1" t="n">
        <v>130</v>
      </c>
      <c r="B131" s="1" t="s">
        <v>406</v>
      </c>
      <c r="C131" s="1" t="s">
        <v>407</v>
      </c>
      <c r="D131" s="1" t="s">
        <v>62</v>
      </c>
      <c r="E131" s="1" t="s">
        <v>63</v>
      </c>
      <c r="F131" s="1" t="s">
        <v>11</v>
      </c>
      <c r="G131" s="1" t="s">
        <v>408</v>
      </c>
    </row>
    <row r="132" customFormat="false" ht="15" hidden="false" customHeight="true" outlineLevel="0" collapsed="false">
      <c r="A132" s="1" t="n">
        <v>131</v>
      </c>
      <c r="B132" s="1" t="s">
        <v>409</v>
      </c>
      <c r="C132" s="1" t="s">
        <v>410</v>
      </c>
      <c r="D132" s="1" t="s">
        <v>67</v>
      </c>
      <c r="E132" s="1" t="s">
        <v>10</v>
      </c>
      <c r="F132" s="1" t="s">
        <v>23</v>
      </c>
      <c r="G132" s="1" t="s">
        <v>411</v>
      </c>
    </row>
    <row r="133" customFormat="false" ht="15" hidden="false" customHeight="true" outlineLevel="0" collapsed="false">
      <c r="A133" s="1" t="n">
        <v>132</v>
      </c>
      <c r="B133" s="1" t="s">
        <v>412</v>
      </c>
      <c r="D133" s="1" t="s">
        <v>79</v>
      </c>
      <c r="E133" s="1" t="s">
        <v>80</v>
      </c>
      <c r="F133" s="1" t="s">
        <v>23</v>
      </c>
      <c r="G133" s="1" t="s">
        <v>413</v>
      </c>
    </row>
    <row r="134" customFormat="false" ht="15" hidden="false" customHeight="true" outlineLevel="0" collapsed="false">
      <c r="A134" s="1" t="n">
        <v>133</v>
      </c>
      <c r="B134" s="1" t="s">
        <v>414</v>
      </c>
      <c r="C134" s="1" t="s">
        <v>415</v>
      </c>
      <c r="D134" s="1" t="s">
        <v>27</v>
      </c>
      <c r="E134" s="1" t="s">
        <v>28</v>
      </c>
      <c r="F134" s="1" t="s">
        <v>11</v>
      </c>
      <c r="G134" s="1" t="s">
        <v>416</v>
      </c>
    </row>
    <row r="135" customFormat="false" ht="15" hidden="false" customHeight="true" outlineLevel="0" collapsed="false">
      <c r="A135" s="1" t="n">
        <v>134</v>
      </c>
      <c r="B135" s="1" t="s">
        <v>417</v>
      </c>
      <c r="C135" s="1" t="s">
        <v>418</v>
      </c>
      <c r="D135" s="1" t="s">
        <v>157</v>
      </c>
      <c r="E135" s="1" t="s">
        <v>158</v>
      </c>
      <c r="F135" s="1" t="s">
        <v>23</v>
      </c>
      <c r="G135" s="1" t="s">
        <v>419</v>
      </c>
    </row>
    <row r="136" customFormat="false" ht="15" hidden="false" customHeight="true" outlineLevel="0" collapsed="false">
      <c r="A136" s="1" t="n">
        <v>135</v>
      </c>
      <c r="B136" s="1" t="s">
        <v>420</v>
      </c>
      <c r="C136" s="1" t="s">
        <v>421</v>
      </c>
      <c r="D136" s="1" t="s">
        <v>15</v>
      </c>
      <c r="E136" s="1" t="s">
        <v>16</v>
      </c>
      <c r="F136" s="1" t="s">
        <v>23</v>
      </c>
      <c r="G136" s="1" t="s">
        <v>384</v>
      </c>
    </row>
    <row r="137" customFormat="false" ht="15" hidden="false" customHeight="true" outlineLevel="0" collapsed="false">
      <c r="A137" s="1" t="n">
        <v>136</v>
      </c>
      <c r="B137" s="1" t="s">
        <v>422</v>
      </c>
      <c r="C137" s="1" t="s">
        <v>423</v>
      </c>
      <c r="D137" s="1" t="s">
        <v>54</v>
      </c>
      <c r="E137" s="1" t="s">
        <v>55</v>
      </c>
      <c r="F137" s="1" t="s">
        <v>23</v>
      </c>
      <c r="G137" s="1" t="s">
        <v>424</v>
      </c>
    </row>
    <row r="138" customFormat="false" ht="15" hidden="false" customHeight="true" outlineLevel="0" collapsed="false">
      <c r="A138" s="1" t="n">
        <v>137</v>
      </c>
      <c r="B138" s="1" t="s">
        <v>425</v>
      </c>
      <c r="C138" s="1" t="s">
        <v>426</v>
      </c>
      <c r="D138" s="1" t="s">
        <v>157</v>
      </c>
      <c r="E138" s="1" t="s">
        <v>158</v>
      </c>
      <c r="F138" s="1" t="s">
        <v>11</v>
      </c>
      <c r="G138" s="1" t="s">
        <v>427</v>
      </c>
    </row>
    <row r="139" customFormat="false" ht="15" hidden="false" customHeight="true" outlineLevel="0" collapsed="false">
      <c r="A139" s="1" t="n">
        <v>138</v>
      </c>
      <c r="B139" s="1" t="s">
        <v>25</v>
      </c>
      <c r="C139" s="1" t="s">
        <v>428</v>
      </c>
      <c r="D139" s="1" t="s">
        <v>141</v>
      </c>
      <c r="E139" s="1" t="s">
        <v>142</v>
      </c>
      <c r="F139" s="1" t="s">
        <v>11</v>
      </c>
      <c r="G139" s="1" t="s">
        <v>429</v>
      </c>
    </row>
    <row r="140" customFormat="false" ht="15" hidden="false" customHeight="true" outlineLevel="0" collapsed="false">
      <c r="A140" s="1" t="n">
        <v>139</v>
      </c>
      <c r="B140" s="1" t="s">
        <v>430</v>
      </c>
      <c r="C140" s="1" t="s">
        <v>431</v>
      </c>
      <c r="D140" s="1" t="s">
        <v>79</v>
      </c>
      <c r="E140" s="1" t="s">
        <v>80</v>
      </c>
      <c r="F140" s="1" t="s">
        <v>11</v>
      </c>
      <c r="G140" s="1" t="s">
        <v>432</v>
      </c>
    </row>
    <row r="141" customFormat="false" ht="15" hidden="false" customHeight="true" outlineLevel="0" collapsed="false">
      <c r="A141" s="1" t="n">
        <v>140</v>
      </c>
      <c r="B141" s="1" t="s">
        <v>433</v>
      </c>
      <c r="C141" s="1" t="s">
        <v>434</v>
      </c>
      <c r="D141" s="1" t="s">
        <v>27</v>
      </c>
      <c r="E141" s="1" t="s">
        <v>28</v>
      </c>
      <c r="F141" s="1" t="s">
        <v>123</v>
      </c>
      <c r="G141" s="1" t="s">
        <v>435</v>
      </c>
    </row>
    <row r="142" customFormat="false" ht="15" hidden="false" customHeight="true" outlineLevel="0" collapsed="false">
      <c r="A142" s="1" t="n">
        <v>141</v>
      </c>
      <c r="B142" s="1" t="s">
        <v>436</v>
      </c>
      <c r="C142" s="1" t="s">
        <v>437</v>
      </c>
      <c r="D142" s="1" t="s">
        <v>54</v>
      </c>
      <c r="E142" s="1" t="s">
        <v>55</v>
      </c>
      <c r="F142" s="1" t="s">
        <v>17</v>
      </c>
      <c r="G142" s="1" t="s">
        <v>84</v>
      </c>
    </row>
    <row r="143" customFormat="false" ht="15" hidden="false" customHeight="true" outlineLevel="0" collapsed="false">
      <c r="A143" s="1" t="n">
        <v>142</v>
      </c>
      <c r="B143" s="1" t="s">
        <v>438</v>
      </c>
      <c r="C143" s="1" t="s">
        <v>439</v>
      </c>
      <c r="D143" s="1" t="s">
        <v>154</v>
      </c>
      <c r="E143" s="1" t="s">
        <v>10</v>
      </c>
      <c r="F143" s="1" t="s">
        <v>17</v>
      </c>
      <c r="G143" s="1" t="s">
        <v>440</v>
      </c>
    </row>
    <row r="144" customFormat="false" ht="15" hidden="false" customHeight="true" outlineLevel="0" collapsed="false">
      <c r="A144" s="1" t="n">
        <v>143</v>
      </c>
      <c r="B144" s="1" t="s">
        <v>441</v>
      </c>
      <c r="C144" s="1" t="s">
        <v>442</v>
      </c>
      <c r="D144" s="1" t="s">
        <v>141</v>
      </c>
      <c r="E144" s="1" t="s">
        <v>142</v>
      </c>
      <c r="F144" s="1" t="s">
        <v>17</v>
      </c>
      <c r="G144" s="1" t="s">
        <v>443</v>
      </c>
    </row>
    <row r="145" customFormat="false" ht="15" hidden="false" customHeight="true" outlineLevel="0" collapsed="false">
      <c r="A145" s="1" t="n">
        <v>144</v>
      </c>
      <c r="B145" s="1" t="s">
        <v>444</v>
      </c>
      <c r="C145" s="1" t="s">
        <v>445</v>
      </c>
      <c r="D145" s="1" t="s">
        <v>21</v>
      </c>
      <c r="E145" s="1" t="s">
        <v>22</v>
      </c>
      <c r="F145" s="1" t="s">
        <v>17</v>
      </c>
      <c r="G145" s="1" t="s">
        <v>446</v>
      </c>
    </row>
    <row r="146" customFormat="false" ht="15" hidden="false" customHeight="true" outlineLevel="0" collapsed="false">
      <c r="A146" s="1" t="n">
        <v>145</v>
      </c>
      <c r="B146" s="1" t="s">
        <v>447</v>
      </c>
      <c r="C146" s="1" t="s">
        <v>448</v>
      </c>
      <c r="D146" s="1" t="s">
        <v>54</v>
      </c>
      <c r="E146" s="1" t="s">
        <v>55</v>
      </c>
      <c r="F146" s="1" t="s">
        <v>23</v>
      </c>
      <c r="G146" s="1" t="s">
        <v>449</v>
      </c>
    </row>
    <row r="147" customFormat="false" ht="15" hidden="false" customHeight="true" outlineLevel="0" collapsed="false">
      <c r="A147" s="1" t="n">
        <v>146</v>
      </c>
      <c r="B147" s="1" t="s">
        <v>450</v>
      </c>
      <c r="C147" s="1" t="s">
        <v>451</v>
      </c>
      <c r="D147" s="1" t="s">
        <v>54</v>
      </c>
      <c r="E147" s="1" t="s">
        <v>55</v>
      </c>
      <c r="F147" s="1" t="s">
        <v>11</v>
      </c>
      <c r="G147" s="1" t="s">
        <v>452</v>
      </c>
    </row>
    <row r="148" customFormat="false" ht="15" hidden="false" customHeight="true" outlineLevel="0" collapsed="false">
      <c r="A148" s="1" t="n">
        <v>147</v>
      </c>
      <c r="B148" s="1" t="s">
        <v>453</v>
      </c>
      <c r="C148" s="1" t="s">
        <v>454</v>
      </c>
      <c r="D148" s="1" t="s">
        <v>54</v>
      </c>
      <c r="E148" s="1" t="s">
        <v>55</v>
      </c>
      <c r="F148" s="1" t="s">
        <v>17</v>
      </c>
      <c r="G148" s="1" t="s">
        <v>455</v>
      </c>
    </row>
    <row r="149" customFormat="false" ht="15" hidden="false" customHeight="true" outlineLevel="0" collapsed="false">
      <c r="A149" s="1" t="n">
        <v>148</v>
      </c>
      <c r="B149" s="1" t="s">
        <v>456</v>
      </c>
      <c r="C149" s="1" t="s">
        <v>457</v>
      </c>
      <c r="D149" s="1" t="s">
        <v>92</v>
      </c>
      <c r="E149" s="1" t="s">
        <v>93</v>
      </c>
      <c r="F149" s="1" t="s">
        <v>23</v>
      </c>
      <c r="G149" s="1" t="s">
        <v>458</v>
      </c>
    </row>
    <row r="150" customFormat="false" ht="15" hidden="false" customHeight="true" outlineLevel="0" collapsed="false">
      <c r="A150" s="1" t="n">
        <v>149</v>
      </c>
      <c r="B150" s="1" t="s">
        <v>459</v>
      </c>
      <c r="C150" s="1" t="s">
        <v>460</v>
      </c>
      <c r="D150" s="1" t="s">
        <v>115</v>
      </c>
      <c r="E150" s="1" t="s">
        <v>116</v>
      </c>
      <c r="F150" s="1" t="s">
        <v>11</v>
      </c>
      <c r="G150" s="1" t="s">
        <v>461</v>
      </c>
    </row>
    <row r="151" customFormat="false" ht="15" hidden="false" customHeight="true" outlineLevel="0" collapsed="false">
      <c r="A151" s="1" t="n">
        <v>150</v>
      </c>
      <c r="B151" s="1" t="s">
        <v>462</v>
      </c>
      <c r="C151" s="1" t="s">
        <v>463</v>
      </c>
      <c r="D151" s="1" t="s">
        <v>62</v>
      </c>
      <c r="E151" s="1" t="s">
        <v>63</v>
      </c>
      <c r="F151" s="1" t="s">
        <v>23</v>
      </c>
      <c r="G151" s="1" t="s">
        <v>464</v>
      </c>
    </row>
    <row r="152" customFormat="false" ht="15" hidden="false" customHeight="true" outlineLevel="0" collapsed="false">
      <c r="A152" s="1" t="n">
        <v>151</v>
      </c>
      <c r="B152" s="1" t="s">
        <v>465</v>
      </c>
      <c r="C152" s="1" t="s">
        <v>466</v>
      </c>
      <c r="D152" s="1" t="s">
        <v>9</v>
      </c>
      <c r="E152" s="1" t="s">
        <v>10</v>
      </c>
      <c r="F152" s="1" t="s">
        <v>17</v>
      </c>
      <c r="G152" s="1" t="s">
        <v>467</v>
      </c>
    </row>
    <row r="153" customFormat="false" ht="15" hidden="false" customHeight="true" outlineLevel="0" collapsed="false">
      <c r="A153" s="1" t="n">
        <v>152</v>
      </c>
      <c r="B153" s="1" t="s">
        <v>468</v>
      </c>
      <c r="C153" s="1" t="s">
        <v>469</v>
      </c>
      <c r="D153" s="1" t="s">
        <v>32</v>
      </c>
      <c r="E153" s="1" t="s">
        <v>33</v>
      </c>
      <c r="F153" s="1" t="s">
        <v>23</v>
      </c>
      <c r="G153" s="1" t="s">
        <v>470</v>
      </c>
    </row>
    <row r="154" customFormat="false" ht="15" hidden="false" customHeight="true" outlineLevel="0" collapsed="false">
      <c r="A154" s="1" t="n">
        <v>153</v>
      </c>
      <c r="B154" s="1" t="s">
        <v>471</v>
      </c>
      <c r="C154" s="1" t="s">
        <v>472</v>
      </c>
      <c r="D154" s="1" t="s">
        <v>62</v>
      </c>
      <c r="E154" s="1" t="s">
        <v>63</v>
      </c>
      <c r="F154" s="1" t="s">
        <v>23</v>
      </c>
      <c r="G154" s="1" t="s">
        <v>473</v>
      </c>
    </row>
    <row r="155" customFormat="false" ht="15" hidden="false" customHeight="true" outlineLevel="0" collapsed="false">
      <c r="A155" s="1" t="n">
        <v>154</v>
      </c>
      <c r="B155" s="1" t="s">
        <v>474</v>
      </c>
      <c r="C155" s="1" t="s">
        <v>475</v>
      </c>
      <c r="D155" s="1" t="s">
        <v>15</v>
      </c>
      <c r="E155" s="1" t="s">
        <v>16</v>
      </c>
      <c r="F155" s="1" t="s">
        <v>17</v>
      </c>
      <c r="G155" s="1" t="s">
        <v>476</v>
      </c>
    </row>
    <row r="156" customFormat="false" ht="15" hidden="false" customHeight="true" outlineLevel="0" collapsed="false">
      <c r="A156" s="1" t="n">
        <v>155</v>
      </c>
      <c r="B156" s="1" t="s">
        <v>477</v>
      </c>
      <c r="C156" s="1" t="s">
        <v>478</v>
      </c>
      <c r="D156" s="1" t="s">
        <v>141</v>
      </c>
      <c r="E156" s="1" t="s">
        <v>142</v>
      </c>
      <c r="F156" s="1" t="s">
        <v>11</v>
      </c>
      <c r="G156" s="1" t="s">
        <v>479</v>
      </c>
    </row>
    <row r="157" customFormat="false" ht="15" hidden="false" customHeight="true" outlineLevel="0" collapsed="false">
      <c r="A157" s="1" t="n">
        <v>156</v>
      </c>
      <c r="B157" s="1" t="s">
        <v>480</v>
      </c>
      <c r="C157" s="1" t="s">
        <v>481</v>
      </c>
      <c r="D157" s="1" t="s">
        <v>42</v>
      </c>
      <c r="E157" s="1" t="s">
        <v>43</v>
      </c>
      <c r="F157" s="1" t="s">
        <v>23</v>
      </c>
      <c r="G157" s="1" t="s">
        <v>482</v>
      </c>
    </row>
    <row r="158" customFormat="false" ht="15" hidden="false" customHeight="true" outlineLevel="0" collapsed="false">
      <c r="A158" s="1" t="n">
        <v>157</v>
      </c>
      <c r="B158" s="1" t="s">
        <v>246</v>
      </c>
      <c r="C158" s="1" t="s">
        <v>483</v>
      </c>
      <c r="D158" s="1" t="s">
        <v>92</v>
      </c>
      <c r="E158" s="1" t="s">
        <v>93</v>
      </c>
      <c r="F158" s="1" t="s">
        <v>23</v>
      </c>
      <c r="G158" s="1" t="s">
        <v>484</v>
      </c>
    </row>
    <row r="159" customFormat="false" ht="15" hidden="false" customHeight="true" outlineLevel="0" collapsed="false">
      <c r="A159" s="1" t="n">
        <v>158</v>
      </c>
      <c r="B159" s="1" t="s">
        <v>485</v>
      </c>
      <c r="C159" s="1" t="s">
        <v>486</v>
      </c>
      <c r="D159" s="1" t="s">
        <v>62</v>
      </c>
      <c r="E159" s="1" t="s">
        <v>63</v>
      </c>
      <c r="F159" s="1" t="s">
        <v>17</v>
      </c>
      <c r="G159" s="1" t="s">
        <v>73</v>
      </c>
    </row>
    <row r="160" customFormat="false" ht="15" hidden="false" customHeight="true" outlineLevel="0" collapsed="false">
      <c r="A160" s="1" t="n">
        <v>159</v>
      </c>
      <c r="B160" s="1" t="s">
        <v>487</v>
      </c>
      <c r="C160" s="1" t="s">
        <v>488</v>
      </c>
      <c r="D160" s="1" t="s">
        <v>67</v>
      </c>
      <c r="E160" s="1" t="s">
        <v>10</v>
      </c>
      <c r="F160" s="1" t="s">
        <v>23</v>
      </c>
      <c r="G160" s="1" t="s">
        <v>489</v>
      </c>
    </row>
    <row r="161" customFormat="false" ht="15" hidden="false" customHeight="true" outlineLevel="0" collapsed="false">
      <c r="A161" s="1" t="n">
        <v>160</v>
      </c>
      <c r="B161" s="1" t="s">
        <v>490</v>
      </c>
      <c r="C161" s="1" t="s">
        <v>491</v>
      </c>
      <c r="D161" s="1" t="s">
        <v>62</v>
      </c>
      <c r="E161" s="1" t="s">
        <v>63</v>
      </c>
      <c r="F161" s="1" t="s">
        <v>11</v>
      </c>
      <c r="G161" s="1" t="s">
        <v>286</v>
      </c>
    </row>
    <row r="162" customFormat="false" ht="15" hidden="false" customHeight="true" outlineLevel="0" collapsed="false">
      <c r="A162" s="1" t="n">
        <v>161</v>
      </c>
      <c r="B162" s="1" t="s">
        <v>492</v>
      </c>
      <c r="C162" s="1" t="s">
        <v>493</v>
      </c>
      <c r="D162" s="1" t="s">
        <v>42</v>
      </c>
      <c r="E162" s="1" t="s">
        <v>43</v>
      </c>
      <c r="F162" s="1" t="s">
        <v>11</v>
      </c>
      <c r="G162" s="1" t="s">
        <v>443</v>
      </c>
    </row>
    <row r="163" customFormat="false" ht="15" hidden="false" customHeight="true" outlineLevel="0" collapsed="false">
      <c r="A163" s="1" t="n">
        <v>162</v>
      </c>
      <c r="B163" s="1" t="s">
        <v>494</v>
      </c>
      <c r="C163" s="1" t="s">
        <v>495</v>
      </c>
      <c r="D163" s="1" t="s">
        <v>141</v>
      </c>
      <c r="E163" s="1" t="s">
        <v>142</v>
      </c>
      <c r="F163" s="1" t="s">
        <v>17</v>
      </c>
      <c r="G163" s="1" t="s">
        <v>496</v>
      </c>
    </row>
    <row r="164" customFormat="false" ht="15" hidden="false" customHeight="true" outlineLevel="0" collapsed="false">
      <c r="A164" s="1" t="n">
        <v>163</v>
      </c>
      <c r="B164" s="1" t="s">
        <v>497</v>
      </c>
      <c r="C164" s="1" t="s">
        <v>498</v>
      </c>
      <c r="D164" s="1" t="s">
        <v>15</v>
      </c>
      <c r="E164" s="1" t="s">
        <v>16</v>
      </c>
      <c r="F164" s="1" t="s">
        <v>17</v>
      </c>
      <c r="G164" s="1" t="s">
        <v>499</v>
      </c>
    </row>
    <row r="165" customFormat="false" ht="15" hidden="false" customHeight="true" outlineLevel="0" collapsed="false">
      <c r="A165" s="1" t="n">
        <v>164</v>
      </c>
      <c r="B165" s="1" t="s">
        <v>255</v>
      </c>
      <c r="C165" s="1" t="s">
        <v>500</v>
      </c>
      <c r="D165" s="1" t="s">
        <v>154</v>
      </c>
      <c r="E165" s="1" t="s">
        <v>10</v>
      </c>
      <c r="F165" s="1" t="s">
        <v>11</v>
      </c>
      <c r="G165" s="1" t="s">
        <v>501</v>
      </c>
    </row>
    <row r="166" customFormat="false" ht="15" hidden="false" customHeight="true" outlineLevel="0" collapsed="false">
      <c r="A166" s="1" t="n">
        <v>165</v>
      </c>
      <c r="B166" s="1" t="s">
        <v>422</v>
      </c>
      <c r="C166" s="1" t="s">
        <v>502</v>
      </c>
      <c r="D166" s="1" t="s">
        <v>79</v>
      </c>
      <c r="E166" s="1" t="s">
        <v>80</v>
      </c>
      <c r="F166" s="1" t="s">
        <v>11</v>
      </c>
      <c r="G166" s="1" t="s">
        <v>503</v>
      </c>
    </row>
    <row r="167" customFormat="false" ht="15" hidden="false" customHeight="true" outlineLevel="0" collapsed="false">
      <c r="A167" s="1" t="n">
        <v>166</v>
      </c>
      <c r="B167" s="1" t="s">
        <v>315</v>
      </c>
      <c r="C167" s="1" t="s">
        <v>504</v>
      </c>
      <c r="D167" s="1" t="s">
        <v>62</v>
      </c>
      <c r="E167" s="1" t="s">
        <v>63</v>
      </c>
      <c r="F167" s="1" t="s">
        <v>17</v>
      </c>
      <c r="G167" s="1" t="s">
        <v>505</v>
      </c>
    </row>
    <row r="168" customFormat="false" ht="15" hidden="false" customHeight="true" outlineLevel="0" collapsed="false">
      <c r="A168" s="1" t="n">
        <v>167</v>
      </c>
      <c r="B168" s="1" t="s">
        <v>506</v>
      </c>
      <c r="C168" s="1" t="s">
        <v>507</v>
      </c>
      <c r="D168" s="1" t="s">
        <v>181</v>
      </c>
      <c r="E168" s="1" t="s">
        <v>182</v>
      </c>
      <c r="F168" s="1" t="s">
        <v>123</v>
      </c>
      <c r="G168" s="1" t="s">
        <v>508</v>
      </c>
    </row>
    <row r="169" customFormat="false" ht="15" hidden="false" customHeight="true" outlineLevel="0" collapsed="false">
      <c r="A169" s="1" t="n">
        <v>168</v>
      </c>
      <c r="B169" s="1" t="s">
        <v>509</v>
      </c>
      <c r="C169" s="1" t="s">
        <v>510</v>
      </c>
      <c r="D169" s="1" t="s">
        <v>37</v>
      </c>
      <c r="E169" s="1" t="s">
        <v>38</v>
      </c>
      <c r="F169" s="1" t="s">
        <v>11</v>
      </c>
      <c r="G169" s="1" t="s">
        <v>467</v>
      </c>
    </row>
    <row r="170" customFormat="false" ht="15" hidden="false" customHeight="true" outlineLevel="0" collapsed="false">
      <c r="A170" s="1" t="n">
        <v>169</v>
      </c>
      <c r="B170" s="1" t="s">
        <v>511</v>
      </c>
      <c r="C170" s="1" t="s">
        <v>512</v>
      </c>
      <c r="D170" s="1" t="s">
        <v>115</v>
      </c>
      <c r="E170" s="1" t="s">
        <v>116</v>
      </c>
      <c r="F170" s="1" t="s">
        <v>11</v>
      </c>
      <c r="G170" s="1" t="s">
        <v>513</v>
      </c>
    </row>
    <row r="171" customFormat="false" ht="15" hidden="false" customHeight="true" outlineLevel="0" collapsed="false">
      <c r="A171" s="1" t="n">
        <v>170</v>
      </c>
      <c r="B171" s="1" t="s">
        <v>514</v>
      </c>
      <c r="C171" s="1" t="s">
        <v>515</v>
      </c>
      <c r="D171" s="1" t="s">
        <v>154</v>
      </c>
      <c r="E171" s="1" t="s">
        <v>10</v>
      </c>
      <c r="F171" s="1" t="s">
        <v>17</v>
      </c>
      <c r="G171" s="1" t="s">
        <v>516</v>
      </c>
    </row>
    <row r="172" customFormat="false" ht="15" hidden="false" customHeight="true" outlineLevel="0" collapsed="false">
      <c r="A172" s="1" t="n">
        <v>171</v>
      </c>
      <c r="B172" s="1" t="s">
        <v>517</v>
      </c>
      <c r="C172" s="1" t="s">
        <v>518</v>
      </c>
      <c r="D172" s="1" t="s">
        <v>9</v>
      </c>
      <c r="E172" s="1" t="s">
        <v>10</v>
      </c>
      <c r="F172" s="1" t="s">
        <v>17</v>
      </c>
      <c r="G172" s="1" t="s">
        <v>519</v>
      </c>
    </row>
    <row r="173" customFormat="false" ht="15" hidden="false" customHeight="true" outlineLevel="0" collapsed="false">
      <c r="A173" s="1" t="n">
        <v>172</v>
      </c>
      <c r="B173" s="1" t="s">
        <v>520</v>
      </c>
      <c r="C173" s="1" t="s">
        <v>521</v>
      </c>
      <c r="D173" s="1" t="s">
        <v>42</v>
      </c>
      <c r="E173" s="1" t="s">
        <v>43</v>
      </c>
      <c r="F173" s="1" t="s">
        <v>11</v>
      </c>
      <c r="G173" s="1" t="s">
        <v>522</v>
      </c>
    </row>
    <row r="174" customFormat="false" ht="15" hidden="false" customHeight="true" outlineLevel="0" collapsed="false">
      <c r="A174" s="1" t="n">
        <v>173</v>
      </c>
      <c r="B174" s="1" t="s">
        <v>523</v>
      </c>
      <c r="C174" s="1" t="s">
        <v>524</v>
      </c>
      <c r="D174" s="1" t="s">
        <v>157</v>
      </c>
      <c r="E174" s="1" t="s">
        <v>158</v>
      </c>
      <c r="F174" s="1" t="s">
        <v>11</v>
      </c>
      <c r="G174" s="1" t="s">
        <v>151</v>
      </c>
    </row>
    <row r="175" customFormat="false" ht="15" hidden="false" customHeight="true" outlineLevel="0" collapsed="false">
      <c r="A175" s="1" t="n">
        <v>174</v>
      </c>
      <c r="B175" s="1" t="s">
        <v>525</v>
      </c>
      <c r="C175" s="1" t="s">
        <v>526</v>
      </c>
      <c r="D175" s="1" t="s">
        <v>15</v>
      </c>
      <c r="E175" s="1" t="s">
        <v>16</v>
      </c>
      <c r="F175" s="1" t="s">
        <v>17</v>
      </c>
      <c r="G175" s="1" t="s">
        <v>527</v>
      </c>
    </row>
    <row r="176" customFormat="false" ht="15" hidden="false" customHeight="true" outlineLevel="0" collapsed="false">
      <c r="A176" s="1" t="n">
        <v>175</v>
      </c>
      <c r="B176" s="1" t="s">
        <v>528</v>
      </c>
      <c r="C176" s="1" t="s">
        <v>529</v>
      </c>
      <c r="D176" s="1" t="s">
        <v>42</v>
      </c>
      <c r="E176" s="1" t="s">
        <v>43</v>
      </c>
      <c r="F176" s="1" t="s">
        <v>11</v>
      </c>
      <c r="G176" s="1" t="s">
        <v>530</v>
      </c>
    </row>
    <row r="177" customFormat="false" ht="15" hidden="false" customHeight="true" outlineLevel="0" collapsed="false">
      <c r="A177" s="1" t="n">
        <v>176</v>
      </c>
      <c r="B177" s="1" t="s">
        <v>531</v>
      </c>
      <c r="C177" s="1" t="s">
        <v>532</v>
      </c>
      <c r="D177" s="1" t="s">
        <v>157</v>
      </c>
      <c r="E177" s="1" t="s">
        <v>158</v>
      </c>
      <c r="F177" s="1" t="s">
        <v>23</v>
      </c>
      <c r="G177" s="1" t="s">
        <v>533</v>
      </c>
    </row>
    <row r="178" customFormat="false" ht="15" hidden="false" customHeight="true" outlineLevel="0" collapsed="false">
      <c r="A178" s="1" t="n">
        <v>177</v>
      </c>
      <c r="B178" s="1" t="s">
        <v>534</v>
      </c>
      <c r="C178" s="1" t="s">
        <v>535</v>
      </c>
      <c r="D178" s="1" t="s">
        <v>42</v>
      </c>
      <c r="E178" s="1" t="s">
        <v>43</v>
      </c>
      <c r="F178" s="1" t="s">
        <v>23</v>
      </c>
      <c r="G178" s="1" t="s">
        <v>536</v>
      </c>
    </row>
    <row r="179" customFormat="false" ht="15" hidden="false" customHeight="true" outlineLevel="0" collapsed="false">
      <c r="A179" s="1" t="n">
        <v>178</v>
      </c>
      <c r="B179" s="1" t="s">
        <v>537</v>
      </c>
      <c r="C179" s="1" t="s">
        <v>538</v>
      </c>
      <c r="D179" s="1" t="s">
        <v>141</v>
      </c>
      <c r="E179" s="1" t="s">
        <v>142</v>
      </c>
      <c r="F179" s="1" t="s">
        <v>11</v>
      </c>
      <c r="G179" s="1" t="s">
        <v>539</v>
      </c>
    </row>
    <row r="180" customFormat="false" ht="15" hidden="false" customHeight="true" outlineLevel="0" collapsed="false">
      <c r="A180" s="1" t="n">
        <v>179</v>
      </c>
      <c r="B180" s="1" t="s">
        <v>540</v>
      </c>
      <c r="C180" s="1" t="s">
        <v>541</v>
      </c>
      <c r="D180" s="1" t="s">
        <v>32</v>
      </c>
      <c r="E180" s="1" t="s">
        <v>33</v>
      </c>
      <c r="F180" s="1" t="s">
        <v>17</v>
      </c>
      <c r="G180" s="1" t="s">
        <v>542</v>
      </c>
    </row>
    <row r="181" customFormat="false" ht="15" hidden="false" customHeight="true" outlineLevel="0" collapsed="false">
      <c r="A181" s="1" t="n">
        <v>180</v>
      </c>
      <c r="B181" s="1" t="s">
        <v>543</v>
      </c>
      <c r="C181" s="1" t="s">
        <v>544</v>
      </c>
      <c r="D181" s="1" t="s">
        <v>67</v>
      </c>
      <c r="E181" s="1" t="s">
        <v>10</v>
      </c>
      <c r="F181" s="1" t="s">
        <v>11</v>
      </c>
      <c r="G181" s="1" t="s">
        <v>545</v>
      </c>
    </row>
    <row r="182" customFormat="false" ht="15" hidden="false" customHeight="true" outlineLevel="0" collapsed="false">
      <c r="A182" s="1" t="n">
        <v>181</v>
      </c>
      <c r="B182" s="1" t="s">
        <v>546</v>
      </c>
      <c r="C182" s="1" t="s">
        <v>547</v>
      </c>
      <c r="D182" s="1" t="s">
        <v>42</v>
      </c>
      <c r="E182" s="1" t="s">
        <v>43</v>
      </c>
      <c r="F182" s="1" t="s">
        <v>17</v>
      </c>
      <c r="G182" s="1" t="s">
        <v>303</v>
      </c>
    </row>
    <row r="183" customFormat="false" ht="15" hidden="false" customHeight="true" outlineLevel="0" collapsed="false">
      <c r="A183" s="1" t="n">
        <v>182</v>
      </c>
      <c r="B183" s="1" t="s">
        <v>548</v>
      </c>
      <c r="C183" s="1" t="s">
        <v>549</v>
      </c>
      <c r="D183" s="1" t="s">
        <v>42</v>
      </c>
      <c r="E183" s="1" t="s">
        <v>43</v>
      </c>
      <c r="F183" s="1" t="s">
        <v>123</v>
      </c>
      <c r="G183" s="1" t="s">
        <v>473</v>
      </c>
    </row>
    <row r="184" customFormat="false" ht="15" hidden="false" customHeight="true" outlineLevel="0" collapsed="false">
      <c r="A184" s="1" t="n">
        <v>183</v>
      </c>
      <c r="B184" s="1" t="s">
        <v>550</v>
      </c>
      <c r="C184" s="1" t="s">
        <v>551</v>
      </c>
      <c r="D184" s="1" t="s">
        <v>42</v>
      </c>
      <c r="E184" s="1" t="s">
        <v>43</v>
      </c>
      <c r="F184" s="1" t="s">
        <v>23</v>
      </c>
      <c r="G184" s="1" t="s">
        <v>552</v>
      </c>
    </row>
    <row r="185" customFormat="false" ht="15" hidden="false" customHeight="true" outlineLevel="0" collapsed="false">
      <c r="A185" s="1" t="n">
        <v>184</v>
      </c>
      <c r="B185" s="1" t="s">
        <v>553</v>
      </c>
      <c r="C185" s="1" t="s">
        <v>554</v>
      </c>
      <c r="D185" s="1" t="s">
        <v>62</v>
      </c>
      <c r="E185" s="1" t="s">
        <v>63</v>
      </c>
      <c r="F185" s="1" t="s">
        <v>23</v>
      </c>
      <c r="G185" s="1" t="s">
        <v>322</v>
      </c>
    </row>
    <row r="186" customFormat="false" ht="15" hidden="false" customHeight="true" outlineLevel="0" collapsed="false">
      <c r="A186" s="1" t="n">
        <v>185</v>
      </c>
      <c r="B186" s="1" t="s">
        <v>555</v>
      </c>
      <c r="C186" s="1" t="s">
        <v>556</v>
      </c>
      <c r="D186" s="1" t="s">
        <v>141</v>
      </c>
      <c r="E186" s="1" t="s">
        <v>142</v>
      </c>
      <c r="F186" s="1" t="s">
        <v>11</v>
      </c>
      <c r="G186" s="1" t="s">
        <v>557</v>
      </c>
    </row>
    <row r="187" customFormat="false" ht="15" hidden="false" customHeight="true" outlineLevel="0" collapsed="false">
      <c r="A187" s="1" t="n">
        <v>186</v>
      </c>
      <c r="B187" s="1" t="s">
        <v>558</v>
      </c>
      <c r="C187" s="1" t="s">
        <v>559</v>
      </c>
      <c r="D187" s="1" t="s">
        <v>154</v>
      </c>
      <c r="E187" s="1" t="s">
        <v>10</v>
      </c>
      <c r="F187" s="1" t="s">
        <v>17</v>
      </c>
      <c r="G187" s="1" t="s">
        <v>560</v>
      </c>
    </row>
    <row r="188" customFormat="false" ht="15" hidden="false" customHeight="true" outlineLevel="0" collapsed="false">
      <c r="A188" s="1" t="n">
        <v>187</v>
      </c>
      <c r="B188" s="1" t="s">
        <v>561</v>
      </c>
      <c r="C188" s="1" t="s">
        <v>562</v>
      </c>
      <c r="D188" s="1" t="s">
        <v>105</v>
      </c>
      <c r="E188" s="1" t="s">
        <v>10</v>
      </c>
      <c r="F188" s="1" t="s">
        <v>11</v>
      </c>
      <c r="G188" s="1" t="s">
        <v>363</v>
      </c>
    </row>
    <row r="189" customFormat="false" ht="15" hidden="false" customHeight="true" outlineLevel="0" collapsed="false">
      <c r="A189" s="1" t="n">
        <v>188</v>
      </c>
      <c r="B189" s="1" t="s">
        <v>563</v>
      </c>
      <c r="C189" s="1" t="s">
        <v>564</v>
      </c>
      <c r="D189" s="1" t="s">
        <v>21</v>
      </c>
      <c r="E189" s="1" t="s">
        <v>22</v>
      </c>
      <c r="F189" s="1" t="s">
        <v>17</v>
      </c>
      <c r="G189" s="1" t="s">
        <v>565</v>
      </c>
    </row>
    <row r="190" customFormat="false" ht="15" hidden="false" customHeight="true" outlineLevel="0" collapsed="false">
      <c r="A190" s="1" t="n">
        <v>189</v>
      </c>
      <c r="B190" s="1" t="s">
        <v>417</v>
      </c>
      <c r="C190" s="1" t="s">
        <v>566</v>
      </c>
      <c r="D190" s="1" t="s">
        <v>50</v>
      </c>
      <c r="E190" s="1" t="s">
        <v>38</v>
      </c>
      <c r="F190" s="1" t="s">
        <v>17</v>
      </c>
      <c r="G190" s="1" t="s">
        <v>567</v>
      </c>
    </row>
    <row r="191" customFormat="false" ht="15" hidden="false" customHeight="true" outlineLevel="0" collapsed="false">
      <c r="A191" s="1" t="n">
        <v>190</v>
      </c>
      <c r="B191" s="1" t="s">
        <v>568</v>
      </c>
      <c r="C191" s="1" t="s">
        <v>569</v>
      </c>
      <c r="D191" s="1" t="s">
        <v>79</v>
      </c>
      <c r="E191" s="1" t="s">
        <v>80</v>
      </c>
      <c r="F191" s="1" t="s">
        <v>23</v>
      </c>
      <c r="G191" s="1" t="s">
        <v>39</v>
      </c>
    </row>
    <row r="192" customFormat="false" ht="15" hidden="false" customHeight="true" outlineLevel="0" collapsed="false">
      <c r="A192" s="1" t="n">
        <v>191</v>
      </c>
      <c r="B192" s="1" t="s">
        <v>570</v>
      </c>
      <c r="C192" s="1" t="s">
        <v>571</v>
      </c>
      <c r="D192" s="1" t="s">
        <v>50</v>
      </c>
      <c r="E192" s="1" t="s">
        <v>38</v>
      </c>
      <c r="F192" s="1" t="s">
        <v>23</v>
      </c>
      <c r="G192" s="1" t="s">
        <v>572</v>
      </c>
    </row>
    <row r="193" customFormat="false" ht="15" hidden="false" customHeight="true" outlineLevel="0" collapsed="false">
      <c r="A193" s="1" t="n">
        <v>192</v>
      </c>
      <c r="B193" s="1" t="s">
        <v>573</v>
      </c>
      <c r="C193" s="1" t="s">
        <v>574</v>
      </c>
      <c r="D193" s="1" t="s">
        <v>42</v>
      </c>
      <c r="E193" s="1" t="s">
        <v>43</v>
      </c>
      <c r="F193" s="1" t="s">
        <v>23</v>
      </c>
      <c r="G193" s="1" t="s">
        <v>575</v>
      </c>
    </row>
    <row r="194" customFormat="false" ht="15" hidden="false" customHeight="true" outlineLevel="0" collapsed="false">
      <c r="A194" s="1" t="n">
        <v>193</v>
      </c>
      <c r="B194" s="1" t="s">
        <v>576</v>
      </c>
      <c r="C194" s="1" t="s">
        <v>577</v>
      </c>
      <c r="D194" s="1" t="s">
        <v>141</v>
      </c>
      <c r="E194" s="1" t="s">
        <v>142</v>
      </c>
      <c r="F194" s="1" t="s">
        <v>11</v>
      </c>
      <c r="G194" s="1" t="s">
        <v>578</v>
      </c>
    </row>
    <row r="195" customFormat="false" ht="15" hidden="false" customHeight="true" outlineLevel="0" collapsed="false">
      <c r="A195" s="1" t="n">
        <v>194</v>
      </c>
      <c r="B195" s="1" t="s">
        <v>579</v>
      </c>
      <c r="C195" s="1" t="s">
        <v>580</v>
      </c>
      <c r="D195" s="1" t="s">
        <v>27</v>
      </c>
      <c r="E195" s="1" t="s">
        <v>28</v>
      </c>
      <c r="F195" s="1" t="s">
        <v>23</v>
      </c>
      <c r="G195" s="1" t="s">
        <v>581</v>
      </c>
    </row>
    <row r="196" customFormat="false" ht="15" hidden="false" customHeight="true" outlineLevel="0" collapsed="false">
      <c r="A196" s="1" t="n">
        <v>195</v>
      </c>
      <c r="B196" s="1" t="s">
        <v>438</v>
      </c>
      <c r="C196" s="1" t="s">
        <v>582</v>
      </c>
      <c r="D196" s="1" t="s">
        <v>157</v>
      </c>
      <c r="E196" s="1" t="s">
        <v>158</v>
      </c>
      <c r="F196" s="1" t="s">
        <v>23</v>
      </c>
      <c r="G196" s="1" t="s">
        <v>583</v>
      </c>
    </row>
    <row r="197" customFormat="false" ht="15" hidden="false" customHeight="true" outlineLevel="0" collapsed="false">
      <c r="A197" s="1" t="n">
        <v>196</v>
      </c>
      <c r="B197" s="1" t="s">
        <v>584</v>
      </c>
      <c r="C197" s="1" t="s">
        <v>585</v>
      </c>
      <c r="D197" s="1" t="s">
        <v>79</v>
      </c>
      <c r="E197" s="1" t="s">
        <v>80</v>
      </c>
      <c r="F197" s="1" t="s">
        <v>23</v>
      </c>
      <c r="G197" s="1" t="s">
        <v>586</v>
      </c>
    </row>
    <row r="198" customFormat="false" ht="15" hidden="false" customHeight="true" outlineLevel="0" collapsed="false">
      <c r="A198" s="1" t="n">
        <v>197</v>
      </c>
      <c r="B198" s="1" t="s">
        <v>587</v>
      </c>
      <c r="C198" s="1" t="s">
        <v>588</v>
      </c>
      <c r="D198" s="1" t="s">
        <v>21</v>
      </c>
      <c r="E198" s="1" t="s">
        <v>22</v>
      </c>
      <c r="F198" s="1" t="s">
        <v>17</v>
      </c>
      <c r="G198" s="1" t="s">
        <v>542</v>
      </c>
    </row>
    <row r="199" customFormat="false" ht="15" hidden="false" customHeight="true" outlineLevel="0" collapsed="false">
      <c r="A199" s="1" t="n">
        <v>198</v>
      </c>
      <c r="B199" s="1" t="s">
        <v>589</v>
      </c>
      <c r="C199" s="1" t="s">
        <v>590</v>
      </c>
      <c r="D199" s="1" t="s">
        <v>67</v>
      </c>
      <c r="E199" s="1" t="s">
        <v>10</v>
      </c>
      <c r="F199" s="1" t="s">
        <v>23</v>
      </c>
      <c r="G199" s="1" t="s">
        <v>591</v>
      </c>
    </row>
    <row r="200" customFormat="false" ht="15" hidden="false" customHeight="true" outlineLevel="0" collapsed="false">
      <c r="A200" s="1" t="n">
        <v>199</v>
      </c>
      <c r="B200" s="1" t="s">
        <v>592</v>
      </c>
      <c r="C200" s="1" t="s">
        <v>593</v>
      </c>
      <c r="D200" s="1" t="s">
        <v>157</v>
      </c>
      <c r="E200" s="1" t="s">
        <v>158</v>
      </c>
      <c r="F200" s="1" t="s">
        <v>23</v>
      </c>
      <c r="G200" s="1" t="s">
        <v>594</v>
      </c>
    </row>
    <row r="201" customFormat="false" ht="15" hidden="false" customHeight="true" outlineLevel="0" collapsed="false">
      <c r="A201" s="1" t="n">
        <v>200</v>
      </c>
      <c r="B201" s="1" t="s">
        <v>595</v>
      </c>
      <c r="C201" s="1" t="s">
        <v>596</v>
      </c>
      <c r="D201" s="1" t="s">
        <v>157</v>
      </c>
      <c r="E201" s="1" t="s">
        <v>158</v>
      </c>
      <c r="F201" s="1" t="s">
        <v>17</v>
      </c>
      <c r="G201" s="1" t="s">
        <v>100</v>
      </c>
    </row>
    <row r="202" customFormat="false" ht="15" hidden="false" customHeight="true" outlineLevel="0" collapsed="false">
      <c r="A202" s="1" t="n">
        <v>201</v>
      </c>
      <c r="B202" s="1" t="s">
        <v>597</v>
      </c>
      <c r="C202" s="1" t="s">
        <v>598</v>
      </c>
      <c r="D202" s="1" t="s">
        <v>157</v>
      </c>
      <c r="E202" s="1" t="s">
        <v>158</v>
      </c>
      <c r="F202" s="1" t="s">
        <v>23</v>
      </c>
      <c r="G202" s="1" t="s">
        <v>599</v>
      </c>
    </row>
    <row r="203" customFormat="false" ht="15" hidden="false" customHeight="true" outlineLevel="0" collapsed="false">
      <c r="A203" s="1" t="n">
        <v>202</v>
      </c>
      <c r="B203" s="1" t="s">
        <v>600</v>
      </c>
      <c r="D203" s="1" t="s">
        <v>21</v>
      </c>
      <c r="E203" s="1" t="s">
        <v>22</v>
      </c>
      <c r="F203" s="1" t="s">
        <v>23</v>
      </c>
      <c r="G203" s="1" t="s">
        <v>601</v>
      </c>
    </row>
    <row r="204" customFormat="false" ht="15" hidden="false" customHeight="true" outlineLevel="0" collapsed="false">
      <c r="A204" s="1" t="n">
        <v>203</v>
      </c>
      <c r="B204" s="1" t="s">
        <v>602</v>
      </c>
      <c r="C204" s="1" t="s">
        <v>603</v>
      </c>
      <c r="D204" s="1" t="s">
        <v>37</v>
      </c>
      <c r="E204" s="1" t="s">
        <v>38</v>
      </c>
      <c r="F204" s="1" t="s">
        <v>23</v>
      </c>
      <c r="G204" s="1" t="s">
        <v>408</v>
      </c>
    </row>
    <row r="205" customFormat="false" ht="15" hidden="false" customHeight="true" outlineLevel="0" collapsed="false">
      <c r="A205" s="1" t="n">
        <v>204</v>
      </c>
      <c r="B205" s="1" t="s">
        <v>604</v>
      </c>
      <c r="C205" s="1" t="s">
        <v>605</v>
      </c>
      <c r="D205" s="1" t="s">
        <v>21</v>
      </c>
      <c r="E205" s="1" t="s">
        <v>22</v>
      </c>
      <c r="F205" s="1" t="s">
        <v>17</v>
      </c>
      <c r="G205" s="1" t="s">
        <v>606</v>
      </c>
    </row>
    <row r="206" customFormat="false" ht="15" hidden="false" customHeight="true" outlineLevel="0" collapsed="false">
      <c r="A206" s="1" t="n">
        <v>205</v>
      </c>
      <c r="B206" s="1" t="s">
        <v>607</v>
      </c>
      <c r="C206" s="1" t="s">
        <v>608</v>
      </c>
      <c r="D206" s="1" t="s">
        <v>92</v>
      </c>
      <c r="E206" s="1" t="s">
        <v>93</v>
      </c>
      <c r="F206" s="1" t="s">
        <v>23</v>
      </c>
      <c r="G206" s="1" t="s">
        <v>609</v>
      </c>
    </row>
    <row r="207" customFormat="false" ht="15" hidden="false" customHeight="true" outlineLevel="0" collapsed="false">
      <c r="A207" s="1" t="n">
        <v>206</v>
      </c>
      <c r="B207" s="1" t="s">
        <v>436</v>
      </c>
      <c r="C207" s="1" t="s">
        <v>610</v>
      </c>
      <c r="D207" s="1" t="s">
        <v>54</v>
      </c>
      <c r="E207" s="1" t="s">
        <v>55</v>
      </c>
      <c r="F207" s="1" t="s">
        <v>17</v>
      </c>
      <c r="G207" s="1" t="s">
        <v>611</v>
      </c>
    </row>
    <row r="208" customFormat="false" ht="15" hidden="false" customHeight="true" outlineLevel="0" collapsed="false">
      <c r="A208" s="1" t="n">
        <v>207</v>
      </c>
      <c r="B208" s="1" t="s">
        <v>612</v>
      </c>
      <c r="C208" s="1" t="s">
        <v>613</v>
      </c>
      <c r="D208" s="1" t="s">
        <v>92</v>
      </c>
      <c r="E208" s="1" t="s">
        <v>93</v>
      </c>
      <c r="F208" s="1" t="s">
        <v>23</v>
      </c>
      <c r="G208" s="1" t="s">
        <v>614</v>
      </c>
    </row>
    <row r="209" customFormat="false" ht="15" hidden="false" customHeight="true" outlineLevel="0" collapsed="false">
      <c r="A209" s="1" t="n">
        <v>208</v>
      </c>
      <c r="B209" s="1" t="s">
        <v>615</v>
      </c>
      <c r="C209" s="1" t="s">
        <v>616</v>
      </c>
      <c r="D209" s="1" t="s">
        <v>92</v>
      </c>
      <c r="E209" s="1" t="s">
        <v>93</v>
      </c>
      <c r="F209" s="1" t="s">
        <v>23</v>
      </c>
      <c r="G209" s="1" t="s">
        <v>617</v>
      </c>
    </row>
    <row r="210" customFormat="false" ht="15" hidden="false" customHeight="true" outlineLevel="0" collapsed="false">
      <c r="A210" s="1" t="n">
        <v>209</v>
      </c>
      <c r="B210" s="1" t="s">
        <v>618</v>
      </c>
      <c r="C210" s="1" t="s">
        <v>619</v>
      </c>
      <c r="D210" s="1" t="s">
        <v>32</v>
      </c>
      <c r="E210" s="1" t="s">
        <v>33</v>
      </c>
      <c r="F210" s="1" t="s">
        <v>17</v>
      </c>
      <c r="G210" s="1" t="s">
        <v>620</v>
      </c>
    </row>
    <row r="211" customFormat="false" ht="15" hidden="false" customHeight="true" outlineLevel="0" collapsed="false">
      <c r="A211" s="1" t="n">
        <v>210</v>
      </c>
      <c r="B211" s="1" t="s">
        <v>621</v>
      </c>
      <c r="C211" s="1" t="s">
        <v>622</v>
      </c>
      <c r="D211" s="1" t="s">
        <v>9</v>
      </c>
      <c r="E211" s="1" t="s">
        <v>10</v>
      </c>
      <c r="F211" s="1" t="s">
        <v>23</v>
      </c>
      <c r="G211" s="1" t="s">
        <v>623</v>
      </c>
    </row>
    <row r="212" customFormat="false" ht="15" hidden="false" customHeight="true" outlineLevel="0" collapsed="false">
      <c r="A212" s="1" t="n">
        <v>211</v>
      </c>
      <c r="B212" s="1" t="s">
        <v>624</v>
      </c>
      <c r="C212" s="1" t="s">
        <v>625</v>
      </c>
      <c r="D212" s="1" t="s">
        <v>21</v>
      </c>
      <c r="E212" s="1" t="s">
        <v>22</v>
      </c>
      <c r="F212" s="1" t="s">
        <v>11</v>
      </c>
      <c r="G212" s="1" t="s">
        <v>626</v>
      </c>
    </row>
    <row r="213" customFormat="false" ht="15" hidden="false" customHeight="true" outlineLevel="0" collapsed="false">
      <c r="A213" s="1" t="n">
        <v>212</v>
      </c>
      <c r="B213" s="1" t="s">
        <v>627</v>
      </c>
      <c r="C213" s="1" t="s">
        <v>628</v>
      </c>
      <c r="D213" s="1" t="s">
        <v>92</v>
      </c>
      <c r="E213" s="1" t="s">
        <v>93</v>
      </c>
      <c r="F213" s="1" t="s">
        <v>11</v>
      </c>
      <c r="G213" s="1" t="s">
        <v>629</v>
      </c>
    </row>
    <row r="214" customFormat="false" ht="15" hidden="false" customHeight="true" outlineLevel="0" collapsed="false">
      <c r="A214" s="1" t="n">
        <v>213</v>
      </c>
      <c r="B214" s="1" t="s">
        <v>630</v>
      </c>
      <c r="C214" s="1" t="s">
        <v>631</v>
      </c>
      <c r="D214" s="1" t="s">
        <v>105</v>
      </c>
      <c r="E214" s="1" t="s">
        <v>10</v>
      </c>
      <c r="F214" s="1" t="s">
        <v>17</v>
      </c>
      <c r="G214" s="1" t="s">
        <v>632</v>
      </c>
    </row>
    <row r="215" customFormat="false" ht="15" hidden="false" customHeight="true" outlineLevel="0" collapsed="false">
      <c r="A215" s="1" t="n">
        <v>214</v>
      </c>
      <c r="B215" s="1" t="s">
        <v>633</v>
      </c>
      <c r="C215" s="1" t="s">
        <v>634</v>
      </c>
      <c r="D215" s="1" t="s">
        <v>115</v>
      </c>
      <c r="E215" s="1" t="s">
        <v>116</v>
      </c>
      <c r="F215" s="1" t="s">
        <v>23</v>
      </c>
      <c r="G215" s="1" t="s">
        <v>635</v>
      </c>
    </row>
    <row r="216" customFormat="false" ht="15" hidden="false" customHeight="true" outlineLevel="0" collapsed="false">
      <c r="A216" s="1" t="n">
        <v>215</v>
      </c>
      <c r="B216" s="1" t="s">
        <v>636</v>
      </c>
      <c r="C216" s="1" t="s">
        <v>637</v>
      </c>
      <c r="D216" s="1" t="s">
        <v>154</v>
      </c>
      <c r="E216" s="1" t="s">
        <v>10</v>
      </c>
      <c r="F216" s="1" t="s">
        <v>23</v>
      </c>
      <c r="G216" s="1" t="s">
        <v>452</v>
      </c>
    </row>
    <row r="217" customFormat="false" ht="15" hidden="false" customHeight="true" outlineLevel="0" collapsed="false">
      <c r="A217" s="1" t="n">
        <v>216</v>
      </c>
      <c r="B217" s="1" t="s">
        <v>638</v>
      </c>
      <c r="C217" s="1" t="s">
        <v>639</v>
      </c>
      <c r="D217" s="1" t="s">
        <v>92</v>
      </c>
      <c r="E217" s="1" t="s">
        <v>93</v>
      </c>
      <c r="F217" s="1" t="s">
        <v>11</v>
      </c>
      <c r="G217" s="1" t="s">
        <v>133</v>
      </c>
    </row>
    <row r="218" customFormat="false" ht="15" hidden="false" customHeight="true" outlineLevel="0" collapsed="false">
      <c r="A218" s="1" t="n">
        <v>217</v>
      </c>
      <c r="B218" s="1" t="s">
        <v>640</v>
      </c>
      <c r="C218" s="1" t="s">
        <v>641</v>
      </c>
      <c r="D218" s="1" t="s">
        <v>115</v>
      </c>
      <c r="E218" s="1" t="s">
        <v>116</v>
      </c>
      <c r="F218" s="1" t="s">
        <v>11</v>
      </c>
      <c r="G218" s="1" t="s">
        <v>642</v>
      </c>
    </row>
    <row r="219" customFormat="false" ht="15" hidden="false" customHeight="true" outlineLevel="0" collapsed="false">
      <c r="A219" s="1" t="n">
        <v>218</v>
      </c>
      <c r="B219" s="1" t="s">
        <v>643</v>
      </c>
      <c r="C219" s="1" t="s">
        <v>644</v>
      </c>
      <c r="D219" s="1" t="s">
        <v>62</v>
      </c>
      <c r="E219" s="1" t="s">
        <v>63</v>
      </c>
      <c r="F219" s="1" t="s">
        <v>23</v>
      </c>
      <c r="G219" s="1" t="s">
        <v>645</v>
      </c>
    </row>
    <row r="220" customFormat="false" ht="15" hidden="false" customHeight="true" outlineLevel="0" collapsed="false">
      <c r="A220" s="1" t="n">
        <v>219</v>
      </c>
      <c r="B220" s="1" t="s">
        <v>646</v>
      </c>
      <c r="C220" s="1" t="s">
        <v>647</v>
      </c>
      <c r="D220" s="1" t="s">
        <v>9</v>
      </c>
      <c r="E220" s="1" t="s">
        <v>10</v>
      </c>
      <c r="F220" s="1" t="s">
        <v>17</v>
      </c>
      <c r="G220" s="1" t="s">
        <v>648</v>
      </c>
    </row>
    <row r="221" customFormat="false" ht="15" hidden="false" customHeight="true" outlineLevel="0" collapsed="false">
      <c r="A221" s="1" t="n">
        <v>220</v>
      </c>
      <c r="B221" s="1" t="s">
        <v>649</v>
      </c>
      <c r="C221" s="1" t="s">
        <v>650</v>
      </c>
      <c r="D221" s="1" t="s">
        <v>42</v>
      </c>
      <c r="E221" s="1" t="s">
        <v>43</v>
      </c>
      <c r="F221" s="1" t="s">
        <v>17</v>
      </c>
      <c r="G221" s="1" t="s">
        <v>651</v>
      </c>
    </row>
    <row r="222" customFormat="false" ht="15" hidden="false" customHeight="true" outlineLevel="0" collapsed="false">
      <c r="A222" s="1" t="n">
        <v>221</v>
      </c>
      <c r="B222" s="1" t="s">
        <v>281</v>
      </c>
      <c r="C222" s="1" t="s">
        <v>652</v>
      </c>
      <c r="D222" s="1" t="s">
        <v>67</v>
      </c>
      <c r="E222" s="1" t="s">
        <v>10</v>
      </c>
      <c r="F222" s="1" t="s">
        <v>11</v>
      </c>
      <c r="G222" s="1" t="s">
        <v>653</v>
      </c>
    </row>
    <row r="223" customFormat="false" ht="15" hidden="false" customHeight="true" outlineLevel="0" collapsed="false">
      <c r="A223" s="1" t="n">
        <v>222</v>
      </c>
      <c r="B223" s="1" t="s">
        <v>654</v>
      </c>
      <c r="C223" s="1" t="s">
        <v>655</v>
      </c>
      <c r="D223" s="1" t="s">
        <v>42</v>
      </c>
      <c r="E223" s="1" t="s">
        <v>43</v>
      </c>
      <c r="F223" s="1" t="s">
        <v>11</v>
      </c>
      <c r="G223" s="1" t="s">
        <v>656</v>
      </c>
    </row>
    <row r="224" customFormat="false" ht="15" hidden="false" customHeight="true" outlineLevel="0" collapsed="false">
      <c r="A224" s="1" t="n">
        <v>223</v>
      </c>
      <c r="B224" s="1" t="s">
        <v>657</v>
      </c>
      <c r="C224" s="1" t="s">
        <v>658</v>
      </c>
      <c r="D224" s="1" t="s">
        <v>15</v>
      </c>
      <c r="E224" s="1" t="s">
        <v>16</v>
      </c>
      <c r="F224" s="1" t="s">
        <v>11</v>
      </c>
      <c r="G224" s="1" t="s">
        <v>659</v>
      </c>
    </row>
    <row r="225" customFormat="false" ht="15" hidden="false" customHeight="true" outlineLevel="0" collapsed="false">
      <c r="A225" s="1" t="n">
        <v>224</v>
      </c>
      <c r="B225" s="1" t="s">
        <v>660</v>
      </c>
      <c r="C225" s="1" t="s">
        <v>661</v>
      </c>
      <c r="D225" s="1" t="s">
        <v>21</v>
      </c>
      <c r="E225" s="1" t="s">
        <v>22</v>
      </c>
      <c r="F225" s="1" t="s">
        <v>11</v>
      </c>
      <c r="G225" s="1" t="s">
        <v>662</v>
      </c>
    </row>
    <row r="226" customFormat="false" ht="15" hidden="false" customHeight="true" outlineLevel="0" collapsed="false">
      <c r="A226" s="1" t="n">
        <v>225</v>
      </c>
      <c r="B226" s="1" t="s">
        <v>290</v>
      </c>
      <c r="C226" s="1" t="s">
        <v>663</v>
      </c>
      <c r="D226" s="1" t="s">
        <v>157</v>
      </c>
      <c r="E226" s="1" t="s">
        <v>158</v>
      </c>
      <c r="F226" s="1" t="s">
        <v>11</v>
      </c>
      <c r="G226" s="1" t="s">
        <v>664</v>
      </c>
    </row>
    <row r="227" customFormat="false" ht="15" hidden="false" customHeight="true" outlineLevel="0" collapsed="false">
      <c r="A227" s="1" t="n">
        <v>226</v>
      </c>
      <c r="B227" s="1" t="s">
        <v>665</v>
      </c>
      <c r="C227" s="1" t="s">
        <v>666</v>
      </c>
      <c r="D227" s="1" t="s">
        <v>181</v>
      </c>
      <c r="E227" s="1" t="s">
        <v>182</v>
      </c>
      <c r="F227" s="1" t="s">
        <v>23</v>
      </c>
      <c r="G227" s="1" t="s">
        <v>667</v>
      </c>
    </row>
    <row r="228" customFormat="false" ht="15" hidden="false" customHeight="true" outlineLevel="0" collapsed="false">
      <c r="A228" s="1" t="n">
        <v>227</v>
      </c>
      <c r="B228" s="1" t="s">
        <v>668</v>
      </c>
      <c r="C228" s="1" t="s">
        <v>669</v>
      </c>
      <c r="D228" s="1" t="s">
        <v>50</v>
      </c>
      <c r="E228" s="1" t="s">
        <v>38</v>
      </c>
      <c r="F228" s="1" t="s">
        <v>11</v>
      </c>
      <c r="G228" s="1" t="s">
        <v>117</v>
      </c>
    </row>
    <row r="229" customFormat="false" ht="15" hidden="false" customHeight="true" outlineLevel="0" collapsed="false">
      <c r="A229" s="1" t="n">
        <v>228</v>
      </c>
      <c r="B229" s="1" t="s">
        <v>406</v>
      </c>
      <c r="C229" s="1" t="s">
        <v>670</v>
      </c>
      <c r="D229" s="1" t="s">
        <v>32</v>
      </c>
      <c r="E229" s="1" t="s">
        <v>33</v>
      </c>
      <c r="F229" s="1" t="s">
        <v>17</v>
      </c>
      <c r="G229" s="1" t="s">
        <v>671</v>
      </c>
    </row>
    <row r="230" customFormat="false" ht="15" hidden="false" customHeight="true" outlineLevel="0" collapsed="false">
      <c r="A230" s="1" t="n">
        <v>229</v>
      </c>
      <c r="B230" s="1" t="s">
        <v>258</v>
      </c>
      <c r="C230" s="1" t="s">
        <v>672</v>
      </c>
      <c r="D230" s="1" t="s">
        <v>42</v>
      </c>
      <c r="E230" s="1" t="s">
        <v>43</v>
      </c>
      <c r="F230" s="1" t="s">
        <v>11</v>
      </c>
      <c r="G230" s="1" t="s">
        <v>673</v>
      </c>
    </row>
    <row r="231" customFormat="false" ht="15" hidden="false" customHeight="true" outlineLevel="0" collapsed="false">
      <c r="A231" s="1" t="n">
        <v>230</v>
      </c>
      <c r="B231" s="1" t="s">
        <v>674</v>
      </c>
      <c r="C231" s="1" t="s">
        <v>675</v>
      </c>
      <c r="D231" s="1" t="s">
        <v>54</v>
      </c>
      <c r="E231" s="1" t="s">
        <v>55</v>
      </c>
      <c r="F231" s="1" t="s">
        <v>23</v>
      </c>
      <c r="G231" s="1" t="s">
        <v>97</v>
      </c>
    </row>
    <row r="232" customFormat="false" ht="15" hidden="false" customHeight="true" outlineLevel="0" collapsed="false">
      <c r="A232" s="1" t="n">
        <v>231</v>
      </c>
      <c r="B232" s="1" t="s">
        <v>676</v>
      </c>
      <c r="C232" s="1" t="s">
        <v>677</v>
      </c>
      <c r="D232" s="1" t="s">
        <v>67</v>
      </c>
      <c r="E232" s="1" t="s">
        <v>10</v>
      </c>
      <c r="F232" s="1" t="s">
        <v>11</v>
      </c>
      <c r="G232" s="1" t="s">
        <v>89</v>
      </c>
    </row>
    <row r="233" customFormat="false" ht="15" hidden="false" customHeight="true" outlineLevel="0" collapsed="false">
      <c r="A233" s="1" t="n">
        <v>232</v>
      </c>
      <c r="B233" s="1" t="s">
        <v>678</v>
      </c>
      <c r="C233" s="1" t="s">
        <v>679</v>
      </c>
      <c r="D233" s="1" t="s">
        <v>50</v>
      </c>
      <c r="E233" s="1" t="s">
        <v>38</v>
      </c>
      <c r="F233" s="1" t="s">
        <v>23</v>
      </c>
      <c r="G233" s="1" t="s">
        <v>680</v>
      </c>
    </row>
    <row r="234" customFormat="false" ht="15" hidden="false" customHeight="true" outlineLevel="0" collapsed="false">
      <c r="A234" s="1" t="n">
        <v>233</v>
      </c>
      <c r="B234" s="1" t="s">
        <v>681</v>
      </c>
      <c r="C234" s="1" t="s">
        <v>682</v>
      </c>
      <c r="D234" s="1" t="s">
        <v>50</v>
      </c>
      <c r="E234" s="1" t="s">
        <v>38</v>
      </c>
      <c r="F234" s="1" t="s">
        <v>23</v>
      </c>
      <c r="G234" s="1" t="s">
        <v>100</v>
      </c>
    </row>
    <row r="235" customFormat="false" ht="15" hidden="false" customHeight="true" outlineLevel="0" collapsed="false">
      <c r="A235" s="1" t="n">
        <v>234</v>
      </c>
      <c r="B235" s="1" t="s">
        <v>683</v>
      </c>
      <c r="C235" s="1" t="s">
        <v>684</v>
      </c>
      <c r="D235" s="1" t="s">
        <v>154</v>
      </c>
      <c r="E235" s="1" t="s">
        <v>10</v>
      </c>
      <c r="F235" s="1" t="s">
        <v>17</v>
      </c>
      <c r="G235" s="1" t="s">
        <v>56</v>
      </c>
    </row>
    <row r="236" customFormat="false" ht="15" hidden="false" customHeight="true" outlineLevel="0" collapsed="false">
      <c r="A236" s="1" t="n">
        <v>235</v>
      </c>
      <c r="B236" s="1" t="s">
        <v>685</v>
      </c>
      <c r="C236" s="1" t="s">
        <v>686</v>
      </c>
      <c r="D236" s="1" t="s">
        <v>62</v>
      </c>
      <c r="E236" s="1" t="s">
        <v>63</v>
      </c>
      <c r="F236" s="1" t="s">
        <v>17</v>
      </c>
      <c r="G236" s="1" t="s">
        <v>243</v>
      </c>
    </row>
    <row r="237" customFormat="false" ht="15" hidden="false" customHeight="true" outlineLevel="0" collapsed="false">
      <c r="A237" s="1" t="n">
        <v>236</v>
      </c>
      <c r="B237" s="1" t="s">
        <v>687</v>
      </c>
      <c r="C237" s="1" t="s">
        <v>688</v>
      </c>
      <c r="D237" s="1" t="s">
        <v>141</v>
      </c>
      <c r="E237" s="1" t="s">
        <v>142</v>
      </c>
      <c r="F237" s="1" t="s">
        <v>23</v>
      </c>
      <c r="G237" s="1" t="s">
        <v>689</v>
      </c>
    </row>
    <row r="238" customFormat="false" ht="15" hidden="false" customHeight="true" outlineLevel="0" collapsed="false">
      <c r="A238" s="1" t="n">
        <v>237</v>
      </c>
      <c r="B238" s="1" t="s">
        <v>690</v>
      </c>
      <c r="C238" s="1" t="s">
        <v>691</v>
      </c>
      <c r="D238" s="1" t="s">
        <v>54</v>
      </c>
      <c r="E238" s="1" t="s">
        <v>55</v>
      </c>
      <c r="F238" s="1" t="s">
        <v>11</v>
      </c>
      <c r="G238" s="1" t="s">
        <v>692</v>
      </c>
    </row>
    <row r="239" customFormat="false" ht="15" hidden="false" customHeight="true" outlineLevel="0" collapsed="false">
      <c r="A239" s="1" t="n">
        <v>238</v>
      </c>
      <c r="B239" s="1" t="s">
        <v>693</v>
      </c>
      <c r="C239" s="1" t="s">
        <v>694</v>
      </c>
      <c r="D239" s="1" t="s">
        <v>15</v>
      </c>
      <c r="E239" s="1" t="s">
        <v>16</v>
      </c>
      <c r="F239" s="1" t="s">
        <v>23</v>
      </c>
      <c r="G239" s="1" t="s">
        <v>194</v>
      </c>
    </row>
    <row r="240" customFormat="false" ht="15" hidden="false" customHeight="true" outlineLevel="0" collapsed="false">
      <c r="A240" s="1" t="n">
        <v>239</v>
      </c>
      <c r="B240" s="1" t="s">
        <v>695</v>
      </c>
      <c r="C240" s="1" t="s">
        <v>696</v>
      </c>
      <c r="D240" s="1" t="s">
        <v>50</v>
      </c>
      <c r="E240" s="1" t="s">
        <v>38</v>
      </c>
      <c r="F240" s="1" t="s">
        <v>23</v>
      </c>
      <c r="G240" s="1" t="s">
        <v>697</v>
      </c>
    </row>
    <row r="241" customFormat="false" ht="15" hidden="false" customHeight="true" outlineLevel="0" collapsed="false">
      <c r="A241" s="1" t="n">
        <v>240</v>
      </c>
      <c r="B241" s="1" t="s">
        <v>698</v>
      </c>
      <c r="C241" s="1" t="s">
        <v>699</v>
      </c>
      <c r="D241" s="1" t="s">
        <v>181</v>
      </c>
      <c r="E241" s="1" t="s">
        <v>182</v>
      </c>
      <c r="F241" s="1" t="s">
        <v>23</v>
      </c>
      <c r="G241" s="1" t="s">
        <v>214</v>
      </c>
    </row>
    <row r="242" customFormat="false" ht="15" hidden="false" customHeight="true" outlineLevel="0" collapsed="false">
      <c r="A242" s="1" t="n">
        <v>241</v>
      </c>
      <c r="B242" s="1" t="s">
        <v>241</v>
      </c>
      <c r="C242" s="1" t="s">
        <v>700</v>
      </c>
      <c r="D242" s="1" t="s">
        <v>105</v>
      </c>
      <c r="E242" s="1" t="s">
        <v>10</v>
      </c>
      <c r="F242" s="1" t="s">
        <v>17</v>
      </c>
      <c r="G242" s="1" t="s">
        <v>701</v>
      </c>
    </row>
    <row r="243" customFormat="false" ht="15" hidden="false" customHeight="true" outlineLevel="0" collapsed="false">
      <c r="A243" s="1" t="n">
        <v>242</v>
      </c>
      <c r="B243" s="1" t="s">
        <v>702</v>
      </c>
      <c r="C243" s="1" t="s">
        <v>703</v>
      </c>
      <c r="D243" s="1" t="s">
        <v>42</v>
      </c>
      <c r="E243" s="1" t="s">
        <v>43</v>
      </c>
      <c r="F243" s="1" t="s">
        <v>23</v>
      </c>
      <c r="G243" s="1" t="s">
        <v>704</v>
      </c>
    </row>
    <row r="244" customFormat="false" ht="15" hidden="false" customHeight="true" outlineLevel="0" collapsed="false">
      <c r="A244" s="1" t="n">
        <v>243</v>
      </c>
      <c r="B244" s="1" t="s">
        <v>705</v>
      </c>
      <c r="C244" s="1" t="s">
        <v>706</v>
      </c>
      <c r="D244" s="1" t="s">
        <v>62</v>
      </c>
      <c r="E244" s="1" t="s">
        <v>63</v>
      </c>
      <c r="F244" s="1" t="s">
        <v>17</v>
      </c>
      <c r="G244" s="1" t="s">
        <v>707</v>
      </c>
    </row>
    <row r="245" customFormat="false" ht="15" hidden="false" customHeight="true" outlineLevel="0" collapsed="false">
      <c r="A245" s="1" t="n">
        <v>244</v>
      </c>
      <c r="B245" s="1" t="s">
        <v>708</v>
      </c>
      <c r="C245" s="1" t="s">
        <v>709</v>
      </c>
      <c r="D245" s="1" t="s">
        <v>141</v>
      </c>
      <c r="E245" s="1" t="s">
        <v>142</v>
      </c>
      <c r="F245" s="1" t="s">
        <v>17</v>
      </c>
      <c r="G245" s="1" t="s">
        <v>710</v>
      </c>
    </row>
    <row r="246" customFormat="false" ht="15" hidden="false" customHeight="true" outlineLevel="0" collapsed="false">
      <c r="A246" s="1" t="n">
        <v>245</v>
      </c>
      <c r="B246" s="1" t="s">
        <v>711</v>
      </c>
      <c r="C246" s="1" t="s">
        <v>712</v>
      </c>
      <c r="D246" s="1" t="s">
        <v>92</v>
      </c>
      <c r="E246" s="1" t="s">
        <v>93</v>
      </c>
      <c r="F246" s="1" t="s">
        <v>11</v>
      </c>
      <c r="G246" s="1" t="s">
        <v>713</v>
      </c>
    </row>
    <row r="247" customFormat="false" ht="15" hidden="false" customHeight="true" outlineLevel="0" collapsed="false">
      <c r="A247" s="1" t="n">
        <v>246</v>
      </c>
      <c r="B247" s="1" t="s">
        <v>714</v>
      </c>
      <c r="C247" s="1" t="s">
        <v>715</v>
      </c>
      <c r="D247" s="1" t="s">
        <v>79</v>
      </c>
      <c r="E247" s="1" t="s">
        <v>80</v>
      </c>
      <c r="F247" s="1" t="s">
        <v>17</v>
      </c>
      <c r="G247" s="1" t="s">
        <v>713</v>
      </c>
    </row>
    <row r="248" customFormat="false" ht="15" hidden="false" customHeight="true" outlineLevel="0" collapsed="false">
      <c r="A248" s="1" t="n">
        <v>247</v>
      </c>
      <c r="B248" s="1" t="s">
        <v>716</v>
      </c>
      <c r="D248" s="1" t="s">
        <v>141</v>
      </c>
      <c r="E248" s="1" t="s">
        <v>142</v>
      </c>
      <c r="F248" s="1" t="s">
        <v>17</v>
      </c>
      <c r="G248" s="1" t="s">
        <v>717</v>
      </c>
    </row>
    <row r="249" customFormat="false" ht="15" hidden="false" customHeight="true" outlineLevel="0" collapsed="false">
      <c r="A249" s="1" t="n">
        <v>248</v>
      </c>
      <c r="B249" s="1" t="s">
        <v>718</v>
      </c>
      <c r="D249" s="1" t="s">
        <v>92</v>
      </c>
      <c r="E249" s="1" t="s">
        <v>93</v>
      </c>
      <c r="F249" s="1" t="s">
        <v>17</v>
      </c>
      <c r="G249" s="1" t="s">
        <v>719</v>
      </c>
    </row>
    <row r="250" customFormat="false" ht="15" hidden="false" customHeight="true" outlineLevel="0" collapsed="false">
      <c r="A250" s="1" t="n">
        <v>249</v>
      </c>
      <c r="B250" s="1" t="s">
        <v>720</v>
      </c>
      <c r="C250" s="1" t="s">
        <v>721</v>
      </c>
      <c r="D250" s="1" t="s">
        <v>181</v>
      </c>
      <c r="E250" s="1" t="s">
        <v>182</v>
      </c>
      <c r="F250" s="1" t="s">
        <v>11</v>
      </c>
      <c r="G250" s="1" t="s">
        <v>722</v>
      </c>
    </row>
    <row r="251" customFormat="false" ht="15" hidden="false" customHeight="true" outlineLevel="0" collapsed="false">
      <c r="A251" s="1" t="n">
        <v>250</v>
      </c>
      <c r="B251" s="1" t="s">
        <v>558</v>
      </c>
      <c r="C251" s="1" t="s">
        <v>723</v>
      </c>
      <c r="D251" s="1" t="s">
        <v>37</v>
      </c>
      <c r="E251" s="1" t="s">
        <v>38</v>
      </c>
      <c r="F251" s="1" t="s">
        <v>11</v>
      </c>
      <c r="G251" s="1" t="s">
        <v>614</v>
      </c>
    </row>
    <row r="252" customFormat="false" ht="15" hidden="false" customHeight="true" outlineLevel="0" collapsed="false">
      <c r="A252" s="1" t="n">
        <v>251</v>
      </c>
      <c r="B252" s="1" t="s">
        <v>724</v>
      </c>
      <c r="C252" s="1" t="s">
        <v>725</v>
      </c>
      <c r="D252" s="1" t="s">
        <v>21</v>
      </c>
      <c r="E252" s="1" t="s">
        <v>22</v>
      </c>
      <c r="F252" s="1" t="s">
        <v>17</v>
      </c>
      <c r="G252" s="1" t="s">
        <v>726</v>
      </c>
    </row>
    <row r="253" customFormat="false" ht="15" hidden="false" customHeight="true" outlineLevel="0" collapsed="false">
      <c r="A253" s="1" t="n">
        <v>252</v>
      </c>
      <c r="B253" s="1" t="s">
        <v>727</v>
      </c>
      <c r="C253" s="1" t="s">
        <v>728</v>
      </c>
      <c r="D253" s="1" t="s">
        <v>32</v>
      </c>
      <c r="E253" s="1" t="s">
        <v>33</v>
      </c>
      <c r="F253" s="1" t="s">
        <v>11</v>
      </c>
      <c r="G253" s="1" t="s">
        <v>729</v>
      </c>
    </row>
    <row r="254" customFormat="false" ht="15" hidden="false" customHeight="true" outlineLevel="0" collapsed="false">
      <c r="A254" s="1" t="n">
        <v>253</v>
      </c>
      <c r="B254" s="1" t="s">
        <v>730</v>
      </c>
      <c r="C254" s="1" t="s">
        <v>731</v>
      </c>
      <c r="D254" s="1" t="s">
        <v>27</v>
      </c>
      <c r="E254" s="1" t="s">
        <v>28</v>
      </c>
      <c r="F254" s="1" t="s">
        <v>11</v>
      </c>
      <c r="G254" s="1" t="s">
        <v>732</v>
      </c>
    </row>
    <row r="255" customFormat="false" ht="15" hidden="false" customHeight="true" outlineLevel="0" collapsed="false">
      <c r="A255" s="1" t="n">
        <v>254</v>
      </c>
      <c r="B255" s="1" t="s">
        <v>733</v>
      </c>
      <c r="C255" s="1" t="s">
        <v>734</v>
      </c>
      <c r="D255" s="1" t="s">
        <v>9</v>
      </c>
      <c r="E255" s="1" t="s">
        <v>10</v>
      </c>
      <c r="F255" s="1" t="s">
        <v>17</v>
      </c>
      <c r="G255" s="1" t="s">
        <v>183</v>
      </c>
    </row>
    <row r="256" customFormat="false" ht="15" hidden="false" customHeight="true" outlineLevel="0" collapsed="false">
      <c r="A256" s="1" t="n">
        <v>255</v>
      </c>
      <c r="B256" s="1" t="s">
        <v>735</v>
      </c>
      <c r="C256" s="1" t="s">
        <v>736</v>
      </c>
      <c r="D256" s="1" t="s">
        <v>105</v>
      </c>
      <c r="E256" s="1" t="s">
        <v>10</v>
      </c>
      <c r="F256" s="1" t="s">
        <v>23</v>
      </c>
      <c r="G256" s="1" t="s">
        <v>737</v>
      </c>
    </row>
    <row r="257" customFormat="false" ht="15" hidden="false" customHeight="true" outlineLevel="0" collapsed="false">
      <c r="A257" s="1" t="n">
        <v>256</v>
      </c>
      <c r="B257" s="1" t="s">
        <v>315</v>
      </c>
      <c r="C257" s="1" t="s">
        <v>738</v>
      </c>
      <c r="D257" s="1" t="s">
        <v>32</v>
      </c>
      <c r="E257" s="1" t="s">
        <v>33</v>
      </c>
      <c r="F257" s="1" t="s">
        <v>17</v>
      </c>
      <c r="G257" s="1" t="s">
        <v>739</v>
      </c>
    </row>
    <row r="258" customFormat="false" ht="15" hidden="false" customHeight="true" outlineLevel="0" collapsed="false">
      <c r="A258" s="1" t="n">
        <v>257</v>
      </c>
      <c r="B258" s="1" t="s">
        <v>740</v>
      </c>
      <c r="C258" s="1" t="s">
        <v>741</v>
      </c>
      <c r="D258" s="1" t="s">
        <v>42</v>
      </c>
      <c r="E258" s="1" t="s">
        <v>43</v>
      </c>
      <c r="F258" s="1" t="s">
        <v>17</v>
      </c>
      <c r="G258" s="1" t="s">
        <v>742</v>
      </c>
    </row>
    <row r="259" customFormat="false" ht="15" hidden="false" customHeight="true" outlineLevel="0" collapsed="false">
      <c r="A259" s="1" t="n">
        <v>258</v>
      </c>
      <c r="B259" s="1" t="s">
        <v>743</v>
      </c>
      <c r="C259" s="1" t="s">
        <v>744</v>
      </c>
      <c r="D259" s="1" t="s">
        <v>27</v>
      </c>
      <c r="E259" s="1" t="s">
        <v>28</v>
      </c>
      <c r="F259" s="1" t="s">
        <v>17</v>
      </c>
      <c r="G259" s="1" t="s">
        <v>745</v>
      </c>
    </row>
    <row r="260" customFormat="false" ht="15" hidden="false" customHeight="true" outlineLevel="0" collapsed="false">
      <c r="A260" s="1" t="n">
        <v>259</v>
      </c>
      <c r="B260" s="1" t="s">
        <v>746</v>
      </c>
      <c r="C260" s="1" t="s">
        <v>747</v>
      </c>
      <c r="D260" s="1" t="s">
        <v>21</v>
      </c>
      <c r="E260" s="1" t="s">
        <v>22</v>
      </c>
      <c r="F260" s="1" t="s">
        <v>11</v>
      </c>
      <c r="G260" s="1" t="s">
        <v>748</v>
      </c>
    </row>
    <row r="261" customFormat="false" ht="15" hidden="false" customHeight="true" outlineLevel="0" collapsed="false">
      <c r="A261" s="1" t="n">
        <v>260</v>
      </c>
      <c r="B261" s="1" t="s">
        <v>749</v>
      </c>
      <c r="D261" s="1" t="s">
        <v>141</v>
      </c>
      <c r="E261" s="1" t="s">
        <v>142</v>
      </c>
      <c r="F261" s="1" t="s">
        <v>23</v>
      </c>
      <c r="G261" s="1" t="s">
        <v>750</v>
      </c>
    </row>
    <row r="262" customFormat="false" ht="15" hidden="false" customHeight="true" outlineLevel="0" collapsed="false">
      <c r="A262" s="1" t="n">
        <v>261</v>
      </c>
      <c r="B262" s="1" t="s">
        <v>751</v>
      </c>
      <c r="C262" s="1" t="s">
        <v>752</v>
      </c>
      <c r="D262" s="1" t="s">
        <v>141</v>
      </c>
      <c r="E262" s="1" t="s">
        <v>142</v>
      </c>
      <c r="F262" s="1" t="s">
        <v>11</v>
      </c>
      <c r="G262" s="1" t="s">
        <v>753</v>
      </c>
    </row>
    <row r="263" customFormat="false" ht="15" hidden="false" customHeight="true" outlineLevel="0" collapsed="false">
      <c r="A263" s="1" t="n">
        <v>262</v>
      </c>
      <c r="B263" s="1" t="s">
        <v>754</v>
      </c>
      <c r="C263" s="1" t="s">
        <v>755</v>
      </c>
      <c r="D263" s="1" t="s">
        <v>27</v>
      </c>
      <c r="E263" s="1" t="s">
        <v>28</v>
      </c>
      <c r="F263" s="1" t="s">
        <v>17</v>
      </c>
      <c r="G263" s="1" t="s">
        <v>756</v>
      </c>
    </row>
    <row r="264" customFormat="false" ht="15" hidden="false" customHeight="true" outlineLevel="0" collapsed="false">
      <c r="A264" s="1" t="n">
        <v>263</v>
      </c>
      <c r="B264" s="1" t="s">
        <v>315</v>
      </c>
      <c r="C264" s="1" t="s">
        <v>757</v>
      </c>
      <c r="D264" s="1" t="s">
        <v>157</v>
      </c>
      <c r="E264" s="1" t="s">
        <v>158</v>
      </c>
      <c r="F264" s="1" t="s">
        <v>11</v>
      </c>
      <c r="G264" s="1" t="s">
        <v>758</v>
      </c>
    </row>
    <row r="265" customFormat="false" ht="15" hidden="false" customHeight="true" outlineLevel="0" collapsed="false">
      <c r="A265" s="1" t="n">
        <v>264</v>
      </c>
      <c r="B265" s="1" t="s">
        <v>759</v>
      </c>
      <c r="C265" s="1" t="s">
        <v>760</v>
      </c>
      <c r="D265" s="1" t="s">
        <v>62</v>
      </c>
      <c r="E265" s="1" t="s">
        <v>63</v>
      </c>
      <c r="F265" s="1" t="s">
        <v>17</v>
      </c>
      <c r="G265" s="1" t="s">
        <v>761</v>
      </c>
    </row>
    <row r="266" customFormat="false" ht="15" hidden="false" customHeight="true" outlineLevel="0" collapsed="false">
      <c r="A266" s="1" t="n">
        <v>265</v>
      </c>
      <c r="B266" s="1" t="s">
        <v>762</v>
      </c>
      <c r="C266" s="1" t="s">
        <v>763</v>
      </c>
      <c r="D266" s="1" t="s">
        <v>54</v>
      </c>
      <c r="E266" s="1" t="s">
        <v>55</v>
      </c>
      <c r="F266" s="1" t="s">
        <v>23</v>
      </c>
      <c r="G266" s="1" t="s">
        <v>764</v>
      </c>
    </row>
    <row r="267" customFormat="false" ht="15" hidden="false" customHeight="true" outlineLevel="0" collapsed="false">
      <c r="A267" s="1" t="n">
        <v>266</v>
      </c>
      <c r="B267" s="1" t="s">
        <v>765</v>
      </c>
      <c r="C267" s="1" t="s">
        <v>766</v>
      </c>
      <c r="D267" s="1" t="s">
        <v>27</v>
      </c>
      <c r="E267" s="1" t="s">
        <v>28</v>
      </c>
      <c r="F267" s="1" t="s">
        <v>23</v>
      </c>
      <c r="G267" s="1" t="s">
        <v>399</v>
      </c>
    </row>
    <row r="268" customFormat="false" ht="15" hidden="false" customHeight="true" outlineLevel="0" collapsed="false">
      <c r="A268" s="1" t="n">
        <v>267</v>
      </c>
      <c r="B268" s="1" t="s">
        <v>767</v>
      </c>
      <c r="C268" s="1" t="s">
        <v>768</v>
      </c>
      <c r="D268" s="1" t="s">
        <v>27</v>
      </c>
      <c r="E268" s="1" t="s">
        <v>28</v>
      </c>
      <c r="F268" s="1" t="s">
        <v>23</v>
      </c>
      <c r="G268" s="1" t="s">
        <v>769</v>
      </c>
    </row>
    <row r="269" customFormat="false" ht="15" hidden="false" customHeight="true" outlineLevel="0" collapsed="false">
      <c r="A269" s="1" t="n">
        <v>268</v>
      </c>
      <c r="B269" s="1" t="s">
        <v>770</v>
      </c>
      <c r="C269" s="1" t="s">
        <v>771</v>
      </c>
      <c r="D269" s="1" t="s">
        <v>32</v>
      </c>
      <c r="E269" s="1" t="s">
        <v>33</v>
      </c>
      <c r="F269" s="1" t="s">
        <v>17</v>
      </c>
      <c r="G269" s="1" t="s">
        <v>772</v>
      </c>
    </row>
    <row r="270" customFormat="false" ht="15" hidden="false" customHeight="true" outlineLevel="0" collapsed="false">
      <c r="A270" s="1" t="n">
        <v>269</v>
      </c>
      <c r="B270" s="1" t="s">
        <v>773</v>
      </c>
      <c r="C270" s="1" t="s">
        <v>774</v>
      </c>
      <c r="D270" s="1" t="s">
        <v>79</v>
      </c>
      <c r="E270" s="1" t="s">
        <v>80</v>
      </c>
      <c r="F270" s="1" t="s">
        <v>23</v>
      </c>
      <c r="G270" s="1" t="s">
        <v>775</v>
      </c>
    </row>
    <row r="271" customFormat="false" ht="15" hidden="false" customHeight="true" outlineLevel="0" collapsed="false">
      <c r="A271" s="1" t="n">
        <v>270</v>
      </c>
      <c r="B271" s="1" t="s">
        <v>776</v>
      </c>
      <c r="C271" s="1" t="s">
        <v>777</v>
      </c>
      <c r="D271" s="1" t="s">
        <v>62</v>
      </c>
      <c r="E271" s="1" t="s">
        <v>63</v>
      </c>
      <c r="F271" s="1" t="s">
        <v>17</v>
      </c>
      <c r="G271" s="1" t="s">
        <v>97</v>
      </c>
    </row>
    <row r="272" customFormat="false" ht="15" hidden="false" customHeight="true" outlineLevel="0" collapsed="false">
      <c r="A272" s="1" t="n">
        <v>271</v>
      </c>
      <c r="B272" s="1" t="s">
        <v>778</v>
      </c>
      <c r="C272" s="1" t="s">
        <v>779</v>
      </c>
      <c r="D272" s="1" t="s">
        <v>54</v>
      </c>
      <c r="E272" s="1" t="s">
        <v>55</v>
      </c>
      <c r="F272" s="1" t="s">
        <v>17</v>
      </c>
      <c r="G272" s="1" t="s">
        <v>780</v>
      </c>
    </row>
    <row r="273" customFormat="false" ht="15" hidden="false" customHeight="true" outlineLevel="0" collapsed="false">
      <c r="A273" s="1" t="n">
        <v>272</v>
      </c>
      <c r="B273" s="1" t="s">
        <v>781</v>
      </c>
      <c r="C273" s="1" t="s">
        <v>782</v>
      </c>
      <c r="D273" s="1" t="s">
        <v>42</v>
      </c>
      <c r="E273" s="1" t="s">
        <v>43</v>
      </c>
      <c r="F273" s="1" t="s">
        <v>11</v>
      </c>
      <c r="G273" s="1" t="s">
        <v>783</v>
      </c>
    </row>
    <row r="274" customFormat="false" ht="15" hidden="false" customHeight="true" outlineLevel="0" collapsed="false">
      <c r="A274" s="1" t="n">
        <v>273</v>
      </c>
      <c r="B274" s="1" t="s">
        <v>784</v>
      </c>
      <c r="C274" s="1" t="s">
        <v>785</v>
      </c>
      <c r="D274" s="1" t="s">
        <v>50</v>
      </c>
      <c r="E274" s="1" t="s">
        <v>38</v>
      </c>
      <c r="F274" s="1" t="s">
        <v>23</v>
      </c>
      <c r="G274" s="1" t="s">
        <v>786</v>
      </c>
    </row>
    <row r="275" customFormat="false" ht="15" hidden="false" customHeight="true" outlineLevel="0" collapsed="false">
      <c r="A275" s="1" t="n">
        <v>274</v>
      </c>
      <c r="B275" s="1" t="s">
        <v>787</v>
      </c>
      <c r="C275" s="1" t="s">
        <v>788</v>
      </c>
      <c r="D275" s="1" t="s">
        <v>37</v>
      </c>
      <c r="E275" s="1" t="s">
        <v>38</v>
      </c>
      <c r="F275" s="1" t="s">
        <v>23</v>
      </c>
      <c r="G275" s="1" t="s">
        <v>789</v>
      </c>
    </row>
    <row r="276" customFormat="false" ht="15" hidden="false" customHeight="true" outlineLevel="0" collapsed="false">
      <c r="A276" s="1" t="n">
        <v>275</v>
      </c>
      <c r="B276" s="1" t="s">
        <v>790</v>
      </c>
      <c r="C276" s="1" t="s">
        <v>791</v>
      </c>
      <c r="D276" s="1" t="s">
        <v>157</v>
      </c>
      <c r="E276" s="1" t="s">
        <v>158</v>
      </c>
      <c r="F276" s="1" t="s">
        <v>11</v>
      </c>
      <c r="G276" s="1" t="s">
        <v>792</v>
      </c>
    </row>
    <row r="277" customFormat="false" ht="15" hidden="false" customHeight="true" outlineLevel="0" collapsed="false">
      <c r="A277" s="1" t="n">
        <v>276</v>
      </c>
      <c r="B277" s="1" t="s">
        <v>793</v>
      </c>
      <c r="C277" s="1" t="s">
        <v>794</v>
      </c>
      <c r="D277" s="1" t="s">
        <v>154</v>
      </c>
      <c r="E277" s="1" t="s">
        <v>10</v>
      </c>
      <c r="F277" s="1" t="s">
        <v>23</v>
      </c>
      <c r="G277" s="1" t="s">
        <v>795</v>
      </c>
    </row>
    <row r="278" customFormat="false" ht="15" hidden="false" customHeight="true" outlineLevel="0" collapsed="false">
      <c r="A278" s="1" t="n">
        <v>277</v>
      </c>
      <c r="B278" s="1" t="s">
        <v>796</v>
      </c>
      <c r="D278" s="1" t="s">
        <v>15</v>
      </c>
      <c r="E278" s="1" t="s">
        <v>16</v>
      </c>
      <c r="F278" s="1" t="s">
        <v>23</v>
      </c>
      <c r="G278" s="1" t="s">
        <v>689</v>
      </c>
    </row>
    <row r="279" customFormat="false" ht="15" hidden="false" customHeight="true" outlineLevel="0" collapsed="false">
      <c r="A279" s="1" t="n">
        <v>278</v>
      </c>
      <c r="B279" s="1" t="s">
        <v>797</v>
      </c>
      <c r="C279" s="1" t="s">
        <v>798</v>
      </c>
      <c r="D279" s="1" t="s">
        <v>37</v>
      </c>
      <c r="E279" s="1" t="s">
        <v>38</v>
      </c>
      <c r="F279" s="1" t="s">
        <v>11</v>
      </c>
      <c r="G279" s="1" t="s">
        <v>799</v>
      </c>
    </row>
    <row r="280" customFormat="false" ht="15" hidden="false" customHeight="true" outlineLevel="0" collapsed="false">
      <c r="A280" s="1" t="n">
        <v>279</v>
      </c>
      <c r="B280" s="1" t="s">
        <v>800</v>
      </c>
      <c r="C280" s="1" t="s">
        <v>801</v>
      </c>
      <c r="D280" s="1" t="s">
        <v>62</v>
      </c>
      <c r="E280" s="1" t="s">
        <v>63</v>
      </c>
      <c r="F280" s="1" t="s">
        <v>123</v>
      </c>
      <c r="G280" s="1" t="s">
        <v>667</v>
      </c>
    </row>
    <row r="281" customFormat="false" ht="15" hidden="false" customHeight="true" outlineLevel="0" collapsed="false">
      <c r="A281" s="1" t="n">
        <v>280</v>
      </c>
      <c r="B281" s="1" t="s">
        <v>802</v>
      </c>
      <c r="C281" s="1" t="s">
        <v>803</v>
      </c>
      <c r="D281" s="1" t="s">
        <v>9</v>
      </c>
      <c r="E281" s="1" t="s">
        <v>10</v>
      </c>
      <c r="F281" s="1" t="s">
        <v>11</v>
      </c>
      <c r="G281" s="1" t="s">
        <v>804</v>
      </c>
    </row>
    <row r="282" customFormat="false" ht="15" hidden="false" customHeight="true" outlineLevel="0" collapsed="false">
      <c r="A282" s="1" t="n">
        <v>281</v>
      </c>
      <c r="B282" s="1" t="s">
        <v>805</v>
      </c>
      <c r="C282" s="1" t="s">
        <v>806</v>
      </c>
      <c r="D282" s="1" t="s">
        <v>67</v>
      </c>
      <c r="E282" s="1" t="s">
        <v>10</v>
      </c>
      <c r="F282" s="1" t="s">
        <v>23</v>
      </c>
      <c r="G282" s="1" t="s">
        <v>807</v>
      </c>
    </row>
    <row r="283" customFormat="false" ht="15" hidden="false" customHeight="true" outlineLevel="0" collapsed="false">
      <c r="A283" s="1" t="n">
        <v>282</v>
      </c>
      <c r="B283" s="1" t="s">
        <v>808</v>
      </c>
      <c r="C283" s="1" t="s">
        <v>809</v>
      </c>
      <c r="D283" s="1" t="s">
        <v>42</v>
      </c>
      <c r="E283" s="1" t="s">
        <v>43</v>
      </c>
      <c r="F283" s="1" t="s">
        <v>23</v>
      </c>
      <c r="G283" s="1" t="s">
        <v>810</v>
      </c>
    </row>
    <row r="284" customFormat="false" ht="15" hidden="false" customHeight="true" outlineLevel="0" collapsed="false">
      <c r="A284" s="1" t="n">
        <v>283</v>
      </c>
      <c r="B284" s="1" t="s">
        <v>811</v>
      </c>
      <c r="C284" s="1" t="s">
        <v>812</v>
      </c>
      <c r="D284" s="1" t="s">
        <v>141</v>
      </c>
      <c r="E284" s="1" t="s">
        <v>142</v>
      </c>
      <c r="F284" s="1" t="s">
        <v>17</v>
      </c>
      <c r="G284" s="1" t="s">
        <v>813</v>
      </c>
    </row>
    <row r="285" customFormat="false" ht="15" hidden="false" customHeight="true" outlineLevel="0" collapsed="false">
      <c r="A285" s="1" t="n">
        <v>284</v>
      </c>
      <c r="B285" s="1" t="s">
        <v>814</v>
      </c>
      <c r="C285" s="1" t="s">
        <v>815</v>
      </c>
      <c r="D285" s="1" t="s">
        <v>21</v>
      </c>
      <c r="E285" s="1" t="s">
        <v>22</v>
      </c>
      <c r="F285" s="1" t="s">
        <v>11</v>
      </c>
      <c r="G285" s="1" t="s">
        <v>648</v>
      </c>
    </row>
    <row r="286" customFormat="false" ht="15" hidden="false" customHeight="true" outlineLevel="0" collapsed="false">
      <c r="A286" s="1" t="n">
        <v>285</v>
      </c>
      <c r="B286" s="1" t="s">
        <v>816</v>
      </c>
      <c r="C286" s="1" t="s">
        <v>817</v>
      </c>
      <c r="D286" s="1" t="s">
        <v>141</v>
      </c>
      <c r="E286" s="1" t="s">
        <v>142</v>
      </c>
      <c r="F286" s="1" t="s">
        <v>11</v>
      </c>
      <c r="G286" s="1" t="s">
        <v>505</v>
      </c>
    </row>
    <row r="287" customFormat="false" ht="15" hidden="false" customHeight="true" outlineLevel="0" collapsed="false">
      <c r="A287" s="1" t="n">
        <v>286</v>
      </c>
      <c r="B287" s="1" t="s">
        <v>818</v>
      </c>
      <c r="C287" s="1" t="s">
        <v>819</v>
      </c>
      <c r="D287" s="1" t="s">
        <v>32</v>
      </c>
      <c r="E287" s="1" t="s">
        <v>33</v>
      </c>
      <c r="F287" s="1" t="s">
        <v>23</v>
      </c>
      <c r="G287" s="1" t="s">
        <v>542</v>
      </c>
    </row>
    <row r="288" customFormat="false" ht="15" hidden="false" customHeight="true" outlineLevel="0" collapsed="false">
      <c r="A288" s="1" t="n">
        <v>287</v>
      </c>
      <c r="B288" s="1" t="s">
        <v>820</v>
      </c>
      <c r="C288" s="1" t="s">
        <v>821</v>
      </c>
      <c r="D288" s="1" t="s">
        <v>181</v>
      </c>
      <c r="E288" s="1" t="s">
        <v>182</v>
      </c>
      <c r="F288" s="1" t="s">
        <v>23</v>
      </c>
      <c r="G288" s="1" t="s">
        <v>822</v>
      </c>
    </row>
    <row r="289" customFormat="false" ht="15" hidden="false" customHeight="true" outlineLevel="0" collapsed="false">
      <c r="A289" s="1" t="n">
        <v>288</v>
      </c>
      <c r="B289" s="1" t="s">
        <v>823</v>
      </c>
      <c r="C289" s="1" t="s">
        <v>824</v>
      </c>
      <c r="D289" s="1" t="s">
        <v>157</v>
      </c>
      <c r="E289" s="1" t="s">
        <v>158</v>
      </c>
      <c r="F289" s="1" t="s">
        <v>17</v>
      </c>
      <c r="G289" s="1" t="s">
        <v>825</v>
      </c>
    </row>
    <row r="290" customFormat="false" ht="15" hidden="false" customHeight="true" outlineLevel="0" collapsed="false">
      <c r="A290" s="1" t="n">
        <v>289</v>
      </c>
      <c r="B290" s="1" t="s">
        <v>826</v>
      </c>
      <c r="C290" s="1" t="s">
        <v>827</v>
      </c>
      <c r="D290" s="1" t="s">
        <v>54</v>
      </c>
      <c r="E290" s="1" t="s">
        <v>55</v>
      </c>
      <c r="F290" s="1" t="s">
        <v>11</v>
      </c>
      <c r="G290" s="1" t="s">
        <v>828</v>
      </c>
    </row>
    <row r="291" customFormat="false" ht="15" hidden="false" customHeight="true" outlineLevel="0" collapsed="false">
      <c r="A291" s="1" t="n">
        <v>290</v>
      </c>
      <c r="B291" s="1" t="s">
        <v>829</v>
      </c>
      <c r="C291" s="1" t="s">
        <v>830</v>
      </c>
      <c r="D291" s="1" t="s">
        <v>9</v>
      </c>
      <c r="E291" s="1" t="s">
        <v>10</v>
      </c>
      <c r="F291" s="1" t="s">
        <v>11</v>
      </c>
      <c r="G291" s="1" t="s">
        <v>292</v>
      </c>
    </row>
    <row r="292" customFormat="false" ht="15" hidden="false" customHeight="true" outlineLevel="0" collapsed="false">
      <c r="A292" s="1" t="n">
        <v>291</v>
      </c>
      <c r="B292" s="1" t="s">
        <v>790</v>
      </c>
      <c r="C292" s="1" t="s">
        <v>831</v>
      </c>
      <c r="D292" s="1" t="s">
        <v>42</v>
      </c>
      <c r="E292" s="1" t="s">
        <v>43</v>
      </c>
      <c r="F292" s="1" t="s">
        <v>11</v>
      </c>
      <c r="G292" s="1" t="s">
        <v>832</v>
      </c>
    </row>
    <row r="293" customFormat="false" ht="15" hidden="false" customHeight="true" outlineLevel="0" collapsed="false">
      <c r="A293" s="1" t="n">
        <v>292</v>
      </c>
      <c r="B293" s="1" t="s">
        <v>833</v>
      </c>
      <c r="C293" s="1" t="s">
        <v>834</v>
      </c>
      <c r="D293" s="1" t="s">
        <v>79</v>
      </c>
      <c r="E293" s="1" t="s">
        <v>80</v>
      </c>
      <c r="F293" s="1" t="s">
        <v>17</v>
      </c>
      <c r="G293" s="1" t="s">
        <v>772</v>
      </c>
    </row>
    <row r="294" customFormat="false" ht="15" hidden="false" customHeight="true" outlineLevel="0" collapsed="false">
      <c r="A294" s="1" t="n">
        <v>293</v>
      </c>
      <c r="B294" s="1" t="s">
        <v>835</v>
      </c>
      <c r="C294" s="1" t="s">
        <v>836</v>
      </c>
      <c r="D294" s="1" t="s">
        <v>67</v>
      </c>
      <c r="E294" s="1" t="s">
        <v>10</v>
      </c>
      <c r="F294" s="1" t="s">
        <v>17</v>
      </c>
      <c r="G294" s="1" t="s">
        <v>545</v>
      </c>
    </row>
    <row r="295" customFormat="false" ht="15" hidden="false" customHeight="true" outlineLevel="0" collapsed="false">
      <c r="A295" s="1" t="n">
        <v>294</v>
      </c>
      <c r="B295" s="1" t="s">
        <v>837</v>
      </c>
      <c r="C295" s="1" t="s">
        <v>838</v>
      </c>
      <c r="D295" s="1" t="s">
        <v>141</v>
      </c>
      <c r="E295" s="1" t="s">
        <v>142</v>
      </c>
      <c r="F295" s="1" t="s">
        <v>11</v>
      </c>
      <c r="G295" s="1" t="s">
        <v>489</v>
      </c>
    </row>
    <row r="296" customFormat="false" ht="15" hidden="false" customHeight="true" outlineLevel="0" collapsed="false">
      <c r="A296" s="1" t="n">
        <v>295</v>
      </c>
      <c r="B296" s="1" t="s">
        <v>839</v>
      </c>
      <c r="C296" s="1" t="s">
        <v>840</v>
      </c>
      <c r="D296" s="1" t="s">
        <v>62</v>
      </c>
      <c r="E296" s="1" t="s">
        <v>63</v>
      </c>
      <c r="F296" s="1" t="s">
        <v>17</v>
      </c>
      <c r="G296" s="1" t="s">
        <v>841</v>
      </c>
    </row>
    <row r="297" customFormat="false" ht="15" hidden="false" customHeight="true" outlineLevel="0" collapsed="false">
      <c r="A297" s="1" t="n">
        <v>296</v>
      </c>
      <c r="B297" s="1" t="s">
        <v>842</v>
      </c>
      <c r="C297" s="1" t="s">
        <v>843</v>
      </c>
      <c r="D297" s="1" t="s">
        <v>92</v>
      </c>
      <c r="E297" s="1" t="s">
        <v>93</v>
      </c>
      <c r="F297" s="1" t="s">
        <v>23</v>
      </c>
      <c r="G297" s="1" t="s">
        <v>527</v>
      </c>
    </row>
    <row r="298" customFormat="false" ht="15" hidden="false" customHeight="true" outlineLevel="0" collapsed="false">
      <c r="A298" s="1" t="n">
        <v>297</v>
      </c>
      <c r="B298" s="1" t="s">
        <v>844</v>
      </c>
      <c r="C298" s="1" t="s">
        <v>845</v>
      </c>
      <c r="D298" s="1" t="s">
        <v>15</v>
      </c>
      <c r="E298" s="1" t="s">
        <v>16</v>
      </c>
      <c r="F298" s="1" t="s">
        <v>23</v>
      </c>
      <c r="G298" s="1" t="s">
        <v>846</v>
      </c>
    </row>
    <row r="299" customFormat="false" ht="15" hidden="false" customHeight="true" outlineLevel="0" collapsed="false">
      <c r="A299" s="1" t="n">
        <v>298</v>
      </c>
      <c r="B299" s="1" t="s">
        <v>847</v>
      </c>
      <c r="C299" s="1" t="s">
        <v>848</v>
      </c>
      <c r="D299" s="1" t="s">
        <v>21</v>
      </c>
      <c r="E299" s="1" t="s">
        <v>22</v>
      </c>
      <c r="F299" s="1" t="s">
        <v>11</v>
      </c>
      <c r="G299" s="1" t="s">
        <v>138</v>
      </c>
    </row>
    <row r="300" customFormat="false" ht="15" hidden="false" customHeight="true" outlineLevel="0" collapsed="false">
      <c r="A300" s="1" t="n">
        <v>299</v>
      </c>
      <c r="B300" s="1" t="s">
        <v>69</v>
      </c>
      <c r="C300" s="1" t="s">
        <v>849</v>
      </c>
      <c r="D300" s="1" t="s">
        <v>67</v>
      </c>
      <c r="E300" s="1" t="s">
        <v>10</v>
      </c>
      <c r="F300" s="1" t="s">
        <v>17</v>
      </c>
      <c r="G300" s="1" t="s">
        <v>572</v>
      </c>
    </row>
    <row r="301" customFormat="false" ht="15" hidden="false" customHeight="true" outlineLevel="0" collapsed="false">
      <c r="A301" s="1" t="n">
        <v>300</v>
      </c>
      <c r="B301" s="1" t="s">
        <v>850</v>
      </c>
      <c r="C301" s="1" t="s">
        <v>851</v>
      </c>
      <c r="D301" s="1" t="s">
        <v>9</v>
      </c>
      <c r="E301" s="1" t="s">
        <v>10</v>
      </c>
      <c r="F301" s="1" t="s">
        <v>11</v>
      </c>
      <c r="G301" s="1" t="s">
        <v>852</v>
      </c>
    </row>
    <row r="302" customFormat="false" ht="15" hidden="false" customHeight="true" outlineLevel="0" collapsed="false">
      <c r="A302" s="1" t="n">
        <v>301</v>
      </c>
      <c r="B302" s="1" t="s">
        <v>665</v>
      </c>
      <c r="D302" s="1" t="s">
        <v>37</v>
      </c>
      <c r="E302" s="1" t="s">
        <v>38</v>
      </c>
      <c r="F302" s="1" t="s">
        <v>23</v>
      </c>
      <c r="G302" s="1" t="s">
        <v>853</v>
      </c>
    </row>
    <row r="303" customFormat="false" ht="15" hidden="false" customHeight="true" outlineLevel="0" collapsed="false">
      <c r="A303" s="1" t="n">
        <v>302</v>
      </c>
      <c r="B303" s="1" t="s">
        <v>854</v>
      </c>
      <c r="C303" s="1" t="s">
        <v>855</v>
      </c>
      <c r="D303" s="1" t="s">
        <v>157</v>
      </c>
      <c r="E303" s="1" t="s">
        <v>158</v>
      </c>
      <c r="F303" s="1" t="s">
        <v>23</v>
      </c>
      <c r="G303" s="1" t="s">
        <v>856</v>
      </c>
    </row>
    <row r="304" customFormat="false" ht="15" hidden="false" customHeight="true" outlineLevel="0" collapsed="false">
      <c r="A304" s="1" t="n">
        <v>303</v>
      </c>
      <c r="B304" s="1" t="s">
        <v>857</v>
      </c>
      <c r="C304" s="1" t="s">
        <v>858</v>
      </c>
      <c r="D304" s="1" t="s">
        <v>37</v>
      </c>
      <c r="E304" s="1" t="s">
        <v>38</v>
      </c>
      <c r="F304" s="1" t="s">
        <v>23</v>
      </c>
      <c r="G304" s="1" t="s">
        <v>648</v>
      </c>
    </row>
    <row r="305" customFormat="false" ht="15" hidden="false" customHeight="true" outlineLevel="0" collapsed="false">
      <c r="A305" s="1" t="n">
        <v>304</v>
      </c>
      <c r="B305" s="1" t="s">
        <v>258</v>
      </c>
      <c r="C305" s="1" t="s">
        <v>859</v>
      </c>
      <c r="D305" s="1" t="s">
        <v>141</v>
      </c>
      <c r="E305" s="1" t="s">
        <v>142</v>
      </c>
      <c r="F305" s="1" t="s">
        <v>17</v>
      </c>
      <c r="G305" s="1" t="s">
        <v>117</v>
      </c>
    </row>
    <row r="306" customFormat="false" ht="15" hidden="false" customHeight="true" outlineLevel="0" collapsed="false">
      <c r="A306" s="1" t="n">
        <v>305</v>
      </c>
      <c r="B306" s="1" t="s">
        <v>147</v>
      </c>
      <c r="C306" s="1" t="s">
        <v>860</v>
      </c>
      <c r="D306" s="1" t="s">
        <v>62</v>
      </c>
      <c r="E306" s="1" t="s">
        <v>63</v>
      </c>
      <c r="F306" s="1" t="s">
        <v>11</v>
      </c>
      <c r="G306" s="1" t="s">
        <v>173</v>
      </c>
    </row>
    <row r="307" customFormat="false" ht="15" hidden="false" customHeight="true" outlineLevel="0" collapsed="false">
      <c r="A307" s="1" t="n">
        <v>306</v>
      </c>
      <c r="B307" s="1" t="s">
        <v>861</v>
      </c>
      <c r="C307" s="1" t="s">
        <v>862</v>
      </c>
      <c r="D307" s="1" t="s">
        <v>62</v>
      </c>
      <c r="E307" s="1" t="s">
        <v>63</v>
      </c>
      <c r="F307" s="1" t="s">
        <v>17</v>
      </c>
      <c r="G307" s="1" t="s">
        <v>863</v>
      </c>
    </row>
    <row r="308" customFormat="false" ht="15" hidden="false" customHeight="true" outlineLevel="0" collapsed="false">
      <c r="A308" s="1" t="n">
        <v>307</v>
      </c>
      <c r="B308" s="1" t="s">
        <v>864</v>
      </c>
      <c r="C308" s="1" t="s">
        <v>865</v>
      </c>
      <c r="D308" s="1" t="s">
        <v>181</v>
      </c>
      <c r="E308" s="1" t="s">
        <v>182</v>
      </c>
      <c r="F308" s="1" t="s">
        <v>23</v>
      </c>
      <c r="G308" s="1" t="s">
        <v>866</v>
      </c>
    </row>
    <row r="309" customFormat="false" ht="15" hidden="false" customHeight="true" outlineLevel="0" collapsed="false">
      <c r="A309" s="1" t="n">
        <v>308</v>
      </c>
      <c r="B309" s="1" t="s">
        <v>867</v>
      </c>
      <c r="C309" s="1" t="s">
        <v>868</v>
      </c>
      <c r="D309" s="1" t="s">
        <v>37</v>
      </c>
      <c r="E309" s="1" t="s">
        <v>38</v>
      </c>
      <c r="F309" s="1" t="s">
        <v>11</v>
      </c>
      <c r="G309" s="1" t="s">
        <v>185</v>
      </c>
    </row>
    <row r="310" customFormat="false" ht="15" hidden="false" customHeight="true" outlineLevel="0" collapsed="false">
      <c r="A310" s="1" t="n">
        <v>309</v>
      </c>
      <c r="B310" s="1" t="s">
        <v>447</v>
      </c>
      <c r="C310" s="1" t="s">
        <v>869</v>
      </c>
      <c r="D310" s="1" t="s">
        <v>32</v>
      </c>
      <c r="E310" s="1" t="s">
        <v>33</v>
      </c>
      <c r="F310" s="1" t="s">
        <v>123</v>
      </c>
      <c r="G310" s="1" t="s">
        <v>870</v>
      </c>
    </row>
    <row r="311" customFormat="false" ht="15" hidden="false" customHeight="true" outlineLevel="0" collapsed="false">
      <c r="A311" s="1" t="n">
        <v>310</v>
      </c>
      <c r="B311" s="1" t="s">
        <v>871</v>
      </c>
      <c r="C311" s="1" t="s">
        <v>872</v>
      </c>
      <c r="D311" s="1" t="s">
        <v>9</v>
      </c>
      <c r="E311" s="1" t="s">
        <v>10</v>
      </c>
      <c r="F311" s="1" t="s">
        <v>17</v>
      </c>
      <c r="G311" s="1" t="s">
        <v>419</v>
      </c>
    </row>
    <row r="312" customFormat="false" ht="15" hidden="false" customHeight="true" outlineLevel="0" collapsed="false">
      <c r="A312" s="1" t="n">
        <v>311</v>
      </c>
      <c r="B312" s="1" t="s">
        <v>687</v>
      </c>
      <c r="C312" s="1" t="s">
        <v>873</v>
      </c>
      <c r="D312" s="1" t="s">
        <v>32</v>
      </c>
      <c r="E312" s="1" t="s">
        <v>33</v>
      </c>
      <c r="F312" s="1" t="s">
        <v>11</v>
      </c>
      <c r="G312" s="1" t="s">
        <v>874</v>
      </c>
    </row>
    <row r="313" customFormat="false" ht="15" hidden="false" customHeight="true" outlineLevel="0" collapsed="false">
      <c r="A313" s="1" t="n">
        <v>312</v>
      </c>
      <c r="B313" s="1" t="s">
        <v>875</v>
      </c>
      <c r="C313" s="1" t="s">
        <v>876</v>
      </c>
      <c r="D313" s="1" t="s">
        <v>141</v>
      </c>
      <c r="E313" s="1" t="s">
        <v>142</v>
      </c>
      <c r="F313" s="1" t="s">
        <v>17</v>
      </c>
      <c r="G313" s="1" t="s">
        <v>662</v>
      </c>
    </row>
    <row r="314" customFormat="false" ht="15" hidden="false" customHeight="true" outlineLevel="0" collapsed="false">
      <c r="A314" s="1" t="n">
        <v>313</v>
      </c>
      <c r="B314" s="1" t="s">
        <v>877</v>
      </c>
      <c r="C314" s="1" t="s">
        <v>878</v>
      </c>
      <c r="D314" s="1" t="s">
        <v>37</v>
      </c>
      <c r="E314" s="1" t="s">
        <v>38</v>
      </c>
      <c r="F314" s="1" t="s">
        <v>11</v>
      </c>
      <c r="G314" s="1" t="s">
        <v>692</v>
      </c>
    </row>
    <row r="315" customFormat="false" ht="15" hidden="false" customHeight="true" outlineLevel="0" collapsed="false">
      <c r="A315" s="1" t="n">
        <v>314</v>
      </c>
      <c r="B315" s="1" t="s">
        <v>879</v>
      </c>
      <c r="C315" s="1" t="s">
        <v>880</v>
      </c>
      <c r="D315" s="1" t="s">
        <v>181</v>
      </c>
      <c r="E315" s="1" t="s">
        <v>182</v>
      </c>
      <c r="F315" s="1" t="s">
        <v>17</v>
      </c>
      <c r="G315" s="1" t="s">
        <v>881</v>
      </c>
    </row>
    <row r="316" customFormat="false" ht="15" hidden="false" customHeight="true" outlineLevel="0" collapsed="false">
      <c r="A316" s="1" t="n">
        <v>315</v>
      </c>
      <c r="B316" s="1" t="s">
        <v>882</v>
      </c>
      <c r="C316" s="1" t="s">
        <v>883</v>
      </c>
      <c r="D316" s="1" t="s">
        <v>42</v>
      </c>
      <c r="E316" s="1" t="s">
        <v>43</v>
      </c>
      <c r="F316" s="1" t="s">
        <v>11</v>
      </c>
      <c r="G316" s="1" t="s">
        <v>320</v>
      </c>
    </row>
    <row r="317" customFormat="false" ht="15" hidden="false" customHeight="true" outlineLevel="0" collapsed="false">
      <c r="A317" s="1" t="n">
        <v>316</v>
      </c>
      <c r="B317" s="1" t="s">
        <v>759</v>
      </c>
      <c r="C317" s="1" t="s">
        <v>884</v>
      </c>
      <c r="D317" s="1" t="s">
        <v>157</v>
      </c>
      <c r="E317" s="1" t="s">
        <v>158</v>
      </c>
      <c r="F317" s="1" t="s">
        <v>17</v>
      </c>
      <c r="G317" s="1" t="s">
        <v>885</v>
      </c>
    </row>
    <row r="318" customFormat="false" ht="15" hidden="false" customHeight="true" outlineLevel="0" collapsed="false">
      <c r="A318" s="1" t="n">
        <v>317</v>
      </c>
      <c r="B318" s="1" t="s">
        <v>326</v>
      </c>
      <c r="C318" s="1" t="s">
        <v>886</v>
      </c>
      <c r="D318" s="1" t="s">
        <v>21</v>
      </c>
      <c r="E318" s="1" t="s">
        <v>22</v>
      </c>
      <c r="F318" s="1" t="s">
        <v>17</v>
      </c>
      <c r="G318" s="1" t="s">
        <v>887</v>
      </c>
    </row>
    <row r="319" customFormat="false" ht="15" hidden="false" customHeight="true" outlineLevel="0" collapsed="false">
      <c r="A319" s="1" t="n">
        <v>318</v>
      </c>
      <c r="B319" s="1" t="s">
        <v>888</v>
      </c>
      <c r="C319" s="1" t="s">
        <v>889</v>
      </c>
      <c r="D319" s="1" t="s">
        <v>50</v>
      </c>
      <c r="E319" s="1" t="s">
        <v>38</v>
      </c>
      <c r="F319" s="1" t="s">
        <v>11</v>
      </c>
      <c r="G319" s="1" t="s">
        <v>890</v>
      </c>
    </row>
    <row r="320" customFormat="false" ht="15" hidden="false" customHeight="true" outlineLevel="0" collapsed="false">
      <c r="A320" s="1" t="n">
        <v>319</v>
      </c>
      <c r="B320" s="1" t="s">
        <v>891</v>
      </c>
      <c r="C320" s="1" t="s">
        <v>892</v>
      </c>
      <c r="D320" s="1" t="s">
        <v>27</v>
      </c>
      <c r="E320" s="1" t="s">
        <v>28</v>
      </c>
      <c r="F320" s="1" t="s">
        <v>23</v>
      </c>
      <c r="G320" s="1" t="s">
        <v>266</v>
      </c>
    </row>
    <row r="321" customFormat="false" ht="15" hidden="false" customHeight="true" outlineLevel="0" collapsed="false">
      <c r="A321" s="1" t="n">
        <v>320</v>
      </c>
      <c r="B321" s="1" t="s">
        <v>893</v>
      </c>
      <c r="C321" s="1" t="s">
        <v>894</v>
      </c>
      <c r="D321" s="1" t="s">
        <v>37</v>
      </c>
      <c r="E321" s="1" t="s">
        <v>38</v>
      </c>
      <c r="F321" s="1" t="s">
        <v>23</v>
      </c>
      <c r="G321" s="1" t="s">
        <v>799</v>
      </c>
    </row>
    <row r="322" customFormat="false" ht="15" hidden="false" customHeight="true" outlineLevel="0" collapsed="false">
      <c r="A322" s="1" t="n">
        <v>321</v>
      </c>
      <c r="B322" s="1" t="s">
        <v>895</v>
      </c>
      <c r="C322" s="1" t="s">
        <v>896</v>
      </c>
      <c r="D322" s="1" t="s">
        <v>15</v>
      </c>
      <c r="E322" s="1" t="s">
        <v>16</v>
      </c>
      <c r="F322" s="1" t="s">
        <v>17</v>
      </c>
      <c r="G322" s="1" t="s">
        <v>897</v>
      </c>
    </row>
    <row r="323" customFormat="false" ht="15" hidden="false" customHeight="true" outlineLevel="0" collapsed="false">
      <c r="A323" s="1" t="n">
        <v>322</v>
      </c>
      <c r="B323" s="1" t="s">
        <v>152</v>
      </c>
      <c r="C323" s="1" t="s">
        <v>898</v>
      </c>
      <c r="D323" s="1" t="s">
        <v>21</v>
      </c>
      <c r="E323" s="1" t="s">
        <v>22</v>
      </c>
      <c r="F323" s="1" t="s">
        <v>11</v>
      </c>
      <c r="G323" s="1" t="s">
        <v>899</v>
      </c>
    </row>
    <row r="324" customFormat="false" ht="15" hidden="false" customHeight="true" outlineLevel="0" collapsed="false">
      <c r="A324" s="1" t="n">
        <v>323</v>
      </c>
      <c r="B324" s="1" t="s">
        <v>900</v>
      </c>
      <c r="C324" s="1" t="s">
        <v>901</v>
      </c>
      <c r="D324" s="1" t="s">
        <v>37</v>
      </c>
      <c r="E324" s="1" t="s">
        <v>38</v>
      </c>
      <c r="F324" s="1" t="s">
        <v>11</v>
      </c>
      <c r="G324" s="1" t="s">
        <v>902</v>
      </c>
    </row>
    <row r="325" customFormat="false" ht="15" hidden="false" customHeight="true" outlineLevel="0" collapsed="false">
      <c r="A325" s="1" t="n">
        <v>324</v>
      </c>
      <c r="B325" s="1" t="s">
        <v>203</v>
      </c>
      <c r="C325" s="1" t="s">
        <v>903</v>
      </c>
      <c r="D325" s="1" t="s">
        <v>154</v>
      </c>
      <c r="E325" s="1" t="s">
        <v>10</v>
      </c>
      <c r="F325" s="1" t="s">
        <v>11</v>
      </c>
      <c r="G325" s="1" t="s">
        <v>904</v>
      </c>
    </row>
    <row r="326" customFormat="false" ht="15" hidden="false" customHeight="true" outlineLevel="0" collapsed="false">
      <c r="A326" s="1" t="n">
        <v>325</v>
      </c>
      <c r="B326" s="1" t="s">
        <v>905</v>
      </c>
      <c r="C326" s="1" t="s">
        <v>906</v>
      </c>
      <c r="D326" s="1" t="s">
        <v>37</v>
      </c>
      <c r="E326" s="1" t="s">
        <v>38</v>
      </c>
      <c r="F326" s="1" t="s">
        <v>17</v>
      </c>
      <c r="G326" s="1" t="s">
        <v>907</v>
      </c>
    </row>
    <row r="327" customFormat="false" ht="15" hidden="false" customHeight="true" outlineLevel="0" collapsed="false">
      <c r="A327" s="1" t="n">
        <v>326</v>
      </c>
      <c r="B327" s="1" t="s">
        <v>258</v>
      </c>
      <c r="C327" s="1" t="s">
        <v>908</v>
      </c>
      <c r="D327" s="1" t="s">
        <v>32</v>
      </c>
      <c r="E327" s="1" t="s">
        <v>33</v>
      </c>
      <c r="F327" s="1" t="s">
        <v>23</v>
      </c>
      <c r="G327" s="1" t="s">
        <v>909</v>
      </c>
    </row>
    <row r="328" customFormat="false" ht="15" hidden="false" customHeight="true" outlineLevel="0" collapsed="false">
      <c r="A328" s="1" t="n">
        <v>327</v>
      </c>
      <c r="B328" s="1" t="s">
        <v>910</v>
      </c>
      <c r="C328" s="1" t="s">
        <v>911</v>
      </c>
      <c r="D328" s="1" t="s">
        <v>32</v>
      </c>
      <c r="E328" s="1" t="s">
        <v>33</v>
      </c>
      <c r="F328" s="1" t="s">
        <v>11</v>
      </c>
      <c r="G328" s="1" t="s">
        <v>606</v>
      </c>
    </row>
    <row r="329" customFormat="false" ht="15" hidden="false" customHeight="true" outlineLevel="0" collapsed="false">
      <c r="A329" s="1" t="n">
        <v>328</v>
      </c>
      <c r="B329" s="1" t="s">
        <v>808</v>
      </c>
      <c r="C329" s="1" t="s">
        <v>912</v>
      </c>
      <c r="D329" s="1" t="s">
        <v>141</v>
      </c>
      <c r="E329" s="1" t="s">
        <v>142</v>
      </c>
      <c r="F329" s="1" t="s">
        <v>11</v>
      </c>
      <c r="G329" s="1" t="s">
        <v>913</v>
      </c>
    </row>
    <row r="330" customFormat="false" ht="15" hidden="false" customHeight="true" outlineLevel="0" collapsed="false">
      <c r="A330" s="1" t="n">
        <v>329</v>
      </c>
      <c r="B330" s="1" t="s">
        <v>249</v>
      </c>
      <c r="C330" s="1" t="s">
        <v>914</v>
      </c>
      <c r="D330" s="1" t="s">
        <v>67</v>
      </c>
      <c r="E330" s="1" t="s">
        <v>10</v>
      </c>
      <c r="F330" s="1" t="s">
        <v>11</v>
      </c>
      <c r="G330" s="1" t="s">
        <v>915</v>
      </c>
    </row>
    <row r="331" customFormat="false" ht="15" hidden="false" customHeight="true" outlineLevel="0" collapsed="false">
      <c r="A331" s="1" t="n">
        <v>330</v>
      </c>
      <c r="B331" s="1" t="s">
        <v>447</v>
      </c>
      <c r="C331" s="1" t="s">
        <v>916</v>
      </c>
      <c r="D331" s="1" t="s">
        <v>15</v>
      </c>
      <c r="E331" s="1" t="s">
        <v>16</v>
      </c>
      <c r="F331" s="1" t="s">
        <v>23</v>
      </c>
      <c r="G331" s="1" t="s">
        <v>489</v>
      </c>
    </row>
    <row r="332" customFormat="false" ht="15" hidden="false" customHeight="true" outlineLevel="0" collapsed="false">
      <c r="A332" s="1" t="n">
        <v>331</v>
      </c>
      <c r="B332" s="1" t="s">
        <v>917</v>
      </c>
      <c r="C332" s="1" t="s">
        <v>918</v>
      </c>
      <c r="D332" s="1" t="s">
        <v>32</v>
      </c>
      <c r="E332" s="1" t="s">
        <v>33</v>
      </c>
      <c r="F332" s="1" t="s">
        <v>11</v>
      </c>
      <c r="G332" s="1" t="s">
        <v>919</v>
      </c>
    </row>
    <row r="333" customFormat="false" ht="15" hidden="false" customHeight="true" outlineLevel="0" collapsed="false">
      <c r="A333" s="1" t="n">
        <v>332</v>
      </c>
      <c r="B333" s="1" t="s">
        <v>920</v>
      </c>
      <c r="C333" s="1" t="s">
        <v>921</v>
      </c>
      <c r="D333" s="1" t="s">
        <v>37</v>
      </c>
      <c r="E333" s="1" t="s">
        <v>38</v>
      </c>
      <c r="F333" s="1" t="s">
        <v>11</v>
      </c>
      <c r="G333" s="1" t="s">
        <v>138</v>
      </c>
    </row>
    <row r="334" customFormat="false" ht="15" hidden="false" customHeight="true" outlineLevel="0" collapsed="false">
      <c r="A334" s="1" t="n">
        <v>333</v>
      </c>
      <c r="B334" s="1" t="s">
        <v>922</v>
      </c>
      <c r="C334" s="1" t="s">
        <v>923</v>
      </c>
      <c r="D334" s="1" t="s">
        <v>15</v>
      </c>
      <c r="E334" s="1" t="s">
        <v>16</v>
      </c>
      <c r="F334" s="1" t="s">
        <v>11</v>
      </c>
      <c r="G334" s="1" t="s">
        <v>924</v>
      </c>
    </row>
    <row r="335" customFormat="false" ht="15" hidden="false" customHeight="true" outlineLevel="0" collapsed="false">
      <c r="A335" s="1" t="n">
        <v>334</v>
      </c>
      <c r="B335" s="1" t="s">
        <v>925</v>
      </c>
      <c r="C335" s="1" t="s">
        <v>926</v>
      </c>
      <c r="D335" s="1" t="s">
        <v>50</v>
      </c>
      <c r="E335" s="1" t="s">
        <v>38</v>
      </c>
      <c r="F335" s="1" t="s">
        <v>123</v>
      </c>
      <c r="G335" s="1" t="s">
        <v>927</v>
      </c>
    </row>
    <row r="336" customFormat="false" ht="15" hidden="false" customHeight="true" outlineLevel="0" collapsed="false">
      <c r="A336" s="1" t="n">
        <v>335</v>
      </c>
      <c r="B336" s="1" t="s">
        <v>746</v>
      </c>
      <c r="C336" s="1" t="s">
        <v>928</v>
      </c>
      <c r="D336" s="1" t="s">
        <v>42</v>
      </c>
      <c r="E336" s="1" t="s">
        <v>43</v>
      </c>
      <c r="F336" s="1" t="s">
        <v>17</v>
      </c>
      <c r="G336" s="1" t="s">
        <v>929</v>
      </c>
    </row>
    <row r="337" customFormat="false" ht="15" hidden="false" customHeight="true" outlineLevel="0" collapsed="false">
      <c r="A337" s="1" t="n">
        <v>336</v>
      </c>
      <c r="B337" s="1" t="s">
        <v>930</v>
      </c>
      <c r="C337" s="1" t="s">
        <v>931</v>
      </c>
      <c r="D337" s="1" t="s">
        <v>154</v>
      </c>
      <c r="E337" s="1" t="s">
        <v>10</v>
      </c>
      <c r="F337" s="1" t="s">
        <v>11</v>
      </c>
      <c r="G337" s="1" t="s">
        <v>306</v>
      </c>
    </row>
    <row r="338" customFormat="false" ht="15" hidden="false" customHeight="true" outlineLevel="0" collapsed="false">
      <c r="A338" s="1" t="n">
        <v>337</v>
      </c>
      <c r="B338" s="1" t="s">
        <v>932</v>
      </c>
      <c r="C338" s="1" t="s">
        <v>933</v>
      </c>
      <c r="D338" s="1" t="s">
        <v>79</v>
      </c>
      <c r="E338" s="1" t="s">
        <v>80</v>
      </c>
      <c r="F338" s="1" t="s">
        <v>23</v>
      </c>
      <c r="G338" s="1" t="s">
        <v>499</v>
      </c>
    </row>
    <row r="339" customFormat="false" ht="15" hidden="false" customHeight="true" outlineLevel="0" collapsed="false">
      <c r="A339" s="1" t="n">
        <v>338</v>
      </c>
      <c r="B339" s="1" t="s">
        <v>934</v>
      </c>
      <c r="D339" s="1" t="s">
        <v>27</v>
      </c>
      <c r="E339" s="1" t="s">
        <v>28</v>
      </c>
      <c r="F339" s="1" t="s">
        <v>23</v>
      </c>
      <c r="G339" s="1" t="s">
        <v>935</v>
      </c>
    </row>
    <row r="340" customFormat="false" ht="15" hidden="false" customHeight="true" outlineLevel="0" collapsed="false">
      <c r="A340" s="1" t="n">
        <v>339</v>
      </c>
      <c r="B340" s="1" t="s">
        <v>553</v>
      </c>
      <c r="C340" s="1" t="s">
        <v>936</v>
      </c>
      <c r="D340" s="1" t="s">
        <v>42</v>
      </c>
      <c r="E340" s="1" t="s">
        <v>43</v>
      </c>
      <c r="F340" s="1" t="s">
        <v>23</v>
      </c>
      <c r="G340" s="1" t="s">
        <v>937</v>
      </c>
    </row>
    <row r="341" customFormat="false" ht="15" hidden="false" customHeight="true" outlineLevel="0" collapsed="false">
      <c r="A341" s="1" t="n">
        <v>340</v>
      </c>
      <c r="B341" s="1" t="s">
        <v>938</v>
      </c>
      <c r="C341" s="1" t="s">
        <v>939</v>
      </c>
      <c r="D341" s="1" t="s">
        <v>37</v>
      </c>
      <c r="E341" s="1" t="s">
        <v>38</v>
      </c>
      <c r="F341" s="1" t="s">
        <v>11</v>
      </c>
      <c r="G341" s="1" t="s">
        <v>435</v>
      </c>
    </row>
    <row r="342" customFormat="false" ht="15" hidden="false" customHeight="true" outlineLevel="0" collapsed="false">
      <c r="A342" s="1" t="n">
        <v>341</v>
      </c>
      <c r="B342" s="1" t="s">
        <v>597</v>
      </c>
      <c r="C342" s="1" t="s">
        <v>940</v>
      </c>
      <c r="D342" s="1" t="s">
        <v>42</v>
      </c>
      <c r="E342" s="1" t="s">
        <v>43</v>
      </c>
      <c r="F342" s="1" t="s">
        <v>17</v>
      </c>
      <c r="G342" s="1" t="s">
        <v>941</v>
      </c>
    </row>
    <row r="343" customFormat="false" ht="15" hidden="false" customHeight="true" outlineLevel="0" collapsed="false">
      <c r="A343" s="1" t="n">
        <v>342</v>
      </c>
      <c r="B343" s="1" t="s">
        <v>823</v>
      </c>
      <c r="C343" s="1" t="s">
        <v>942</v>
      </c>
      <c r="D343" s="1" t="s">
        <v>154</v>
      </c>
      <c r="E343" s="1" t="s">
        <v>10</v>
      </c>
      <c r="F343" s="1" t="s">
        <v>17</v>
      </c>
      <c r="G343" s="1" t="s">
        <v>289</v>
      </c>
    </row>
    <row r="344" customFormat="false" ht="15" hidden="false" customHeight="true" outlineLevel="0" collapsed="false">
      <c r="A344" s="1" t="n">
        <v>343</v>
      </c>
      <c r="B344" s="1" t="s">
        <v>943</v>
      </c>
      <c r="C344" s="1" t="s">
        <v>944</v>
      </c>
      <c r="D344" s="1" t="s">
        <v>105</v>
      </c>
      <c r="E344" s="1" t="s">
        <v>10</v>
      </c>
      <c r="F344" s="1" t="s">
        <v>123</v>
      </c>
      <c r="G344" s="1" t="s">
        <v>138</v>
      </c>
    </row>
    <row r="345" customFormat="false" ht="15" hidden="false" customHeight="true" outlineLevel="0" collapsed="false">
      <c r="A345" s="1" t="n">
        <v>344</v>
      </c>
      <c r="B345" s="1" t="s">
        <v>790</v>
      </c>
      <c r="C345" s="1" t="s">
        <v>945</v>
      </c>
      <c r="D345" s="1" t="s">
        <v>141</v>
      </c>
      <c r="E345" s="1" t="s">
        <v>142</v>
      </c>
      <c r="F345" s="1" t="s">
        <v>17</v>
      </c>
      <c r="G345" s="1" t="s">
        <v>946</v>
      </c>
    </row>
    <row r="346" customFormat="false" ht="15" hidden="false" customHeight="true" outlineLevel="0" collapsed="false">
      <c r="A346" s="1" t="n">
        <v>345</v>
      </c>
      <c r="B346" s="1" t="s">
        <v>947</v>
      </c>
      <c r="C346" s="1" t="s">
        <v>948</v>
      </c>
      <c r="D346" s="1" t="s">
        <v>154</v>
      </c>
      <c r="E346" s="1" t="s">
        <v>10</v>
      </c>
      <c r="F346" s="1" t="s">
        <v>23</v>
      </c>
      <c r="G346" s="1" t="s">
        <v>949</v>
      </c>
    </row>
    <row r="347" customFormat="false" ht="15" hidden="false" customHeight="true" outlineLevel="0" collapsed="false">
      <c r="A347" s="1" t="n">
        <v>346</v>
      </c>
      <c r="B347" s="1" t="s">
        <v>950</v>
      </c>
      <c r="C347" s="1" t="s">
        <v>951</v>
      </c>
      <c r="D347" s="1" t="s">
        <v>79</v>
      </c>
      <c r="E347" s="1" t="s">
        <v>80</v>
      </c>
      <c r="F347" s="1" t="s">
        <v>11</v>
      </c>
      <c r="G347" s="1" t="s">
        <v>952</v>
      </c>
    </row>
    <row r="348" customFormat="false" ht="15" hidden="false" customHeight="true" outlineLevel="0" collapsed="false">
      <c r="A348" s="1" t="n">
        <v>347</v>
      </c>
      <c r="B348" s="1" t="s">
        <v>953</v>
      </c>
      <c r="C348" s="1" t="s">
        <v>954</v>
      </c>
      <c r="D348" s="1" t="s">
        <v>115</v>
      </c>
      <c r="E348" s="1" t="s">
        <v>116</v>
      </c>
      <c r="F348" s="1" t="s">
        <v>17</v>
      </c>
      <c r="G348" s="1" t="s">
        <v>955</v>
      </c>
    </row>
    <row r="349" customFormat="false" ht="15" hidden="false" customHeight="true" outlineLevel="0" collapsed="false">
      <c r="A349" s="1" t="n">
        <v>348</v>
      </c>
      <c r="B349" s="1" t="s">
        <v>956</v>
      </c>
      <c r="C349" s="1" t="s">
        <v>957</v>
      </c>
      <c r="D349" s="1" t="s">
        <v>37</v>
      </c>
      <c r="E349" s="1" t="s">
        <v>38</v>
      </c>
      <c r="F349" s="1" t="s">
        <v>11</v>
      </c>
      <c r="G349" s="1" t="s">
        <v>653</v>
      </c>
    </row>
    <row r="350" customFormat="false" ht="15" hidden="false" customHeight="true" outlineLevel="0" collapsed="false">
      <c r="A350" s="1" t="n">
        <v>349</v>
      </c>
      <c r="B350" s="1" t="s">
        <v>436</v>
      </c>
      <c r="D350" s="1" t="s">
        <v>15</v>
      </c>
      <c r="E350" s="1" t="s">
        <v>16</v>
      </c>
      <c r="F350" s="1" t="s">
        <v>11</v>
      </c>
      <c r="G350" s="1" t="s">
        <v>958</v>
      </c>
    </row>
    <row r="351" customFormat="false" ht="15" hidden="false" customHeight="true" outlineLevel="0" collapsed="false">
      <c r="A351" s="1" t="n">
        <v>350</v>
      </c>
      <c r="B351" s="1" t="s">
        <v>509</v>
      </c>
      <c r="C351" s="1" t="s">
        <v>959</v>
      </c>
      <c r="D351" s="1" t="s">
        <v>9</v>
      </c>
      <c r="E351" s="1" t="s">
        <v>10</v>
      </c>
      <c r="F351" s="1" t="s">
        <v>11</v>
      </c>
      <c r="G351" s="1" t="s">
        <v>960</v>
      </c>
    </row>
    <row r="352" customFormat="false" ht="15" hidden="false" customHeight="true" outlineLevel="0" collapsed="false">
      <c r="A352" s="1" t="n">
        <v>351</v>
      </c>
      <c r="B352" s="1" t="s">
        <v>568</v>
      </c>
      <c r="C352" s="1" t="s">
        <v>961</v>
      </c>
      <c r="D352" s="1" t="s">
        <v>32</v>
      </c>
      <c r="E352" s="1" t="s">
        <v>33</v>
      </c>
      <c r="F352" s="1" t="s">
        <v>17</v>
      </c>
      <c r="G352" s="1" t="s">
        <v>416</v>
      </c>
    </row>
    <row r="353" customFormat="false" ht="15" hidden="false" customHeight="true" outlineLevel="0" collapsed="false">
      <c r="A353" s="1" t="n">
        <v>352</v>
      </c>
      <c r="B353" s="1" t="s">
        <v>186</v>
      </c>
      <c r="D353" s="1" t="s">
        <v>54</v>
      </c>
      <c r="E353" s="1" t="s">
        <v>55</v>
      </c>
      <c r="F353" s="1" t="s">
        <v>23</v>
      </c>
      <c r="G353" s="1" t="s">
        <v>127</v>
      </c>
    </row>
    <row r="354" customFormat="false" ht="15" hidden="false" customHeight="true" outlineLevel="0" collapsed="false">
      <c r="A354" s="1" t="n">
        <v>353</v>
      </c>
      <c r="B354" s="1" t="s">
        <v>962</v>
      </c>
      <c r="C354" s="1" t="s">
        <v>963</v>
      </c>
      <c r="D354" s="1" t="s">
        <v>115</v>
      </c>
      <c r="E354" s="1" t="s">
        <v>116</v>
      </c>
      <c r="F354" s="1" t="s">
        <v>23</v>
      </c>
      <c r="G354" s="1" t="s">
        <v>841</v>
      </c>
    </row>
    <row r="355" customFormat="false" ht="15" hidden="false" customHeight="true" outlineLevel="0" collapsed="false">
      <c r="A355" s="1" t="n">
        <v>354</v>
      </c>
      <c r="B355" s="1" t="s">
        <v>964</v>
      </c>
      <c r="C355" s="1" t="s">
        <v>965</v>
      </c>
      <c r="D355" s="1" t="s">
        <v>92</v>
      </c>
      <c r="E355" s="1" t="s">
        <v>93</v>
      </c>
      <c r="F355" s="1" t="s">
        <v>11</v>
      </c>
      <c r="G355" s="1" t="s">
        <v>966</v>
      </c>
    </row>
    <row r="356" customFormat="false" ht="15" hidden="false" customHeight="true" outlineLevel="0" collapsed="false">
      <c r="A356" s="1" t="n">
        <v>355</v>
      </c>
      <c r="B356" s="1" t="s">
        <v>134</v>
      </c>
      <c r="C356" s="1" t="s">
        <v>967</v>
      </c>
      <c r="D356" s="1" t="s">
        <v>105</v>
      </c>
      <c r="E356" s="1" t="s">
        <v>10</v>
      </c>
      <c r="F356" s="1" t="s">
        <v>23</v>
      </c>
      <c r="G356" s="1" t="s">
        <v>322</v>
      </c>
    </row>
    <row r="357" customFormat="false" ht="15" hidden="false" customHeight="true" outlineLevel="0" collapsed="false">
      <c r="A357" s="1" t="n">
        <v>356</v>
      </c>
      <c r="B357" s="1" t="s">
        <v>968</v>
      </c>
      <c r="D357" s="1" t="s">
        <v>32</v>
      </c>
      <c r="E357" s="1" t="s">
        <v>33</v>
      </c>
      <c r="F357" s="1" t="s">
        <v>11</v>
      </c>
      <c r="G357" s="1" t="s">
        <v>969</v>
      </c>
    </row>
    <row r="358" customFormat="false" ht="15" hidden="false" customHeight="true" outlineLevel="0" collapsed="false">
      <c r="A358" s="1" t="n">
        <v>357</v>
      </c>
      <c r="B358" s="1" t="s">
        <v>970</v>
      </c>
      <c r="C358" s="1" t="s">
        <v>971</v>
      </c>
      <c r="D358" s="1" t="s">
        <v>105</v>
      </c>
      <c r="E358" s="1" t="s">
        <v>10</v>
      </c>
      <c r="F358" s="1" t="s">
        <v>11</v>
      </c>
      <c r="G358" s="1" t="s">
        <v>578</v>
      </c>
    </row>
    <row r="359" customFormat="false" ht="15" hidden="false" customHeight="true" outlineLevel="0" collapsed="false">
      <c r="A359" s="1" t="n">
        <v>358</v>
      </c>
      <c r="B359" s="1" t="s">
        <v>972</v>
      </c>
      <c r="C359" s="1" t="s">
        <v>973</v>
      </c>
      <c r="D359" s="1" t="s">
        <v>92</v>
      </c>
      <c r="E359" s="1" t="s">
        <v>93</v>
      </c>
      <c r="F359" s="1" t="s">
        <v>23</v>
      </c>
      <c r="G359" s="1" t="s">
        <v>748</v>
      </c>
    </row>
    <row r="360" customFormat="false" ht="15" hidden="false" customHeight="true" outlineLevel="0" collapsed="false">
      <c r="A360" s="1" t="n">
        <v>359</v>
      </c>
      <c r="B360" s="1" t="s">
        <v>528</v>
      </c>
      <c r="C360" s="1" t="s">
        <v>974</v>
      </c>
      <c r="D360" s="1" t="s">
        <v>9</v>
      </c>
      <c r="E360" s="1" t="s">
        <v>10</v>
      </c>
      <c r="F360" s="1" t="s">
        <v>17</v>
      </c>
      <c r="G360" s="1" t="s">
        <v>975</v>
      </c>
    </row>
    <row r="361" customFormat="false" ht="15" hidden="false" customHeight="true" outlineLevel="0" collapsed="false">
      <c r="A361" s="1" t="n">
        <v>360</v>
      </c>
      <c r="B361" s="1" t="s">
        <v>976</v>
      </c>
      <c r="C361" s="1" t="s">
        <v>977</v>
      </c>
      <c r="D361" s="1" t="s">
        <v>42</v>
      </c>
      <c r="E361" s="1" t="s">
        <v>43</v>
      </c>
      <c r="F361" s="1" t="s">
        <v>23</v>
      </c>
      <c r="G361" s="1" t="s">
        <v>902</v>
      </c>
    </row>
    <row r="362" customFormat="false" ht="15" hidden="false" customHeight="true" outlineLevel="0" collapsed="false">
      <c r="A362" s="1" t="n">
        <v>361</v>
      </c>
      <c r="B362" s="1" t="s">
        <v>978</v>
      </c>
      <c r="C362" s="1" t="s">
        <v>979</v>
      </c>
      <c r="D362" s="1" t="s">
        <v>92</v>
      </c>
      <c r="E362" s="1" t="s">
        <v>93</v>
      </c>
      <c r="F362" s="1" t="s">
        <v>17</v>
      </c>
      <c r="G362" s="1" t="s">
        <v>980</v>
      </c>
    </row>
    <row r="363" customFormat="false" ht="15" hidden="false" customHeight="true" outlineLevel="0" collapsed="false">
      <c r="A363" s="1" t="n">
        <v>362</v>
      </c>
      <c r="B363" s="1" t="s">
        <v>981</v>
      </c>
      <c r="C363" s="1" t="s">
        <v>982</v>
      </c>
      <c r="D363" s="1" t="s">
        <v>157</v>
      </c>
      <c r="E363" s="1" t="s">
        <v>158</v>
      </c>
      <c r="F363" s="1" t="s">
        <v>11</v>
      </c>
      <c r="G363" s="1" t="s">
        <v>969</v>
      </c>
    </row>
    <row r="364" customFormat="false" ht="15" hidden="false" customHeight="true" outlineLevel="0" collapsed="false">
      <c r="A364" s="1" t="n">
        <v>363</v>
      </c>
      <c r="B364" s="1" t="s">
        <v>983</v>
      </c>
      <c r="C364" s="1" t="s">
        <v>984</v>
      </c>
      <c r="D364" s="1" t="s">
        <v>105</v>
      </c>
      <c r="E364" s="1" t="s">
        <v>10</v>
      </c>
      <c r="F364" s="1" t="s">
        <v>17</v>
      </c>
      <c r="G364" s="1" t="s">
        <v>320</v>
      </c>
    </row>
    <row r="365" customFormat="false" ht="15" hidden="false" customHeight="true" outlineLevel="0" collapsed="false">
      <c r="A365" s="1" t="n">
        <v>364</v>
      </c>
      <c r="B365" s="1" t="s">
        <v>284</v>
      </c>
      <c r="C365" s="1" t="s">
        <v>985</v>
      </c>
      <c r="D365" s="1" t="s">
        <v>27</v>
      </c>
      <c r="E365" s="1" t="s">
        <v>28</v>
      </c>
      <c r="F365" s="1" t="s">
        <v>17</v>
      </c>
      <c r="G365" s="1" t="s">
        <v>986</v>
      </c>
    </row>
    <row r="366" customFormat="false" ht="15" hidden="false" customHeight="true" outlineLevel="0" collapsed="false">
      <c r="A366" s="1" t="n">
        <v>365</v>
      </c>
      <c r="B366" s="1" t="s">
        <v>987</v>
      </c>
      <c r="C366" s="1" t="s">
        <v>988</v>
      </c>
      <c r="D366" s="1" t="s">
        <v>21</v>
      </c>
      <c r="E366" s="1" t="s">
        <v>22</v>
      </c>
      <c r="F366" s="1" t="s">
        <v>17</v>
      </c>
      <c r="G366" s="1" t="s">
        <v>989</v>
      </c>
    </row>
    <row r="367" customFormat="false" ht="15" hidden="false" customHeight="true" outlineLevel="0" collapsed="false">
      <c r="A367" s="1" t="n">
        <v>366</v>
      </c>
      <c r="B367" s="1" t="s">
        <v>990</v>
      </c>
      <c r="C367" s="1" t="s">
        <v>991</v>
      </c>
      <c r="D367" s="1" t="s">
        <v>67</v>
      </c>
      <c r="E367" s="1" t="s">
        <v>10</v>
      </c>
      <c r="F367" s="1" t="s">
        <v>23</v>
      </c>
      <c r="G367" s="1" t="s">
        <v>786</v>
      </c>
    </row>
    <row r="368" customFormat="false" ht="15" hidden="false" customHeight="true" outlineLevel="0" collapsed="false">
      <c r="A368" s="1" t="n">
        <v>367</v>
      </c>
      <c r="B368" s="1" t="s">
        <v>992</v>
      </c>
      <c r="C368" s="1" t="s">
        <v>993</v>
      </c>
      <c r="D368" s="1" t="s">
        <v>92</v>
      </c>
      <c r="E368" s="1" t="s">
        <v>93</v>
      </c>
      <c r="F368" s="1" t="s">
        <v>23</v>
      </c>
      <c r="G368" s="1" t="s">
        <v>452</v>
      </c>
    </row>
    <row r="369" customFormat="false" ht="15" hidden="false" customHeight="true" outlineLevel="0" collapsed="false">
      <c r="A369" s="1" t="n">
        <v>368</v>
      </c>
      <c r="B369" s="1" t="s">
        <v>627</v>
      </c>
      <c r="D369" s="1" t="s">
        <v>37</v>
      </c>
      <c r="E369" s="1" t="s">
        <v>38</v>
      </c>
      <c r="F369" s="1" t="s">
        <v>23</v>
      </c>
      <c r="G369" s="1" t="s">
        <v>994</v>
      </c>
    </row>
    <row r="370" customFormat="false" ht="15" hidden="false" customHeight="true" outlineLevel="0" collapsed="false">
      <c r="A370" s="1" t="n">
        <v>369</v>
      </c>
      <c r="B370" s="1" t="s">
        <v>326</v>
      </c>
      <c r="C370" s="1" t="s">
        <v>995</v>
      </c>
      <c r="D370" s="1" t="s">
        <v>67</v>
      </c>
      <c r="E370" s="1" t="s">
        <v>10</v>
      </c>
      <c r="F370" s="1" t="s">
        <v>23</v>
      </c>
      <c r="G370" s="1" t="s">
        <v>155</v>
      </c>
    </row>
    <row r="371" customFormat="false" ht="15" hidden="false" customHeight="true" outlineLevel="0" collapsed="false">
      <c r="A371" s="1" t="n">
        <v>370</v>
      </c>
      <c r="B371" s="1" t="s">
        <v>996</v>
      </c>
      <c r="C371" s="1" t="s">
        <v>997</v>
      </c>
      <c r="D371" s="1" t="s">
        <v>15</v>
      </c>
      <c r="E371" s="1" t="s">
        <v>16</v>
      </c>
      <c r="F371" s="1" t="s">
        <v>17</v>
      </c>
      <c r="G371" s="1" t="s">
        <v>998</v>
      </c>
    </row>
    <row r="372" customFormat="false" ht="15" hidden="false" customHeight="true" outlineLevel="0" collapsed="false">
      <c r="A372" s="1" t="n">
        <v>371</v>
      </c>
      <c r="B372" s="1" t="s">
        <v>999</v>
      </c>
      <c r="C372" s="1" t="s">
        <v>1000</v>
      </c>
      <c r="D372" s="1" t="s">
        <v>115</v>
      </c>
      <c r="E372" s="1" t="s">
        <v>116</v>
      </c>
      <c r="F372" s="1" t="s">
        <v>123</v>
      </c>
      <c r="G372" s="1" t="s">
        <v>1001</v>
      </c>
    </row>
    <row r="373" customFormat="false" ht="15" hidden="false" customHeight="true" outlineLevel="0" collapsed="false">
      <c r="A373" s="1" t="n">
        <v>372</v>
      </c>
      <c r="B373" s="1" t="s">
        <v>1002</v>
      </c>
      <c r="C373" s="1" t="s">
        <v>1003</v>
      </c>
      <c r="D373" s="1" t="s">
        <v>105</v>
      </c>
      <c r="E373" s="1" t="s">
        <v>10</v>
      </c>
      <c r="F373" s="1" t="s">
        <v>23</v>
      </c>
      <c r="G373" s="1" t="s">
        <v>692</v>
      </c>
    </row>
    <row r="374" customFormat="false" ht="15" hidden="false" customHeight="true" outlineLevel="0" collapsed="false">
      <c r="A374" s="1" t="n">
        <v>373</v>
      </c>
      <c r="B374" s="1" t="s">
        <v>1004</v>
      </c>
      <c r="C374" s="1" t="s">
        <v>1005</v>
      </c>
      <c r="D374" s="1" t="s">
        <v>32</v>
      </c>
      <c r="E374" s="1" t="s">
        <v>33</v>
      </c>
      <c r="F374" s="1" t="s">
        <v>23</v>
      </c>
      <c r="G374" s="1" t="s">
        <v>363</v>
      </c>
    </row>
    <row r="375" customFormat="false" ht="15" hidden="false" customHeight="true" outlineLevel="0" collapsed="false">
      <c r="A375" s="1" t="n">
        <v>374</v>
      </c>
      <c r="B375" s="1" t="s">
        <v>1006</v>
      </c>
      <c r="C375" s="1" t="s">
        <v>1007</v>
      </c>
      <c r="D375" s="1" t="s">
        <v>79</v>
      </c>
      <c r="E375" s="1" t="s">
        <v>80</v>
      </c>
      <c r="F375" s="1" t="s">
        <v>11</v>
      </c>
      <c r="G375" s="1" t="s">
        <v>411</v>
      </c>
    </row>
    <row r="376" customFormat="false" ht="15" hidden="false" customHeight="true" outlineLevel="0" collapsed="false">
      <c r="A376" s="1" t="n">
        <v>375</v>
      </c>
      <c r="B376" s="1" t="s">
        <v>1008</v>
      </c>
      <c r="C376" s="1" t="s">
        <v>1009</v>
      </c>
      <c r="D376" s="1" t="s">
        <v>115</v>
      </c>
      <c r="E376" s="1" t="s">
        <v>116</v>
      </c>
      <c r="F376" s="1" t="s">
        <v>11</v>
      </c>
      <c r="G376" s="1" t="s">
        <v>969</v>
      </c>
    </row>
    <row r="377" customFormat="false" ht="15" hidden="false" customHeight="true" outlineLevel="0" collapsed="false">
      <c r="A377" s="1" t="n">
        <v>376</v>
      </c>
      <c r="B377" s="1" t="s">
        <v>1010</v>
      </c>
      <c r="C377" s="1" t="s">
        <v>1011</v>
      </c>
      <c r="D377" s="1" t="s">
        <v>181</v>
      </c>
      <c r="E377" s="1" t="s">
        <v>182</v>
      </c>
      <c r="F377" s="1" t="s">
        <v>11</v>
      </c>
      <c r="G377" s="1" t="s">
        <v>68</v>
      </c>
    </row>
    <row r="378" customFormat="false" ht="15" hidden="false" customHeight="true" outlineLevel="0" collapsed="false">
      <c r="A378" s="1" t="n">
        <v>377</v>
      </c>
      <c r="B378" s="1" t="s">
        <v>301</v>
      </c>
      <c r="C378" s="1" t="s">
        <v>1012</v>
      </c>
      <c r="D378" s="1" t="s">
        <v>154</v>
      </c>
      <c r="E378" s="1" t="s">
        <v>10</v>
      </c>
      <c r="F378" s="1" t="s">
        <v>23</v>
      </c>
      <c r="G378" s="1" t="s">
        <v>1013</v>
      </c>
    </row>
    <row r="379" customFormat="false" ht="15" hidden="false" customHeight="true" outlineLevel="0" collapsed="false">
      <c r="A379" s="1" t="n">
        <v>378</v>
      </c>
      <c r="B379" s="1" t="s">
        <v>1014</v>
      </c>
      <c r="D379" s="1" t="s">
        <v>154</v>
      </c>
      <c r="E379" s="1" t="s">
        <v>10</v>
      </c>
      <c r="F379" s="1" t="s">
        <v>17</v>
      </c>
      <c r="G379" s="1" t="s">
        <v>739</v>
      </c>
    </row>
    <row r="380" customFormat="false" ht="15" hidden="false" customHeight="true" outlineLevel="0" collapsed="false">
      <c r="A380" s="1" t="n">
        <v>379</v>
      </c>
      <c r="B380" s="1" t="s">
        <v>487</v>
      </c>
      <c r="C380" s="1" t="s">
        <v>1015</v>
      </c>
      <c r="D380" s="1" t="s">
        <v>154</v>
      </c>
      <c r="E380" s="1" t="s">
        <v>10</v>
      </c>
      <c r="F380" s="1" t="s">
        <v>23</v>
      </c>
      <c r="G380" s="1" t="s">
        <v>1016</v>
      </c>
    </row>
    <row r="381" customFormat="false" ht="15" hidden="false" customHeight="true" outlineLevel="0" collapsed="false">
      <c r="A381" s="1" t="n">
        <v>380</v>
      </c>
      <c r="B381" s="1" t="s">
        <v>649</v>
      </c>
      <c r="C381" s="1" t="s">
        <v>1017</v>
      </c>
      <c r="D381" s="1" t="s">
        <v>154</v>
      </c>
      <c r="E381" s="1" t="s">
        <v>10</v>
      </c>
      <c r="F381" s="1" t="s">
        <v>17</v>
      </c>
      <c r="G381" s="1" t="s">
        <v>998</v>
      </c>
    </row>
    <row r="382" customFormat="false" ht="15" hidden="false" customHeight="true" outlineLevel="0" collapsed="false">
      <c r="A382" s="1" t="n">
        <v>381</v>
      </c>
      <c r="B382" s="1" t="s">
        <v>546</v>
      </c>
      <c r="C382" s="1" t="s">
        <v>1018</v>
      </c>
      <c r="D382" s="1" t="s">
        <v>141</v>
      </c>
      <c r="E382" s="1" t="s">
        <v>142</v>
      </c>
      <c r="F382" s="1" t="s">
        <v>23</v>
      </c>
      <c r="G382" s="1" t="s">
        <v>413</v>
      </c>
    </row>
    <row r="383" customFormat="false" ht="15" hidden="false" customHeight="true" outlineLevel="0" collapsed="false">
      <c r="A383" s="1" t="n">
        <v>382</v>
      </c>
      <c r="B383" s="1" t="s">
        <v>790</v>
      </c>
      <c r="C383" s="1" t="s">
        <v>1019</v>
      </c>
      <c r="D383" s="1" t="s">
        <v>21</v>
      </c>
      <c r="E383" s="1" t="s">
        <v>22</v>
      </c>
      <c r="F383" s="1" t="s">
        <v>23</v>
      </c>
      <c r="G383" s="1" t="s">
        <v>581</v>
      </c>
    </row>
    <row r="384" customFormat="false" ht="15" hidden="false" customHeight="true" outlineLevel="0" collapsed="false">
      <c r="A384" s="1" t="n">
        <v>383</v>
      </c>
      <c r="B384" s="1" t="s">
        <v>1020</v>
      </c>
      <c r="C384" s="1" t="s">
        <v>1021</v>
      </c>
      <c r="D384" s="1" t="s">
        <v>154</v>
      </c>
      <c r="E384" s="1" t="s">
        <v>10</v>
      </c>
      <c r="F384" s="1" t="s">
        <v>11</v>
      </c>
      <c r="G384" s="1" t="s">
        <v>1022</v>
      </c>
    </row>
    <row r="385" customFormat="false" ht="15" hidden="false" customHeight="true" outlineLevel="0" collapsed="false">
      <c r="A385" s="1" t="n">
        <v>384</v>
      </c>
      <c r="B385" s="1" t="s">
        <v>1023</v>
      </c>
      <c r="C385" s="1" t="s">
        <v>1024</v>
      </c>
      <c r="D385" s="1" t="s">
        <v>115</v>
      </c>
      <c r="E385" s="1" t="s">
        <v>116</v>
      </c>
      <c r="F385" s="1" t="s">
        <v>23</v>
      </c>
      <c r="G385" s="1" t="s">
        <v>856</v>
      </c>
    </row>
    <row r="386" customFormat="false" ht="15" hidden="false" customHeight="true" outlineLevel="0" collapsed="false">
      <c r="A386" s="1" t="n">
        <v>385</v>
      </c>
      <c r="B386" s="1" t="s">
        <v>1025</v>
      </c>
      <c r="C386" s="1" t="s">
        <v>1026</v>
      </c>
      <c r="D386" s="1" t="s">
        <v>9</v>
      </c>
      <c r="E386" s="1" t="s">
        <v>10</v>
      </c>
      <c r="F386" s="1" t="s">
        <v>17</v>
      </c>
      <c r="G386" s="1" t="s">
        <v>1027</v>
      </c>
    </row>
    <row r="387" customFormat="false" ht="15" hidden="false" customHeight="true" outlineLevel="0" collapsed="false">
      <c r="A387" s="1" t="n">
        <v>386</v>
      </c>
      <c r="B387" s="1" t="s">
        <v>1028</v>
      </c>
      <c r="C387" s="1" t="s">
        <v>1029</v>
      </c>
      <c r="D387" s="1" t="s">
        <v>92</v>
      </c>
      <c r="E387" s="1" t="s">
        <v>93</v>
      </c>
      <c r="F387" s="1" t="s">
        <v>11</v>
      </c>
      <c r="G387" s="1" t="s">
        <v>1030</v>
      </c>
    </row>
    <row r="388" customFormat="false" ht="15" hidden="false" customHeight="true" outlineLevel="0" collapsed="false">
      <c r="A388" s="1" t="n">
        <v>387</v>
      </c>
      <c r="B388" s="1" t="s">
        <v>1031</v>
      </c>
      <c r="C388" s="1" t="s">
        <v>1032</v>
      </c>
      <c r="D388" s="1" t="s">
        <v>105</v>
      </c>
      <c r="E388" s="1" t="s">
        <v>10</v>
      </c>
      <c r="F388" s="1" t="s">
        <v>23</v>
      </c>
      <c r="G388" s="1" t="s">
        <v>1033</v>
      </c>
    </row>
    <row r="389" customFormat="false" ht="15" hidden="false" customHeight="true" outlineLevel="0" collapsed="false">
      <c r="A389" s="1" t="n">
        <v>388</v>
      </c>
      <c r="B389" s="1" t="s">
        <v>1034</v>
      </c>
      <c r="C389" s="1" t="s">
        <v>1035</v>
      </c>
      <c r="D389" s="1" t="s">
        <v>15</v>
      </c>
      <c r="E389" s="1" t="s">
        <v>16</v>
      </c>
      <c r="F389" s="1" t="s">
        <v>23</v>
      </c>
      <c r="G389" s="1" t="s">
        <v>1036</v>
      </c>
    </row>
    <row r="390" customFormat="false" ht="15" hidden="false" customHeight="true" outlineLevel="0" collapsed="false">
      <c r="A390" s="1" t="n">
        <v>389</v>
      </c>
      <c r="B390" s="1" t="s">
        <v>563</v>
      </c>
      <c r="C390" s="1" t="s">
        <v>1037</v>
      </c>
      <c r="D390" s="1" t="s">
        <v>115</v>
      </c>
      <c r="E390" s="1" t="s">
        <v>116</v>
      </c>
      <c r="F390" s="1" t="s">
        <v>23</v>
      </c>
      <c r="G390" s="1" t="s">
        <v>1038</v>
      </c>
    </row>
    <row r="391" customFormat="false" ht="15" hidden="false" customHeight="true" outlineLevel="0" collapsed="false">
      <c r="A391" s="1" t="n">
        <v>390</v>
      </c>
      <c r="B391" s="1" t="s">
        <v>1039</v>
      </c>
      <c r="C391" s="1" t="s">
        <v>1040</v>
      </c>
      <c r="D391" s="1" t="s">
        <v>181</v>
      </c>
      <c r="E391" s="1" t="s">
        <v>182</v>
      </c>
      <c r="F391" s="1" t="s">
        <v>17</v>
      </c>
      <c r="G391" s="1" t="s">
        <v>452</v>
      </c>
    </row>
    <row r="392" customFormat="false" ht="15" hidden="false" customHeight="true" outlineLevel="0" collapsed="false">
      <c r="A392" s="1" t="n">
        <v>391</v>
      </c>
      <c r="B392" s="1" t="s">
        <v>1041</v>
      </c>
      <c r="C392" s="1" t="s">
        <v>1042</v>
      </c>
      <c r="D392" s="1" t="s">
        <v>37</v>
      </c>
      <c r="E392" s="1" t="s">
        <v>38</v>
      </c>
      <c r="F392" s="1" t="s">
        <v>17</v>
      </c>
      <c r="G392" s="1" t="s">
        <v>1043</v>
      </c>
    </row>
    <row r="393" customFormat="false" ht="15" hidden="false" customHeight="true" outlineLevel="0" collapsed="false">
      <c r="A393" s="1" t="n">
        <v>392</v>
      </c>
      <c r="B393" s="1" t="s">
        <v>776</v>
      </c>
      <c r="C393" s="1" t="s">
        <v>1044</v>
      </c>
      <c r="D393" s="1" t="s">
        <v>50</v>
      </c>
      <c r="E393" s="1" t="s">
        <v>38</v>
      </c>
      <c r="F393" s="1" t="s">
        <v>23</v>
      </c>
      <c r="G393" s="1" t="s">
        <v>1016</v>
      </c>
    </row>
    <row r="394" customFormat="false" ht="15" hidden="false" customHeight="true" outlineLevel="0" collapsed="false">
      <c r="A394" s="1" t="n">
        <v>393</v>
      </c>
      <c r="B394" s="1" t="s">
        <v>1045</v>
      </c>
      <c r="C394" s="1" t="s">
        <v>1046</v>
      </c>
      <c r="D394" s="1" t="s">
        <v>92</v>
      </c>
      <c r="E394" s="1" t="s">
        <v>93</v>
      </c>
      <c r="F394" s="1" t="s">
        <v>11</v>
      </c>
      <c r="G394" s="1" t="s">
        <v>1047</v>
      </c>
    </row>
    <row r="395" customFormat="false" ht="15" hidden="false" customHeight="true" outlineLevel="0" collapsed="false">
      <c r="A395" s="1" t="n">
        <v>394</v>
      </c>
      <c r="B395" s="1" t="s">
        <v>1048</v>
      </c>
      <c r="C395" s="1" t="s">
        <v>1049</v>
      </c>
      <c r="D395" s="1" t="s">
        <v>181</v>
      </c>
      <c r="E395" s="1" t="s">
        <v>182</v>
      </c>
      <c r="F395" s="1" t="s">
        <v>23</v>
      </c>
      <c r="G395" s="1" t="s">
        <v>1050</v>
      </c>
    </row>
    <row r="396" customFormat="false" ht="15" hidden="false" customHeight="true" outlineLevel="0" collapsed="false">
      <c r="A396" s="1" t="n">
        <v>395</v>
      </c>
      <c r="B396" s="1" t="s">
        <v>221</v>
      </c>
      <c r="C396" s="1" t="s">
        <v>1051</v>
      </c>
      <c r="D396" s="1" t="s">
        <v>79</v>
      </c>
      <c r="E396" s="1" t="s">
        <v>80</v>
      </c>
      <c r="F396" s="1" t="s">
        <v>11</v>
      </c>
      <c r="G396" s="1" t="s">
        <v>1052</v>
      </c>
    </row>
    <row r="397" customFormat="false" ht="15" hidden="false" customHeight="true" outlineLevel="0" collapsed="false">
      <c r="A397" s="1" t="n">
        <v>396</v>
      </c>
      <c r="B397" s="1" t="s">
        <v>600</v>
      </c>
      <c r="C397" s="1" t="s">
        <v>1053</v>
      </c>
      <c r="D397" s="1" t="s">
        <v>54</v>
      </c>
      <c r="E397" s="1" t="s">
        <v>55</v>
      </c>
      <c r="F397" s="1" t="s">
        <v>17</v>
      </c>
      <c r="G397" s="1" t="s">
        <v>1054</v>
      </c>
    </row>
    <row r="398" customFormat="false" ht="15" hidden="false" customHeight="true" outlineLevel="0" collapsed="false">
      <c r="A398" s="1" t="n">
        <v>397</v>
      </c>
      <c r="B398" s="1" t="s">
        <v>1055</v>
      </c>
      <c r="C398" s="1" t="s">
        <v>1056</v>
      </c>
      <c r="D398" s="1" t="s">
        <v>67</v>
      </c>
      <c r="E398" s="1" t="s">
        <v>10</v>
      </c>
      <c r="F398" s="1" t="s">
        <v>11</v>
      </c>
      <c r="G398" s="1" t="s">
        <v>1057</v>
      </c>
    </row>
    <row r="399" customFormat="false" ht="15" hidden="false" customHeight="true" outlineLevel="0" collapsed="false">
      <c r="A399" s="1" t="n">
        <v>398</v>
      </c>
      <c r="B399" s="1" t="s">
        <v>1058</v>
      </c>
      <c r="C399" s="1" t="s">
        <v>1059</v>
      </c>
      <c r="D399" s="1" t="s">
        <v>154</v>
      </c>
      <c r="E399" s="1" t="s">
        <v>10</v>
      </c>
      <c r="F399" s="1" t="s">
        <v>17</v>
      </c>
      <c r="G399" s="1" t="s">
        <v>263</v>
      </c>
    </row>
    <row r="400" customFormat="false" ht="15" hidden="false" customHeight="true" outlineLevel="0" collapsed="false">
      <c r="A400" s="1" t="n">
        <v>399</v>
      </c>
      <c r="B400" s="1" t="s">
        <v>1060</v>
      </c>
      <c r="C400" s="1" t="s">
        <v>1061</v>
      </c>
      <c r="D400" s="1" t="s">
        <v>62</v>
      </c>
      <c r="E400" s="1" t="s">
        <v>63</v>
      </c>
      <c r="F400" s="1" t="s">
        <v>23</v>
      </c>
      <c r="G400" s="1" t="s">
        <v>476</v>
      </c>
    </row>
    <row r="401" customFormat="false" ht="15" hidden="false" customHeight="true" outlineLevel="0" collapsed="false">
      <c r="A401" s="1" t="n">
        <v>400</v>
      </c>
      <c r="B401" s="1" t="s">
        <v>1062</v>
      </c>
      <c r="C401" s="1" t="s">
        <v>1063</v>
      </c>
      <c r="D401" s="1" t="s">
        <v>15</v>
      </c>
      <c r="E401" s="1" t="s">
        <v>16</v>
      </c>
      <c r="F401" s="1" t="s">
        <v>17</v>
      </c>
      <c r="G401" s="1" t="s">
        <v>946</v>
      </c>
    </row>
    <row r="402" customFormat="false" ht="15" hidden="false" customHeight="true" outlineLevel="0" collapsed="false">
      <c r="A402" s="1" t="n">
        <v>401</v>
      </c>
      <c r="B402" s="1" t="s">
        <v>1064</v>
      </c>
      <c r="C402" s="1" t="s">
        <v>1065</v>
      </c>
      <c r="D402" s="1" t="s">
        <v>9</v>
      </c>
      <c r="E402" s="1" t="s">
        <v>10</v>
      </c>
      <c r="F402" s="1" t="s">
        <v>11</v>
      </c>
      <c r="G402" s="1" t="s">
        <v>1066</v>
      </c>
    </row>
    <row r="403" customFormat="false" ht="15" hidden="false" customHeight="true" outlineLevel="0" collapsed="false">
      <c r="A403" s="1" t="n">
        <v>402</v>
      </c>
      <c r="B403" s="1" t="s">
        <v>1067</v>
      </c>
      <c r="C403" s="1" t="s">
        <v>1068</v>
      </c>
      <c r="D403" s="1" t="s">
        <v>154</v>
      </c>
      <c r="E403" s="1" t="s">
        <v>10</v>
      </c>
      <c r="F403" s="1" t="s">
        <v>123</v>
      </c>
      <c r="G403" s="1" t="s">
        <v>1069</v>
      </c>
    </row>
    <row r="404" customFormat="false" ht="15" hidden="false" customHeight="true" outlineLevel="0" collapsed="false">
      <c r="A404" s="1" t="n">
        <v>403</v>
      </c>
      <c r="B404" s="1" t="s">
        <v>1070</v>
      </c>
      <c r="C404" s="1" t="s">
        <v>1071</v>
      </c>
      <c r="D404" s="1" t="s">
        <v>115</v>
      </c>
      <c r="E404" s="1" t="s">
        <v>116</v>
      </c>
      <c r="F404" s="1" t="s">
        <v>11</v>
      </c>
      <c r="G404" s="1" t="s">
        <v>325</v>
      </c>
    </row>
    <row r="405" customFormat="false" ht="15" hidden="false" customHeight="true" outlineLevel="0" collapsed="false">
      <c r="A405" s="1" t="n">
        <v>404</v>
      </c>
      <c r="B405" s="1" t="s">
        <v>1072</v>
      </c>
      <c r="C405" s="1" t="s">
        <v>1073</v>
      </c>
      <c r="D405" s="1" t="s">
        <v>67</v>
      </c>
      <c r="E405" s="1" t="s">
        <v>10</v>
      </c>
      <c r="F405" s="1" t="s">
        <v>23</v>
      </c>
      <c r="G405" s="1" t="s">
        <v>106</v>
      </c>
    </row>
    <row r="406" customFormat="false" ht="15" hidden="false" customHeight="true" outlineLevel="0" collapsed="false">
      <c r="A406" s="1" t="n">
        <v>405</v>
      </c>
      <c r="B406" s="1" t="s">
        <v>1074</v>
      </c>
      <c r="C406" s="1" t="s">
        <v>1075</v>
      </c>
      <c r="D406" s="1" t="s">
        <v>141</v>
      </c>
      <c r="E406" s="1" t="s">
        <v>142</v>
      </c>
      <c r="F406" s="1" t="s">
        <v>17</v>
      </c>
      <c r="G406" s="1" t="s">
        <v>202</v>
      </c>
    </row>
    <row r="407" customFormat="false" ht="15" hidden="false" customHeight="true" outlineLevel="0" collapsed="false">
      <c r="A407" s="1" t="n">
        <v>406</v>
      </c>
      <c r="B407" s="1" t="s">
        <v>1076</v>
      </c>
      <c r="C407" s="1" t="s">
        <v>1077</v>
      </c>
      <c r="D407" s="1" t="s">
        <v>54</v>
      </c>
      <c r="E407" s="1" t="s">
        <v>55</v>
      </c>
      <c r="F407" s="1" t="s">
        <v>17</v>
      </c>
      <c r="G407" s="1" t="s">
        <v>1078</v>
      </c>
    </row>
    <row r="408" customFormat="false" ht="15" hidden="false" customHeight="true" outlineLevel="0" collapsed="false">
      <c r="A408" s="1" t="n">
        <v>407</v>
      </c>
      <c r="B408" s="1" t="s">
        <v>1079</v>
      </c>
      <c r="C408" s="1" t="s">
        <v>1080</v>
      </c>
      <c r="D408" s="1" t="s">
        <v>92</v>
      </c>
      <c r="E408" s="1" t="s">
        <v>93</v>
      </c>
      <c r="F408" s="1" t="s">
        <v>11</v>
      </c>
      <c r="G408" s="1" t="s">
        <v>825</v>
      </c>
    </row>
    <row r="409" customFormat="false" ht="15" hidden="false" customHeight="true" outlineLevel="0" collapsed="false">
      <c r="A409" s="1" t="n">
        <v>408</v>
      </c>
      <c r="B409" s="1" t="s">
        <v>1081</v>
      </c>
      <c r="C409" s="1" t="s">
        <v>1082</v>
      </c>
      <c r="D409" s="1" t="s">
        <v>21</v>
      </c>
      <c r="E409" s="1" t="s">
        <v>22</v>
      </c>
      <c r="F409" s="1" t="s">
        <v>17</v>
      </c>
      <c r="G409" s="1" t="s">
        <v>1083</v>
      </c>
    </row>
    <row r="410" customFormat="false" ht="15" hidden="false" customHeight="true" outlineLevel="0" collapsed="false">
      <c r="A410" s="1" t="n">
        <v>409</v>
      </c>
      <c r="B410" s="1" t="s">
        <v>1084</v>
      </c>
      <c r="C410" s="1" t="s">
        <v>1085</v>
      </c>
      <c r="D410" s="1" t="s">
        <v>37</v>
      </c>
      <c r="E410" s="1" t="s">
        <v>38</v>
      </c>
      <c r="F410" s="1" t="s">
        <v>17</v>
      </c>
      <c r="G410" s="1" t="s">
        <v>1086</v>
      </c>
    </row>
    <row r="411" customFormat="false" ht="15" hidden="false" customHeight="true" outlineLevel="0" collapsed="false">
      <c r="A411" s="1" t="n">
        <v>410</v>
      </c>
      <c r="B411" s="1" t="s">
        <v>1087</v>
      </c>
      <c r="C411" s="1" t="s">
        <v>1088</v>
      </c>
      <c r="D411" s="1" t="s">
        <v>181</v>
      </c>
      <c r="E411" s="1" t="s">
        <v>182</v>
      </c>
      <c r="F411" s="1" t="s">
        <v>11</v>
      </c>
      <c r="G411" s="1" t="s">
        <v>1089</v>
      </c>
    </row>
    <row r="412" customFormat="false" ht="15" hidden="false" customHeight="true" outlineLevel="0" collapsed="false">
      <c r="A412" s="1" t="n">
        <v>411</v>
      </c>
      <c r="B412" s="1" t="s">
        <v>1090</v>
      </c>
      <c r="C412" s="1" t="s">
        <v>1091</v>
      </c>
      <c r="D412" s="1" t="s">
        <v>37</v>
      </c>
      <c r="E412" s="1" t="s">
        <v>38</v>
      </c>
      <c r="F412" s="1" t="s">
        <v>23</v>
      </c>
      <c r="G412" s="1" t="s">
        <v>1092</v>
      </c>
    </row>
    <row r="413" customFormat="false" ht="15" hidden="false" customHeight="true" outlineLevel="0" collapsed="false">
      <c r="A413" s="1" t="n">
        <v>412</v>
      </c>
      <c r="B413" s="1" t="s">
        <v>1093</v>
      </c>
      <c r="C413" s="1" t="s">
        <v>1094</v>
      </c>
      <c r="D413" s="1" t="s">
        <v>54</v>
      </c>
      <c r="E413" s="1" t="s">
        <v>55</v>
      </c>
      <c r="F413" s="1" t="s">
        <v>23</v>
      </c>
      <c r="G413" s="1" t="s">
        <v>980</v>
      </c>
    </row>
    <row r="414" customFormat="false" ht="15" hidden="false" customHeight="true" outlineLevel="0" collapsed="false">
      <c r="A414" s="1" t="n">
        <v>413</v>
      </c>
      <c r="B414" s="1" t="s">
        <v>1095</v>
      </c>
      <c r="C414" s="1" t="s">
        <v>1096</v>
      </c>
      <c r="D414" s="1" t="s">
        <v>32</v>
      </c>
      <c r="E414" s="1" t="s">
        <v>33</v>
      </c>
      <c r="F414" s="1" t="s">
        <v>17</v>
      </c>
      <c r="G414" s="1" t="s">
        <v>1097</v>
      </c>
    </row>
    <row r="415" customFormat="false" ht="15" hidden="false" customHeight="true" outlineLevel="0" collapsed="false">
      <c r="A415" s="1" t="n">
        <v>414</v>
      </c>
      <c r="B415" s="1" t="s">
        <v>506</v>
      </c>
      <c r="C415" s="1" t="s">
        <v>1098</v>
      </c>
      <c r="D415" s="1" t="s">
        <v>105</v>
      </c>
      <c r="E415" s="1" t="s">
        <v>10</v>
      </c>
      <c r="F415" s="1" t="s">
        <v>11</v>
      </c>
      <c r="G415" s="1" t="s">
        <v>1099</v>
      </c>
    </row>
    <row r="416" customFormat="false" ht="15" hidden="false" customHeight="true" outlineLevel="0" collapsed="false">
      <c r="A416" s="1" t="n">
        <v>415</v>
      </c>
      <c r="B416" s="1" t="s">
        <v>847</v>
      </c>
      <c r="C416" s="1" t="s">
        <v>1100</v>
      </c>
      <c r="D416" s="1" t="s">
        <v>92</v>
      </c>
      <c r="E416" s="1" t="s">
        <v>93</v>
      </c>
      <c r="F416" s="1" t="s">
        <v>11</v>
      </c>
      <c r="G416" s="1" t="s">
        <v>467</v>
      </c>
    </row>
    <row r="417" customFormat="false" ht="15" hidden="false" customHeight="true" outlineLevel="0" collapsed="false">
      <c r="A417" s="1" t="n">
        <v>416</v>
      </c>
      <c r="B417" s="1" t="s">
        <v>1101</v>
      </c>
      <c r="C417" s="1" t="s">
        <v>1102</v>
      </c>
      <c r="D417" s="1" t="s">
        <v>157</v>
      </c>
      <c r="E417" s="1" t="s">
        <v>158</v>
      </c>
      <c r="F417" s="1" t="s">
        <v>17</v>
      </c>
      <c r="G417" s="1" t="s">
        <v>1103</v>
      </c>
    </row>
    <row r="418" customFormat="false" ht="15" hidden="false" customHeight="true" outlineLevel="0" collapsed="false">
      <c r="A418" s="1" t="n">
        <v>417</v>
      </c>
      <c r="B418" s="1" t="s">
        <v>1104</v>
      </c>
      <c r="C418" s="1" t="s">
        <v>1105</v>
      </c>
      <c r="D418" s="1" t="s">
        <v>9</v>
      </c>
      <c r="E418" s="1" t="s">
        <v>10</v>
      </c>
      <c r="F418" s="1" t="s">
        <v>11</v>
      </c>
      <c r="G418" s="1" t="s">
        <v>1106</v>
      </c>
    </row>
    <row r="419" customFormat="false" ht="15" hidden="false" customHeight="true" outlineLevel="0" collapsed="false">
      <c r="A419" s="1" t="n">
        <v>418</v>
      </c>
      <c r="B419" s="1" t="s">
        <v>270</v>
      </c>
      <c r="C419" s="1" t="s">
        <v>1107</v>
      </c>
      <c r="D419" s="1" t="s">
        <v>62</v>
      </c>
      <c r="E419" s="1" t="s">
        <v>63</v>
      </c>
      <c r="F419" s="1" t="s">
        <v>23</v>
      </c>
      <c r="G419" s="1" t="s">
        <v>183</v>
      </c>
    </row>
    <row r="420" customFormat="false" ht="15" hidden="false" customHeight="true" outlineLevel="0" collapsed="false">
      <c r="A420" s="1" t="n">
        <v>419</v>
      </c>
      <c r="B420" s="1" t="s">
        <v>1108</v>
      </c>
      <c r="C420" s="1" t="s">
        <v>1109</v>
      </c>
      <c r="D420" s="1" t="s">
        <v>141</v>
      </c>
      <c r="E420" s="1" t="s">
        <v>142</v>
      </c>
      <c r="F420" s="1" t="s">
        <v>17</v>
      </c>
      <c r="G420" s="1" t="s">
        <v>306</v>
      </c>
    </row>
    <row r="421" customFormat="false" ht="15" hidden="false" customHeight="true" outlineLevel="0" collapsed="false">
      <c r="A421" s="1" t="n">
        <v>420</v>
      </c>
      <c r="B421" s="1" t="s">
        <v>607</v>
      </c>
      <c r="C421" s="1" t="s">
        <v>1110</v>
      </c>
      <c r="D421" s="1" t="s">
        <v>115</v>
      </c>
      <c r="E421" s="1" t="s">
        <v>116</v>
      </c>
      <c r="F421" s="1" t="s">
        <v>17</v>
      </c>
      <c r="G421" s="1" t="s">
        <v>1111</v>
      </c>
    </row>
    <row r="422" customFormat="false" ht="15" hidden="false" customHeight="true" outlineLevel="0" collapsed="false">
      <c r="A422" s="1" t="n">
        <v>421</v>
      </c>
      <c r="B422" s="1" t="s">
        <v>1112</v>
      </c>
      <c r="C422" s="1" t="s">
        <v>1113</v>
      </c>
      <c r="D422" s="1" t="s">
        <v>32</v>
      </c>
      <c r="E422" s="1" t="s">
        <v>33</v>
      </c>
      <c r="F422" s="1" t="s">
        <v>23</v>
      </c>
      <c r="G422" s="1" t="s">
        <v>1114</v>
      </c>
    </row>
    <row r="423" customFormat="false" ht="15" hidden="false" customHeight="true" outlineLevel="0" collapsed="false">
      <c r="A423" s="1" t="n">
        <v>422</v>
      </c>
      <c r="B423" s="1" t="s">
        <v>1115</v>
      </c>
      <c r="C423" s="1" t="s">
        <v>1116</v>
      </c>
      <c r="D423" s="1" t="s">
        <v>141</v>
      </c>
      <c r="E423" s="1" t="s">
        <v>142</v>
      </c>
      <c r="F423" s="1" t="s">
        <v>17</v>
      </c>
      <c r="G423" s="1" t="s">
        <v>1117</v>
      </c>
    </row>
    <row r="424" customFormat="false" ht="15" hidden="false" customHeight="true" outlineLevel="0" collapsed="false">
      <c r="A424" s="1" t="n">
        <v>423</v>
      </c>
      <c r="B424" s="1" t="s">
        <v>1118</v>
      </c>
      <c r="C424" s="1" t="s">
        <v>1119</v>
      </c>
      <c r="D424" s="1" t="s">
        <v>79</v>
      </c>
      <c r="E424" s="1" t="s">
        <v>80</v>
      </c>
      <c r="F424" s="1" t="s">
        <v>17</v>
      </c>
      <c r="G424" s="1" t="s">
        <v>1120</v>
      </c>
    </row>
    <row r="425" customFormat="false" ht="15" hidden="false" customHeight="true" outlineLevel="0" collapsed="false">
      <c r="A425" s="1" t="n">
        <v>424</v>
      </c>
      <c r="B425" s="1" t="s">
        <v>1121</v>
      </c>
      <c r="C425" s="1" t="s">
        <v>1122</v>
      </c>
      <c r="D425" s="1" t="s">
        <v>79</v>
      </c>
      <c r="E425" s="1" t="s">
        <v>80</v>
      </c>
      <c r="F425" s="1" t="s">
        <v>17</v>
      </c>
      <c r="G425" s="1" t="s">
        <v>952</v>
      </c>
    </row>
    <row r="426" customFormat="false" ht="15" hidden="false" customHeight="true" outlineLevel="0" collapsed="false">
      <c r="A426" s="1" t="n">
        <v>425</v>
      </c>
      <c r="B426" s="1" t="s">
        <v>1123</v>
      </c>
      <c r="D426" s="1" t="s">
        <v>79</v>
      </c>
      <c r="E426" s="1" t="s">
        <v>80</v>
      </c>
      <c r="F426" s="1" t="s">
        <v>123</v>
      </c>
      <c r="G426" s="1" t="s">
        <v>1124</v>
      </c>
    </row>
    <row r="427" customFormat="false" ht="15" hidden="false" customHeight="true" outlineLevel="0" collapsed="false">
      <c r="A427" s="1" t="n">
        <v>426</v>
      </c>
      <c r="B427" s="1" t="s">
        <v>1125</v>
      </c>
      <c r="C427" s="1" t="s">
        <v>1126</v>
      </c>
      <c r="D427" s="1" t="s">
        <v>50</v>
      </c>
      <c r="E427" s="1" t="s">
        <v>38</v>
      </c>
      <c r="F427" s="1" t="s">
        <v>11</v>
      </c>
      <c r="G427" s="1" t="s">
        <v>1127</v>
      </c>
    </row>
    <row r="428" customFormat="false" ht="15" hidden="false" customHeight="true" outlineLevel="0" collapsed="false">
      <c r="A428" s="1" t="n">
        <v>427</v>
      </c>
      <c r="B428" s="1" t="s">
        <v>1128</v>
      </c>
      <c r="C428" s="1" t="s">
        <v>1129</v>
      </c>
      <c r="D428" s="1" t="s">
        <v>79</v>
      </c>
      <c r="E428" s="1" t="s">
        <v>80</v>
      </c>
      <c r="F428" s="1" t="s">
        <v>17</v>
      </c>
      <c r="G428" s="1" t="s">
        <v>1130</v>
      </c>
    </row>
    <row r="429" customFormat="false" ht="15" hidden="false" customHeight="true" outlineLevel="0" collapsed="false">
      <c r="A429" s="1" t="n">
        <v>428</v>
      </c>
      <c r="B429" s="1" t="s">
        <v>1131</v>
      </c>
      <c r="C429" s="1" t="s">
        <v>1132</v>
      </c>
      <c r="D429" s="1" t="s">
        <v>37</v>
      </c>
      <c r="E429" s="1" t="s">
        <v>38</v>
      </c>
      <c r="F429" s="1" t="s">
        <v>23</v>
      </c>
      <c r="G429" s="1" t="s">
        <v>1133</v>
      </c>
    </row>
    <row r="430" customFormat="false" ht="15" hidden="false" customHeight="true" outlineLevel="0" collapsed="false">
      <c r="A430" s="1" t="n">
        <v>429</v>
      </c>
      <c r="B430" s="1" t="s">
        <v>1134</v>
      </c>
      <c r="C430" s="1" t="s">
        <v>1135</v>
      </c>
      <c r="D430" s="1" t="s">
        <v>50</v>
      </c>
      <c r="E430" s="1" t="s">
        <v>38</v>
      </c>
      <c r="F430" s="1" t="s">
        <v>23</v>
      </c>
      <c r="G430" s="1" t="s">
        <v>1136</v>
      </c>
    </row>
    <row r="431" customFormat="false" ht="15" hidden="false" customHeight="true" outlineLevel="0" collapsed="false">
      <c r="A431" s="1" t="n">
        <v>430</v>
      </c>
      <c r="B431" s="1" t="s">
        <v>1137</v>
      </c>
      <c r="C431" s="1" t="s">
        <v>1138</v>
      </c>
      <c r="D431" s="1" t="s">
        <v>21</v>
      </c>
      <c r="E431" s="1" t="s">
        <v>22</v>
      </c>
      <c r="F431" s="1" t="s">
        <v>23</v>
      </c>
      <c r="G431" s="1" t="s">
        <v>828</v>
      </c>
    </row>
    <row r="432" customFormat="false" ht="15" hidden="false" customHeight="true" outlineLevel="0" collapsed="false">
      <c r="A432" s="1" t="n">
        <v>431</v>
      </c>
      <c r="B432" s="1" t="s">
        <v>1139</v>
      </c>
      <c r="C432" s="1" t="s">
        <v>1140</v>
      </c>
      <c r="D432" s="1" t="s">
        <v>115</v>
      </c>
      <c r="E432" s="1" t="s">
        <v>116</v>
      </c>
      <c r="F432" s="1" t="s">
        <v>11</v>
      </c>
      <c r="G432" s="1" t="s">
        <v>1141</v>
      </c>
    </row>
    <row r="433" customFormat="false" ht="15" hidden="false" customHeight="true" outlineLevel="0" collapsed="false">
      <c r="A433" s="1" t="n">
        <v>432</v>
      </c>
      <c r="B433" s="1" t="s">
        <v>1142</v>
      </c>
      <c r="C433" s="1" t="s">
        <v>1143</v>
      </c>
      <c r="D433" s="1" t="s">
        <v>27</v>
      </c>
      <c r="E433" s="1" t="s">
        <v>28</v>
      </c>
      <c r="F433" s="1" t="s">
        <v>11</v>
      </c>
      <c r="G433" s="1" t="s">
        <v>1144</v>
      </c>
    </row>
    <row r="434" customFormat="false" ht="15" hidden="false" customHeight="true" outlineLevel="0" collapsed="false">
      <c r="A434" s="1" t="n">
        <v>433</v>
      </c>
      <c r="B434" s="1" t="s">
        <v>1145</v>
      </c>
      <c r="C434" s="1" t="s">
        <v>1146</v>
      </c>
      <c r="D434" s="1" t="s">
        <v>154</v>
      </c>
      <c r="E434" s="1" t="s">
        <v>10</v>
      </c>
      <c r="F434" s="1" t="s">
        <v>17</v>
      </c>
      <c r="G434" s="1" t="s">
        <v>1147</v>
      </c>
    </row>
    <row r="435" customFormat="false" ht="15" hidden="false" customHeight="true" outlineLevel="0" collapsed="false">
      <c r="A435" s="1" t="n">
        <v>434</v>
      </c>
      <c r="B435" s="1" t="s">
        <v>1121</v>
      </c>
      <c r="C435" s="1" t="s">
        <v>1148</v>
      </c>
      <c r="D435" s="1" t="s">
        <v>15</v>
      </c>
      <c r="E435" s="1" t="s">
        <v>16</v>
      </c>
      <c r="F435" s="1" t="s">
        <v>11</v>
      </c>
      <c r="G435" s="1" t="s">
        <v>136</v>
      </c>
    </row>
    <row r="436" customFormat="false" ht="15" hidden="false" customHeight="true" outlineLevel="0" collapsed="false">
      <c r="A436" s="1" t="n">
        <v>435</v>
      </c>
      <c r="B436" s="1" t="s">
        <v>1025</v>
      </c>
      <c r="C436" s="1" t="s">
        <v>1149</v>
      </c>
      <c r="D436" s="1" t="s">
        <v>154</v>
      </c>
      <c r="E436" s="1" t="s">
        <v>10</v>
      </c>
      <c r="F436" s="1" t="s">
        <v>123</v>
      </c>
      <c r="G436" s="1" t="s">
        <v>18</v>
      </c>
    </row>
    <row r="437" customFormat="false" ht="15" hidden="false" customHeight="true" outlineLevel="0" collapsed="false">
      <c r="A437" s="1" t="n">
        <v>436</v>
      </c>
      <c r="B437" s="1" t="s">
        <v>1150</v>
      </c>
      <c r="C437" s="1" t="s">
        <v>1151</v>
      </c>
      <c r="D437" s="1" t="s">
        <v>37</v>
      </c>
      <c r="E437" s="1" t="s">
        <v>38</v>
      </c>
      <c r="F437" s="1" t="s">
        <v>23</v>
      </c>
      <c r="G437" s="1" t="s">
        <v>713</v>
      </c>
    </row>
    <row r="438" customFormat="false" ht="15" hidden="false" customHeight="true" outlineLevel="0" collapsed="false">
      <c r="A438" s="1" t="n">
        <v>437</v>
      </c>
      <c r="B438" s="1" t="s">
        <v>1152</v>
      </c>
      <c r="C438" s="1" t="s">
        <v>1153</v>
      </c>
      <c r="D438" s="1" t="s">
        <v>9</v>
      </c>
      <c r="E438" s="1" t="s">
        <v>10</v>
      </c>
      <c r="F438" s="1" t="s">
        <v>17</v>
      </c>
      <c r="G438" s="1" t="s">
        <v>1154</v>
      </c>
    </row>
    <row r="439" customFormat="false" ht="15" hidden="false" customHeight="true" outlineLevel="0" collapsed="false">
      <c r="A439" s="1" t="n">
        <v>438</v>
      </c>
      <c r="B439" s="1" t="s">
        <v>1155</v>
      </c>
      <c r="C439" s="1" t="s">
        <v>1156</v>
      </c>
      <c r="D439" s="1" t="s">
        <v>50</v>
      </c>
      <c r="E439" s="1" t="s">
        <v>38</v>
      </c>
      <c r="F439" s="1" t="s">
        <v>11</v>
      </c>
      <c r="G439" s="1" t="s">
        <v>1157</v>
      </c>
    </row>
    <row r="440" customFormat="false" ht="15" hidden="false" customHeight="true" outlineLevel="0" collapsed="false">
      <c r="A440" s="1" t="n">
        <v>439</v>
      </c>
      <c r="B440" s="1" t="s">
        <v>1158</v>
      </c>
      <c r="C440" s="1" t="s">
        <v>1159</v>
      </c>
      <c r="D440" s="1" t="s">
        <v>181</v>
      </c>
      <c r="E440" s="1" t="s">
        <v>182</v>
      </c>
      <c r="F440" s="1" t="s">
        <v>23</v>
      </c>
      <c r="G440" s="1" t="s">
        <v>1160</v>
      </c>
    </row>
    <row r="441" customFormat="false" ht="15" hidden="false" customHeight="true" outlineLevel="0" collapsed="false">
      <c r="A441" s="1" t="n">
        <v>440</v>
      </c>
      <c r="B441" s="1" t="s">
        <v>1161</v>
      </c>
      <c r="D441" s="1" t="s">
        <v>62</v>
      </c>
      <c r="E441" s="1" t="s">
        <v>63</v>
      </c>
      <c r="F441" s="1" t="s">
        <v>17</v>
      </c>
      <c r="G441" s="1" t="s">
        <v>1162</v>
      </c>
    </row>
    <row r="442" customFormat="false" ht="15" hidden="false" customHeight="true" outlineLevel="0" collapsed="false">
      <c r="A442" s="1" t="n">
        <v>441</v>
      </c>
      <c r="B442" s="1" t="s">
        <v>1163</v>
      </c>
      <c r="C442" s="1" t="s">
        <v>1164</v>
      </c>
      <c r="D442" s="1" t="s">
        <v>50</v>
      </c>
      <c r="E442" s="1" t="s">
        <v>38</v>
      </c>
      <c r="F442" s="1" t="s">
        <v>23</v>
      </c>
      <c r="G442" s="1" t="s">
        <v>1165</v>
      </c>
    </row>
    <row r="443" customFormat="false" ht="15" hidden="false" customHeight="true" outlineLevel="0" collapsed="false">
      <c r="A443" s="1" t="n">
        <v>442</v>
      </c>
      <c r="B443" s="1" t="s">
        <v>621</v>
      </c>
      <c r="D443" s="1" t="s">
        <v>32</v>
      </c>
      <c r="E443" s="1" t="s">
        <v>33</v>
      </c>
      <c r="F443" s="1" t="s">
        <v>17</v>
      </c>
      <c r="G443" s="1" t="s">
        <v>1166</v>
      </c>
    </row>
    <row r="444" customFormat="false" ht="15" hidden="false" customHeight="true" outlineLevel="0" collapsed="false">
      <c r="A444" s="1" t="n">
        <v>443</v>
      </c>
      <c r="B444" s="1" t="s">
        <v>1167</v>
      </c>
      <c r="C444" s="1" t="s">
        <v>1168</v>
      </c>
      <c r="D444" s="1" t="s">
        <v>15</v>
      </c>
      <c r="E444" s="1" t="s">
        <v>16</v>
      </c>
      <c r="F444" s="1" t="s">
        <v>11</v>
      </c>
      <c r="G444" s="1" t="s">
        <v>1169</v>
      </c>
    </row>
    <row r="445" customFormat="false" ht="15" hidden="false" customHeight="true" outlineLevel="0" collapsed="false">
      <c r="A445" s="1" t="n">
        <v>444</v>
      </c>
      <c r="B445" s="1" t="s">
        <v>1170</v>
      </c>
      <c r="C445" s="1" t="s">
        <v>1171</v>
      </c>
      <c r="D445" s="1" t="s">
        <v>32</v>
      </c>
      <c r="E445" s="1" t="s">
        <v>33</v>
      </c>
      <c r="F445" s="1" t="s">
        <v>17</v>
      </c>
      <c r="G445" s="1" t="s">
        <v>748</v>
      </c>
    </row>
    <row r="446" customFormat="false" ht="15" hidden="false" customHeight="true" outlineLevel="0" collapsed="false">
      <c r="A446" s="1" t="n">
        <v>445</v>
      </c>
      <c r="B446" s="1" t="s">
        <v>1172</v>
      </c>
      <c r="D446" s="1" t="s">
        <v>42</v>
      </c>
      <c r="E446" s="1" t="s">
        <v>43</v>
      </c>
      <c r="F446" s="1" t="s">
        <v>17</v>
      </c>
      <c r="G446" s="1" t="s">
        <v>1173</v>
      </c>
    </row>
    <row r="447" customFormat="false" ht="15" hidden="false" customHeight="true" outlineLevel="0" collapsed="false">
      <c r="A447" s="1" t="n">
        <v>446</v>
      </c>
      <c r="B447" s="1" t="s">
        <v>754</v>
      </c>
      <c r="C447" s="1" t="s">
        <v>1174</v>
      </c>
      <c r="D447" s="1" t="s">
        <v>154</v>
      </c>
      <c r="E447" s="1" t="s">
        <v>10</v>
      </c>
      <c r="F447" s="1" t="s">
        <v>17</v>
      </c>
      <c r="G447" s="1" t="s">
        <v>146</v>
      </c>
    </row>
    <row r="448" customFormat="false" ht="15" hidden="false" customHeight="true" outlineLevel="0" collapsed="false">
      <c r="A448" s="1" t="n">
        <v>447</v>
      </c>
      <c r="B448" s="1" t="s">
        <v>1175</v>
      </c>
      <c r="C448" s="1" t="s">
        <v>1176</v>
      </c>
      <c r="D448" s="1" t="s">
        <v>115</v>
      </c>
      <c r="E448" s="1" t="s">
        <v>116</v>
      </c>
      <c r="F448" s="1" t="s">
        <v>17</v>
      </c>
      <c r="G448" s="1" t="s">
        <v>1177</v>
      </c>
    </row>
    <row r="449" customFormat="false" ht="15" hidden="false" customHeight="true" outlineLevel="0" collapsed="false">
      <c r="A449" s="1" t="n">
        <v>448</v>
      </c>
      <c r="B449" s="1" t="s">
        <v>1178</v>
      </c>
      <c r="C449" s="1" t="s">
        <v>1179</v>
      </c>
      <c r="D449" s="1" t="s">
        <v>79</v>
      </c>
      <c r="E449" s="1" t="s">
        <v>80</v>
      </c>
      <c r="F449" s="1" t="s">
        <v>23</v>
      </c>
      <c r="G449" s="1" t="s">
        <v>697</v>
      </c>
    </row>
    <row r="450" customFormat="false" ht="15" hidden="false" customHeight="true" outlineLevel="0" collapsed="false">
      <c r="A450" s="1" t="n">
        <v>449</v>
      </c>
      <c r="B450" s="1" t="s">
        <v>1180</v>
      </c>
      <c r="C450" s="1" t="s">
        <v>1181</v>
      </c>
      <c r="D450" s="1" t="s">
        <v>37</v>
      </c>
      <c r="E450" s="1" t="s">
        <v>38</v>
      </c>
      <c r="F450" s="1" t="s">
        <v>23</v>
      </c>
      <c r="G450" s="1" t="s">
        <v>629</v>
      </c>
    </row>
    <row r="451" customFormat="false" ht="15" hidden="false" customHeight="true" outlineLevel="0" collapsed="false">
      <c r="A451" s="1" t="n">
        <v>450</v>
      </c>
      <c r="B451" s="1" t="s">
        <v>281</v>
      </c>
      <c r="C451" s="1" t="s">
        <v>1182</v>
      </c>
      <c r="D451" s="1" t="s">
        <v>21</v>
      </c>
      <c r="E451" s="1" t="s">
        <v>22</v>
      </c>
      <c r="F451" s="1" t="s">
        <v>11</v>
      </c>
      <c r="G451" s="1" t="s">
        <v>1183</v>
      </c>
    </row>
    <row r="452" customFormat="false" ht="15" hidden="false" customHeight="true" outlineLevel="0" collapsed="false">
      <c r="A452" s="1" t="n">
        <v>451</v>
      </c>
      <c r="B452" s="1" t="s">
        <v>1184</v>
      </c>
      <c r="C452" s="1" t="s">
        <v>1185</v>
      </c>
      <c r="D452" s="1" t="s">
        <v>62</v>
      </c>
      <c r="E452" s="1" t="s">
        <v>63</v>
      </c>
      <c r="F452" s="1" t="s">
        <v>23</v>
      </c>
      <c r="G452" s="1" t="s">
        <v>254</v>
      </c>
    </row>
    <row r="453" customFormat="false" ht="15" hidden="false" customHeight="true" outlineLevel="0" collapsed="false">
      <c r="A453" s="1" t="n">
        <v>452</v>
      </c>
      <c r="B453" s="1" t="s">
        <v>1186</v>
      </c>
      <c r="C453" s="1" t="s">
        <v>1187</v>
      </c>
      <c r="D453" s="1" t="s">
        <v>79</v>
      </c>
      <c r="E453" s="1" t="s">
        <v>80</v>
      </c>
      <c r="F453" s="1" t="s">
        <v>11</v>
      </c>
      <c r="G453" s="1" t="s">
        <v>1188</v>
      </c>
    </row>
    <row r="454" customFormat="false" ht="15" hidden="false" customHeight="true" outlineLevel="0" collapsed="false">
      <c r="A454" s="1" t="n">
        <v>453</v>
      </c>
      <c r="B454" s="1" t="s">
        <v>1189</v>
      </c>
      <c r="C454" s="1" t="s">
        <v>1190</v>
      </c>
      <c r="D454" s="1" t="s">
        <v>15</v>
      </c>
      <c r="E454" s="1" t="s">
        <v>16</v>
      </c>
      <c r="F454" s="1" t="s">
        <v>17</v>
      </c>
      <c r="G454" s="1" t="s">
        <v>1191</v>
      </c>
    </row>
    <row r="455" customFormat="false" ht="15" hidden="false" customHeight="true" outlineLevel="0" collapsed="false">
      <c r="A455" s="1" t="n">
        <v>454</v>
      </c>
      <c r="B455" s="1" t="s">
        <v>1192</v>
      </c>
      <c r="C455" s="1" t="s">
        <v>1193</v>
      </c>
      <c r="D455" s="1" t="s">
        <v>50</v>
      </c>
      <c r="E455" s="1" t="s">
        <v>38</v>
      </c>
      <c r="F455" s="1" t="s">
        <v>11</v>
      </c>
      <c r="G455" s="1" t="s">
        <v>557</v>
      </c>
    </row>
    <row r="456" customFormat="false" ht="15" hidden="false" customHeight="true" outlineLevel="0" collapsed="false">
      <c r="A456" s="1" t="n">
        <v>455</v>
      </c>
      <c r="B456" s="1" t="s">
        <v>1194</v>
      </c>
      <c r="C456" s="1" t="s">
        <v>1195</v>
      </c>
      <c r="D456" s="1" t="s">
        <v>21</v>
      </c>
      <c r="E456" s="1" t="s">
        <v>22</v>
      </c>
      <c r="F456" s="1" t="s">
        <v>11</v>
      </c>
      <c r="G456" s="1" t="s">
        <v>1196</v>
      </c>
    </row>
    <row r="457" customFormat="false" ht="15" hidden="false" customHeight="true" outlineLevel="0" collapsed="false">
      <c r="A457" s="1" t="n">
        <v>456</v>
      </c>
      <c r="B457" s="1" t="s">
        <v>589</v>
      </c>
      <c r="C457" s="1" t="s">
        <v>1197</v>
      </c>
      <c r="D457" s="1" t="s">
        <v>115</v>
      </c>
      <c r="E457" s="1" t="s">
        <v>116</v>
      </c>
      <c r="F457" s="1" t="s">
        <v>11</v>
      </c>
      <c r="G457" s="1" t="s">
        <v>1141</v>
      </c>
    </row>
    <row r="458" customFormat="false" ht="15" hidden="false" customHeight="true" outlineLevel="0" collapsed="false">
      <c r="A458" s="1" t="n">
        <v>457</v>
      </c>
      <c r="B458" s="1" t="s">
        <v>1198</v>
      </c>
      <c r="C458" s="1" t="s">
        <v>1199</v>
      </c>
      <c r="D458" s="1" t="s">
        <v>50</v>
      </c>
      <c r="E458" s="1" t="s">
        <v>38</v>
      </c>
      <c r="F458" s="1" t="s">
        <v>17</v>
      </c>
      <c r="G458" s="1" t="s">
        <v>59</v>
      </c>
    </row>
    <row r="459" customFormat="false" ht="15" hidden="false" customHeight="true" outlineLevel="0" collapsed="false">
      <c r="A459" s="1" t="n">
        <v>458</v>
      </c>
      <c r="B459" s="1" t="s">
        <v>1200</v>
      </c>
      <c r="C459" s="1" t="s">
        <v>1201</v>
      </c>
      <c r="D459" s="1" t="s">
        <v>92</v>
      </c>
      <c r="E459" s="1" t="s">
        <v>93</v>
      </c>
      <c r="F459" s="1" t="s">
        <v>17</v>
      </c>
      <c r="G459" s="1" t="s">
        <v>1202</v>
      </c>
    </row>
    <row r="460" customFormat="false" ht="15" hidden="false" customHeight="true" outlineLevel="0" collapsed="false">
      <c r="A460" s="1" t="n">
        <v>459</v>
      </c>
      <c r="B460" s="1" t="s">
        <v>1203</v>
      </c>
      <c r="C460" s="1" t="s">
        <v>1204</v>
      </c>
      <c r="D460" s="1" t="s">
        <v>9</v>
      </c>
      <c r="E460" s="1" t="s">
        <v>10</v>
      </c>
      <c r="F460" s="1" t="s">
        <v>17</v>
      </c>
      <c r="G460" s="1" t="s">
        <v>1205</v>
      </c>
    </row>
    <row r="461" customFormat="false" ht="15" hidden="false" customHeight="true" outlineLevel="0" collapsed="false">
      <c r="A461" s="1" t="n">
        <v>460</v>
      </c>
      <c r="B461" s="1" t="s">
        <v>1206</v>
      </c>
      <c r="C461" s="1" t="s">
        <v>1207</v>
      </c>
      <c r="D461" s="1" t="s">
        <v>9</v>
      </c>
      <c r="E461" s="1" t="s">
        <v>10</v>
      </c>
      <c r="F461" s="1" t="s">
        <v>23</v>
      </c>
      <c r="G461" s="1" t="s">
        <v>1208</v>
      </c>
    </row>
    <row r="462" customFormat="false" ht="15" hidden="false" customHeight="true" outlineLevel="0" collapsed="false">
      <c r="A462" s="1" t="n">
        <v>461</v>
      </c>
      <c r="B462" s="1" t="s">
        <v>1209</v>
      </c>
      <c r="C462" s="1" t="s">
        <v>1210</v>
      </c>
      <c r="D462" s="1" t="s">
        <v>181</v>
      </c>
      <c r="E462" s="1" t="s">
        <v>182</v>
      </c>
      <c r="F462" s="1" t="s">
        <v>23</v>
      </c>
      <c r="G462" s="1" t="s">
        <v>458</v>
      </c>
    </row>
    <row r="463" customFormat="false" ht="15" hidden="false" customHeight="true" outlineLevel="0" collapsed="false">
      <c r="A463" s="1" t="n">
        <v>462</v>
      </c>
      <c r="B463" s="1" t="s">
        <v>800</v>
      </c>
      <c r="C463" s="1" t="s">
        <v>1211</v>
      </c>
      <c r="D463" s="1" t="s">
        <v>42</v>
      </c>
      <c r="E463" s="1" t="s">
        <v>43</v>
      </c>
      <c r="F463" s="1" t="s">
        <v>17</v>
      </c>
      <c r="G463" s="1" t="s">
        <v>1212</v>
      </c>
    </row>
    <row r="464" customFormat="false" ht="15" hidden="false" customHeight="true" outlineLevel="0" collapsed="false">
      <c r="A464" s="1" t="n">
        <v>463</v>
      </c>
      <c r="B464" s="1" t="s">
        <v>630</v>
      </c>
      <c r="D464" s="1" t="s">
        <v>105</v>
      </c>
      <c r="E464" s="1" t="s">
        <v>10</v>
      </c>
      <c r="F464" s="1" t="s">
        <v>11</v>
      </c>
      <c r="G464" s="1" t="s">
        <v>1213</v>
      </c>
    </row>
    <row r="465" customFormat="false" ht="15" hidden="false" customHeight="true" outlineLevel="0" collapsed="false">
      <c r="A465" s="1" t="n">
        <v>464</v>
      </c>
      <c r="B465" s="1" t="s">
        <v>1214</v>
      </c>
      <c r="C465" s="1" t="s">
        <v>1215</v>
      </c>
      <c r="D465" s="1" t="s">
        <v>141</v>
      </c>
      <c r="E465" s="1" t="s">
        <v>142</v>
      </c>
      <c r="F465" s="1" t="s">
        <v>11</v>
      </c>
      <c r="G465" s="1" t="s">
        <v>1216</v>
      </c>
    </row>
    <row r="466" customFormat="false" ht="15" hidden="false" customHeight="true" outlineLevel="0" collapsed="false">
      <c r="A466" s="1" t="n">
        <v>465</v>
      </c>
      <c r="B466" s="1" t="s">
        <v>1217</v>
      </c>
      <c r="C466" s="1" t="s">
        <v>1218</v>
      </c>
      <c r="D466" s="1" t="s">
        <v>21</v>
      </c>
      <c r="E466" s="1" t="s">
        <v>22</v>
      </c>
      <c r="F466" s="1" t="s">
        <v>11</v>
      </c>
      <c r="G466" s="1" t="s">
        <v>1219</v>
      </c>
    </row>
    <row r="467" customFormat="false" ht="15" hidden="false" customHeight="true" outlineLevel="0" collapsed="false">
      <c r="A467" s="1" t="n">
        <v>466</v>
      </c>
      <c r="B467" s="1" t="s">
        <v>970</v>
      </c>
      <c r="C467" s="1" t="s">
        <v>1220</v>
      </c>
      <c r="D467" s="1" t="s">
        <v>92</v>
      </c>
      <c r="E467" s="1" t="s">
        <v>93</v>
      </c>
      <c r="F467" s="1" t="s">
        <v>11</v>
      </c>
      <c r="G467" s="1" t="s">
        <v>1022</v>
      </c>
    </row>
    <row r="468" customFormat="false" ht="15" hidden="false" customHeight="true" outlineLevel="0" collapsed="false">
      <c r="A468" s="1" t="n">
        <v>467</v>
      </c>
      <c r="B468" s="1" t="s">
        <v>1221</v>
      </c>
      <c r="C468" s="1" t="s">
        <v>1222</v>
      </c>
      <c r="D468" s="1" t="s">
        <v>115</v>
      </c>
      <c r="E468" s="1" t="s">
        <v>116</v>
      </c>
      <c r="F468" s="1" t="s">
        <v>23</v>
      </c>
      <c r="G468" s="1" t="s">
        <v>1223</v>
      </c>
    </row>
    <row r="469" customFormat="false" ht="15" hidden="false" customHeight="true" outlineLevel="0" collapsed="false">
      <c r="A469" s="1" t="n">
        <v>468</v>
      </c>
      <c r="B469" s="1" t="s">
        <v>1224</v>
      </c>
      <c r="C469" s="1" t="s">
        <v>1225</v>
      </c>
      <c r="D469" s="1" t="s">
        <v>157</v>
      </c>
      <c r="E469" s="1" t="s">
        <v>158</v>
      </c>
      <c r="F469" s="1" t="s">
        <v>17</v>
      </c>
      <c r="G469" s="1" t="s">
        <v>1226</v>
      </c>
    </row>
    <row r="470" customFormat="false" ht="15" hidden="false" customHeight="true" outlineLevel="0" collapsed="false">
      <c r="A470" s="1" t="n">
        <v>469</v>
      </c>
      <c r="B470" s="1" t="s">
        <v>638</v>
      </c>
      <c r="C470" s="1" t="s">
        <v>1227</v>
      </c>
      <c r="D470" s="1" t="s">
        <v>67</v>
      </c>
      <c r="E470" s="1" t="s">
        <v>10</v>
      </c>
      <c r="F470" s="1" t="s">
        <v>17</v>
      </c>
      <c r="G470" s="1" t="s">
        <v>852</v>
      </c>
    </row>
    <row r="471" customFormat="false" ht="15" hidden="false" customHeight="true" outlineLevel="0" collapsed="false">
      <c r="A471" s="1" t="n">
        <v>470</v>
      </c>
      <c r="B471" s="1" t="s">
        <v>1228</v>
      </c>
      <c r="C471" s="1" t="s">
        <v>1229</v>
      </c>
      <c r="D471" s="1" t="s">
        <v>42</v>
      </c>
      <c r="E471" s="1" t="s">
        <v>43</v>
      </c>
      <c r="F471" s="1" t="s">
        <v>23</v>
      </c>
      <c r="G471" s="1" t="s">
        <v>1230</v>
      </c>
    </row>
    <row r="472" customFormat="false" ht="15" hidden="false" customHeight="true" outlineLevel="0" collapsed="false">
      <c r="A472" s="1" t="n">
        <v>471</v>
      </c>
      <c r="B472" s="1" t="s">
        <v>1231</v>
      </c>
      <c r="C472" s="1" t="s">
        <v>1232</v>
      </c>
      <c r="D472" s="1" t="s">
        <v>62</v>
      </c>
      <c r="E472" s="1" t="s">
        <v>63</v>
      </c>
      <c r="F472" s="1" t="s">
        <v>17</v>
      </c>
      <c r="G472" s="1" t="s">
        <v>133</v>
      </c>
    </row>
    <row r="473" customFormat="false" ht="15" hidden="false" customHeight="true" outlineLevel="0" collapsed="false">
      <c r="A473" s="1" t="n">
        <v>472</v>
      </c>
      <c r="B473" s="1" t="s">
        <v>1233</v>
      </c>
      <c r="C473" s="1" t="s">
        <v>1234</v>
      </c>
      <c r="D473" s="1" t="s">
        <v>105</v>
      </c>
      <c r="E473" s="1" t="s">
        <v>10</v>
      </c>
      <c r="F473" s="1" t="s">
        <v>11</v>
      </c>
      <c r="G473" s="1" t="s">
        <v>1235</v>
      </c>
    </row>
    <row r="474" customFormat="false" ht="15" hidden="false" customHeight="true" outlineLevel="0" collapsed="false">
      <c r="A474" s="1" t="n">
        <v>473</v>
      </c>
      <c r="B474" s="1" t="s">
        <v>615</v>
      </c>
      <c r="C474" s="1" t="s">
        <v>1236</v>
      </c>
      <c r="D474" s="1" t="s">
        <v>27</v>
      </c>
      <c r="E474" s="1" t="s">
        <v>28</v>
      </c>
      <c r="F474" s="1" t="s">
        <v>17</v>
      </c>
      <c r="G474" s="1" t="s">
        <v>1237</v>
      </c>
    </row>
    <row r="475" customFormat="false" ht="15" hidden="false" customHeight="true" outlineLevel="0" collapsed="false">
      <c r="A475" s="1" t="n">
        <v>474</v>
      </c>
      <c r="B475" s="1" t="s">
        <v>1238</v>
      </c>
      <c r="C475" s="1" t="s">
        <v>1239</v>
      </c>
      <c r="D475" s="1" t="s">
        <v>9</v>
      </c>
      <c r="E475" s="1" t="s">
        <v>10</v>
      </c>
      <c r="F475" s="1" t="s">
        <v>11</v>
      </c>
      <c r="G475" s="1" t="s">
        <v>856</v>
      </c>
    </row>
    <row r="476" customFormat="false" ht="15" hidden="false" customHeight="true" outlineLevel="0" collapsed="false">
      <c r="A476" s="1" t="n">
        <v>475</v>
      </c>
      <c r="B476" s="1" t="s">
        <v>1240</v>
      </c>
      <c r="C476" s="1" t="s">
        <v>1241</v>
      </c>
      <c r="D476" s="1" t="s">
        <v>9</v>
      </c>
      <c r="E476" s="1" t="s">
        <v>10</v>
      </c>
      <c r="F476" s="1" t="s">
        <v>17</v>
      </c>
      <c r="G476" s="1" t="s">
        <v>76</v>
      </c>
    </row>
    <row r="477" customFormat="false" ht="15" hidden="false" customHeight="true" outlineLevel="0" collapsed="false">
      <c r="A477" s="1" t="n">
        <v>476</v>
      </c>
      <c r="B477" s="1" t="s">
        <v>19</v>
      </c>
      <c r="C477" s="1" t="s">
        <v>1242</v>
      </c>
      <c r="D477" s="1" t="s">
        <v>115</v>
      </c>
      <c r="E477" s="1" t="s">
        <v>116</v>
      </c>
      <c r="F477" s="1" t="s">
        <v>17</v>
      </c>
      <c r="G477" s="1" t="s">
        <v>629</v>
      </c>
    </row>
    <row r="478" customFormat="false" ht="15" hidden="false" customHeight="true" outlineLevel="0" collapsed="false">
      <c r="A478" s="1" t="n">
        <v>477</v>
      </c>
      <c r="B478" s="1" t="s">
        <v>893</v>
      </c>
      <c r="C478" s="1" t="s">
        <v>1243</v>
      </c>
      <c r="D478" s="1" t="s">
        <v>32</v>
      </c>
      <c r="E478" s="1" t="s">
        <v>33</v>
      </c>
      <c r="F478" s="1" t="s">
        <v>23</v>
      </c>
      <c r="G478" s="1" t="s">
        <v>1244</v>
      </c>
    </row>
    <row r="479" customFormat="false" ht="15" hidden="false" customHeight="true" outlineLevel="0" collapsed="false">
      <c r="A479" s="1" t="n">
        <v>478</v>
      </c>
      <c r="B479" s="1" t="s">
        <v>1245</v>
      </c>
      <c r="C479" s="1" t="s">
        <v>1246</v>
      </c>
      <c r="D479" s="1" t="s">
        <v>42</v>
      </c>
      <c r="E479" s="1" t="s">
        <v>43</v>
      </c>
      <c r="F479" s="1" t="s">
        <v>17</v>
      </c>
      <c r="G479" s="1" t="s">
        <v>1247</v>
      </c>
    </row>
    <row r="480" customFormat="false" ht="15" hidden="false" customHeight="true" outlineLevel="0" collapsed="false">
      <c r="A480" s="1" t="n">
        <v>479</v>
      </c>
      <c r="B480" s="1" t="s">
        <v>118</v>
      </c>
      <c r="C480" s="1" t="s">
        <v>1248</v>
      </c>
      <c r="D480" s="1" t="s">
        <v>115</v>
      </c>
      <c r="E480" s="1" t="s">
        <v>116</v>
      </c>
      <c r="F480" s="1" t="s">
        <v>17</v>
      </c>
      <c r="G480" s="1" t="s">
        <v>1249</v>
      </c>
    </row>
    <row r="481" customFormat="false" ht="15" hidden="false" customHeight="true" outlineLevel="0" collapsed="false">
      <c r="A481" s="1" t="n">
        <v>480</v>
      </c>
      <c r="B481" s="1" t="s">
        <v>781</v>
      </c>
      <c r="C481" s="1" t="s">
        <v>1250</v>
      </c>
      <c r="D481" s="1" t="s">
        <v>157</v>
      </c>
      <c r="E481" s="1" t="s">
        <v>158</v>
      </c>
      <c r="F481" s="1" t="s">
        <v>123</v>
      </c>
      <c r="G481" s="1" t="s">
        <v>799</v>
      </c>
    </row>
    <row r="482" customFormat="false" ht="15" hidden="false" customHeight="true" outlineLevel="0" collapsed="false">
      <c r="A482" s="1" t="n">
        <v>481</v>
      </c>
      <c r="B482" s="1" t="s">
        <v>1251</v>
      </c>
      <c r="C482" s="1" t="s">
        <v>1252</v>
      </c>
      <c r="D482" s="1" t="s">
        <v>9</v>
      </c>
      <c r="E482" s="1" t="s">
        <v>10</v>
      </c>
      <c r="F482" s="1" t="s">
        <v>17</v>
      </c>
      <c r="G482" s="1" t="s">
        <v>159</v>
      </c>
    </row>
    <row r="483" customFormat="false" ht="15" hidden="false" customHeight="true" outlineLevel="0" collapsed="false">
      <c r="A483" s="1" t="n">
        <v>482</v>
      </c>
      <c r="B483" s="1" t="s">
        <v>1253</v>
      </c>
      <c r="C483" s="1" t="s">
        <v>1254</v>
      </c>
      <c r="D483" s="1" t="s">
        <v>154</v>
      </c>
      <c r="E483" s="1" t="s">
        <v>10</v>
      </c>
      <c r="F483" s="1" t="s">
        <v>17</v>
      </c>
      <c r="G483" s="1" t="s">
        <v>1255</v>
      </c>
    </row>
    <row r="484" customFormat="false" ht="15" hidden="false" customHeight="true" outlineLevel="0" collapsed="false">
      <c r="A484" s="1" t="n">
        <v>483</v>
      </c>
      <c r="B484" s="1" t="s">
        <v>1256</v>
      </c>
      <c r="C484" s="1" t="s">
        <v>1257</v>
      </c>
      <c r="D484" s="1" t="s">
        <v>32</v>
      </c>
      <c r="E484" s="1" t="s">
        <v>33</v>
      </c>
      <c r="F484" s="1" t="s">
        <v>17</v>
      </c>
      <c r="G484" s="1" t="s">
        <v>342</v>
      </c>
    </row>
    <row r="485" customFormat="false" ht="15" hidden="false" customHeight="true" outlineLevel="0" collapsed="false">
      <c r="A485" s="1" t="n">
        <v>484</v>
      </c>
      <c r="B485" s="1" t="s">
        <v>520</v>
      </c>
      <c r="C485" s="1" t="s">
        <v>1258</v>
      </c>
      <c r="D485" s="1" t="s">
        <v>157</v>
      </c>
      <c r="E485" s="1" t="s">
        <v>158</v>
      </c>
      <c r="F485" s="1" t="s">
        <v>23</v>
      </c>
      <c r="G485" s="1" t="s">
        <v>1259</v>
      </c>
    </row>
    <row r="486" customFormat="false" ht="15" hidden="false" customHeight="true" outlineLevel="0" collapsed="false">
      <c r="A486" s="1" t="n">
        <v>485</v>
      </c>
      <c r="B486" s="1" t="s">
        <v>1260</v>
      </c>
      <c r="C486" s="1" t="s">
        <v>1261</v>
      </c>
      <c r="D486" s="1" t="s">
        <v>27</v>
      </c>
      <c r="E486" s="1" t="s">
        <v>28</v>
      </c>
      <c r="F486" s="1" t="s">
        <v>23</v>
      </c>
      <c r="G486" s="1" t="s">
        <v>1262</v>
      </c>
    </row>
    <row r="487" customFormat="false" ht="15" hidden="false" customHeight="true" outlineLevel="0" collapsed="false">
      <c r="A487" s="1" t="n">
        <v>486</v>
      </c>
      <c r="B487" s="1" t="s">
        <v>1263</v>
      </c>
      <c r="C487" s="1" t="s">
        <v>1264</v>
      </c>
      <c r="D487" s="1" t="s">
        <v>37</v>
      </c>
      <c r="E487" s="1" t="s">
        <v>38</v>
      </c>
      <c r="F487" s="1" t="s">
        <v>23</v>
      </c>
      <c r="G487" s="1" t="s">
        <v>51</v>
      </c>
    </row>
    <row r="488" customFormat="false" ht="15" hidden="false" customHeight="true" outlineLevel="0" collapsed="false">
      <c r="A488" s="1" t="n">
        <v>487</v>
      </c>
      <c r="B488" s="1" t="s">
        <v>438</v>
      </c>
      <c r="C488" s="1" t="s">
        <v>1265</v>
      </c>
      <c r="D488" s="1" t="s">
        <v>27</v>
      </c>
      <c r="E488" s="1" t="s">
        <v>28</v>
      </c>
      <c r="F488" s="1" t="s">
        <v>17</v>
      </c>
      <c r="G488" s="1" t="s">
        <v>1191</v>
      </c>
    </row>
    <row r="489" customFormat="false" ht="15" hidden="false" customHeight="true" outlineLevel="0" collapsed="false">
      <c r="A489" s="1" t="n">
        <v>488</v>
      </c>
      <c r="B489" s="1" t="s">
        <v>767</v>
      </c>
      <c r="C489" s="1" t="s">
        <v>1266</v>
      </c>
      <c r="D489" s="1" t="s">
        <v>105</v>
      </c>
      <c r="E489" s="1" t="s">
        <v>10</v>
      </c>
      <c r="F489" s="1" t="s">
        <v>11</v>
      </c>
      <c r="G489" s="1" t="s">
        <v>1267</v>
      </c>
    </row>
    <row r="490" customFormat="false" ht="15" hidden="false" customHeight="true" outlineLevel="0" collapsed="false">
      <c r="A490" s="1" t="n">
        <v>489</v>
      </c>
      <c r="B490" s="1" t="s">
        <v>1180</v>
      </c>
      <c r="C490" s="1" t="s">
        <v>1268</v>
      </c>
      <c r="D490" s="1" t="s">
        <v>67</v>
      </c>
      <c r="E490" s="1" t="s">
        <v>10</v>
      </c>
      <c r="F490" s="1" t="s">
        <v>17</v>
      </c>
      <c r="G490" s="1" t="s">
        <v>1269</v>
      </c>
    </row>
    <row r="491" customFormat="false" ht="15" hidden="false" customHeight="true" outlineLevel="0" collapsed="false">
      <c r="A491" s="1" t="n">
        <v>490</v>
      </c>
      <c r="B491" s="1" t="s">
        <v>1198</v>
      </c>
      <c r="C491" s="1" t="s">
        <v>1270</v>
      </c>
      <c r="D491" s="1" t="s">
        <v>27</v>
      </c>
      <c r="E491" s="1" t="s">
        <v>28</v>
      </c>
      <c r="F491" s="1" t="s">
        <v>11</v>
      </c>
      <c r="G491" s="1" t="s">
        <v>1271</v>
      </c>
    </row>
    <row r="492" customFormat="false" ht="15" hidden="false" customHeight="true" outlineLevel="0" collapsed="false">
      <c r="A492" s="1" t="n">
        <v>491</v>
      </c>
      <c r="B492" s="1" t="s">
        <v>1221</v>
      </c>
      <c r="C492" s="1" t="s">
        <v>1272</v>
      </c>
      <c r="D492" s="1" t="s">
        <v>32</v>
      </c>
      <c r="E492" s="1" t="s">
        <v>33</v>
      </c>
      <c r="F492" s="1" t="s">
        <v>17</v>
      </c>
      <c r="G492" s="1" t="s">
        <v>1273</v>
      </c>
    </row>
    <row r="493" customFormat="false" ht="15" hidden="false" customHeight="true" outlineLevel="0" collapsed="false">
      <c r="A493" s="1" t="n">
        <v>492</v>
      </c>
      <c r="B493" s="1" t="s">
        <v>1274</v>
      </c>
      <c r="C493" s="1" t="s">
        <v>1275</v>
      </c>
      <c r="D493" s="1" t="s">
        <v>115</v>
      </c>
      <c r="E493" s="1" t="s">
        <v>116</v>
      </c>
      <c r="F493" s="1" t="s">
        <v>11</v>
      </c>
      <c r="G493" s="1" t="s">
        <v>583</v>
      </c>
    </row>
    <row r="494" customFormat="false" ht="15" hidden="false" customHeight="true" outlineLevel="0" collapsed="false">
      <c r="A494" s="1" t="n">
        <v>493</v>
      </c>
      <c r="B494" s="1" t="s">
        <v>341</v>
      </c>
      <c r="C494" s="1" t="s">
        <v>1276</v>
      </c>
      <c r="D494" s="1" t="s">
        <v>67</v>
      </c>
      <c r="E494" s="1" t="s">
        <v>10</v>
      </c>
      <c r="F494" s="1" t="s">
        <v>23</v>
      </c>
      <c r="G494" s="1" t="s">
        <v>1277</v>
      </c>
    </row>
    <row r="495" customFormat="false" ht="15" hidden="false" customHeight="true" outlineLevel="0" collapsed="false">
      <c r="A495" s="1" t="n">
        <v>494</v>
      </c>
      <c r="B495" s="1" t="s">
        <v>1278</v>
      </c>
      <c r="C495" s="1" t="s">
        <v>1279</v>
      </c>
      <c r="D495" s="1" t="s">
        <v>42</v>
      </c>
      <c r="E495" s="1" t="s">
        <v>43</v>
      </c>
      <c r="F495" s="1" t="s">
        <v>23</v>
      </c>
      <c r="G495" s="1" t="s">
        <v>1280</v>
      </c>
    </row>
    <row r="496" customFormat="false" ht="15" hidden="false" customHeight="true" outlineLevel="0" collapsed="false">
      <c r="A496" s="1" t="n">
        <v>495</v>
      </c>
      <c r="B496" s="1" t="s">
        <v>1281</v>
      </c>
      <c r="C496" s="1" t="s">
        <v>1282</v>
      </c>
      <c r="D496" s="1" t="s">
        <v>141</v>
      </c>
      <c r="E496" s="1" t="s">
        <v>142</v>
      </c>
      <c r="F496" s="1" t="s">
        <v>17</v>
      </c>
      <c r="G496" s="1" t="s">
        <v>435</v>
      </c>
    </row>
    <row r="497" customFormat="false" ht="15" hidden="false" customHeight="true" outlineLevel="0" collapsed="false">
      <c r="A497" s="1" t="n">
        <v>496</v>
      </c>
      <c r="B497" s="1" t="s">
        <v>1283</v>
      </c>
      <c r="C497" s="1" t="s">
        <v>1284</v>
      </c>
      <c r="D497" s="1" t="s">
        <v>141</v>
      </c>
      <c r="E497" s="1" t="s">
        <v>142</v>
      </c>
      <c r="F497" s="1" t="s">
        <v>17</v>
      </c>
      <c r="G497" s="1" t="s">
        <v>1285</v>
      </c>
    </row>
    <row r="498" customFormat="false" ht="15" hidden="false" customHeight="true" outlineLevel="0" collapsed="false">
      <c r="A498" s="1" t="n">
        <v>497</v>
      </c>
      <c r="B498" s="1" t="s">
        <v>1286</v>
      </c>
      <c r="C498" s="1" t="s">
        <v>1287</v>
      </c>
      <c r="D498" s="1" t="s">
        <v>92</v>
      </c>
      <c r="E498" s="1" t="s">
        <v>93</v>
      </c>
      <c r="F498" s="1" t="s">
        <v>11</v>
      </c>
      <c r="G498" s="1" t="s">
        <v>689</v>
      </c>
    </row>
    <row r="499" customFormat="false" ht="15" hidden="false" customHeight="true" outlineLevel="0" collapsed="false">
      <c r="A499" s="1" t="n">
        <v>498</v>
      </c>
      <c r="B499" s="1" t="s">
        <v>1288</v>
      </c>
      <c r="C499" s="1" t="s">
        <v>1289</v>
      </c>
      <c r="D499" s="1" t="s">
        <v>67</v>
      </c>
      <c r="E499" s="1" t="s">
        <v>10</v>
      </c>
      <c r="F499" s="1" t="s">
        <v>23</v>
      </c>
      <c r="G499" s="1" t="s">
        <v>194</v>
      </c>
    </row>
    <row r="500" customFormat="false" ht="15" hidden="false" customHeight="true" outlineLevel="0" collapsed="false">
      <c r="A500" s="1" t="n">
        <v>499</v>
      </c>
      <c r="B500" s="1" t="s">
        <v>1104</v>
      </c>
      <c r="C500" s="1" t="s">
        <v>1290</v>
      </c>
      <c r="D500" s="1" t="s">
        <v>42</v>
      </c>
      <c r="E500" s="1" t="s">
        <v>43</v>
      </c>
      <c r="F500" s="1" t="s">
        <v>11</v>
      </c>
      <c r="G500" s="1" t="s">
        <v>533</v>
      </c>
    </row>
    <row r="501" customFormat="false" ht="15" hidden="false" customHeight="true" outlineLevel="0" collapsed="false">
      <c r="A501" s="1" t="n">
        <v>500</v>
      </c>
      <c r="B501" s="1" t="s">
        <v>331</v>
      </c>
      <c r="C501" s="1" t="s">
        <v>1291</v>
      </c>
      <c r="D501" s="1" t="s">
        <v>27</v>
      </c>
      <c r="E501" s="1" t="s">
        <v>28</v>
      </c>
      <c r="F501" s="1" t="s">
        <v>17</v>
      </c>
      <c r="G501" s="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5" min="4" style="1" width="12"/>
  </cols>
  <sheetData>
    <row r="1" customFormat="false" ht="15" hidden="false" customHeight="true" outlineLevel="0" collapsed="false">
      <c r="A1" s="2" t="s">
        <v>1292</v>
      </c>
      <c r="B1" s="2" t="s">
        <v>1293</v>
      </c>
      <c r="C1" s="2" t="s">
        <v>1294</v>
      </c>
      <c r="D1" s="2" t="s">
        <v>1295</v>
      </c>
      <c r="E1" s="2" t="s">
        <v>1296</v>
      </c>
    </row>
    <row r="2" customFormat="false" ht="15" hidden="false" customHeight="true" outlineLevel="0" collapsed="false">
      <c r="A2" s="1" t="n">
        <v>1</v>
      </c>
      <c r="B2" s="1" t="s">
        <v>1297</v>
      </c>
      <c r="C2" s="1" t="s">
        <v>1298</v>
      </c>
      <c r="D2" s="1" t="n">
        <v>152.94</v>
      </c>
      <c r="E2" s="1" t="n">
        <v>327.32</v>
      </c>
    </row>
    <row r="3" customFormat="false" ht="15" hidden="false" customHeight="true" outlineLevel="0" collapsed="false">
      <c r="A3" s="1" t="n">
        <v>2</v>
      </c>
      <c r="B3" s="1" t="s">
        <v>1299</v>
      </c>
      <c r="C3" s="1" t="s">
        <v>1298</v>
      </c>
      <c r="D3" s="1" t="n">
        <v>294.14</v>
      </c>
      <c r="E3" s="1" t="n">
        <v>498.15</v>
      </c>
    </row>
    <row r="4" customFormat="false" ht="15" hidden="false" customHeight="true" outlineLevel="0" collapsed="false">
      <c r="A4" s="1" t="n">
        <v>3</v>
      </c>
      <c r="B4" s="1" t="s">
        <v>1300</v>
      </c>
      <c r="C4" s="1" t="s">
        <v>1298</v>
      </c>
      <c r="D4" s="1" t="n">
        <v>66.63</v>
      </c>
      <c r="E4" s="1" t="n">
        <v>89.39</v>
      </c>
    </row>
    <row r="5" customFormat="false" ht="15" hidden="false" customHeight="true" outlineLevel="0" collapsed="false">
      <c r="A5" s="1" t="n">
        <v>4</v>
      </c>
      <c r="B5" s="1" t="s">
        <v>1301</v>
      </c>
      <c r="C5" s="1" t="s">
        <v>1298</v>
      </c>
      <c r="D5" s="1" t="n">
        <v>27.94</v>
      </c>
      <c r="E5" s="1" t="n">
        <v>56.24</v>
      </c>
    </row>
    <row r="6" customFormat="false" ht="15" hidden="false" customHeight="true" outlineLevel="0" collapsed="false">
      <c r="A6" s="1" t="n">
        <v>5</v>
      </c>
      <c r="B6" s="1" t="s">
        <v>1302</v>
      </c>
      <c r="C6" s="1" t="s">
        <v>1298</v>
      </c>
      <c r="D6" s="1" t="n">
        <v>242.44</v>
      </c>
      <c r="E6" s="1" t="n">
        <v>439.06</v>
      </c>
    </row>
    <row r="7" customFormat="false" ht="15" hidden="false" customHeight="true" outlineLevel="0" collapsed="false">
      <c r="A7" s="1" t="n">
        <v>6</v>
      </c>
      <c r="B7" s="1" t="s">
        <v>1303</v>
      </c>
      <c r="C7" s="1" t="s">
        <v>1298</v>
      </c>
      <c r="D7" s="1" t="n">
        <v>13.13</v>
      </c>
      <c r="E7" s="1" t="n">
        <v>28.51</v>
      </c>
    </row>
    <row r="8" customFormat="false" ht="15" hidden="false" customHeight="true" outlineLevel="0" collapsed="false">
      <c r="A8" s="1" t="n">
        <v>7</v>
      </c>
      <c r="B8" s="1" t="s">
        <v>1304</v>
      </c>
      <c r="C8" s="1" t="s">
        <v>1298</v>
      </c>
      <c r="D8" s="1" t="n">
        <v>333.81</v>
      </c>
      <c r="E8" s="1" t="n">
        <v>460</v>
      </c>
    </row>
    <row r="9" customFormat="false" ht="15" hidden="false" customHeight="true" outlineLevel="0" collapsed="false">
      <c r="A9" s="1" t="n">
        <v>8</v>
      </c>
      <c r="B9" s="1" t="s">
        <v>1305</v>
      </c>
      <c r="C9" s="1" t="s">
        <v>1298</v>
      </c>
      <c r="D9" s="1" t="n">
        <v>76.82</v>
      </c>
      <c r="E9" s="1" t="n">
        <v>104.4</v>
      </c>
    </row>
    <row r="10" customFormat="false" ht="15" hidden="false" customHeight="true" outlineLevel="0" collapsed="false">
      <c r="A10" s="1" t="n">
        <v>9</v>
      </c>
      <c r="B10" s="1" t="s">
        <v>1306</v>
      </c>
      <c r="C10" s="1" t="s">
        <v>1298</v>
      </c>
      <c r="D10" s="1" t="n">
        <v>125.18</v>
      </c>
      <c r="E10" s="1" t="n">
        <v>203.1</v>
      </c>
    </row>
    <row r="11" customFormat="false" ht="15" hidden="false" customHeight="true" outlineLevel="0" collapsed="false">
      <c r="A11" s="1" t="n">
        <v>10</v>
      </c>
      <c r="B11" s="1" t="s">
        <v>1297</v>
      </c>
      <c r="C11" s="1" t="s">
        <v>1298</v>
      </c>
      <c r="D11" s="1" t="n">
        <v>175.62</v>
      </c>
      <c r="E11" s="1" t="n">
        <v>251.58</v>
      </c>
    </row>
    <row r="12" customFormat="false" ht="15" hidden="false" customHeight="true" outlineLevel="0" collapsed="false">
      <c r="A12" s="1" t="n">
        <v>11</v>
      </c>
      <c r="B12" s="1" t="s">
        <v>1299</v>
      </c>
      <c r="C12" s="1" t="s">
        <v>1298</v>
      </c>
      <c r="D12" s="1" t="n">
        <v>246.68</v>
      </c>
      <c r="E12" s="1" t="n">
        <v>328.39</v>
      </c>
    </row>
    <row r="13" customFormat="false" ht="15" hidden="false" customHeight="true" outlineLevel="0" collapsed="false">
      <c r="A13" s="1" t="n">
        <v>12</v>
      </c>
      <c r="B13" s="1" t="s">
        <v>1300</v>
      </c>
      <c r="C13" s="1" t="s">
        <v>1298</v>
      </c>
      <c r="D13" s="1" t="n">
        <v>120.4</v>
      </c>
      <c r="E13" s="1" t="n">
        <v>179.23</v>
      </c>
    </row>
    <row r="14" customFormat="false" ht="15" hidden="false" customHeight="true" outlineLevel="0" collapsed="false">
      <c r="A14" s="1" t="n">
        <v>13</v>
      </c>
      <c r="B14" s="1" t="s">
        <v>1301</v>
      </c>
      <c r="C14" s="1" t="s">
        <v>1298</v>
      </c>
      <c r="D14" s="1" t="n">
        <v>185.15</v>
      </c>
      <c r="E14" s="1" t="n">
        <v>352.54</v>
      </c>
    </row>
    <row r="15" customFormat="false" ht="15" hidden="false" customHeight="true" outlineLevel="0" collapsed="false">
      <c r="A15" s="1" t="n">
        <v>14</v>
      </c>
      <c r="B15" s="1" t="s">
        <v>1302</v>
      </c>
      <c r="C15" s="1" t="s">
        <v>1298</v>
      </c>
      <c r="D15" s="1" t="n">
        <v>83.87</v>
      </c>
      <c r="E15" s="1" t="n">
        <v>135.27</v>
      </c>
    </row>
    <row r="16" customFormat="false" ht="15" hidden="false" customHeight="true" outlineLevel="0" collapsed="false">
      <c r="A16" s="1" t="n">
        <v>15</v>
      </c>
      <c r="B16" s="1" t="s">
        <v>1303</v>
      </c>
      <c r="C16" s="1" t="s">
        <v>1298</v>
      </c>
      <c r="D16" s="1" t="n">
        <v>239</v>
      </c>
      <c r="E16" s="1" t="n">
        <v>304.95</v>
      </c>
    </row>
    <row r="17" customFormat="false" ht="15" hidden="false" customHeight="true" outlineLevel="0" collapsed="false">
      <c r="A17" s="1" t="n">
        <v>16</v>
      </c>
      <c r="B17" s="1" t="s">
        <v>1304</v>
      </c>
      <c r="C17" s="1" t="s">
        <v>1298</v>
      </c>
      <c r="D17" s="1" t="n">
        <v>244.98</v>
      </c>
      <c r="E17" s="1" t="n">
        <v>330.91</v>
      </c>
    </row>
    <row r="18" customFormat="false" ht="15" hidden="false" customHeight="true" outlineLevel="0" collapsed="false">
      <c r="A18" s="1" t="n">
        <v>17</v>
      </c>
      <c r="B18" s="1" t="s">
        <v>1305</v>
      </c>
      <c r="C18" s="1" t="s">
        <v>1298</v>
      </c>
      <c r="D18" s="1" t="n">
        <v>30.7</v>
      </c>
      <c r="E18" s="1" t="n">
        <v>65.61</v>
      </c>
    </row>
    <row r="19" customFormat="false" ht="15" hidden="false" customHeight="true" outlineLevel="0" collapsed="false">
      <c r="A19" s="1" t="n">
        <v>18</v>
      </c>
      <c r="B19" s="1" t="s">
        <v>1306</v>
      </c>
      <c r="C19" s="1" t="s">
        <v>1298</v>
      </c>
      <c r="D19" s="1" t="n">
        <v>386.42</v>
      </c>
      <c r="E19" s="1" t="n">
        <v>747.34</v>
      </c>
    </row>
    <row r="20" customFormat="false" ht="15" hidden="false" customHeight="true" outlineLevel="0" collapsed="false">
      <c r="A20" s="1" t="n">
        <v>19</v>
      </c>
      <c r="B20" s="1" t="s">
        <v>1307</v>
      </c>
      <c r="C20" s="1" t="s">
        <v>1308</v>
      </c>
      <c r="D20" s="1" t="n">
        <v>125.32</v>
      </c>
      <c r="E20" s="1" t="n">
        <v>163.64</v>
      </c>
    </row>
    <row r="21" customFormat="false" ht="15" hidden="false" customHeight="true" outlineLevel="0" collapsed="false">
      <c r="A21" s="1" t="n">
        <v>20</v>
      </c>
      <c r="B21" s="1" t="s">
        <v>1309</v>
      </c>
      <c r="C21" s="1" t="s">
        <v>1308</v>
      </c>
      <c r="D21" s="1" t="n">
        <v>275.27</v>
      </c>
      <c r="E21" s="1" t="n">
        <v>426.15</v>
      </c>
    </row>
    <row r="22" customFormat="false" ht="15" hidden="false" customHeight="true" outlineLevel="0" collapsed="false">
      <c r="A22" s="1" t="n">
        <v>21</v>
      </c>
      <c r="B22" s="1" t="s">
        <v>1310</v>
      </c>
      <c r="C22" s="1" t="s">
        <v>1308</v>
      </c>
      <c r="D22" s="1" t="n">
        <v>53.21</v>
      </c>
      <c r="E22" s="1" t="n">
        <v>84.91</v>
      </c>
    </row>
    <row r="23" customFormat="false" ht="15" hidden="false" customHeight="true" outlineLevel="0" collapsed="false">
      <c r="A23" s="1" t="n">
        <v>22</v>
      </c>
      <c r="B23" s="1" t="s">
        <v>1311</v>
      </c>
      <c r="C23" s="1" t="s">
        <v>1308</v>
      </c>
      <c r="D23" s="1" t="n">
        <v>18.58</v>
      </c>
      <c r="E23" s="1" t="n">
        <v>38.57</v>
      </c>
    </row>
    <row r="24" customFormat="false" ht="15" hidden="false" customHeight="true" outlineLevel="0" collapsed="false">
      <c r="A24" s="1" t="n">
        <v>23</v>
      </c>
      <c r="B24" s="1" t="s">
        <v>1312</v>
      </c>
      <c r="C24" s="1" t="s">
        <v>1308</v>
      </c>
      <c r="D24" s="1" t="n">
        <v>107.22</v>
      </c>
      <c r="E24" s="1" t="n">
        <v>188.73</v>
      </c>
    </row>
    <row r="25" customFormat="false" ht="15" hidden="false" customHeight="true" outlineLevel="0" collapsed="false">
      <c r="A25" s="1" t="n">
        <v>24</v>
      </c>
      <c r="B25" s="1" t="s">
        <v>1313</v>
      </c>
      <c r="C25" s="1" t="s">
        <v>1308</v>
      </c>
      <c r="D25" s="1" t="n">
        <v>128.13</v>
      </c>
      <c r="E25" s="1" t="n">
        <v>207.34</v>
      </c>
    </row>
    <row r="26" customFormat="false" ht="15" hidden="false" customHeight="true" outlineLevel="0" collapsed="false">
      <c r="A26" s="1" t="n">
        <v>25</v>
      </c>
      <c r="B26" s="1" t="s">
        <v>1314</v>
      </c>
      <c r="C26" s="1" t="s">
        <v>1308</v>
      </c>
      <c r="D26" s="1" t="n">
        <v>220.95</v>
      </c>
      <c r="E26" s="1" t="n">
        <v>300.49</v>
      </c>
    </row>
    <row r="27" customFormat="false" ht="15" hidden="false" customHeight="true" outlineLevel="0" collapsed="false">
      <c r="A27" s="1" t="n">
        <v>26</v>
      </c>
      <c r="B27" s="1" t="s">
        <v>1315</v>
      </c>
      <c r="C27" s="1" t="s">
        <v>1308</v>
      </c>
      <c r="D27" s="1" t="n">
        <v>387.99</v>
      </c>
      <c r="E27" s="1" t="n">
        <v>733.85</v>
      </c>
    </row>
    <row r="28" customFormat="false" ht="15" hidden="false" customHeight="true" outlineLevel="0" collapsed="false">
      <c r="A28" s="1" t="n">
        <v>27</v>
      </c>
      <c r="B28" s="1" t="s">
        <v>1307</v>
      </c>
      <c r="C28" s="1" t="s">
        <v>1308</v>
      </c>
      <c r="D28" s="1" t="n">
        <v>376.1</v>
      </c>
      <c r="E28" s="1" t="n">
        <v>772.58</v>
      </c>
    </row>
    <row r="29" customFormat="false" ht="15" hidden="false" customHeight="true" outlineLevel="0" collapsed="false">
      <c r="A29" s="1" t="n">
        <v>28</v>
      </c>
      <c r="B29" s="1" t="s">
        <v>1309</v>
      </c>
      <c r="C29" s="1" t="s">
        <v>1308</v>
      </c>
      <c r="D29" s="1" t="n">
        <v>241.17</v>
      </c>
      <c r="E29" s="1" t="n">
        <v>505.23</v>
      </c>
    </row>
    <row r="30" customFormat="false" ht="15" hidden="false" customHeight="true" outlineLevel="0" collapsed="false">
      <c r="A30" s="1" t="n">
        <v>29</v>
      </c>
      <c r="B30" s="1" t="s">
        <v>1310</v>
      </c>
      <c r="C30" s="1" t="s">
        <v>1308</v>
      </c>
      <c r="D30" s="1" t="n">
        <v>39.95</v>
      </c>
      <c r="E30" s="1" t="n">
        <v>54.62</v>
      </c>
    </row>
    <row r="31" customFormat="false" ht="15" hidden="false" customHeight="true" outlineLevel="0" collapsed="false">
      <c r="A31" s="1" t="n">
        <v>30</v>
      </c>
      <c r="B31" s="1" t="s">
        <v>1311</v>
      </c>
      <c r="C31" s="1" t="s">
        <v>1308</v>
      </c>
      <c r="D31" s="1" t="n">
        <v>22.86</v>
      </c>
      <c r="E31" s="1" t="n">
        <v>33.32</v>
      </c>
    </row>
    <row r="32" customFormat="false" ht="15" hidden="false" customHeight="true" outlineLevel="0" collapsed="false">
      <c r="A32" s="1" t="n">
        <v>31</v>
      </c>
      <c r="B32" s="1" t="s">
        <v>1312</v>
      </c>
      <c r="C32" s="1" t="s">
        <v>1308</v>
      </c>
      <c r="D32" s="1" t="n">
        <v>158.53</v>
      </c>
      <c r="E32" s="1" t="n">
        <v>224.86</v>
      </c>
    </row>
    <row r="33" customFormat="false" ht="15" hidden="false" customHeight="true" outlineLevel="0" collapsed="false">
      <c r="A33" s="1" t="n">
        <v>32</v>
      </c>
      <c r="B33" s="1" t="s">
        <v>1313</v>
      </c>
      <c r="C33" s="1" t="s">
        <v>1308</v>
      </c>
      <c r="D33" s="1" t="n">
        <v>332.35</v>
      </c>
      <c r="E33" s="1" t="n">
        <v>492.27</v>
      </c>
    </row>
    <row r="34" customFormat="false" ht="15" hidden="false" customHeight="true" outlineLevel="0" collapsed="false">
      <c r="A34" s="1" t="n">
        <v>33</v>
      </c>
      <c r="B34" s="1" t="s">
        <v>1314</v>
      </c>
      <c r="C34" s="1" t="s">
        <v>1308</v>
      </c>
      <c r="D34" s="1" t="n">
        <v>115.97</v>
      </c>
      <c r="E34" s="1" t="n">
        <v>190.1</v>
      </c>
    </row>
    <row r="35" customFormat="false" ht="15" hidden="false" customHeight="true" outlineLevel="0" collapsed="false">
      <c r="A35" s="1" t="n">
        <v>34</v>
      </c>
      <c r="B35" s="1" t="s">
        <v>1315</v>
      </c>
      <c r="C35" s="1" t="s">
        <v>1308</v>
      </c>
      <c r="D35" s="1" t="n">
        <v>60.67</v>
      </c>
      <c r="E35" s="1" t="n">
        <v>116.85</v>
      </c>
    </row>
    <row r="36" customFormat="false" ht="15" hidden="false" customHeight="true" outlineLevel="0" collapsed="false">
      <c r="A36" s="1" t="n">
        <v>35</v>
      </c>
      <c r="B36" s="1" t="s">
        <v>1316</v>
      </c>
      <c r="C36" s="1" t="s">
        <v>1317</v>
      </c>
      <c r="D36" s="1" t="n">
        <v>34.45</v>
      </c>
      <c r="E36" s="1" t="n">
        <v>75.78</v>
      </c>
    </row>
    <row r="37" customFormat="false" ht="15" hidden="false" customHeight="true" outlineLevel="0" collapsed="false">
      <c r="A37" s="1" t="n">
        <v>36</v>
      </c>
      <c r="B37" s="1" t="s">
        <v>1318</v>
      </c>
      <c r="C37" s="1" t="s">
        <v>1317</v>
      </c>
      <c r="D37" s="1" t="n">
        <v>310.04</v>
      </c>
      <c r="E37" s="1" t="n">
        <v>424.45</v>
      </c>
    </row>
    <row r="38" customFormat="false" ht="15" hidden="false" customHeight="true" outlineLevel="0" collapsed="false">
      <c r="A38" s="1" t="n">
        <v>37</v>
      </c>
      <c r="B38" s="1" t="s">
        <v>1319</v>
      </c>
      <c r="C38" s="1" t="s">
        <v>1317</v>
      </c>
      <c r="D38" s="1" t="n">
        <v>7.18</v>
      </c>
      <c r="E38" s="1" t="n">
        <v>13.95</v>
      </c>
    </row>
    <row r="39" customFormat="false" ht="15" hidden="false" customHeight="true" outlineLevel="0" collapsed="false">
      <c r="A39" s="1" t="n">
        <v>38</v>
      </c>
      <c r="B39" s="1" t="s">
        <v>1320</v>
      </c>
      <c r="C39" s="1" t="s">
        <v>1317</v>
      </c>
      <c r="D39" s="1" t="n">
        <v>284.21</v>
      </c>
      <c r="E39" s="1" t="n">
        <v>521.63</v>
      </c>
    </row>
    <row r="40" customFormat="false" ht="15" hidden="false" customHeight="true" outlineLevel="0" collapsed="false">
      <c r="A40" s="1" t="n">
        <v>39</v>
      </c>
      <c r="B40" s="1" t="s">
        <v>1321</v>
      </c>
      <c r="C40" s="1" t="s">
        <v>1317</v>
      </c>
      <c r="D40" s="1" t="n">
        <v>309.65</v>
      </c>
      <c r="E40" s="1" t="n">
        <v>400.02</v>
      </c>
    </row>
    <row r="41" customFormat="false" ht="15" hidden="false" customHeight="true" outlineLevel="0" collapsed="false">
      <c r="A41" s="1" t="n">
        <v>40</v>
      </c>
      <c r="B41" s="1" t="s">
        <v>1316</v>
      </c>
      <c r="C41" s="1" t="s">
        <v>1317</v>
      </c>
      <c r="D41" s="1" t="n">
        <v>146.59</v>
      </c>
      <c r="E41" s="1" t="n">
        <v>193.02</v>
      </c>
    </row>
    <row r="42" customFormat="false" ht="15" hidden="false" customHeight="true" outlineLevel="0" collapsed="false">
      <c r="A42" s="1" t="n">
        <v>41</v>
      </c>
      <c r="B42" s="1" t="s">
        <v>1318</v>
      </c>
      <c r="C42" s="1" t="s">
        <v>1317</v>
      </c>
      <c r="D42" s="1" t="n">
        <v>345.93</v>
      </c>
      <c r="E42" s="1" t="n">
        <v>594.54</v>
      </c>
    </row>
    <row r="43" customFormat="false" ht="15" hidden="false" customHeight="true" outlineLevel="0" collapsed="false">
      <c r="A43" s="1" t="n">
        <v>42</v>
      </c>
      <c r="B43" s="1" t="s">
        <v>1319</v>
      </c>
      <c r="C43" s="1" t="s">
        <v>1317</v>
      </c>
      <c r="D43" s="1" t="n">
        <v>135.7</v>
      </c>
      <c r="E43" s="1" t="n">
        <v>174.48</v>
      </c>
    </row>
    <row r="44" customFormat="false" ht="15" hidden="false" customHeight="true" outlineLevel="0" collapsed="false">
      <c r="A44" s="1" t="n">
        <v>43</v>
      </c>
      <c r="B44" s="1" t="s">
        <v>1320</v>
      </c>
      <c r="C44" s="1" t="s">
        <v>1317</v>
      </c>
      <c r="D44" s="1" t="n">
        <v>127.84</v>
      </c>
      <c r="E44" s="1" t="n">
        <v>186.31</v>
      </c>
    </row>
    <row r="45" customFormat="false" ht="15" hidden="false" customHeight="true" outlineLevel="0" collapsed="false">
      <c r="A45" s="1" t="n">
        <v>44</v>
      </c>
      <c r="B45" s="1" t="s">
        <v>1321</v>
      </c>
      <c r="C45" s="1" t="s">
        <v>1317</v>
      </c>
      <c r="D45" s="1" t="n">
        <v>293.19</v>
      </c>
      <c r="E45" s="1" t="n">
        <v>508.26</v>
      </c>
    </row>
    <row r="46" customFormat="false" ht="15" hidden="false" customHeight="true" outlineLevel="0" collapsed="false">
      <c r="A46" s="1" t="n">
        <v>45</v>
      </c>
      <c r="B46" s="1" t="s">
        <v>1316</v>
      </c>
      <c r="C46" s="1" t="s">
        <v>1317</v>
      </c>
      <c r="D46" s="1" t="n">
        <v>355.45</v>
      </c>
      <c r="E46" s="1" t="n">
        <v>560.01</v>
      </c>
    </row>
    <row r="47" customFormat="false" ht="15" hidden="false" customHeight="true" outlineLevel="0" collapsed="false">
      <c r="A47" s="1" t="n">
        <v>46</v>
      </c>
      <c r="B47" s="1" t="s">
        <v>1318</v>
      </c>
      <c r="C47" s="1" t="s">
        <v>1317</v>
      </c>
      <c r="D47" s="1" t="n">
        <v>52.24</v>
      </c>
      <c r="E47" s="1" t="n">
        <v>94.92</v>
      </c>
    </row>
    <row r="48" customFormat="false" ht="15" hidden="false" customHeight="true" outlineLevel="0" collapsed="false">
      <c r="A48" s="1" t="n">
        <v>47</v>
      </c>
      <c r="B48" s="1" t="s">
        <v>1319</v>
      </c>
      <c r="C48" s="1" t="s">
        <v>1317</v>
      </c>
      <c r="D48" s="1" t="n">
        <v>305.51</v>
      </c>
      <c r="E48" s="1" t="n">
        <v>506.19</v>
      </c>
    </row>
    <row r="49" customFormat="false" ht="15" hidden="false" customHeight="true" outlineLevel="0" collapsed="false">
      <c r="A49" s="1" t="n">
        <v>48</v>
      </c>
      <c r="B49" s="1" t="s">
        <v>1320</v>
      </c>
      <c r="C49" s="1" t="s">
        <v>1317</v>
      </c>
      <c r="D49" s="1" t="n">
        <v>309.53</v>
      </c>
      <c r="E49" s="1" t="n">
        <v>493.53</v>
      </c>
    </row>
    <row r="50" customFormat="false" ht="15" hidden="false" customHeight="true" outlineLevel="0" collapsed="false">
      <c r="A50" s="1" t="n">
        <v>49</v>
      </c>
      <c r="B50" s="1" t="s">
        <v>1321</v>
      </c>
      <c r="C50" s="1" t="s">
        <v>1317</v>
      </c>
      <c r="D50" s="1" t="n">
        <v>211.48</v>
      </c>
      <c r="E50" s="1" t="n">
        <v>325.17</v>
      </c>
    </row>
    <row r="51" customFormat="false" ht="15" hidden="false" customHeight="true" outlineLevel="0" collapsed="false">
      <c r="A51" s="1" t="n">
        <v>50</v>
      </c>
      <c r="B51" s="1" t="s">
        <v>1316</v>
      </c>
      <c r="C51" s="1" t="s">
        <v>1317</v>
      </c>
      <c r="D51" s="1" t="n">
        <v>15.04</v>
      </c>
      <c r="E51" s="1" t="n">
        <v>19.73</v>
      </c>
    </row>
    <row r="52" customFormat="false" ht="15" hidden="false" customHeight="true" outlineLevel="0" collapsed="false">
      <c r="A52" s="1" t="n">
        <v>51</v>
      </c>
      <c r="B52" s="1" t="s">
        <v>1318</v>
      </c>
      <c r="C52" s="1" t="s">
        <v>1317</v>
      </c>
      <c r="D52" s="1" t="n">
        <v>17.41</v>
      </c>
      <c r="E52" s="1" t="n">
        <v>30.16</v>
      </c>
    </row>
    <row r="53" customFormat="false" ht="15" hidden="false" customHeight="true" outlineLevel="0" collapsed="false">
      <c r="A53" s="1" t="n">
        <v>52</v>
      </c>
      <c r="B53" s="1" t="s">
        <v>1319</v>
      </c>
      <c r="C53" s="1" t="s">
        <v>1317</v>
      </c>
      <c r="D53" s="1" t="n">
        <v>129.17</v>
      </c>
      <c r="E53" s="1" t="n">
        <v>207.67</v>
      </c>
    </row>
    <row r="54" customFormat="false" ht="15" hidden="false" customHeight="true" outlineLevel="0" collapsed="false">
      <c r="A54" s="1" t="n">
        <v>53</v>
      </c>
      <c r="B54" s="1" t="s">
        <v>1320</v>
      </c>
      <c r="C54" s="1" t="s">
        <v>1317</v>
      </c>
      <c r="D54" s="1" t="n">
        <v>363.49</v>
      </c>
      <c r="E54" s="1" t="n">
        <v>509.98</v>
      </c>
    </row>
    <row r="55" customFormat="false" ht="15" hidden="false" customHeight="true" outlineLevel="0" collapsed="false">
      <c r="A55" s="1" t="n">
        <v>54</v>
      </c>
      <c r="B55" s="1" t="s">
        <v>1321</v>
      </c>
      <c r="C55" s="1" t="s">
        <v>1317</v>
      </c>
      <c r="D55" s="1" t="n">
        <v>167.1</v>
      </c>
      <c r="E55" s="1" t="n">
        <v>312.01</v>
      </c>
    </row>
    <row r="56" customFormat="false" ht="15" hidden="false" customHeight="true" outlineLevel="0" collapsed="false">
      <c r="A56" s="1" t="n">
        <v>55</v>
      </c>
      <c r="B56" s="1" t="s">
        <v>1322</v>
      </c>
      <c r="C56" s="1" t="s">
        <v>1323</v>
      </c>
      <c r="D56" s="1" t="n">
        <v>95.38</v>
      </c>
      <c r="E56" s="1" t="n">
        <v>123.38</v>
      </c>
    </row>
    <row r="57" customFormat="false" ht="15" hidden="false" customHeight="true" outlineLevel="0" collapsed="false">
      <c r="A57" s="1" t="n">
        <v>56</v>
      </c>
      <c r="B57" s="1" t="s">
        <v>1324</v>
      </c>
      <c r="C57" s="1" t="s">
        <v>1323</v>
      </c>
      <c r="D57" s="1" t="n">
        <v>119.45</v>
      </c>
      <c r="E57" s="1" t="n">
        <v>160.64</v>
      </c>
    </row>
    <row r="58" customFormat="false" ht="15" hidden="false" customHeight="true" outlineLevel="0" collapsed="false">
      <c r="A58" s="1" t="n">
        <v>57</v>
      </c>
      <c r="B58" s="1" t="s">
        <v>1325</v>
      </c>
      <c r="C58" s="1" t="s">
        <v>1323</v>
      </c>
      <c r="D58" s="1" t="n">
        <v>372.23</v>
      </c>
      <c r="E58" s="1" t="n">
        <v>719.76</v>
      </c>
    </row>
    <row r="59" customFormat="false" ht="15" hidden="false" customHeight="true" outlineLevel="0" collapsed="false">
      <c r="A59" s="1" t="n">
        <v>58</v>
      </c>
      <c r="B59" s="1" t="s">
        <v>1326</v>
      </c>
      <c r="C59" s="1" t="s">
        <v>1323</v>
      </c>
      <c r="D59" s="1" t="n">
        <v>255.19</v>
      </c>
      <c r="E59" s="1" t="n">
        <v>515.55</v>
      </c>
    </row>
    <row r="60" customFormat="false" ht="15" hidden="false" customHeight="true" outlineLevel="0" collapsed="false">
      <c r="A60" s="1" t="n">
        <v>59</v>
      </c>
      <c r="B60" s="1" t="s">
        <v>1322</v>
      </c>
      <c r="C60" s="1" t="s">
        <v>1323</v>
      </c>
      <c r="D60" s="1" t="n">
        <v>322.45</v>
      </c>
      <c r="E60" s="1" t="n">
        <v>438.89</v>
      </c>
    </row>
    <row r="61" customFormat="false" ht="15" hidden="false" customHeight="true" outlineLevel="0" collapsed="false">
      <c r="A61" s="1" t="n">
        <v>60</v>
      </c>
      <c r="B61" s="1" t="s">
        <v>1324</v>
      </c>
      <c r="C61" s="1" t="s">
        <v>1323</v>
      </c>
      <c r="D61" s="1" t="n">
        <v>357.56</v>
      </c>
      <c r="E61" s="1" t="n">
        <v>584.98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9" min="8" style="1" width="11"/>
    <col collapsed="false" customWidth="true" hidden="false" outlineLevel="0" max="11" min="10" style="1" width="14"/>
    <col collapsed="false" customWidth="true" hidden="false" outlineLevel="0" max="12" min="12" style="1" width="11"/>
  </cols>
  <sheetData>
    <row r="1" customFormat="false" ht="15" hidden="false" customHeight="true" outlineLevel="0" collapsed="false">
      <c r="A1" s="2" t="s">
        <v>1327</v>
      </c>
      <c r="B1" s="2" t="s">
        <v>0</v>
      </c>
      <c r="C1" s="2" t="s">
        <v>1292</v>
      </c>
      <c r="D1" s="2" t="s">
        <v>1328</v>
      </c>
      <c r="E1" s="2" t="s">
        <v>1329</v>
      </c>
      <c r="F1" s="2" t="s">
        <v>1296</v>
      </c>
      <c r="G1" s="2" t="s">
        <v>1330</v>
      </c>
      <c r="H1" s="2" t="s">
        <v>1331</v>
      </c>
      <c r="I1" s="2" t="s">
        <v>1332</v>
      </c>
      <c r="J1" s="2" t="s">
        <v>1333</v>
      </c>
      <c r="K1" s="2" t="s">
        <v>1334</v>
      </c>
      <c r="L1" s="2" t="s">
        <v>1335</v>
      </c>
    </row>
    <row r="2" customFormat="false" ht="15" hidden="false" customHeight="true" outlineLevel="0" collapsed="false">
      <c r="A2" s="1" t="n">
        <v>1</v>
      </c>
      <c r="B2" s="1" t="n">
        <v>324</v>
      </c>
      <c r="C2" s="1" t="n">
        <v>10</v>
      </c>
      <c r="D2" s="1" t="s">
        <v>223</v>
      </c>
      <c r="E2" s="1" t="n">
        <v>7</v>
      </c>
      <c r="F2" s="1" t="n">
        <v>251.58</v>
      </c>
      <c r="G2" s="1" t="n">
        <v>0.15</v>
      </c>
      <c r="H2" s="1" t="s">
        <v>1336</v>
      </c>
      <c r="I2" s="1" t="n">
        <v>1496.9</v>
      </c>
      <c r="J2" s="1" t="str">
        <f aca="false">VLOOKUP(B2,Customers!$A$2:$G$502,6,FALSE())</f>
        <v>Consumer</v>
      </c>
      <c r="K2" s="1" t="str">
        <f aca="false">VLOOKUP(C2,Products!$A$2:$E$62,3,FALSE())</f>
        <v>Electronics</v>
      </c>
      <c r="L2" s="1" t="str">
        <f aca="false">TEXT(D2,"yyyy-mm")</f>
        <v>2023-06</v>
      </c>
    </row>
    <row r="3" customFormat="false" ht="15" hidden="false" customHeight="true" outlineLevel="0" collapsed="false">
      <c r="A3" s="1" t="n">
        <v>2</v>
      </c>
      <c r="B3" s="1" t="n">
        <v>435</v>
      </c>
      <c r="C3" s="1" t="n">
        <v>59</v>
      </c>
      <c r="D3" s="1" t="s">
        <v>1337</v>
      </c>
      <c r="E3" s="1" t="n">
        <v>9</v>
      </c>
      <c r="F3" s="1" t="n">
        <v>438.89</v>
      </c>
      <c r="G3" s="1" t="n">
        <v>0</v>
      </c>
      <c r="H3" s="1" t="s">
        <v>1336</v>
      </c>
      <c r="I3" s="1" t="n">
        <v>3950.01</v>
      </c>
      <c r="J3" s="1" t="str">
        <f aca="false">VLOOKUP(B3,Customers!$A$2:$G$502,6,FALSE())</f>
        <v>Unknown</v>
      </c>
      <c r="K3" s="1" t="str">
        <f aca="false">VLOOKUP(C3,Products!$A$2:$E$62,3,FALSE())</f>
        <v>Furniture</v>
      </c>
      <c r="L3" s="1" t="str">
        <f aca="false">TEXT(D3,"yyyy-mm")</f>
        <v>2023-03</v>
      </c>
    </row>
    <row r="4" customFormat="false" ht="15" hidden="false" customHeight="true" outlineLevel="0" collapsed="false">
      <c r="A4" s="1" t="n">
        <v>3</v>
      </c>
      <c r="B4" s="1" t="n">
        <v>137</v>
      </c>
      <c r="C4" s="1" t="n">
        <v>39</v>
      </c>
      <c r="D4" s="1" t="s">
        <v>1338</v>
      </c>
      <c r="E4" s="1" t="n">
        <v>7</v>
      </c>
      <c r="F4" s="1" t="n">
        <v>400.02</v>
      </c>
      <c r="G4" s="1" t="n">
        <v>0.05</v>
      </c>
      <c r="H4" s="1" t="s">
        <v>1336</v>
      </c>
      <c r="I4" s="1" t="n">
        <v>2660.13</v>
      </c>
      <c r="J4" s="1" t="str">
        <f aca="false">VLOOKUP(B4,Customers!$A$2:$G$502,6,FALSE())</f>
        <v>Consumer</v>
      </c>
      <c r="K4" s="1" t="str">
        <f aca="false">VLOOKUP(C4,Products!$A$2:$E$62,3,FALSE())</f>
        <v>Software</v>
      </c>
      <c r="L4" s="1" t="str">
        <f aca="false">TEXT(D4,"yyyy-mm")</f>
        <v>2024-10</v>
      </c>
    </row>
    <row r="5" customFormat="false" ht="15" hidden="false" customHeight="true" outlineLevel="0" collapsed="false">
      <c r="A5" s="1" t="n">
        <v>4</v>
      </c>
      <c r="B5" s="1" t="n">
        <v>301</v>
      </c>
      <c r="C5" s="1" t="n">
        <v>34</v>
      </c>
      <c r="D5" s="1" t="s">
        <v>1339</v>
      </c>
      <c r="E5" s="1" t="n">
        <v>1</v>
      </c>
      <c r="F5" s="1" t="n">
        <v>116.85</v>
      </c>
      <c r="G5" s="1" t="n">
        <v>0.05</v>
      </c>
      <c r="H5" s="1" t="s">
        <v>1336</v>
      </c>
      <c r="I5" s="1" t="n">
        <v>111.01</v>
      </c>
      <c r="J5" s="1" t="str">
        <f aca="false">VLOOKUP(B5,Customers!$A$2:$G$502,6,FALSE())</f>
        <v>Corporate</v>
      </c>
      <c r="K5" s="1" t="str">
        <f aca="false">VLOOKUP(C5,Products!$A$2:$E$62,3,FALSE())</f>
        <v>Office Supplies</v>
      </c>
      <c r="L5" s="1" t="str">
        <f aca="false">TEXT(D5,"yyyy-mm")</f>
        <v>2024-04</v>
      </c>
    </row>
    <row r="6" customFormat="false" ht="15" hidden="false" customHeight="true" outlineLevel="0" collapsed="false">
      <c r="A6" s="1" t="n">
        <v>5</v>
      </c>
      <c r="B6" s="1" t="n">
        <v>129</v>
      </c>
      <c r="C6" s="1" t="n">
        <v>48</v>
      </c>
      <c r="D6" s="1" t="s">
        <v>606</v>
      </c>
      <c r="E6" s="1" t="n">
        <v>1</v>
      </c>
      <c r="F6" s="1" t="n">
        <v>493.53</v>
      </c>
      <c r="G6" s="1" t="n">
        <v>0.15</v>
      </c>
      <c r="H6" s="1" t="s">
        <v>1336</v>
      </c>
      <c r="I6" s="1" t="n">
        <v>419.5</v>
      </c>
      <c r="J6" s="1" t="str">
        <f aca="false">VLOOKUP(B6,Customers!$A$2:$G$502,6,FALSE())</f>
        <v>Corporate</v>
      </c>
      <c r="K6" s="1" t="str">
        <f aca="false">VLOOKUP(C6,Products!$A$2:$E$62,3,FALSE())</f>
        <v>Software</v>
      </c>
      <c r="L6" s="1" t="str">
        <f aca="false">TEXT(D6,"yyyy-mm")</f>
        <v>2024-12</v>
      </c>
    </row>
    <row r="7" customFormat="false" ht="15" hidden="false" customHeight="true" outlineLevel="0" collapsed="false">
      <c r="A7" s="1" t="n">
        <v>6</v>
      </c>
      <c r="B7" s="1" t="n">
        <v>450</v>
      </c>
      <c r="C7" s="1" t="n">
        <v>31</v>
      </c>
      <c r="D7" s="1" t="s">
        <v>1340</v>
      </c>
      <c r="E7" s="1" t="n">
        <v>9</v>
      </c>
      <c r="F7" s="1" t="n">
        <v>224.86</v>
      </c>
      <c r="G7" s="1" t="n">
        <v>0</v>
      </c>
      <c r="H7" s="1" t="s">
        <v>1336</v>
      </c>
      <c r="I7" s="1" t="n">
        <v>2023.74</v>
      </c>
      <c r="J7" s="1" t="str">
        <f aca="false">VLOOKUP(B7,Customers!$A$2:$G$502,6,FALSE())</f>
        <v>Consumer</v>
      </c>
      <c r="K7" s="1" t="str">
        <f aca="false">VLOOKUP(C7,Products!$A$2:$E$62,3,FALSE())</f>
        <v>Office Supplies</v>
      </c>
      <c r="L7" s="1" t="str">
        <f aca="false">TEXT(D7,"yyyy-mm")</f>
        <v>2024-07</v>
      </c>
    </row>
    <row r="8" customFormat="false" ht="15" hidden="false" customHeight="true" outlineLevel="0" collapsed="false">
      <c r="A8" s="1" t="n">
        <v>7</v>
      </c>
      <c r="B8" s="1" t="n">
        <v>135</v>
      </c>
      <c r="C8" s="1" t="n">
        <v>40</v>
      </c>
      <c r="D8" s="1" t="s">
        <v>1341</v>
      </c>
      <c r="E8" s="1" t="n">
        <v>9</v>
      </c>
      <c r="F8" s="1" t="n">
        <v>193.02</v>
      </c>
      <c r="G8" s="1" t="n">
        <v>0</v>
      </c>
      <c r="H8" s="1" t="s">
        <v>1336</v>
      </c>
      <c r="I8" s="1" t="n">
        <v>1737.18</v>
      </c>
      <c r="J8" s="1" t="str">
        <f aca="false">VLOOKUP(B8,Customers!$A$2:$G$502,6,FALSE())</f>
        <v>Corporate</v>
      </c>
      <c r="K8" s="1" t="str">
        <f aca="false">VLOOKUP(C8,Products!$A$2:$E$62,3,FALSE())</f>
        <v>Software</v>
      </c>
      <c r="L8" s="1" t="str">
        <f aca="false">TEXT(D8,"yyyy-mm")</f>
        <v>2023-06</v>
      </c>
    </row>
    <row r="9" customFormat="false" ht="15" hidden="false" customHeight="true" outlineLevel="0" collapsed="false">
      <c r="A9" s="1" t="n">
        <v>8</v>
      </c>
      <c r="B9" s="1" t="n">
        <v>146</v>
      </c>
      <c r="C9" s="1" t="n">
        <v>29</v>
      </c>
      <c r="D9" s="1" t="s">
        <v>1160</v>
      </c>
      <c r="E9" s="1" t="n">
        <v>4</v>
      </c>
      <c r="F9" s="1" t="n">
        <v>54.62</v>
      </c>
      <c r="G9" s="1" t="n">
        <v>0</v>
      </c>
      <c r="H9" s="1" t="s">
        <v>1336</v>
      </c>
      <c r="I9" s="1" t="n">
        <v>218.48</v>
      </c>
      <c r="J9" s="1" t="str">
        <f aca="false">VLOOKUP(B9,Customers!$A$2:$G$502,6,FALSE())</f>
        <v>Consumer</v>
      </c>
      <c r="K9" s="1" t="str">
        <f aca="false">VLOOKUP(C9,Products!$A$2:$E$62,3,FALSE())</f>
        <v>Office Supplies</v>
      </c>
      <c r="L9" s="1" t="str">
        <f aca="false">TEXT(D9,"yyyy-mm")</f>
        <v>2024-10</v>
      </c>
    </row>
    <row r="10" customFormat="false" ht="15" hidden="false" customHeight="true" outlineLevel="0" collapsed="false">
      <c r="A10" s="1" t="n">
        <v>9</v>
      </c>
      <c r="B10" s="1" t="n">
        <v>441</v>
      </c>
      <c r="C10" s="1" t="n">
        <v>59</v>
      </c>
      <c r="D10" s="1" t="s">
        <v>1277</v>
      </c>
      <c r="E10" s="1" t="n">
        <v>9</v>
      </c>
      <c r="F10" s="1" t="n">
        <v>438.89</v>
      </c>
      <c r="G10" s="1" t="n">
        <v>0.2</v>
      </c>
      <c r="H10" s="1" t="s">
        <v>1336</v>
      </c>
      <c r="I10" s="1" t="n">
        <v>3160.01</v>
      </c>
      <c r="J10" s="1" t="str">
        <f aca="false">VLOOKUP(B10,Customers!$A$2:$G$502,6,FALSE())</f>
        <v>Corporate</v>
      </c>
      <c r="K10" s="1" t="str">
        <f aca="false">VLOOKUP(C10,Products!$A$2:$E$62,3,FALSE())</f>
        <v>Furniture</v>
      </c>
      <c r="L10" s="1" t="str">
        <f aca="false">TEXT(D10,"yyyy-mm")</f>
        <v>2023-11</v>
      </c>
    </row>
    <row r="11" customFormat="false" ht="15" hidden="false" customHeight="true" outlineLevel="0" collapsed="false">
      <c r="A11" s="1" t="n">
        <v>10</v>
      </c>
      <c r="B11" s="1" t="n">
        <v>228</v>
      </c>
      <c r="C11" s="1" t="n">
        <v>9</v>
      </c>
      <c r="D11" s="1" t="s">
        <v>1342</v>
      </c>
      <c r="E11" s="1" t="n">
        <v>3</v>
      </c>
      <c r="F11" s="1" t="n">
        <v>203.1</v>
      </c>
      <c r="G11" s="1" t="n">
        <v>0.1</v>
      </c>
      <c r="H11" s="1" t="s">
        <v>1336</v>
      </c>
      <c r="I11" s="1" t="n">
        <v>548.37</v>
      </c>
      <c r="J11" s="1" t="str">
        <f aca="false">VLOOKUP(B11,Customers!$A$2:$G$502,6,FALSE())</f>
        <v>Small Business</v>
      </c>
      <c r="K11" s="1" t="str">
        <f aca="false">VLOOKUP(C11,Products!$A$2:$E$62,3,FALSE())</f>
        <v>Electronics</v>
      </c>
      <c r="L11" s="1" t="str">
        <f aca="false">TEXT(D11,"yyyy-mm")</f>
        <v>2024-12</v>
      </c>
    </row>
    <row r="12" customFormat="false" ht="15" hidden="false" customHeight="true" outlineLevel="0" collapsed="false">
      <c r="A12" s="1" t="n">
        <v>11</v>
      </c>
      <c r="B12" s="1" t="n">
        <v>289</v>
      </c>
      <c r="C12" s="1" t="n">
        <v>28</v>
      </c>
      <c r="D12" s="1" t="s">
        <v>1343</v>
      </c>
      <c r="E12" s="1" t="n">
        <v>7</v>
      </c>
      <c r="F12" s="1" t="n">
        <v>505.23</v>
      </c>
      <c r="G12" s="1" t="n">
        <v>0.15</v>
      </c>
      <c r="H12" s="1" t="s">
        <v>1336</v>
      </c>
      <c r="I12" s="1" t="n">
        <v>3006.12</v>
      </c>
      <c r="J12" s="1" t="str">
        <f aca="false">VLOOKUP(B12,Customers!$A$2:$G$502,6,FALSE())</f>
        <v>Consumer</v>
      </c>
      <c r="K12" s="1" t="str">
        <f aca="false">VLOOKUP(C12,Products!$A$2:$E$62,3,FALSE())</f>
        <v>Office Supplies</v>
      </c>
      <c r="L12" s="1" t="str">
        <f aca="false">TEXT(D12,"yyyy-mm")</f>
        <v>2024-06</v>
      </c>
    </row>
    <row r="13" customFormat="false" ht="15" hidden="false" customHeight="true" outlineLevel="0" collapsed="false">
      <c r="A13" s="1" t="n">
        <v>13</v>
      </c>
      <c r="B13" s="1" t="n">
        <v>418</v>
      </c>
      <c r="C13" s="1" t="n">
        <v>49</v>
      </c>
      <c r="D13" s="1" t="s">
        <v>1344</v>
      </c>
      <c r="E13" s="1" t="n">
        <v>8</v>
      </c>
      <c r="F13" s="1" t="n">
        <v>325.17</v>
      </c>
      <c r="G13" s="1" t="n">
        <v>0</v>
      </c>
      <c r="H13" s="1" t="s">
        <v>1336</v>
      </c>
      <c r="I13" s="1" t="n">
        <v>2601.36</v>
      </c>
      <c r="J13" s="1" t="str">
        <f aca="false">VLOOKUP(B13,Customers!$A$2:$G$502,6,FALSE())</f>
        <v>Corporate</v>
      </c>
      <c r="K13" s="1" t="str">
        <f aca="false">VLOOKUP(C13,Products!$A$2:$E$62,3,FALSE())</f>
        <v>Software</v>
      </c>
      <c r="L13" s="1" t="str">
        <f aca="false">TEXT(D13,"yyyy-mm")</f>
        <v>2023-05</v>
      </c>
    </row>
    <row r="14" customFormat="false" ht="15" hidden="false" customHeight="true" outlineLevel="0" collapsed="false">
      <c r="A14" s="1" t="n">
        <v>14</v>
      </c>
      <c r="B14" s="1" t="n">
        <v>387</v>
      </c>
      <c r="C14" s="1" t="n">
        <v>31</v>
      </c>
      <c r="D14" s="1" t="s">
        <v>761</v>
      </c>
      <c r="E14" s="1" t="n">
        <v>9</v>
      </c>
      <c r="F14" s="1" t="n">
        <v>224.86</v>
      </c>
      <c r="G14" s="1" t="n">
        <v>0</v>
      </c>
      <c r="H14" s="1" t="s">
        <v>1336</v>
      </c>
      <c r="I14" s="1" t="n">
        <v>2023.74</v>
      </c>
      <c r="J14" s="1" t="str">
        <f aca="false">VLOOKUP(B14,Customers!$A$2:$G$502,6,FALSE())</f>
        <v>Corporate</v>
      </c>
      <c r="K14" s="1" t="str">
        <f aca="false">VLOOKUP(C14,Products!$A$2:$E$62,3,FALSE())</f>
        <v>Office Supplies</v>
      </c>
      <c r="L14" s="1" t="str">
        <f aca="false">TEXT(D14,"yyyy-mm")</f>
        <v>2023-11</v>
      </c>
    </row>
    <row r="15" customFormat="false" ht="15" hidden="false" customHeight="true" outlineLevel="0" collapsed="false">
      <c r="A15" s="1" t="n">
        <v>15</v>
      </c>
      <c r="B15" s="1" t="n">
        <v>281</v>
      </c>
      <c r="C15" s="1" t="n">
        <v>24</v>
      </c>
      <c r="D15" s="1" t="s">
        <v>1345</v>
      </c>
      <c r="E15" s="1" t="n">
        <v>5</v>
      </c>
      <c r="F15" s="1" t="n">
        <v>207.34</v>
      </c>
      <c r="G15" s="1" t="n">
        <v>0.05</v>
      </c>
      <c r="H15" s="1" t="s">
        <v>1346</v>
      </c>
      <c r="I15" s="1" t="n">
        <v>984.86</v>
      </c>
      <c r="J15" s="1" t="str">
        <f aca="false">VLOOKUP(B15,Customers!$A$2:$G$502,6,FALSE())</f>
        <v>Corporate</v>
      </c>
      <c r="K15" s="1" t="str">
        <f aca="false">VLOOKUP(C15,Products!$A$2:$E$62,3,FALSE())</f>
        <v>Office Supplies</v>
      </c>
      <c r="L15" s="1" t="str">
        <f aca="false">TEXT(D15,"yyyy-mm")</f>
        <v>2023-07</v>
      </c>
    </row>
    <row r="16" customFormat="false" ht="15" hidden="false" customHeight="true" outlineLevel="0" collapsed="false">
      <c r="A16" s="1" t="n">
        <v>16</v>
      </c>
      <c r="B16" s="1" t="n">
        <v>331</v>
      </c>
      <c r="C16" s="1" t="n">
        <v>25</v>
      </c>
      <c r="D16" s="1" t="s">
        <v>1347</v>
      </c>
      <c r="E16" s="1" t="n">
        <v>1</v>
      </c>
      <c r="F16" s="1" t="n">
        <v>300.49</v>
      </c>
      <c r="G16" s="1" t="n">
        <v>0</v>
      </c>
      <c r="H16" s="1" t="s">
        <v>1336</v>
      </c>
      <c r="I16" s="1" t="n">
        <v>300.49</v>
      </c>
      <c r="J16" s="1" t="str">
        <f aca="false">VLOOKUP(B16,Customers!$A$2:$G$502,6,FALSE())</f>
        <v>Consumer</v>
      </c>
      <c r="K16" s="1" t="str">
        <f aca="false">VLOOKUP(C16,Products!$A$2:$E$62,3,FALSE())</f>
        <v>Office Supplies</v>
      </c>
      <c r="L16" s="1" t="str">
        <f aca="false">TEXT(D16,"yyyy-mm")</f>
        <v>2024-01</v>
      </c>
    </row>
    <row r="17" customFormat="false" ht="15" hidden="false" customHeight="true" outlineLevel="0" collapsed="false">
      <c r="A17" s="1" t="n">
        <v>17</v>
      </c>
      <c r="B17" s="1" t="n">
        <v>466</v>
      </c>
      <c r="C17" s="1" t="n">
        <v>40</v>
      </c>
      <c r="D17" s="1" t="s">
        <v>952</v>
      </c>
      <c r="E17" s="1" t="n">
        <v>3</v>
      </c>
      <c r="F17" s="1" t="n">
        <v>193.02</v>
      </c>
      <c r="G17" s="1" t="n">
        <v>0.15</v>
      </c>
      <c r="H17" s="1" t="s">
        <v>1336</v>
      </c>
      <c r="I17" s="1" t="n">
        <v>492.2</v>
      </c>
      <c r="J17" s="1" t="str">
        <f aca="false">VLOOKUP(B17,Customers!$A$2:$G$502,6,FALSE())</f>
        <v>Consumer</v>
      </c>
      <c r="K17" s="1" t="str">
        <f aca="false">VLOOKUP(C17,Products!$A$2:$E$62,3,FALSE())</f>
        <v>Software</v>
      </c>
      <c r="L17" s="1" t="str">
        <f aca="false">TEXT(D17,"yyyy-mm")</f>
        <v>2024-12</v>
      </c>
    </row>
    <row r="18" customFormat="false" ht="15" hidden="false" customHeight="true" outlineLevel="0" collapsed="false">
      <c r="A18" s="1" t="n">
        <v>18</v>
      </c>
      <c r="B18" s="1" t="n">
        <v>97</v>
      </c>
      <c r="C18" s="1" t="n">
        <v>55</v>
      </c>
      <c r="D18" s="1" t="s">
        <v>117</v>
      </c>
      <c r="E18" s="1" t="n">
        <v>8</v>
      </c>
      <c r="F18" s="1" t="n">
        <v>123.38</v>
      </c>
      <c r="G18" s="1" t="n">
        <v>0</v>
      </c>
      <c r="H18" s="1" t="s">
        <v>1336</v>
      </c>
      <c r="I18" s="1" t="n">
        <v>987.04</v>
      </c>
      <c r="J18" s="1" t="str">
        <f aca="false">VLOOKUP(B18,Customers!$A$2:$G$502,6,FALSE())</f>
        <v>Corporate</v>
      </c>
      <c r="K18" s="1" t="str">
        <f aca="false">VLOOKUP(C18,Products!$A$2:$E$62,3,FALSE())</f>
        <v>Furniture</v>
      </c>
      <c r="L18" s="1" t="str">
        <f aca="false">TEXT(D18,"yyyy-mm")</f>
        <v>2023-03</v>
      </c>
    </row>
    <row r="19" customFormat="false" ht="15" hidden="false" customHeight="true" outlineLevel="0" collapsed="false">
      <c r="A19" s="1" t="n">
        <v>19</v>
      </c>
      <c r="B19" s="1" t="n">
        <v>359</v>
      </c>
      <c r="C19" s="1" t="n">
        <v>40</v>
      </c>
      <c r="D19" s="1" t="s">
        <v>1348</v>
      </c>
      <c r="E19" s="1" t="n">
        <v>6</v>
      </c>
      <c r="F19" s="1" t="n">
        <v>193.02</v>
      </c>
      <c r="G19" s="1" t="n">
        <v>0</v>
      </c>
      <c r="H19" s="1" t="s">
        <v>1336</v>
      </c>
      <c r="I19" s="1" t="n">
        <v>1158.12</v>
      </c>
      <c r="J19" s="1" t="str">
        <f aca="false">VLOOKUP(B19,Customers!$A$2:$G$502,6,FALSE())</f>
        <v>Small Business</v>
      </c>
      <c r="K19" s="1" t="str">
        <f aca="false">VLOOKUP(C19,Products!$A$2:$E$62,3,FALSE())</f>
        <v>Software</v>
      </c>
      <c r="L19" s="1" t="str">
        <f aca="false">TEXT(D19,"yyyy-mm")</f>
        <v>2024-05</v>
      </c>
    </row>
    <row r="20" customFormat="false" ht="15" hidden="false" customHeight="true" outlineLevel="0" collapsed="false">
      <c r="A20" s="1" t="n">
        <v>20</v>
      </c>
      <c r="B20" s="1" t="n">
        <v>498</v>
      </c>
      <c r="C20" s="1" t="n">
        <v>7</v>
      </c>
      <c r="D20" s="1" t="s">
        <v>1349</v>
      </c>
      <c r="E20" s="1" t="n">
        <v>8</v>
      </c>
      <c r="F20" s="1" t="n">
        <v>460</v>
      </c>
      <c r="G20" s="1" t="n">
        <v>0</v>
      </c>
      <c r="H20" s="1" t="s">
        <v>1336</v>
      </c>
      <c r="I20" s="1" t="n">
        <v>3680</v>
      </c>
      <c r="J20" s="1" t="str">
        <f aca="false">VLOOKUP(B20,Customers!$A$2:$G$502,6,FALSE())</f>
        <v>Corporate</v>
      </c>
      <c r="K20" s="1" t="str">
        <f aca="false">VLOOKUP(C20,Products!$A$2:$E$62,3,FALSE())</f>
        <v>Electronics</v>
      </c>
      <c r="L20" s="1" t="str">
        <f aca="false">TEXT(D20,"yyyy-mm")</f>
        <v>2023-10</v>
      </c>
    </row>
    <row r="21" customFormat="false" ht="15" hidden="false" customHeight="true" outlineLevel="0" collapsed="false">
      <c r="A21" s="1" t="n">
        <v>21</v>
      </c>
      <c r="B21" s="1" t="n">
        <v>8</v>
      </c>
      <c r="C21" s="1" t="n">
        <v>32</v>
      </c>
      <c r="D21" s="1" t="s">
        <v>1350</v>
      </c>
      <c r="E21" s="1" t="n">
        <v>9</v>
      </c>
      <c r="F21" s="1" t="n">
        <v>492.27</v>
      </c>
      <c r="G21" s="1" t="n">
        <v>0</v>
      </c>
      <c r="H21" s="1" t="s">
        <v>1336</v>
      </c>
      <c r="I21" s="1" t="n">
        <v>4430.43</v>
      </c>
      <c r="J21" s="1" t="str">
        <f aca="false">VLOOKUP(B21,Customers!$A$2:$G$502,6,FALSE())</f>
        <v>Consumer</v>
      </c>
      <c r="K21" s="1" t="str">
        <f aca="false">VLOOKUP(C21,Products!$A$2:$E$62,3,FALSE())</f>
        <v>Office Supplies</v>
      </c>
      <c r="L21" s="1" t="str">
        <f aca="false">TEXT(D21,"yyyy-mm")</f>
        <v>2023-08</v>
      </c>
    </row>
    <row r="22" customFormat="false" ht="15" hidden="false" customHeight="true" outlineLevel="0" collapsed="false">
      <c r="A22" s="1" t="n">
        <v>22</v>
      </c>
      <c r="B22" s="1" t="n">
        <v>357</v>
      </c>
      <c r="C22" s="1" t="n">
        <v>51</v>
      </c>
      <c r="D22" s="1" t="s">
        <v>89</v>
      </c>
      <c r="E22" s="1" t="n">
        <v>4</v>
      </c>
      <c r="F22" s="1" t="n">
        <v>30.16</v>
      </c>
      <c r="G22" s="1" t="n">
        <v>0</v>
      </c>
      <c r="H22" s="1" t="s">
        <v>1336</v>
      </c>
      <c r="I22" s="1" t="n">
        <v>120.64</v>
      </c>
      <c r="J22" s="1" t="str">
        <f aca="false">VLOOKUP(B22,Customers!$A$2:$G$502,6,FALSE())</f>
        <v>Consumer</v>
      </c>
      <c r="K22" s="1" t="str">
        <f aca="false">VLOOKUP(C22,Products!$A$2:$E$62,3,FALSE())</f>
        <v>Software</v>
      </c>
      <c r="L22" s="1" t="str">
        <f aca="false">TEXT(D22,"yyyy-mm")</f>
        <v>2023-02</v>
      </c>
    </row>
    <row r="23" customFormat="false" ht="15" hidden="false" customHeight="true" outlineLevel="0" collapsed="false">
      <c r="A23" s="1" t="n">
        <v>23</v>
      </c>
      <c r="B23" s="1" t="n">
        <v>201</v>
      </c>
      <c r="C23" s="1" t="n">
        <v>5</v>
      </c>
      <c r="D23" s="1" t="s">
        <v>1351</v>
      </c>
      <c r="E23" s="1" t="n">
        <v>1</v>
      </c>
      <c r="F23" s="1" t="n">
        <v>439.06</v>
      </c>
      <c r="G23" s="1" t="n">
        <v>0.05</v>
      </c>
      <c r="H23" s="1" t="s">
        <v>1336</v>
      </c>
      <c r="I23" s="1" t="n">
        <v>417.11</v>
      </c>
      <c r="J23" s="1" t="str">
        <f aca="false">VLOOKUP(B23,Customers!$A$2:$G$502,6,FALSE())</f>
        <v>Corporate</v>
      </c>
      <c r="K23" s="1" t="str">
        <f aca="false">VLOOKUP(C23,Products!$A$2:$E$62,3,FALSE())</f>
        <v>Electronics</v>
      </c>
      <c r="L23" s="1" t="str">
        <f aca="false">TEXT(D23,"yyyy-mm")</f>
        <v>2024-07</v>
      </c>
    </row>
    <row r="24" customFormat="false" ht="15" hidden="false" customHeight="true" outlineLevel="0" collapsed="false">
      <c r="A24" s="1" t="n">
        <v>24</v>
      </c>
      <c r="B24" s="1" t="n">
        <v>7</v>
      </c>
      <c r="C24" s="1" t="n">
        <v>8</v>
      </c>
      <c r="D24" s="1" t="s">
        <v>266</v>
      </c>
      <c r="E24" s="1" t="n">
        <v>1</v>
      </c>
      <c r="F24" s="1" t="n">
        <v>104.4</v>
      </c>
      <c r="G24" s="1" t="n">
        <v>0.05</v>
      </c>
      <c r="H24" s="1" t="s">
        <v>1336</v>
      </c>
      <c r="I24" s="1" t="n">
        <v>99.18</v>
      </c>
      <c r="J24" s="1" t="str">
        <f aca="false">VLOOKUP(B24,Customers!$A$2:$G$502,6,FALSE())</f>
        <v>Small Business</v>
      </c>
      <c r="K24" s="1" t="str">
        <f aca="false">VLOOKUP(C24,Products!$A$2:$E$62,3,FALSE())</f>
        <v>Electronics</v>
      </c>
      <c r="L24" s="1" t="str">
        <f aca="false">TEXT(D24,"yyyy-mm")</f>
        <v>2023-09</v>
      </c>
    </row>
    <row r="25" customFormat="false" ht="15" hidden="false" customHeight="true" outlineLevel="0" collapsed="false">
      <c r="A25" s="1" t="n">
        <v>25</v>
      </c>
      <c r="B25" s="1" t="n">
        <v>236</v>
      </c>
      <c r="C25" s="1" t="n">
        <v>48</v>
      </c>
      <c r="D25" s="1" t="s">
        <v>1352</v>
      </c>
      <c r="E25" s="1" t="n">
        <v>4</v>
      </c>
      <c r="F25" s="1" t="n">
        <v>493.53</v>
      </c>
      <c r="G25" s="1" t="n">
        <v>0.1</v>
      </c>
      <c r="H25" s="1" t="s">
        <v>1336</v>
      </c>
      <c r="I25" s="1" t="n">
        <v>1776.71</v>
      </c>
      <c r="J25" s="1" t="str">
        <f aca="false">VLOOKUP(B25,Customers!$A$2:$G$502,6,FALSE())</f>
        <v>Corporate</v>
      </c>
      <c r="K25" s="1" t="str">
        <f aca="false">VLOOKUP(C25,Products!$A$2:$E$62,3,FALSE())</f>
        <v>Software</v>
      </c>
      <c r="L25" s="1" t="str">
        <f aca="false">TEXT(D25,"yyyy-mm")</f>
        <v>2023-04</v>
      </c>
    </row>
    <row r="26" customFormat="false" ht="15" hidden="false" customHeight="true" outlineLevel="0" collapsed="false">
      <c r="A26" s="1" t="n">
        <v>26</v>
      </c>
      <c r="B26" s="1" t="n">
        <v>480</v>
      </c>
      <c r="C26" s="1" t="n">
        <v>21</v>
      </c>
      <c r="D26" s="1" t="s">
        <v>1353</v>
      </c>
      <c r="E26" s="1" t="n">
        <v>7</v>
      </c>
      <c r="F26" s="1" t="n">
        <v>84.91</v>
      </c>
      <c r="G26" s="1" t="n">
        <v>0.15</v>
      </c>
      <c r="H26" s="1" t="s">
        <v>1336</v>
      </c>
      <c r="I26" s="1" t="n">
        <v>505.21</v>
      </c>
      <c r="J26" s="1" t="str">
        <f aca="false">VLOOKUP(B26,Customers!$A$2:$G$502,6,FALSE())</f>
        <v>Unknown</v>
      </c>
      <c r="K26" s="1" t="str">
        <f aca="false">VLOOKUP(C26,Products!$A$2:$E$62,3,FALSE())</f>
        <v>Office Supplies</v>
      </c>
      <c r="L26" s="1" t="str">
        <f aca="false">TEXT(D26,"yyyy-mm")</f>
        <v>2023-06</v>
      </c>
    </row>
    <row r="27" customFormat="false" ht="15" hidden="false" customHeight="true" outlineLevel="0" collapsed="false">
      <c r="A27" s="1" t="n">
        <v>27</v>
      </c>
      <c r="B27" s="1" t="n">
        <v>247</v>
      </c>
      <c r="C27" s="1" t="n">
        <v>41</v>
      </c>
      <c r="D27" s="1" t="s">
        <v>1016</v>
      </c>
      <c r="E27" s="1" t="n">
        <v>2</v>
      </c>
      <c r="F27" s="1" t="n">
        <v>594.54</v>
      </c>
      <c r="G27" s="1" t="n">
        <v>0</v>
      </c>
      <c r="H27" s="1" t="s">
        <v>1336</v>
      </c>
      <c r="I27" s="1" t="n">
        <v>1189.08</v>
      </c>
      <c r="J27" s="1" t="str">
        <f aca="false">VLOOKUP(B27,Customers!$A$2:$G$502,6,FALSE())</f>
        <v>Small Business</v>
      </c>
      <c r="K27" s="1" t="str">
        <f aca="false">VLOOKUP(C27,Products!$A$2:$E$62,3,FALSE())</f>
        <v>Software</v>
      </c>
      <c r="L27" s="1" t="str">
        <f aca="false">TEXT(D27,"yyyy-mm")</f>
        <v>2023-11</v>
      </c>
    </row>
    <row r="28" customFormat="false" ht="15" hidden="false" customHeight="true" outlineLevel="0" collapsed="false">
      <c r="A28" s="1" t="n">
        <v>28</v>
      </c>
      <c r="B28" s="1" t="n">
        <v>121</v>
      </c>
      <c r="C28" s="1" t="n">
        <v>41</v>
      </c>
      <c r="D28" s="1" t="s">
        <v>1354</v>
      </c>
      <c r="E28" s="1" t="n">
        <v>3</v>
      </c>
      <c r="F28" s="1" t="n">
        <v>594.54</v>
      </c>
      <c r="G28" s="1" t="n">
        <v>0</v>
      </c>
      <c r="H28" s="1" t="s">
        <v>1336</v>
      </c>
      <c r="I28" s="1" t="n">
        <v>1783.62</v>
      </c>
      <c r="J28" s="1" t="str">
        <f aca="false">VLOOKUP(B28,Customers!$A$2:$G$502,6,FALSE())</f>
        <v>Consumer</v>
      </c>
      <c r="K28" s="1" t="str">
        <f aca="false">VLOOKUP(C28,Products!$A$2:$E$62,3,FALSE())</f>
        <v>Software</v>
      </c>
      <c r="L28" s="1" t="str">
        <f aca="false">TEXT(D28,"yyyy-mm")</f>
        <v>2024-03</v>
      </c>
    </row>
    <row r="29" customFormat="false" ht="15" hidden="false" customHeight="true" outlineLevel="0" collapsed="false">
      <c r="A29" s="1" t="n">
        <v>29</v>
      </c>
      <c r="B29" s="1" t="n">
        <v>125</v>
      </c>
      <c r="C29" s="1" t="n">
        <v>1</v>
      </c>
      <c r="D29" s="1" t="s">
        <v>1355</v>
      </c>
      <c r="E29" s="1" t="n">
        <v>1</v>
      </c>
      <c r="F29" s="1" t="n">
        <v>327.32</v>
      </c>
      <c r="G29" s="1" t="n">
        <v>0.1</v>
      </c>
      <c r="H29" s="1" t="s">
        <v>1336</v>
      </c>
      <c r="I29" s="1" t="n">
        <v>294.59</v>
      </c>
      <c r="J29" s="1" t="str">
        <f aca="false">VLOOKUP(B29,Customers!$A$2:$G$502,6,FALSE())</f>
        <v>Small Business</v>
      </c>
      <c r="K29" s="1" t="str">
        <f aca="false">VLOOKUP(C29,Products!$A$2:$E$62,3,FALSE())</f>
        <v>Electronics</v>
      </c>
      <c r="L29" s="1" t="str">
        <f aca="false">TEXT(D29,"yyyy-mm")</f>
        <v>2023-02</v>
      </c>
    </row>
    <row r="30" customFormat="false" ht="15" hidden="false" customHeight="true" outlineLevel="0" collapsed="false">
      <c r="A30" s="1" t="n">
        <v>30</v>
      </c>
      <c r="B30" s="1" t="n">
        <v>46</v>
      </c>
      <c r="C30" s="1" t="n">
        <v>16</v>
      </c>
      <c r="D30" s="1" t="s">
        <v>572</v>
      </c>
      <c r="E30" s="1" t="n">
        <v>5</v>
      </c>
      <c r="F30" s="1" t="n">
        <v>330.91</v>
      </c>
      <c r="G30" s="1" t="n">
        <v>0.05</v>
      </c>
      <c r="H30" s="1" t="s">
        <v>1336</v>
      </c>
      <c r="I30" s="1" t="n">
        <v>1571.82</v>
      </c>
      <c r="J30" s="1" t="str">
        <f aca="false">VLOOKUP(B30,Customers!$A$2:$G$502,6,FALSE())</f>
        <v>Consumer</v>
      </c>
      <c r="K30" s="1" t="str">
        <f aca="false">VLOOKUP(C30,Products!$A$2:$E$62,3,FALSE())</f>
        <v>Electronics</v>
      </c>
      <c r="L30" s="1" t="str">
        <f aca="false">TEXT(D30,"yyyy-mm")</f>
        <v>2023-06</v>
      </c>
    </row>
    <row r="31" customFormat="false" ht="15" hidden="false" customHeight="true" outlineLevel="0" collapsed="false">
      <c r="A31" s="1" t="n">
        <v>31</v>
      </c>
      <c r="B31" s="1" t="n">
        <v>321</v>
      </c>
      <c r="C31" s="1" t="n">
        <v>4</v>
      </c>
      <c r="D31" s="1" t="s">
        <v>1356</v>
      </c>
      <c r="E31" s="1" t="n">
        <v>1</v>
      </c>
      <c r="F31" s="1" t="n">
        <v>56.24</v>
      </c>
      <c r="G31" s="1" t="n">
        <v>0</v>
      </c>
      <c r="H31" s="1" t="s">
        <v>1336</v>
      </c>
      <c r="I31" s="1" t="n">
        <v>56.24</v>
      </c>
      <c r="J31" s="1" t="str">
        <f aca="false">VLOOKUP(B31,Customers!$A$2:$G$502,6,FALSE())</f>
        <v>Small Business</v>
      </c>
      <c r="K31" s="1" t="str">
        <f aca="false">VLOOKUP(C31,Products!$A$2:$E$62,3,FALSE())</f>
        <v>Electronics</v>
      </c>
      <c r="L31" s="1" t="str">
        <f aca="false">TEXT(D31,"yyyy-mm")</f>
        <v>2023-03</v>
      </c>
    </row>
    <row r="32" customFormat="false" ht="15" hidden="false" customHeight="true" outlineLevel="0" collapsed="false">
      <c r="A32" s="1" t="n">
        <v>32</v>
      </c>
      <c r="B32" s="1" t="n">
        <v>120</v>
      </c>
      <c r="C32" s="1" t="n">
        <v>21</v>
      </c>
      <c r="D32" s="1" t="s">
        <v>1357</v>
      </c>
      <c r="E32" s="1" t="n">
        <v>8</v>
      </c>
      <c r="F32" s="1" t="n">
        <v>84.91</v>
      </c>
      <c r="G32" s="1" t="n">
        <v>0.2</v>
      </c>
      <c r="H32" s="1" t="s">
        <v>1336</v>
      </c>
      <c r="I32" s="1" t="n">
        <v>543.42</v>
      </c>
      <c r="J32" s="1" t="str">
        <f aca="false">VLOOKUP(B32,Customers!$A$2:$G$502,6,FALSE())</f>
        <v>Consumer</v>
      </c>
      <c r="K32" s="1" t="str">
        <f aca="false">VLOOKUP(C32,Products!$A$2:$E$62,3,FALSE())</f>
        <v>Office Supplies</v>
      </c>
      <c r="L32" s="1" t="str">
        <f aca="false">TEXT(D32,"yyyy-mm")</f>
        <v>2024-07</v>
      </c>
    </row>
    <row r="33" customFormat="false" ht="15" hidden="false" customHeight="true" outlineLevel="0" collapsed="false">
      <c r="A33" s="1" t="n">
        <v>33</v>
      </c>
      <c r="B33" s="1" t="n">
        <v>11</v>
      </c>
      <c r="C33" s="1" t="n">
        <v>45</v>
      </c>
      <c r="D33" s="1" t="s">
        <v>1358</v>
      </c>
      <c r="E33" s="1" t="n">
        <v>1</v>
      </c>
      <c r="F33" s="1" t="n">
        <v>560.01</v>
      </c>
      <c r="G33" s="1" t="n">
        <v>0</v>
      </c>
      <c r="H33" s="1" t="s">
        <v>1336</v>
      </c>
      <c r="I33" s="1" t="n">
        <v>560.01</v>
      </c>
      <c r="J33" s="1" t="str">
        <f aca="false">VLOOKUP(B33,Customers!$A$2:$G$502,6,FALSE())</f>
        <v>Consumer</v>
      </c>
      <c r="K33" s="1" t="str">
        <f aca="false">VLOOKUP(C33,Products!$A$2:$E$62,3,FALSE())</f>
        <v>Software</v>
      </c>
      <c r="L33" s="1" t="str">
        <f aca="false">TEXT(D33,"yyyy-mm")</f>
        <v>2024-01</v>
      </c>
    </row>
    <row r="34" customFormat="false" ht="15" hidden="false" customHeight="true" outlineLevel="0" collapsed="false">
      <c r="A34" s="1" t="n">
        <v>34</v>
      </c>
      <c r="B34" s="1" t="n">
        <v>287</v>
      </c>
      <c r="C34" s="1" t="n">
        <v>19</v>
      </c>
      <c r="D34" s="1" t="s">
        <v>112</v>
      </c>
      <c r="E34" s="1" t="n">
        <v>1</v>
      </c>
      <c r="F34" s="1" t="n">
        <v>163.64</v>
      </c>
      <c r="G34" s="1" t="n">
        <v>0.15</v>
      </c>
      <c r="H34" s="1" t="s">
        <v>1336</v>
      </c>
      <c r="I34" s="1" t="n">
        <v>139.09</v>
      </c>
      <c r="J34" s="1" t="str">
        <f aca="false">VLOOKUP(B34,Customers!$A$2:$G$502,6,FALSE())</f>
        <v>Corporate</v>
      </c>
      <c r="K34" s="1" t="str">
        <f aca="false">VLOOKUP(C34,Products!$A$2:$E$62,3,FALSE())</f>
        <v>Office Supplies</v>
      </c>
      <c r="L34" s="1" t="str">
        <f aca="false">TEXT(D34,"yyyy-mm")</f>
        <v>2024-07</v>
      </c>
    </row>
    <row r="35" customFormat="false" ht="15" hidden="false" customHeight="true" outlineLevel="0" collapsed="false">
      <c r="A35" s="1" t="n">
        <v>35</v>
      </c>
      <c r="B35" s="1" t="n">
        <v>240</v>
      </c>
      <c r="C35" s="1" t="n">
        <v>18</v>
      </c>
      <c r="D35" s="1" t="s">
        <v>1359</v>
      </c>
      <c r="E35" s="1" t="n">
        <v>2</v>
      </c>
      <c r="F35" s="1" t="n">
        <v>747.34</v>
      </c>
      <c r="G35" s="1" t="n">
        <v>0.2</v>
      </c>
      <c r="H35" s="1" t="s">
        <v>1336</v>
      </c>
      <c r="I35" s="1" t="n">
        <v>1195.74</v>
      </c>
      <c r="J35" s="1" t="str">
        <f aca="false">VLOOKUP(B35,Customers!$A$2:$G$502,6,FALSE())</f>
        <v>Corporate</v>
      </c>
      <c r="K35" s="1" t="str">
        <f aca="false">VLOOKUP(C35,Products!$A$2:$E$62,3,FALSE())</f>
        <v>Electronics</v>
      </c>
      <c r="L35" s="1" t="str">
        <f aca="false">TEXT(D35,"yyyy-mm")</f>
        <v>2024-09</v>
      </c>
    </row>
    <row r="36" customFormat="false" ht="15" hidden="false" customHeight="true" outlineLevel="0" collapsed="false">
      <c r="A36" s="1" t="n">
        <v>36</v>
      </c>
      <c r="B36" s="1" t="n">
        <v>135</v>
      </c>
      <c r="C36" s="1" t="n">
        <v>35</v>
      </c>
      <c r="D36" s="1" t="s">
        <v>1360</v>
      </c>
      <c r="E36" s="1" t="n">
        <v>2</v>
      </c>
      <c r="F36" s="1" t="n">
        <v>75.78</v>
      </c>
      <c r="G36" s="1" t="n">
        <v>0.05</v>
      </c>
      <c r="H36" s="1" t="s">
        <v>1336</v>
      </c>
      <c r="I36" s="1" t="n">
        <v>143.98</v>
      </c>
      <c r="J36" s="1" t="str">
        <f aca="false">VLOOKUP(B36,Customers!$A$2:$G$502,6,FALSE())</f>
        <v>Corporate</v>
      </c>
      <c r="K36" s="1" t="str">
        <f aca="false">VLOOKUP(C36,Products!$A$2:$E$62,3,FALSE())</f>
        <v>Software</v>
      </c>
      <c r="L36" s="1" t="str">
        <f aca="false">TEXT(D36,"yyyy-mm")</f>
        <v>2024-01</v>
      </c>
    </row>
    <row r="37" customFormat="false" ht="15" hidden="false" customHeight="true" outlineLevel="0" collapsed="false">
      <c r="A37" s="1" t="n">
        <v>37</v>
      </c>
      <c r="B37" s="1" t="n">
        <v>10</v>
      </c>
      <c r="C37" s="1" t="n">
        <v>40</v>
      </c>
      <c r="D37" s="1" t="s">
        <v>1361</v>
      </c>
      <c r="E37" s="1" t="n">
        <v>6</v>
      </c>
      <c r="F37" s="1" t="n">
        <v>193.02</v>
      </c>
      <c r="G37" s="1" t="n">
        <v>0.2</v>
      </c>
      <c r="H37" s="1" t="s">
        <v>1336</v>
      </c>
      <c r="I37" s="1" t="n">
        <v>926.5</v>
      </c>
      <c r="J37" s="1" t="str">
        <f aca="false">VLOOKUP(B37,Customers!$A$2:$G$502,6,FALSE())</f>
        <v>Small Business</v>
      </c>
      <c r="K37" s="1" t="str">
        <f aca="false">VLOOKUP(C37,Products!$A$2:$E$62,3,FALSE())</f>
        <v>Software</v>
      </c>
      <c r="L37" s="1" t="str">
        <f aca="false">TEXT(D37,"yyyy-mm")</f>
        <v>2024-01</v>
      </c>
    </row>
    <row r="38" customFormat="false" ht="15" hidden="false" customHeight="true" outlineLevel="0" collapsed="false">
      <c r="A38" s="1" t="n">
        <v>38</v>
      </c>
      <c r="B38" s="1" t="n">
        <v>420</v>
      </c>
      <c r="C38" s="1" t="n">
        <v>25</v>
      </c>
      <c r="D38" s="1" t="s">
        <v>581</v>
      </c>
      <c r="E38" s="1" t="n">
        <v>7</v>
      </c>
      <c r="F38" s="1" t="n">
        <v>300.49</v>
      </c>
      <c r="G38" s="1" t="n">
        <v>0.1</v>
      </c>
      <c r="H38" s="1" t="s">
        <v>1336</v>
      </c>
      <c r="I38" s="1" t="n">
        <v>1893.09</v>
      </c>
      <c r="J38" s="1" t="str">
        <f aca="false">VLOOKUP(B38,Customers!$A$2:$G$502,6,FALSE())</f>
        <v>Small Business</v>
      </c>
      <c r="K38" s="1" t="str">
        <f aca="false">VLOOKUP(C38,Products!$A$2:$E$62,3,FALSE())</f>
        <v>Office Supplies</v>
      </c>
      <c r="L38" s="1" t="str">
        <f aca="false">TEXT(D38,"yyyy-mm")</f>
        <v>2023-07</v>
      </c>
    </row>
    <row r="39" customFormat="false" ht="15" hidden="false" customHeight="true" outlineLevel="0" collapsed="false">
      <c r="A39" s="1" t="n">
        <v>39</v>
      </c>
      <c r="B39" s="1" t="n">
        <v>210</v>
      </c>
      <c r="C39" s="1" t="n">
        <v>42</v>
      </c>
      <c r="D39" s="1" t="s">
        <v>393</v>
      </c>
      <c r="E39" s="1" t="n">
        <v>5</v>
      </c>
      <c r="F39" s="1" t="n">
        <v>174.48</v>
      </c>
      <c r="G39" s="1" t="n">
        <v>0</v>
      </c>
      <c r="H39" s="1" t="s">
        <v>1336</v>
      </c>
      <c r="I39" s="1" t="n">
        <v>872.4</v>
      </c>
      <c r="J39" s="1" t="str">
        <f aca="false">VLOOKUP(B39,Customers!$A$2:$G$502,6,FALSE())</f>
        <v>Corporate</v>
      </c>
      <c r="K39" s="1" t="str">
        <f aca="false">VLOOKUP(C39,Products!$A$2:$E$62,3,FALSE())</f>
        <v>Software</v>
      </c>
      <c r="L39" s="1" t="str">
        <f aca="false">TEXT(D39,"yyyy-mm")</f>
        <v>2023-11</v>
      </c>
    </row>
    <row r="40" customFormat="false" ht="15" hidden="false" customHeight="true" outlineLevel="0" collapsed="false">
      <c r="A40" s="1" t="n">
        <v>40</v>
      </c>
      <c r="B40" s="1" t="n">
        <v>92</v>
      </c>
      <c r="C40" s="1" t="n">
        <v>56</v>
      </c>
      <c r="D40" s="1" t="s">
        <v>89</v>
      </c>
      <c r="E40" s="1" t="n">
        <v>1</v>
      </c>
      <c r="F40" s="1" t="n">
        <v>160.64</v>
      </c>
      <c r="G40" s="1" t="n">
        <v>0</v>
      </c>
      <c r="H40" s="1" t="s">
        <v>1336</v>
      </c>
      <c r="I40" s="1" t="n">
        <v>160.64</v>
      </c>
      <c r="J40" s="1" t="str">
        <f aca="false">VLOOKUP(B40,Customers!$A$2:$G$502,6,FALSE())</f>
        <v>Corporate</v>
      </c>
      <c r="K40" s="1" t="str">
        <f aca="false">VLOOKUP(C40,Products!$A$2:$E$62,3,FALSE())</f>
        <v>Furniture</v>
      </c>
      <c r="L40" s="1" t="str">
        <f aca="false">TEXT(D40,"yyyy-mm")</f>
        <v>2023-02</v>
      </c>
    </row>
    <row r="41" customFormat="false" ht="15" hidden="false" customHeight="true" outlineLevel="0" collapsed="false">
      <c r="A41" s="1" t="n">
        <v>41</v>
      </c>
      <c r="B41" s="1" t="n">
        <v>199</v>
      </c>
      <c r="C41" s="1" t="n">
        <v>43</v>
      </c>
      <c r="D41" s="1" t="s">
        <v>1038</v>
      </c>
      <c r="E41" s="1" t="n">
        <v>1</v>
      </c>
      <c r="F41" s="1" t="n">
        <v>186.31</v>
      </c>
      <c r="G41" s="1" t="n">
        <v>0.1</v>
      </c>
      <c r="H41" s="1" t="s">
        <v>1336</v>
      </c>
      <c r="I41" s="1" t="n">
        <v>167.68</v>
      </c>
      <c r="J41" s="1" t="str">
        <f aca="false">VLOOKUP(B41,Customers!$A$2:$G$502,6,FALSE())</f>
        <v>Corporate</v>
      </c>
      <c r="K41" s="1" t="str">
        <f aca="false">VLOOKUP(C41,Products!$A$2:$E$62,3,FALSE())</f>
        <v>Software</v>
      </c>
      <c r="L41" s="1" t="str">
        <f aca="false">TEXT(D41,"yyyy-mm")</f>
        <v>2024-05</v>
      </c>
    </row>
    <row r="42" customFormat="false" ht="15" hidden="false" customHeight="true" outlineLevel="0" collapsed="false">
      <c r="A42" s="1" t="n">
        <v>42</v>
      </c>
      <c r="B42" s="1" t="n">
        <v>368</v>
      </c>
      <c r="C42" s="1" t="n">
        <v>5</v>
      </c>
      <c r="D42" s="1" t="s">
        <v>1136</v>
      </c>
      <c r="E42" s="1" t="n">
        <v>3</v>
      </c>
      <c r="F42" s="1" t="n">
        <v>439.06</v>
      </c>
      <c r="G42" s="1" t="n">
        <v>0</v>
      </c>
      <c r="H42" s="1" t="s">
        <v>1336</v>
      </c>
      <c r="I42" s="1" t="n">
        <v>1317.18</v>
      </c>
      <c r="J42" s="1" t="str">
        <f aca="false">VLOOKUP(B42,Customers!$A$2:$G$502,6,FALSE())</f>
        <v>Corporate</v>
      </c>
      <c r="K42" s="1" t="str">
        <f aca="false">VLOOKUP(C42,Products!$A$2:$E$62,3,FALSE())</f>
        <v>Electronics</v>
      </c>
      <c r="L42" s="1" t="str">
        <f aca="false">TEXT(D42,"yyyy-mm")</f>
        <v>2023-01</v>
      </c>
    </row>
    <row r="43" customFormat="false" ht="15" hidden="false" customHeight="true" outlineLevel="0" collapsed="false">
      <c r="A43" s="1" t="n">
        <v>43</v>
      </c>
      <c r="B43" s="1" t="n">
        <v>328</v>
      </c>
      <c r="C43" s="1" t="n">
        <v>4</v>
      </c>
      <c r="D43" s="1" t="s">
        <v>1362</v>
      </c>
      <c r="E43" s="1" t="n">
        <v>2</v>
      </c>
      <c r="F43" s="1" t="n">
        <v>56.24</v>
      </c>
      <c r="G43" s="1" t="n">
        <v>0.1</v>
      </c>
      <c r="H43" s="1" t="s">
        <v>1336</v>
      </c>
      <c r="I43" s="1" t="n">
        <v>101.23</v>
      </c>
      <c r="J43" s="1" t="str">
        <f aca="false">VLOOKUP(B43,Customers!$A$2:$G$502,6,FALSE())</f>
        <v>Consumer</v>
      </c>
      <c r="K43" s="1" t="str">
        <f aca="false">VLOOKUP(C43,Products!$A$2:$E$62,3,FALSE())</f>
        <v>Electronics</v>
      </c>
      <c r="L43" s="1" t="str">
        <f aca="false">TEXT(D43,"yyyy-mm")</f>
        <v>2024-01</v>
      </c>
    </row>
    <row r="44" customFormat="false" ht="15" hidden="false" customHeight="true" outlineLevel="0" collapsed="false">
      <c r="A44" s="1" t="n">
        <v>44</v>
      </c>
      <c r="B44" s="1" t="n">
        <v>30</v>
      </c>
      <c r="C44" s="1" t="n">
        <v>53</v>
      </c>
      <c r="D44" s="1" t="s">
        <v>1363</v>
      </c>
      <c r="E44" s="1" t="n">
        <v>5</v>
      </c>
      <c r="F44" s="1" t="n">
        <v>509.98</v>
      </c>
      <c r="G44" s="1" t="n">
        <v>0</v>
      </c>
      <c r="H44" s="1" t="s">
        <v>1336</v>
      </c>
      <c r="I44" s="1" t="n">
        <v>2549.9</v>
      </c>
      <c r="J44" s="1" t="str">
        <f aca="false">VLOOKUP(B44,Customers!$A$2:$G$502,6,FALSE())</f>
        <v>Unknown</v>
      </c>
      <c r="K44" s="1" t="str">
        <f aca="false">VLOOKUP(C44,Products!$A$2:$E$62,3,FALSE())</f>
        <v>Software</v>
      </c>
      <c r="L44" s="1" t="str">
        <f aca="false">TEXT(D44,"yyyy-mm")</f>
        <v>2024-09</v>
      </c>
    </row>
    <row r="45" customFormat="false" ht="15" hidden="false" customHeight="true" outlineLevel="0" collapsed="false">
      <c r="A45" s="1" t="n">
        <v>45</v>
      </c>
      <c r="B45" s="1" t="n">
        <v>111</v>
      </c>
      <c r="C45" s="1" t="n">
        <v>34</v>
      </c>
      <c r="D45" s="1" t="s">
        <v>578</v>
      </c>
      <c r="E45" s="1" t="n">
        <v>6</v>
      </c>
      <c r="F45" s="1" t="n">
        <v>116.85</v>
      </c>
      <c r="G45" s="1" t="n">
        <v>0</v>
      </c>
      <c r="H45" s="1" t="s">
        <v>1336</v>
      </c>
      <c r="I45" s="1" t="n">
        <v>701.1</v>
      </c>
      <c r="J45" s="1" t="str">
        <f aca="false">VLOOKUP(B45,Customers!$A$2:$G$502,6,FALSE())</f>
        <v>Small Business</v>
      </c>
      <c r="K45" s="1" t="str">
        <f aca="false">VLOOKUP(C45,Products!$A$2:$E$62,3,FALSE())</f>
        <v>Office Supplies</v>
      </c>
      <c r="L45" s="1" t="str">
        <f aca="false">TEXT(D45,"yyyy-mm")</f>
        <v>2023-04</v>
      </c>
    </row>
    <row r="46" customFormat="false" ht="15" hidden="false" customHeight="true" outlineLevel="0" collapsed="false">
      <c r="A46" s="1" t="n">
        <v>46</v>
      </c>
      <c r="B46" s="1" t="n">
        <v>128</v>
      </c>
      <c r="C46" s="1" t="n">
        <v>37</v>
      </c>
      <c r="D46" s="1" t="s">
        <v>272</v>
      </c>
      <c r="E46" s="1" t="n">
        <v>7</v>
      </c>
      <c r="F46" s="1" t="n">
        <v>13.95</v>
      </c>
      <c r="G46" s="1" t="n">
        <v>0</v>
      </c>
      <c r="H46" s="1" t="s">
        <v>1336</v>
      </c>
      <c r="I46" s="1" t="n">
        <v>97.65</v>
      </c>
      <c r="J46" s="1" t="str">
        <f aca="false">VLOOKUP(B46,Customers!$A$2:$G$502,6,FALSE())</f>
        <v>Consumer</v>
      </c>
      <c r="K46" s="1" t="str">
        <f aca="false">VLOOKUP(C46,Products!$A$2:$E$62,3,FALSE())</f>
        <v>Software</v>
      </c>
      <c r="L46" s="1" t="str">
        <f aca="false">TEXT(D46,"yyyy-mm")</f>
        <v>2024-10</v>
      </c>
    </row>
    <row r="47" customFormat="false" ht="15" hidden="false" customHeight="true" outlineLevel="0" collapsed="false">
      <c r="A47" s="1" t="n">
        <v>47</v>
      </c>
      <c r="B47" s="1" t="n">
        <v>296</v>
      </c>
      <c r="C47" s="1" t="n">
        <v>23</v>
      </c>
      <c r="D47" s="1" t="s">
        <v>1364</v>
      </c>
      <c r="E47" s="1" t="n">
        <v>4</v>
      </c>
      <c r="F47" s="1" t="n">
        <v>188.73</v>
      </c>
      <c r="G47" s="1" t="n">
        <v>0.05</v>
      </c>
      <c r="H47" s="1" t="s">
        <v>1336</v>
      </c>
      <c r="I47" s="1" t="n">
        <v>717.17</v>
      </c>
      <c r="J47" s="1" t="str">
        <f aca="false">VLOOKUP(B47,Customers!$A$2:$G$502,6,FALSE())</f>
        <v>Corporate</v>
      </c>
      <c r="K47" s="1" t="str">
        <f aca="false">VLOOKUP(C47,Products!$A$2:$E$62,3,FALSE())</f>
        <v>Office Supplies</v>
      </c>
      <c r="L47" s="1" t="str">
        <f aca="false">TEXT(D47,"yyyy-mm")</f>
        <v>2024-11</v>
      </c>
    </row>
    <row r="48" customFormat="false" ht="15" hidden="false" customHeight="true" outlineLevel="0" collapsed="false">
      <c r="A48" s="1" t="n">
        <v>48</v>
      </c>
      <c r="B48" s="1" t="n">
        <v>282</v>
      </c>
      <c r="C48" s="1" t="n">
        <v>26</v>
      </c>
      <c r="D48" s="1" t="s">
        <v>1226</v>
      </c>
      <c r="E48" s="1" t="n">
        <v>7</v>
      </c>
      <c r="F48" s="1" t="n">
        <v>733.85</v>
      </c>
      <c r="G48" s="1" t="n">
        <v>0</v>
      </c>
      <c r="H48" s="1" t="s">
        <v>1336</v>
      </c>
      <c r="I48" s="1" t="n">
        <v>5136.95</v>
      </c>
      <c r="J48" s="1" t="str">
        <f aca="false">VLOOKUP(B48,Customers!$A$2:$G$502,6,FALSE())</f>
        <v>Corporate</v>
      </c>
      <c r="K48" s="1" t="str">
        <f aca="false">VLOOKUP(C48,Products!$A$2:$E$62,3,FALSE())</f>
        <v>Office Supplies</v>
      </c>
      <c r="L48" s="1" t="str">
        <f aca="false">TEXT(D48,"yyyy-mm")</f>
        <v>2024-05</v>
      </c>
    </row>
    <row r="49" customFormat="false" ht="15" hidden="false" customHeight="true" outlineLevel="0" collapsed="false">
      <c r="A49" s="1" t="n">
        <v>49</v>
      </c>
      <c r="B49" s="1" t="n">
        <v>463</v>
      </c>
      <c r="C49" s="1" t="n">
        <v>21</v>
      </c>
      <c r="D49" s="1" t="s">
        <v>295</v>
      </c>
      <c r="E49" s="1" t="n">
        <v>8</v>
      </c>
      <c r="F49" s="1" t="n">
        <v>84.91</v>
      </c>
      <c r="G49" s="1" t="n">
        <v>0</v>
      </c>
      <c r="H49" s="1" t="s">
        <v>1336</v>
      </c>
      <c r="I49" s="1" t="n">
        <v>679.28</v>
      </c>
      <c r="J49" s="1" t="str">
        <f aca="false">VLOOKUP(B49,Customers!$A$2:$G$502,6,FALSE())</f>
        <v>Consumer</v>
      </c>
      <c r="K49" s="1" t="str">
        <f aca="false">VLOOKUP(C49,Products!$A$2:$E$62,3,FALSE())</f>
        <v>Office Supplies</v>
      </c>
      <c r="L49" s="1" t="str">
        <f aca="false">TEXT(D49,"yyyy-mm")</f>
        <v>2024-07</v>
      </c>
    </row>
    <row r="50" customFormat="false" ht="15" hidden="false" customHeight="true" outlineLevel="0" collapsed="false">
      <c r="A50" s="1" t="n">
        <v>50</v>
      </c>
      <c r="B50" s="1" t="n">
        <v>166</v>
      </c>
      <c r="C50" s="1" t="n">
        <v>39</v>
      </c>
      <c r="D50" s="1" t="s">
        <v>1365</v>
      </c>
      <c r="E50" s="1" t="n">
        <v>1</v>
      </c>
      <c r="F50" s="1" t="n">
        <v>400.02</v>
      </c>
      <c r="G50" s="1" t="n">
        <v>0.1</v>
      </c>
      <c r="H50" s="1" t="s">
        <v>1336</v>
      </c>
      <c r="I50" s="1" t="n">
        <v>360.02</v>
      </c>
      <c r="J50" s="1" t="str">
        <f aca="false">VLOOKUP(B50,Customers!$A$2:$G$502,6,FALSE())</f>
        <v>Small Business</v>
      </c>
      <c r="K50" s="1" t="str">
        <f aca="false">VLOOKUP(C50,Products!$A$2:$E$62,3,FALSE())</f>
        <v>Software</v>
      </c>
      <c r="L50" s="1" t="str">
        <f aca="false">TEXT(D50,"yyyy-mm")</f>
        <v>2023-09</v>
      </c>
    </row>
    <row r="51" customFormat="false" ht="15" hidden="false" customHeight="true" outlineLevel="0" collapsed="false">
      <c r="A51" s="1" t="n">
        <v>52</v>
      </c>
      <c r="B51" s="1" t="n">
        <v>70</v>
      </c>
      <c r="C51" s="1" t="n">
        <v>57</v>
      </c>
      <c r="D51" s="1" t="s">
        <v>1366</v>
      </c>
      <c r="E51" s="1" t="n">
        <v>8</v>
      </c>
      <c r="F51" s="1" t="n">
        <v>719.76</v>
      </c>
      <c r="G51" s="1" t="n">
        <v>0</v>
      </c>
      <c r="H51" s="1" t="s">
        <v>1336</v>
      </c>
      <c r="I51" s="1" t="n">
        <v>5758.08</v>
      </c>
      <c r="J51" s="1" t="str">
        <f aca="false">VLOOKUP(B51,Customers!$A$2:$G$502,6,FALSE())</f>
        <v>Corporate</v>
      </c>
      <c r="K51" s="1" t="str">
        <f aca="false">VLOOKUP(C51,Products!$A$2:$E$62,3,FALSE())</f>
        <v>Furniture</v>
      </c>
      <c r="L51" s="1" t="str">
        <f aca="false">TEXT(D51,"yyyy-mm")</f>
        <v>2023-11</v>
      </c>
    </row>
    <row r="52" customFormat="false" ht="15" hidden="false" customHeight="true" outlineLevel="0" collapsed="false">
      <c r="A52" s="1" t="n">
        <v>53</v>
      </c>
      <c r="B52" s="1" t="n">
        <v>421</v>
      </c>
      <c r="C52" s="1" t="n">
        <v>45</v>
      </c>
      <c r="D52" s="1" t="s">
        <v>374</v>
      </c>
      <c r="E52" s="1" t="n">
        <v>5</v>
      </c>
      <c r="F52" s="1" t="n">
        <v>560.01</v>
      </c>
      <c r="G52" s="1" t="n">
        <v>0.1</v>
      </c>
      <c r="H52" s="1" t="s">
        <v>1336</v>
      </c>
      <c r="I52" s="1" t="n">
        <v>2520.04</v>
      </c>
      <c r="J52" s="1" t="str">
        <f aca="false">VLOOKUP(B52,Customers!$A$2:$G$502,6,FALSE())</f>
        <v>Corporate</v>
      </c>
      <c r="K52" s="1" t="str">
        <f aca="false">VLOOKUP(C52,Products!$A$2:$E$62,3,FALSE())</f>
        <v>Software</v>
      </c>
      <c r="L52" s="1" t="str">
        <f aca="false">TEXT(D52,"yyyy-mm")</f>
        <v>2023-10</v>
      </c>
    </row>
    <row r="53" customFormat="false" ht="15" hidden="false" customHeight="true" outlineLevel="0" collapsed="false">
      <c r="A53" s="1" t="n">
        <v>54</v>
      </c>
      <c r="B53" s="1" t="n">
        <v>236</v>
      </c>
      <c r="C53" s="1" t="n">
        <v>23</v>
      </c>
      <c r="D53" s="1" t="s">
        <v>1341</v>
      </c>
      <c r="E53" s="1" t="n">
        <v>4</v>
      </c>
      <c r="F53" s="1" t="n">
        <v>188.73</v>
      </c>
      <c r="G53" s="1" t="n">
        <v>0</v>
      </c>
      <c r="H53" s="1" t="s">
        <v>1336</v>
      </c>
      <c r="I53" s="1" t="n">
        <v>754.92</v>
      </c>
      <c r="J53" s="1" t="str">
        <f aca="false">VLOOKUP(B53,Customers!$A$2:$G$502,6,FALSE())</f>
        <v>Corporate</v>
      </c>
      <c r="K53" s="1" t="str">
        <f aca="false">VLOOKUP(C53,Products!$A$2:$E$62,3,FALSE())</f>
        <v>Office Supplies</v>
      </c>
      <c r="L53" s="1" t="str">
        <f aca="false">TEXT(D53,"yyyy-mm")</f>
        <v>2023-06</v>
      </c>
    </row>
    <row r="54" customFormat="false" ht="15" hidden="false" customHeight="true" outlineLevel="0" collapsed="false">
      <c r="A54" s="1" t="n">
        <v>55</v>
      </c>
      <c r="B54" s="1" t="n">
        <v>154</v>
      </c>
      <c r="C54" s="1" t="n">
        <v>6</v>
      </c>
      <c r="D54" s="1" t="s">
        <v>1367</v>
      </c>
      <c r="E54" s="1" t="n">
        <v>2</v>
      </c>
      <c r="F54" s="1" t="n">
        <v>28.51</v>
      </c>
      <c r="G54" s="1" t="n">
        <v>0.05</v>
      </c>
      <c r="H54" s="1" t="s">
        <v>1336</v>
      </c>
      <c r="I54" s="1" t="n">
        <v>54.17</v>
      </c>
      <c r="J54" s="1" t="str">
        <f aca="false">VLOOKUP(B54,Customers!$A$2:$G$502,6,FALSE())</f>
        <v>Small Business</v>
      </c>
      <c r="K54" s="1" t="str">
        <f aca="false">VLOOKUP(C54,Products!$A$2:$E$62,3,FALSE())</f>
        <v>Electronics</v>
      </c>
      <c r="L54" s="1" t="str">
        <f aca="false">TEXT(D54,"yyyy-mm")</f>
        <v>2024-08</v>
      </c>
    </row>
    <row r="55" customFormat="false" ht="15" hidden="false" customHeight="true" outlineLevel="0" collapsed="false">
      <c r="A55" s="1" t="n">
        <v>56</v>
      </c>
      <c r="B55" s="1" t="n">
        <v>248</v>
      </c>
      <c r="C55" s="1" t="n">
        <v>12</v>
      </c>
      <c r="D55" s="1" t="s">
        <v>1036</v>
      </c>
      <c r="E55" s="1" t="n">
        <v>6</v>
      </c>
      <c r="F55" s="1" t="n">
        <v>179.23</v>
      </c>
      <c r="G55" s="1" t="n">
        <v>0.2</v>
      </c>
      <c r="H55" s="1" t="s">
        <v>1346</v>
      </c>
      <c r="I55" s="1" t="n">
        <v>860.3</v>
      </c>
      <c r="J55" s="1" t="str">
        <f aca="false">VLOOKUP(B55,Customers!$A$2:$G$502,6,FALSE())</f>
        <v>Small Business</v>
      </c>
      <c r="K55" s="1" t="str">
        <f aca="false">VLOOKUP(C55,Products!$A$2:$E$62,3,FALSE())</f>
        <v>Electronics</v>
      </c>
      <c r="L55" s="1" t="str">
        <f aca="false">TEXT(D55,"yyyy-mm")</f>
        <v>2024-05</v>
      </c>
    </row>
    <row r="56" customFormat="false" ht="15" hidden="false" customHeight="true" outlineLevel="0" collapsed="false">
      <c r="A56" s="1" t="n">
        <v>57</v>
      </c>
      <c r="B56" s="1" t="n">
        <v>329</v>
      </c>
      <c r="C56" s="1" t="n">
        <v>20</v>
      </c>
      <c r="D56" s="1" t="s">
        <v>452</v>
      </c>
      <c r="E56" s="1" t="n">
        <v>6</v>
      </c>
      <c r="F56" s="1" t="n">
        <v>426.15</v>
      </c>
      <c r="G56" s="1" t="n">
        <v>0.15</v>
      </c>
      <c r="H56" s="1" t="s">
        <v>1336</v>
      </c>
      <c r="I56" s="1" t="n">
        <v>2173.36</v>
      </c>
      <c r="J56" s="1" t="str">
        <f aca="false">VLOOKUP(B56,Customers!$A$2:$G$502,6,FALSE())</f>
        <v>Consumer</v>
      </c>
      <c r="K56" s="1" t="str">
        <f aca="false">VLOOKUP(C56,Products!$A$2:$E$62,3,FALSE())</f>
        <v>Office Supplies</v>
      </c>
      <c r="L56" s="1" t="str">
        <f aca="false">TEXT(D56,"yyyy-mm")</f>
        <v>2023-02</v>
      </c>
    </row>
    <row r="57" customFormat="false" ht="15" hidden="false" customHeight="true" outlineLevel="0" collapsed="false">
      <c r="A57" s="1" t="n">
        <v>58</v>
      </c>
      <c r="B57" s="1" t="n">
        <v>172</v>
      </c>
      <c r="C57" s="1" t="n">
        <v>23</v>
      </c>
      <c r="D57" s="1" t="s">
        <v>1354</v>
      </c>
      <c r="E57" s="1" t="n">
        <v>1</v>
      </c>
      <c r="F57" s="1" t="n">
        <v>188.73</v>
      </c>
      <c r="G57" s="1" t="n">
        <v>0.05</v>
      </c>
      <c r="H57" s="1" t="s">
        <v>1346</v>
      </c>
      <c r="I57" s="1" t="n">
        <v>179.29</v>
      </c>
      <c r="J57" s="1" t="str">
        <f aca="false">VLOOKUP(B57,Customers!$A$2:$G$502,6,FALSE())</f>
        <v>Consumer</v>
      </c>
      <c r="K57" s="1" t="str">
        <f aca="false">VLOOKUP(C57,Products!$A$2:$E$62,3,FALSE())</f>
        <v>Office Supplies</v>
      </c>
      <c r="L57" s="1" t="str">
        <f aca="false">TEXT(D57,"yyyy-mm")</f>
        <v>2024-03</v>
      </c>
    </row>
    <row r="58" customFormat="false" ht="15" hidden="false" customHeight="true" outlineLevel="0" collapsed="false">
      <c r="A58" s="1" t="n">
        <v>59</v>
      </c>
      <c r="B58" s="1" t="n">
        <v>435</v>
      </c>
      <c r="C58" s="1" t="n">
        <v>39</v>
      </c>
      <c r="D58" s="1" t="s">
        <v>1173</v>
      </c>
      <c r="E58" s="1" t="n">
        <v>9</v>
      </c>
      <c r="F58" s="1" t="n">
        <v>400.02</v>
      </c>
      <c r="G58" s="1" t="n">
        <v>0.15</v>
      </c>
      <c r="H58" s="1" t="s">
        <v>1336</v>
      </c>
      <c r="I58" s="1" t="n">
        <v>3060.15</v>
      </c>
      <c r="J58" s="1" t="str">
        <f aca="false">VLOOKUP(B58,Customers!$A$2:$G$502,6,FALSE())</f>
        <v>Unknown</v>
      </c>
      <c r="K58" s="1" t="str">
        <f aca="false">VLOOKUP(C58,Products!$A$2:$E$62,3,FALSE())</f>
        <v>Software</v>
      </c>
      <c r="L58" s="1" t="str">
        <f aca="false">TEXT(D58,"yyyy-mm")</f>
        <v>2023-01</v>
      </c>
    </row>
    <row r="59" customFormat="false" ht="15" hidden="false" customHeight="true" outlineLevel="0" collapsed="false">
      <c r="A59" s="1" t="n">
        <v>60</v>
      </c>
      <c r="B59" s="1" t="n">
        <v>277</v>
      </c>
      <c r="C59" s="1" t="n">
        <v>37</v>
      </c>
      <c r="D59" s="1" t="s">
        <v>1285</v>
      </c>
      <c r="E59" s="1" t="n">
        <v>6</v>
      </c>
      <c r="F59" s="1" t="n">
        <v>13.95</v>
      </c>
      <c r="G59" s="1" t="n">
        <v>0</v>
      </c>
      <c r="H59" s="1" t="s">
        <v>1336</v>
      </c>
      <c r="I59" s="1" t="n">
        <v>83.7</v>
      </c>
      <c r="J59" s="1" t="str">
        <f aca="false">VLOOKUP(B59,Customers!$A$2:$G$502,6,FALSE())</f>
        <v>Corporate</v>
      </c>
      <c r="K59" s="1" t="str">
        <f aca="false">VLOOKUP(C59,Products!$A$2:$E$62,3,FALSE())</f>
        <v>Software</v>
      </c>
      <c r="L59" s="1" t="str">
        <f aca="false">TEXT(D59,"yyyy-mm")</f>
        <v>2023-06</v>
      </c>
    </row>
    <row r="60" customFormat="false" ht="15" hidden="false" customHeight="true" outlineLevel="0" collapsed="false">
      <c r="A60" s="1" t="n">
        <v>61</v>
      </c>
      <c r="B60" s="1" t="n">
        <v>202</v>
      </c>
      <c r="C60" s="1" t="n">
        <v>29</v>
      </c>
      <c r="D60" s="1" t="s">
        <v>1368</v>
      </c>
      <c r="E60" s="1" t="n">
        <v>3</v>
      </c>
      <c r="F60" s="1" t="n">
        <v>54.62</v>
      </c>
      <c r="G60" s="1" t="n">
        <v>0.1</v>
      </c>
      <c r="H60" s="1" t="s">
        <v>1336</v>
      </c>
      <c r="I60" s="1" t="n">
        <v>147.47</v>
      </c>
      <c r="J60" s="1" t="str">
        <f aca="false">VLOOKUP(B60,Customers!$A$2:$G$502,6,FALSE())</f>
        <v>Corporate</v>
      </c>
      <c r="K60" s="1" t="str">
        <f aca="false">VLOOKUP(C60,Products!$A$2:$E$62,3,FALSE())</f>
        <v>Office Supplies</v>
      </c>
      <c r="L60" s="1" t="str">
        <f aca="false">TEXT(D60,"yyyy-mm")</f>
        <v>2024-09</v>
      </c>
    </row>
    <row r="61" customFormat="false" ht="15" hidden="false" customHeight="true" outlineLevel="0" collapsed="false">
      <c r="A61" s="1" t="n">
        <v>62</v>
      </c>
      <c r="B61" s="1" t="n">
        <v>68</v>
      </c>
      <c r="C61" s="1" t="n">
        <v>22</v>
      </c>
      <c r="D61" s="1" t="s">
        <v>874</v>
      </c>
      <c r="E61" s="1" t="n">
        <v>4</v>
      </c>
      <c r="F61" s="1" t="n">
        <v>38.57</v>
      </c>
      <c r="G61" s="1" t="n">
        <v>0.05</v>
      </c>
      <c r="H61" s="1" t="s">
        <v>1336</v>
      </c>
      <c r="I61" s="1" t="n">
        <v>146.57</v>
      </c>
      <c r="J61" s="1" t="str">
        <f aca="false">VLOOKUP(B61,Customers!$A$2:$G$502,6,FALSE())</f>
        <v>Corporate</v>
      </c>
      <c r="K61" s="1" t="str">
        <f aca="false">VLOOKUP(C61,Products!$A$2:$E$62,3,FALSE())</f>
        <v>Office Supplies</v>
      </c>
      <c r="L61" s="1" t="str">
        <f aca="false">TEXT(D61,"yyyy-mm")</f>
        <v>2023-03</v>
      </c>
    </row>
    <row r="62" customFormat="false" ht="15" hidden="false" customHeight="true" outlineLevel="0" collapsed="false">
      <c r="A62" s="1" t="n">
        <v>63</v>
      </c>
      <c r="B62" s="1" t="n">
        <v>257</v>
      </c>
      <c r="C62" s="1" t="n">
        <v>28</v>
      </c>
      <c r="D62" s="1" t="s">
        <v>1342</v>
      </c>
      <c r="E62" s="1" t="n">
        <v>4</v>
      </c>
      <c r="F62" s="1" t="n">
        <v>505.23</v>
      </c>
      <c r="G62" s="1" t="n">
        <v>0</v>
      </c>
      <c r="H62" s="1" t="s">
        <v>1336</v>
      </c>
      <c r="I62" s="1" t="n">
        <v>2020.92</v>
      </c>
      <c r="J62" s="1" t="str">
        <f aca="false">VLOOKUP(B62,Customers!$A$2:$G$502,6,FALSE())</f>
        <v>Small Business</v>
      </c>
      <c r="K62" s="1" t="str">
        <f aca="false">VLOOKUP(C62,Products!$A$2:$E$62,3,FALSE())</f>
        <v>Office Supplies</v>
      </c>
      <c r="L62" s="1" t="str">
        <f aca="false">TEXT(D62,"yyyy-mm")</f>
        <v>2024-12</v>
      </c>
    </row>
    <row r="63" customFormat="false" ht="15" hidden="false" customHeight="true" outlineLevel="0" collapsed="false">
      <c r="A63" s="1" t="n">
        <v>64</v>
      </c>
      <c r="B63" s="1" t="n">
        <v>293</v>
      </c>
      <c r="C63" s="1" t="n">
        <v>13</v>
      </c>
      <c r="D63" s="1" t="s">
        <v>1369</v>
      </c>
      <c r="E63" s="1" t="n">
        <v>3</v>
      </c>
      <c r="F63" s="1" t="n">
        <v>352.54</v>
      </c>
      <c r="G63" s="1" t="n">
        <v>0.1</v>
      </c>
      <c r="H63" s="1" t="s">
        <v>1370</v>
      </c>
      <c r="I63" s="1" t="n">
        <v>951.86</v>
      </c>
      <c r="J63" s="1" t="str">
        <f aca="false">VLOOKUP(B63,Customers!$A$2:$G$502,6,FALSE())</f>
        <v>Small Business</v>
      </c>
      <c r="K63" s="1" t="str">
        <f aca="false">VLOOKUP(C63,Products!$A$2:$E$62,3,FALSE())</f>
        <v>Electronics</v>
      </c>
      <c r="L63" s="1" t="str">
        <f aca="false">TEXT(D63,"yyyy-mm")</f>
        <v>2024-07</v>
      </c>
    </row>
    <row r="64" customFormat="false" ht="15" hidden="false" customHeight="true" outlineLevel="0" collapsed="false">
      <c r="A64" s="1" t="n">
        <v>65</v>
      </c>
      <c r="B64" s="1" t="n">
        <v>221</v>
      </c>
      <c r="C64" s="1" t="n">
        <v>21</v>
      </c>
      <c r="D64" s="1" t="s">
        <v>513</v>
      </c>
      <c r="E64" s="1" t="n">
        <v>3</v>
      </c>
      <c r="F64" s="1" t="n">
        <v>84.91</v>
      </c>
      <c r="G64" s="1" t="n">
        <v>0.1</v>
      </c>
      <c r="H64" s="1" t="s">
        <v>1336</v>
      </c>
      <c r="I64" s="1" t="n">
        <v>229.26</v>
      </c>
      <c r="J64" s="1" t="str">
        <f aca="false">VLOOKUP(B64,Customers!$A$2:$G$502,6,FALSE())</f>
        <v>Consumer</v>
      </c>
      <c r="K64" s="1" t="str">
        <f aca="false">VLOOKUP(C64,Products!$A$2:$E$62,3,FALSE())</f>
        <v>Office Supplies</v>
      </c>
      <c r="L64" s="1" t="str">
        <f aca="false">TEXT(D64,"yyyy-mm")</f>
        <v>2024-12</v>
      </c>
    </row>
    <row r="65" customFormat="false" ht="15" hidden="false" customHeight="true" outlineLevel="0" collapsed="false">
      <c r="A65" s="1" t="n">
        <v>66</v>
      </c>
      <c r="B65" s="1" t="n">
        <v>165</v>
      </c>
      <c r="C65" s="1" t="n">
        <v>23</v>
      </c>
      <c r="D65" s="1" t="s">
        <v>1371</v>
      </c>
      <c r="E65" s="1" t="n">
        <v>3</v>
      </c>
      <c r="F65" s="1" t="n">
        <v>188.73</v>
      </c>
      <c r="G65" s="1" t="n">
        <v>0.15</v>
      </c>
      <c r="H65" s="1" t="s">
        <v>1336</v>
      </c>
      <c r="I65" s="1" t="n">
        <v>481.26</v>
      </c>
      <c r="J65" s="1" t="str">
        <f aca="false">VLOOKUP(B65,Customers!$A$2:$G$502,6,FALSE())</f>
        <v>Consumer</v>
      </c>
      <c r="K65" s="1" t="str">
        <f aca="false">VLOOKUP(C65,Products!$A$2:$E$62,3,FALSE())</f>
        <v>Office Supplies</v>
      </c>
      <c r="L65" s="1" t="str">
        <f aca="false">TEXT(D65,"yyyy-mm")</f>
        <v>2024-08</v>
      </c>
    </row>
    <row r="66" customFormat="false" ht="15" hidden="false" customHeight="true" outlineLevel="0" collapsed="false">
      <c r="A66" s="1" t="n">
        <v>67</v>
      </c>
      <c r="B66" s="1" t="n">
        <v>412</v>
      </c>
      <c r="C66" s="1" t="n">
        <v>29</v>
      </c>
      <c r="D66" s="1" t="s">
        <v>1052</v>
      </c>
      <c r="E66" s="1" t="n">
        <v>4</v>
      </c>
      <c r="F66" s="1" t="n">
        <v>54.62</v>
      </c>
      <c r="G66" s="1" t="n">
        <v>0</v>
      </c>
      <c r="H66" s="1" t="s">
        <v>1336</v>
      </c>
      <c r="I66" s="1" t="n">
        <v>218.48</v>
      </c>
      <c r="J66" s="1" t="str">
        <f aca="false">VLOOKUP(B66,Customers!$A$2:$G$502,6,FALSE())</f>
        <v>Corporate</v>
      </c>
      <c r="K66" s="1" t="str">
        <f aca="false">VLOOKUP(C66,Products!$A$2:$E$62,3,FALSE())</f>
        <v>Office Supplies</v>
      </c>
      <c r="L66" s="1" t="str">
        <f aca="false">TEXT(D66,"yyyy-mm")</f>
        <v>2024-09</v>
      </c>
    </row>
    <row r="67" customFormat="false" ht="15" hidden="false" customHeight="true" outlineLevel="0" collapsed="false">
      <c r="A67" s="1" t="n">
        <v>68</v>
      </c>
      <c r="B67" s="1" t="n">
        <v>80</v>
      </c>
      <c r="C67" s="1" t="n">
        <v>49</v>
      </c>
      <c r="D67" s="1" t="s">
        <v>1372</v>
      </c>
      <c r="E67" s="1" t="n">
        <v>7</v>
      </c>
      <c r="F67" s="1" t="n">
        <v>325.17</v>
      </c>
      <c r="G67" s="1" t="n">
        <v>0</v>
      </c>
      <c r="H67" s="1" t="s">
        <v>1336</v>
      </c>
      <c r="I67" s="1" t="n">
        <v>2276.19</v>
      </c>
      <c r="J67" s="1" t="str">
        <f aca="false">VLOOKUP(B67,Customers!$A$2:$G$502,6,FALSE())</f>
        <v>Consumer</v>
      </c>
      <c r="K67" s="1" t="str">
        <f aca="false">VLOOKUP(C67,Products!$A$2:$E$62,3,FALSE())</f>
        <v>Software</v>
      </c>
      <c r="L67" s="1" t="str">
        <f aca="false">TEXT(D67,"yyyy-mm")</f>
        <v>2023-03</v>
      </c>
    </row>
    <row r="68" customFormat="false" ht="15" hidden="false" customHeight="true" outlineLevel="0" collapsed="false">
      <c r="A68" s="1" t="n">
        <v>69</v>
      </c>
      <c r="B68" s="1" t="n">
        <v>427</v>
      </c>
      <c r="C68" s="1" t="n">
        <v>53</v>
      </c>
      <c r="D68" s="1" t="s">
        <v>632</v>
      </c>
      <c r="E68" s="1" t="n">
        <v>4</v>
      </c>
      <c r="F68" s="1" t="n">
        <v>509.98</v>
      </c>
      <c r="G68" s="1" t="n">
        <v>0</v>
      </c>
      <c r="H68" s="1" t="s">
        <v>1336</v>
      </c>
      <c r="I68" s="1" t="n">
        <v>2039.92</v>
      </c>
      <c r="J68" s="1" t="str">
        <f aca="false">VLOOKUP(B68,Customers!$A$2:$G$502,6,FALSE())</f>
        <v>Small Business</v>
      </c>
      <c r="K68" s="1" t="str">
        <f aca="false">VLOOKUP(C68,Products!$A$2:$E$62,3,FALSE())</f>
        <v>Software</v>
      </c>
      <c r="L68" s="1" t="str">
        <f aca="false">TEXT(D68,"yyyy-mm")</f>
        <v>2023-10</v>
      </c>
    </row>
    <row r="69" customFormat="false" ht="15" hidden="false" customHeight="true" outlineLevel="0" collapsed="false">
      <c r="A69" s="1" t="n">
        <v>70</v>
      </c>
      <c r="B69" s="1" t="n">
        <v>170</v>
      </c>
      <c r="C69" s="1" t="n">
        <v>14</v>
      </c>
      <c r="D69" s="1" t="s">
        <v>1373</v>
      </c>
      <c r="E69" s="1" t="n">
        <v>9</v>
      </c>
      <c r="F69" s="1" t="n">
        <v>135.27</v>
      </c>
      <c r="G69" s="1" t="n">
        <v>0</v>
      </c>
      <c r="H69" s="1" t="s">
        <v>1336</v>
      </c>
      <c r="I69" s="1" t="n">
        <v>1217.43</v>
      </c>
      <c r="J69" s="1" t="str">
        <f aca="false">VLOOKUP(B69,Customers!$A$2:$G$502,6,FALSE())</f>
        <v>Small Business</v>
      </c>
      <c r="K69" s="1" t="str">
        <f aca="false">VLOOKUP(C69,Products!$A$2:$E$62,3,FALSE())</f>
        <v>Electronics</v>
      </c>
      <c r="L69" s="1" t="str">
        <f aca="false">TEXT(D69,"yyyy-mm")</f>
        <v>2024-07</v>
      </c>
    </row>
    <row r="70" customFormat="false" ht="15" hidden="false" customHeight="true" outlineLevel="0" collapsed="false">
      <c r="A70" s="1" t="n">
        <v>71</v>
      </c>
      <c r="B70" s="1" t="n">
        <v>374</v>
      </c>
      <c r="C70" s="1" t="n">
        <v>10</v>
      </c>
      <c r="D70" s="1" t="s">
        <v>1374</v>
      </c>
      <c r="E70" s="1" t="n">
        <v>1</v>
      </c>
      <c r="F70" s="1" t="n">
        <v>251.58</v>
      </c>
      <c r="G70" s="1" t="n">
        <v>0.15</v>
      </c>
      <c r="H70" s="1" t="s">
        <v>1336</v>
      </c>
      <c r="I70" s="1" t="n">
        <v>213.84</v>
      </c>
      <c r="J70" s="1" t="str">
        <f aca="false">VLOOKUP(B70,Customers!$A$2:$G$502,6,FALSE())</f>
        <v>Consumer</v>
      </c>
      <c r="K70" s="1" t="str">
        <f aca="false">VLOOKUP(C70,Products!$A$2:$E$62,3,FALSE())</f>
        <v>Electronics</v>
      </c>
      <c r="L70" s="1" t="str">
        <f aca="false">TEXT(D70,"yyyy-mm")</f>
        <v>2024-12</v>
      </c>
    </row>
    <row r="71" customFormat="false" ht="15" hidden="false" customHeight="true" outlineLevel="0" collapsed="false">
      <c r="A71" s="1" t="n">
        <v>72</v>
      </c>
      <c r="B71" s="1" t="n">
        <v>131</v>
      </c>
      <c r="C71" s="1" t="n">
        <v>11</v>
      </c>
      <c r="D71" s="1" t="s">
        <v>1356</v>
      </c>
      <c r="E71" s="1" t="n">
        <v>8</v>
      </c>
      <c r="F71" s="1" t="n">
        <v>328.39</v>
      </c>
      <c r="G71" s="1" t="n">
        <v>0</v>
      </c>
      <c r="H71" s="1" t="s">
        <v>1336</v>
      </c>
      <c r="I71" s="1" t="n">
        <v>2627.12</v>
      </c>
      <c r="J71" s="1" t="str">
        <f aca="false">VLOOKUP(B71,Customers!$A$2:$G$502,6,FALSE())</f>
        <v>Corporate</v>
      </c>
      <c r="K71" s="1" t="str">
        <f aca="false">VLOOKUP(C71,Products!$A$2:$E$62,3,FALSE())</f>
        <v>Electronics</v>
      </c>
      <c r="L71" s="1" t="str">
        <f aca="false">TEXT(D71,"yyyy-mm")</f>
        <v>2023-03</v>
      </c>
    </row>
    <row r="72" customFormat="false" ht="15" hidden="false" customHeight="true" outlineLevel="0" collapsed="false">
      <c r="A72" s="1" t="n">
        <v>73</v>
      </c>
      <c r="B72" s="1" t="n">
        <v>484</v>
      </c>
      <c r="C72" s="1" t="n">
        <v>1</v>
      </c>
      <c r="D72" s="1" t="s">
        <v>986</v>
      </c>
      <c r="E72" s="1" t="n">
        <v>7</v>
      </c>
      <c r="F72" s="1" t="n">
        <v>327.32</v>
      </c>
      <c r="G72" s="1" t="n">
        <v>0.05</v>
      </c>
      <c r="H72" s="1" t="s">
        <v>1336</v>
      </c>
      <c r="I72" s="1" t="n">
        <v>2176.68</v>
      </c>
      <c r="J72" s="1" t="str">
        <f aca="false">VLOOKUP(B72,Customers!$A$2:$G$502,6,FALSE())</f>
        <v>Corporate</v>
      </c>
      <c r="K72" s="1" t="str">
        <f aca="false">VLOOKUP(C72,Products!$A$2:$E$62,3,FALSE())</f>
        <v>Electronics</v>
      </c>
      <c r="L72" s="1" t="str">
        <f aca="false">TEXT(D72,"yyyy-mm")</f>
        <v>2023-03</v>
      </c>
    </row>
    <row r="73" customFormat="false" ht="15" hidden="false" customHeight="true" outlineLevel="0" collapsed="false">
      <c r="A73" s="1" t="n">
        <v>74</v>
      </c>
      <c r="B73" s="1" t="n">
        <v>56</v>
      </c>
      <c r="C73" s="1" t="n">
        <v>2</v>
      </c>
      <c r="D73" s="1" t="s">
        <v>1375</v>
      </c>
      <c r="E73" s="1" t="n">
        <v>2</v>
      </c>
      <c r="F73" s="1" t="n">
        <v>498.15</v>
      </c>
      <c r="G73" s="1" t="n">
        <v>0.2</v>
      </c>
      <c r="H73" s="1" t="s">
        <v>1346</v>
      </c>
      <c r="I73" s="1" t="n">
        <v>797.04</v>
      </c>
      <c r="J73" s="1" t="str">
        <f aca="false">VLOOKUP(B73,Customers!$A$2:$G$502,6,FALSE())</f>
        <v>Corporate</v>
      </c>
      <c r="K73" s="1" t="str">
        <f aca="false">VLOOKUP(C73,Products!$A$2:$E$62,3,FALSE())</f>
        <v>Electronics</v>
      </c>
      <c r="L73" s="1" t="str">
        <f aca="false">TEXT(D73,"yyyy-mm")</f>
        <v>2023-10</v>
      </c>
    </row>
    <row r="74" customFormat="false" ht="15" hidden="false" customHeight="true" outlineLevel="0" collapsed="false">
      <c r="A74" s="1" t="n">
        <v>75</v>
      </c>
      <c r="B74" s="1" t="n">
        <v>364</v>
      </c>
      <c r="C74" s="1" t="n">
        <v>7</v>
      </c>
      <c r="D74" s="1" t="s">
        <v>51</v>
      </c>
      <c r="E74" s="1" t="n">
        <v>8</v>
      </c>
      <c r="F74" s="1" t="n">
        <v>460</v>
      </c>
      <c r="G74" s="1" t="n">
        <v>0.05</v>
      </c>
      <c r="H74" s="1" t="s">
        <v>1336</v>
      </c>
      <c r="I74" s="1" t="n">
        <v>3496</v>
      </c>
      <c r="J74" s="1" t="str">
        <f aca="false">VLOOKUP(B74,Customers!$A$2:$G$502,6,FALSE())</f>
        <v>Small Business</v>
      </c>
      <c r="K74" s="1" t="str">
        <f aca="false">VLOOKUP(C74,Products!$A$2:$E$62,3,FALSE())</f>
        <v>Electronics</v>
      </c>
      <c r="L74" s="1" t="str">
        <f aca="false">TEXT(D74,"yyyy-mm")</f>
        <v>2023-11</v>
      </c>
    </row>
    <row r="75" customFormat="false" ht="15" hidden="false" customHeight="true" outlineLevel="0" collapsed="false">
      <c r="A75" s="1" t="n">
        <v>76</v>
      </c>
      <c r="B75" s="1" t="n">
        <v>235</v>
      </c>
      <c r="C75" s="1" t="n">
        <v>36</v>
      </c>
      <c r="D75" s="1" t="s">
        <v>1013</v>
      </c>
      <c r="E75" s="1" t="n">
        <v>1</v>
      </c>
      <c r="F75" s="1" t="n">
        <v>424.45</v>
      </c>
      <c r="G75" s="1" t="n">
        <v>0</v>
      </c>
      <c r="H75" s="1" t="s">
        <v>1336</v>
      </c>
      <c r="I75" s="1" t="n">
        <v>424.45</v>
      </c>
      <c r="J75" s="1" t="str">
        <f aca="false">VLOOKUP(B75,Customers!$A$2:$G$502,6,FALSE())</f>
        <v>Small Business</v>
      </c>
      <c r="K75" s="1" t="str">
        <f aca="false">VLOOKUP(C75,Products!$A$2:$E$62,3,FALSE())</f>
        <v>Software</v>
      </c>
      <c r="L75" s="1" t="str">
        <f aca="false">TEXT(D75,"yyyy-mm")</f>
        <v>2024-12</v>
      </c>
    </row>
    <row r="76" customFormat="false" ht="15" hidden="false" customHeight="true" outlineLevel="0" collapsed="false">
      <c r="A76" s="1" t="n">
        <v>77</v>
      </c>
      <c r="B76" s="1" t="n">
        <v>382</v>
      </c>
      <c r="C76" s="1" t="n">
        <v>11</v>
      </c>
      <c r="D76" s="1" t="s">
        <v>1376</v>
      </c>
      <c r="E76" s="1" t="n">
        <v>9</v>
      </c>
      <c r="F76" s="1" t="n">
        <v>328.39</v>
      </c>
      <c r="G76" s="1" t="n">
        <v>0</v>
      </c>
      <c r="H76" s="1" t="s">
        <v>1336</v>
      </c>
      <c r="I76" s="1" t="n">
        <v>2955.51</v>
      </c>
      <c r="J76" s="1" t="str">
        <f aca="false">VLOOKUP(B76,Customers!$A$2:$G$502,6,FALSE())</f>
        <v>Corporate</v>
      </c>
      <c r="K76" s="1" t="str">
        <f aca="false">VLOOKUP(C76,Products!$A$2:$E$62,3,FALSE())</f>
        <v>Electronics</v>
      </c>
      <c r="L76" s="1" t="str">
        <f aca="false">TEXT(D76,"yyyy-mm")</f>
        <v>2023-01</v>
      </c>
    </row>
    <row r="77" customFormat="false" ht="15" hidden="false" customHeight="true" outlineLevel="0" collapsed="false">
      <c r="A77" s="1" t="n">
        <v>78</v>
      </c>
      <c r="B77" s="1" t="n">
        <v>257</v>
      </c>
      <c r="C77" s="1" t="n">
        <v>18</v>
      </c>
      <c r="D77" s="1" t="s">
        <v>609</v>
      </c>
      <c r="E77" s="1" t="n">
        <v>9</v>
      </c>
      <c r="F77" s="1" t="n">
        <v>747.34</v>
      </c>
      <c r="G77" s="1" t="n">
        <v>0.15</v>
      </c>
      <c r="H77" s="1" t="s">
        <v>1336</v>
      </c>
      <c r="I77" s="1" t="n">
        <v>5717.15</v>
      </c>
      <c r="J77" s="1" t="str">
        <f aca="false">VLOOKUP(B77,Customers!$A$2:$G$502,6,FALSE())</f>
        <v>Small Business</v>
      </c>
      <c r="K77" s="1" t="str">
        <f aca="false">VLOOKUP(C77,Products!$A$2:$E$62,3,FALSE())</f>
        <v>Electronics</v>
      </c>
      <c r="L77" s="1" t="str">
        <f aca="false">TEXT(D77,"yyyy-mm")</f>
        <v>2023-03</v>
      </c>
    </row>
    <row r="78" customFormat="false" ht="15" hidden="false" customHeight="true" outlineLevel="0" collapsed="false">
      <c r="A78" s="1" t="n">
        <v>79</v>
      </c>
      <c r="B78" s="1" t="n">
        <v>484</v>
      </c>
      <c r="C78" s="1" t="n">
        <v>36</v>
      </c>
      <c r="D78" s="1" t="s">
        <v>1377</v>
      </c>
      <c r="E78" s="1" t="n">
        <v>2</v>
      </c>
      <c r="F78" s="1" t="n">
        <v>424.45</v>
      </c>
      <c r="G78" s="1" t="n">
        <v>0</v>
      </c>
      <c r="H78" s="1" t="s">
        <v>1336</v>
      </c>
      <c r="I78" s="1" t="n">
        <v>848.9</v>
      </c>
      <c r="J78" s="1" t="str">
        <f aca="false">VLOOKUP(B78,Customers!$A$2:$G$502,6,FALSE())</f>
        <v>Corporate</v>
      </c>
      <c r="K78" s="1" t="str">
        <f aca="false">VLOOKUP(C78,Products!$A$2:$E$62,3,FALSE())</f>
        <v>Software</v>
      </c>
      <c r="L78" s="1" t="str">
        <f aca="false">TEXT(D78,"yyyy-mm")</f>
        <v>2023-10</v>
      </c>
    </row>
    <row r="79" customFormat="false" ht="15" hidden="false" customHeight="true" outlineLevel="0" collapsed="false">
      <c r="A79" s="1" t="n">
        <v>80</v>
      </c>
      <c r="B79" s="1" t="n">
        <v>196</v>
      </c>
      <c r="C79" s="1" t="n">
        <v>34</v>
      </c>
      <c r="D79" s="1" t="s">
        <v>1378</v>
      </c>
      <c r="E79" s="1" t="n">
        <v>7</v>
      </c>
      <c r="F79" s="1" t="n">
        <v>116.85</v>
      </c>
      <c r="G79" s="1" t="n">
        <v>0.1</v>
      </c>
      <c r="H79" s="1" t="s">
        <v>1336</v>
      </c>
      <c r="I79" s="1" t="n">
        <v>736.16</v>
      </c>
      <c r="J79" s="1" t="str">
        <f aca="false">VLOOKUP(B79,Customers!$A$2:$G$502,6,FALSE())</f>
        <v>Corporate</v>
      </c>
      <c r="K79" s="1" t="str">
        <f aca="false">VLOOKUP(C79,Products!$A$2:$E$62,3,FALSE())</f>
        <v>Office Supplies</v>
      </c>
      <c r="L79" s="1" t="str">
        <f aca="false">TEXT(D79,"yyyy-mm")</f>
        <v>2024-11</v>
      </c>
    </row>
    <row r="80" customFormat="false" ht="15" hidden="false" customHeight="true" outlineLevel="0" collapsed="false">
      <c r="A80" s="1" t="n">
        <v>81</v>
      </c>
      <c r="B80" s="1" t="n">
        <v>219</v>
      </c>
      <c r="C80" s="1" t="n">
        <v>20</v>
      </c>
      <c r="D80" s="1" t="s">
        <v>1379</v>
      </c>
      <c r="E80" s="1" t="n">
        <v>3</v>
      </c>
      <c r="F80" s="1" t="n">
        <v>426.15</v>
      </c>
      <c r="G80" s="1" t="n">
        <v>0</v>
      </c>
      <c r="H80" s="1" t="s">
        <v>1336</v>
      </c>
      <c r="I80" s="1" t="n">
        <v>1278.45</v>
      </c>
      <c r="J80" s="1" t="str">
        <f aca="false">VLOOKUP(B80,Customers!$A$2:$G$502,6,FALSE())</f>
        <v>Small Business</v>
      </c>
      <c r="K80" s="1" t="str">
        <f aca="false">VLOOKUP(C80,Products!$A$2:$E$62,3,FALSE())</f>
        <v>Office Supplies</v>
      </c>
      <c r="L80" s="1" t="str">
        <f aca="false">TEXT(D80,"yyyy-mm")</f>
        <v>2024-09</v>
      </c>
    </row>
    <row r="81" customFormat="false" ht="15" hidden="false" customHeight="true" outlineLevel="0" collapsed="false">
      <c r="A81" s="1" t="n">
        <v>82</v>
      </c>
      <c r="B81" s="1" t="n">
        <v>351</v>
      </c>
      <c r="C81" s="1" t="n">
        <v>52</v>
      </c>
      <c r="D81" s="1" t="s">
        <v>1380</v>
      </c>
      <c r="E81" s="1" t="n">
        <v>7</v>
      </c>
      <c r="F81" s="1" t="n">
        <v>207.67</v>
      </c>
      <c r="G81" s="1" t="n">
        <v>0.2</v>
      </c>
      <c r="H81" s="1" t="s">
        <v>1336</v>
      </c>
      <c r="I81" s="1" t="n">
        <v>1162.95</v>
      </c>
      <c r="J81" s="1" t="str">
        <f aca="false">VLOOKUP(B81,Customers!$A$2:$G$502,6,FALSE())</f>
        <v>Small Business</v>
      </c>
      <c r="K81" s="1" t="str">
        <f aca="false">VLOOKUP(C81,Products!$A$2:$E$62,3,FALSE())</f>
        <v>Software</v>
      </c>
      <c r="L81" s="1" t="str">
        <f aca="false">TEXT(D81,"yyyy-mm")</f>
        <v>2023-07</v>
      </c>
    </row>
    <row r="82" customFormat="false" ht="15" hidden="false" customHeight="true" outlineLevel="0" collapsed="false">
      <c r="A82" s="1" t="n">
        <v>83</v>
      </c>
      <c r="B82" s="1" t="n">
        <v>221</v>
      </c>
      <c r="C82" s="1" t="n">
        <v>59</v>
      </c>
      <c r="D82" s="1" t="s">
        <v>309</v>
      </c>
      <c r="E82" s="1" t="n">
        <v>9</v>
      </c>
      <c r="F82" s="1" t="n">
        <v>438.89</v>
      </c>
      <c r="G82" s="1" t="n">
        <v>0.15</v>
      </c>
      <c r="H82" s="1" t="s">
        <v>1346</v>
      </c>
      <c r="I82" s="1" t="n">
        <v>3357.51</v>
      </c>
      <c r="J82" s="1" t="str">
        <f aca="false">VLOOKUP(B82,Customers!$A$2:$G$502,6,FALSE())</f>
        <v>Consumer</v>
      </c>
      <c r="K82" s="1" t="str">
        <f aca="false">VLOOKUP(C82,Products!$A$2:$E$62,3,FALSE())</f>
        <v>Furniture</v>
      </c>
      <c r="L82" s="1" t="str">
        <f aca="false">TEXT(D82,"yyyy-mm")</f>
        <v>2023-05</v>
      </c>
    </row>
    <row r="83" customFormat="false" ht="15" hidden="false" customHeight="true" outlineLevel="0" collapsed="false">
      <c r="A83" s="1" t="n">
        <v>84</v>
      </c>
      <c r="B83" s="1" t="n">
        <v>486</v>
      </c>
      <c r="C83" s="1" t="n">
        <v>47</v>
      </c>
      <c r="D83" s="1" t="s">
        <v>673</v>
      </c>
      <c r="E83" s="1" t="n">
        <v>4</v>
      </c>
      <c r="F83" s="1" t="n">
        <v>506.19</v>
      </c>
      <c r="G83" s="1" t="n">
        <v>0</v>
      </c>
      <c r="H83" s="1" t="s">
        <v>1336</v>
      </c>
      <c r="I83" s="1" t="n">
        <v>2024.76</v>
      </c>
      <c r="J83" s="1" t="str">
        <f aca="false">VLOOKUP(B83,Customers!$A$2:$G$502,6,FALSE())</f>
        <v>Corporate</v>
      </c>
      <c r="K83" s="1" t="str">
        <f aca="false">VLOOKUP(C83,Products!$A$2:$E$62,3,FALSE())</f>
        <v>Software</v>
      </c>
      <c r="L83" s="1" t="str">
        <f aca="false">TEXT(D83,"yyyy-mm")</f>
        <v>2023-05</v>
      </c>
    </row>
    <row r="84" customFormat="false" ht="15" hidden="false" customHeight="true" outlineLevel="0" collapsed="false">
      <c r="A84" s="1" t="n">
        <v>85</v>
      </c>
      <c r="B84" s="1" t="n">
        <v>451</v>
      </c>
      <c r="C84" s="1" t="n">
        <v>27</v>
      </c>
      <c r="D84" s="1" t="s">
        <v>1381</v>
      </c>
      <c r="E84" s="1" t="n">
        <v>1</v>
      </c>
      <c r="F84" s="1" t="n">
        <v>772.58</v>
      </c>
      <c r="G84" s="1" t="n">
        <v>0</v>
      </c>
      <c r="H84" s="1" t="s">
        <v>1336</v>
      </c>
      <c r="I84" s="1" t="n">
        <v>772.58</v>
      </c>
      <c r="J84" s="1" t="str">
        <f aca="false">VLOOKUP(B84,Customers!$A$2:$G$502,6,FALSE())</f>
        <v>Corporate</v>
      </c>
      <c r="K84" s="1" t="str">
        <f aca="false">VLOOKUP(C84,Products!$A$2:$E$62,3,FALSE())</f>
        <v>Office Supplies</v>
      </c>
      <c r="L84" s="1" t="str">
        <f aca="false">TEXT(D84,"yyyy-mm")</f>
        <v>2024-02</v>
      </c>
    </row>
    <row r="85" customFormat="false" ht="15" hidden="false" customHeight="true" outlineLevel="0" collapsed="false">
      <c r="A85" s="1" t="n">
        <v>86</v>
      </c>
      <c r="B85" s="1" t="n">
        <v>141</v>
      </c>
      <c r="C85" s="1" t="n">
        <v>10</v>
      </c>
      <c r="D85" s="1" t="s">
        <v>998</v>
      </c>
      <c r="E85" s="1" t="n">
        <v>2</v>
      </c>
      <c r="F85" s="1" t="n">
        <v>251.58</v>
      </c>
      <c r="G85" s="1" t="n">
        <v>0</v>
      </c>
      <c r="H85" s="1" t="s">
        <v>1336</v>
      </c>
      <c r="I85" s="1" t="n">
        <v>503.16</v>
      </c>
      <c r="J85" s="1" t="str">
        <f aca="false">VLOOKUP(B85,Customers!$A$2:$G$502,6,FALSE())</f>
        <v>Small Business</v>
      </c>
      <c r="K85" s="1" t="str">
        <f aca="false">VLOOKUP(C85,Products!$A$2:$E$62,3,FALSE())</f>
        <v>Electronics</v>
      </c>
      <c r="L85" s="1" t="str">
        <f aca="false">TEXT(D85,"yyyy-mm")</f>
        <v>2023-07</v>
      </c>
    </row>
    <row r="86" customFormat="false" ht="15" hidden="false" customHeight="true" outlineLevel="0" collapsed="false">
      <c r="A86" s="1" t="n">
        <v>87</v>
      </c>
      <c r="B86" s="1" t="n">
        <v>311</v>
      </c>
      <c r="C86" s="1" t="n">
        <v>37</v>
      </c>
      <c r="D86" s="1" t="s">
        <v>1382</v>
      </c>
      <c r="E86" s="1" t="n">
        <v>1</v>
      </c>
      <c r="F86" s="1" t="n">
        <v>13.95</v>
      </c>
      <c r="G86" s="1" t="n">
        <v>0</v>
      </c>
      <c r="H86" s="1" t="s">
        <v>1336</v>
      </c>
      <c r="I86" s="1" t="n">
        <v>13.95</v>
      </c>
      <c r="J86" s="1" t="str">
        <f aca="false">VLOOKUP(B86,Customers!$A$2:$G$502,6,FALSE())</f>
        <v>Consumer</v>
      </c>
      <c r="K86" s="1" t="str">
        <f aca="false">VLOOKUP(C86,Products!$A$2:$E$62,3,FALSE())</f>
        <v>Software</v>
      </c>
      <c r="L86" s="1" t="str">
        <f aca="false">TEXT(D86,"yyyy-mm")</f>
        <v>2024-09</v>
      </c>
    </row>
    <row r="87" customFormat="false" ht="15" hidden="false" customHeight="true" outlineLevel="0" collapsed="false">
      <c r="A87" s="1" t="n">
        <v>88</v>
      </c>
      <c r="B87" s="1" t="n">
        <v>400</v>
      </c>
      <c r="C87" s="1" t="n">
        <v>31</v>
      </c>
      <c r="D87" s="1" t="s">
        <v>133</v>
      </c>
      <c r="E87" s="1" t="n">
        <v>5</v>
      </c>
      <c r="F87" s="1" t="n">
        <v>224.86</v>
      </c>
      <c r="G87" s="1" t="n">
        <v>0.1</v>
      </c>
      <c r="H87" s="1" t="s">
        <v>1336</v>
      </c>
      <c r="I87" s="1" t="n">
        <v>1011.87</v>
      </c>
      <c r="J87" s="1" t="str">
        <f aca="false">VLOOKUP(B87,Customers!$A$2:$G$502,6,FALSE())</f>
        <v>Small Business</v>
      </c>
      <c r="K87" s="1" t="str">
        <f aca="false">VLOOKUP(C87,Products!$A$2:$E$62,3,FALSE())</f>
        <v>Office Supplies</v>
      </c>
      <c r="L87" s="1" t="str">
        <f aca="false">TEXT(D87,"yyyy-mm")</f>
        <v>2023-05</v>
      </c>
    </row>
    <row r="88" customFormat="false" ht="15" hidden="false" customHeight="true" outlineLevel="0" collapsed="false">
      <c r="A88" s="1" t="n">
        <v>89</v>
      </c>
      <c r="B88" s="1" t="n">
        <v>199</v>
      </c>
      <c r="C88" s="1" t="n">
        <v>32</v>
      </c>
      <c r="D88" s="1" t="s">
        <v>1383</v>
      </c>
      <c r="E88" s="1" t="n">
        <v>5</v>
      </c>
      <c r="F88" s="1" t="n">
        <v>492.27</v>
      </c>
      <c r="G88" s="1" t="n">
        <v>0</v>
      </c>
      <c r="H88" s="1" t="s">
        <v>1336</v>
      </c>
      <c r="I88" s="1" t="n">
        <v>2461.35</v>
      </c>
      <c r="J88" s="1" t="str">
        <f aca="false">VLOOKUP(B88,Customers!$A$2:$G$502,6,FALSE())</f>
        <v>Corporate</v>
      </c>
      <c r="K88" s="1" t="str">
        <f aca="false">VLOOKUP(C88,Products!$A$2:$E$62,3,FALSE())</f>
        <v>Office Supplies</v>
      </c>
      <c r="L88" s="1" t="str">
        <f aca="false">TEXT(D88,"yyyy-mm")</f>
        <v>2024-04</v>
      </c>
    </row>
    <row r="89" customFormat="false" ht="15" hidden="false" customHeight="true" outlineLevel="0" collapsed="false">
      <c r="A89" s="1" t="n">
        <v>90</v>
      </c>
      <c r="B89" s="1" t="n">
        <v>474</v>
      </c>
      <c r="C89" s="1" t="n">
        <v>18</v>
      </c>
      <c r="D89" s="1" t="s">
        <v>1097</v>
      </c>
      <c r="E89" s="1" t="n">
        <v>7</v>
      </c>
      <c r="F89" s="1" t="n">
        <v>747.34</v>
      </c>
      <c r="G89" s="1" t="n">
        <v>0</v>
      </c>
      <c r="H89" s="1" t="s">
        <v>1336</v>
      </c>
      <c r="I89" s="1" t="n">
        <v>5231.38</v>
      </c>
      <c r="J89" s="1" t="str">
        <f aca="false">VLOOKUP(B89,Customers!$A$2:$G$502,6,FALSE())</f>
        <v>Consumer</v>
      </c>
      <c r="K89" s="1" t="str">
        <f aca="false">VLOOKUP(C89,Products!$A$2:$E$62,3,FALSE())</f>
        <v>Electronics</v>
      </c>
      <c r="L89" s="1" t="str">
        <f aca="false">TEXT(D89,"yyyy-mm")</f>
        <v>2024-02</v>
      </c>
    </row>
    <row r="90" customFormat="false" ht="15" hidden="false" customHeight="true" outlineLevel="0" collapsed="false">
      <c r="A90" s="1" t="n">
        <v>91</v>
      </c>
      <c r="B90" s="1" t="n">
        <v>475</v>
      </c>
      <c r="C90" s="1" t="n">
        <v>29</v>
      </c>
      <c r="D90" s="1" t="s">
        <v>1363</v>
      </c>
      <c r="E90" s="1" t="n">
        <v>9</v>
      </c>
      <c r="F90" s="1" t="n">
        <v>54.62</v>
      </c>
      <c r="G90" s="1" t="n">
        <v>0.05</v>
      </c>
      <c r="H90" s="1" t="s">
        <v>1336</v>
      </c>
      <c r="I90" s="1" t="n">
        <v>467</v>
      </c>
      <c r="J90" s="1" t="str">
        <f aca="false">VLOOKUP(B90,Customers!$A$2:$G$502,6,FALSE())</f>
        <v>Small Business</v>
      </c>
      <c r="K90" s="1" t="str">
        <f aca="false">VLOOKUP(C90,Products!$A$2:$E$62,3,FALSE())</f>
        <v>Office Supplies</v>
      </c>
      <c r="L90" s="1" t="str">
        <f aca="false">TEXT(D90,"yyyy-mm")</f>
        <v>2024-09</v>
      </c>
    </row>
    <row r="91" customFormat="false" ht="15" hidden="false" customHeight="true" outlineLevel="0" collapsed="false">
      <c r="A91" s="1" t="n">
        <v>92</v>
      </c>
      <c r="B91" s="1" t="n">
        <v>398</v>
      </c>
      <c r="C91" s="1" t="n">
        <v>3</v>
      </c>
      <c r="D91" s="1" t="s">
        <v>1384</v>
      </c>
      <c r="E91" s="1" t="n">
        <v>9</v>
      </c>
      <c r="F91" s="1" t="n">
        <v>89.39</v>
      </c>
      <c r="G91" s="1" t="n">
        <v>0.15</v>
      </c>
      <c r="H91" s="1" t="s">
        <v>1336</v>
      </c>
      <c r="I91" s="1" t="n">
        <v>683.83</v>
      </c>
      <c r="J91" s="1" t="str">
        <f aca="false">VLOOKUP(B91,Customers!$A$2:$G$502,6,FALSE())</f>
        <v>Small Business</v>
      </c>
      <c r="K91" s="1" t="str">
        <f aca="false">VLOOKUP(C91,Products!$A$2:$E$62,3,FALSE())</f>
        <v>Electronics</v>
      </c>
      <c r="L91" s="1" t="str">
        <f aca="false">TEXT(D91,"yyyy-mm")</f>
        <v>2024-09</v>
      </c>
    </row>
    <row r="92" customFormat="false" ht="15" hidden="false" customHeight="true" outlineLevel="0" collapsed="false">
      <c r="A92" s="1" t="n">
        <v>93</v>
      </c>
      <c r="B92" s="1" t="n">
        <v>293</v>
      </c>
      <c r="C92" s="1" t="n">
        <v>39</v>
      </c>
      <c r="D92" s="1" t="s">
        <v>662</v>
      </c>
      <c r="E92" s="1" t="n">
        <v>3</v>
      </c>
      <c r="F92" s="1" t="n">
        <v>400.02</v>
      </c>
      <c r="G92" s="1" t="n">
        <v>0.1</v>
      </c>
      <c r="H92" s="1" t="s">
        <v>1336</v>
      </c>
      <c r="I92" s="1" t="n">
        <v>1080.05</v>
      </c>
      <c r="J92" s="1" t="str">
        <f aca="false">VLOOKUP(B92,Customers!$A$2:$G$502,6,FALSE())</f>
        <v>Small Business</v>
      </c>
      <c r="K92" s="1" t="str">
        <f aca="false">VLOOKUP(C92,Products!$A$2:$E$62,3,FALSE())</f>
        <v>Software</v>
      </c>
      <c r="L92" s="1" t="str">
        <f aca="false">TEXT(D92,"yyyy-mm")</f>
        <v>2024-07</v>
      </c>
    </row>
    <row r="93" customFormat="false" ht="15" hidden="false" customHeight="true" outlineLevel="0" collapsed="false">
      <c r="A93" s="1" t="n">
        <v>94</v>
      </c>
      <c r="B93" s="1" t="n">
        <v>234</v>
      </c>
      <c r="C93" s="1" t="n">
        <v>53</v>
      </c>
      <c r="D93" s="1" t="s">
        <v>1355</v>
      </c>
      <c r="E93" s="1" t="n">
        <v>3</v>
      </c>
      <c r="F93" s="1" t="n">
        <v>509.98</v>
      </c>
      <c r="G93" s="1" t="n">
        <v>0</v>
      </c>
      <c r="H93" s="1" t="s">
        <v>1336</v>
      </c>
      <c r="I93" s="1" t="n">
        <v>1529.94</v>
      </c>
      <c r="J93" s="1" t="str">
        <f aca="false">VLOOKUP(B93,Customers!$A$2:$G$502,6,FALSE())</f>
        <v>Small Business</v>
      </c>
      <c r="K93" s="1" t="str">
        <f aca="false">VLOOKUP(C93,Products!$A$2:$E$62,3,FALSE())</f>
        <v>Software</v>
      </c>
      <c r="L93" s="1" t="str">
        <f aca="false">TEXT(D93,"yyyy-mm")</f>
        <v>2023-02</v>
      </c>
    </row>
    <row r="94" customFormat="false" ht="15" hidden="false" customHeight="true" outlineLevel="0" collapsed="false">
      <c r="A94" s="1" t="n">
        <v>95</v>
      </c>
      <c r="B94" s="1" t="n">
        <v>265</v>
      </c>
      <c r="C94" s="1" t="n">
        <v>49</v>
      </c>
      <c r="D94" s="1" t="s">
        <v>717</v>
      </c>
      <c r="E94" s="1" t="n">
        <v>3</v>
      </c>
      <c r="F94" s="1" t="n">
        <v>325.17</v>
      </c>
      <c r="G94" s="1" t="n">
        <v>0</v>
      </c>
      <c r="H94" s="1" t="s">
        <v>1336</v>
      </c>
      <c r="I94" s="1" t="n">
        <v>975.51</v>
      </c>
      <c r="J94" s="1" t="str">
        <f aca="false">VLOOKUP(B94,Customers!$A$2:$G$502,6,FALSE())</f>
        <v>Corporate</v>
      </c>
      <c r="K94" s="1" t="str">
        <f aca="false">VLOOKUP(C94,Products!$A$2:$E$62,3,FALSE())</f>
        <v>Software</v>
      </c>
      <c r="L94" s="1" t="str">
        <f aca="false">TEXT(D94,"yyyy-mm")</f>
        <v>2024-10</v>
      </c>
    </row>
    <row r="95" customFormat="false" ht="15" hidden="false" customHeight="true" outlineLevel="0" collapsed="false">
      <c r="A95" s="1" t="n">
        <v>96</v>
      </c>
      <c r="B95" s="1" t="n">
        <v>147</v>
      </c>
      <c r="C95" s="1" t="n">
        <v>30</v>
      </c>
      <c r="D95" s="1" t="s">
        <v>887</v>
      </c>
      <c r="E95" s="1" t="n">
        <v>4</v>
      </c>
      <c r="F95" s="1" t="n">
        <v>33.32</v>
      </c>
      <c r="G95" s="1" t="n">
        <v>0.05</v>
      </c>
      <c r="H95" s="1" t="s">
        <v>1336</v>
      </c>
      <c r="I95" s="1" t="n">
        <v>126.62</v>
      </c>
      <c r="J95" s="1" t="str">
        <f aca="false">VLOOKUP(B95,Customers!$A$2:$G$502,6,FALSE())</f>
        <v>Small Business</v>
      </c>
      <c r="K95" s="1" t="str">
        <f aca="false">VLOOKUP(C95,Products!$A$2:$E$62,3,FALSE())</f>
        <v>Office Supplies</v>
      </c>
      <c r="L95" s="1" t="str">
        <f aca="false">TEXT(D95,"yyyy-mm")</f>
        <v>2023-06</v>
      </c>
    </row>
    <row r="96" customFormat="false" ht="15" hidden="false" customHeight="true" outlineLevel="0" collapsed="false">
      <c r="A96" s="1" t="n">
        <v>97</v>
      </c>
      <c r="B96" s="1" t="n">
        <v>238</v>
      </c>
      <c r="C96" s="1" t="n">
        <v>54</v>
      </c>
      <c r="D96" s="1" t="s">
        <v>245</v>
      </c>
      <c r="E96" s="1" t="n">
        <v>8</v>
      </c>
      <c r="F96" s="1" t="n">
        <v>312.01</v>
      </c>
      <c r="G96" s="1" t="n">
        <v>0.05</v>
      </c>
      <c r="H96" s="1" t="s">
        <v>1336</v>
      </c>
      <c r="I96" s="1" t="n">
        <v>2371.28</v>
      </c>
      <c r="J96" s="1" t="str">
        <f aca="false">VLOOKUP(B96,Customers!$A$2:$G$502,6,FALSE())</f>
        <v>Corporate</v>
      </c>
      <c r="K96" s="1" t="str">
        <f aca="false">VLOOKUP(C96,Products!$A$2:$E$62,3,FALSE())</f>
        <v>Software</v>
      </c>
      <c r="L96" s="1" t="str">
        <f aca="false">TEXT(D96,"yyyy-mm")</f>
        <v>2024-10</v>
      </c>
    </row>
    <row r="97" customFormat="false" ht="15" hidden="false" customHeight="true" outlineLevel="0" collapsed="false">
      <c r="A97" s="1" t="n">
        <v>98</v>
      </c>
      <c r="B97" s="1" t="n">
        <v>458</v>
      </c>
      <c r="C97" s="1" t="n">
        <v>45</v>
      </c>
      <c r="D97" s="1" t="s">
        <v>828</v>
      </c>
      <c r="E97" s="1" t="n">
        <v>6</v>
      </c>
      <c r="F97" s="1" t="n">
        <v>560.01</v>
      </c>
      <c r="G97" s="1" t="n">
        <v>0</v>
      </c>
      <c r="H97" s="1" t="s">
        <v>1336</v>
      </c>
      <c r="I97" s="1" t="n">
        <v>3360.06</v>
      </c>
      <c r="J97" s="1" t="str">
        <f aca="false">VLOOKUP(B97,Customers!$A$2:$G$502,6,FALSE())</f>
        <v>Small Business</v>
      </c>
      <c r="K97" s="1" t="str">
        <f aca="false">VLOOKUP(C97,Products!$A$2:$E$62,3,FALSE())</f>
        <v>Software</v>
      </c>
      <c r="L97" s="1" t="str">
        <f aca="false">TEXT(D97,"yyyy-mm")</f>
        <v>2024-07</v>
      </c>
    </row>
    <row r="98" customFormat="false" ht="15" hidden="false" customHeight="true" outlineLevel="0" collapsed="false">
      <c r="A98" s="1" t="n">
        <v>99</v>
      </c>
      <c r="B98" s="1" t="n">
        <v>460</v>
      </c>
      <c r="C98" s="1" t="n">
        <v>46</v>
      </c>
      <c r="D98" s="1" t="s">
        <v>516</v>
      </c>
      <c r="E98" s="1" t="n">
        <v>8</v>
      </c>
      <c r="F98" s="1" t="n">
        <v>94.92</v>
      </c>
      <c r="G98" s="1" t="n">
        <v>0.05</v>
      </c>
      <c r="H98" s="1" t="s">
        <v>1336</v>
      </c>
      <c r="I98" s="1" t="n">
        <v>721.39</v>
      </c>
      <c r="J98" s="1" t="str">
        <f aca="false">VLOOKUP(B98,Customers!$A$2:$G$502,6,FALSE())</f>
        <v>Corporate</v>
      </c>
      <c r="K98" s="1" t="str">
        <f aca="false">VLOOKUP(C98,Products!$A$2:$E$62,3,FALSE())</f>
        <v>Software</v>
      </c>
      <c r="L98" s="1" t="str">
        <f aca="false">TEXT(D98,"yyyy-mm")</f>
        <v>2023-07</v>
      </c>
    </row>
    <row r="99" customFormat="false" ht="15" hidden="false" customHeight="true" outlineLevel="0" collapsed="false">
      <c r="A99" s="1" t="n">
        <v>100</v>
      </c>
      <c r="B99" s="1" t="n">
        <v>84</v>
      </c>
      <c r="C99" s="1" t="n">
        <v>46</v>
      </c>
      <c r="D99" s="1" t="s">
        <v>1385</v>
      </c>
      <c r="E99" s="1" t="n">
        <v>1</v>
      </c>
      <c r="F99" s="1" t="n">
        <v>94.92</v>
      </c>
      <c r="G99" s="1" t="n">
        <v>0</v>
      </c>
      <c r="H99" s="1" t="s">
        <v>1336</v>
      </c>
      <c r="I99" s="1" t="n">
        <v>94.92</v>
      </c>
      <c r="J99" s="1" t="str">
        <f aca="false">VLOOKUP(B99,Customers!$A$2:$G$502,6,FALSE())</f>
        <v>Corporate</v>
      </c>
      <c r="K99" s="1" t="str">
        <f aca="false">VLOOKUP(C99,Products!$A$2:$E$62,3,FALSE())</f>
        <v>Software</v>
      </c>
      <c r="L99" s="1" t="str">
        <f aca="false">TEXT(D99,"yyyy-mm")</f>
        <v>2023-05</v>
      </c>
    </row>
    <row r="100" customFormat="false" ht="15" hidden="false" customHeight="true" outlineLevel="0" collapsed="false">
      <c r="A100" s="1" t="n">
        <v>101</v>
      </c>
      <c r="B100" s="1" t="n">
        <v>197</v>
      </c>
      <c r="C100" s="1" t="n">
        <v>47</v>
      </c>
      <c r="D100" s="1" t="s">
        <v>1133</v>
      </c>
      <c r="E100" s="1" t="n">
        <v>8</v>
      </c>
      <c r="F100" s="1" t="n">
        <v>506.19</v>
      </c>
      <c r="G100" s="1" t="n">
        <v>0.1</v>
      </c>
      <c r="H100" s="1" t="s">
        <v>1370</v>
      </c>
      <c r="I100" s="1" t="n">
        <v>3644.57</v>
      </c>
      <c r="J100" s="1" t="str">
        <f aca="false">VLOOKUP(B100,Customers!$A$2:$G$502,6,FALSE())</f>
        <v>Small Business</v>
      </c>
      <c r="K100" s="1" t="str">
        <f aca="false">VLOOKUP(C100,Products!$A$2:$E$62,3,FALSE())</f>
        <v>Software</v>
      </c>
      <c r="L100" s="1" t="str">
        <f aca="false">TEXT(D100,"yyyy-mm")</f>
        <v>2024-06</v>
      </c>
    </row>
    <row r="101" customFormat="false" ht="15" hidden="false" customHeight="true" outlineLevel="0" collapsed="false">
      <c r="A101" s="1" t="n">
        <v>102</v>
      </c>
      <c r="B101" s="1" t="n">
        <v>468</v>
      </c>
      <c r="C101" s="1" t="n">
        <v>22</v>
      </c>
      <c r="D101" s="1" t="s">
        <v>732</v>
      </c>
      <c r="E101" s="1" t="n">
        <v>4</v>
      </c>
      <c r="F101" s="1" t="n">
        <v>38.57</v>
      </c>
      <c r="G101" s="1" t="n">
        <v>0.2</v>
      </c>
      <c r="H101" s="1" t="s">
        <v>1336</v>
      </c>
      <c r="I101" s="1" t="n">
        <v>123.42</v>
      </c>
      <c r="J101" s="1" t="str">
        <f aca="false">VLOOKUP(B101,Customers!$A$2:$G$502,6,FALSE())</f>
        <v>Small Business</v>
      </c>
      <c r="K101" s="1" t="str">
        <f aca="false">VLOOKUP(C101,Products!$A$2:$E$62,3,FALSE())</f>
        <v>Office Supplies</v>
      </c>
      <c r="L101" s="1" t="str">
        <f aca="false">TEXT(D101,"yyyy-mm")</f>
        <v>2024-08</v>
      </c>
    </row>
    <row r="102" customFormat="false" ht="15" hidden="false" customHeight="true" outlineLevel="0" collapsed="false">
      <c r="A102" s="1" t="n">
        <v>103</v>
      </c>
      <c r="B102" s="1" t="n">
        <v>365</v>
      </c>
      <c r="C102" s="1" t="n">
        <v>4</v>
      </c>
      <c r="D102" s="1" t="s">
        <v>120</v>
      </c>
      <c r="E102" s="1" t="n">
        <v>1</v>
      </c>
      <c r="F102" s="1" t="n">
        <v>56.24</v>
      </c>
      <c r="G102" s="1" t="n">
        <v>0</v>
      </c>
      <c r="H102" s="1" t="s">
        <v>1336</v>
      </c>
      <c r="I102" s="1" t="n">
        <v>56.24</v>
      </c>
      <c r="J102" s="1" t="str">
        <f aca="false">VLOOKUP(B102,Customers!$A$2:$G$502,6,FALSE())</f>
        <v>Small Business</v>
      </c>
      <c r="K102" s="1" t="str">
        <f aca="false">VLOOKUP(C102,Products!$A$2:$E$62,3,FALSE())</f>
        <v>Electronics</v>
      </c>
      <c r="L102" s="1" t="str">
        <f aca="false">TEXT(D102,"yyyy-mm")</f>
        <v>2024-03</v>
      </c>
    </row>
    <row r="103" customFormat="false" ht="15" hidden="false" customHeight="true" outlineLevel="0" collapsed="false">
      <c r="A103" s="1" t="n">
        <v>104</v>
      </c>
      <c r="B103" s="1" t="n">
        <v>61</v>
      </c>
      <c r="C103" s="1" t="n">
        <v>58</v>
      </c>
      <c r="D103" s="1" t="s">
        <v>124</v>
      </c>
      <c r="E103" s="1" t="n">
        <v>8</v>
      </c>
      <c r="F103" s="1" t="n">
        <v>515.55</v>
      </c>
      <c r="G103" s="1" t="n">
        <v>0</v>
      </c>
      <c r="H103" s="1" t="s">
        <v>1336</v>
      </c>
      <c r="I103" s="1" t="n">
        <v>4124.4</v>
      </c>
      <c r="J103" s="1" t="str">
        <f aca="false">VLOOKUP(B103,Customers!$A$2:$G$502,6,FALSE())</f>
        <v>Small Business</v>
      </c>
      <c r="K103" s="1" t="str">
        <f aca="false">VLOOKUP(C103,Products!$A$2:$E$62,3,FALSE())</f>
        <v>Furniture</v>
      </c>
      <c r="L103" s="1" t="str">
        <f aca="false">TEXT(D103,"yyyy-mm")</f>
        <v>2023-05</v>
      </c>
    </row>
    <row r="104" customFormat="false" ht="15" hidden="false" customHeight="true" outlineLevel="0" collapsed="false">
      <c r="A104" s="1" t="n">
        <v>105</v>
      </c>
      <c r="B104" s="1" t="n">
        <v>256</v>
      </c>
      <c r="C104" s="1" t="n">
        <v>35</v>
      </c>
      <c r="D104" s="1" t="s">
        <v>1235</v>
      </c>
      <c r="E104" s="1" t="n">
        <v>4</v>
      </c>
      <c r="F104" s="1" t="n">
        <v>75.78</v>
      </c>
      <c r="G104" s="1" t="n">
        <v>0.1</v>
      </c>
      <c r="H104" s="1" t="s">
        <v>1346</v>
      </c>
      <c r="I104" s="1" t="n">
        <v>272.81</v>
      </c>
      <c r="J104" s="1" t="str">
        <f aca="false">VLOOKUP(B104,Customers!$A$2:$G$502,6,FALSE())</f>
        <v>Small Business</v>
      </c>
      <c r="K104" s="1" t="str">
        <f aca="false">VLOOKUP(C104,Products!$A$2:$E$62,3,FALSE())</f>
        <v>Software</v>
      </c>
      <c r="L104" s="1" t="str">
        <f aca="false">TEXT(D104,"yyyy-mm")</f>
        <v>2023-01</v>
      </c>
    </row>
    <row r="105" customFormat="false" ht="15" hidden="false" customHeight="true" outlineLevel="0" collapsed="false">
      <c r="A105" s="1" t="n">
        <v>106</v>
      </c>
      <c r="B105" s="1" t="n">
        <v>210</v>
      </c>
      <c r="C105" s="1" t="n">
        <v>29</v>
      </c>
      <c r="D105" s="1" t="s">
        <v>1247</v>
      </c>
      <c r="E105" s="1" t="n">
        <v>6</v>
      </c>
      <c r="F105" s="1" t="n">
        <v>54.62</v>
      </c>
      <c r="G105" s="1" t="n">
        <v>0.1</v>
      </c>
      <c r="H105" s="1" t="s">
        <v>1336</v>
      </c>
      <c r="I105" s="1" t="n">
        <v>294.95</v>
      </c>
      <c r="J105" s="1" t="str">
        <f aca="false">VLOOKUP(B105,Customers!$A$2:$G$502,6,FALSE())</f>
        <v>Corporate</v>
      </c>
      <c r="K105" s="1" t="str">
        <f aca="false">VLOOKUP(C105,Products!$A$2:$E$62,3,FALSE())</f>
        <v>Office Supplies</v>
      </c>
      <c r="L105" s="1" t="str">
        <f aca="false">TEXT(D105,"yyyy-mm")</f>
        <v>2023-03</v>
      </c>
    </row>
    <row r="106" customFormat="false" ht="15" hidden="false" customHeight="true" outlineLevel="0" collapsed="false">
      <c r="A106" s="1" t="n">
        <v>107</v>
      </c>
      <c r="B106" s="1" t="n">
        <v>286</v>
      </c>
      <c r="C106" s="1" t="n">
        <v>53</v>
      </c>
      <c r="D106" s="1" t="s">
        <v>1386</v>
      </c>
      <c r="E106" s="1" t="n">
        <v>8</v>
      </c>
      <c r="F106" s="1" t="n">
        <v>509.98</v>
      </c>
      <c r="G106" s="1" t="n">
        <v>0</v>
      </c>
      <c r="H106" s="1" t="s">
        <v>1336</v>
      </c>
      <c r="I106" s="1" t="n">
        <v>4079.84</v>
      </c>
      <c r="J106" s="1" t="str">
        <f aca="false">VLOOKUP(B106,Customers!$A$2:$G$502,6,FALSE())</f>
        <v>Corporate</v>
      </c>
      <c r="K106" s="1" t="str">
        <f aca="false">VLOOKUP(C106,Products!$A$2:$E$62,3,FALSE())</f>
        <v>Software</v>
      </c>
      <c r="L106" s="1" t="str">
        <f aca="false">TEXT(D106,"yyyy-mm")</f>
        <v>2023-08</v>
      </c>
    </row>
    <row r="107" customFormat="false" ht="15" hidden="false" customHeight="true" outlineLevel="0" collapsed="false">
      <c r="A107" s="1" t="n">
        <v>108</v>
      </c>
      <c r="B107" s="1" t="n">
        <v>17</v>
      </c>
      <c r="C107" s="1" t="n">
        <v>43</v>
      </c>
      <c r="D107" s="1" t="s">
        <v>1387</v>
      </c>
      <c r="E107" s="1" t="n">
        <v>4</v>
      </c>
      <c r="F107" s="1" t="n">
        <v>186.31</v>
      </c>
      <c r="G107" s="1" t="n">
        <v>0.2</v>
      </c>
      <c r="H107" s="1" t="s">
        <v>1336</v>
      </c>
      <c r="I107" s="1" t="n">
        <v>596.19</v>
      </c>
      <c r="J107" s="1" t="str">
        <f aca="false">VLOOKUP(B107,Customers!$A$2:$G$502,6,FALSE())</f>
        <v>Small Business</v>
      </c>
      <c r="K107" s="1" t="str">
        <f aca="false">VLOOKUP(C107,Products!$A$2:$E$62,3,FALSE())</f>
        <v>Software</v>
      </c>
      <c r="L107" s="1" t="str">
        <f aca="false">TEXT(D107,"yyyy-mm")</f>
        <v>2024-08</v>
      </c>
    </row>
    <row r="108" customFormat="false" ht="15" hidden="false" customHeight="true" outlineLevel="0" collapsed="false">
      <c r="A108" s="1" t="n">
        <v>109</v>
      </c>
      <c r="B108" s="1" t="n">
        <v>92</v>
      </c>
      <c r="C108" s="1" t="n">
        <v>11</v>
      </c>
      <c r="D108" s="1" t="s">
        <v>1388</v>
      </c>
      <c r="E108" s="1" t="n">
        <v>3</v>
      </c>
      <c r="F108" s="1" t="n">
        <v>328.39</v>
      </c>
      <c r="G108" s="1" t="n">
        <v>0</v>
      </c>
      <c r="H108" s="1" t="s">
        <v>1336</v>
      </c>
      <c r="I108" s="1" t="n">
        <v>985.17</v>
      </c>
      <c r="J108" s="1" t="str">
        <f aca="false">VLOOKUP(B108,Customers!$A$2:$G$502,6,FALSE())</f>
        <v>Corporate</v>
      </c>
      <c r="K108" s="1" t="str">
        <f aca="false">VLOOKUP(C108,Products!$A$2:$E$62,3,FALSE())</f>
        <v>Electronics</v>
      </c>
      <c r="L108" s="1" t="str">
        <f aca="false">TEXT(D108,"yyyy-mm")</f>
        <v>2024-11</v>
      </c>
    </row>
    <row r="109" customFormat="false" ht="15" hidden="false" customHeight="true" outlineLevel="0" collapsed="false">
      <c r="A109" s="1" t="n">
        <v>110</v>
      </c>
      <c r="B109" s="1" t="n">
        <v>91</v>
      </c>
      <c r="C109" s="1" t="n">
        <v>30</v>
      </c>
      <c r="D109" s="1" t="s">
        <v>1205</v>
      </c>
      <c r="E109" s="1" t="n">
        <v>9</v>
      </c>
      <c r="F109" s="1" t="n">
        <v>33.32</v>
      </c>
      <c r="G109" s="1" t="n">
        <v>0</v>
      </c>
      <c r="H109" s="1" t="s">
        <v>1346</v>
      </c>
      <c r="I109" s="1" t="n">
        <v>299.88</v>
      </c>
      <c r="J109" s="1" t="str">
        <f aca="false">VLOOKUP(B109,Customers!$A$2:$G$502,6,FALSE())</f>
        <v>Consumer</v>
      </c>
      <c r="K109" s="1" t="str">
        <f aca="false">VLOOKUP(C109,Products!$A$2:$E$62,3,FALSE())</f>
        <v>Office Supplies</v>
      </c>
      <c r="L109" s="1" t="str">
        <f aca="false">TEXT(D109,"yyyy-mm")</f>
        <v>2024-08</v>
      </c>
    </row>
    <row r="110" customFormat="false" ht="15" hidden="false" customHeight="true" outlineLevel="0" collapsed="false">
      <c r="A110" s="1" t="n">
        <v>111</v>
      </c>
      <c r="B110" s="1" t="n">
        <v>195</v>
      </c>
      <c r="C110" s="1" t="n">
        <v>53</v>
      </c>
      <c r="D110" s="1" t="s">
        <v>449</v>
      </c>
      <c r="E110" s="1" t="n">
        <v>3</v>
      </c>
      <c r="F110" s="1" t="n">
        <v>509.98</v>
      </c>
      <c r="G110" s="1" t="n">
        <v>0.2</v>
      </c>
      <c r="H110" s="1" t="s">
        <v>1336</v>
      </c>
      <c r="I110" s="1" t="n">
        <v>1223.95</v>
      </c>
      <c r="J110" s="1" t="str">
        <f aca="false">VLOOKUP(B110,Customers!$A$2:$G$502,6,FALSE())</f>
        <v>Corporate</v>
      </c>
      <c r="K110" s="1" t="str">
        <f aca="false">VLOOKUP(C110,Products!$A$2:$E$62,3,FALSE())</f>
        <v>Software</v>
      </c>
      <c r="L110" s="1" t="str">
        <f aca="false">TEXT(D110,"yyyy-mm")</f>
        <v>2023-03</v>
      </c>
    </row>
    <row r="111" customFormat="false" ht="15" hidden="false" customHeight="true" outlineLevel="0" collapsed="false">
      <c r="A111" s="1" t="n">
        <v>112</v>
      </c>
      <c r="B111" s="1" t="n">
        <v>356</v>
      </c>
      <c r="C111" s="1" t="n">
        <v>56</v>
      </c>
      <c r="D111" s="1" t="s">
        <v>1389</v>
      </c>
      <c r="E111" s="1" t="n">
        <v>9</v>
      </c>
      <c r="F111" s="1" t="n">
        <v>160.64</v>
      </c>
      <c r="G111" s="1" t="n">
        <v>0</v>
      </c>
      <c r="H111" s="1" t="s">
        <v>1336</v>
      </c>
      <c r="I111" s="1" t="n">
        <v>1445.76</v>
      </c>
      <c r="J111" s="1" t="str">
        <f aca="false">VLOOKUP(B111,Customers!$A$2:$G$502,6,FALSE())</f>
        <v>Consumer</v>
      </c>
      <c r="K111" s="1" t="str">
        <f aca="false">VLOOKUP(C111,Products!$A$2:$E$62,3,FALSE())</f>
        <v>Furniture</v>
      </c>
      <c r="L111" s="1" t="str">
        <f aca="false">TEXT(D111,"yyyy-mm")</f>
        <v>2023-10</v>
      </c>
    </row>
    <row r="112" customFormat="false" ht="15" hidden="false" customHeight="true" outlineLevel="0" collapsed="false">
      <c r="A112" s="1" t="n">
        <v>113</v>
      </c>
      <c r="B112" s="1" t="n">
        <v>56</v>
      </c>
      <c r="C112" s="1" t="n">
        <v>37</v>
      </c>
      <c r="D112" s="1" t="s">
        <v>1216</v>
      </c>
      <c r="E112" s="1" t="n">
        <v>2</v>
      </c>
      <c r="F112" s="1" t="n">
        <v>13.95</v>
      </c>
      <c r="G112" s="1" t="n">
        <v>0.1</v>
      </c>
      <c r="H112" s="1" t="s">
        <v>1370</v>
      </c>
      <c r="I112" s="1" t="n">
        <v>25.11</v>
      </c>
      <c r="J112" s="1" t="str">
        <f aca="false">VLOOKUP(B112,Customers!$A$2:$G$502,6,FALSE())</f>
        <v>Corporate</v>
      </c>
      <c r="K112" s="1" t="str">
        <f aca="false">VLOOKUP(C112,Products!$A$2:$E$62,3,FALSE())</f>
        <v>Software</v>
      </c>
      <c r="L112" s="1" t="str">
        <f aca="false">TEXT(D112,"yyyy-mm")</f>
        <v>2024-10</v>
      </c>
    </row>
    <row r="113" customFormat="false" ht="15" hidden="false" customHeight="true" outlineLevel="0" collapsed="false">
      <c r="A113" s="1" t="n">
        <v>114</v>
      </c>
      <c r="B113" s="1" t="n">
        <v>362</v>
      </c>
      <c r="C113" s="1" t="n">
        <v>19</v>
      </c>
      <c r="D113" s="1" t="s">
        <v>1390</v>
      </c>
      <c r="E113" s="1" t="n">
        <v>2</v>
      </c>
      <c r="F113" s="1" t="n">
        <v>163.64</v>
      </c>
      <c r="G113" s="1" t="n">
        <v>0.1</v>
      </c>
      <c r="H113" s="1" t="s">
        <v>1336</v>
      </c>
      <c r="I113" s="1" t="n">
        <v>294.55</v>
      </c>
      <c r="J113" s="1" t="str">
        <f aca="false">VLOOKUP(B113,Customers!$A$2:$G$502,6,FALSE())</f>
        <v>Consumer</v>
      </c>
      <c r="K113" s="1" t="str">
        <f aca="false">VLOOKUP(C113,Products!$A$2:$E$62,3,FALSE())</f>
        <v>Office Supplies</v>
      </c>
      <c r="L113" s="1" t="str">
        <f aca="false">TEXT(D113,"yyyy-mm")</f>
        <v>2024-03</v>
      </c>
    </row>
    <row r="114" customFormat="false" ht="15" hidden="false" customHeight="true" outlineLevel="0" collapsed="false">
      <c r="A114" s="1" t="n">
        <v>115</v>
      </c>
      <c r="B114" s="1" t="n">
        <v>475</v>
      </c>
      <c r="C114" s="1" t="n">
        <v>9</v>
      </c>
      <c r="D114" s="1" t="s">
        <v>530</v>
      </c>
      <c r="E114" s="1" t="n">
        <v>2</v>
      </c>
      <c r="F114" s="1" t="n">
        <v>203.1</v>
      </c>
      <c r="G114" s="1" t="n">
        <v>0.1</v>
      </c>
      <c r="H114" s="1" t="s">
        <v>1336</v>
      </c>
      <c r="I114" s="1" t="n">
        <v>365.58</v>
      </c>
      <c r="J114" s="1" t="str">
        <f aca="false">VLOOKUP(B114,Customers!$A$2:$G$502,6,FALSE())</f>
        <v>Small Business</v>
      </c>
      <c r="K114" s="1" t="str">
        <f aca="false">VLOOKUP(C114,Products!$A$2:$E$62,3,FALSE())</f>
        <v>Electronics</v>
      </c>
      <c r="L114" s="1" t="str">
        <f aca="false">TEXT(D114,"yyyy-mm")</f>
        <v>2024-09</v>
      </c>
    </row>
    <row r="115" customFormat="false" ht="15" hidden="false" customHeight="true" outlineLevel="0" collapsed="false">
      <c r="A115" s="1" t="n">
        <v>116</v>
      </c>
      <c r="B115" s="1" t="n">
        <v>453</v>
      </c>
      <c r="C115" s="1" t="n">
        <v>40</v>
      </c>
      <c r="D115" s="1" t="s">
        <v>1391</v>
      </c>
      <c r="E115" s="1" t="n">
        <v>6</v>
      </c>
      <c r="F115" s="1" t="n">
        <v>193.02</v>
      </c>
      <c r="G115" s="1" t="n">
        <v>0.15</v>
      </c>
      <c r="H115" s="1" t="s">
        <v>1336</v>
      </c>
      <c r="I115" s="1" t="n">
        <v>984.4</v>
      </c>
      <c r="J115" s="1" t="str">
        <f aca="false">VLOOKUP(B115,Customers!$A$2:$G$502,6,FALSE())</f>
        <v>Small Business</v>
      </c>
      <c r="K115" s="1" t="str">
        <f aca="false">VLOOKUP(C115,Products!$A$2:$E$62,3,FALSE())</f>
        <v>Software</v>
      </c>
      <c r="L115" s="1" t="str">
        <f aca="false">TEXT(D115,"yyyy-mm")</f>
        <v>2023-08</v>
      </c>
    </row>
    <row r="116" customFormat="false" ht="15" hidden="false" customHeight="true" outlineLevel="0" collapsed="false">
      <c r="A116" s="1" t="n">
        <v>117</v>
      </c>
      <c r="B116" s="1" t="n">
        <v>408</v>
      </c>
      <c r="C116" s="1" t="n">
        <v>8</v>
      </c>
      <c r="D116" s="1" t="s">
        <v>1386</v>
      </c>
      <c r="E116" s="1" t="n">
        <v>3</v>
      </c>
      <c r="F116" s="1" t="n">
        <v>104.4</v>
      </c>
      <c r="G116" s="1" t="n">
        <v>0.2</v>
      </c>
      <c r="H116" s="1" t="s">
        <v>1336</v>
      </c>
      <c r="I116" s="1" t="n">
        <v>250.56</v>
      </c>
      <c r="J116" s="1" t="str">
        <f aca="false">VLOOKUP(B116,Customers!$A$2:$G$502,6,FALSE())</f>
        <v>Small Business</v>
      </c>
      <c r="K116" s="1" t="str">
        <f aca="false">VLOOKUP(C116,Products!$A$2:$E$62,3,FALSE())</f>
        <v>Electronics</v>
      </c>
      <c r="L116" s="1" t="str">
        <f aca="false">TEXT(D116,"yyyy-mm")</f>
        <v>2023-08</v>
      </c>
    </row>
    <row r="117" customFormat="false" ht="15" hidden="false" customHeight="true" outlineLevel="0" collapsed="false">
      <c r="A117" s="1" t="n">
        <v>118</v>
      </c>
      <c r="B117" s="1" t="n">
        <v>413</v>
      </c>
      <c r="C117" s="1" t="n">
        <v>41</v>
      </c>
      <c r="D117" s="1" t="s">
        <v>1392</v>
      </c>
      <c r="E117" s="1" t="n">
        <v>9</v>
      </c>
      <c r="F117" s="1" t="n">
        <v>594.54</v>
      </c>
      <c r="G117" s="1" t="n">
        <v>0</v>
      </c>
      <c r="H117" s="1" t="s">
        <v>1336</v>
      </c>
      <c r="I117" s="1" t="n">
        <v>5350.86</v>
      </c>
      <c r="J117" s="1" t="str">
        <f aca="false">VLOOKUP(B117,Customers!$A$2:$G$502,6,FALSE())</f>
        <v>Small Business</v>
      </c>
      <c r="K117" s="1" t="str">
        <f aca="false">VLOOKUP(C117,Products!$A$2:$E$62,3,FALSE())</f>
        <v>Software</v>
      </c>
      <c r="L117" s="1" t="str">
        <f aca="false">TEXT(D117,"yyyy-mm")</f>
        <v>2023-08</v>
      </c>
    </row>
    <row r="118" customFormat="false" ht="15" hidden="false" customHeight="true" outlineLevel="0" collapsed="false">
      <c r="A118" s="1" t="n">
        <v>119</v>
      </c>
      <c r="B118" s="1" t="n">
        <v>154</v>
      </c>
      <c r="C118" s="1" t="n">
        <v>33</v>
      </c>
      <c r="D118" s="1" t="s">
        <v>295</v>
      </c>
      <c r="E118" s="1" t="n">
        <v>4</v>
      </c>
      <c r="F118" s="1" t="n">
        <v>190.1</v>
      </c>
      <c r="G118" s="1" t="n">
        <v>0</v>
      </c>
      <c r="H118" s="1" t="s">
        <v>1336</v>
      </c>
      <c r="I118" s="1" t="n">
        <v>760.4</v>
      </c>
      <c r="J118" s="1" t="str">
        <f aca="false">VLOOKUP(B118,Customers!$A$2:$G$502,6,FALSE())</f>
        <v>Small Business</v>
      </c>
      <c r="K118" s="1" t="str">
        <f aca="false">VLOOKUP(C118,Products!$A$2:$E$62,3,FALSE())</f>
        <v>Office Supplies</v>
      </c>
      <c r="L118" s="1" t="str">
        <f aca="false">TEXT(D118,"yyyy-mm")</f>
        <v>2024-07</v>
      </c>
    </row>
    <row r="119" customFormat="false" ht="15" hidden="false" customHeight="true" outlineLevel="0" collapsed="false">
      <c r="A119" s="1" t="n">
        <v>120</v>
      </c>
      <c r="B119" s="1" t="n">
        <v>292</v>
      </c>
      <c r="C119" s="1" t="n">
        <v>40</v>
      </c>
      <c r="D119" s="1" t="s">
        <v>1393</v>
      </c>
      <c r="E119" s="1" t="n">
        <v>1</v>
      </c>
      <c r="F119" s="1" t="n">
        <v>193.02</v>
      </c>
      <c r="G119" s="1" t="n">
        <v>0.2</v>
      </c>
      <c r="H119" s="1" t="s">
        <v>1336</v>
      </c>
      <c r="I119" s="1" t="n">
        <v>154.42</v>
      </c>
      <c r="J119" s="1" t="str">
        <f aca="false">VLOOKUP(B119,Customers!$A$2:$G$502,6,FALSE())</f>
        <v>Small Business</v>
      </c>
      <c r="K119" s="1" t="str">
        <f aca="false">VLOOKUP(C119,Products!$A$2:$E$62,3,FALSE())</f>
        <v>Software</v>
      </c>
      <c r="L119" s="1" t="str">
        <f aca="false">TEXT(D119,"yyyy-mm")</f>
        <v>2023-01</v>
      </c>
    </row>
    <row r="120" customFormat="false" ht="15" hidden="false" customHeight="true" outlineLevel="0" collapsed="false">
      <c r="A120" s="1" t="n">
        <v>121</v>
      </c>
      <c r="B120" s="1" t="n">
        <v>470</v>
      </c>
      <c r="C120" s="1" t="n">
        <v>31</v>
      </c>
      <c r="D120" s="1" t="s">
        <v>328</v>
      </c>
      <c r="E120" s="1" t="n">
        <v>4</v>
      </c>
      <c r="F120" s="1" t="n">
        <v>224.86</v>
      </c>
      <c r="G120" s="1" t="n">
        <v>0.15</v>
      </c>
      <c r="H120" s="1" t="s">
        <v>1336</v>
      </c>
      <c r="I120" s="1" t="n">
        <v>764.52</v>
      </c>
      <c r="J120" s="1" t="str">
        <f aca="false">VLOOKUP(B120,Customers!$A$2:$G$502,6,FALSE())</f>
        <v>Corporate</v>
      </c>
      <c r="K120" s="1" t="str">
        <f aca="false">VLOOKUP(C120,Products!$A$2:$E$62,3,FALSE())</f>
        <v>Office Supplies</v>
      </c>
      <c r="L120" s="1" t="str">
        <f aca="false">TEXT(D120,"yyyy-mm")</f>
        <v>2023-02</v>
      </c>
    </row>
    <row r="121" customFormat="false" ht="15" hidden="false" customHeight="true" outlineLevel="0" collapsed="false">
      <c r="A121" s="1" t="n">
        <v>122</v>
      </c>
      <c r="B121" s="1" t="n">
        <v>459</v>
      </c>
      <c r="C121" s="1" t="n">
        <v>22</v>
      </c>
      <c r="D121" s="1" t="s">
        <v>297</v>
      </c>
      <c r="E121" s="1" t="n">
        <v>1</v>
      </c>
      <c r="F121" s="1" t="n">
        <v>38.57</v>
      </c>
      <c r="G121" s="1" t="n">
        <v>0.2</v>
      </c>
      <c r="H121" s="1" t="s">
        <v>1336</v>
      </c>
      <c r="I121" s="1" t="n">
        <v>30.86</v>
      </c>
      <c r="J121" s="1" t="str">
        <f aca="false">VLOOKUP(B121,Customers!$A$2:$G$502,6,FALSE())</f>
        <v>Small Business</v>
      </c>
      <c r="K121" s="1" t="str">
        <f aca="false">VLOOKUP(C121,Products!$A$2:$E$62,3,FALSE())</f>
        <v>Office Supplies</v>
      </c>
      <c r="L121" s="1" t="str">
        <f aca="false">TEXT(D121,"yyyy-mm")</f>
        <v>2024-04</v>
      </c>
    </row>
    <row r="122" customFormat="false" ht="15" hidden="false" customHeight="true" outlineLevel="0" collapsed="false">
      <c r="A122" s="1" t="n">
        <v>123</v>
      </c>
      <c r="B122" s="1" t="n">
        <v>290</v>
      </c>
      <c r="C122" s="1" t="n">
        <v>47</v>
      </c>
      <c r="D122" s="1" t="s">
        <v>1378</v>
      </c>
      <c r="E122" s="1" t="n">
        <v>5</v>
      </c>
      <c r="F122" s="1" t="n">
        <v>506.19</v>
      </c>
      <c r="G122" s="1" t="n">
        <v>0</v>
      </c>
      <c r="H122" s="1" t="s">
        <v>1336</v>
      </c>
      <c r="I122" s="1" t="n">
        <v>2530.95</v>
      </c>
      <c r="J122" s="1" t="str">
        <f aca="false">VLOOKUP(B122,Customers!$A$2:$G$502,6,FALSE())</f>
        <v>Consumer</v>
      </c>
      <c r="K122" s="1" t="str">
        <f aca="false">VLOOKUP(C122,Products!$A$2:$E$62,3,FALSE())</f>
        <v>Software</v>
      </c>
      <c r="L122" s="1" t="str">
        <f aca="false">TEXT(D122,"yyyy-mm")</f>
        <v>2024-11</v>
      </c>
    </row>
    <row r="123" customFormat="false" ht="15" hidden="false" customHeight="true" outlineLevel="0" collapsed="false">
      <c r="A123" s="1" t="n">
        <v>124</v>
      </c>
      <c r="B123" s="1" t="n">
        <v>470</v>
      </c>
      <c r="C123" s="1" t="n">
        <v>57</v>
      </c>
      <c r="D123" s="1" t="s">
        <v>1394</v>
      </c>
      <c r="E123" s="1" t="n">
        <v>4</v>
      </c>
      <c r="F123" s="1" t="n">
        <v>719.76</v>
      </c>
      <c r="G123" s="1" t="n">
        <v>0</v>
      </c>
      <c r="H123" s="1" t="s">
        <v>1370</v>
      </c>
      <c r="I123" s="1" t="n">
        <v>2879.04</v>
      </c>
      <c r="J123" s="1" t="str">
        <f aca="false">VLOOKUP(B123,Customers!$A$2:$G$502,6,FALSE())</f>
        <v>Corporate</v>
      </c>
      <c r="K123" s="1" t="str">
        <f aca="false">VLOOKUP(C123,Products!$A$2:$E$62,3,FALSE())</f>
        <v>Furniture</v>
      </c>
      <c r="L123" s="1" t="str">
        <f aca="false">TEXT(D123,"yyyy-mm")</f>
        <v>2023-12</v>
      </c>
    </row>
    <row r="124" customFormat="false" ht="15" hidden="false" customHeight="true" outlineLevel="0" collapsed="false">
      <c r="A124" s="1" t="n">
        <v>125</v>
      </c>
      <c r="B124" s="1" t="n">
        <v>321</v>
      </c>
      <c r="C124" s="1" t="n">
        <v>35</v>
      </c>
      <c r="D124" s="1" t="s">
        <v>280</v>
      </c>
      <c r="E124" s="1" t="n">
        <v>8</v>
      </c>
      <c r="F124" s="1" t="n">
        <v>75.78</v>
      </c>
      <c r="G124" s="1" t="n">
        <v>0.1</v>
      </c>
      <c r="H124" s="1" t="s">
        <v>1336</v>
      </c>
      <c r="I124" s="1" t="n">
        <v>545.62</v>
      </c>
      <c r="J124" s="1" t="str">
        <f aca="false">VLOOKUP(B124,Customers!$A$2:$G$502,6,FALSE())</f>
        <v>Small Business</v>
      </c>
      <c r="K124" s="1" t="str">
        <f aca="false">VLOOKUP(C124,Products!$A$2:$E$62,3,FALSE())</f>
        <v>Software</v>
      </c>
      <c r="L124" s="1" t="str">
        <f aca="false">TEXT(D124,"yyyy-mm")</f>
        <v>2023-06</v>
      </c>
    </row>
    <row r="125" customFormat="false" ht="15" hidden="false" customHeight="true" outlineLevel="0" collapsed="false">
      <c r="A125" s="1" t="n">
        <v>126</v>
      </c>
      <c r="B125" s="1" t="n">
        <v>158</v>
      </c>
      <c r="C125" s="1" t="n">
        <v>46</v>
      </c>
      <c r="D125" s="1" t="s">
        <v>863</v>
      </c>
      <c r="E125" s="1" t="n">
        <v>8</v>
      </c>
      <c r="F125" s="1" t="n">
        <v>94.92</v>
      </c>
      <c r="G125" s="1" t="n">
        <v>0.15</v>
      </c>
      <c r="H125" s="1" t="s">
        <v>1336</v>
      </c>
      <c r="I125" s="1" t="n">
        <v>645.46</v>
      </c>
      <c r="J125" s="1" t="str">
        <f aca="false">VLOOKUP(B125,Customers!$A$2:$G$502,6,FALSE())</f>
        <v>Small Business</v>
      </c>
      <c r="K125" s="1" t="str">
        <f aca="false">VLOOKUP(C125,Products!$A$2:$E$62,3,FALSE())</f>
        <v>Software</v>
      </c>
      <c r="L125" s="1" t="str">
        <f aca="false">TEXT(D125,"yyyy-mm")</f>
        <v>2023-11</v>
      </c>
    </row>
    <row r="126" customFormat="false" ht="15" hidden="false" customHeight="true" outlineLevel="0" collapsed="false">
      <c r="A126" s="1" t="n">
        <v>127</v>
      </c>
      <c r="B126" s="1" t="n">
        <v>232</v>
      </c>
      <c r="C126" s="1" t="n">
        <v>54</v>
      </c>
      <c r="D126" s="1" t="s">
        <v>1366</v>
      </c>
      <c r="E126" s="1" t="n">
        <v>7</v>
      </c>
      <c r="F126" s="1" t="n">
        <v>312.01</v>
      </c>
      <c r="G126" s="1" t="n">
        <v>0</v>
      </c>
      <c r="H126" s="1" t="s">
        <v>1336</v>
      </c>
      <c r="I126" s="1" t="n">
        <v>2184.07</v>
      </c>
      <c r="J126" s="1" t="str">
        <f aca="false">VLOOKUP(B126,Customers!$A$2:$G$502,6,FALSE())</f>
        <v>Corporate</v>
      </c>
      <c r="K126" s="1" t="str">
        <f aca="false">VLOOKUP(C126,Products!$A$2:$E$62,3,FALSE())</f>
        <v>Software</v>
      </c>
      <c r="L126" s="1" t="str">
        <f aca="false">TEXT(D126,"yyyy-mm")</f>
        <v>2023-11</v>
      </c>
    </row>
    <row r="127" customFormat="false" ht="15" hidden="false" customHeight="true" outlineLevel="0" collapsed="false">
      <c r="A127" s="1" t="n">
        <v>128</v>
      </c>
      <c r="B127" s="1" t="n">
        <v>104</v>
      </c>
      <c r="C127" s="1" t="n">
        <v>59</v>
      </c>
      <c r="D127" s="1" t="s">
        <v>1395</v>
      </c>
      <c r="E127" s="1" t="n">
        <v>3</v>
      </c>
      <c r="F127" s="1" t="n">
        <v>438.89</v>
      </c>
      <c r="G127" s="1" t="n">
        <v>0.05</v>
      </c>
      <c r="H127" s="1" t="s">
        <v>1336</v>
      </c>
      <c r="I127" s="1" t="n">
        <v>1250.84</v>
      </c>
      <c r="J127" s="1" t="str">
        <f aca="false">VLOOKUP(B127,Customers!$A$2:$G$502,6,FALSE())</f>
        <v>Corporate</v>
      </c>
      <c r="K127" s="1" t="str">
        <f aca="false">VLOOKUP(C127,Products!$A$2:$E$62,3,FALSE())</f>
        <v>Furniture</v>
      </c>
      <c r="L127" s="1" t="str">
        <f aca="false">TEXT(D127,"yyyy-mm")</f>
        <v>2023-04</v>
      </c>
    </row>
    <row r="128" customFormat="false" ht="15" hidden="false" customHeight="true" outlineLevel="0" collapsed="false">
      <c r="A128" s="1" t="n">
        <v>129</v>
      </c>
      <c r="B128" s="1" t="n">
        <v>175</v>
      </c>
      <c r="C128" s="1" t="n">
        <v>60</v>
      </c>
      <c r="D128" s="1" t="s">
        <v>314</v>
      </c>
      <c r="E128" s="1" t="n">
        <v>1</v>
      </c>
      <c r="F128" s="1" t="n">
        <v>584.98</v>
      </c>
      <c r="G128" s="1" t="n">
        <v>0.15</v>
      </c>
      <c r="H128" s="1" t="s">
        <v>1336</v>
      </c>
      <c r="I128" s="1" t="n">
        <v>497.23</v>
      </c>
      <c r="J128" s="1" t="str">
        <f aca="false">VLOOKUP(B128,Customers!$A$2:$G$502,6,FALSE())</f>
        <v>Consumer</v>
      </c>
      <c r="K128" s="1" t="str">
        <f aca="false">VLOOKUP(C128,Products!$A$2:$E$62,3,FALSE())</f>
        <v>Furniture</v>
      </c>
      <c r="L128" s="1" t="str">
        <f aca="false">TEXT(D128,"yyyy-mm")</f>
        <v>2024-05</v>
      </c>
    </row>
    <row r="129" customFormat="false" ht="15" hidden="false" customHeight="true" outlineLevel="0" collapsed="false">
      <c r="A129" s="1" t="n">
        <v>130</v>
      </c>
      <c r="B129" s="1" t="n">
        <v>51</v>
      </c>
      <c r="C129" s="1" t="n">
        <v>53</v>
      </c>
      <c r="D129" s="1" t="s">
        <v>799</v>
      </c>
      <c r="E129" s="1" t="n">
        <v>1</v>
      </c>
      <c r="F129" s="1" t="n">
        <v>509.98</v>
      </c>
      <c r="G129" s="1" t="n">
        <v>0.15</v>
      </c>
      <c r="H129" s="1" t="s">
        <v>1370</v>
      </c>
      <c r="I129" s="1" t="n">
        <v>433.48</v>
      </c>
      <c r="J129" s="1" t="str">
        <f aca="false">VLOOKUP(B129,Customers!$A$2:$G$502,6,FALSE())</f>
        <v>Corporate</v>
      </c>
      <c r="K129" s="1" t="str">
        <f aca="false">VLOOKUP(C129,Products!$A$2:$E$62,3,FALSE())</f>
        <v>Software</v>
      </c>
      <c r="L129" s="1" t="str">
        <f aca="false">TEXT(D129,"yyyy-mm")</f>
        <v>2024-06</v>
      </c>
    </row>
    <row r="130" customFormat="false" ht="15" hidden="false" customHeight="true" outlineLevel="0" collapsed="false">
      <c r="A130" s="1" t="n">
        <v>131</v>
      </c>
      <c r="B130" s="1" t="n">
        <v>443</v>
      </c>
      <c r="C130" s="1" t="n">
        <v>34</v>
      </c>
      <c r="D130" s="1" t="s">
        <v>365</v>
      </c>
      <c r="E130" s="1" t="n">
        <v>3</v>
      </c>
      <c r="F130" s="1" t="n">
        <v>116.85</v>
      </c>
      <c r="G130" s="1" t="n">
        <v>0</v>
      </c>
      <c r="H130" s="1" t="s">
        <v>1336</v>
      </c>
      <c r="I130" s="1" t="n">
        <v>350.55</v>
      </c>
      <c r="J130" s="1" t="str">
        <f aca="false">VLOOKUP(B130,Customers!$A$2:$G$502,6,FALSE())</f>
        <v>Consumer</v>
      </c>
      <c r="K130" s="1" t="str">
        <f aca="false">VLOOKUP(C130,Products!$A$2:$E$62,3,FALSE())</f>
        <v>Office Supplies</v>
      </c>
      <c r="L130" s="1" t="str">
        <f aca="false">TEXT(D130,"yyyy-mm")</f>
        <v>2023-04</v>
      </c>
    </row>
    <row r="131" customFormat="false" ht="15" hidden="false" customHeight="true" outlineLevel="0" collapsed="false">
      <c r="A131" s="1" t="n">
        <v>132</v>
      </c>
      <c r="B131" s="1" t="n">
        <v>171</v>
      </c>
      <c r="C131" s="1" t="n">
        <v>30</v>
      </c>
      <c r="D131" s="1" t="s">
        <v>183</v>
      </c>
      <c r="E131" s="1" t="n">
        <v>6</v>
      </c>
      <c r="F131" s="1" t="n">
        <v>33.32</v>
      </c>
      <c r="G131" s="1" t="n">
        <v>0</v>
      </c>
      <c r="H131" s="1" t="s">
        <v>1336</v>
      </c>
      <c r="I131" s="1" t="n">
        <v>199.92</v>
      </c>
      <c r="J131" s="1" t="str">
        <f aca="false">VLOOKUP(B131,Customers!$A$2:$G$502,6,FALSE())</f>
        <v>Small Business</v>
      </c>
      <c r="K131" s="1" t="str">
        <f aca="false">VLOOKUP(C131,Products!$A$2:$E$62,3,FALSE())</f>
        <v>Office Supplies</v>
      </c>
      <c r="L131" s="1" t="str">
        <f aca="false">TEXT(D131,"yyyy-mm")</f>
        <v>2023-02</v>
      </c>
    </row>
    <row r="132" customFormat="false" ht="15" hidden="false" customHeight="true" outlineLevel="0" collapsed="false">
      <c r="A132" s="1" t="n">
        <v>133</v>
      </c>
      <c r="B132" s="1" t="n">
        <v>160</v>
      </c>
      <c r="C132" s="1" t="n">
        <v>41</v>
      </c>
      <c r="D132" s="1" t="s">
        <v>1396</v>
      </c>
      <c r="E132" s="1" t="n">
        <v>7</v>
      </c>
      <c r="F132" s="1" t="n">
        <v>594.54</v>
      </c>
      <c r="G132" s="1" t="n">
        <v>0</v>
      </c>
      <c r="H132" s="1" t="s">
        <v>1336</v>
      </c>
      <c r="I132" s="1" t="n">
        <v>4161.78</v>
      </c>
      <c r="J132" s="1" t="str">
        <f aca="false">VLOOKUP(B132,Customers!$A$2:$G$502,6,FALSE())</f>
        <v>Consumer</v>
      </c>
      <c r="K132" s="1" t="str">
        <f aca="false">VLOOKUP(C132,Products!$A$2:$E$62,3,FALSE())</f>
        <v>Software</v>
      </c>
      <c r="L132" s="1" t="str">
        <f aca="false">TEXT(D132,"yyyy-mm")</f>
        <v>2023-08</v>
      </c>
    </row>
    <row r="133" customFormat="false" ht="15" hidden="false" customHeight="true" outlineLevel="0" collapsed="false">
      <c r="A133" s="1" t="n">
        <v>134</v>
      </c>
      <c r="B133" s="1" t="n">
        <v>344</v>
      </c>
      <c r="C133" s="1" t="n">
        <v>8</v>
      </c>
      <c r="D133" s="1" t="s">
        <v>1397</v>
      </c>
      <c r="E133" s="1" t="n">
        <v>6</v>
      </c>
      <c r="F133" s="1" t="n">
        <v>104.4</v>
      </c>
      <c r="G133" s="1" t="n">
        <v>0</v>
      </c>
      <c r="H133" s="1" t="s">
        <v>1336</v>
      </c>
      <c r="I133" s="1" t="n">
        <v>626.4</v>
      </c>
      <c r="J133" s="1" t="str">
        <f aca="false">VLOOKUP(B133,Customers!$A$2:$G$502,6,FALSE())</f>
        <v>Small Business</v>
      </c>
      <c r="K133" s="1" t="str">
        <f aca="false">VLOOKUP(C133,Products!$A$2:$E$62,3,FALSE())</f>
        <v>Electronics</v>
      </c>
      <c r="L133" s="1" t="str">
        <f aca="false">TEXT(D133,"yyyy-mm")</f>
        <v>2023-10</v>
      </c>
    </row>
    <row r="134" customFormat="false" ht="15" hidden="false" customHeight="true" outlineLevel="0" collapsed="false">
      <c r="A134" s="1" t="n">
        <v>135</v>
      </c>
      <c r="B134" s="1" t="n">
        <v>53</v>
      </c>
      <c r="C134" s="1" t="n">
        <v>14</v>
      </c>
      <c r="D134" s="1" t="s">
        <v>112</v>
      </c>
      <c r="E134" s="1" t="n">
        <v>6</v>
      </c>
      <c r="F134" s="1" t="n">
        <v>135.27</v>
      </c>
      <c r="G134" s="1" t="n">
        <v>0</v>
      </c>
      <c r="H134" s="1" t="s">
        <v>1336</v>
      </c>
      <c r="I134" s="1" t="n">
        <v>811.62</v>
      </c>
      <c r="J134" s="1" t="str">
        <f aca="false">VLOOKUP(B134,Customers!$A$2:$G$502,6,FALSE())</f>
        <v>Small Business</v>
      </c>
      <c r="K134" s="1" t="str">
        <f aca="false">VLOOKUP(C134,Products!$A$2:$E$62,3,FALSE())</f>
        <v>Electronics</v>
      </c>
      <c r="L134" s="1" t="str">
        <f aca="false">TEXT(D134,"yyyy-mm")</f>
        <v>2024-07</v>
      </c>
    </row>
    <row r="135" customFormat="false" ht="15" hidden="false" customHeight="true" outlineLevel="0" collapsed="false">
      <c r="A135" s="1" t="n">
        <v>136</v>
      </c>
      <c r="B135" s="1" t="n">
        <v>294</v>
      </c>
      <c r="C135" s="1" t="n">
        <v>16</v>
      </c>
      <c r="D135" s="1" t="s">
        <v>1398</v>
      </c>
      <c r="E135" s="1" t="n">
        <v>6</v>
      </c>
      <c r="F135" s="1" t="n">
        <v>330.91</v>
      </c>
      <c r="G135" s="1" t="n">
        <v>0</v>
      </c>
      <c r="H135" s="1" t="s">
        <v>1336</v>
      </c>
      <c r="I135" s="1" t="n">
        <v>1985.46</v>
      </c>
      <c r="J135" s="1" t="str">
        <f aca="false">VLOOKUP(B135,Customers!$A$2:$G$502,6,FALSE())</f>
        <v>Consumer</v>
      </c>
      <c r="K135" s="1" t="str">
        <f aca="false">VLOOKUP(C135,Products!$A$2:$E$62,3,FALSE())</f>
        <v>Electronics</v>
      </c>
      <c r="L135" s="1" t="str">
        <f aca="false">TEXT(D135,"yyyy-mm")</f>
        <v>2023-06</v>
      </c>
    </row>
    <row r="136" customFormat="false" ht="15" hidden="false" customHeight="true" outlineLevel="0" collapsed="false">
      <c r="A136" s="1" t="n">
        <v>137</v>
      </c>
      <c r="B136" s="1" t="n">
        <v>15</v>
      </c>
      <c r="C136" s="1" t="n">
        <v>31</v>
      </c>
      <c r="D136" s="1" t="s">
        <v>1399</v>
      </c>
      <c r="E136" s="1" t="n">
        <v>3</v>
      </c>
      <c r="F136" s="1" t="n">
        <v>224.86</v>
      </c>
      <c r="G136" s="1" t="n">
        <v>0</v>
      </c>
      <c r="H136" s="1" t="s">
        <v>1336</v>
      </c>
      <c r="I136" s="1" t="n">
        <v>674.58</v>
      </c>
      <c r="J136" s="1" t="str">
        <f aca="false">VLOOKUP(B136,Customers!$A$2:$G$502,6,FALSE())</f>
        <v>Corporate</v>
      </c>
      <c r="K136" s="1" t="str">
        <f aca="false">VLOOKUP(C136,Products!$A$2:$E$62,3,FALSE())</f>
        <v>Office Supplies</v>
      </c>
      <c r="L136" s="1" t="str">
        <f aca="false">TEXT(D136,"yyyy-mm")</f>
        <v>2024-11</v>
      </c>
    </row>
    <row r="137" customFormat="false" ht="15" hidden="false" customHeight="true" outlineLevel="0" collapsed="false">
      <c r="A137" s="1" t="n">
        <v>138</v>
      </c>
      <c r="B137" s="1" t="n">
        <v>306</v>
      </c>
      <c r="C137" s="1" t="n">
        <v>58</v>
      </c>
      <c r="D137" s="1" t="s">
        <v>211</v>
      </c>
      <c r="E137" s="1" t="n">
        <v>6</v>
      </c>
      <c r="F137" s="1" t="n">
        <v>515.55</v>
      </c>
      <c r="G137" s="1" t="n">
        <v>0.15</v>
      </c>
      <c r="H137" s="1" t="s">
        <v>1336</v>
      </c>
      <c r="I137" s="1" t="n">
        <v>2629.3</v>
      </c>
      <c r="J137" s="1" t="str">
        <f aca="false">VLOOKUP(B137,Customers!$A$2:$G$502,6,FALSE())</f>
        <v>Small Business</v>
      </c>
      <c r="K137" s="1" t="str">
        <f aca="false">VLOOKUP(C137,Products!$A$2:$E$62,3,FALSE())</f>
        <v>Furniture</v>
      </c>
      <c r="L137" s="1" t="str">
        <f aca="false">TEXT(D137,"yyyy-mm")</f>
        <v>2024-08</v>
      </c>
    </row>
    <row r="138" customFormat="false" ht="15" hidden="false" customHeight="true" outlineLevel="0" collapsed="false">
      <c r="A138" s="1" t="n">
        <v>139</v>
      </c>
      <c r="B138" s="1" t="n">
        <v>419</v>
      </c>
      <c r="C138" s="1" t="n">
        <v>13</v>
      </c>
      <c r="D138" s="1" t="s">
        <v>1400</v>
      </c>
      <c r="E138" s="1" t="n">
        <v>8</v>
      </c>
      <c r="F138" s="1" t="n">
        <v>352.54</v>
      </c>
      <c r="G138" s="1" t="n">
        <v>0.2</v>
      </c>
      <c r="H138" s="1" t="s">
        <v>1336</v>
      </c>
      <c r="I138" s="1" t="n">
        <v>2256.26</v>
      </c>
      <c r="J138" s="1" t="str">
        <f aca="false">VLOOKUP(B138,Customers!$A$2:$G$502,6,FALSE())</f>
        <v>Small Business</v>
      </c>
      <c r="K138" s="1" t="str">
        <f aca="false">VLOOKUP(C138,Products!$A$2:$E$62,3,FALSE())</f>
        <v>Electronics</v>
      </c>
      <c r="L138" s="1" t="str">
        <f aca="false">TEXT(D138,"yyyy-mm")</f>
        <v>2024-12</v>
      </c>
    </row>
    <row r="139" customFormat="false" ht="15" hidden="false" customHeight="true" outlineLevel="0" collapsed="false">
      <c r="A139" s="1" t="n">
        <v>140</v>
      </c>
      <c r="B139" s="1" t="n">
        <v>239</v>
      </c>
      <c r="C139" s="1" t="n">
        <v>37</v>
      </c>
      <c r="D139" s="1" t="s">
        <v>124</v>
      </c>
      <c r="E139" s="1" t="n">
        <v>2</v>
      </c>
      <c r="F139" s="1" t="n">
        <v>13.95</v>
      </c>
      <c r="G139" s="1" t="n">
        <v>0</v>
      </c>
      <c r="H139" s="1" t="s">
        <v>1336</v>
      </c>
      <c r="I139" s="1" t="n">
        <v>27.9</v>
      </c>
      <c r="J139" s="1" t="str">
        <f aca="false">VLOOKUP(B139,Customers!$A$2:$G$502,6,FALSE())</f>
        <v>Corporate</v>
      </c>
      <c r="K139" s="1" t="str">
        <f aca="false">VLOOKUP(C139,Products!$A$2:$E$62,3,FALSE())</f>
        <v>Software</v>
      </c>
      <c r="L139" s="1" t="str">
        <f aca="false">TEXT(D139,"yyyy-mm")</f>
        <v>2023-05</v>
      </c>
    </row>
    <row r="140" customFormat="false" ht="15" hidden="false" customHeight="true" outlineLevel="0" collapsed="false">
      <c r="A140" s="1" t="n">
        <v>141</v>
      </c>
      <c r="B140" s="1" t="n">
        <v>351</v>
      </c>
      <c r="C140" s="1" t="n">
        <v>42</v>
      </c>
      <c r="D140" s="1" t="s">
        <v>832</v>
      </c>
      <c r="E140" s="1" t="n">
        <v>5</v>
      </c>
      <c r="F140" s="1" t="n">
        <v>174.48</v>
      </c>
      <c r="G140" s="1" t="n">
        <v>0.2</v>
      </c>
      <c r="H140" s="1" t="s">
        <v>1336</v>
      </c>
      <c r="I140" s="1" t="n">
        <v>697.92</v>
      </c>
      <c r="J140" s="1" t="str">
        <f aca="false">VLOOKUP(B140,Customers!$A$2:$G$502,6,FALSE())</f>
        <v>Small Business</v>
      </c>
      <c r="K140" s="1" t="str">
        <f aca="false">VLOOKUP(C140,Products!$A$2:$E$62,3,FALSE())</f>
        <v>Software</v>
      </c>
      <c r="L140" s="1" t="str">
        <f aca="false">TEXT(D140,"yyyy-mm")</f>
        <v>2024-12</v>
      </c>
    </row>
    <row r="141" customFormat="false" ht="15" hidden="false" customHeight="true" outlineLevel="0" collapsed="false">
      <c r="A141" s="1" t="n">
        <v>142</v>
      </c>
      <c r="B141" s="1" t="n">
        <v>316</v>
      </c>
      <c r="C141" s="1" t="n">
        <v>17</v>
      </c>
      <c r="D141" s="1" t="s">
        <v>1361</v>
      </c>
      <c r="E141" s="1" t="n">
        <v>1</v>
      </c>
      <c r="F141" s="1" t="n">
        <v>65.61</v>
      </c>
      <c r="G141" s="1" t="n">
        <v>0.05</v>
      </c>
      <c r="H141" s="1" t="s">
        <v>1336</v>
      </c>
      <c r="I141" s="1" t="n">
        <v>62.33</v>
      </c>
      <c r="J141" s="1" t="str">
        <f aca="false">VLOOKUP(B141,Customers!$A$2:$G$502,6,FALSE())</f>
        <v>Small Business</v>
      </c>
      <c r="K141" s="1" t="str">
        <f aca="false">VLOOKUP(C141,Products!$A$2:$E$62,3,FALSE())</f>
        <v>Electronics</v>
      </c>
      <c r="L141" s="1" t="str">
        <f aca="false">TEXT(D141,"yyyy-mm")</f>
        <v>2024-01</v>
      </c>
    </row>
    <row r="142" customFormat="false" ht="15" hidden="false" customHeight="true" outlineLevel="0" collapsed="false">
      <c r="A142" s="1" t="n">
        <v>143</v>
      </c>
      <c r="B142" s="1" t="n">
        <v>167</v>
      </c>
      <c r="C142" s="1" t="n">
        <v>30</v>
      </c>
      <c r="D142" s="1" t="s">
        <v>1036</v>
      </c>
      <c r="E142" s="1" t="n">
        <v>1</v>
      </c>
      <c r="F142" s="1" t="n">
        <v>33.32</v>
      </c>
      <c r="G142" s="1" t="n">
        <v>0</v>
      </c>
      <c r="H142" s="1" t="s">
        <v>1336</v>
      </c>
      <c r="I142" s="1" t="n">
        <v>33.32</v>
      </c>
      <c r="J142" s="1" t="str">
        <f aca="false">VLOOKUP(B142,Customers!$A$2:$G$502,6,FALSE())</f>
        <v>Unknown</v>
      </c>
      <c r="K142" s="1" t="str">
        <f aca="false">VLOOKUP(C142,Products!$A$2:$E$62,3,FALSE())</f>
        <v>Office Supplies</v>
      </c>
      <c r="L142" s="1" t="str">
        <f aca="false">TEXT(D142,"yyyy-mm")</f>
        <v>2024-05</v>
      </c>
    </row>
    <row r="143" customFormat="false" ht="15" hidden="false" customHeight="true" outlineLevel="0" collapsed="false">
      <c r="A143" s="1" t="n">
        <v>144</v>
      </c>
      <c r="B143" s="1" t="n">
        <v>145</v>
      </c>
      <c r="C143" s="1" t="n">
        <v>50</v>
      </c>
      <c r="D143" s="1" t="s">
        <v>292</v>
      </c>
      <c r="E143" s="1" t="n">
        <v>5</v>
      </c>
      <c r="F143" s="1" t="n">
        <v>19.73</v>
      </c>
      <c r="G143" s="1" t="n">
        <v>0.1</v>
      </c>
      <c r="H143" s="1" t="s">
        <v>1336</v>
      </c>
      <c r="I143" s="1" t="n">
        <v>88.79</v>
      </c>
      <c r="J143" s="1" t="str">
        <f aca="false">VLOOKUP(B143,Customers!$A$2:$G$502,6,FALSE())</f>
        <v>Corporate</v>
      </c>
      <c r="K143" s="1" t="str">
        <f aca="false">VLOOKUP(C143,Products!$A$2:$E$62,3,FALSE())</f>
        <v>Software</v>
      </c>
      <c r="L143" s="1" t="str">
        <f aca="false">TEXT(D143,"yyyy-mm")</f>
        <v>2023-12</v>
      </c>
    </row>
    <row r="144" customFormat="false" ht="15" hidden="false" customHeight="true" outlineLevel="0" collapsed="false">
      <c r="A144" s="1" t="n">
        <v>145</v>
      </c>
      <c r="B144" s="1" t="n">
        <v>55</v>
      </c>
      <c r="C144" s="1" t="n">
        <v>21</v>
      </c>
      <c r="D144" s="1" t="s">
        <v>243</v>
      </c>
      <c r="E144" s="1" t="n">
        <v>3</v>
      </c>
      <c r="F144" s="1" t="n">
        <v>84.91</v>
      </c>
      <c r="G144" s="1" t="n">
        <v>0.15</v>
      </c>
      <c r="H144" s="1" t="s">
        <v>1336</v>
      </c>
      <c r="I144" s="1" t="n">
        <v>216.52</v>
      </c>
      <c r="J144" s="1" t="str">
        <f aca="false">VLOOKUP(B144,Customers!$A$2:$G$502,6,FALSE())</f>
        <v>Consumer</v>
      </c>
      <c r="K144" s="1" t="str">
        <f aca="false">VLOOKUP(C144,Products!$A$2:$E$62,3,FALSE())</f>
        <v>Office Supplies</v>
      </c>
      <c r="L144" s="1" t="str">
        <f aca="false">TEXT(D144,"yyyy-mm")</f>
        <v>2024-07</v>
      </c>
    </row>
    <row r="145" customFormat="false" ht="15" hidden="false" customHeight="true" outlineLevel="0" collapsed="false">
      <c r="A145" s="1" t="n">
        <v>146</v>
      </c>
      <c r="B145" s="1" t="n">
        <v>123</v>
      </c>
      <c r="C145" s="1" t="n">
        <v>40</v>
      </c>
      <c r="D145" s="1" t="s">
        <v>726</v>
      </c>
      <c r="E145" s="1" t="n">
        <v>4</v>
      </c>
      <c r="F145" s="1" t="n">
        <v>193.02</v>
      </c>
      <c r="G145" s="1" t="n">
        <v>0.1</v>
      </c>
      <c r="H145" s="1" t="s">
        <v>1336</v>
      </c>
      <c r="I145" s="1" t="n">
        <v>694.87</v>
      </c>
      <c r="J145" s="1" t="str">
        <f aca="false">VLOOKUP(B145,Customers!$A$2:$G$502,6,FALSE())</f>
        <v>Small Business</v>
      </c>
      <c r="K145" s="1" t="str">
        <f aca="false">VLOOKUP(C145,Products!$A$2:$E$62,3,FALSE())</f>
        <v>Software</v>
      </c>
      <c r="L145" s="1" t="str">
        <f aca="false">TEXT(D145,"yyyy-mm")</f>
        <v>2023-09</v>
      </c>
    </row>
    <row r="146" customFormat="false" ht="15" hidden="false" customHeight="true" outlineLevel="0" collapsed="false">
      <c r="A146" s="1" t="n">
        <v>147</v>
      </c>
      <c r="B146" s="1" t="n">
        <v>356</v>
      </c>
      <c r="C146" s="1" t="n">
        <v>38</v>
      </c>
      <c r="D146" s="1" t="s">
        <v>333</v>
      </c>
      <c r="E146" s="1" t="n">
        <v>3</v>
      </c>
      <c r="F146" s="1" t="n">
        <v>521.63</v>
      </c>
      <c r="G146" s="1" t="n">
        <v>0.2</v>
      </c>
      <c r="H146" s="1" t="s">
        <v>1370</v>
      </c>
      <c r="I146" s="1" t="n">
        <v>1251.91</v>
      </c>
      <c r="J146" s="1" t="str">
        <f aca="false">VLOOKUP(B146,Customers!$A$2:$G$502,6,FALSE())</f>
        <v>Consumer</v>
      </c>
      <c r="K146" s="1" t="str">
        <f aca="false">VLOOKUP(C146,Products!$A$2:$E$62,3,FALSE())</f>
        <v>Software</v>
      </c>
      <c r="L146" s="1" t="str">
        <f aca="false">TEXT(D146,"yyyy-mm")</f>
        <v>2024-03</v>
      </c>
    </row>
    <row r="147" customFormat="false" ht="15" hidden="false" customHeight="true" outlineLevel="0" collapsed="false">
      <c r="A147" s="1" t="n">
        <v>148</v>
      </c>
      <c r="B147" s="1" t="n">
        <v>89</v>
      </c>
      <c r="C147" s="1" t="n">
        <v>43</v>
      </c>
      <c r="D147" s="1" t="s">
        <v>1401</v>
      </c>
      <c r="E147" s="1" t="n">
        <v>1</v>
      </c>
      <c r="F147" s="1" t="n">
        <v>186.31</v>
      </c>
      <c r="G147" s="1" t="n">
        <v>0</v>
      </c>
      <c r="H147" s="1" t="s">
        <v>1336</v>
      </c>
      <c r="I147" s="1" t="n">
        <v>186.31</v>
      </c>
      <c r="J147" s="1" t="str">
        <f aca="false">VLOOKUP(B147,Customers!$A$2:$G$502,6,FALSE())</f>
        <v>Small Business</v>
      </c>
      <c r="K147" s="1" t="str">
        <f aca="false">VLOOKUP(C147,Products!$A$2:$E$62,3,FALSE())</f>
        <v>Software</v>
      </c>
      <c r="L147" s="1" t="str">
        <f aca="false">TEXT(D147,"yyyy-mm")</f>
        <v>2024-11</v>
      </c>
    </row>
    <row r="148" customFormat="false" ht="15" hidden="false" customHeight="true" outlineLevel="0" collapsed="false">
      <c r="A148" s="1" t="n">
        <v>149</v>
      </c>
      <c r="B148" s="1" t="n">
        <v>306</v>
      </c>
      <c r="C148" s="1" t="n">
        <v>30</v>
      </c>
      <c r="D148" s="1" t="s">
        <v>1277</v>
      </c>
      <c r="E148" s="1" t="n">
        <v>1</v>
      </c>
      <c r="F148" s="1" t="n">
        <v>33.32</v>
      </c>
      <c r="G148" s="1" t="n">
        <v>0.1</v>
      </c>
      <c r="H148" s="1" t="s">
        <v>1336</v>
      </c>
      <c r="I148" s="1" t="n">
        <v>29.99</v>
      </c>
      <c r="J148" s="1" t="str">
        <f aca="false">VLOOKUP(B148,Customers!$A$2:$G$502,6,FALSE())</f>
        <v>Small Business</v>
      </c>
      <c r="K148" s="1" t="str">
        <f aca="false">VLOOKUP(C148,Products!$A$2:$E$62,3,FALSE())</f>
        <v>Office Supplies</v>
      </c>
      <c r="L148" s="1" t="str">
        <f aca="false">TEXT(D148,"yyyy-mm")</f>
        <v>2023-11</v>
      </c>
    </row>
    <row r="149" customFormat="false" ht="15" hidden="false" customHeight="true" outlineLevel="0" collapsed="false">
      <c r="A149" s="1" t="n">
        <v>150</v>
      </c>
      <c r="B149" s="1" t="n">
        <v>307</v>
      </c>
      <c r="C149" s="1" t="n">
        <v>7</v>
      </c>
      <c r="D149" s="1" t="s">
        <v>513</v>
      </c>
      <c r="E149" s="1" t="n">
        <v>5</v>
      </c>
      <c r="F149" s="1" t="n">
        <v>460</v>
      </c>
      <c r="G149" s="1" t="n">
        <v>0.2</v>
      </c>
      <c r="H149" s="1" t="s">
        <v>1336</v>
      </c>
      <c r="I149" s="1" t="n">
        <v>1840</v>
      </c>
      <c r="J149" s="1" t="str">
        <f aca="false">VLOOKUP(B149,Customers!$A$2:$G$502,6,FALSE())</f>
        <v>Corporate</v>
      </c>
      <c r="K149" s="1" t="str">
        <f aca="false">VLOOKUP(C149,Products!$A$2:$E$62,3,FALSE())</f>
        <v>Electronics</v>
      </c>
      <c r="L149" s="1" t="str">
        <f aca="false">TEXT(D149,"yyyy-mm")</f>
        <v>2024-12</v>
      </c>
    </row>
    <row r="150" customFormat="false" ht="15" hidden="false" customHeight="true" outlineLevel="0" collapsed="false">
      <c r="A150" s="1" t="n">
        <v>151</v>
      </c>
      <c r="B150" s="1" t="n">
        <v>32</v>
      </c>
      <c r="C150" s="1" t="n">
        <v>6</v>
      </c>
      <c r="D150" s="1" t="s">
        <v>1350</v>
      </c>
      <c r="E150" s="1" t="n">
        <v>6</v>
      </c>
      <c r="F150" s="1" t="n">
        <v>28.51</v>
      </c>
      <c r="G150" s="1" t="n">
        <v>0.2</v>
      </c>
      <c r="H150" s="1" t="s">
        <v>1336</v>
      </c>
      <c r="I150" s="1" t="n">
        <v>136.85</v>
      </c>
      <c r="J150" s="1" t="str">
        <f aca="false">VLOOKUP(B150,Customers!$A$2:$G$502,6,FALSE())</f>
        <v>Small Business</v>
      </c>
      <c r="K150" s="1" t="str">
        <f aca="false">VLOOKUP(C150,Products!$A$2:$E$62,3,FALSE())</f>
        <v>Electronics</v>
      </c>
      <c r="L150" s="1" t="str">
        <f aca="false">TEXT(D150,"yyyy-mm")</f>
        <v>2023-08</v>
      </c>
    </row>
    <row r="151" customFormat="false" ht="15" hidden="false" customHeight="true" outlineLevel="0" collapsed="false">
      <c r="A151" s="1" t="n">
        <v>152</v>
      </c>
      <c r="B151" s="1" t="n">
        <v>388</v>
      </c>
      <c r="C151" s="1" t="n">
        <v>10</v>
      </c>
      <c r="D151" s="1" t="s">
        <v>748</v>
      </c>
      <c r="E151" s="1" t="n">
        <v>3</v>
      </c>
      <c r="F151" s="1" t="n">
        <v>251.58</v>
      </c>
      <c r="G151" s="1" t="n">
        <v>0</v>
      </c>
      <c r="H151" s="1" t="s">
        <v>1336</v>
      </c>
      <c r="I151" s="1" t="n">
        <v>754.74</v>
      </c>
      <c r="J151" s="1" t="str">
        <f aca="false">VLOOKUP(B151,Customers!$A$2:$G$502,6,FALSE())</f>
        <v>Corporate</v>
      </c>
      <c r="K151" s="1" t="str">
        <f aca="false">VLOOKUP(C151,Products!$A$2:$E$62,3,FALSE())</f>
        <v>Electronics</v>
      </c>
      <c r="L151" s="1" t="str">
        <f aca="false">TEXT(D151,"yyyy-mm")</f>
        <v>2024-11</v>
      </c>
    </row>
    <row r="152" customFormat="false" ht="15" hidden="false" customHeight="true" outlineLevel="0" collapsed="false">
      <c r="A152" s="1" t="n">
        <v>153</v>
      </c>
      <c r="B152" s="1" t="n">
        <v>106</v>
      </c>
      <c r="C152" s="1" t="n">
        <v>44</v>
      </c>
      <c r="D152" s="1" t="s">
        <v>617</v>
      </c>
      <c r="E152" s="1" t="n">
        <v>9</v>
      </c>
      <c r="F152" s="1" t="n">
        <v>508.26</v>
      </c>
      <c r="G152" s="1" t="n">
        <v>0</v>
      </c>
      <c r="H152" s="1" t="s">
        <v>1336</v>
      </c>
      <c r="I152" s="1" t="n">
        <v>4574.34</v>
      </c>
      <c r="J152" s="1" t="str">
        <f aca="false">VLOOKUP(B152,Customers!$A$2:$G$502,6,FALSE())</f>
        <v>Small Business</v>
      </c>
      <c r="K152" s="1" t="str">
        <f aca="false">VLOOKUP(C152,Products!$A$2:$E$62,3,FALSE())</f>
        <v>Software</v>
      </c>
      <c r="L152" s="1" t="str">
        <f aca="false">TEXT(D152,"yyyy-mm")</f>
        <v>2023-11</v>
      </c>
    </row>
    <row r="153" customFormat="false" ht="15" hidden="false" customHeight="true" outlineLevel="0" collapsed="false">
      <c r="A153" s="1" t="n">
        <v>154</v>
      </c>
      <c r="B153" s="1" t="n">
        <v>223</v>
      </c>
      <c r="C153" s="1" t="n">
        <v>46</v>
      </c>
      <c r="D153" s="1" t="s">
        <v>1402</v>
      </c>
      <c r="E153" s="1" t="n">
        <v>5</v>
      </c>
      <c r="F153" s="1" t="n">
        <v>94.92</v>
      </c>
      <c r="G153" s="1" t="n">
        <v>0</v>
      </c>
      <c r="H153" s="1" t="s">
        <v>1336</v>
      </c>
      <c r="I153" s="1" t="n">
        <v>474.6</v>
      </c>
      <c r="J153" s="1" t="str">
        <f aca="false">VLOOKUP(B153,Customers!$A$2:$G$502,6,FALSE())</f>
        <v>Consumer</v>
      </c>
      <c r="K153" s="1" t="str">
        <f aca="false">VLOOKUP(C153,Products!$A$2:$E$62,3,FALSE())</f>
        <v>Software</v>
      </c>
      <c r="L153" s="1" t="str">
        <f aca="false">TEXT(D153,"yyyy-mm")</f>
        <v>2023-12</v>
      </c>
    </row>
    <row r="154" customFormat="false" ht="15" hidden="false" customHeight="true" outlineLevel="0" collapsed="false">
      <c r="A154" s="1" t="n">
        <v>155</v>
      </c>
      <c r="B154" s="1" t="n">
        <v>437</v>
      </c>
      <c r="C154" s="1" t="n">
        <v>19</v>
      </c>
      <c r="D154" s="1" t="s">
        <v>609</v>
      </c>
      <c r="E154" s="1" t="n">
        <v>8</v>
      </c>
      <c r="F154" s="1" t="n">
        <v>163.64</v>
      </c>
      <c r="G154" s="1" t="n">
        <v>0</v>
      </c>
      <c r="H154" s="1" t="s">
        <v>1346</v>
      </c>
      <c r="I154" s="1" t="n">
        <v>1309.12</v>
      </c>
      <c r="J154" s="1" t="str">
        <f aca="false">VLOOKUP(B154,Customers!$A$2:$G$502,6,FALSE())</f>
        <v>Small Business</v>
      </c>
      <c r="K154" s="1" t="str">
        <f aca="false">VLOOKUP(C154,Products!$A$2:$E$62,3,FALSE())</f>
        <v>Office Supplies</v>
      </c>
      <c r="L154" s="1" t="str">
        <f aca="false">TEXT(D154,"yyyy-mm")</f>
        <v>2023-03</v>
      </c>
    </row>
    <row r="155" customFormat="false" ht="15" hidden="false" customHeight="true" outlineLevel="0" collapsed="false">
      <c r="A155" s="1" t="n">
        <v>156</v>
      </c>
      <c r="B155" s="1" t="n">
        <v>184</v>
      </c>
      <c r="C155" s="1" t="n">
        <v>8</v>
      </c>
      <c r="D155" s="1" t="s">
        <v>1349</v>
      </c>
      <c r="E155" s="1" t="n">
        <v>1</v>
      </c>
      <c r="F155" s="1" t="n">
        <v>104.4</v>
      </c>
      <c r="G155" s="1" t="n">
        <v>0.2</v>
      </c>
      <c r="H155" s="1" t="s">
        <v>1336</v>
      </c>
      <c r="I155" s="1" t="n">
        <v>83.52</v>
      </c>
      <c r="J155" s="1" t="str">
        <f aca="false">VLOOKUP(B155,Customers!$A$2:$G$502,6,FALSE())</f>
        <v>Corporate</v>
      </c>
      <c r="K155" s="1" t="str">
        <f aca="false">VLOOKUP(C155,Products!$A$2:$E$62,3,FALSE())</f>
        <v>Electronics</v>
      </c>
      <c r="L155" s="1" t="str">
        <f aca="false">TEXT(D155,"yyyy-mm")</f>
        <v>2023-10</v>
      </c>
    </row>
    <row r="156" customFormat="false" ht="15" hidden="false" customHeight="true" outlineLevel="0" collapsed="false">
      <c r="A156" s="1" t="n">
        <v>157</v>
      </c>
      <c r="B156" s="1" t="n">
        <v>365</v>
      </c>
      <c r="C156" s="1" t="n">
        <v>25</v>
      </c>
      <c r="D156" s="1" t="s">
        <v>1403</v>
      </c>
      <c r="E156" s="1" t="n">
        <v>5</v>
      </c>
      <c r="F156" s="1" t="n">
        <v>300.49</v>
      </c>
      <c r="G156" s="1" t="n">
        <v>0.05</v>
      </c>
      <c r="H156" s="1" t="s">
        <v>1336</v>
      </c>
      <c r="I156" s="1" t="n">
        <v>1427.33</v>
      </c>
      <c r="J156" s="1" t="str">
        <f aca="false">VLOOKUP(B156,Customers!$A$2:$G$502,6,FALSE())</f>
        <v>Small Business</v>
      </c>
      <c r="K156" s="1" t="str">
        <f aca="false">VLOOKUP(C156,Products!$A$2:$E$62,3,FALSE())</f>
        <v>Office Supplies</v>
      </c>
      <c r="L156" s="1" t="str">
        <f aca="false">TEXT(D156,"yyyy-mm")</f>
        <v>2024-02</v>
      </c>
    </row>
    <row r="157" customFormat="false" ht="15" hidden="false" customHeight="true" outlineLevel="0" collapsed="false">
      <c r="A157" s="1" t="n">
        <v>158</v>
      </c>
      <c r="B157" s="1" t="n">
        <v>285</v>
      </c>
      <c r="C157" s="1" t="n">
        <v>25</v>
      </c>
      <c r="D157" s="1" t="s">
        <v>1069</v>
      </c>
      <c r="E157" s="1" t="n">
        <v>3</v>
      </c>
      <c r="F157" s="1" t="n">
        <v>300.49</v>
      </c>
      <c r="G157" s="1" t="n">
        <v>0.2</v>
      </c>
      <c r="H157" s="1" t="s">
        <v>1336</v>
      </c>
      <c r="I157" s="1" t="n">
        <v>721.18</v>
      </c>
      <c r="J157" s="1" t="str">
        <f aca="false">VLOOKUP(B157,Customers!$A$2:$G$502,6,FALSE())</f>
        <v>Consumer</v>
      </c>
      <c r="K157" s="1" t="str">
        <f aca="false">VLOOKUP(C157,Products!$A$2:$E$62,3,FALSE())</f>
        <v>Office Supplies</v>
      </c>
      <c r="L157" s="1" t="str">
        <f aca="false">TEXT(D157,"yyyy-mm")</f>
        <v>2024-01</v>
      </c>
    </row>
    <row r="158" customFormat="false" ht="15" hidden="false" customHeight="true" outlineLevel="0" collapsed="false">
      <c r="A158" s="1" t="n">
        <v>159</v>
      </c>
      <c r="B158" s="1" t="n">
        <v>6</v>
      </c>
      <c r="C158" s="1" t="n">
        <v>5</v>
      </c>
      <c r="D158" s="1" t="s">
        <v>232</v>
      </c>
      <c r="E158" s="1" t="n">
        <v>1</v>
      </c>
      <c r="F158" s="1" t="n">
        <v>439.06</v>
      </c>
      <c r="G158" s="1" t="n">
        <v>0</v>
      </c>
      <c r="H158" s="1" t="s">
        <v>1336</v>
      </c>
      <c r="I158" s="1" t="n">
        <v>439.06</v>
      </c>
      <c r="J158" s="1" t="str">
        <f aca="false">VLOOKUP(B158,Customers!$A$2:$G$502,6,FALSE())</f>
        <v>Corporate</v>
      </c>
      <c r="K158" s="1" t="str">
        <f aca="false">VLOOKUP(C158,Products!$A$2:$E$62,3,FALSE())</f>
        <v>Electronics</v>
      </c>
      <c r="L158" s="1" t="str">
        <f aca="false">TEXT(D158,"yyyy-mm")</f>
        <v>2024-10</v>
      </c>
    </row>
    <row r="159" customFormat="false" ht="15" hidden="false" customHeight="true" outlineLevel="0" collapsed="false">
      <c r="A159" s="1" t="n">
        <v>160</v>
      </c>
      <c r="B159" s="1" t="n">
        <v>70</v>
      </c>
      <c r="C159" s="1" t="n">
        <v>6</v>
      </c>
      <c r="D159" s="1" t="s">
        <v>496</v>
      </c>
      <c r="E159" s="1" t="n">
        <v>4</v>
      </c>
      <c r="F159" s="1" t="n">
        <v>28.51</v>
      </c>
      <c r="G159" s="1" t="n">
        <v>0.15</v>
      </c>
      <c r="H159" s="1" t="s">
        <v>1336</v>
      </c>
      <c r="I159" s="1" t="n">
        <v>96.93</v>
      </c>
      <c r="J159" s="1" t="str">
        <f aca="false">VLOOKUP(B159,Customers!$A$2:$G$502,6,FALSE())</f>
        <v>Corporate</v>
      </c>
      <c r="K159" s="1" t="str">
        <f aca="false">VLOOKUP(C159,Products!$A$2:$E$62,3,FALSE())</f>
        <v>Electronics</v>
      </c>
      <c r="L159" s="1" t="str">
        <f aca="false">TEXT(D159,"yyyy-mm")</f>
        <v>2023-05</v>
      </c>
    </row>
    <row r="160" customFormat="false" ht="15" hidden="false" customHeight="true" outlineLevel="0" collapsed="false">
      <c r="A160" s="1" t="n">
        <v>161</v>
      </c>
      <c r="B160" s="1" t="n">
        <v>477</v>
      </c>
      <c r="C160" s="1" t="n">
        <v>28</v>
      </c>
      <c r="D160" s="1" t="s">
        <v>1052</v>
      </c>
      <c r="E160" s="1" t="n">
        <v>5</v>
      </c>
      <c r="F160" s="1" t="n">
        <v>505.23</v>
      </c>
      <c r="G160" s="1" t="n">
        <v>0</v>
      </c>
      <c r="H160" s="1" t="s">
        <v>1336</v>
      </c>
      <c r="I160" s="1" t="n">
        <v>2526.15</v>
      </c>
      <c r="J160" s="1" t="str">
        <f aca="false">VLOOKUP(B160,Customers!$A$2:$G$502,6,FALSE())</f>
        <v>Corporate</v>
      </c>
      <c r="K160" s="1" t="str">
        <f aca="false">VLOOKUP(C160,Products!$A$2:$E$62,3,FALSE())</f>
        <v>Office Supplies</v>
      </c>
      <c r="L160" s="1" t="str">
        <f aca="false">TEXT(D160,"yyyy-mm")</f>
        <v>2024-09</v>
      </c>
    </row>
    <row r="161" customFormat="false" ht="15" hidden="false" customHeight="true" outlineLevel="0" collapsed="false">
      <c r="A161" s="1" t="n">
        <v>162</v>
      </c>
      <c r="B161" s="1" t="n">
        <v>116</v>
      </c>
      <c r="C161" s="1" t="n">
        <v>12</v>
      </c>
      <c r="D161" s="1" t="s">
        <v>1404</v>
      </c>
      <c r="E161" s="1" t="n">
        <v>7</v>
      </c>
      <c r="F161" s="1" t="n">
        <v>179.23</v>
      </c>
      <c r="G161" s="1" t="n">
        <v>0.1</v>
      </c>
      <c r="H161" s="1" t="s">
        <v>1336</v>
      </c>
      <c r="I161" s="1" t="n">
        <v>1129.15</v>
      </c>
      <c r="J161" s="1" t="str">
        <f aca="false">VLOOKUP(B161,Customers!$A$2:$G$502,6,FALSE())</f>
        <v>Corporate</v>
      </c>
      <c r="K161" s="1" t="str">
        <f aca="false">VLOOKUP(C161,Products!$A$2:$E$62,3,FALSE())</f>
        <v>Electronics</v>
      </c>
      <c r="L161" s="1" t="str">
        <f aca="false">TEXT(D161,"yyyy-mm")</f>
        <v>2024-03</v>
      </c>
    </row>
    <row r="162" customFormat="false" ht="15" hidden="false" customHeight="true" outlineLevel="0" collapsed="false">
      <c r="A162" s="1" t="n">
        <v>163</v>
      </c>
      <c r="B162" s="1" t="n">
        <v>138</v>
      </c>
      <c r="C162" s="1" t="n">
        <v>27</v>
      </c>
      <c r="D162" s="1" t="s">
        <v>828</v>
      </c>
      <c r="E162" s="1" t="n">
        <v>1</v>
      </c>
      <c r="F162" s="1" t="n">
        <v>772.58</v>
      </c>
      <c r="G162" s="1" t="n">
        <v>0.1</v>
      </c>
      <c r="H162" s="1" t="s">
        <v>1336</v>
      </c>
      <c r="I162" s="1" t="n">
        <v>695.32</v>
      </c>
      <c r="J162" s="1" t="str">
        <f aca="false">VLOOKUP(B162,Customers!$A$2:$G$502,6,FALSE())</f>
        <v>Consumer</v>
      </c>
      <c r="K162" s="1" t="str">
        <f aca="false">VLOOKUP(C162,Products!$A$2:$E$62,3,FALSE())</f>
        <v>Office Supplies</v>
      </c>
      <c r="L162" s="1" t="str">
        <f aca="false">TEXT(D162,"yyyy-mm")</f>
        <v>2024-07</v>
      </c>
    </row>
    <row r="163" customFormat="false" ht="15" hidden="false" customHeight="true" outlineLevel="0" collapsed="false">
      <c r="A163" s="1" t="n">
        <v>164</v>
      </c>
      <c r="B163" s="1" t="n">
        <v>58</v>
      </c>
      <c r="C163" s="1" t="n">
        <v>38</v>
      </c>
      <c r="D163" s="1" t="s">
        <v>1086</v>
      </c>
      <c r="E163" s="1" t="n">
        <v>3</v>
      </c>
      <c r="F163" s="1" t="n">
        <v>521.63</v>
      </c>
      <c r="G163" s="1" t="n">
        <v>0.15</v>
      </c>
      <c r="H163" s="1" t="s">
        <v>1336</v>
      </c>
      <c r="I163" s="1" t="n">
        <v>1330.16</v>
      </c>
      <c r="J163" s="1" t="str">
        <f aca="false">VLOOKUP(B163,Customers!$A$2:$G$502,6,FALSE())</f>
        <v>Consumer</v>
      </c>
      <c r="K163" s="1" t="str">
        <f aca="false">VLOOKUP(C163,Products!$A$2:$E$62,3,FALSE())</f>
        <v>Software</v>
      </c>
      <c r="L163" s="1" t="str">
        <f aca="false">TEXT(D163,"yyyy-mm")</f>
        <v>2024-05</v>
      </c>
    </row>
    <row r="164" customFormat="false" ht="15" hidden="false" customHeight="true" outlineLevel="0" collapsed="false">
      <c r="A164" s="1" t="n">
        <v>165</v>
      </c>
      <c r="B164" s="1" t="n">
        <v>385</v>
      </c>
      <c r="C164" s="1" t="n">
        <v>50</v>
      </c>
      <c r="D164" s="1" t="s">
        <v>1377</v>
      </c>
      <c r="E164" s="1" t="n">
        <v>2</v>
      </c>
      <c r="F164" s="1" t="n">
        <v>19.73</v>
      </c>
      <c r="G164" s="1" t="n">
        <v>0.05</v>
      </c>
      <c r="H164" s="1" t="s">
        <v>1336</v>
      </c>
      <c r="I164" s="1" t="n">
        <v>37.49</v>
      </c>
      <c r="J164" s="1" t="str">
        <f aca="false">VLOOKUP(B164,Customers!$A$2:$G$502,6,FALSE())</f>
        <v>Small Business</v>
      </c>
      <c r="K164" s="1" t="str">
        <f aca="false">VLOOKUP(C164,Products!$A$2:$E$62,3,FALSE())</f>
        <v>Software</v>
      </c>
      <c r="L164" s="1" t="str">
        <f aca="false">TEXT(D164,"yyyy-mm")</f>
        <v>2023-10</v>
      </c>
    </row>
    <row r="165" customFormat="false" ht="15" hidden="false" customHeight="true" outlineLevel="0" collapsed="false">
      <c r="A165" s="1" t="n">
        <v>166</v>
      </c>
      <c r="B165" s="1" t="n">
        <v>323</v>
      </c>
      <c r="C165" s="1" t="n">
        <v>48</v>
      </c>
      <c r="D165" s="1" t="s">
        <v>179</v>
      </c>
      <c r="E165" s="1" t="n">
        <v>9</v>
      </c>
      <c r="F165" s="1" t="n">
        <v>493.53</v>
      </c>
      <c r="G165" s="1" t="n">
        <v>0.15</v>
      </c>
      <c r="H165" s="1" t="s">
        <v>1336</v>
      </c>
      <c r="I165" s="1" t="n">
        <v>3775.5</v>
      </c>
      <c r="J165" s="1" t="str">
        <f aca="false">VLOOKUP(B165,Customers!$A$2:$G$502,6,FALSE())</f>
        <v>Consumer</v>
      </c>
      <c r="K165" s="1" t="str">
        <f aca="false">VLOOKUP(C165,Products!$A$2:$E$62,3,FALSE())</f>
        <v>Software</v>
      </c>
      <c r="L165" s="1" t="str">
        <f aca="false">TEXT(D165,"yyyy-mm")</f>
        <v>2024-11</v>
      </c>
    </row>
    <row r="166" customFormat="false" ht="15" hidden="false" customHeight="true" outlineLevel="0" collapsed="false">
      <c r="A166" s="1" t="n">
        <v>167</v>
      </c>
      <c r="B166" s="1" t="n">
        <v>28</v>
      </c>
      <c r="C166" s="1" t="n">
        <v>58</v>
      </c>
      <c r="D166" s="1" t="s">
        <v>795</v>
      </c>
      <c r="E166" s="1" t="n">
        <v>6</v>
      </c>
      <c r="F166" s="1" t="n">
        <v>515.55</v>
      </c>
      <c r="G166" s="1" t="n">
        <v>0.1</v>
      </c>
      <c r="H166" s="1" t="s">
        <v>1336</v>
      </c>
      <c r="I166" s="1" t="n">
        <v>2783.97</v>
      </c>
      <c r="J166" s="1" t="str">
        <f aca="false">VLOOKUP(B166,Customers!$A$2:$G$502,6,FALSE())</f>
        <v>Small Business</v>
      </c>
      <c r="K166" s="1" t="str">
        <f aca="false">VLOOKUP(C166,Products!$A$2:$E$62,3,FALSE())</f>
        <v>Furniture</v>
      </c>
      <c r="L166" s="1" t="str">
        <f aca="false">TEXT(D166,"yyyy-mm")</f>
        <v>2023-12</v>
      </c>
    </row>
    <row r="167" customFormat="false" ht="15" hidden="false" customHeight="true" outlineLevel="0" collapsed="false">
      <c r="A167" s="1" t="n">
        <v>168</v>
      </c>
      <c r="B167" s="1" t="n">
        <v>376</v>
      </c>
      <c r="C167" s="1" t="n">
        <v>22</v>
      </c>
      <c r="D167" s="1" t="s">
        <v>1405</v>
      </c>
      <c r="E167" s="1" t="n">
        <v>3</v>
      </c>
      <c r="F167" s="1" t="n">
        <v>38.57</v>
      </c>
      <c r="G167" s="1" t="n">
        <v>0</v>
      </c>
      <c r="H167" s="1" t="s">
        <v>1370</v>
      </c>
      <c r="I167" s="1" t="n">
        <v>115.71</v>
      </c>
      <c r="J167" s="1" t="str">
        <f aca="false">VLOOKUP(B167,Customers!$A$2:$G$502,6,FALSE())</f>
        <v>Consumer</v>
      </c>
      <c r="K167" s="1" t="str">
        <f aca="false">VLOOKUP(C167,Products!$A$2:$E$62,3,FALSE())</f>
        <v>Office Supplies</v>
      </c>
      <c r="L167" s="1" t="str">
        <f aca="false">TEXT(D167,"yyyy-mm")</f>
        <v>2024-03</v>
      </c>
    </row>
    <row r="168" customFormat="false" ht="15" hidden="false" customHeight="true" outlineLevel="0" collapsed="false">
      <c r="A168" s="1" t="n">
        <v>169</v>
      </c>
      <c r="B168" s="1" t="n">
        <v>473</v>
      </c>
      <c r="C168" s="1" t="n">
        <v>39</v>
      </c>
      <c r="D168" s="1" t="s">
        <v>1406</v>
      </c>
      <c r="E168" s="1" t="n">
        <v>8</v>
      </c>
      <c r="F168" s="1" t="n">
        <v>400.02</v>
      </c>
      <c r="G168" s="1" t="n">
        <v>0.15</v>
      </c>
      <c r="H168" s="1" t="s">
        <v>1336</v>
      </c>
      <c r="I168" s="1" t="n">
        <v>2720.14</v>
      </c>
      <c r="J168" s="1" t="str">
        <f aca="false">VLOOKUP(B168,Customers!$A$2:$G$502,6,FALSE())</f>
        <v>Small Business</v>
      </c>
      <c r="K168" s="1" t="str">
        <f aca="false">VLOOKUP(C168,Products!$A$2:$E$62,3,FALSE())</f>
        <v>Software</v>
      </c>
      <c r="L168" s="1" t="str">
        <f aca="false">TEXT(D168,"yyyy-mm")</f>
        <v>2023-11</v>
      </c>
    </row>
    <row r="169" customFormat="false" ht="15" hidden="false" customHeight="true" outlineLevel="0" collapsed="false">
      <c r="A169" s="1" t="n">
        <v>170</v>
      </c>
      <c r="B169" s="1" t="n">
        <v>294</v>
      </c>
      <c r="C169" s="1" t="n">
        <v>4</v>
      </c>
      <c r="D169" s="1" t="s">
        <v>467</v>
      </c>
      <c r="E169" s="1" t="n">
        <v>8</v>
      </c>
      <c r="F169" s="1" t="n">
        <v>56.24</v>
      </c>
      <c r="G169" s="1" t="n">
        <v>0</v>
      </c>
      <c r="H169" s="1" t="s">
        <v>1336</v>
      </c>
      <c r="I169" s="1" t="n">
        <v>449.92</v>
      </c>
      <c r="J169" s="1" t="str">
        <f aca="false">VLOOKUP(B169,Customers!$A$2:$G$502,6,FALSE())</f>
        <v>Consumer</v>
      </c>
      <c r="K169" s="1" t="str">
        <f aca="false">VLOOKUP(C169,Products!$A$2:$E$62,3,FALSE())</f>
        <v>Electronics</v>
      </c>
      <c r="L169" s="1" t="str">
        <f aca="false">TEXT(D169,"yyyy-mm")</f>
        <v>2024-11</v>
      </c>
    </row>
    <row r="170" customFormat="false" ht="15" hidden="false" customHeight="true" outlineLevel="0" collapsed="false">
      <c r="A170" s="1" t="n">
        <v>172</v>
      </c>
      <c r="B170" s="1" t="n">
        <v>58</v>
      </c>
      <c r="C170" s="1" t="n">
        <v>39</v>
      </c>
      <c r="D170" s="1" t="s">
        <v>1407</v>
      </c>
      <c r="E170" s="1" t="n">
        <v>6</v>
      </c>
      <c r="F170" s="1" t="n">
        <v>400.02</v>
      </c>
      <c r="G170" s="1" t="n">
        <v>0.1</v>
      </c>
      <c r="H170" s="1" t="s">
        <v>1336</v>
      </c>
      <c r="I170" s="1" t="n">
        <v>2160.11</v>
      </c>
      <c r="J170" s="1" t="str">
        <f aca="false">VLOOKUP(B170,Customers!$A$2:$G$502,6,FALSE())</f>
        <v>Consumer</v>
      </c>
      <c r="K170" s="1" t="str">
        <f aca="false">VLOOKUP(C170,Products!$A$2:$E$62,3,FALSE())</f>
        <v>Software</v>
      </c>
      <c r="L170" s="1" t="str">
        <f aca="false">TEXT(D170,"yyyy-mm")</f>
        <v>2023-06</v>
      </c>
    </row>
    <row r="171" customFormat="false" ht="15" hidden="false" customHeight="true" outlineLevel="0" collapsed="false">
      <c r="A171" s="1" t="n">
        <v>173</v>
      </c>
      <c r="B171" s="1" t="n">
        <v>401</v>
      </c>
      <c r="C171" s="1" t="n">
        <v>45</v>
      </c>
      <c r="D171" s="1" t="s">
        <v>443</v>
      </c>
      <c r="E171" s="1" t="n">
        <v>7</v>
      </c>
      <c r="F171" s="1" t="n">
        <v>560.01</v>
      </c>
      <c r="G171" s="1" t="n">
        <v>0.05</v>
      </c>
      <c r="H171" s="1" t="s">
        <v>1336</v>
      </c>
      <c r="I171" s="1" t="n">
        <v>3724.07</v>
      </c>
      <c r="J171" s="1" t="str">
        <f aca="false">VLOOKUP(B171,Customers!$A$2:$G$502,6,FALSE())</f>
        <v>Consumer</v>
      </c>
      <c r="K171" s="1" t="str">
        <f aca="false">VLOOKUP(C171,Products!$A$2:$E$62,3,FALSE())</f>
        <v>Software</v>
      </c>
      <c r="L171" s="1" t="str">
        <f aca="false">TEXT(D171,"yyyy-mm")</f>
        <v>2023-08</v>
      </c>
    </row>
    <row r="172" customFormat="false" ht="15" hidden="false" customHeight="true" outlineLevel="0" collapsed="false">
      <c r="A172" s="1" t="n">
        <v>174</v>
      </c>
      <c r="B172" s="1" t="n">
        <v>496</v>
      </c>
      <c r="C172" s="1" t="n">
        <v>10</v>
      </c>
      <c r="D172" s="1" t="s">
        <v>1368</v>
      </c>
      <c r="E172" s="1" t="n">
        <v>2</v>
      </c>
      <c r="F172" s="1" t="n">
        <v>251.58</v>
      </c>
      <c r="G172" s="1" t="n">
        <v>0.2</v>
      </c>
      <c r="H172" s="1" t="s">
        <v>1336</v>
      </c>
      <c r="I172" s="1" t="n">
        <v>402.53</v>
      </c>
      <c r="J172" s="1" t="str">
        <f aca="false">VLOOKUP(B172,Customers!$A$2:$G$502,6,FALSE())</f>
        <v>Small Business</v>
      </c>
      <c r="K172" s="1" t="str">
        <f aca="false">VLOOKUP(C172,Products!$A$2:$E$62,3,FALSE())</f>
        <v>Electronics</v>
      </c>
      <c r="L172" s="1" t="str">
        <f aca="false">TEXT(D172,"yyyy-mm")</f>
        <v>2024-09</v>
      </c>
    </row>
    <row r="173" customFormat="false" ht="15" hidden="false" customHeight="true" outlineLevel="0" collapsed="false">
      <c r="A173" s="1" t="n">
        <v>175</v>
      </c>
      <c r="B173" s="1" t="n">
        <v>122</v>
      </c>
      <c r="C173" s="1" t="n">
        <v>43</v>
      </c>
      <c r="D173" s="1" t="s">
        <v>975</v>
      </c>
      <c r="E173" s="1" t="n">
        <v>2</v>
      </c>
      <c r="F173" s="1" t="n">
        <v>186.31</v>
      </c>
      <c r="G173" s="1" t="n">
        <v>0.15</v>
      </c>
      <c r="H173" s="1" t="s">
        <v>1336</v>
      </c>
      <c r="I173" s="1" t="n">
        <v>316.73</v>
      </c>
      <c r="J173" s="1" t="str">
        <f aca="false">VLOOKUP(B173,Customers!$A$2:$G$502,6,FALSE())</f>
        <v>Corporate</v>
      </c>
      <c r="K173" s="1" t="str">
        <f aca="false">VLOOKUP(C173,Products!$A$2:$E$62,3,FALSE())</f>
        <v>Software</v>
      </c>
      <c r="L173" s="1" t="str">
        <f aca="false">TEXT(D173,"yyyy-mm")</f>
        <v>2024-03</v>
      </c>
    </row>
    <row r="174" customFormat="false" ht="15" hidden="false" customHeight="true" outlineLevel="0" collapsed="false">
      <c r="A174" s="1" t="n">
        <v>176</v>
      </c>
      <c r="B174" s="1" t="n">
        <v>329</v>
      </c>
      <c r="C174" s="1" t="n">
        <v>17</v>
      </c>
      <c r="D174" s="1" t="s">
        <v>365</v>
      </c>
      <c r="E174" s="1" t="n">
        <v>1</v>
      </c>
      <c r="F174" s="1" t="n">
        <v>65.61</v>
      </c>
      <c r="G174" s="1" t="n">
        <v>0</v>
      </c>
      <c r="H174" s="1" t="s">
        <v>1336</v>
      </c>
      <c r="I174" s="1" t="n">
        <v>65.61</v>
      </c>
      <c r="J174" s="1" t="str">
        <f aca="false">VLOOKUP(B174,Customers!$A$2:$G$502,6,FALSE())</f>
        <v>Consumer</v>
      </c>
      <c r="K174" s="1" t="str">
        <f aca="false">VLOOKUP(C174,Products!$A$2:$E$62,3,FALSE())</f>
        <v>Electronics</v>
      </c>
      <c r="L174" s="1" t="str">
        <f aca="false">TEXT(D174,"yyyy-mm")</f>
        <v>2023-04</v>
      </c>
    </row>
    <row r="175" customFormat="false" ht="15" hidden="false" customHeight="true" outlineLevel="0" collapsed="false">
      <c r="A175" s="1" t="n">
        <v>177</v>
      </c>
      <c r="B175" s="1" t="n">
        <v>386</v>
      </c>
      <c r="C175" s="1" t="n">
        <v>60</v>
      </c>
      <c r="D175" s="1" t="s">
        <v>611</v>
      </c>
      <c r="E175" s="1" t="n">
        <v>8</v>
      </c>
      <c r="F175" s="1" t="n">
        <v>584.98</v>
      </c>
      <c r="G175" s="1" t="n">
        <v>0</v>
      </c>
      <c r="H175" s="1" t="s">
        <v>1336</v>
      </c>
      <c r="I175" s="1" t="n">
        <v>4679.84</v>
      </c>
      <c r="J175" s="1" t="str">
        <f aca="false">VLOOKUP(B175,Customers!$A$2:$G$502,6,FALSE())</f>
        <v>Consumer</v>
      </c>
      <c r="K175" s="1" t="str">
        <f aca="false">VLOOKUP(C175,Products!$A$2:$E$62,3,FALSE())</f>
        <v>Furniture</v>
      </c>
      <c r="L175" s="1" t="str">
        <f aca="false">TEXT(D175,"yyyy-mm")</f>
        <v>2024-06</v>
      </c>
    </row>
    <row r="176" customFormat="false" ht="15" hidden="false" customHeight="true" outlineLevel="0" collapsed="false">
      <c r="A176" s="1" t="n">
        <v>178</v>
      </c>
      <c r="B176" s="1" t="n">
        <v>446</v>
      </c>
      <c r="C176" s="1" t="n">
        <v>28</v>
      </c>
      <c r="D176" s="1" t="s">
        <v>890</v>
      </c>
      <c r="E176" s="1" t="n">
        <v>1</v>
      </c>
      <c r="F176" s="1" t="n">
        <v>505.23</v>
      </c>
      <c r="G176" s="1" t="n">
        <v>0</v>
      </c>
      <c r="H176" s="1" t="s">
        <v>1346</v>
      </c>
      <c r="I176" s="1" t="n">
        <v>505.23</v>
      </c>
      <c r="J176" s="1" t="str">
        <f aca="false">VLOOKUP(B176,Customers!$A$2:$G$502,6,FALSE())</f>
        <v>Small Business</v>
      </c>
      <c r="K176" s="1" t="str">
        <f aca="false">VLOOKUP(C176,Products!$A$2:$E$62,3,FALSE())</f>
        <v>Office Supplies</v>
      </c>
      <c r="L176" s="1" t="str">
        <f aca="false">TEXT(D176,"yyyy-mm")</f>
        <v>2023-01</v>
      </c>
    </row>
    <row r="177" customFormat="false" ht="15" hidden="false" customHeight="true" outlineLevel="0" collapsed="false">
      <c r="A177" s="1" t="n">
        <v>179</v>
      </c>
      <c r="B177" s="1" t="n">
        <v>350</v>
      </c>
      <c r="C177" s="1" t="n">
        <v>3</v>
      </c>
      <c r="D177" s="1" t="s">
        <v>578</v>
      </c>
      <c r="E177" s="1" t="n">
        <v>9</v>
      </c>
      <c r="F177" s="1" t="n">
        <v>89.39</v>
      </c>
      <c r="G177" s="1" t="n">
        <v>0.1</v>
      </c>
      <c r="H177" s="1" t="s">
        <v>1336</v>
      </c>
      <c r="I177" s="1" t="n">
        <v>724.06</v>
      </c>
      <c r="J177" s="1" t="str">
        <f aca="false">VLOOKUP(B177,Customers!$A$2:$G$502,6,FALSE())</f>
        <v>Consumer</v>
      </c>
      <c r="K177" s="1" t="str">
        <f aca="false">VLOOKUP(C177,Products!$A$2:$E$62,3,FALSE())</f>
        <v>Electronics</v>
      </c>
      <c r="L177" s="1" t="str">
        <f aca="false">TEXT(D177,"yyyy-mm")</f>
        <v>2023-04</v>
      </c>
    </row>
    <row r="178" customFormat="false" ht="15" hidden="false" customHeight="true" outlineLevel="0" collapsed="false">
      <c r="A178" s="1" t="n">
        <v>180</v>
      </c>
      <c r="B178" s="1" t="n">
        <v>440</v>
      </c>
      <c r="C178" s="1" t="n">
        <v>18</v>
      </c>
      <c r="D178" s="1" t="s">
        <v>1408</v>
      </c>
      <c r="E178" s="1" t="n">
        <v>6</v>
      </c>
      <c r="F178" s="1" t="n">
        <v>747.34</v>
      </c>
      <c r="G178" s="1" t="n">
        <v>0</v>
      </c>
      <c r="H178" s="1" t="s">
        <v>1336</v>
      </c>
      <c r="I178" s="1" t="n">
        <v>4484.04</v>
      </c>
      <c r="J178" s="1" t="str">
        <f aca="false">VLOOKUP(B178,Customers!$A$2:$G$502,6,FALSE())</f>
        <v>Small Business</v>
      </c>
      <c r="K178" s="1" t="str">
        <f aca="false">VLOOKUP(C178,Products!$A$2:$E$62,3,FALSE())</f>
        <v>Electronics</v>
      </c>
      <c r="L178" s="1" t="str">
        <f aca="false">TEXT(D178,"yyyy-mm")</f>
        <v>2023-12</v>
      </c>
    </row>
    <row r="179" customFormat="false" ht="15" hidden="false" customHeight="true" outlineLevel="0" collapsed="false">
      <c r="A179" s="1" t="n">
        <v>181</v>
      </c>
      <c r="B179" s="1" t="n">
        <v>396</v>
      </c>
      <c r="C179" s="1" t="n">
        <v>44</v>
      </c>
      <c r="D179" s="1" t="s">
        <v>1409</v>
      </c>
      <c r="E179" s="1" t="n">
        <v>7</v>
      </c>
      <c r="F179" s="1" t="n">
        <v>508.26</v>
      </c>
      <c r="G179" s="1" t="n">
        <v>0.15</v>
      </c>
      <c r="H179" s="1" t="s">
        <v>1336</v>
      </c>
      <c r="I179" s="1" t="n">
        <v>3024.15</v>
      </c>
      <c r="J179" s="1" t="str">
        <f aca="false">VLOOKUP(B179,Customers!$A$2:$G$502,6,FALSE())</f>
        <v>Small Business</v>
      </c>
      <c r="K179" s="1" t="str">
        <f aca="false">VLOOKUP(C179,Products!$A$2:$E$62,3,FALSE())</f>
        <v>Software</v>
      </c>
      <c r="L179" s="1" t="str">
        <f aca="false">TEXT(D179,"yyyy-mm")</f>
        <v>2023-09</v>
      </c>
    </row>
    <row r="180" customFormat="false" ht="15" hidden="false" customHeight="true" outlineLevel="0" collapsed="false">
      <c r="A180" s="1" t="n">
        <v>182</v>
      </c>
      <c r="B180" s="1" t="n">
        <v>93</v>
      </c>
      <c r="C180" s="1" t="n">
        <v>21</v>
      </c>
      <c r="D180" s="1" t="s">
        <v>1410</v>
      </c>
      <c r="E180" s="1" t="n">
        <v>7</v>
      </c>
      <c r="F180" s="1" t="n">
        <v>84.91</v>
      </c>
      <c r="G180" s="1" t="n">
        <v>0</v>
      </c>
      <c r="H180" s="1" t="s">
        <v>1336</v>
      </c>
      <c r="I180" s="1" t="n">
        <v>594.37</v>
      </c>
      <c r="J180" s="1" t="str">
        <f aca="false">VLOOKUP(B180,Customers!$A$2:$G$502,6,FALSE())</f>
        <v>Consumer</v>
      </c>
      <c r="K180" s="1" t="str">
        <f aca="false">VLOOKUP(C180,Products!$A$2:$E$62,3,FALSE())</f>
        <v>Office Supplies</v>
      </c>
      <c r="L180" s="1" t="str">
        <f aca="false">TEXT(D180,"yyyy-mm")</f>
        <v>2024-07</v>
      </c>
    </row>
    <row r="181" customFormat="false" ht="15" hidden="false" customHeight="true" outlineLevel="0" collapsed="false">
      <c r="A181" s="1" t="n">
        <v>183</v>
      </c>
      <c r="B181" s="1" t="n">
        <v>54</v>
      </c>
      <c r="C181" s="1" t="n">
        <v>44</v>
      </c>
      <c r="D181" s="1" t="s">
        <v>664</v>
      </c>
      <c r="E181" s="1" t="n">
        <v>3</v>
      </c>
      <c r="F181" s="1" t="n">
        <v>508.26</v>
      </c>
      <c r="G181" s="1" t="n">
        <v>0</v>
      </c>
      <c r="H181" s="1" t="s">
        <v>1336</v>
      </c>
      <c r="I181" s="1" t="n">
        <v>1524.78</v>
      </c>
      <c r="J181" s="1" t="str">
        <f aca="false">VLOOKUP(B181,Customers!$A$2:$G$502,6,FALSE())</f>
        <v>Consumer</v>
      </c>
      <c r="K181" s="1" t="str">
        <f aca="false">VLOOKUP(C181,Products!$A$2:$E$62,3,FALSE())</f>
        <v>Software</v>
      </c>
      <c r="L181" s="1" t="str">
        <f aca="false">TEXT(D181,"yyyy-mm")</f>
        <v>2024-04</v>
      </c>
    </row>
    <row r="182" customFormat="false" ht="15" hidden="false" customHeight="true" outlineLevel="0" collapsed="false">
      <c r="A182" s="1" t="n">
        <v>184</v>
      </c>
      <c r="B182" s="1" t="n">
        <v>48</v>
      </c>
      <c r="C182" s="1" t="n">
        <v>4</v>
      </c>
      <c r="D182" s="1" t="s">
        <v>1371</v>
      </c>
      <c r="E182" s="1" t="n">
        <v>2</v>
      </c>
      <c r="F182" s="1" t="n">
        <v>56.24</v>
      </c>
      <c r="G182" s="1" t="n">
        <v>0.15</v>
      </c>
      <c r="H182" s="1" t="s">
        <v>1346</v>
      </c>
      <c r="I182" s="1" t="n">
        <v>95.61</v>
      </c>
      <c r="J182" s="1" t="str">
        <f aca="false">VLOOKUP(B182,Customers!$A$2:$G$502,6,FALSE())</f>
        <v>Small Business</v>
      </c>
      <c r="K182" s="1" t="str">
        <f aca="false">VLOOKUP(C182,Products!$A$2:$E$62,3,FALSE())</f>
        <v>Electronics</v>
      </c>
      <c r="L182" s="1" t="str">
        <f aca="false">TEXT(D182,"yyyy-mm")</f>
        <v>2024-08</v>
      </c>
    </row>
    <row r="183" customFormat="false" ht="15" hidden="false" customHeight="true" outlineLevel="0" collapsed="false">
      <c r="A183" s="1" t="n">
        <v>185</v>
      </c>
      <c r="B183" s="1" t="n">
        <v>491</v>
      </c>
      <c r="C183" s="1" t="n">
        <v>8</v>
      </c>
      <c r="D183" s="1" t="s">
        <v>1411</v>
      </c>
      <c r="E183" s="1" t="n">
        <v>9</v>
      </c>
      <c r="F183" s="1" t="n">
        <v>104.4</v>
      </c>
      <c r="G183" s="1" t="n">
        <v>0.2</v>
      </c>
      <c r="H183" s="1" t="s">
        <v>1336</v>
      </c>
      <c r="I183" s="1" t="n">
        <v>751.68</v>
      </c>
      <c r="J183" s="1" t="str">
        <f aca="false">VLOOKUP(B183,Customers!$A$2:$G$502,6,FALSE())</f>
        <v>Small Business</v>
      </c>
      <c r="K183" s="1" t="str">
        <f aca="false">VLOOKUP(C183,Products!$A$2:$E$62,3,FALSE())</f>
        <v>Electronics</v>
      </c>
      <c r="L183" s="1" t="str">
        <f aca="false">TEXT(D183,"yyyy-mm")</f>
        <v>2023-03</v>
      </c>
    </row>
    <row r="184" customFormat="false" ht="15" hidden="false" customHeight="true" outlineLevel="0" collapsed="false">
      <c r="A184" s="1" t="n">
        <v>186</v>
      </c>
      <c r="B184" s="1" t="n">
        <v>412</v>
      </c>
      <c r="C184" s="1" t="n">
        <v>12</v>
      </c>
      <c r="D184" s="1" t="s">
        <v>946</v>
      </c>
      <c r="E184" s="1" t="n">
        <v>8</v>
      </c>
      <c r="F184" s="1" t="n">
        <v>179.23</v>
      </c>
      <c r="G184" s="1" t="n">
        <v>0.15</v>
      </c>
      <c r="H184" s="1" t="s">
        <v>1336</v>
      </c>
      <c r="I184" s="1" t="n">
        <v>1218.76</v>
      </c>
      <c r="J184" s="1" t="str">
        <f aca="false">VLOOKUP(B184,Customers!$A$2:$G$502,6,FALSE())</f>
        <v>Corporate</v>
      </c>
      <c r="K184" s="1" t="str">
        <f aca="false">VLOOKUP(C184,Products!$A$2:$E$62,3,FALSE())</f>
        <v>Electronics</v>
      </c>
      <c r="L184" s="1" t="str">
        <f aca="false">TEXT(D184,"yyyy-mm")</f>
        <v>2023-04</v>
      </c>
    </row>
    <row r="185" customFormat="false" ht="15" hidden="false" customHeight="true" outlineLevel="0" collapsed="false">
      <c r="A185" s="1" t="n">
        <v>187</v>
      </c>
      <c r="B185" s="1" t="n">
        <v>233</v>
      </c>
      <c r="C185" s="1" t="n">
        <v>60</v>
      </c>
      <c r="D185" s="1" t="s">
        <v>254</v>
      </c>
      <c r="E185" s="1" t="n">
        <v>7</v>
      </c>
      <c r="F185" s="1" t="n">
        <v>584.98</v>
      </c>
      <c r="G185" s="1" t="n">
        <v>0.2</v>
      </c>
      <c r="H185" s="1" t="s">
        <v>1336</v>
      </c>
      <c r="I185" s="1" t="n">
        <v>3275.89</v>
      </c>
      <c r="J185" s="1" t="str">
        <f aca="false">VLOOKUP(B185,Customers!$A$2:$G$502,6,FALSE())</f>
        <v>Corporate</v>
      </c>
      <c r="K185" s="1" t="str">
        <f aca="false">VLOOKUP(C185,Products!$A$2:$E$62,3,FALSE())</f>
        <v>Furniture</v>
      </c>
      <c r="L185" s="1" t="str">
        <f aca="false">TEXT(D185,"yyyy-mm")</f>
        <v>2023-10</v>
      </c>
    </row>
    <row r="186" customFormat="false" ht="15" hidden="false" customHeight="true" outlineLevel="0" collapsed="false">
      <c r="A186" s="1" t="n">
        <v>188</v>
      </c>
      <c r="B186" s="1" t="n">
        <v>83</v>
      </c>
      <c r="C186" s="1" t="n">
        <v>50</v>
      </c>
      <c r="D186" s="1" t="s">
        <v>127</v>
      </c>
      <c r="E186" s="1" t="n">
        <v>9</v>
      </c>
      <c r="F186" s="1" t="n">
        <v>19.73</v>
      </c>
      <c r="G186" s="1" t="n">
        <v>0</v>
      </c>
      <c r="H186" s="1" t="s">
        <v>1336</v>
      </c>
      <c r="I186" s="1" t="n">
        <v>177.57</v>
      </c>
      <c r="J186" s="1" t="str">
        <f aca="false">VLOOKUP(B186,Customers!$A$2:$G$502,6,FALSE())</f>
        <v>Corporate</v>
      </c>
      <c r="K186" s="1" t="str">
        <f aca="false">VLOOKUP(C186,Products!$A$2:$E$62,3,FALSE())</f>
        <v>Software</v>
      </c>
      <c r="L186" s="1" t="str">
        <f aca="false">TEXT(D186,"yyyy-mm")</f>
        <v>2023-03</v>
      </c>
    </row>
    <row r="187" customFormat="false" ht="15" hidden="false" customHeight="true" outlineLevel="0" collapsed="false">
      <c r="A187" s="1" t="n">
        <v>189</v>
      </c>
      <c r="B187" s="1" t="n">
        <v>490</v>
      </c>
      <c r="C187" s="1" t="n">
        <v>53</v>
      </c>
      <c r="D187" s="1" t="s">
        <v>1412</v>
      </c>
      <c r="E187" s="1" t="n">
        <v>4</v>
      </c>
      <c r="F187" s="1" t="n">
        <v>509.98</v>
      </c>
      <c r="G187" s="1" t="n">
        <v>0</v>
      </c>
      <c r="H187" s="1" t="s">
        <v>1336</v>
      </c>
      <c r="I187" s="1" t="n">
        <v>2039.92</v>
      </c>
      <c r="J187" s="1" t="str">
        <f aca="false">VLOOKUP(B187,Customers!$A$2:$G$502,6,FALSE())</f>
        <v>Consumer</v>
      </c>
      <c r="K187" s="1" t="str">
        <f aca="false">VLOOKUP(C187,Products!$A$2:$E$62,3,FALSE())</f>
        <v>Software</v>
      </c>
      <c r="L187" s="1" t="str">
        <f aca="false">TEXT(D187,"yyyy-mm")</f>
        <v>2023-09</v>
      </c>
    </row>
    <row r="188" customFormat="false" ht="15" hidden="false" customHeight="true" outlineLevel="0" collapsed="false">
      <c r="A188" s="1" t="n">
        <v>190</v>
      </c>
      <c r="B188" s="1" t="n">
        <v>92</v>
      </c>
      <c r="C188" s="1" t="n">
        <v>42</v>
      </c>
      <c r="D188" s="1" t="s">
        <v>1348</v>
      </c>
      <c r="E188" s="1" t="n">
        <v>4</v>
      </c>
      <c r="F188" s="1" t="n">
        <v>174.48</v>
      </c>
      <c r="G188" s="1" t="n">
        <v>0</v>
      </c>
      <c r="H188" s="1" t="s">
        <v>1336</v>
      </c>
      <c r="I188" s="1" t="n">
        <v>697.92</v>
      </c>
      <c r="J188" s="1" t="str">
        <f aca="false">VLOOKUP(B188,Customers!$A$2:$G$502,6,FALSE())</f>
        <v>Corporate</v>
      </c>
      <c r="K188" s="1" t="str">
        <f aca="false">VLOOKUP(C188,Products!$A$2:$E$62,3,FALSE())</f>
        <v>Software</v>
      </c>
      <c r="L188" s="1" t="str">
        <f aca="false">TEXT(D188,"yyyy-mm")</f>
        <v>2024-05</v>
      </c>
    </row>
    <row r="189" customFormat="false" ht="15" hidden="false" customHeight="true" outlineLevel="0" collapsed="false">
      <c r="A189" s="1" t="n">
        <v>191</v>
      </c>
      <c r="B189" s="1" t="n">
        <v>468</v>
      </c>
      <c r="C189" s="1" t="n">
        <v>29</v>
      </c>
      <c r="D189" s="1" t="s">
        <v>1413</v>
      </c>
      <c r="E189" s="1" t="n">
        <v>1</v>
      </c>
      <c r="F189" s="1" t="n">
        <v>54.62</v>
      </c>
      <c r="G189" s="1" t="n">
        <v>0</v>
      </c>
      <c r="H189" s="1" t="s">
        <v>1336</v>
      </c>
      <c r="I189" s="1" t="n">
        <v>54.62</v>
      </c>
      <c r="J189" s="1" t="str">
        <f aca="false">VLOOKUP(B189,Customers!$A$2:$G$502,6,FALSE())</f>
        <v>Small Business</v>
      </c>
      <c r="K189" s="1" t="str">
        <f aca="false">VLOOKUP(C189,Products!$A$2:$E$62,3,FALSE())</f>
        <v>Office Supplies</v>
      </c>
      <c r="L189" s="1" t="str">
        <f aca="false">TEXT(D189,"yyyy-mm")</f>
        <v>2023-09</v>
      </c>
    </row>
    <row r="190" customFormat="false" ht="15" hidden="false" customHeight="true" outlineLevel="0" collapsed="false">
      <c r="A190" s="1" t="n">
        <v>192</v>
      </c>
      <c r="B190" s="1" t="n">
        <v>10</v>
      </c>
      <c r="C190" s="1" t="n">
        <v>58</v>
      </c>
      <c r="D190" s="1" t="s">
        <v>1414</v>
      </c>
      <c r="E190" s="1" t="n">
        <v>8</v>
      </c>
      <c r="F190" s="1" t="n">
        <v>515.55</v>
      </c>
      <c r="G190" s="1" t="n">
        <v>0</v>
      </c>
      <c r="H190" s="1" t="s">
        <v>1336</v>
      </c>
      <c r="I190" s="1" t="n">
        <v>4124.4</v>
      </c>
      <c r="J190" s="1" t="str">
        <f aca="false">VLOOKUP(B190,Customers!$A$2:$G$502,6,FALSE())</f>
        <v>Small Business</v>
      </c>
      <c r="K190" s="1" t="str">
        <f aca="false">VLOOKUP(C190,Products!$A$2:$E$62,3,FALSE())</f>
        <v>Furniture</v>
      </c>
      <c r="L190" s="1" t="str">
        <f aca="false">TEXT(D190,"yyyy-mm")</f>
        <v>2024-05</v>
      </c>
    </row>
    <row r="191" customFormat="false" ht="15" hidden="false" customHeight="true" outlineLevel="0" collapsed="false">
      <c r="A191" s="1" t="n">
        <v>193</v>
      </c>
      <c r="B191" s="1" t="n">
        <v>78</v>
      </c>
      <c r="C191" s="1" t="n">
        <v>45</v>
      </c>
      <c r="D191" s="1" t="s">
        <v>1415</v>
      </c>
      <c r="E191" s="1" t="n">
        <v>3</v>
      </c>
      <c r="F191" s="1" t="n">
        <v>560.01</v>
      </c>
      <c r="G191" s="1" t="n">
        <v>0.05</v>
      </c>
      <c r="H191" s="1" t="s">
        <v>1336</v>
      </c>
      <c r="I191" s="1" t="n">
        <v>1596.03</v>
      </c>
      <c r="J191" s="1" t="str">
        <f aca="false">VLOOKUP(B191,Customers!$A$2:$G$502,6,FALSE())</f>
        <v>Consumer</v>
      </c>
      <c r="K191" s="1" t="str">
        <f aca="false">VLOOKUP(C191,Products!$A$2:$E$62,3,FALSE())</f>
        <v>Software</v>
      </c>
      <c r="L191" s="1" t="str">
        <f aca="false">TEXT(D191,"yyyy-mm")</f>
        <v>2023-12</v>
      </c>
    </row>
    <row r="192" customFormat="false" ht="15" hidden="false" customHeight="true" outlineLevel="0" collapsed="false">
      <c r="A192" s="1" t="n">
        <v>194</v>
      </c>
      <c r="B192" s="1" t="n">
        <v>224</v>
      </c>
      <c r="C192" s="1" t="n">
        <v>26</v>
      </c>
      <c r="D192" s="1" t="s">
        <v>167</v>
      </c>
      <c r="E192" s="1" t="n">
        <v>7</v>
      </c>
      <c r="F192" s="1" t="n">
        <v>733.85</v>
      </c>
      <c r="G192" s="1" t="n">
        <v>0.1</v>
      </c>
      <c r="H192" s="1" t="s">
        <v>1336</v>
      </c>
      <c r="I192" s="1" t="n">
        <v>4623.26</v>
      </c>
      <c r="J192" s="1" t="str">
        <f aca="false">VLOOKUP(B192,Customers!$A$2:$G$502,6,FALSE())</f>
        <v>Consumer</v>
      </c>
      <c r="K192" s="1" t="str">
        <f aca="false">VLOOKUP(C192,Products!$A$2:$E$62,3,FALSE())</f>
        <v>Office Supplies</v>
      </c>
      <c r="L192" s="1" t="str">
        <f aca="false">TEXT(D192,"yyyy-mm")</f>
        <v>2023-03</v>
      </c>
    </row>
    <row r="193" customFormat="false" ht="15" hidden="false" customHeight="true" outlineLevel="0" collapsed="false">
      <c r="A193" s="1" t="n">
        <v>195</v>
      </c>
      <c r="B193" s="1" t="n">
        <v>63</v>
      </c>
      <c r="C193" s="1" t="n">
        <v>37</v>
      </c>
      <c r="D193" s="1" t="s">
        <v>1416</v>
      </c>
      <c r="E193" s="1" t="n">
        <v>2</v>
      </c>
      <c r="F193" s="1" t="n">
        <v>13.95</v>
      </c>
      <c r="G193" s="1" t="n">
        <v>0</v>
      </c>
      <c r="H193" s="1" t="s">
        <v>1336</v>
      </c>
      <c r="I193" s="1" t="n">
        <v>27.9</v>
      </c>
      <c r="J193" s="1" t="str">
        <f aca="false">VLOOKUP(B193,Customers!$A$2:$G$502,6,FALSE())</f>
        <v>Consumer</v>
      </c>
      <c r="K193" s="1" t="str">
        <f aca="false">VLOOKUP(C193,Products!$A$2:$E$62,3,FALSE())</f>
        <v>Software</v>
      </c>
      <c r="L193" s="1" t="str">
        <f aca="false">TEXT(D193,"yyyy-mm")</f>
        <v>2024-07</v>
      </c>
    </row>
    <row r="194" customFormat="false" ht="15" hidden="false" customHeight="true" outlineLevel="0" collapsed="false">
      <c r="A194" s="1" t="n">
        <v>196</v>
      </c>
      <c r="B194" s="1" t="n">
        <v>332</v>
      </c>
      <c r="C194" s="1" t="n">
        <v>6</v>
      </c>
      <c r="D194" s="1" t="s">
        <v>353</v>
      </c>
      <c r="E194" s="1" t="n">
        <v>2</v>
      </c>
      <c r="F194" s="1" t="n">
        <v>28.51</v>
      </c>
      <c r="G194" s="1" t="n">
        <v>0.1</v>
      </c>
      <c r="H194" s="1" t="s">
        <v>1336</v>
      </c>
      <c r="I194" s="1" t="n">
        <v>51.32</v>
      </c>
      <c r="J194" s="1" t="str">
        <f aca="false">VLOOKUP(B194,Customers!$A$2:$G$502,6,FALSE())</f>
        <v>Consumer</v>
      </c>
      <c r="K194" s="1" t="str">
        <f aca="false">VLOOKUP(C194,Products!$A$2:$E$62,3,FALSE())</f>
        <v>Electronics</v>
      </c>
      <c r="L194" s="1" t="str">
        <f aca="false">TEXT(D194,"yyyy-mm")</f>
        <v>2024-01</v>
      </c>
    </row>
    <row r="195" customFormat="false" ht="15" hidden="false" customHeight="true" outlineLevel="0" collapsed="false">
      <c r="A195" s="1" t="n">
        <v>197</v>
      </c>
      <c r="B195" s="1" t="n">
        <v>149</v>
      </c>
      <c r="C195" s="1" t="n">
        <v>42</v>
      </c>
      <c r="D195" s="1" t="s">
        <v>1380</v>
      </c>
      <c r="E195" s="1" t="n">
        <v>7</v>
      </c>
      <c r="F195" s="1" t="n">
        <v>174.48</v>
      </c>
      <c r="G195" s="1" t="n">
        <v>0</v>
      </c>
      <c r="H195" s="1" t="s">
        <v>1336</v>
      </c>
      <c r="I195" s="1" t="n">
        <v>1221.36</v>
      </c>
      <c r="J195" s="1" t="str">
        <f aca="false">VLOOKUP(B195,Customers!$A$2:$G$502,6,FALSE())</f>
        <v>Consumer</v>
      </c>
      <c r="K195" s="1" t="str">
        <f aca="false">VLOOKUP(C195,Products!$A$2:$E$62,3,FALSE())</f>
        <v>Software</v>
      </c>
      <c r="L195" s="1" t="str">
        <f aca="false">TEXT(D195,"yyyy-mm")</f>
        <v>2023-07</v>
      </c>
    </row>
    <row r="196" customFormat="false" ht="15" hidden="false" customHeight="true" outlineLevel="0" collapsed="false">
      <c r="A196" s="1" t="n">
        <v>198</v>
      </c>
      <c r="B196" s="1" t="n">
        <v>200</v>
      </c>
      <c r="C196" s="1" t="n">
        <v>58</v>
      </c>
      <c r="D196" s="1" t="s">
        <v>764</v>
      </c>
      <c r="E196" s="1" t="n">
        <v>6</v>
      </c>
      <c r="F196" s="1" t="n">
        <v>515.55</v>
      </c>
      <c r="G196" s="1" t="n">
        <v>0.15</v>
      </c>
      <c r="H196" s="1" t="s">
        <v>1336</v>
      </c>
      <c r="I196" s="1" t="n">
        <v>2629.3</v>
      </c>
      <c r="J196" s="1" t="str">
        <f aca="false">VLOOKUP(B196,Customers!$A$2:$G$502,6,FALSE())</f>
        <v>Small Business</v>
      </c>
      <c r="K196" s="1" t="str">
        <f aca="false">VLOOKUP(C196,Products!$A$2:$E$62,3,FALSE())</f>
        <v>Furniture</v>
      </c>
      <c r="L196" s="1" t="str">
        <f aca="false">TEXT(D196,"yyyy-mm")</f>
        <v>2023-04</v>
      </c>
    </row>
    <row r="197" customFormat="false" ht="15" hidden="false" customHeight="true" outlineLevel="0" collapsed="false">
      <c r="A197" s="1" t="n">
        <v>199</v>
      </c>
      <c r="B197" s="1" t="n">
        <v>98</v>
      </c>
      <c r="C197" s="1" t="n">
        <v>9</v>
      </c>
      <c r="D197" s="1" t="s">
        <v>328</v>
      </c>
      <c r="E197" s="1" t="n">
        <v>3</v>
      </c>
      <c r="F197" s="1" t="n">
        <v>203.1</v>
      </c>
      <c r="G197" s="1" t="n">
        <v>0</v>
      </c>
      <c r="H197" s="1" t="s">
        <v>1336</v>
      </c>
      <c r="I197" s="1" t="n">
        <v>609.3</v>
      </c>
      <c r="J197" s="1" t="str">
        <f aca="false">VLOOKUP(B197,Customers!$A$2:$G$502,6,FALSE())</f>
        <v>Corporate</v>
      </c>
      <c r="K197" s="1" t="str">
        <f aca="false">VLOOKUP(C197,Products!$A$2:$E$62,3,FALSE())</f>
        <v>Electronics</v>
      </c>
      <c r="L197" s="1" t="str">
        <f aca="false">TEXT(D197,"yyyy-mm")</f>
        <v>2023-02</v>
      </c>
    </row>
    <row r="198" customFormat="false" ht="15" hidden="false" customHeight="true" outlineLevel="0" collapsed="false">
      <c r="A198" s="1" t="n">
        <v>200</v>
      </c>
      <c r="B198" s="1" t="n">
        <v>406</v>
      </c>
      <c r="C198" s="1" t="n">
        <v>35</v>
      </c>
      <c r="D198" s="1" t="s">
        <v>1089</v>
      </c>
      <c r="E198" s="1" t="n">
        <v>9</v>
      </c>
      <c r="F198" s="1" t="n">
        <v>75.78</v>
      </c>
      <c r="G198" s="1" t="n">
        <v>0</v>
      </c>
      <c r="H198" s="1" t="s">
        <v>1336</v>
      </c>
      <c r="I198" s="1" t="n">
        <v>682.02</v>
      </c>
      <c r="J198" s="1" t="str">
        <f aca="false">VLOOKUP(B198,Customers!$A$2:$G$502,6,FALSE())</f>
        <v>Small Business</v>
      </c>
      <c r="K198" s="1" t="str">
        <f aca="false">VLOOKUP(C198,Products!$A$2:$E$62,3,FALSE())</f>
        <v>Software</v>
      </c>
      <c r="L198" s="1" t="str">
        <f aca="false">TEXT(D198,"yyyy-mm")</f>
        <v>2024-10</v>
      </c>
    </row>
    <row r="199" customFormat="false" ht="15" hidden="false" customHeight="true" outlineLevel="0" collapsed="false">
      <c r="A199" s="1" t="n">
        <v>201</v>
      </c>
      <c r="B199" s="1" t="n">
        <v>9</v>
      </c>
      <c r="C199" s="1" t="n">
        <v>3</v>
      </c>
      <c r="D199" s="1" t="s">
        <v>440</v>
      </c>
      <c r="E199" s="1" t="n">
        <v>6</v>
      </c>
      <c r="F199" s="1" t="n">
        <v>89.39</v>
      </c>
      <c r="G199" s="1" t="n">
        <v>0</v>
      </c>
      <c r="H199" s="1" t="s">
        <v>1336</v>
      </c>
      <c r="I199" s="1" t="n">
        <v>536.34</v>
      </c>
      <c r="J199" s="1" t="str">
        <f aca="false">VLOOKUP(B199,Customers!$A$2:$G$502,6,FALSE())</f>
        <v>Small Business</v>
      </c>
      <c r="K199" s="1" t="str">
        <f aca="false">VLOOKUP(C199,Products!$A$2:$E$62,3,FALSE())</f>
        <v>Electronics</v>
      </c>
      <c r="L199" s="1" t="str">
        <f aca="false">TEXT(D199,"yyyy-mm")</f>
        <v>2023-12</v>
      </c>
    </row>
    <row r="200" customFormat="false" ht="15" hidden="false" customHeight="true" outlineLevel="0" collapsed="false">
      <c r="A200" s="1" t="n">
        <v>202</v>
      </c>
      <c r="B200" s="1" t="n">
        <v>335</v>
      </c>
      <c r="C200" s="1" t="n">
        <v>43</v>
      </c>
      <c r="D200" s="1" t="s">
        <v>989</v>
      </c>
      <c r="E200" s="1" t="n">
        <v>6</v>
      </c>
      <c r="F200" s="1" t="n">
        <v>186.31</v>
      </c>
      <c r="G200" s="1" t="n">
        <v>0.05</v>
      </c>
      <c r="H200" s="1" t="s">
        <v>1370</v>
      </c>
      <c r="I200" s="1" t="n">
        <v>1061.97</v>
      </c>
      <c r="J200" s="1" t="str">
        <f aca="false">VLOOKUP(B200,Customers!$A$2:$G$502,6,FALSE())</f>
        <v>Small Business</v>
      </c>
      <c r="K200" s="1" t="str">
        <f aca="false">VLOOKUP(C200,Products!$A$2:$E$62,3,FALSE())</f>
        <v>Software</v>
      </c>
      <c r="L200" s="1" t="str">
        <f aca="false">TEXT(D200,"yyyy-mm")</f>
        <v>2024-06</v>
      </c>
    </row>
    <row r="201" customFormat="false" ht="15" hidden="false" customHeight="true" outlineLevel="0" collapsed="false">
      <c r="A201" s="1" t="n">
        <v>203</v>
      </c>
      <c r="B201" s="1" t="n">
        <v>120</v>
      </c>
      <c r="C201" s="1" t="n">
        <v>60</v>
      </c>
      <c r="D201" s="1" t="s">
        <v>1337</v>
      </c>
      <c r="E201" s="1" t="n">
        <v>1</v>
      </c>
      <c r="F201" s="1" t="n">
        <v>584.98</v>
      </c>
      <c r="G201" s="1" t="n">
        <v>0</v>
      </c>
      <c r="H201" s="1" t="s">
        <v>1336</v>
      </c>
      <c r="I201" s="1" t="n">
        <v>584.98</v>
      </c>
      <c r="J201" s="1" t="str">
        <f aca="false">VLOOKUP(B201,Customers!$A$2:$G$502,6,FALSE())</f>
        <v>Consumer</v>
      </c>
      <c r="K201" s="1" t="str">
        <f aca="false">VLOOKUP(C201,Products!$A$2:$E$62,3,FALSE())</f>
        <v>Furniture</v>
      </c>
      <c r="L201" s="1" t="str">
        <f aca="false">TEXT(D201,"yyyy-mm")</f>
        <v>2023-03</v>
      </c>
    </row>
    <row r="202" customFormat="false" ht="15" hidden="false" customHeight="true" outlineLevel="0" collapsed="false">
      <c r="A202" s="1" t="n">
        <v>204</v>
      </c>
      <c r="B202" s="1" t="n">
        <v>317</v>
      </c>
      <c r="C202" s="1" t="n">
        <v>3</v>
      </c>
      <c r="D202" s="1" t="s">
        <v>94</v>
      </c>
      <c r="E202" s="1" t="n">
        <v>4</v>
      </c>
      <c r="F202" s="1" t="n">
        <v>89.39</v>
      </c>
      <c r="G202" s="1" t="n">
        <v>0.15</v>
      </c>
      <c r="H202" s="1" t="s">
        <v>1336</v>
      </c>
      <c r="I202" s="1" t="n">
        <v>303.93</v>
      </c>
      <c r="J202" s="1" t="str">
        <f aca="false">VLOOKUP(B202,Customers!$A$2:$G$502,6,FALSE())</f>
        <v>Small Business</v>
      </c>
      <c r="K202" s="1" t="str">
        <f aca="false">VLOOKUP(C202,Products!$A$2:$E$62,3,FALSE())</f>
        <v>Electronics</v>
      </c>
      <c r="L202" s="1" t="str">
        <f aca="false">TEXT(D202,"yyyy-mm")</f>
        <v>2023-09</v>
      </c>
    </row>
    <row r="203" customFormat="false" ht="15" hidden="false" customHeight="true" outlineLevel="0" collapsed="false">
      <c r="A203" s="1" t="n">
        <v>205</v>
      </c>
      <c r="B203" s="1" t="n">
        <v>421</v>
      </c>
      <c r="C203" s="1" t="n">
        <v>51</v>
      </c>
      <c r="D203" s="1" t="s">
        <v>578</v>
      </c>
      <c r="E203" s="1" t="n">
        <v>6</v>
      </c>
      <c r="F203" s="1" t="n">
        <v>30.16</v>
      </c>
      <c r="G203" s="1" t="n">
        <v>0.05</v>
      </c>
      <c r="H203" s="1" t="s">
        <v>1336</v>
      </c>
      <c r="I203" s="1" t="n">
        <v>171.91</v>
      </c>
      <c r="J203" s="1" t="str">
        <f aca="false">VLOOKUP(B203,Customers!$A$2:$G$502,6,FALSE())</f>
        <v>Corporate</v>
      </c>
      <c r="K203" s="1" t="str">
        <f aca="false">VLOOKUP(C203,Products!$A$2:$E$62,3,FALSE())</f>
        <v>Software</v>
      </c>
      <c r="L203" s="1" t="str">
        <f aca="false">TEXT(D203,"yyyy-mm")</f>
        <v>2023-04</v>
      </c>
    </row>
    <row r="204" customFormat="false" ht="15" hidden="false" customHeight="true" outlineLevel="0" collapsed="false">
      <c r="A204" s="1" t="n">
        <v>206</v>
      </c>
      <c r="B204" s="1" t="n">
        <v>59</v>
      </c>
      <c r="C204" s="1" t="n">
        <v>32</v>
      </c>
      <c r="D204" s="1" t="s">
        <v>1368</v>
      </c>
      <c r="E204" s="1" t="n">
        <v>6</v>
      </c>
      <c r="F204" s="1" t="n">
        <v>492.27</v>
      </c>
      <c r="G204" s="1" t="n">
        <v>0.2</v>
      </c>
      <c r="H204" s="1" t="s">
        <v>1336</v>
      </c>
      <c r="I204" s="1" t="n">
        <v>2362.9</v>
      </c>
      <c r="J204" s="1" t="str">
        <f aca="false">VLOOKUP(B204,Customers!$A$2:$G$502,6,FALSE())</f>
        <v>Corporate</v>
      </c>
      <c r="K204" s="1" t="str">
        <f aca="false">VLOOKUP(C204,Products!$A$2:$E$62,3,FALSE())</f>
        <v>Office Supplies</v>
      </c>
      <c r="L204" s="1" t="str">
        <f aca="false">TEXT(D204,"yyyy-mm")</f>
        <v>2024-09</v>
      </c>
    </row>
    <row r="205" customFormat="false" ht="15" hidden="false" customHeight="true" outlineLevel="0" collapsed="false">
      <c r="A205" s="1" t="n">
        <v>207</v>
      </c>
      <c r="B205" s="1" t="n">
        <v>428</v>
      </c>
      <c r="C205" s="1" t="n">
        <v>48</v>
      </c>
      <c r="D205" s="1" t="s">
        <v>1378</v>
      </c>
      <c r="E205" s="1" t="n">
        <v>5</v>
      </c>
      <c r="F205" s="1" t="n">
        <v>493.53</v>
      </c>
      <c r="G205" s="1" t="n">
        <v>0.05</v>
      </c>
      <c r="H205" s="1" t="s">
        <v>1336</v>
      </c>
      <c r="I205" s="1" t="n">
        <v>2344.27</v>
      </c>
      <c r="J205" s="1" t="str">
        <f aca="false">VLOOKUP(B205,Customers!$A$2:$G$502,6,FALSE())</f>
        <v>Corporate</v>
      </c>
      <c r="K205" s="1" t="str">
        <f aca="false">VLOOKUP(C205,Products!$A$2:$E$62,3,FALSE())</f>
        <v>Software</v>
      </c>
      <c r="L205" s="1" t="str">
        <f aca="false">TEXT(D205,"yyyy-mm")</f>
        <v>2024-11</v>
      </c>
    </row>
    <row r="206" customFormat="false" ht="15" hidden="false" customHeight="true" outlineLevel="0" collapsed="false">
      <c r="A206" s="1" t="n">
        <v>208</v>
      </c>
      <c r="B206" s="1" t="n">
        <v>429</v>
      </c>
      <c r="C206" s="1" t="n">
        <v>51</v>
      </c>
      <c r="D206" s="1" t="s">
        <v>1417</v>
      </c>
      <c r="E206" s="1" t="n">
        <v>1</v>
      </c>
      <c r="F206" s="1" t="n">
        <v>30.16</v>
      </c>
      <c r="G206" s="1" t="n">
        <v>0.2</v>
      </c>
      <c r="H206" s="1" t="s">
        <v>1336</v>
      </c>
      <c r="I206" s="1" t="n">
        <v>24.13</v>
      </c>
      <c r="J206" s="1" t="str">
        <f aca="false">VLOOKUP(B206,Customers!$A$2:$G$502,6,FALSE())</f>
        <v>Corporate</v>
      </c>
      <c r="K206" s="1" t="str">
        <f aca="false">VLOOKUP(C206,Products!$A$2:$E$62,3,FALSE())</f>
        <v>Software</v>
      </c>
      <c r="L206" s="1" t="str">
        <f aca="false">TEXT(D206,"yyyy-mm")</f>
        <v>2023-08</v>
      </c>
    </row>
    <row r="207" customFormat="false" ht="15" hidden="false" customHeight="true" outlineLevel="0" collapsed="false">
      <c r="A207" s="1" t="n">
        <v>209</v>
      </c>
      <c r="B207" s="1" t="n">
        <v>388</v>
      </c>
      <c r="C207" s="1" t="n">
        <v>27</v>
      </c>
      <c r="D207" s="1" t="s">
        <v>1418</v>
      </c>
      <c r="E207" s="1" t="n">
        <v>8</v>
      </c>
      <c r="F207" s="1" t="n">
        <v>772.58</v>
      </c>
      <c r="G207" s="1" t="n">
        <v>0.15</v>
      </c>
      <c r="H207" s="1" t="s">
        <v>1336</v>
      </c>
      <c r="I207" s="1" t="n">
        <v>5253.54</v>
      </c>
      <c r="J207" s="1" t="str">
        <f aca="false">VLOOKUP(B207,Customers!$A$2:$G$502,6,FALSE())</f>
        <v>Corporate</v>
      </c>
      <c r="K207" s="1" t="str">
        <f aca="false">VLOOKUP(C207,Products!$A$2:$E$62,3,FALSE())</f>
        <v>Office Supplies</v>
      </c>
      <c r="L207" s="1" t="str">
        <f aca="false">TEXT(D207,"yyyy-mm")</f>
        <v>2023-06</v>
      </c>
    </row>
    <row r="208" customFormat="false" ht="15" hidden="false" customHeight="true" outlineLevel="0" collapsed="false">
      <c r="A208" s="1" t="n">
        <v>210</v>
      </c>
      <c r="B208" s="1" t="n">
        <v>69</v>
      </c>
      <c r="C208" s="1" t="n">
        <v>7</v>
      </c>
      <c r="D208" s="1" t="s">
        <v>1120</v>
      </c>
      <c r="E208" s="1" t="n">
        <v>5</v>
      </c>
      <c r="F208" s="1" t="n">
        <v>460</v>
      </c>
      <c r="G208" s="1" t="n">
        <v>0.1</v>
      </c>
      <c r="H208" s="1" t="s">
        <v>1336</v>
      </c>
      <c r="I208" s="1" t="n">
        <v>2070</v>
      </c>
      <c r="J208" s="1" t="str">
        <f aca="false">VLOOKUP(B208,Customers!$A$2:$G$502,6,FALSE())</f>
        <v>Corporate</v>
      </c>
      <c r="K208" s="1" t="str">
        <f aca="false">VLOOKUP(C208,Products!$A$2:$E$62,3,FALSE())</f>
        <v>Electronics</v>
      </c>
      <c r="L208" s="1" t="str">
        <f aca="false">TEXT(D208,"yyyy-mm")</f>
        <v>2024-10</v>
      </c>
    </row>
    <row r="209" customFormat="false" ht="15" hidden="false" customHeight="true" outlineLevel="0" collapsed="false">
      <c r="A209" s="1" t="n">
        <v>211</v>
      </c>
      <c r="B209" s="1" t="n">
        <v>4</v>
      </c>
      <c r="C209" s="1" t="n">
        <v>12</v>
      </c>
      <c r="D209" s="1" t="s">
        <v>1419</v>
      </c>
      <c r="E209" s="1" t="n">
        <v>5</v>
      </c>
      <c r="F209" s="1" t="n">
        <v>179.23</v>
      </c>
      <c r="G209" s="1" t="n">
        <v>0.15</v>
      </c>
      <c r="H209" s="1" t="s">
        <v>1336</v>
      </c>
      <c r="I209" s="1" t="n">
        <v>761.73</v>
      </c>
      <c r="J209" s="1" t="str">
        <f aca="false">VLOOKUP(B209,Customers!$A$2:$G$502,6,FALSE())</f>
        <v>Consumer</v>
      </c>
      <c r="K209" s="1" t="str">
        <f aca="false">VLOOKUP(C209,Products!$A$2:$E$62,3,FALSE())</f>
        <v>Electronics</v>
      </c>
      <c r="L209" s="1" t="str">
        <f aca="false">TEXT(D209,"yyyy-mm")</f>
        <v>2023-04</v>
      </c>
    </row>
    <row r="210" customFormat="false" ht="15" hidden="false" customHeight="true" outlineLevel="0" collapsed="false">
      <c r="A210" s="1" t="n">
        <v>212</v>
      </c>
      <c r="B210" s="1" t="n">
        <v>396</v>
      </c>
      <c r="C210" s="1" t="n">
        <v>31</v>
      </c>
      <c r="D210" s="1" t="s">
        <v>1111</v>
      </c>
      <c r="E210" s="1" t="n">
        <v>7</v>
      </c>
      <c r="F210" s="1" t="n">
        <v>224.86</v>
      </c>
      <c r="G210" s="1" t="n">
        <v>0</v>
      </c>
      <c r="H210" s="1" t="s">
        <v>1336</v>
      </c>
      <c r="I210" s="1" t="n">
        <v>1574.02</v>
      </c>
      <c r="J210" s="1" t="str">
        <f aca="false">VLOOKUP(B210,Customers!$A$2:$G$502,6,FALSE())</f>
        <v>Small Business</v>
      </c>
      <c r="K210" s="1" t="str">
        <f aca="false">VLOOKUP(C210,Products!$A$2:$E$62,3,FALSE())</f>
        <v>Office Supplies</v>
      </c>
      <c r="L210" s="1" t="str">
        <f aca="false">TEXT(D210,"yyyy-mm")</f>
        <v>2024-12</v>
      </c>
    </row>
    <row r="211" customFormat="false" ht="15" hidden="false" customHeight="true" outlineLevel="0" collapsed="false">
      <c r="A211" s="1" t="n">
        <v>213</v>
      </c>
      <c r="B211" s="1" t="n">
        <v>481</v>
      </c>
      <c r="C211" s="1" t="n">
        <v>12</v>
      </c>
      <c r="D211" s="1" t="s">
        <v>1106</v>
      </c>
      <c r="E211" s="1" t="n">
        <v>4</v>
      </c>
      <c r="F211" s="1" t="n">
        <v>179.23</v>
      </c>
      <c r="G211" s="1" t="n">
        <v>0.15</v>
      </c>
      <c r="H211" s="1" t="s">
        <v>1336</v>
      </c>
      <c r="I211" s="1" t="n">
        <v>609.38</v>
      </c>
      <c r="J211" s="1" t="str">
        <f aca="false">VLOOKUP(B211,Customers!$A$2:$G$502,6,FALSE())</f>
        <v>Small Business</v>
      </c>
      <c r="K211" s="1" t="str">
        <f aca="false">VLOOKUP(C211,Products!$A$2:$E$62,3,FALSE())</f>
        <v>Electronics</v>
      </c>
      <c r="L211" s="1" t="str">
        <f aca="false">TEXT(D211,"yyyy-mm")</f>
        <v>2024-09</v>
      </c>
    </row>
    <row r="212" customFormat="false" ht="15" hidden="false" customHeight="true" outlineLevel="0" collapsed="false">
      <c r="A212" s="1" t="n">
        <v>214</v>
      </c>
      <c r="B212" s="1" t="n">
        <v>322</v>
      </c>
      <c r="C212" s="1" t="n">
        <v>53</v>
      </c>
      <c r="D212" s="1" t="s">
        <v>1420</v>
      </c>
      <c r="E212" s="1" t="n">
        <v>6</v>
      </c>
      <c r="F212" s="1" t="n">
        <v>509.98</v>
      </c>
      <c r="G212" s="1" t="n">
        <v>0</v>
      </c>
      <c r="H212" s="1" t="s">
        <v>1336</v>
      </c>
      <c r="I212" s="1" t="n">
        <v>3059.88</v>
      </c>
      <c r="J212" s="1" t="str">
        <f aca="false">VLOOKUP(B212,Customers!$A$2:$G$502,6,FALSE())</f>
        <v>Consumer</v>
      </c>
      <c r="K212" s="1" t="str">
        <f aca="false">VLOOKUP(C212,Products!$A$2:$E$62,3,FALSE())</f>
        <v>Software</v>
      </c>
      <c r="L212" s="1" t="str">
        <f aca="false">TEXT(D212,"yyyy-mm")</f>
        <v>2023-11</v>
      </c>
    </row>
    <row r="213" customFormat="false" ht="15" hidden="false" customHeight="true" outlineLevel="0" collapsed="false">
      <c r="A213" s="1" t="n">
        <v>215</v>
      </c>
      <c r="B213" s="1" t="n">
        <v>49</v>
      </c>
      <c r="C213" s="1" t="n">
        <v>40</v>
      </c>
      <c r="D213" s="1" t="s">
        <v>536</v>
      </c>
      <c r="E213" s="1" t="n">
        <v>4</v>
      </c>
      <c r="F213" s="1" t="n">
        <v>193.02</v>
      </c>
      <c r="G213" s="1" t="n">
        <v>0.2</v>
      </c>
      <c r="H213" s="1" t="s">
        <v>1336</v>
      </c>
      <c r="I213" s="1" t="n">
        <v>617.66</v>
      </c>
      <c r="J213" s="1" t="str">
        <f aca="false">VLOOKUP(B213,Customers!$A$2:$G$502,6,FALSE())</f>
        <v>Corporate</v>
      </c>
      <c r="K213" s="1" t="str">
        <f aca="false">VLOOKUP(C213,Products!$A$2:$E$62,3,FALSE())</f>
        <v>Software</v>
      </c>
      <c r="L213" s="1" t="str">
        <f aca="false">TEXT(D213,"yyyy-mm")</f>
        <v>2024-01</v>
      </c>
    </row>
    <row r="214" customFormat="false" ht="15" hidden="false" customHeight="true" outlineLevel="0" collapsed="false">
      <c r="A214" s="1" t="n">
        <v>216</v>
      </c>
      <c r="B214" s="1" t="n">
        <v>338</v>
      </c>
      <c r="C214" s="1" t="n">
        <v>14</v>
      </c>
      <c r="D214" s="1" t="s">
        <v>254</v>
      </c>
      <c r="E214" s="1" t="n">
        <v>3</v>
      </c>
      <c r="F214" s="1" t="n">
        <v>135.27</v>
      </c>
      <c r="G214" s="1" t="n">
        <v>0</v>
      </c>
      <c r="H214" s="1" t="s">
        <v>1336</v>
      </c>
      <c r="I214" s="1" t="n">
        <v>405.81</v>
      </c>
      <c r="J214" s="1" t="str">
        <f aca="false">VLOOKUP(B214,Customers!$A$2:$G$502,6,FALSE())</f>
        <v>Corporate</v>
      </c>
      <c r="K214" s="1" t="str">
        <f aca="false">VLOOKUP(C214,Products!$A$2:$E$62,3,FALSE())</f>
        <v>Electronics</v>
      </c>
      <c r="L214" s="1" t="str">
        <f aca="false">TEXT(D214,"yyyy-mm")</f>
        <v>2023-10</v>
      </c>
    </row>
    <row r="215" customFormat="false" ht="15" hidden="false" customHeight="true" outlineLevel="0" collapsed="false">
      <c r="A215" s="1" t="n">
        <v>217</v>
      </c>
      <c r="B215" s="1" t="n">
        <v>243</v>
      </c>
      <c r="C215" s="1" t="n">
        <v>32</v>
      </c>
      <c r="D215" s="1" t="s">
        <v>1421</v>
      </c>
      <c r="E215" s="1" t="n">
        <v>7</v>
      </c>
      <c r="F215" s="1" t="n">
        <v>492.27</v>
      </c>
      <c r="G215" s="1" t="n">
        <v>0</v>
      </c>
      <c r="H215" s="1" t="s">
        <v>1336</v>
      </c>
      <c r="I215" s="1" t="n">
        <v>3445.89</v>
      </c>
      <c r="J215" s="1" t="str">
        <f aca="false">VLOOKUP(B215,Customers!$A$2:$G$502,6,FALSE())</f>
        <v>Small Business</v>
      </c>
      <c r="K215" s="1" t="str">
        <f aca="false">VLOOKUP(C215,Products!$A$2:$E$62,3,FALSE())</f>
        <v>Office Supplies</v>
      </c>
      <c r="L215" s="1" t="str">
        <f aca="false">TEXT(D215,"yyyy-mm")</f>
        <v>2023-06</v>
      </c>
    </row>
    <row r="216" customFormat="false" ht="15" hidden="false" customHeight="true" outlineLevel="0" collapsed="false">
      <c r="A216" s="1" t="n">
        <v>218</v>
      </c>
      <c r="B216" s="1" t="n">
        <v>223</v>
      </c>
      <c r="C216" s="1" t="n">
        <v>17</v>
      </c>
      <c r="D216" s="1" t="s">
        <v>1422</v>
      </c>
      <c r="E216" s="1" t="n">
        <v>8</v>
      </c>
      <c r="F216" s="1" t="n">
        <v>65.61</v>
      </c>
      <c r="G216" s="1" t="n">
        <v>0.1</v>
      </c>
      <c r="H216" s="1" t="s">
        <v>1336</v>
      </c>
      <c r="I216" s="1" t="n">
        <v>472.39</v>
      </c>
      <c r="J216" s="1" t="str">
        <f aca="false">VLOOKUP(B216,Customers!$A$2:$G$502,6,FALSE())</f>
        <v>Consumer</v>
      </c>
      <c r="K216" s="1" t="str">
        <f aca="false">VLOOKUP(C216,Products!$A$2:$E$62,3,FALSE())</f>
        <v>Electronics</v>
      </c>
      <c r="L216" s="1" t="str">
        <f aca="false">TEXT(D216,"yyyy-mm")</f>
        <v>2023-12</v>
      </c>
    </row>
    <row r="217" customFormat="false" ht="15" hidden="false" customHeight="true" outlineLevel="0" collapsed="false">
      <c r="A217" s="1" t="n">
        <v>219</v>
      </c>
      <c r="B217" s="1" t="n">
        <v>474</v>
      </c>
      <c r="C217" s="1" t="n">
        <v>35</v>
      </c>
      <c r="D217" s="1" t="s">
        <v>1421</v>
      </c>
      <c r="E217" s="1" t="n">
        <v>4</v>
      </c>
      <c r="F217" s="1" t="n">
        <v>75.78</v>
      </c>
      <c r="G217" s="1" t="n">
        <v>0</v>
      </c>
      <c r="H217" s="1" t="s">
        <v>1336</v>
      </c>
      <c r="I217" s="1" t="n">
        <v>303.12</v>
      </c>
      <c r="J217" s="1" t="str">
        <f aca="false">VLOOKUP(B217,Customers!$A$2:$G$502,6,FALSE())</f>
        <v>Consumer</v>
      </c>
      <c r="K217" s="1" t="str">
        <f aca="false">VLOOKUP(C217,Products!$A$2:$E$62,3,FALSE())</f>
        <v>Software</v>
      </c>
      <c r="L217" s="1" t="str">
        <f aca="false">TEXT(D217,"yyyy-mm")</f>
        <v>2023-06</v>
      </c>
    </row>
    <row r="218" customFormat="false" ht="15" hidden="false" customHeight="true" outlineLevel="0" collapsed="false">
      <c r="A218" s="1" t="n">
        <v>220</v>
      </c>
      <c r="B218" s="1" t="n">
        <v>370</v>
      </c>
      <c r="C218" s="1" t="n">
        <v>29</v>
      </c>
      <c r="D218" s="1" t="s">
        <v>211</v>
      </c>
      <c r="E218" s="1" t="n">
        <v>2</v>
      </c>
      <c r="F218" s="1" t="n">
        <v>54.62</v>
      </c>
      <c r="G218" s="1" t="n">
        <v>0.1</v>
      </c>
      <c r="H218" s="1" t="s">
        <v>1336</v>
      </c>
      <c r="I218" s="1" t="n">
        <v>98.32</v>
      </c>
      <c r="J218" s="1" t="str">
        <f aca="false">VLOOKUP(B218,Customers!$A$2:$G$502,6,FALSE())</f>
        <v>Small Business</v>
      </c>
      <c r="K218" s="1" t="str">
        <f aca="false">VLOOKUP(C218,Products!$A$2:$E$62,3,FALSE())</f>
        <v>Office Supplies</v>
      </c>
      <c r="L218" s="1" t="str">
        <f aca="false">TEXT(D218,"yyyy-mm")</f>
        <v>2024-08</v>
      </c>
    </row>
    <row r="219" customFormat="false" ht="15" hidden="false" customHeight="true" outlineLevel="0" collapsed="false">
      <c r="A219" s="1" t="n">
        <v>221</v>
      </c>
      <c r="B219" s="1" t="n">
        <v>399</v>
      </c>
      <c r="C219" s="1" t="n">
        <v>8</v>
      </c>
      <c r="D219" s="1" t="s">
        <v>1277</v>
      </c>
      <c r="E219" s="1" t="n">
        <v>3</v>
      </c>
      <c r="F219" s="1" t="n">
        <v>104.4</v>
      </c>
      <c r="G219" s="1" t="n">
        <v>0</v>
      </c>
      <c r="H219" s="1" t="s">
        <v>1336</v>
      </c>
      <c r="I219" s="1" t="n">
        <v>313.2</v>
      </c>
      <c r="J219" s="1" t="str">
        <f aca="false">VLOOKUP(B219,Customers!$A$2:$G$502,6,FALSE())</f>
        <v>Corporate</v>
      </c>
      <c r="K219" s="1" t="str">
        <f aca="false">VLOOKUP(C219,Products!$A$2:$E$62,3,FALSE())</f>
        <v>Electronics</v>
      </c>
      <c r="L219" s="1" t="str">
        <f aca="false">TEXT(D219,"yyyy-mm")</f>
        <v>2023-11</v>
      </c>
    </row>
    <row r="220" customFormat="false" ht="15" hidden="false" customHeight="true" outlineLevel="0" collapsed="false">
      <c r="A220" s="1" t="n">
        <v>222</v>
      </c>
      <c r="B220" s="1" t="n">
        <v>113</v>
      </c>
      <c r="C220" s="1" t="n">
        <v>5</v>
      </c>
      <c r="D220" s="1" t="s">
        <v>1423</v>
      </c>
      <c r="E220" s="1" t="n">
        <v>1</v>
      </c>
      <c r="F220" s="1" t="n">
        <v>439.06</v>
      </c>
      <c r="G220" s="1" t="n">
        <v>0.1</v>
      </c>
      <c r="H220" s="1" t="s">
        <v>1336</v>
      </c>
      <c r="I220" s="1" t="n">
        <v>395.15</v>
      </c>
      <c r="J220" s="1" t="str">
        <f aca="false">VLOOKUP(B220,Customers!$A$2:$G$502,6,FALSE())</f>
        <v>Small Business</v>
      </c>
      <c r="K220" s="1" t="str">
        <f aca="false">VLOOKUP(C220,Products!$A$2:$E$62,3,FALSE())</f>
        <v>Electronics</v>
      </c>
      <c r="L220" s="1" t="str">
        <f aca="false">TEXT(D220,"yyyy-mm")</f>
        <v>2024-04</v>
      </c>
    </row>
    <row r="221" customFormat="false" ht="15" hidden="false" customHeight="true" outlineLevel="0" collapsed="false">
      <c r="A221" s="1" t="n">
        <v>223</v>
      </c>
      <c r="B221" s="1" t="n">
        <v>233</v>
      </c>
      <c r="C221" s="1" t="n">
        <v>12</v>
      </c>
      <c r="D221" s="1" t="s">
        <v>1424</v>
      </c>
      <c r="E221" s="1" t="n">
        <v>8</v>
      </c>
      <c r="F221" s="1" t="n">
        <v>179.23</v>
      </c>
      <c r="G221" s="1" t="n">
        <v>0</v>
      </c>
      <c r="H221" s="1" t="s">
        <v>1336</v>
      </c>
      <c r="I221" s="1" t="n">
        <v>1433.84</v>
      </c>
      <c r="J221" s="1" t="str">
        <f aca="false">VLOOKUP(B221,Customers!$A$2:$G$502,6,FALSE())</f>
        <v>Corporate</v>
      </c>
      <c r="K221" s="1" t="str">
        <f aca="false">VLOOKUP(C221,Products!$A$2:$E$62,3,FALSE())</f>
        <v>Electronics</v>
      </c>
      <c r="L221" s="1" t="str">
        <f aca="false">TEXT(D221,"yyyy-mm")</f>
        <v>2024-02</v>
      </c>
    </row>
    <row r="222" customFormat="false" ht="15" hidden="false" customHeight="true" outlineLevel="0" collapsed="false">
      <c r="A222" s="1" t="n">
        <v>224</v>
      </c>
      <c r="B222" s="1" t="n">
        <v>104</v>
      </c>
      <c r="C222" s="1" t="n">
        <v>22</v>
      </c>
      <c r="D222" s="1" t="s">
        <v>1425</v>
      </c>
      <c r="E222" s="1" t="n">
        <v>3</v>
      </c>
      <c r="F222" s="1" t="n">
        <v>38.57</v>
      </c>
      <c r="G222" s="1" t="n">
        <v>0</v>
      </c>
      <c r="H222" s="1" t="s">
        <v>1336</v>
      </c>
      <c r="I222" s="1" t="n">
        <v>115.71</v>
      </c>
      <c r="J222" s="1" t="str">
        <f aca="false">VLOOKUP(B222,Customers!$A$2:$G$502,6,FALSE())</f>
        <v>Corporate</v>
      </c>
      <c r="K222" s="1" t="str">
        <f aca="false">VLOOKUP(C222,Products!$A$2:$E$62,3,FALSE())</f>
        <v>Office Supplies</v>
      </c>
      <c r="L222" s="1" t="str">
        <f aca="false">TEXT(D222,"yyyy-mm")</f>
        <v>2023-05</v>
      </c>
    </row>
    <row r="223" customFormat="false" ht="15" hidden="false" customHeight="true" outlineLevel="0" collapsed="false">
      <c r="A223" s="1" t="n">
        <v>225</v>
      </c>
      <c r="B223" s="1" t="n">
        <v>235</v>
      </c>
      <c r="C223" s="1" t="n">
        <v>27</v>
      </c>
      <c r="D223" s="1" t="s">
        <v>1398</v>
      </c>
      <c r="E223" s="1" t="n">
        <v>7</v>
      </c>
      <c r="F223" s="1" t="n">
        <v>772.58</v>
      </c>
      <c r="G223" s="1" t="n">
        <v>0.2</v>
      </c>
      <c r="H223" s="1" t="s">
        <v>1336</v>
      </c>
      <c r="I223" s="1" t="n">
        <v>4326.45</v>
      </c>
      <c r="J223" s="1" t="str">
        <f aca="false">VLOOKUP(B223,Customers!$A$2:$G$502,6,FALSE())</f>
        <v>Small Business</v>
      </c>
      <c r="K223" s="1" t="str">
        <f aca="false">VLOOKUP(C223,Products!$A$2:$E$62,3,FALSE())</f>
        <v>Office Supplies</v>
      </c>
      <c r="L223" s="1" t="str">
        <f aca="false">TEXT(D223,"yyyy-mm")</f>
        <v>2023-06</v>
      </c>
    </row>
    <row r="224" customFormat="false" ht="15" hidden="false" customHeight="true" outlineLevel="0" collapsed="false">
      <c r="A224" s="1" t="n">
        <v>226</v>
      </c>
      <c r="B224" s="1" t="n">
        <v>327</v>
      </c>
      <c r="C224" s="1" t="n">
        <v>40</v>
      </c>
      <c r="D224" s="1" t="s">
        <v>1022</v>
      </c>
      <c r="E224" s="1" t="n">
        <v>5</v>
      </c>
      <c r="F224" s="1" t="n">
        <v>193.02</v>
      </c>
      <c r="G224" s="1" t="n">
        <v>0.1</v>
      </c>
      <c r="H224" s="1" t="s">
        <v>1370</v>
      </c>
      <c r="I224" s="1" t="n">
        <v>868.59</v>
      </c>
      <c r="J224" s="1" t="str">
        <f aca="false">VLOOKUP(B224,Customers!$A$2:$G$502,6,FALSE())</f>
        <v>Consumer</v>
      </c>
      <c r="K224" s="1" t="str">
        <f aca="false">VLOOKUP(C224,Products!$A$2:$E$62,3,FALSE())</f>
        <v>Software</v>
      </c>
      <c r="L224" s="1" t="str">
        <f aca="false">TEXT(D224,"yyyy-mm")</f>
        <v>2023-06</v>
      </c>
    </row>
    <row r="225" customFormat="false" ht="15" hidden="false" customHeight="true" outlineLevel="0" collapsed="false">
      <c r="A225" s="1" t="n">
        <v>227</v>
      </c>
      <c r="B225" s="1" t="n">
        <v>251</v>
      </c>
      <c r="C225" s="1" t="n">
        <v>56</v>
      </c>
      <c r="D225" s="1" t="s">
        <v>1426</v>
      </c>
      <c r="E225" s="1" t="n">
        <v>5</v>
      </c>
      <c r="F225" s="1" t="n">
        <v>160.64</v>
      </c>
      <c r="G225" s="1" t="n">
        <v>0</v>
      </c>
      <c r="H225" s="1" t="s">
        <v>1336</v>
      </c>
      <c r="I225" s="1" t="n">
        <v>803.2</v>
      </c>
      <c r="J225" s="1" t="str">
        <f aca="false">VLOOKUP(B225,Customers!$A$2:$G$502,6,FALSE())</f>
        <v>Small Business</v>
      </c>
      <c r="K225" s="1" t="str">
        <f aca="false">VLOOKUP(C225,Products!$A$2:$E$62,3,FALSE())</f>
        <v>Furniture</v>
      </c>
      <c r="L225" s="1" t="str">
        <f aca="false">TEXT(D225,"yyyy-mm")</f>
        <v>2023-08</v>
      </c>
    </row>
    <row r="226" customFormat="false" ht="15" hidden="false" customHeight="true" outlineLevel="0" collapsed="false">
      <c r="A226" s="1" t="n">
        <v>228</v>
      </c>
      <c r="B226" s="1" t="n">
        <v>447</v>
      </c>
      <c r="C226" s="1" t="n">
        <v>16</v>
      </c>
      <c r="D226" s="1" t="s">
        <v>1427</v>
      </c>
      <c r="E226" s="1" t="n">
        <v>7</v>
      </c>
      <c r="F226" s="1" t="n">
        <v>330.91</v>
      </c>
      <c r="G226" s="1" t="n">
        <v>0</v>
      </c>
      <c r="H226" s="1" t="s">
        <v>1336</v>
      </c>
      <c r="I226" s="1" t="n">
        <v>2316.37</v>
      </c>
      <c r="J226" s="1" t="str">
        <f aca="false">VLOOKUP(B226,Customers!$A$2:$G$502,6,FALSE())</f>
        <v>Small Business</v>
      </c>
      <c r="K226" s="1" t="str">
        <f aca="false">VLOOKUP(C226,Products!$A$2:$E$62,3,FALSE())</f>
        <v>Electronics</v>
      </c>
      <c r="L226" s="1" t="str">
        <f aca="false">TEXT(D226,"yyyy-mm")</f>
        <v>2023-09</v>
      </c>
    </row>
    <row r="227" customFormat="false" ht="15" hidden="false" customHeight="true" outlineLevel="0" collapsed="false">
      <c r="A227" s="1" t="n">
        <v>229</v>
      </c>
      <c r="B227" s="1" t="n">
        <v>468</v>
      </c>
      <c r="C227" s="1" t="n">
        <v>37</v>
      </c>
      <c r="D227" s="1" t="s">
        <v>1235</v>
      </c>
      <c r="E227" s="1" t="n">
        <v>9</v>
      </c>
      <c r="F227" s="1" t="n">
        <v>13.95</v>
      </c>
      <c r="G227" s="1" t="n">
        <v>0.05</v>
      </c>
      <c r="H227" s="1" t="s">
        <v>1370</v>
      </c>
      <c r="I227" s="1" t="n">
        <v>119.27</v>
      </c>
      <c r="J227" s="1" t="str">
        <f aca="false">VLOOKUP(B227,Customers!$A$2:$G$502,6,FALSE())</f>
        <v>Small Business</v>
      </c>
      <c r="K227" s="1" t="str">
        <f aca="false">VLOOKUP(C227,Products!$A$2:$E$62,3,FALSE())</f>
        <v>Software</v>
      </c>
      <c r="L227" s="1" t="str">
        <f aca="false">TEXT(D227,"yyyy-mm")</f>
        <v>2023-01</v>
      </c>
    </row>
    <row r="228" customFormat="false" ht="15" hidden="false" customHeight="true" outlineLevel="0" collapsed="false">
      <c r="A228" s="1" t="n">
        <v>230</v>
      </c>
      <c r="B228" s="1" t="n">
        <v>18</v>
      </c>
      <c r="C228" s="1" t="n">
        <v>28</v>
      </c>
      <c r="D228" s="1" t="s">
        <v>1428</v>
      </c>
      <c r="E228" s="1" t="n">
        <v>5</v>
      </c>
      <c r="F228" s="1" t="n">
        <v>505.23</v>
      </c>
      <c r="G228" s="1" t="n">
        <v>0.05</v>
      </c>
      <c r="H228" s="1" t="s">
        <v>1336</v>
      </c>
      <c r="I228" s="1" t="n">
        <v>2399.84</v>
      </c>
      <c r="J228" s="1" t="str">
        <f aca="false">VLOOKUP(B228,Customers!$A$2:$G$502,6,FALSE())</f>
        <v>Corporate</v>
      </c>
      <c r="K228" s="1" t="str">
        <f aca="false">VLOOKUP(C228,Products!$A$2:$E$62,3,FALSE())</f>
        <v>Office Supplies</v>
      </c>
      <c r="L228" s="1" t="str">
        <f aca="false">TEXT(D228,"yyyy-mm")</f>
        <v>2024-06</v>
      </c>
    </row>
    <row r="229" customFormat="false" ht="15" hidden="false" customHeight="true" outlineLevel="0" collapsed="false">
      <c r="A229" s="1" t="n">
        <v>231</v>
      </c>
      <c r="B229" s="1" t="n">
        <v>124</v>
      </c>
      <c r="C229" s="1" t="n">
        <v>6</v>
      </c>
      <c r="D229" s="1" t="s">
        <v>1357</v>
      </c>
      <c r="E229" s="1" t="n">
        <v>1</v>
      </c>
      <c r="F229" s="1" t="n">
        <v>28.51</v>
      </c>
      <c r="G229" s="1" t="n">
        <v>0.2</v>
      </c>
      <c r="H229" s="1" t="s">
        <v>1336</v>
      </c>
      <c r="I229" s="1" t="n">
        <v>22.81</v>
      </c>
      <c r="J229" s="1" t="str">
        <f aca="false">VLOOKUP(B229,Customers!$A$2:$G$502,6,FALSE())</f>
        <v>Small Business</v>
      </c>
      <c r="K229" s="1" t="str">
        <f aca="false">VLOOKUP(C229,Products!$A$2:$E$62,3,FALSE())</f>
        <v>Electronics</v>
      </c>
      <c r="L229" s="1" t="str">
        <f aca="false">TEXT(D229,"yyyy-mm")</f>
        <v>2024-07</v>
      </c>
    </row>
    <row r="230" customFormat="false" ht="15" hidden="false" customHeight="true" outlineLevel="0" collapsed="false">
      <c r="A230" s="1" t="n">
        <v>232</v>
      </c>
      <c r="B230" s="1" t="n">
        <v>152</v>
      </c>
      <c r="C230" s="1" t="n">
        <v>16</v>
      </c>
      <c r="D230" s="1" t="s">
        <v>232</v>
      </c>
      <c r="E230" s="1" t="n">
        <v>1</v>
      </c>
      <c r="F230" s="1" t="n">
        <v>330.91</v>
      </c>
      <c r="G230" s="1" t="n">
        <v>0</v>
      </c>
      <c r="H230" s="1" t="s">
        <v>1336</v>
      </c>
      <c r="I230" s="1" t="n">
        <v>330.91</v>
      </c>
      <c r="J230" s="1" t="str">
        <f aca="false">VLOOKUP(B230,Customers!$A$2:$G$502,6,FALSE())</f>
        <v>Corporate</v>
      </c>
      <c r="K230" s="1" t="str">
        <f aca="false">VLOOKUP(C230,Products!$A$2:$E$62,3,FALSE())</f>
        <v>Electronics</v>
      </c>
      <c r="L230" s="1" t="str">
        <f aca="false">TEXT(D230,"yyyy-mm")</f>
        <v>2024-10</v>
      </c>
    </row>
    <row r="231" customFormat="false" ht="15" hidden="false" customHeight="true" outlineLevel="0" collapsed="false">
      <c r="A231" s="1" t="n">
        <v>233</v>
      </c>
      <c r="B231" s="1" t="n">
        <v>293</v>
      </c>
      <c r="C231" s="1" t="n">
        <v>48</v>
      </c>
      <c r="D231" s="1" t="s">
        <v>1429</v>
      </c>
      <c r="E231" s="1" t="n">
        <v>2</v>
      </c>
      <c r="F231" s="1" t="n">
        <v>493.53</v>
      </c>
      <c r="G231" s="1" t="n">
        <v>0</v>
      </c>
      <c r="H231" s="1" t="s">
        <v>1370</v>
      </c>
      <c r="I231" s="1" t="n">
        <v>987.06</v>
      </c>
      <c r="J231" s="1" t="str">
        <f aca="false">VLOOKUP(B231,Customers!$A$2:$G$502,6,FALSE())</f>
        <v>Small Business</v>
      </c>
      <c r="K231" s="1" t="str">
        <f aca="false">VLOOKUP(C231,Products!$A$2:$E$62,3,FALSE())</f>
        <v>Software</v>
      </c>
      <c r="L231" s="1" t="str">
        <f aca="false">TEXT(D231,"yyyy-mm")</f>
        <v>2024-08</v>
      </c>
    </row>
    <row r="232" customFormat="false" ht="15" hidden="false" customHeight="true" outlineLevel="0" collapsed="false">
      <c r="A232" s="1" t="n">
        <v>234</v>
      </c>
      <c r="B232" s="1" t="n">
        <v>95</v>
      </c>
      <c r="C232" s="1" t="n">
        <v>51</v>
      </c>
      <c r="D232" s="1" t="s">
        <v>1430</v>
      </c>
      <c r="E232" s="1" t="n">
        <v>6</v>
      </c>
      <c r="F232" s="1" t="n">
        <v>30.16</v>
      </c>
      <c r="G232" s="1" t="n">
        <v>0.15</v>
      </c>
      <c r="H232" s="1" t="s">
        <v>1336</v>
      </c>
      <c r="I232" s="1" t="n">
        <v>153.82</v>
      </c>
      <c r="J232" s="1" t="str">
        <f aca="false">VLOOKUP(B232,Customers!$A$2:$G$502,6,FALSE())</f>
        <v>Corporate</v>
      </c>
      <c r="K232" s="1" t="str">
        <f aca="false">VLOOKUP(C232,Products!$A$2:$E$62,3,FALSE())</f>
        <v>Software</v>
      </c>
      <c r="L232" s="1" t="str">
        <f aca="false">TEXT(D232,"yyyy-mm")</f>
        <v>2024-01</v>
      </c>
    </row>
    <row r="233" customFormat="false" ht="15" hidden="false" customHeight="true" outlineLevel="0" collapsed="false">
      <c r="A233" s="1" t="n">
        <v>235</v>
      </c>
      <c r="B233" s="1" t="n">
        <v>458</v>
      </c>
      <c r="C233" s="1" t="n">
        <v>45</v>
      </c>
      <c r="D233" s="1" t="s">
        <v>1431</v>
      </c>
      <c r="E233" s="1" t="n">
        <v>9</v>
      </c>
      <c r="F233" s="1" t="n">
        <v>560.01</v>
      </c>
      <c r="G233" s="1" t="n">
        <v>0.1</v>
      </c>
      <c r="H233" s="1" t="s">
        <v>1336</v>
      </c>
      <c r="I233" s="1" t="n">
        <v>4536.08</v>
      </c>
      <c r="J233" s="1" t="str">
        <f aca="false">VLOOKUP(B233,Customers!$A$2:$G$502,6,FALSE())</f>
        <v>Small Business</v>
      </c>
      <c r="K233" s="1" t="str">
        <f aca="false">VLOOKUP(C233,Products!$A$2:$E$62,3,FALSE())</f>
        <v>Software</v>
      </c>
      <c r="L233" s="1" t="str">
        <f aca="false">TEXT(D233,"yyyy-mm")</f>
        <v>2023-12</v>
      </c>
    </row>
    <row r="234" customFormat="false" ht="15" hidden="false" customHeight="true" outlineLevel="0" collapsed="false">
      <c r="A234" s="1" t="n">
        <v>236</v>
      </c>
      <c r="B234" s="1" t="n">
        <v>278</v>
      </c>
      <c r="C234" s="1" t="n">
        <v>37</v>
      </c>
      <c r="D234" s="1" t="s">
        <v>1386</v>
      </c>
      <c r="E234" s="1" t="n">
        <v>8</v>
      </c>
      <c r="F234" s="1" t="n">
        <v>13.95</v>
      </c>
      <c r="G234" s="1" t="n">
        <v>0.2</v>
      </c>
      <c r="H234" s="1" t="s">
        <v>1336</v>
      </c>
      <c r="I234" s="1" t="n">
        <v>89.28</v>
      </c>
      <c r="J234" s="1" t="str">
        <f aca="false">VLOOKUP(B234,Customers!$A$2:$G$502,6,FALSE())</f>
        <v>Consumer</v>
      </c>
      <c r="K234" s="1" t="str">
        <f aca="false">VLOOKUP(C234,Products!$A$2:$E$62,3,FALSE())</f>
        <v>Software</v>
      </c>
      <c r="L234" s="1" t="str">
        <f aca="false">TEXT(D234,"yyyy-mm")</f>
        <v>2023-08</v>
      </c>
    </row>
    <row r="235" customFormat="false" ht="15" hidden="false" customHeight="true" outlineLevel="0" collapsed="false">
      <c r="A235" s="1" t="n">
        <v>237</v>
      </c>
      <c r="B235" s="1" t="n">
        <v>264</v>
      </c>
      <c r="C235" s="1" t="n">
        <v>59</v>
      </c>
      <c r="D235" s="1" t="s">
        <v>1364</v>
      </c>
      <c r="E235" s="1" t="n">
        <v>5</v>
      </c>
      <c r="F235" s="1" t="n">
        <v>438.89</v>
      </c>
      <c r="G235" s="1" t="n">
        <v>0</v>
      </c>
      <c r="H235" s="1" t="s">
        <v>1346</v>
      </c>
      <c r="I235" s="1" t="n">
        <v>2194.45</v>
      </c>
      <c r="J235" s="1" t="str">
        <f aca="false">VLOOKUP(B235,Customers!$A$2:$G$502,6,FALSE())</f>
        <v>Small Business</v>
      </c>
      <c r="K235" s="1" t="str">
        <f aca="false">VLOOKUP(C235,Products!$A$2:$E$62,3,FALSE())</f>
        <v>Furniture</v>
      </c>
      <c r="L235" s="1" t="str">
        <f aca="false">TEXT(D235,"yyyy-mm")</f>
        <v>2024-11</v>
      </c>
    </row>
    <row r="236" customFormat="false" ht="15" hidden="false" customHeight="true" outlineLevel="0" collapsed="false">
      <c r="A236" s="1" t="n">
        <v>238</v>
      </c>
      <c r="B236" s="1" t="n">
        <v>188</v>
      </c>
      <c r="C236" s="1" t="n">
        <v>24</v>
      </c>
      <c r="D236" s="1" t="s">
        <v>289</v>
      </c>
      <c r="E236" s="1" t="n">
        <v>1</v>
      </c>
      <c r="F236" s="1" t="n">
        <v>207.34</v>
      </c>
      <c r="G236" s="1" t="n">
        <v>0.15</v>
      </c>
      <c r="H236" s="1" t="s">
        <v>1336</v>
      </c>
      <c r="I236" s="1" t="n">
        <v>176.24</v>
      </c>
      <c r="J236" s="1" t="str">
        <f aca="false">VLOOKUP(B236,Customers!$A$2:$G$502,6,FALSE())</f>
        <v>Small Business</v>
      </c>
      <c r="K236" s="1" t="str">
        <f aca="false">VLOOKUP(C236,Products!$A$2:$E$62,3,FALSE())</f>
        <v>Office Supplies</v>
      </c>
      <c r="L236" s="1" t="str">
        <f aca="false">TEXT(D236,"yyyy-mm")</f>
        <v>2023-06</v>
      </c>
    </row>
    <row r="237" customFormat="false" ht="15" hidden="false" customHeight="true" outlineLevel="0" collapsed="false">
      <c r="A237" s="1" t="n">
        <v>239</v>
      </c>
      <c r="B237" s="1" t="n">
        <v>172</v>
      </c>
      <c r="C237" s="1" t="n">
        <v>16</v>
      </c>
      <c r="D237" s="1" t="s">
        <v>217</v>
      </c>
      <c r="E237" s="1" t="n">
        <v>7</v>
      </c>
      <c r="F237" s="1" t="n">
        <v>330.91</v>
      </c>
      <c r="G237" s="1" t="n">
        <v>0</v>
      </c>
      <c r="H237" s="1" t="s">
        <v>1336</v>
      </c>
      <c r="I237" s="1" t="n">
        <v>2316.37</v>
      </c>
      <c r="J237" s="1" t="str">
        <f aca="false">VLOOKUP(B237,Customers!$A$2:$G$502,6,FALSE())</f>
        <v>Consumer</v>
      </c>
      <c r="K237" s="1" t="str">
        <f aca="false">VLOOKUP(C237,Products!$A$2:$E$62,3,FALSE())</f>
        <v>Electronics</v>
      </c>
      <c r="L237" s="1" t="str">
        <f aca="false">TEXT(D237,"yyyy-mm")</f>
        <v>2024-07</v>
      </c>
    </row>
    <row r="238" customFormat="false" ht="15" hidden="false" customHeight="true" outlineLevel="0" collapsed="false">
      <c r="A238" s="1" t="n">
        <v>240</v>
      </c>
      <c r="B238" s="1" t="n">
        <v>360</v>
      </c>
      <c r="C238" s="1" t="n">
        <v>14</v>
      </c>
      <c r="D238" s="1" t="s">
        <v>87</v>
      </c>
      <c r="E238" s="1" t="n">
        <v>5</v>
      </c>
      <c r="F238" s="1" t="n">
        <v>135.27</v>
      </c>
      <c r="G238" s="1" t="n">
        <v>0</v>
      </c>
      <c r="H238" s="1" t="s">
        <v>1336</v>
      </c>
      <c r="I238" s="1" t="n">
        <v>676.35</v>
      </c>
      <c r="J238" s="1" t="str">
        <f aca="false">VLOOKUP(B238,Customers!$A$2:$G$502,6,FALSE())</f>
        <v>Corporate</v>
      </c>
      <c r="K238" s="1" t="str">
        <f aca="false">VLOOKUP(C238,Products!$A$2:$E$62,3,FALSE())</f>
        <v>Electronics</v>
      </c>
      <c r="L238" s="1" t="str">
        <f aca="false">TEXT(D238,"yyyy-mm")</f>
        <v>2023-08</v>
      </c>
    </row>
    <row r="239" customFormat="false" ht="15" hidden="false" customHeight="true" outlineLevel="0" collapsed="false">
      <c r="A239" s="1" t="n">
        <v>241</v>
      </c>
      <c r="B239" s="1" t="n">
        <v>33</v>
      </c>
      <c r="C239" s="1" t="n">
        <v>24</v>
      </c>
      <c r="D239" s="1" t="s">
        <v>620</v>
      </c>
      <c r="E239" s="1" t="n">
        <v>6</v>
      </c>
      <c r="F239" s="1" t="n">
        <v>207.34</v>
      </c>
      <c r="G239" s="1" t="n">
        <v>0.05</v>
      </c>
      <c r="H239" s="1" t="s">
        <v>1336</v>
      </c>
      <c r="I239" s="1" t="n">
        <v>1181.84</v>
      </c>
      <c r="J239" s="1" t="str">
        <f aca="false">VLOOKUP(B239,Customers!$A$2:$G$502,6,FALSE())</f>
        <v>Corporate</v>
      </c>
      <c r="K239" s="1" t="str">
        <f aca="false">VLOOKUP(C239,Products!$A$2:$E$62,3,FALSE())</f>
        <v>Office Supplies</v>
      </c>
      <c r="L239" s="1" t="str">
        <f aca="false">TEXT(D239,"yyyy-mm")</f>
        <v>2023-12</v>
      </c>
    </row>
    <row r="240" customFormat="false" ht="15" hidden="false" customHeight="true" outlineLevel="0" collapsed="false">
      <c r="A240" s="1" t="n">
        <v>242</v>
      </c>
      <c r="B240" s="1" t="n">
        <v>348</v>
      </c>
      <c r="C240" s="1" t="n">
        <v>53</v>
      </c>
      <c r="D240" s="1" t="s">
        <v>611</v>
      </c>
      <c r="E240" s="1" t="n">
        <v>7</v>
      </c>
      <c r="F240" s="1" t="n">
        <v>509.98</v>
      </c>
      <c r="G240" s="1" t="n">
        <v>0</v>
      </c>
      <c r="H240" s="1" t="s">
        <v>1336</v>
      </c>
      <c r="I240" s="1" t="n">
        <v>3569.86</v>
      </c>
      <c r="J240" s="1" t="str">
        <f aca="false">VLOOKUP(B240,Customers!$A$2:$G$502,6,FALSE())</f>
        <v>Consumer</v>
      </c>
      <c r="K240" s="1" t="str">
        <f aca="false">VLOOKUP(C240,Products!$A$2:$E$62,3,FALSE())</f>
        <v>Software</v>
      </c>
      <c r="L240" s="1" t="str">
        <f aca="false">TEXT(D240,"yyyy-mm")</f>
        <v>2024-06</v>
      </c>
    </row>
    <row r="241" customFormat="false" ht="15" hidden="false" customHeight="true" outlineLevel="0" collapsed="false">
      <c r="A241" s="1" t="n">
        <v>243</v>
      </c>
      <c r="B241" s="1" t="n">
        <v>482</v>
      </c>
      <c r="C241" s="1" t="n">
        <v>57</v>
      </c>
      <c r="D241" s="1" t="s">
        <v>1001</v>
      </c>
      <c r="E241" s="1" t="n">
        <v>3</v>
      </c>
      <c r="F241" s="1" t="n">
        <v>719.76</v>
      </c>
      <c r="G241" s="1" t="n">
        <v>0</v>
      </c>
      <c r="H241" s="1" t="s">
        <v>1346</v>
      </c>
      <c r="I241" s="1" t="n">
        <v>2159.28</v>
      </c>
      <c r="J241" s="1" t="str">
        <f aca="false">VLOOKUP(B241,Customers!$A$2:$G$502,6,FALSE())</f>
        <v>Small Business</v>
      </c>
      <c r="K241" s="1" t="str">
        <f aca="false">VLOOKUP(C241,Products!$A$2:$E$62,3,FALSE())</f>
        <v>Furniture</v>
      </c>
      <c r="L241" s="1" t="str">
        <f aca="false">TEXT(D241,"yyyy-mm")</f>
        <v>2023-03</v>
      </c>
    </row>
    <row r="242" customFormat="false" ht="15" hidden="false" customHeight="true" outlineLevel="0" collapsed="false">
      <c r="A242" s="1" t="n">
        <v>244</v>
      </c>
      <c r="B242" s="1" t="n">
        <v>148</v>
      </c>
      <c r="C242" s="1" t="n">
        <v>5</v>
      </c>
      <c r="D242" s="1" t="s">
        <v>1188</v>
      </c>
      <c r="E242" s="1" t="n">
        <v>3</v>
      </c>
      <c r="F242" s="1" t="n">
        <v>439.06</v>
      </c>
      <c r="G242" s="1" t="n">
        <v>0</v>
      </c>
      <c r="H242" s="1" t="s">
        <v>1336</v>
      </c>
      <c r="I242" s="1" t="n">
        <v>1317.18</v>
      </c>
      <c r="J242" s="1" t="str">
        <f aca="false">VLOOKUP(B242,Customers!$A$2:$G$502,6,FALSE())</f>
        <v>Corporate</v>
      </c>
      <c r="K242" s="1" t="str">
        <f aca="false">VLOOKUP(C242,Products!$A$2:$E$62,3,FALSE())</f>
        <v>Electronics</v>
      </c>
      <c r="L242" s="1" t="str">
        <f aca="false">TEXT(D242,"yyyy-mm")</f>
        <v>2023-04</v>
      </c>
    </row>
    <row r="243" customFormat="false" ht="15" hidden="false" customHeight="true" outlineLevel="0" collapsed="false">
      <c r="A243" s="1" t="n">
        <v>245</v>
      </c>
      <c r="B243" s="1" t="n">
        <v>267</v>
      </c>
      <c r="C243" s="1" t="n">
        <v>41</v>
      </c>
      <c r="D243" s="1" t="s">
        <v>1432</v>
      </c>
      <c r="E243" s="1" t="n">
        <v>5</v>
      </c>
      <c r="F243" s="1" t="n">
        <v>594.54</v>
      </c>
      <c r="G243" s="1" t="n">
        <v>0</v>
      </c>
      <c r="H243" s="1" t="s">
        <v>1336</v>
      </c>
      <c r="I243" s="1" t="n">
        <v>2972.7</v>
      </c>
      <c r="J243" s="1" t="str">
        <f aca="false">VLOOKUP(B243,Customers!$A$2:$G$502,6,FALSE())</f>
        <v>Corporate</v>
      </c>
      <c r="K243" s="1" t="str">
        <f aca="false">VLOOKUP(C243,Products!$A$2:$E$62,3,FALSE())</f>
        <v>Software</v>
      </c>
      <c r="L243" s="1" t="str">
        <f aca="false">TEXT(D243,"yyyy-mm")</f>
        <v>2023-01</v>
      </c>
    </row>
    <row r="244" customFormat="false" ht="15" hidden="false" customHeight="true" outlineLevel="0" collapsed="false">
      <c r="A244" s="1" t="n">
        <v>246</v>
      </c>
      <c r="B244" s="1" t="n">
        <v>216</v>
      </c>
      <c r="C244" s="1" t="n">
        <v>29</v>
      </c>
      <c r="D244" s="1" t="s">
        <v>1338</v>
      </c>
      <c r="E244" s="1" t="n">
        <v>6</v>
      </c>
      <c r="F244" s="1" t="n">
        <v>54.62</v>
      </c>
      <c r="G244" s="1" t="n">
        <v>0</v>
      </c>
      <c r="H244" s="1" t="s">
        <v>1336</v>
      </c>
      <c r="I244" s="1" t="n">
        <v>327.72</v>
      </c>
      <c r="J244" s="1" t="str">
        <f aca="false">VLOOKUP(B244,Customers!$A$2:$G$502,6,FALSE())</f>
        <v>Consumer</v>
      </c>
      <c r="K244" s="1" t="str">
        <f aca="false">VLOOKUP(C244,Products!$A$2:$E$62,3,FALSE())</f>
        <v>Office Supplies</v>
      </c>
      <c r="L244" s="1" t="str">
        <f aca="false">TEXT(D244,"yyyy-mm")</f>
        <v>2024-10</v>
      </c>
    </row>
    <row r="245" customFormat="false" ht="15" hidden="false" customHeight="true" outlineLevel="0" collapsed="false">
      <c r="A245" s="1" t="n">
        <v>247</v>
      </c>
      <c r="B245" s="1" t="n">
        <v>486</v>
      </c>
      <c r="C245" s="1" t="n">
        <v>34</v>
      </c>
      <c r="D245" s="1" t="s">
        <v>1338</v>
      </c>
      <c r="E245" s="1" t="n">
        <v>9</v>
      </c>
      <c r="F245" s="1" t="n">
        <v>116.85</v>
      </c>
      <c r="G245" s="1" t="n">
        <v>0</v>
      </c>
      <c r="H245" s="1" t="s">
        <v>1336</v>
      </c>
      <c r="I245" s="1" t="n">
        <v>1051.65</v>
      </c>
      <c r="J245" s="1" t="str">
        <f aca="false">VLOOKUP(B245,Customers!$A$2:$G$502,6,FALSE())</f>
        <v>Corporate</v>
      </c>
      <c r="K245" s="1" t="str">
        <f aca="false">VLOOKUP(C245,Products!$A$2:$E$62,3,FALSE())</f>
        <v>Office Supplies</v>
      </c>
      <c r="L245" s="1" t="str">
        <f aca="false">TEXT(D245,"yyyy-mm")</f>
        <v>2024-10</v>
      </c>
    </row>
    <row r="246" customFormat="false" ht="15" hidden="false" customHeight="true" outlineLevel="0" collapsed="false">
      <c r="A246" s="1" t="n">
        <v>248</v>
      </c>
      <c r="B246" s="1" t="n">
        <v>304</v>
      </c>
      <c r="C246" s="1" t="n">
        <v>43</v>
      </c>
      <c r="D246" s="1" t="s">
        <v>109</v>
      </c>
      <c r="E246" s="1" t="n">
        <v>5</v>
      </c>
      <c r="F246" s="1" t="n">
        <v>186.31</v>
      </c>
      <c r="G246" s="1" t="n">
        <v>0.1</v>
      </c>
      <c r="H246" s="1" t="s">
        <v>1336</v>
      </c>
      <c r="I246" s="1" t="n">
        <v>838.4</v>
      </c>
      <c r="J246" s="1" t="str">
        <f aca="false">VLOOKUP(B246,Customers!$A$2:$G$502,6,FALSE())</f>
        <v>Small Business</v>
      </c>
      <c r="K246" s="1" t="str">
        <f aca="false">VLOOKUP(C246,Products!$A$2:$E$62,3,FALSE())</f>
        <v>Software</v>
      </c>
      <c r="L246" s="1" t="str">
        <f aca="false">TEXT(D246,"yyyy-mm")</f>
        <v>2024-12</v>
      </c>
    </row>
    <row r="247" customFormat="false" ht="15" hidden="false" customHeight="true" outlineLevel="0" collapsed="false">
      <c r="A247" s="1" t="n">
        <v>249</v>
      </c>
      <c r="B247" s="1" t="n">
        <v>405</v>
      </c>
      <c r="C247" s="1" t="n">
        <v>20</v>
      </c>
      <c r="D247" s="1" t="s">
        <v>1398</v>
      </c>
      <c r="E247" s="1" t="n">
        <v>1</v>
      </c>
      <c r="F247" s="1" t="n">
        <v>426.15</v>
      </c>
      <c r="G247" s="1" t="n">
        <v>0.2</v>
      </c>
      <c r="H247" s="1" t="s">
        <v>1336</v>
      </c>
      <c r="I247" s="1" t="n">
        <v>340.92</v>
      </c>
      <c r="J247" s="1" t="str">
        <f aca="false">VLOOKUP(B247,Customers!$A$2:$G$502,6,FALSE())</f>
        <v>Small Business</v>
      </c>
      <c r="K247" s="1" t="str">
        <f aca="false">VLOOKUP(C247,Products!$A$2:$E$62,3,FALSE())</f>
        <v>Office Supplies</v>
      </c>
      <c r="L247" s="1" t="str">
        <f aca="false">TEXT(D247,"yyyy-mm")</f>
        <v>2023-06</v>
      </c>
    </row>
    <row r="248" customFormat="false" ht="15" hidden="false" customHeight="true" outlineLevel="0" collapsed="false">
      <c r="A248" s="1" t="n">
        <v>250</v>
      </c>
      <c r="B248" s="1" t="n">
        <v>25</v>
      </c>
      <c r="C248" s="1" t="n">
        <v>10</v>
      </c>
      <c r="D248" s="1" t="s">
        <v>1433</v>
      </c>
      <c r="E248" s="1" t="n">
        <v>4</v>
      </c>
      <c r="F248" s="1" t="n">
        <v>251.58</v>
      </c>
      <c r="G248" s="1" t="n">
        <v>0</v>
      </c>
      <c r="H248" s="1" t="s">
        <v>1336</v>
      </c>
      <c r="I248" s="1" t="n">
        <v>1006.32</v>
      </c>
      <c r="J248" s="1" t="str">
        <f aca="false">VLOOKUP(B248,Customers!$A$2:$G$502,6,FALSE())</f>
        <v>Corporate</v>
      </c>
      <c r="K248" s="1" t="str">
        <f aca="false">VLOOKUP(C248,Products!$A$2:$E$62,3,FALSE())</f>
        <v>Electronics</v>
      </c>
      <c r="L248" s="1" t="str">
        <f aca="false">TEXT(D248,"yyyy-mm")</f>
        <v>2023-12</v>
      </c>
    </row>
    <row r="249" customFormat="false" ht="15" hidden="false" customHeight="true" outlineLevel="0" collapsed="false">
      <c r="A249" s="1" t="n">
        <v>251</v>
      </c>
      <c r="B249" s="1" t="n">
        <v>147</v>
      </c>
      <c r="C249" s="1" t="n">
        <v>12</v>
      </c>
      <c r="D249" s="1" t="s">
        <v>289</v>
      </c>
      <c r="E249" s="1" t="n">
        <v>5</v>
      </c>
      <c r="F249" s="1" t="n">
        <v>179.23</v>
      </c>
      <c r="G249" s="1" t="n">
        <v>0.2</v>
      </c>
      <c r="H249" s="1" t="s">
        <v>1336</v>
      </c>
      <c r="I249" s="1" t="n">
        <v>716.92</v>
      </c>
      <c r="J249" s="1" t="str">
        <f aca="false">VLOOKUP(B249,Customers!$A$2:$G$502,6,FALSE())</f>
        <v>Small Business</v>
      </c>
      <c r="K249" s="1" t="str">
        <f aca="false">VLOOKUP(C249,Products!$A$2:$E$62,3,FALSE())</f>
        <v>Electronics</v>
      </c>
      <c r="L249" s="1" t="str">
        <f aca="false">TEXT(D249,"yyyy-mm")</f>
        <v>2023-06</v>
      </c>
    </row>
    <row r="250" customFormat="false" ht="15" hidden="false" customHeight="true" outlineLevel="0" collapsed="false">
      <c r="A250" s="1" t="n">
        <v>252</v>
      </c>
      <c r="B250" s="1" t="n">
        <v>60</v>
      </c>
      <c r="C250" s="1" t="n">
        <v>3</v>
      </c>
      <c r="D250" s="1" t="s">
        <v>617</v>
      </c>
      <c r="E250" s="1" t="n">
        <v>5</v>
      </c>
      <c r="F250" s="1" t="n">
        <v>89.39</v>
      </c>
      <c r="G250" s="1" t="n">
        <v>0.1</v>
      </c>
      <c r="H250" s="1" t="s">
        <v>1336</v>
      </c>
      <c r="I250" s="1" t="n">
        <v>402.26</v>
      </c>
      <c r="J250" s="1" t="str">
        <f aca="false">VLOOKUP(B250,Customers!$A$2:$G$502,6,FALSE())</f>
        <v>Corporate</v>
      </c>
      <c r="K250" s="1" t="str">
        <f aca="false">VLOOKUP(C250,Products!$A$2:$E$62,3,FALSE())</f>
        <v>Electronics</v>
      </c>
      <c r="L250" s="1" t="str">
        <f aca="false">TEXT(D250,"yyyy-mm")</f>
        <v>2023-11</v>
      </c>
    </row>
    <row r="251" customFormat="false" ht="15" hidden="false" customHeight="true" outlineLevel="0" collapsed="false">
      <c r="A251" s="1" t="n">
        <v>253</v>
      </c>
      <c r="B251" s="1" t="n">
        <v>18</v>
      </c>
      <c r="C251" s="1" t="n">
        <v>43</v>
      </c>
      <c r="D251" s="1" t="s">
        <v>617</v>
      </c>
      <c r="E251" s="1" t="n">
        <v>7</v>
      </c>
      <c r="F251" s="1" t="n">
        <v>186.31</v>
      </c>
      <c r="G251" s="1" t="n">
        <v>0</v>
      </c>
      <c r="H251" s="1" t="s">
        <v>1336</v>
      </c>
      <c r="I251" s="1" t="n">
        <v>1304.17</v>
      </c>
      <c r="J251" s="1" t="str">
        <f aca="false">VLOOKUP(B251,Customers!$A$2:$G$502,6,FALSE())</f>
        <v>Corporate</v>
      </c>
      <c r="K251" s="1" t="str">
        <f aca="false">VLOOKUP(C251,Products!$A$2:$E$62,3,FALSE())</f>
        <v>Software</v>
      </c>
      <c r="L251" s="1" t="str">
        <f aca="false">TEXT(D251,"yyyy-mm")</f>
        <v>2023-11</v>
      </c>
    </row>
    <row r="252" customFormat="false" ht="15" hidden="false" customHeight="true" outlineLevel="0" collapsed="false">
      <c r="A252" s="1" t="n">
        <v>254</v>
      </c>
      <c r="B252" s="1" t="n">
        <v>63</v>
      </c>
      <c r="C252" s="1" t="n">
        <v>59</v>
      </c>
      <c r="D252" s="1" t="s">
        <v>1434</v>
      </c>
      <c r="E252" s="1" t="n">
        <v>4</v>
      </c>
      <c r="F252" s="1" t="n">
        <v>438.89</v>
      </c>
      <c r="G252" s="1" t="n">
        <v>0.05</v>
      </c>
      <c r="H252" s="1" t="s">
        <v>1346</v>
      </c>
      <c r="I252" s="1" t="n">
        <v>1667.78</v>
      </c>
      <c r="J252" s="1" t="str">
        <f aca="false">VLOOKUP(B252,Customers!$A$2:$G$502,6,FALSE())</f>
        <v>Consumer</v>
      </c>
      <c r="K252" s="1" t="str">
        <f aca="false">VLOOKUP(C252,Products!$A$2:$E$62,3,FALSE())</f>
        <v>Furniture</v>
      </c>
      <c r="L252" s="1" t="str">
        <f aca="false">TEXT(D252,"yyyy-mm")</f>
        <v>2023-01</v>
      </c>
    </row>
    <row r="253" customFormat="false" ht="15" hidden="false" customHeight="true" outlineLevel="0" collapsed="false">
      <c r="A253" s="1" t="n">
        <v>255</v>
      </c>
      <c r="B253" s="1" t="n">
        <v>80</v>
      </c>
      <c r="C253" s="1" t="n">
        <v>1</v>
      </c>
      <c r="D253" s="1" t="s">
        <v>828</v>
      </c>
      <c r="E253" s="1" t="n">
        <v>1</v>
      </c>
      <c r="F253" s="1" t="n">
        <v>327.32</v>
      </c>
      <c r="G253" s="1" t="n">
        <v>0.1</v>
      </c>
      <c r="H253" s="1" t="s">
        <v>1336</v>
      </c>
      <c r="I253" s="1" t="n">
        <v>294.59</v>
      </c>
      <c r="J253" s="1" t="str">
        <f aca="false">VLOOKUP(B253,Customers!$A$2:$G$502,6,FALSE())</f>
        <v>Consumer</v>
      </c>
      <c r="K253" s="1" t="str">
        <f aca="false">VLOOKUP(C253,Products!$A$2:$E$62,3,FALSE())</f>
        <v>Electronics</v>
      </c>
      <c r="L253" s="1" t="str">
        <f aca="false">TEXT(D253,"yyyy-mm")</f>
        <v>2024-07</v>
      </c>
    </row>
    <row r="254" customFormat="false" ht="15" hidden="false" customHeight="true" outlineLevel="0" collapsed="false">
      <c r="A254" s="1" t="n">
        <v>256</v>
      </c>
      <c r="B254" s="1" t="n">
        <v>484</v>
      </c>
      <c r="C254" s="1" t="n">
        <v>49</v>
      </c>
      <c r="D254" s="1" t="s">
        <v>1435</v>
      </c>
      <c r="E254" s="1" t="n">
        <v>5</v>
      </c>
      <c r="F254" s="1" t="n">
        <v>325.17</v>
      </c>
      <c r="G254" s="1" t="n">
        <v>0.15</v>
      </c>
      <c r="H254" s="1" t="s">
        <v>1336</v>
      </c>
      <c r="I254" s="1" t="n">
        <v>1381.97</v>
      </c>
      <c r="J254" s="1" t="str">
        <f aca="false">VLOOKUP(B254,Customers!$A$2:$G$502,6,FALSE())</f>
        <v>Corporate</v>
      </c>
      <c r="K254" s="1" t="str">
        <f aca="false">VLOOKUP(C254,Products!$A$2:$E$62,3,FALSE())</f>
        <v>Software</v>
      </c>
      <c r="L254" s="1" t="str">
        <f aca="false">TEXT(D254,"yyyy-mm")</f>
        <v>2024-08</v>
      </c>
    </row>
    <row r="255" customFormat="false" ht="15" hidden="false" customHeight="true" outlineLevel="0" collapsed="false">
      <c r="A255" s="1" t="n">
        <v>257</v>
      </c>
      <c r="B255" s="1" t="n">
        <v>353</v>
      </c>
      <c r="C255" s="1" t="n">
        <v>8</v>
      </c>
      <c r="D255" s="1" t="s">
        <v>623</v>
      </c>
      <c r="E255" s="1" t="n">
        <v>7</v>
      </c>
      <c r="F255" s="1" t="n">
        <v>104.4</v>
      </c>
      <c r="G255" s="1" t="n">
        <v>0</v>
      </c>
      <c r="H255" s="1" t="s">
        <v>1336</v>
      </c>
      <c r="I255" s="1" t="n">
        <v>730.8</v>
      </c>
      <c r="J255" s="1" t="str">
        <f aca="false">VLOOKUP(B255,Customers!$A$2:$G$502,6,FALSE())</f>
        <v>Corporate</v>
      </c>
      <c r="K255" s="1" t="str">
        <f aca="false">VLOOKUP(C255,Products!$A$2:$E$62,3,FALSE())</f>
        <v>Electronics</v>
      </c>
      <c r="L255" s="1" t="str">
        <f aca="false">TEXT(D255,"yyyy-mm")</f>
        <v>2024-05</v>
      </c>
    </row>
    <row r="256" customFormat="false" ht="15" hidden="false" customHeight="true" outlineLevel="0" collapsed="false">
      <c r="A256" s="1" t="n">
        <v>258</v>
      </c>
      <c r="B256" s="1" t="n">
        <v>431</v>
      </c>
      <c r="C256" s="1" t="n">
        <v>15</v>
      </c>
      <c r="D256" s="1" t="s">
        <v>664</v>
      </c>
      <c r="E256" s="1" t="n">
        <v>6</v>
      </c>
      <c r="F256" s="1" t="n">
        <v>304.95</v>
      </c>
      <c r="G256" s="1" t="n">
        <v>0</v>
      </c>
      <c r="H256" s="1" t="s">
        <v>1336</v>
      </c>
      <c r="I256" s="1" t="n">
        <v>1829.7</v>
      </c>
      <c r="J256" s="1" t="str">
        <f aca="false">VLOOKUP(B256,Customers!$A$2:$G$502,6,FALSE())</f>
        <v>Consumer</v>
      </c>
      <c r="K256" s="1" t="str">
        <f aca="false">VLOOKUP(C256,Products!$A$2:$E$62,3,FALSE())</f>
        <v>Electronics</v>
      </c>
      <c r="L256" s="1" t="str">
        <f aca="false">TEXT(D256,"yyyy-mm")</f>
        <v>2024-04</v>
      </c>
    </row>
    <row r="257" customFormat="false" ht="15" hidden="false" customHeight="true" outlineLevel="0" collapsed="false">
      <c r="A257" s="1" t="n">
        <v>259</v>
      </c>
      <c r="B257" s="1" t="n">
        <v>114</v>
      </c>
      <c r="C257" s="1" t="n">
        <v>51</v>
      </c>
      <c r="D257" s="1" t="s">
        <v>24</v>
      </c>
      <c r="E257" s="1" t="n">
        <v>5</v>
      </c>
      <c r="F257" s="1" t="n">
        <v>30.16</v>
      </c>
      <c r="G257" s="1" t="n">
        <v>0</v>
      </c>
      <c r="H257" s="1" t="s">
        <v>1336</v>
      </c>
      <c r="I257" s="1" t="n">
        <v>150.8</v>
      </c>
      <c r="J257" s="1" t="str">
        <f aca="false">VLOOKUP(B257,Customers!$A$2:$G$502,6,FALSE())</f>
        <v>Consumer</v>
      </c>
      <c r="K257" s="1" t="str">
        <f aca="false">VLOOKUP(C257,Products!$A$2:$E$62,3,FALSE())</f>
        <v>Software</v>
      </c>
      <c r="L257" s="1" t="str">
        <f aca="false">TEXT(D257,"yyyy-mm")</f>
        <v>2023-10</v>
      </c>
    </row>
    <row r="258" customFormat="false" ht="15" hidden="false" customHeight="true" outlineLevel="0" collapsed="false">
      <c r="A258" s="1" t="n">
        <v>260</v>
      </c>
      <c r="B258" s="1" t="n">
        <v>45</v>
      </c>
      <c r="C258" s="1" t="n">
        <v>33</v>
      </c>
      <c r="D258" s="1" t="s">
        <v>1436</v>
      </c>
      <c r="E258" s="1" t="n">
        <v>4</v>
      </c>
      <c r="F258" s="1" t="n">
        <v>190.1</v>
      </c>
      <c r="G258" s="1" t="n">
        <v>0</v>
      </c>
      <c r="H258" s="1" t="s">
        <v>1336</v>
      </c>
      <c r="I258" s="1" t="n">
        <v>760.4</v>
      </c>
      <c r="J258" s="1" t="str">
        <f aca="false">VLOOKUP(B258,Customers!$A$2:$G$502,6,FALSE())</f>
        <v>Corporate</v>
      </c>
      <c r="K258" s="1" t="str">
        <f aca="false">VLOOKUP(C258,Products!$A$2:$E$62,3,FALSE())</f>
        <v>Office Supplies</v>
      </c>
      <c r="L258" s="1" t="str">
        <f aca="false">TEXT(D258,"yyyy-mm")</f>
        <v>2024-02</v>
      </c>
    </row>
    <row r="259" customFormat="false" ht="15" hidden="false" customHeight="true" outlineLevel="0" collapsed="false">
      <c r="A259" s="1" t="n">
        <v>262</v>
      </c>
      <c r="B259" s="1" t="n">
        <v>177</v>
      </c>
      <c r="C259" s="1" t="n">
        <v>23</v>
      </c>
      <c r="D259" s="1" t="s">
        <v>601</v>
      </c>
      <c r="E259" s="1" t="n">
        <v>4</v>
      </c>
      <c r="F259" s="1" t="n">
        <v>188.73</v>
      </c>
      <c r="G259" s="1" t="n">
        <v>0.05</v>
      </c>
      <c r="H259" s="1" t="s">
        <v>1336</v>
      </c>
      <c r="I259" s="1" t="n">
        <v>717.17</v>
      </c>
      <c r="J259" s="1" t="str">
        <f aca="false">VLOOKUP(B259,Customers!$A$2:$G$502,6,FALSE())</f>
        <v>Corporate</v>
      </c>
      <c r="K259" s="1" t="str">
        <f aca="false">VLOOKUP(C259,Products!$A$2:$E$62,3,FALSE())</f>
        <v>Office Supplies</v>
      </c>
      <c r="L259" s="1" t="str">
        <f aca="false">TEXT(D259,"yyyy-mm")</f>
        <v>2023-11</v>
      </c>
    </row>
    <row r="260" customFormat="false" ht="15" hidden="false" customHeight="true" outlineLevel="0" collapsed="false">
      <c r="A260" s="1" t="n">
        <v>263</v>
      </c>
      <c r="B260" s="1" t="n">
        <v>213</v>
      </c>
      <c r="C260" s="1" t="n">
        <v>52</v>
      </c>
      <c r="D260" s="1" t="s">
        <v>191</v>
      </c>
      <c r="E260" s="1" t="n">
        <v>3</v>
      </c>
      <c r="F260" s="1" t="n">
        <v>207.67</v>
      </c>
      <c r="G260" s="1" t="n">
        <v>0</v>
      </c>
      <c r="H260" s="1" t="s">
        <v>1336</v>
      </c>
      <c r="I260" s="1" t="n">
        <v>623.01</v>
      </c>
      <c r="J260" s="1" t="str">
        <f aca="false">VLOOKUP(B260,Customers!$A$2:$G$502,6,FALSE())</f>
        <v>Small Business</v>
      </c>
      <c r="K260" s="1" t="str">
        <f aca="false">VLOOKUP(C260,Products!$A$2:$E$62,3,FALSE())</f>
        <v>Software</v>
      </c>
      <c r="L260" s="1" t="str">
        <f aca="false">TEXT(D260,"yyyy-mm")</f>
        <v>2024-03</v>
      </c>
    </row>
    <row r="261" customFormat="false" ht="15" hidden="false" customHeight="true" outlineLevel="0" collapsed="false">
      <c r="A261" s="1" t="n">
        <v>264</v>
      </c>
      <c r="B261" s="1" t="n">
        <v>213</v>
      </c>
      <c r="C261" s="1" t="n">
        <v>9</v>
      </c>
      <c r="D261" s="1" t="s">
        <v>737</v>
      </c>
      <c r="E261" s="1" t="n">
        <v>1</v>
      </c>
      <c r="F261" s="1" t="n">
        <v>203.1</v>
      </c>
      <c r="G261" s="1" t="n">
        <v>0.1</v>
      </c>
      <c r="H261" s="1" t="s">
        <v>1336</v>
      </c>
      <c r="I261" s="1" t="n">
        <v>182.79</v>
      </c>
      <c r="J261" s="1" t="str">
        <f aca="false">VLOOKUP(B261,Customers!$A$2:$G$502,6,FALSE())</f>
        <v>Small Business</v>
      </c>
      <c r="K261" s="1" t="str">
        <f aca="false">VLOOKUP(C261,Products!$A$2:$E$62,3,FALSE())</f>
        <v>Electronics</v>
      </c>
      <c r="L261" s="1" t="str">
        <f aca="false">TEXT(D261,"yyyy-mm")</f>
        <v>2024-08</v>
      </c>
    </row>
    <row r="262" customFormat="false" ht="15" hidden="false" customHeight="true" outlineLevel="0" collapsed="false">
      <c r="A262" s="1" t="n">
        <v>265</v>
      </c>
      <c r="B262" s="1" t="n">
        <v>172</v>
      </c>
      <c r="C262" s="1" t="n">
        <v>5</v>
      </c>
      <c r="D262" s="1" t="s">
        <v>1213</v>
      </c>
      <c r="E262" s="1" t="n">
        <v>8</v>
      </c>
      <c r="F262" s="1" t="n">
        <v>439.06</v>
      </c>
      <c r="G262" s="1" t="n">
        <v>0.2</v>
      </c>
      <c r="H262" s="1" t="s">
        <v>1336</v>
      </c>
      <c r="I262" s="1" t="n">
        <v>2809.98</v>
      </c>
      <c r="J262" s="1" t="str">
        <f aca="false">VLOOKUP(B262,Customers!$A$2:$G$502,6,FALSE())</f>
        <v>Consumer</v>
      </c>
      <c r="K262" s="1" t="str">
        <f aca="false">VLOOKUP(C262,Products!$A$2:$E$62,3,FALSE())</f>
        <v>Electronics</v>
      </c>
      <c r="L262" s="1" t="str">
        <f aca="false">TEXT(D262,"yyyy-mm")</f>
        <v>2024-08</v>
      </c>
    </row>
    <row r="263" customFormat="false" ht="15" hidden="false" customHeight="true" outlineLevel="0" collapsed="false">
      <c r="A263" s="1" t="n">
        <v>266</v>
      </c>
      <c r="B263" s="1" t="n">
        <v>90</v>
      </c>
      <c r="C263" s="1" t="n">
        <v>36</v>
      </c>
      <c r="D263" s="1" t="s">
        <v>297</v>
      </c>
      <c r="E263" s="1" t="n">
        <v>5</v>
      </c>
      <c r="F263" s="1" t="n">
        <v>424.45</v>
      </c>
      <c r="G263" s="1" t="n">
        <v>0.15</v>
      </c>
      <c r="H263" s="1" t="s">
        <v>1336</v>
      </c>
      <c r="I263" s="1" t="n">
        <v>1803.91</v>
      </c>
      <c r="J263" s="1" t="str">
        <f aca="false">VLOOKUP(B263,Customers!$A$2:$G$502,6,FALSE())</f>
        <v>Consumer</v>
      </c>
      <c r="K263" s="1" t="str">
        <f aca="false">VLOOKUP(C263,Products!$A$2:$E$62,3,FALSE())</f>
        <v>Software</v>
      </c>
      <c r="L263" s="1" t="str">
        <f aca="false">TEXT(D263,"yyyy-mm")</f>
        <v>2024-04</v>
      </c>
    </row>
    <row r="264" customFormat="false" ht="15" hidden="false" customHeight="true" outlineLevel="0" collapsed="false">
      <c r="A264" s="1" t="n">
        <v>267</v>
      </c>
      <c r="B264" s="1" t="n">
        <v>149</v>
      </c>
      <c r="C264" s="1" t="n">
        <v>36</v>
      </c>
      <c r="D264" s="1" t="s">
        <v>1147</v>
      </c>
      <c r="E264" s="1" t="n">
        <v>4</v>
      </c>
      <c r="F264" s="1" t="n">
        <v>424.45</v>
      </c>
      <c r="G264" s="1" t="n">
        <v>0</v>
      </c>
      <c r="H264" s="1" t="s">
        <v>1336</v>
      </c>
      <c r="I264" s="1" t="n">
        <v>1697.8</v>
      </c>
      <c r="J264" s="1" t="str">
        <f aca="false">VLOOKUP(B264,Customers!$A$2:$G$502,6,FALSE())</f>
        <v>Consumer</v>
      </c>
      <c r="K264" s="1" t="str">
        <f aca="false">VLOOKUP(C264,Products!$A$2:$E$62,3,FALSE())</f>
        <v>Software</v>
      </c>
      <c r="L264" s="1" t="str">
        <f aca="false">TEXT(D264,"yyyy-mm")</f>
        <v>2024-05</v>
      </c>
    </row>
    <row r="265" customFormat="false" ht="15" hidden="false" customHeight="true" outlineLevel="0" collapsed="false">
      <c r="A265" s="1" t="n">
        <v>268</v>
      </c>
      <c r="B265" s="1" t="n">
        <v>379</v>
      </c>
      <c r="C265" s="1" t="n">
        <v>30</v>
      </c>
      <c r="D265" s="1" t="s">
        <v>1437</v>
      </c>
      <c r="E265" s="1" t="n">
        <v>8</v>
      </c>
      <c r="F265" s="1" t="n">
        <v>33.32</v>
      </c>
      <c r="G265" s="1" t="n">
        <v>0</v>
      </c>
      <c r="H265" s="1" t="s">
        <v>1336</v>
      </c>
      <c r="I265" s="1" t="n">
        <v>266.56</v>
      </c>
      <c r="J265" s="1" t="str">
        <f aca="false">VLOOKUP(B265,Customers!$A$2:$G$502,6,FALSE())</f>
        <v>Corporate</v>
      </c>
      <c r="K265" s="1" t="str">
        <f aca="false">VLOOKUP(C265,Products!$A$2:$E$62,3,FALSE())</f>
        <v>Office Supplies</v>
      </c>
      <c r="L265" s="1" t="str">
        <f aca="false">TEXT(D265,"yyyy-mm")</f>
        <v>2023-08</v>
      </c>
    </row>
    <row r="266" customFormat="false" ht="15" hidden="false" customHeight="true" outlineLevel="0" collapsed="false">
      <c r="A266" s="1" t="n">
        <v>269</v>
      </c>
      <c r="B266" s="1" t="n">
        <v>326</v>
      </c>
      <c r="C266" s="1" t="n">
        <v>31</v>
      </c>
      <c r="D266" s="1" t="s">
        <v>1438</v>
      </c>
      <c r="E266" s="1" t="n">
        <v>7</v>
      </c>
      <c r="F266" s="1" t="n">
        <v>224.86</v>
      </c>
      <c r="G266" s="1" t="n">
        <v>0.15</v>
      </c>
      <c r="H266" s="1" t="s">
        <v>1336</v>
      </c>
      <c r="I266" s="1" t="n">
        <v>1337.92</v>
      </c>
      <c r="J266" s="1" t="str">
        <f aca="false">VLOOKUP(B266,Customers!$A$2:$G$502,6,FALSE())</f>
        <v>Corporate</v>
      </c>
      <c r="K266" s="1" t="str">
        <f aca="false">VLOOKUP(C266,Products!$A$2:$E$62,3,FALSE())</f>
        <v>Office Supplies</v>
      </c>
      <c r="L266" s="1" t="str">
        <f aca="false">TEXT(D266,"yyyy-mm")</f>
        <v>2023-05</v>
      </c>
    </row>
    <row r="267" customFormat="false" ht="15" hidden="false" customHeight="true" outlineLevel="0" collapsed="false">
      <c r="A267" s="1" t="n">
        <v>270</v>
      </c>
      <c r="B267" s="1" t="n">
        <v>331</v>
      </c>
      <c r="C267" s="1" t="n">
        <v>16</v>
      </c>
      <c r="D267" s="1" t="s">
        <v>1393</v>
      </c>
      <c r="E267" s="1" t="n">
        <v>2</v>
      </c>
      <c r="F267" s="1" t="n">
        <v>330.91</v>
      </c>
      <c r="G267" s="1" t="n">
        <v>0</v>
      </c>
      <c r="H267" s="1" t="s">
        <v>1336</v>
      </c>
      <c r="I267" s="1" t="n">
        <v>661.82</v>
      </c>
      <c r="J267" s="1" t="str">
        <f aca="false">VLOOKUP(B267,Customers!$A$2:$G$502,6,FALSE())</f>
        <v>Consumer</v>
      </c>
      <c r="K267" s="1" t="str">
        <f aca="false">VLOOKUP(C267,Products!$A$2:$E$62,3,FALSE())</f>
        <v>Electronics</v>
      </c>
      <c r="L267" s="1" t="str">
        <f aca="false">TEXT(D267,"yyyy-mm")</f>
        <v>2023-01</v>
      </c>
    </row>
    <row r="268" customFormat="false" ht="15" hidden="false" customHeight="true" outlineLevel="0" collapsed="false">
      <c r="A268" s="1" t="n">
        <v>271</v>
      </c>
      <c r="B268" s="1" t="n">
        <v>186</v>
      </c>
      <c r="C268" s="1" t="n">
        <v>38</v>
      </c>
      <c r="D268" s="1" t="s">
        <v>1439</v>
      </c>
      <c r="E268" s="1" t="n">
        <v>1</v>
      </c>
      <c r="F268" s="1" t="n">
        <v>521.63</v>
      </c>
      <c r="G268" s="1" t="n">
        <v>0.1</v>
      </c>
      <c r="H268" s="1" t="s">
        <v>1336</v>
      </c>
      <c r="I268" s="1" t="n">
        <v>469.47</v>
      </c>
      <c r="J268" s="1" t="str">
        <f aca="false">VLOOKUP(B268,Customers!$A$2:$G$502,6,FALSE())</f>
        <v>Small Business</v>
      </c>
      <c r="K268" s="1" t="str">
        <f aca="false">VLOOKUP(C268,Products!$A$2:$E$62,3,FALSE())</f>
        <v>Software</v>
      </c>
      <c r="L268" s="1" t="str">
        <f aca="false">TEXT(D268,"yyyy-mm")</f>
        <v>2024-05</v>
      </c>
    </row>
    <row r="269" customFormat="false" ht="15" hidden="false" customHeight="true" outlineLevel="0" collapsed="false">
      <c r="A269" s="1" t="n">
        <v>272</v>
      </c>
      <c r="B269" s="1" t="n">
        <v>419</v>
      </c>
      <c r="C269" s="1" t="n">
        <v>8</v>
      </c>
      <c r="D269" s="1" t="s">
        <v>1103</v>
      </c>
      <c r="E269" s="1" t="n">
        <v>4</v>
      </c>
      <c r="F269" s="1" t="n">
        <v>104.4</v>
      </c>
      <c r="G269" s="1" t="n">
        <v>0.1</v>
      </c>
      <c r="H269" s="1" t="s">
        <v>1336</v>
      </c>
      <c r="I269" s="1" t="n">
        <v>375.84</v>
      </c>
      <c r="J269" s="1" t="str">
        <f aca="false">VLOOKUP(B269,Customers!$A$2:$G$502,6,FALSE())</f>
        <v>Small Business</v>
      </c>
      <c r="K269" s="1" t="str">
        <f aca="false">VLOOKUP(C269,Products!$A$2:$E$62,3,FALSE())</f>
        <v>Electronics</v>
      </c>
      <c r="L269" s="1" t="str">
        <f aca="false">TEXT(D269,"yyyy-mm")</f>
        <v>2024-01</v>
      </c>
    </row>
    <row r="270" customFormat="false" ht="15" hidden="false" customHeight="true" outlineLevel="0" collapsed="false">
      <c r="A270" s="1" t="n">
        <v>273</v>
      </c>
      <c r="B270" s="1" t="n">
        <v>75</v>
      </c>
      <c r="C270" s="1" t="n">
        <v>21</v>
      </c>
      <c r="D270" s="1" t="s">
        <v>927</v>
      </c>
      <c r="E270" s="1" t="n">
        <v>8</v>
      </c>
      <c r="F270" s="1" t="n">
        <v>84.91</v>
      </c>
      <c r="G270" s="1" t="n">
        <v>0.15</v>
      </c>
      <c r="H270" s="1" t="s">
        <v>1336</v>
      </c>
      <c r="I270" s="1" t="n">
        <v>577.39</v>
      </c>
      <c r="J270" s="1" t="str">
        <f aca="false">VLOOKUP(B270,Customers!$A$2:$G$502,6,FALSE())</f>
        <v>Consumer</v>
      </c>
      <c r="K270" s="1" t="str">
        <f aca="false">VLOOKUP(C270,Products!$A$2:$E$62,3,FALSE())</f>
        <v>Office Supplies</v>
      </c>
      <c r="L270" s="1" t="str">
        <f aca="false">TEXT(D270,"yyyy-mm")</f>
        <v>2024-04</v>
      </c>
    </row>
    <row r="271" customFormat="false" ht="15" hidden="false" customHeight="true" outlineLevel="0" collapsed="false">
      <c r="A271" s="1" t="n">
        <v>274</v>
      </c>
      <c r="B271" s="1" t="n">
        <v>467</v>
      </c>
      <c r="C271" s="1" t="n">
        <v>23</v>
      </c>
      <c r="D271" s="1" t="s">
        <v>1440</v>
      </c>
      <c r="E271" s="1" t="n">
        <v>2</v>
      </c>
      <c r="F271" s="1" t="n">
        <v>188.73</v>
      </c>
      <c r="G271" s="1" t="n">
        <v>0</v>
      </c>
      <c r="H271" s="1" t="s">
        <v>1336</v>
      </c>
      <c r="I271" s="1" t="n">
        <v>377.46</v>
      </c>
      <c r="J271" s="1" t="str">
        <f aca="false">VLOOKUP(B271,Customers!$A$2:$G$502,6,FALSE())</f>
        <v>Corporate</v>
      </c>
      <c r="K271" s="1" t="str">
        <f aca="false">VLOOKUP(C271,Products!$A$2:$E$62,3,FALSE())</f>
        <v>Office Supplies</v>
      </c>
      <c r="L271" s="1" t="str">
        <f aca="false">TEXT(D271,"yyyy-mm")</f>
        <v>2023-02</v>
      </c>
    </row>
    <row r="272" customFormat="false" ht="15" hidden="false" customHeight="true" outlineLevel="0" collapsed="false">
      <c r="A272" s="1" t="n">
        <v>275</v>
      </c>
      <c r="B272" s="1" t="n">
        <v>322</v>
      </c>
      <c r="C272" s="1" t="n">
        <v>12</v>
      </c>
      <c r="D272" s="1" t="s">
        <v>1352</v>
      </c>
      <c r="E272" s="1" t="n">
        <v>3</v>
      </c>
      <c r="F272" s="1" t="n">
        <v>179.23</v>
      </c>
      <c r="G272" s="1" t="n">
        <v>0.1</v>
      </c>
      <c r="H272" s="1" t="s">
        <v>1336</v>
      </c>
      <c r="I272" s="1" t="n">
        <v>483.92</v>
      </c>
      <c r="J272" s="1" t="str">
        <f aca="false">VLOOKUP(B272,Customers!$A$2:$G$502,6,FALSE())</f>
        <v>Consumer</v>
      </c>
      <c r="K272" s="1" t="str">
        <f aca="false">VLOOKUP(C272,Products!$A$2:$E$62,3,FALSE())</f>
        <v>Electronics</v>
      </c>
      <c r="L272" s="1" t="str">
        <f aca="false">TEXT(D272,"yyyy-mm")</f>
        <v>2023-04</v>
      </c>
    </row>
    <row r="273" customFormat="false" ht="15" hidden="false" customHeight="true" outlineLevel="0" collapsed="false">
      <c r="A273" s="1" t="n">
        <v>276</v>
      </c>
      <c r="B273" s="1" t="n">
        <v>351</v>
      </c>
      <c r="C273" s="1" t="n">
        <v>52</v>
      </c>
      <c r="D273" s="1" t="s">
        <v>1420</v>
      </c>
      <c r="E273" s="1" t="n">
        <v>1</v>
      </c>
      <c r="F273" s="1" t="n">
        <v>207.67</v>
      </c>
      <c r="G273" s="1" t="n">
        <v>0</v>
      </c>
      <c r="H273" s="1" t="s">
        <v>1336</v>
      </c>
      <c r="I273" s="1" t="n">
        <v>207.67</v>
      </c>
      <c r="J273" s="1" t="str">
        <f aca="false">VLOOKUP(B273,Customers!$A$2:$G$502,6,FALSE())</f>
        <v>Small Business</v>
      </c>
      <c r="K273" s="1" t="str">
        <f aca="false">VLOOKUP(C273,Products!$A$2:$E$62,3,FALSE())</f>
        <v>Software</v>
      </c>
      <c r="L273" s="1" t="str">
        <f aca="false">TEXT(D273,"yyyy-mm")</f>
        <v>2023-11</v>
      </c>
    </row>
    <row r="274" customFormat="false" ht="15" hidden="false" customHeight="true" outlineLevel="0" collapsed="false">
      <c r="A274" s="1" t="n">
        <v>277</v>
      </c>
      <c r="B274" s="1" t="n">
        <v>422</v>
      </c>
      <c r="C274" s="1" t="n">
        <v>10</v>
      </c>
      <c r="D274" s="1" t="s">
        <v>1136</v>
      </c>
      <c r="E274" s="1" t="n">
        <v>1</v>
      </c>
      <c r="F274" s="1" t="n">
        <v>251.58</v>
      </c>
      <c r="G274" s="1" t="n">
        <v>0</v>
      </c>
      <c r="H274" s="1" t="s">
        <v>1336</v>
      </c>
      <c r="I274" s="1" t="n">
        <v>251.58</v>
      </c>
      <c r="J274" s="1" t="str">
        <f aca="false">VLOOKUP(B274,Customers!$A$2:$G$502,6,FALSE())</f>
        <v>Small Business</v>
      </c>
      <c r="K274" s="1" t="str">
        <f aca="false">VLOOKUP(C274,Products!$A$2:$E$62,3,FALSE())</f>
        <v>Electronics</v>
      </c>
      <c r="L274" s="1" t="str">
        <f aca="false">TEXT(D274,"yyyy-mm")</f>
        <v>2023-01</v>
      </c>
    </row>
    <row r="275" customFormat="false" ht="15" hidden="false" customHeight="true" outlineLevel="0" collapsed="false">
      <c r="A275" s="1" t="n">
        <v>278</v>
      </c>
      <c r="B275" s="1" t="n">
        <v>467</v>
      </c>
      <c r="C275" s="1" t="n">
        <v>11</v>
      </c>
      <c r="D275" s="1" t="s">
        <v>29</v>
      </c>
      <c r="E275" s="1" t="n">
        <v>3</v>
      </c>
      <c r="F275" s="1" t="n">
        <v>328.39</v>
      </c>
      <c r="G275" s="1" t="n">
        <v>0</v>
      </c>
      <c r="H275" s="1" t="s">
        <v>1336</v>
      </c>
      <c r="I275" s="1" t="n">
        <v>985.17</v>
      </c>
      <c r="J275" s="1" t="str">
        <f aca="false">VLOOKUP(B275,Customers!$A$2:$G$502,6,FALSE())</f>
        <v>Corporate</v>
      </c>
      <c r="K275" s="1" t="str">
        <f aca="false">VLOOKUP(C275,Products!$A$2:$E$62,3,FALSE())</f>
        <v>Electronics</v>
      </c>
      <c r="L275" s="1" t="str">
        <f aca="false">TEXT(D275,"yyyy-mm")</f>
        <v>2023-04</v>
      </c>
    </row>
    <row r="276" customFormat="false" ht="15" hidden="false" customHeight="true" outlineLevel="0" collapsed="false">
      <c r="A276" s="1" t="n">
        <v>279</v>
      </c>
      <c r="B276" s="1" t="n">
        <v>315</v>
      </c>
      <c r="C276" s="1" t="n">
        <v>45</v>
      </c>
      <c r="D276" s="1" t="s">
        <v>659</v>
      </c>
      <c r="E276" s="1" t="n">
        <v>5</v>
      </c>
      <c r="F276" s="1" t="n">
        <v>560.01</v>
      </c>
      <c r="G276" s="1" t="n">
        <v>0.2</v>
      </c>
      <c r="H276" s="1" t="s">
        <v>1336</v>
      </c>
      <c r="I276" s="1" t="n">
        <v>2240.04</v>
      </c>
      <c r="J276" s="1" t="str">
        <f aca="false">VLOOKUP(B276,Customers!$A$2:$G$502,6,FALSE())</f>
        <v>Consumer</v>
      </c>
      <c r="K276" s="1" t="str">
        <f aca="false">VLOOKUP(C276,Products!$A$2:$E$62,3,FALSE())</f>
        <v>Software</v>
      </c>
      <c r="L276" s="1" t="str">
        <f aca="false">TEXT(D276,"yyyy-mm")</f>
        <v>2024-06</v>
      </c>
    </row>
    <row r="277" customFormat="false" ht="15" hidden="false" customHeight="true" outlineLevel="0" collapsed="false">
      <c r="A277" s="1" t="n">
        <v>280</v>
      </c>
      <c r="B277" s="1" t="n">
        <v>236</v>
      </c>
      <c r="C277" s="1" t="n">
        <v>59</v>
      </c>
      <c r="D277" s="1" t="s">
        <v>1441</v>
      </c>
      <c r="E277" s="1" t="n">
        <v>3</v>
      </c>
      <c r="F277" s="1" t="n">
        <v>438.89</v>
      </c>
      <c r="G277" s="1" t="n">
        <v>0</v>
      </c>
      <c r="H277" s="1" t="s">
        <v>1336</v>
      </c>
      <c r="I277" s="1" t="n">
        <v>1316.67</v>
      </c>
      <c r="J277" s="1" t="str">
        <f aca="false">VLOOKUP(B277,Customers!$A$2:$G$502,6,FALSE())</f>
        <v>Corporate</v>
      </c>
      <c r="K277" s="1" t="str">
        <f aca="false">VLOOKUP(C277,Products!$A$2:$E$62,3,FALSE())</f>
        <v>Furniture</v>
      </c>
      <c r="L277" s="1" t="str">
        <f aca="false">TEXT(D277,"yyyy-mm")</f>
        <v>2023-03</v>
      </c>
    </row>
    <row r="278" customFormat="false" ht="15" hidden="false" customHeight="true" outlineLevel="0" collapsed="false">
      <c r="A278" s="1" t="n">
        <v>281</v>
      </c>
      <c r="B278" s="1" t="n">
        <v>186</v>
      </c>
      <c r="C278" s="1" t="n">
        <v>9</v>
      </c>
      <c r="D278" s="1" t="s">
        <v>1442</v>
      </c>
      <c r="E278" s="1" t="n">
        <v>1</v>
      </c>
      <c r="F278" s="1" t="n">
        <v>203.1</v>
      </c>
      <c r="G278" s="1" t="n">
        <v>0.1</v>
      </c>
      <c r="H278" s="1" t="s">
        <v>1336</v>
      </c>
      <c r="I278" s="1" t="n">
        <v>182.79</v>
      </c>
      <c r="J278" s="1" t="str">
        <f aca="false">VLOOKUP(B278,Customers!$A$2:$G$502,6,FALSE())</f>
        <v>Small Business</v>
      </c>
      <c r="K278" s="1" t="str">
        <f aca="false">VLOOKUP(C278,Products!$A$2:$E$62,3,FALSE())</f>
        <v>Electronics</v>
      </c>
      <c r="L278" s="1" t="str">
        <f aca="false">TEXT(D278,"yyyy-mm")</f>
        <v>2024-03</v>
      </c>
    </row>
    <row r="279" customFormat="false" ht="15" hidden="false" customHeight="true" outlineLevel="0" collapsed="false">
      <c r="A279" s="1" t="n">
        <v>282</v>
      </c>
      <c r="B279" s="1" t="n">
        <v>382</v>
      </c>
      <c r="C279" s="1" t="n">
        <v>53</v>
      </c>
      <c r="D279" s="1" t="s">
        <v>673</v>
      </c>
      <c r="E279" s="1" t="n">
        <v>1</v>
      </c>
      <c r="F279" s="1" t="n">
        <v>509.98</v>
      </c>
      <c r="G279" s="1" t="n">
        <v>0</v>
      </c>
      <c r="H279" s="1" t="s">
        <v>1336</v>
      </c>
      <c r="I279" s="1" t="n">
        <v>509.98</v>
      </c>
      <c r="J279" s="1" t="str">
        <f aca="false">VLOOKUP(B279,Customers!$A$2:$G$502,6,FALSE())</f>
        <v>Corporate</v>
      </c>
      <c r="K279" s="1" t="str">
        <f aca="false">VLOOKUP(C279,Products!$A$2:$E$62,3,FALSE())</f>
        <v>Software</v>
      </c>
      <c r="L279" s="1" t="str">
        <f aca="false">TEXT(D279,"yyyy-mm")</f>
        <v>2023-05</v>
      </c>
    </row>
    <row r="280" customFormat="false" ht="15" hidden="false" customHeight="true" outlineLevel="0" collapsed="false">
      <c r="A280" s="1" t="n">
        <v>283</v>
      </c>
      <c r="B280" s="1" t="n">
        <v>108</v>
      </c>
      <c r="C280" s="1" t="n">
        <v>9</v>
      </c>
      <c r="D280" s="1" t="s">
        <v>34</v>
      </c>
      <c r="E280" s="1" t="n">
        <v>8</v>
      </c>
      <c r="F280" s="1" t="n">
        <v>203.1</v>
      </c>
      <c r="G280" s="1" t="n">
        <v>0.05</v>
      </c>
      <c r="H280" s="1" t="s">
        <v>1336</v>
      </c>
      <c r="I280" s="1" t="n">
        <v>1543.56</v>
      </c>
      <c r="J280" s="1" t="str">
        <f aca="false">VLOOKUP(B280,Customers!$A$2:$G$502,6,FALSE())</f>
        <v>Consumer</v>
      </c>
      <c r="K280" s="1" t="str">
        <f aca="false">VLOOKUP(C280,Products!$A$2:$E$62,3,FALSE())</f>
        <v>Electronics</v>
      </c>
      <c r="L280" s="1" t="str">
        <f aca="false">TEXT(D280,"yyyy-mm")</f>
        <v>2023-03</v>
      </c>
    </row>
    <row r="281" customFormat="false" ht="15" hidden="false" customHeight="true" outlineLevel="0" collapsed="false">
      <c r="A281" s="1" t="n">
        <v>284</v>
      </c>
      <c r="B281" s="1" t="n">
        <v>388</v>
      </c>
      <c r="C281" s="1" t="n">
        <v>28</v>
      </c>
      <c r="D281" s="1" t="s">
        <v>1355</v>
      </c>
      <c r="E281" s="1" t="n">
        <v>2</v>
      </c>
      <c r="F281" s="1" t="n">
        <v>505.23</v>
      </c>
      <c r="G281" s="1" t="n">
        <v>0</v>
      </c>
      <c r="H281" s="1" t="s">
        <v>1336</v>
      </c>
      <c r="I281" s="1" t="n">
        <v>1010.46</v>
      </c>
      <c r="J281" s="1" t="str">
        <f aca="false">VLOOKUP(B281,Customers!$A$2:$G$502,6,FALSE())</f>
        <v>Corporate</v>
      </c>
      <c r="K281" s="1" t="str">
        <f aca="false">VLOOKUP(C281,Products!$A$2:$E$62,3,FALSE())</f>
        <v>Office Supplies</v>
      </c>
      <c r="L281" s="1" t="str">
        <f aca="false">TEXT(D281,"yyyy-mm")</f>
        <v>2023-02</v>
      </c>
    </row>
    <row r="282" customFormat="false" ht="15" hidden="false" customHeight="true" outlineLevel="0" collapsed="false">
      <c r="A282" s="1" t="n">
        <v>285</v>
      </c>
      <c r="B282" s="1" t="n">
        <v>61</v>
      </c>
      <c r="C282" s="1" t="n">
        <v>59</v>
      </c>
      <c r="D282" s="1" t="s">
        <v>1443</v>
      </c>
      <c r="E282" s="1" t="n">
        <v>3</v>
      </c>
      <c r="F282" s="1" t="n">
        <v>438.89</v>
      </c>
      <c r="G282" s="1" t="n">
        <v>0</v>
      </c>
      <c r="H282" s="1" t="s">
        <v>1336</v>
      </c>
      <c r="I282" s="1" t="n">
        <v>1316.67</v>
      </c>
      <c r="J282" s="1" t="str">
        <f aca="false">VLOOKUP(B282,Customers!$A$2:$G$502,6,FALSE())</f>
        <v>Small Business</v>
      </c>
      <c r="K282" s="1" t="str">
        <f aca="false">VLOOKUP(C282,Products!$A$2:$E$62,3,FALSE())</f>
        <v>Furniture</v>
      </c>
      <c r="L282" s="1" t="str">
        <f aca="false">TEXT(D282,"yyyy-mm")</f>
        <v>2023-09</v>
      </c>
    </row>
    <row r="283" customFormat="false" ht="15" hidden="false" customHeight="true" outlineLevel="0" collapsed="false">
      <c r="A283" s="1" t="n">
        <v>286</v>
      </c>
      <c r="B283" s="1" t="n">
        <v>472</v>
      </c>
      <c r="C283" s="1" t="n">
        <v>39</v>
      </c>
      <c r="D283" s="1" t="s">
        <v>1444</v>
      </c>
      <c r="E283" s="1" t="n">
        <v>2</v>
      </c>
      <c r="F283" s="1" t="n">
        <v>400.02</v>
      </c>
      <c r="G283" s="1" t="n">
        <v>0.1</v>
      </c>
      <c r="H283" s="1" t="s">
        <v>1346</v>
      </c>
      <c r="I283" s="1" t="n">
        <v>720.04</v>
      </c>
      <c r="J283" s="1" t="str">
        <f aca="false">VLOOKUP(B283,Customers!$A$2:$G$502,6,FALSE())</f>
        <v>Consumer</v>
      </c>
      <c r="K283" s="1" t="str">
        <f aca="false">VLOOKUP(C283,Products!$A$2:$E$62,3,FALSE())</f>
        <v>Software</v>
      </c>
      <c r="L283" s="1" t="str">
        <f aca="false">TEXT(D283,"yyyy-mm")</f>
        <v>2023-07</v>
      </c>
    </row>
    <row r="284" customFormat="false" ht="15" hidden="false" customHeight="true" outlineLevel="0" collapsed="false">
      <c r="A284" s="1" t="n">
        <v>287</v>
      </c>
      <c r="B284" s="1" t="n">
        <v>434</v>
      </c>
      <c r="C284" s="1" t="n">
        <v>48</v>
      </c>
      <c r="D284" s="1" t="s">
        <v>24</v>
      </c>
      <c r="E284" s="1" t="n">
        <v>3</v>
      </c>
      <c r="F284" s="1" t="n">
        <v>493.53</v>
      </c>
      <c r="G284" s="1" t="n">
        <v>0.1</v>
      </c>
      <c r="H284" s="1" t="s">
        <v>1336</v>
      </c>
      <c r="I284" s="1" t="n">
        <v>1332.53</v>
      </c>
      <c r="J284" s="1" t="str">
        <f aca="false">VLOOKUP(B284,Customers!$A$2:$G$502,6,FALSE())</f>
        <v>Consumer</v>
      </c>
      <c r="K284" s="1" t="str">
        <f aca="false">VLOOKUP(C284,Products!$A$2:$E$62,3,FALSE())</f>
        <v>Software</v>
      </c>
      <c r="L284" s="1" t="str">
        <f aca="false">TEXT(D284,"yyyy-mm")</f>
        <v>2023-10</v>
      </c>
    </row>
    <row r="285" customFormat="false" ht="15" hidden="false" customHeight="true" outlineLevel="0" collapsed="false">
      <c r="A285" s="1" t="n">
        <v>288</v>
      </c>
      <c r="B285" s="1" t="n">
        <v>124</v>
      </c>
      <c r="C285" s="1" t="n">
        <v>33</v>
      </c>
      <c r="D285" s="1" t="s">
        <v>1445</v>
      </c>
      <c r="E285" s="1" t="n">
        <v>7</v>
      </c>
      <c r="F285" s="1" t="n">
        <v>190.1</v>
      </c>
      <c r="G285" s="1" t="n">
        <v>0</v>
      </c>
      <c r="H285" s="1" t="s">
        <v>1336</v>
      </c>
      <c r="I285" s="1" t="n">
        <v>1330.7</v>
      </c>
      <c r="J285" s="1" t="str">
        <f aca="false">VLOOKUP(B285,Customers!$A$2:$G$502,6,FALSE())</f>
        <v>Small Business</v>
      </c>
      <c r="K285" s="1" t="str">
        <f aca="false">VLOOKUP(C285,Products!$A$2:$E$62,3,FALSE())</f>
        <v>Office Supplies</v>
      </c>
      <c r="L285" s="1" t="str">
        <f aca="false">TEXT(D285,"yyyy-mm")</f>
        <v>2024-08</v>
      </c>
    </row>
    <row r="286" customFormat="false" ht="15" hidden="false" customHeight="true" outlineLevel="0" collapsed="false">
      <c r="A286" s="1" t="n">
        <v>289</v>
      </c>
      <c r="B286" s="1" t="n">
        <v>99</v>
      </c>
      <c r="C286" s="1" t="n">
        <v>19</v>
      </c>
      <c r="D286" s="1" t="s">
        <v>1398</v>
      </c>
      <c r="E286" s="1" t="n">
        <v>1</v>
      </c>
      <c r="F286" s="1" t="n">
        <v>163.64</v>
      </c>
      <c r="G286" s="1" t="n">
        <v>0.2</v>
      </c>
      <c r="H286" s="1" t="s">
        <v>1336</v>
      </c>
      <c r="I286" s="1" t="n">
        <v>130.91</v>
      </c>
      <c r="J286" s="1" t="str">
        <f aca="false">VLOOKUP(B286,Customers!$A$2:$G$502,6,FALSE())</f>
        <v>Small Business</v>
      </c>
      <c r="K286" s="1" t="str">
        <f aca="false">VLOOKUP(C286,Products!$A$2:$E$62,3,FALSE())</f>
        <v>Office Supplies</v>
      </c>
      <c r="L286" s="1" t="str">
        <f aca="false">TEXT(D286,"yyyy-mm")</f>
        <v>2023-06</v>
      </c>
    </row>
    <row r="287" customFormat="false" ht="15" hidden="false" customHeight="true" outlineLevel="0" collapsed="false">
      <c r="A287" s="1" t="n">
        <v>290</v>
      </c>
      <c r="B287" s="1" t="n">
        <v>259</v>
      </c>
      <c r="C287" s="1" t="n">
        <v>55</v>
      </c>
      <c r="D287" s="1" t="s">
        <v>881</v>
      </c>
      <c r="E287" s="1" t="n">
        <v>8</v>
      </c>
      <c r="F287" s="1" t="n">
        <v>123.38</v>
      </c>
      <c r="G287" s="1" t="n">
        <v>0.05</v>
      </c>
      <c r="H287" s="1" t="s">
        <v>1336</v>
      </c>
      <c r="I287" s="1" t="n">
        <v>937.69</v>
      </c>
      <c r="J287" s="1" t="str">
        <f aca="false">VLOOKUP(B287,Customers!$A$2:$G$502,6,FALSE())</f>
        <v>Consumer</v>
      </c>
      <c r="K287" s="1" t="str">
        <f aca="false">VLOOKUP(C287,Products!$A$2:$E$62,3,FALSE())</f>
        <v>Furniture</v>
      </c>
      <c r="L287" s="1" t="str">
        <f aca="false">TEXT(D287,"yyyy-mm")</f>
        <v>2024-12</v>
      </c>
    </row>
    <row r="288" customFormat="false" ht="15" hidden="false" customHeight="true" outlineLevel="0" collapsed="false">
      <c r="A288" s="1" t="n">
        <v>291</v>
      </c>
      <c r="B288" s="1" t="n">
        <v>93</v>
      </c>
      <c r="C288" s="1" t="n">
        <v>54</v>
      </c>
      <c r="D288" s="1" t="s">
        <v>44</v>
      </c>
      <c r="E288" s="1" t="n">
        <v>2</v>
      </c>
      <c r="F288" s="1" t="n">
        <v>312.01</v>
      </c>
      <c r="G288" s="1" t="n">
        <v>0.05</v>
      </c>
      <c r="H288" s="1" t="s">
        <v>1336</v>
      </c>
      <c r="I288" s="1" t="n">
        <v>592.82</v>
      </c>
      <c r="J288" s="1" t="str">
        <f aca="false">VLOOKUP(B288,Customers!$A$2:$G$502,6,FALSE())</f>
        <v>Consumer</v>
      </c>
      <c r="K288" s="1" t="str">
        <f aca="false">VLOOKUP(C288,Products!$A$2:$E$62,3,FALSE())</f>
        <v>Software</v>
      </c>
      <c r="L288" s="1" t="str">
        <f aca="false">TEXT(D288,"yyyy-mm")</f>
        <v>2023-12</v>
      </c>
    </row>
    <row r="289" customFormat="false" ht="15" hidden="false" customHeight="true" outlineLevel="0" collapsed="false">
      <c r="A289" s="1" t="n">
        <v>292</v>
      </c>
      <c r="B289" s="1" t="n">
        <v>161</v>
      </c>
      <c r="C289" s="1" t="n">
        <v>8</v>
      </c>
      <c r="D289" s="1" t="s">
        <v>1144</v>
      </c>
      <c r="E289" s="1" t="n">
        <v>3</v>
      </c>
      <c r="F289" s="1" t="n">
        <v>104.4</v>
      </c>
      <c r="G289" s="1" t="n">
        <v>0</v>
      </c>
      <c r="H289" s="1" t="s">
        <v>1336</v>
      </c>
      <c r="I289" s="1" t="n">
        <v>313.2</v>
      </c>
      <c r="J289" s="1" t="str">
        <f aca="false">VLOOKUP(B289,Customers!$A$2:$G$502,6,FALSE())</f>
        <v>Consumer</v>
      </c>
      <c r="K289" s="1" t="str">
        <f aca="false">VLOOKUP(C289,Products!$A$2:$E$62,3,FALSE())</f>
        <v>Electronics</v>
      </c>
      <c r="L289" s="1" t="str">
        <f aca="false">TEXT(D289,"yyyy-mm")</f>
        <v>2024-04</v>
      </c>
    </row>
    <row r="290" customFormat="false" ht="15" hidden="false" customHeight="true" outlineLevel="0" collapsed="false">
      <c r="A290" s="1" t="n">
        <v>293</v>
      </c>
      <c r="B290" s="1" t="n">
        <v>370</v>
      </c>
      <c r="C290" s="1" t="n">
        <v>3</v>
      </c>
      <c r="D290" s="1" t="s">
        <v>874</v>
      </c>
      <c r="E290" s="1" t="n">
        <v>9</v>
      </c>
      <c r="F290" s="1" t="n">
        <v>89.39</v>
      </c>
      <c r="G290" s="1" t="n">
        <v>0</v>
      </c>
      <c r="H290" s="1" t="s">
        <v>1336</v>
      </c>
      <c r="I290" s="1" t="n">
        <v>804.51</v>
      </c>
      <c r="J290" s="1" t="str">
        <f aca="false">VLOOKUP(B290,Customers!$A$2:$G$502,6,FALSE())</f>
        <v>Small Business</v>
      </c>
      <c r="K290" s="1" t="str">
        <f aca="false">VLOOKUP(C290,Products!$A$2:$E$62,3,FALSE())</f>
        <v>Electronics</v>
      </c>
      <c r="L290" s="1" t="str">
        <f aca="false">TEXT(D290,"yyyy-mm")</f>
        <v>2023-03</v>
      </c>
    </row>
    <row r="291" customFormat="false" ht="15" hidden="false" customHeight="true" outlineLevel="0" collapsed="false">
      <c r="A291" s="1" t="n">
        <v>294</v>
      </c>
      <c r="B291" s="1" t="n">
        <v>352</v>
      </c>
      <c r="C291" s="1" t="n">
        <v>54</v>
      </c>
      <c r="D291" s="1" t="s">
        <v>330</v>
      </c>
      <c r="E291" s="1" t="n">
        <v>7</v>
      </c>
      <c r="F291" s="1" t="n">
        <v>312.01</v>
      </c>
      <c r="G291" s="1" t="n">
        <v>0</v>
      </c>
      <c r="H291" s="1" t="s">
        <v>1336</v>
      </c>
      <c r="I291" s="1" t="n">
        <v>2184.07</v>
      </c>
      <c r="J291" s="1" t="str">
        <f aca="false">VLOOKUP(B291,Customers!$A$2:$G$502,6,FALSE())</f>
        <v>Corporate</v>
      </c>
      <c r="K291" s="1" t="str">
        <f aca="false">VLOOKUP(C291,Products!$A$2:$E$62,3,FALSE())</f>
        <v>Software</v>
      </c>
      <c r="L291" s="1" t="str">
        <f aca="false">TEXT(D291,"yyyy-mm")</f>
        <v>2024-03</v>
      </c>
    </row>
    <row r="292" customFormat="false" ht="15" hidden="false" customHeight="true" outlineLevel="0" collapsed="false">
      <c r="A292" s="1" t="n">
        <v>295</v>
      </c>
      <c r="B292" s="1" t="n">
        <v>36</v>
      </c>
      <c r="C292" s="1" t="n">
        <v>58</v>
      </c>
      <c r="D292" s="1" t="s">
        <v>1446</v>
      </c>
      <c r="E292" s="1" t="n">
        <v>4</v>
      </c>
      <c r="F292" s="1" t="n">
        <v>515.55</v>
      </c>
      <c r="G292" s="1" t="n">
        <v>0.15</v>
      </c>
      <c r="H292" s="1" t="s">
        <v>1336</v>
      </c>
      <c r="I292" s="1" t="n">
        <v>1752.87</v>
      </c>
      <c r="J292" s="1" t="str">
        <f aca="false">VLOOKUP(B292,Customers!$A$2:$G$502,6,FALSE())</f>
        <v>Consumer</v>
      </c>
      <c r="K292" s="1" t="str">
        <f aca="false">VLOOKUP(C292,Products!$A$2:$E$62,3,FALSE())</f>
        <v>Furniture</v>
      </c>
      <c r="L292" s="1" t="str">
        <f aca="false">TEXT(D292,"yyyy-mm")</f>
        <v>2024-05</v>
      </c>
    </row>
    <row r="293" customFormat="false" ht="15" hidden="false" customHeight="true" outlineLevel="0" collapsed="false">
      <c r="A293" s="1" t="n">
        <v>296</v>
      </c>
      <c r="B293" s="1" t="n">
        <v>203</v>
      </c>
      <c r="C293" s="1" t="n">
        <v>29</v>
      </c>
      <c r="D293" s="1" t="s">
        <v>989</v>
      </c>
      <c r="E293" s="1" t="n">
        <v>5</v>
      </c>
      <c r="F293" s="1" t="n">
        <v>54.62</v>
      </c>
      <c r="G293" s="1" t="n">
        <v>0.15</v>
      </c>
      <c r="H293" s="1" t="s">
        <v>1336</v>
      </c>
      <c r="I293" s="1" t="n">
        <v>232.13</v>
      </c>
      <c r="J293" s="1" t="str">
        <f aca="false">VLOOKUP(B293,Customers!$A$2:$G$502,6,FALSE())</f>
        <v>Corporate</v>
      </c>
      <c r="K293" s="1" t="str">
        <f aca="false">VLOOKUP(C293,Products!$A$2:$E$62,3,FALSE())</f>
        <v>Office Supplies</v>
      </c>
      <c r="L293" s="1" t="str">
        <f aca="false">TEXT(D293,"yyyy-mm")</f>
        <v>2024-06</v>
      </c>
    </row>
    <row r="294" customFormat="false" ht="15" hidden="false" customHeight="true" outlineLevel="0" collapsed="false">
      <c r="A294" s="1" t="n">
        <v>297</v>
      </c>
      <c r="B294" s="1" t="n">
        <v>53</v>
      </c>
      <c r="C294" s="1" t="n">
        <v>48</v>
      </c>
      <c r="D294" s="1" t="s">
        <v>1418</v>
      </c>
      <c r="E294" s="1" t="n">
        <v>2</v>
      </c>
      <c r="F294" s="1" t="n">
        <v>493.53</v>
      </c>
      <c r="G294" s="1" t="n">
        <v>0</v>
      </c>
      <c r="H294" s="1" t="s">
        <v>1336</v>
      </c>
      <c r="I294" s="1" t="n">
        <v>987.06</v>
      </c>
      <c r="J294" s="1" t="str">
        <f aca="false">VLOOKUP(B294,Customers!$A$2:$G$502,6,FALSE())</f>
        <v>Small Business</v>
      </c>
      <c r="K294" s="1" t="str">
        <f aca="false">VLOOKUP(C294,Products!$A$2:$E$62,3,FALSE())</f>
        <v>Software</v>
      </c>
      <c r="L294" s="1" t="str">
        <f aca="false">TEXT(D294,"yyyy-mm")</f>
        <v>2023-06</v>
      </c>
    </row>
    <row r="295" customFormat="false" ht="15" hidden="false" customHeight="true" outlineLevel="0" collapsed="false">
      <c r="A295" s="1" t="n">
        <v>298</v>
      </c>
      <c r="B295" s="1" t="n">
        <v>207</v>
      </c>
      <c r="C295" s="1" t="n">
        <v>8</v>
      </c>
      <c r="D295" s="1" t="s">
        <v>1391</v>
      </c>
      <c r="E295" s="1" t="n">
        <v>8</v>
      </c>
      <c r="F295" s="1" t="n">
        <v>104.4</v>
      </c>
      <c r="G295" s="1" t="n">
        <v>0.2</v>
      </c>
      <c r="H295" s="1" t="s">
        <v>1336</v>
      </c>
      <c r="I295" s="1" t="n">
        <v>668.16</v>
      </c>
      <c r="J295" s="1" t="str">
        <f aca="false">VLOOKUP(B295,Customers!$A$2:$G$502,6,FALSE())</f>
        <v>Corporate</v>
      </c>
      <c r="K295" s="1" t="str">
        <f aca="false">VLOOKUP(C295,Products!$A$2:$E$62,3,FALSE())</f>
        <v>Electronics</v>
      </c>
      <c r="L295" s="1" t="str">
        <f aca="false">TEXT(D295,"yyyy-mm")</f>
        <v>2023-08</v>
      </c>
    </row>
    <row r="296" customFormat="false" ht="15" hidden="false" customHeight="true" outlineLevel="0" collapsed="false">
      <c r="A296" s="1" t="n">
        <v>299</v>
      </c>
      <c r="B296" s="1" t="n">
        <v>304</v>
      </c>
      <c r="C296" s="1" t="n">
        <v>18</v>
      </c>
      <c r="D296" s="1" t="s">
        <v>1066</v>
      </c>
      <c r="E296" s="1" t="n">
        <v>4</v>
      </c>
      <c r="F296" s="1" t="n">
        <v>747.34</v>
      </c>
      <c r="G296" s="1" t="n">
        <v>0.05</v>
      </c>
      <c r="H296" s="1" t="s">
        <v>1336</v>
      </c>
      <c r="I296" s="1" t="n">
        <v>2839.89</v>
      </c>
      <c r="J296" s="1" t="str">
        <f aca="false">VLOOKUP(B296,Customers!$A$2:$G$502,6,FALSE())</f>
        <v>Small Business</v>
      </c>
      <c r="K296" s="1" t="str">
        <f aca="false">VLOOKUP(C296,Products!$A$2:$E$62,3,FALSE())</f>
        <v>Electronics</v>
      </c>
      <c r="L296" s="1" t="str">
        <f aca="false">TEXT(D296,"yyyy-mm")</f>
        <v>2024-10</v>
      </c>
    </row>
    <row r="297" customFormat="false" ht="15" hidden="false" customHeight="true" outlineLevel="0" collapsed="false">
      <c r="A297" s="1" t="n">
        <v>300</v>
      </c>
      <c r="B297" s="1" t="n">
        <v>262</v>
      </c>
      <c r="C297" s="1" t="n">
        <v>18</v>
      </c>
      <c r="D297" s="1" t="s">
        <v>1447</v>
      </c>
      <c r="E297" s="1" t="n">
        <v>9</v>
      </c>
      <c r="F297" s="1" t="n">
        <v>747.34</v>
      </c>
      <c r="G297" s="1" t="n">
        <v>0.2</v>
      </c>
      <c r="H297" s="1" t="s">
        <v>1336</v>
      </c>
      <c r="I297" s="1" t="n">
        <v>5380.85</v>
      </c>
      <c r="J297" s="1" t="str">
        <f aca="false">VLOOKUP(B297,Customers!$A$2:$G$502,6,FALSE())</f>
        <v>Small Business</v>
      </c>
      <c r="K297" s="1" t="str">
        <f aca="false">VLOOKUP(C297,Products!$A$2:$E$62,3,FALSE())</f>
        <v>Electronics</v>
      </c>
      <c r="L297" s="1" t="str">
        <f aca="false">TEXT(D297,"yyyy-mm")</f>
        <v>2023-05</v>
      </c>
    </row>
    <row r="298" customFormat="false" ht="15" hidden="false" customHeight="true" outlineLevel="0" collapsed="false">
      <c r="A298" s="1" t="n">
        <v>301</v>
      </c>
      <c r="B298" s="1" t="n">
        <v>483</v>
      </c>
      <c r="C298" s="1" t="n">
        <v>9</v>
      </c>
      <c r="D298" s="1" t="s">
        <v>745</v>
      </c>
      <c r="E298" s="1" t="n">
        <v>5</v>
      </c>
      <c r="F298" s="1" t="n">
        <v>203.1</v>
      </c>
      <c r="G298" s="1" t="n">
        <v>0</v>
      </c>
      <c r="H298" s="1" t="s">
        <v>1336</v>
      </c>
      <c r="I298" s="1" t="n">
        <v>1015.5</v>
      </c>
      <c r="J298" s="1" t="str">
        <f aca="false">VLOOKUP(B298,Customers!$A$2:$G$502,6,FALSE())</f>
        <v>Small Business</v>
      </c>
      <c r="K298" s="1" t="str">
        <f aca="false">VLOOKUP(C298,Products!$A$2:$E$62,3,FALSE())</f>
        <v>Electronics</v>
      </c>
      <c r="L298" s="1" t="str">
        <f aca="false">TEXT(D298,"yyyy-mm")</f>
        <v>2023-01</v>
      </c>
    </row>
    <row r="299" customFormat="false" ht="15" hidden="false" customHeight="true" outlineLevel="0" collapsed="false">
      <c r="A299" s="1" t="n">
        <v>302</v>
      </c>
      <c r="B299" s="1" t="n">
        <v>92</v>
      </c>
      <c r="C299" s="1" t="n">
        <v>25</v>
      </c>
      <c r="D299" s="1" t="s">
        <v>1379</v>
      </c>
      <c r="E299" s="1" t="n">
        <v>9</v>
      </c>
      <c r="F299" s="1" t="n">
        <v>300.49</v>
      </c>
      <c r="G299" s="1" t="n">
        <v>0.15</v>
      </c>
      <c r="H299" s="1" t="s">
        <v>1336</v>
      </c>
      <c r="I299" s="1" t="n">
        <v>2298.75</v>
      </c>
      <c r="J299" s="1" t="str">
        <f aca="false">VLOOKUP(B299,Customers!$A$2:$G$502,6,FALSE())</f>
        <v>Corporate</v>
      </c>
      <c r="K299" s="1" t="str">
        <f aca="false">VLOOKUP(C299,Products!$A$2:$E$62,3,FALSE())</f>
        <v>Office Supplies</v>
      </c>
      <c r="L299" s="1" t="str">
        <f aca="false">TEXT(D299,"yyyy-mm")</f>
        <v>2024-09</v>
      </c>
    </row>
    <row r="300" customFormat="false" ht="15" hidden="false" customHeight="true" outlineLevel="0" collapsed="false">
      <c r="A300" s="1" t="n">
        <v>303</v>
      </c>
      <c r="B300" s="1" t="n">
        <v>339</v>
      </c>
      <c r="C300" s="1" t="n">
        <v>49</v>
      </c>
      <c r="D300" s="1" t="s">
        <v>907</v>
      </c>
      <c r="E300" s="1" t="n">
        <v>4</v>
      </c>
      <c r="F300" s="1" t="n">
        <v>325.17</v>
      </c>
      <c r="G300" s="1" t="n">
        <v>0.2</v>
      </c>
      <c r="H300" s="1" t="s">
        <v>1336</v>
      </c>
      <c r="I300" s="1" t="n">
        <v>1040.54</v>
      </c>
      <c r="J300" s="1" t="str">
        <f aca="false">VLOOKUP(B300,Customers!$A$2:$G$502,6,FALSE())</f>
        <v>Corporate</v>
      </c>
      <c r="K300" s="1" t="str">
        <f aca="false">VLOOKUP(C300,Products!$A$2:$E$62,3,FALSE())</f>
        <v>Software</v>
      </c>
      <c r="L300" s="1" t="str">
        <f aca="false">TEXT(D300,"yyyy-mm")</f>
        <v>2024-06</v>
      </c>
    </row>
    <row r="301" customFormat="false" ht="15" hidden="false" customHeight="true" outlineLevel="0" collapsed="false">
      <c r="A301" s="1" t="n">
        <v>304</v>
      </c>
      <c r="B301" s="1" t="n">
        <v>259</v>
      </c>
      <c r="C301" s="1" t="n">
        <v>17</v>
      </c>
      <c r="D301" s="1" t="s">
        <v>112</v>
      </c>
      <c r="E301" s="1" t="n">
        <v>5</v>
      </c>
      <c r="F301" s="1" t="n">
        <v>65.61</v>
      </c>
      <c r="G301" s="1" t="n">
        <v>0</v>
      </c>
      <c r="H301" s="1" t="s">
        <v>1336</v>
      </c>
      <c r="I301" s="1" t="n">
        <v>328.05</v>
      </c>
      <c r="J301" s="1" t="str">
        <f aca="false">VLOOKUP(B301,Customers!$A$2:$G$502,6,FALSE())</f>
        <v>Consumer</v>
      </c>
      <c r="K301" s="1" t="str">
        <f aca="false">VLOOKUP(C301,Products!$A$2:$E$62,3,FALSE())</f>
        <v>Electronics</v>
      </c>
      <c r="L301" s="1" t="str">
        <f aca="false">TEXT(D301,"yyyy-mm")</f>
        <v>2024-07</v>
      </c>
    </row>
    <row r="302" customFormat="false" ht="15" hidden="false" customHeight="true" outlineLevel="0" collapsed="false">
      <c r="A302" s="1" t="n">
        <v>305</v>
      </c>
      <c r="B302" s="1" t="n">
        <v>221</v>
      </c>
      <c r="C302" s="1" t="n">
        <v>57</v>
      </c>
      <c r="D302" s="1" t="s">
        <v>673</v>
      </c>
      <c r="E302" s="1" t="n">
        <v>9</v>
      </c>
      <c r="F302" s="1" t="n">
        <v>719.76</v>
      </c>
      <c r="G302" s="1" t="n">
        <v>0.05</v>
      </c>
      <c r="H302" s="1" t="s">
        <v>1336</v>
      </c>
      <c r="I302" s="1" t="n">
        <v>6153.95</v>
      </c>
      <c r="J302" s="1" t="str">
        <f aca="false">VLOOKUP(B302,Customers!$A$2:$G$502,6,FALSE())</f>
        <v>Consumer</v>
      </c>
      <c r="K302" s="1" t="str">
        <f aca="false">VLOOKUP(C302,Products!$A$2:$E$62,3,FALSE())</f>
        <v>Furniture</v>
      </c>
      <c r="L302" s="1" t="str">
        <f aca="false">TEXT(D302,"yyyy-mm")</f>
        <v>2023-05</v>
      </c>
    </row>
    <row r="303" customFormat="false" ht="15" hidden="false" customHeight="true" outlineLevel="0" collapsed="false">
      <c r="A303" s="1" t="n">
        <v>306</v>
      </c>
      <c r="B303" s="1" t="n">
        <v>91</v>
      </c>
      <c r="C303" s="1" t="n">
        <v>36</v>
      </c>
      <c r="D303" s="1" t="s">
        <v>719</v>
      </c>
      <c r="E303" s="1" t="n">
        <v>8</v>
      </c>
      <c r="F303" s="1" t="n">
        <v>424.45</v>
      </c>
      <c r="G303" s="1" t="n">
        <v>0.2</v>
      </c>
      <c r="H303" s="1" t="s">
        <v>1336</v>
      </c>
      <c r="I303" s="1" t="n">
        <v>2716.48</v>
      </c>
      <c r="J303" s="1" t="str">
        <f aca="false">VLOOKUP(B303,Customers!$A$2:$G$502,6,FALSE())</f>
        <v>Consumer</v>
      </c>
      <c r="K303" s="1" t="str">
        <f aca="false">VLOOKUP(C303,Products!$A$2:$E$62,3,FALSE())</f>
        <v>Software</v>
      </c>
      <c r="L303" s="1" t="str">
        <f aca="false">TEXT(D303,"yyyy-mm")</f>
        <v>2024-11</v>
      </c>
    </row>
    <row r="304" customFormat="false" ht="15" hidden="false" customHeight="true" outlineLevel="0" collapsed="false">
      <c r="A304" s="1" t="n">
        <v>307</v>
      </c>
      <c r="B304" s="1" t="n">
        <v>160</v>
      </c>
      <c r="C304" s="1" t="n">
        <v>46</v>
      </c>
      <c r="D304" s="1" t="s">
        <v>750</v>
      </c>
      <c r="E304" s="1" t="n">
        <v>3</v>
      </c>
      <c r="F304" s="1" t="n">
        <v>94.92</v>
      </c>
      <c r="G304" s="1" t="n">
        <v>0.05</v>
      </c>
      <c r="H304" s="1" t="s">
        <v>1336</v>
      </c>
      <c r="I304" s="1" t="n">
        <v>270.52</v>
      </c>
      <c r="J304" s="1" t="str">
        <f aca="false">VLOOKUP(B304,Customers!$A$2:$G$502,6,FALSE())</f>
        <v>Consumer</v>
      </c>
      <c r="K304" s="1" t="str">
        <f aca="false">VLOOKUP(C304,Products!$A$2:$E$62,3,FALSE())</f>
        <v>Software</v>
      </c>
      <c r="L304" s="1" t="str">
        <f aca="false">TEXT(D304,"yyyy-mm")</f>
        <v>2024-02</v>
      </c>
    </row>
    <row r="305" customFormat="false" ht="15" hidden="false" customHeight="true" outlineLevel="0" collapsed="false">
      <c r="A305" s="1" t="n">
        <v>308</v>
      </c>
      <c r="B305" s="1" t="n">
        <v>277</v>
      </c>
      <c r="C305" s="1" t="n">
        <v>37</v>
      </c>
      <c r="D305" s="1" t="s">
        <v>1448</v>
      </c>
      <c r="E305" s="1" t="n">
        <v>1</v>
      </c>
      <c r="F305" s="1" t="n">
        <v>13.95</v>
      </c>
      <c r="G305" s="1" t="n">
        <v>0.05</v>
      </c>
      <c r="H305" s="1" t="s">
        <v>1336</v>
      </c>
      <c r="I305" s="1" t="n">
        <v>13.25</v>
      </c>
      <c r="J305" s="1" t="str">
        <f aca="false">VLOOKUP(B305,Customers!$A$2:$G$502,6,FALSE())</f>
        <v>Corporate</v>
      </c>
      <c r="K305" s="1" t="str">
        <f aca="false">VLOOKUP(C305,Products!$A$2:$E$62,3,FALSE())</f>
        <v>Software</v>
      </c>
      <c r="L305" s="1" t="str">
        <f aca="false">TEXT(D305,"yyyy-mm")</f>
        <v>2024-04</v>
      </c>
    </row>
    <row r="306" customFormat="false" ht="15" hidden="false" customHeight="true" outlineLevel="0" collapsed="false">
      <c r="A306" s="1" t="n">
        <v>309</v>
      </c>
      <c r="B306" s="1" t="n">
        <v>303</v>
      </c>
      <c r="C306" s="1" t="n">
        <v>25</v>
      </c>
      <c r="D306" s="1" t="s">
        <v>1363</v>
      </c>
      <c r="E306" s="1" t="n">
        <v>3</v>
      </c>
      <c r="F306" s="1" t="n">
        <v>300.49</v>
      </c>
      <c r="G306" s="1" t="n">
        <v>0.15</v>
      </c>
      <c r="H306" s="1" t="s">
        <v>1336</v>
      </c>
      <c r="I306" s="1" t="n">
        <v>766.25</v>
      </c>
      <c r="J306" s="1" t="str">
        <f aca="false">VLOOKUP(B306,Customers!$A$2:$G$502,6,FALSE())</f>
        <v>Corporate</v>
      </c>
      <c r="K306" s="1" t="str">
        <f aca="false">VLOOKUP(C306,Products!$A$2:$E$62,3,FALSE())</f>
        <v>Office Supplies</v>
      </c>
      <c r="L306" s="1" t="str">
        <f aca="false">TEXT(D306,"yyyy-mm")</f>
        <v>2024-09</v>
      </c>
    </row>
    <row r="307" customFormat="false" ht="15" hidden="false" customHeight="true" outlineLevel="0" collapsed="false">
      <c r="A307" s="1" t="n">
        <v>310</v>
      </c>
      <c r="B307" s="1" t="n">
        <v>24</v>
      </c>
      <c r="C307" s="1" t="n">
        <v>9</v>
      </c>
      <c r="D307" s="1" t="s">
        <v>1360</v>
      </c>
      <c r="E307" s="1" t="n">
        <v>4</v>
      </c>
      <c r="F307" s="1" t="n">
        <v>203.1</v>
      </c>
      <c r="G307" s="1" t="n">
        <v>0</v>
      </c>
      <c r="H307" s="1" t="s">
        <v>1336</v>
      </c>
      <c r="I307" s="1" t="n">
        <v>812.4</v>
      </c>
      <c r="J307" s="1" t="str">
        <f aca="false">VLOOKUP(B307,Customers!$A$2:$G$502,6,FALSE())</f>
        <v>Consumer</v>
      </c>
      <c r="K307" s="1" t="str">
        <f aca="false">VLOOKUP(C307,Products!$A$2:$E$62,3,FALSE())</f>
        <v>Electronics</v>
      </c>
      <c r="L307" s="1" t="str">
        <f aca="false">TEXT(D307,"yyyy-mm")</f>
        <v>2024-01</v>
      </c>
    </row>
    <row r="308" customFormat="false" ht="15" hidden="false" customHeight="true" outlineLevel="0" collapsed="false">
      <c r="A308" s="1" t="n">
        <v>311</v>
      </c>
      <c r="B308" s="1" t="n">
        <v>195</v>
      </c>
      <c r="C308" s="1" t="n">
        <v>7</v>
      </c>
      <c r="D308" s="1" t="s">
        <v>1449</v>
      </c>
      <c r="E308" s="1" t="n">
        <v>2</v>
      </c>
      <c r="F308" s="1" t="n">
        <v>460</v>
      </c>
      <c r="G308" s="1" t="n">
        <v>0</v>
      </c>
      <c r="H308" s="1" t="s">
        <v>1370</v>
      </c>
      <c r="I308" s="1" t="n">
        <v>920</v>
      </c>
      <c r="J308" s="1" t="str">
        <f aca="false">VLOOKUP(B308,Customers!$A$2:$G$502,6,FALSE())</f>
        <v>Corporate</v>
      </c>
      <c r="K308" s="1" t="str">
        <f aca="false">VLOOKUP(C308,Products!$A$2:$E$62,3,FALSE())</f>
        <v>Electronics</v>
      </c>
      <c r="L308" s="1" t="str">
        <f aca="false">TEXT(D308,"yyyy-mm")</f>
        <v>2024-03</v>
      </c>
    </row>
    <row r="309" customFormat="false" ht="15" hidden="false" customHeight="true" outlineLevel="0" collapsed="false">
      <c r="A309" s="1" t="n">
        <v>312</v>
      </c>
      <c r="B309" s="1" t="n">
        <v>121</v>
      </c>
      <c r="C309" s="1" t="n">
        <v>42</v>
      </c>
      <c r="D309" s="1" t="s">
        <v>226</v>
      </c>
      <c r="E309" s="1" t="n">
        <v>1</v>
      </c>
      <c r="F309" s="1" t="n">
        <v>174.48</v>
      </c>
      <c r="G309" s="1" t="n">
        <v>0.1</v>
      </c>
      <c r="H309" s="1" t="s">
        <v>1336</v>
      </c>
      <c r="I309" s="1" t="n">
        <v>157.03</v>
      </c>
      <c r="J309" s="1" t="str">
        <f aca="false">VLOOKUP(B309,Customers!$A$2:$G$502,6,FALSE())</f>
        <v>Consumer</v>
      </c>
      <c r="K309" s="1" t="str">
        <f aca="false">VLOOKUP(C309,Products!$A$2:$E$62,3,FALSE())</f>
        <v>Software</v>
      </c>
      <c r="L309" s="1" t="str">
        <f aca="false">TEXT(D309,"yyyy-mm")</f>
        <v>2023-11</v>
      </c>
    </row>
    <row r="310" customFormat="false" ht="15" hidden="false" customHeight="true" outlineLevel="0" collapsed="false">
      <c r="A310" s="1" t="n">
        <v>313</v>
      </c>
      <c r="B310" s="1" t="n">
        <v>87</v>
      </c>
      <c r="C310" s="1" t="n">
        <v>2</v>
      </c>
      <c r="D310" s="1" t="s">
        <v>205</v>
      </c>
      <c r="E310" s="1" t="n">
        <v>7</v>
      </c>
      <c r="F310" s="1" t="n">
        <v>498.15</v>
      </c>
      <c r="G310" s="1" t="n">
        <v>0</v>
      </c>
      <c r="H310" s="1" t="s">
        <v>1336</v>
      </c>
      <c r="I310" s="1" t="n">
        <v>3487.05</v>
      </c>
      <c r="J310" s="1" t="str">
        <f aca="false">VLOOKUP(B310,Customers!$A$2:$G$502,6,FALSE())</f>
        <v>Corporate</v>
      </c>
      <c r="K310" s="1" t="str">
        <f aca="false">VLOOKUP(C310,Products!$A$2:$E$62,3,FALSE())</f>
        <v>Electronics</v>
      </c>
      <c r="L310" s="1" t="str">
        <f aca="false">TEXT(D310,"yyyy-mm")</f>
        <v>2024-07</v>
      </c>
    </row>
    <row r="311" customFormat="false" ht="15" hidden="false" customHeight="true" outlineLevel="0" collapsed="false">
      <c r="A311" s="1" t="n">
        <v>314</v>
      </c>
      <c r="B311" s="1" t="n">
        <v>216</v>
      </c>
      <c r="C311" s="1" t="n">
        <v>18</v>
      </c>
      <c r="D311" s="1" t="s">
        <v>220</v>
      </c>
      <c r="E311" s="1" t="n">
        <v>8</v>
      </c>
      <c r="F311" s="1" t="n">
        <v>747.34</v>
      </c>
      <c r="G311" s="1" t="n">
        <v>0.15</v>
      </c>
      <c r="H311" s="1" t="s">
        <v>1336</v>
      </c>
      <c r="I311" s="1" t="n">
        <v>5081.91</v>
      </c>
      <c r="J311" s="1" t="str">
        <f aca="false">VLOOKUP(B311,Customers!$A$2:$G$502,6,FALSE())</f>
        <v>Consumer</v>
      </c>
      <c r="K311" s="1" t="str">
        <f aca="false">VLOOKUP(C311,Products!$A$2:$E$62,3,FALSE())</f>
        <v>Electronics</v>
      </c>
      <c r="L311" s="1" t="str">
        <f aca="false">TEXT(D311,"yyyy-mm")</f>
        <v>2023-01</v>
      </c>
    </row>
    <row r="312" customFormat="false" ht="15" hidden="false" customHeight="true" outlineLevel="0" collapsed="false">
      <c r="A312" s="1" t="n">
        <v>315</v>
      </c>
      <c r="B312" s="1" t="n">
        <v>166</v>
      </c>
      <c r="C312" s="1" t="n">
        <v>37</v>
      </c>
      <c r="D312" s="1" t="s">
        <v>1450</v>
      </c>
      <c r="E312" s="1" t="n">
        <v>7</v>
      </c>
      <c r="F312" s="1" t="n">
        <v>13.95</v>
      </c>
      <c r="G312" s="1" t="n">
        <v>0.2</v>
      </c>
      <c r="H312" s="1" t="s">
        <v>1336</v>
      </c>
      <c r="I312" s="1" t="n">
        <v>78.12</v>
      </c>
      <c r="J312" s="1" t="str">
        <f aca="false">VLOOKUP(B312,Customers!$A$2:$G$502,6,FALSE())</f>
        <v>Small Business</v>
      </c>
      <c r="K312" s="1" t="str">
        <f aca="false">VLOOKUP(C312,Products!$A$2:$E$62,3,FALSE())</f>
        <v>Software</v>
      </c>
      <c r="L312" s="1" t="str">
        <f aca="false">TEXT(D312,"yyyy-mm")</f>
        <v>2023-04</v>
      </c>
    </row>
    <row r="313" customFormat="false" ht="15" hidden="false" customHeight="true" outlineLevel="0" collapsed="false">
      <c r="A313" s="1" t="n">
        <v>316</v>
      </c>
      <c r="B313" s="1" t="n">
        <v>416</v>
      </c>
      <c r="C313" s="1" t="n">
        <v>49</v>
      </c>
      <c r="D313" s="1" t="s">
        <v>427</v>
      </c>
      <c r="E313" s="1" t="n">
        <v>5</v>
      </c>
      <c r="F313" s="1" t="n">
        <v>325.17</v>
      </c>
      <c r="G313" s="1" t="n">
        <v>0</v>
      </c>
      <c r="H313" s="1" t="s">
        <v>1336</v>
      </c>
      <c r="I313" s="1" t="n">
        <v>1625.85</v>
      </c>
      <c r="J313" s="1" t="str">
        <f aca="false">VLOOKUP(B313,Customers!$A$2:$G$502,6,FALSE())</f>
        <v>Small Business</v>
      </c>
      <c r="K313" s="1" t="str">
        <f aca="false">VLOOKUP(C313,Products!$A$2:$E$62,3,FALSE())</f>
        <v>Software</v>
      </c>
      <c r="L313" s="1" t="str">
        <f aca="false">TEXT(D313,"yyyy-mm")</f>
        <v>2024-11</v>
      </c>
    </row>
    <row r="314" customFormat="false" ht="15" hidden="false" customHeight="true" outlineLevel="0" collapsed="false">
      <c r="A314" s="1" t="n">
        <v>317</v>
      </c>
      <c r="B314" s="1" t="n">
        <v>326</v>
      </c>
      <c r="C314" s="1" t="n">
        <v>55</v>
      </c>
      <c r="D314" s="1" t="s">
        <v>1191</v>
      </c>
      <c r="E314" s="1" t="n">
        <v>1</v>
      </c>
      <c r="F314" s="1" t="n">
        <v>123.38</v>
      </c>
      <c r="G314" s="1" t="n">
        <v>0.2</v>
      </c>
      <c r="H314" s="1" t="s">
        <v>1336</v>
      </c>
      <c r="I314" s="1" t="n">
        <v>98.7</v>
      </c>
      <c r="J314" s="1" t="str">
        <f aca="false">VLOOKUP(B314,Customers!$A$2:$G$502,6,FALSE())</f>
        <v>Corporate</v>
      </c>
      <c r="K314" s="1" t="str">
        <f aca="false">VLOOKUP(C314,Products!$A$2:$E$62,3,FALSE())</f>
        <v>Furniture</v>
      </c>
      <c r="L314" s="1" t="str">
        <f aca="false">TEXT(D314,"yyyy-mm")</f>
        <v>2023-03</v>
      </c>
    </row>
    <row r="315" customFormat="false" ht="15" hidden="false" customHeight="true" outlineLevel="0" collapsed="false">
      <c r="A315" s="1" t="n">
        <v>318</v>
      </c>
      <c r="B315" s="1" t="n">
        <v>294</v>
      </c>
      <c r="C315" s="1" t="n">
        <v>26</v>
      </c>
      <c r="D315" s="1" t="s">
        <v>1043</v>
      </c>
      <c r="E315" s="1" t="n">
        <v>7</v>
      </c>
      <c r="F315" s="1" t="n">
        <v>733.85</v>
      </c>
      <c r="G315" s="1" t="n">
        <v>0.1</v>
      </c>
      <c r="H315" s="1" t="s">
        <v>1336</v>
      </c>
      <c r="I315" s="1" t="n">
        <v>4623.26</v>
      </c>
      <c r="J315" s="1" t="str">
        <f aca="false">VLOOKUP(B315,Customers!$A$2:$G$502,6,FALSE())</f>
        <v>Consumer</v>
      </c>
      <c r="K315" s="1" t="str">
        <f aca="false">VLOOKUP(C315,Products!$A$2:$E$62,3,FALSE())</f>
        <v>Office Supplies</v>
      </c>
      <c r="L315" s="1" t="str">
        <f aca="false">TEXT(D315,"yyyy-mm")</f>
        <v>2023-08</v>
      </c>
    </row>
    <row r="316" customFormat="false" ht="15" hidden="false" customHeight="true" outlineLevel="0" collapsed="false">
      <c r="A316" s="1" t="n">
        <v>319</v>
      </c>
      <c r="B316" s="1" t="n">
        <v>173</v>
      </c>
      <c r="C316" s="1" t="n">
        <v>18</v>
      </c>
      <c r="D316" s="1" t="s">
        <v>986</v>
      </c>
      <c r="E316" s="1" t="n">
        <v>7</v>
      </c>
      <c r="F316" s="1" t="n">
        <v>747.34</v>
      </c>
      <c r="G316" s="1" t="n">
        <v>0.1</v>
      </c>
      <c r="H316" s="1" t="s">
        <v>1336</v>
      </c>
      <c r="I316" s="1" t="n">
        <v>4708.24</v>
      </c>
      <c r="J316" s="1" t="str">
        <f aca="false">VLOOKUP(B316,Customers!$A$2:$G$502,6,FALSE())</f>
        <v>Consumer</v>
      </c>
      <c r="K316" s="1" t="str">
        <f aca="false">VLOOKUP(C316,Products!$A$2:$E$62,3,FALSE())</f>
        <v>Electronics</v>
      </c>
      <c r="L316" s="1" t="str">
        <f aca="false">TEXT(D316,"yyyy-mm")</f>
        <v>2023-03</v>
      </c>
    </row>
    <row r="317" customFormat="false" ht="15" hidden="false" customHeight="true" outlineLevel="0" collapsed="false">
      <c r="A317" s="1" t="n">
        <v>320</v>
      </c>
      <c r="B317" s="1" t="n">
        <v>334</v>
      </c>
      <c r="C317" s="1" t="n">
        <v>53</v>
      </c>
      <c r="D317" s="1" t="s">
        <v>1366</v>
      </c>
      <c r="E317" s="1" t="n">
        <v>9</v>
      </c>
      <c r="F317" s="1" t="n">
        <v>509.98</v>
      </c>
      <c r="G317" s="1" t="n">
        <v>0.1</v>
      </c>
      <c r="H317" s="1" t="s">
        <v>1336</v>
      </c>
      <c r="I317" s="1" t="n">
        <v>4130.84</v>
      </c>
      <c r="J317" s="1" t="str">
        <f aca="false">VLOOKUP(B317,Customers!$A$2:$G$502,6,FALSE())</f>
        <v>Unknown</v>
      </c>
      <c r="K317" s="1" t="str">
        <f aca="false">VLOOKUP(C317,Products!$A$2:$E$62,3,FALSE())</f>
        <v>Software</v>
      </c>
      <c r="L317" s="1" t="str">
        <f aca="false">TEXT(D317,"yyyy-mm")</f>
        <v>2023-11</v>
      </c>
    </row>
    <row r="318" customFormat="false" ht="15" hidden="false" customHeight="true" outlineLevel="0" collapsed="false">
      <c r="A318" s="1" t="n">
        <v>322</v>
      </c>
      <c r="B318" s="1" t="n">
        <v>361</v>
      </c>
      <c r="C318" s="1" t="n">
        <v>34</v>
      </c>
      <c r="D318" s="1" t="s">
        <v>505</v>
      </c>
      <c r="E318" s="1" t="n">
        <v>9</v>
      </c>
      <c r="F318" s="1" t="n">
        <v>116.85</v>
      </c>
      <c r="G318" s="1" t="n">
        <v>0.1</v>
      </c>
      <c r="H318" s="1" t="s">
        <v>1336</v>
      </c>
      <c r="I318" s="1" t="n">
        <v>946.48</v>
      </c>
      <c r="J318" s="1" t="str">
        <f aca="false">VLOOKUP(B318,Customers!$A$2:$G$502,6,FALSE())</f>
        <v>Small Business</v>
      </c>
      <c r="K318" s="1" t="str">
        <f aca="false">VLOOKUP(C318,Products!$A$2:$E$62,3,FALSE())</f>
        <v>Office Supplies</v>
      </c>
      <c r="L318" s="1" t="str">
        <f aca="false">TEXT(D318,"yyyy-mm")</f>
        <v>2023-07</v>
      </c>
    </row>
    <row r="319" customFormat="false" ht="15" hidden="false" customHeight="true" outlineLevel="0" collapsed="false">
      <c r="A319" s="1" t="n">
        <v>323</v>
      </c>
      <c r="B319" s="1" t="n">
        <v>138</v>
      </c>
      <c r="C319" s="1" t="n">
        <v>60</v>
      </c>
      <c r="D319" s="1" t="s">
        <v>360</v>
      </c>
      <c r="E319" s="1" t="n">
        <v>1</v>
      </c>
      <c r="F319" s="1" t="n">
        <v>584.98</v>
      </c>
      <c r="G319" s="1" t="n">
        <v>0.1</v>
      </c>
      <c r="H319" s="1" t="s">
        <v>1336</v>
      </c>
      <c r="I319" s="1" t="n">
        <v>526.48</v>
      </c>
      <c r="J319" s="1" t="str">
        <f aca="false">VLOOKUP(B319,Customers!$A$2:$G$502,6,FALSE())</f>
        <v>Consumer</v>
      </c>
      <c r="K319" s="1" t="str">
        <f aca="false">VLOOKUP(C319,Products!$A$2:$E$62,3,FALSE())</f>
        <v>Furniture</v>
      </c>
      <c r="L319" s="1" t="str">
        <f aca="false">TEXT(D319,"yyyy-mm")</f>
        <v>2024-10</v>
      </c>
    </row>
    <row r="320" customFormat="false" ht="15" hidden="false" customHeight="true" outlineLevel="0" collapsed="false">
      <c r="A320" s="1" t="n">
        <v>324</v>
      </c>
      <c r="B320" s="1" t="n">
        <v>373</v>
      </c>
      <c r="C320" s="1" t="n">
        <v>41</v>
      </c>
      <c r="D320" s="1" t="s">
        <v>1356</v>
      </c>
      <c r="E320" s="1" t="n">
        <v>1</v>
      </c>
      <c r="F320" s="1" t="n">
        <v>594.54</v>
      </c>
      <c r="G320" s="1" t="n">
        <v>0.1</v>
      </c>
      <c r="H320" s="1" t="s">
        <v>1336</v>
      </c>
      <c r="I320" s="1" t="n">
        <v>535.09</v>
      </c>
      <c r="J320" s="1" t="str">
        <f aca="false">VLOOKUP(B320,Customers!$A$2:$G$502,6,FALSE())</f>
        <v>Corporate</v>
      </c>
      <c r="K320" s="1" t="str">
        <f aca="false">VLOOKUP(C320,Products!$A$2:$E$62,3,FALSE())</f>
        <v>Software</v>
      </c>
      <c r="L320" s="1" t="str">
        <f aca="false">TEXT(D320,"yyyy-mm")</f>
        <v>2023-03</v>
      </c>
    </row>
    <row r="321" customFormat="false" ht="15" hidden="false" customHeight="true" outlineLevel="0" collapsed="false">
      <c r="A321" s="1" t="n">
        <v>325</v>
      </c>
      <c r="B321" s="1" t="n">
        <v>392</v>
      </c>
      <c r="C321" s="1" t="n">
        <v>20</v>
      </c>
      <c r="D321" s="1" t="s">
        <v>235</v>
      </c>
      <c r="E321" s="1" t="n">
        <v>4</v>
      </c>
      <c r="F321" s="1" t="n">
        <v>426.15</v>
      </c>
      <c r="G321" s="1" t="n">
        <v>0.05</v>
      </c>
      <c r="H321" s="1" t="s">
        <v>1336</v>
      </c>
      <c r="I321" s="1" t="n">
        <v>1619.37</v>
      </c>
      <c r="J321" s="1" t="str">
        <f aca="false">VLOOKUP(B321,Customers!$A$2:$G$502,6,FALSE())</f>
        <v>Corporate</v>
      </c>
      <c r="K321" s="1" t="str">
        <f aca="false">VLOOKUP(C321,Products!$A$2:$E$62,3,FALSE())</f>
        <v>Office Supplies</v>
      </c>
      <c r="L321" s="1" t="str">
        <f aca="false">TEXT(D321,"yyyy-mm")</f>
        <v>2024-03</v>
      </c>
    </row>
    <row r="322" customFormat="false" ht="15" hidden="false" customHeight="true" outlineLevel="0" collapsed="false">
      <c r="A322" s="1" t="n">
        <v>326</v>
      </c>
      <c r="B322" s="1" t="n">
        <v>212</v>
      </c>
      <c r="C322" s="1" t="n">
        <v>18</v>
      </c>
      <c r="D322" s="1" t="s">
        <v>1451</v>
      </c>
      <c r="E322" s="1" t="n">
        <v>9</v>
      </c>
      <c r="F322" s="1" t="n">
        <v>747.34</v>
      </c>
      <c r="G322" s="1" t="n">
        <v>0.15</v>
      </c>
      <c r="H322" s="1" t="s">
        <v>1336</v>
      </c>
      <c r="I322" s="1" t="n">
        <v>5717.15</v>
      </c>
      <c r="J322" s="1" t="str">
        <f aca="false">VLOOKUP(B322,Customers!$A$2:$G$502,6,FALSE())</f>
        <v>Consumer</v>
      </c>
      <c r="K322" s="1" t="str">
        <f aca="false">VLOOKUP(C322,Products!$A$2:$E$62,3,FALSE())</f>
        <v>Electronics</v>
      </c>
      <c r="L322" s="1" t="str">
        <f aca="false">TEXT(D322,"yyyy-mm")</f>
        <v>2023-10</v>
      </c>
    </row>
    <row r="323" customFormat="false" ht="15" hidden="false" customHeight="true" outlineLevel="0" collapsed="false">
      <c r="A323" s="1" t="n">
        <v>327</v>
      </c>
      <c r="B323" s="1" t="n">
        <v>77</v>
      </c>
      <c r="C323" s="1" t="n">
        <v>13</v>
      </c>
      <c r="D323" s="1" t="s">
        <v>1452</v>
      </c>
      <c r="E323" s="1" t="n">
        <v>6</v>
      </c>
      <c r="F323" s="1" t="n">
        <v>352.54</v>
      </c>
      <c r="G323" s="1" t="n">
        <v>0</v>
      </c>
      <c r="H323" s="1" t="s">
        <v>1336</v>
      </c>
      <c r="I323" s="1" t="n">
        <v>2115.24</v>
      </c>
      <c r="J323" s="1" t="str">
        <f aca="false">VLOOKUP(B323,Customers!$A$2:$G$502,6,FALSE())</f>
        <v>Consumer</v>
      </c>
      <c r="K323" s="1" t="str">
        <f aca="false">VLOOKUP(C323,Products!$A$2:$E$62,3,FALSE())</f>
        <v>Electronics</v>
      </c>
      <c r="L323" s="1" t="str">
        <f aca="false">TEXT(D323,"yyyy-mm")</f>
        <v>2023-01</v>
      </c>
    </row>
    <row r="324" customFormat="false" ht="15" hidden="false" customHeight="true" outlineLevel="0" collapsed="false">
      <c r="A324" s="1" t="n">
        <v>328</v>
      </c>
      <c r="B324" s="1" t="n">
        <v>217</v>
      </c>
      <c r="C324" s="1" t="n">
        <v>42</v>
      </c>
      <c r="D324" s="1" t="s">
        <v>519</v>
      </c>
      <c r="E324" s="1" t="n">
        <v>3</v>
      </c>
      <c r="F324" s="1" t="n">
        <v>174.48</v>
      </c>
      <c r="G324" s="1" t="n">
        <v>0</v>
      </c>
      <c r="H324" s="1" t="s">
        <v>1336</v>
      </c>
      <c r="I324" s="1" t="n">
        <v>523.44</v>
      </c>
      <c r="J324" s="1" t="str">
        <f aca="false">VLOOKUP(B324,Customers!$A$2:$G$502,6,FALSE())</f>
        <v>Consumer</v>
      </c>
      <c r="K324" s="1" t="str">
        <f aca="false">VLOOKUP(C324,Products!$A$2:$E$62,3,FALSE())</f>
        <v>Software</v>
      </c>
      <c r="L324" s="1" t="str">
        <f aca="false">TEXT(D324,"yyyy-mm")</f>
        <v>2023-02</v>
      </c>
    </row>
    <row r="325" customFormat="false" ht="15" hidden="false" customHeight="true" outlineLevel="0" collapsed="false">
      <c r="A325" s="1" t="n">
        <v>330</v>
      </c>
      <c r="B325" s="1" t="n">
        <v>441</v>
      </c>
      <c r="C325" s="1" t="n">
        <v>58</v>
      </c>
      <c r="D325" s="1" t="s">
        <v>1453</v>
      </c>
      <c r="E325" s="1" t="n">
        <v>4</v>
      </c>
      <c r="F325" s="1" t="n">
        <v>515.55</v>
      </c>
      <c r="G325" s="1" t="n">
        <v>0</v>
      </c>
      <c r="H325" s="1" t="s">
        <v>1336</v>
      </c>
      <c r="I325" s="1" t="n">
        <v>2062.2</v>
      </c>
      <c r="J325" s="1" t="str">
        <f aca="false">VLOOKUP(B325,Customers!$A$2:$G$502,6,FALSE())</f>
        <v>Corporate</v>
      </c>
      <c r="K325" s="1" t="str">
        <f aca="false">VLOOKUP(C325,Products!$A$2:$E$62,3,FALSE())</f>
        <v>Furniture</v>
      </c>
      <c r="L325" s="1" t="str">
        <f aca="false">TEXT(D325,"yyyy-mm")</f>
        <v>2023-03</v>
      </c>
    </row>
    <row r="326" customFormat="false" ht="15" hidden="false" customHeight="true" outlineLevel="0" collapsed="false">
      <c r="A326" s="1" t="n">
        <v>331</v>
      </c>
      <c r="B326" s="1" t="n">
        <v>187</v>
      </c>
      <c r="C326" s="1" t="n">
        <v>43</v>
      </c>
      <c r="D326" s="1" t="s">
        <v>1454</v>
      </c>
      <c r="E326" s="1" t="n">
        <v>9</v>
      </c>
      <c r="F326" s="1" t="n">
        <v>186.31</v>
      </c>
      <c r="G326" s="1" t="n">
        <v>0</v>
      </c>
      <c r="H326" s="1" t="s">
        <v>1336</v>
      </c>
      <c r="I326" s="1" t="n">
        <v>1676.79</v>
      </c>
      <c r="J326" s="1" t="str">
        <f aca="false">VLOOKUP(B326,Customers!$A$2:$G$502,6,FALSE())</f>
        <v>Consumer</v>
      </c>
      <c r="K326" s="1" t="str">
        <f aca="false">VLOOKUP(C326,Products!$A$2:$E$62,3,FALSE())</f>
        <v>Software</v>
      </c>
      <c r="L326" s="1" t="str">
        <f aca="false">TEXT(D326,"yyyy-mm")</f>
        <v>2024-11</v>
      </c>
    </row>
    <row r="327" customFormat="false" ht="15" hidden="false" customHeight="true" outlineLevel="0" collapsed="false">
      <c r="A327" s="1" t="n">
        <v>332</v>
      </c>
      <c r="B327" s="1" t="n">
        <v>293</v>
      </c>
      <c r="C327" s="1" t="n">
        <v>48</v>
      </c>
      <c r="D327" s="1" t="s">
        <v>71</v>
      </c>
      <c r="E327" s="1" t="n">
        <v>3</v>
      </c>
      <c r="F327" s="1" t="n">
        <v>493.53</v>
      </c>
      <c r="G327" s="1" t="n">
        <v>0</v>
      </c>
      <c r="H327" s="1" t="s">
        <v>1336</v>
      </c>
      <c r="I327" s="1" t="n">
        <v>1480.59</v>
      </c>
      <c r="J327" s="1" t="str">
        <f aca="false">VLOOKUP(B327,Customers!$A$2:$G$502,6,FALSE())</f>
        <v>Small Business</v>
      </c>
      <c r="K327" s="1" t="str">
        <f aca="false">VLOOKUP(C327,Products!$A$2:$E$62,3,FALSE())</f>
        <v>Software</v>
      </c>
      <c r="L327" s="1" t="str">
        <f aca="false">TEXT(D327,"yyyy-mm")</f>
        <v>2024-05</v>
      </c>
    </row>
    <row r="328" customFormat="false" ht="15" hidden="false" customHeight="true" outlineLevel="0" collapsed="false">
      <c r="A328" s="1" t="n">
        <v>333</v>
      </c>
      <c r="B328" s="1" t="n">
        <v>129</v>
      </c>
      <c r="C328" s="1" t="n">
        <v>32</v>
      </c>
      <c r="D328" s="1" t="s">
        <v>915</v>
      </c>
      <c r="E328" s="1" t="n">
        <v>9</v>
      </c>
      <c r="F328" s="1" t="n">
        <v>492.27</v>
      </c>
      <c r="G328" s="1" t="n">
        <v>0</v>
      </c>
      <c r="H328" s="1" t="s">
        <v>1336</v>
      </c>
      <c r="I328" s="1" t="n">
        <v>4430.43</v>
      </c>
      <c r="J328" s="1" t="str">
        <f aca="false">VLOOKUP(B328,Customers!$A$2:$G$502,6,FALSE())</f>
        <v>Corporate</v>
      </c>
      <c r="K328" s="1" t="str">
        <f aca="false">VLOOKUP(C328,Products!$A$2:$E$62,3,FALSE())</f>
        <v>Office Supplies</v>
      </c>
      <c r="L328" s="1" t="str">
        <f aca="false">TEXT(D328,"yyyy-mm")</f>
        <v>2023-04</v>
      </c>
    </row>
    <row r="329" customFormat="false" ht="15" hidden="false" customHeight="true" outlineLevel="0" collapsed="false">
      <c r="A329" s="1" t="n">
        <v>334</v>
      </c>
      <c r="B329" s="1" t="n">
        <v>378</v>
      </c>
      <c r="C329" s="1" t="n">
        <v>25</v>
      </c>
      <c r="D329" s="1" t="s">
        <v>443</v>
      </c>
      <c r="E329" s="1" t="n">
        <v>7</v>
      </c>
      <c r="F329" s="1" t="n">
        <v>300.49</v>
      </c>
      <c r="G329" s="1" t="n">
        <v>0.05</v>
      </c>
      <c r="H329" s="1" t="s">
        <v>1336</v>
      </c>
      <c r="I329" s="1" t="n">
        <v>1998.26</v>
      </c>
      <c r="J329" s="1" t="str">
        <f aca="false">VLOOKUP(B329,Customers!$A$2:$G$502,6,FALSE())</f>
        <v>Small Business</v>
      </c>
      <c r="K329" s="1" t="str">
        <f aca="false">VLOOKUP(C329,Products!$A$2:$E$62,3,FALSE())</f>
        <v>Office Supplies</v>
      </c>
      <c r="L329" s="1" t="str">
        <f aca="false">TEXT(D329,"yyyy-mm")</f>
        <v>2023-08</v>
      </c>
    </row>
    <row r="330" customFormat="false" ht="15" hidden="false" customHeight="true" outlineLevel="0" collapsed="false">
      <c r="A330" s="1" t="n">
        <v>335</v>
      </c>
      <c r="B330" s="1" t="n">
        <v>210</v>
      </c>
      <c r="C330" s="1" t="n">
        <v>17</v>
      </c>
      <c r="D330" s="1" t="s">
        <v>1050</v>
      </c>
      <c r="E330" s="1" t="n">
        <v>4</v>
      </c>
      <c r="F330" s="1" t="n">
        <v>65.61</v>
      </c>
      <c r="G330" s="1" t="n">
        <v>0</v>
      </c>
      <c r="H330" s="1" t="s">
        <v>1336</v>
      </c>
      <c r="I330" s="1" t="n">
        <v>262.44</v>
      </c>
      <c r="J330" s="1" t="str">
        <f aca="false">VLOOKUP(B330,Customers!$A$2:$G$502,6,FALSE())</f>
        <v>Corporate</v>
      </c>
      <c r="K330" s="1" t="str">
        <f aca="false">VLOOKUP(C330,Products!$A$2:$E$62,3,FALSE())</f>
        <v>Electronics</v>
      </c>
      <c r="L330" s="1" t="str">
        <f aca="false">TEXT(D330,"yyyy-mm")</f>
        <v>2024-08</v>
      </c>
    </row>
    <row r="331" customFormat="false" ht="15" hidden="false" customHeight="true" outlineLevel="0" collapsed="false">
      <c r="A331" s="1" t="n">
        <v>336</v>
      </c>
      <c r="B331" s="1" t="n">
        <v>217</v>
      </c>
      <c r="C331" s="1" t="n">
        <v>31</v>
      </c>
      <c r="D331" s="1" t="s">
        <v>1455</v>
      </c>
      <c r="E331" s="1" t="n">
        <v>3</v>
      </c>
      <c r="F331" s="1" t="n">
        <v>224.86</v>
      </c>
      <c r="G331" s="1" t="n">
        <v>0</v>
      </c>
      <c r="H331" s="1" t="s">
        <v>1370</v>
      </c>
      <c r="I331" s="1" t="n">
        <v>674.58</v>
      </c>
      <c r="J331" s="1" t="str">
        <f aca="false">VLOOKUP(B331,Customers!$A$2:$G$502,6,FALSE())</f>
        <v>Consumer</v>
      </c>
      <c r="K331" s="1" t="str">
        <f aca="false">VLOOKUP(C331,Products!$A$2:$E$62,3,FALSE())</f>
        <v>Office Supplies</v>
      </c>
      <c r="L331" s="1" t="str">
        <f aca="false">TEXT(D331,"yyyy-mm")</f>
        <v>2024-11</v>
      </c>
    </row>
    <row r="332" customFormat="false" ht="15" hidden="false" customHeight="true" outlineLevel="0" collapsed="false">
      <c r="A332" s="1" t="n">
        <v>337</v>
      </c>
      <c r="B332" s="1" t="n">
        <v>367</v>
      </c>
      <c r="C332" s="1" t="n">
        <v>24</v>
      </c>
      <c r="D332" s="1" t="s">
        <v>601</v>
      </c>
      <c r="E332" s="1" t="n">
        <v>5</v>
      </c>
      <c r="F332" s="1" t="n">
        <v>207.34</v>
      </c>
      <c r="G332" s="1" t="n">
        <v>0</v>
      </c>
      <c r="H332" s="1" t="s">
        <v>1336</v>
      </c>
      <c r="I332" s="1" t="n">
        <v>1036.7</v>
      </c>
      <c r="J332" s="1" t="str">
        <f aca="false">VLOOKUP(B332,Customers!$A$2:$G$502,6,FALSE())</f>
        <v>Corporate</v>
      </c>
      <c r="K332" s="1" t="str">
        <f aca="false">VLOOKUP(C332,Products!$A$2:$E$62,3,FALSE())</f>
        <v>Office Supplies</v>
      </c>
      <c r="L332" s="1" t="str">
        <f aca="false">TEXT(D332,"yyyy-mm")</f>
        <v>2023-11</v>
      </c>
    </row>
    <row r="333" customFormat="false" ht="15" hidden="false" customHeight="true" outlineLevel="0" collapsed="false">
      <c r="A333" s="1" t="n">
        <v>338</v>
      </c>
      <c r="B333" s="1" t="n">
        <v>410</v>
      </c>
      <c r="C333" s="1" t="n">
        <v>4</v>
      </c>
      <c r="D333" s="1" t="s">
        <v>1456</v>
      </c>
      <c r="E333" s="1" t="n">
        <v>5</v>
      </c>
      <c r="F333" s="1" t="n">
        <v>56.24</v>
      </c>
      <c r="G333" s="1" t="n">
        <v>0.2</v>
      </c>
      <c r="H333" s="1" t="s">
        <v>1336</v>
      </c>
      <c r="I333" s="1" t="n">
        <v>224.96</v>
      </c>
      <c r="J333" s="1" t="str">
        <f aca="false">VLOOKUP(B333,Customers!$A$2:$G$502,6,FALSE())</f>
        <v>Consumer</v>
      </c>
      <c r="K333" s="1" t="str">
        <f aca="false">VLOOKUP(C333,Products!$A$2:$E$62,3,FALSE())</f>
        <v>Electronics</v>
      </c>
      <c r="L333" s="1" t="str">
        <f aca="false">TEXT(D333,"yyyy-mm")</f>
        <v>2024-12</v>
      </c>
    </row>
    <row r="334" customFormat="false" ht="15" hidden="false" customHeight="true" outlineLevel="0" collapsed="false">
      <c r="A334" s="1" t="n">
        <v>340</v>
      </c>
      <c r="B334" s="1" t="n">
        <v>492</v>
      </c>
      <c r="C334" s="1" t="n">
        <v>26</v>
      </c>
      <c r="D334" s="1" t="s">
        <v>429</v>
      </c>
      <c r="E334" s="1" t="n">
        <v>9</v>
      </c>
      <c r="F334" s="1" t="n">
        <v>733.85</v>
      </c>
      <c r="G334" s="1" t="n">
        <v>0</v>
      </c>
      <c r="H334" s="1" t="s">
        <v>1336</v>
      </c>
      <c r="I334" s="1" t="n">
        <v>6604.65</v>
      </c>
      <c r="J334" s="1" t="str">
        <f aca="false">VLOOKUP(B334,Customers!$A$2:$G$502,6,FALSE())</f>
        <v>Consumer</v>
      </c>
      <c r="K334" s="1" t="str">
        <f aca="false">VLOOKUP(C334,Products!$A$2:$E$62,3,FALSE())</f>
        <v>Office Supplies</v>
      </c>
      <c r="L334" s="1" t="str">
        <f aca="false">TEXT(D334,"yyyy-mm")</f>
        <v>2023-09</v>
      </c>
    </row>
    <row r="335" customFormat="false" ht="15" hidden="false" customHeight="true" outlineLevel="0" collapsed="false">
      <c r="A335" s="1" t="n">
        <v>341</v>
      </c>
      <c r="B335" s="1" t="n">
        <v>456</v>
      </c>
      <c r="C335" s="1" t="n">
        <v>11</v>
      </c>
      <c r="D335" s="1" t="s">
        <v>1457</v>
      </c>
      <c r="E335" s="1" t="n">
        <v>4</v>
      </c>
      <c r="F335" s="1" t="n">
        <v>328.39</v>
      </c>
      <c r="G335" s="1" t="n">
        <v>0.15</v>
      </c>
      <c r="H335" s="1" t="s">
        <v>1336</v>
      </c>
      <c r="I335" s="1" t="n">
        <v>1116.53</v>
      </c>
      <c r="J335" s="1" t="str">
        <f aca="false">VLOOKUP(B335,Customers!$A$2:$G$502,6,FALSE())</f>
        <v>Consumer</v>
      </c>
      <c r="K335" s="1" t="str">
        <f aca="false">VLOOKUP(C335,Products!$A$2:$E$62,3,FALSE())</f>
        <v>Electronics</v>
      </c>
      <c r="L335" s="1" t="str">
        <f aca="false">TEXT(D335,"yyyy-mm")</f>
        <v>2024-03</v>
      </c>
    </row>
    <row r="336" customFormat="false" ht="15" hidden="false" customHeight="true" outlineLevel="0" collapsed="false">
      <c r="A336" s="1" t="n">
        <v>342</v>
      </c>
      <c r="B336" s="1" t="n">
        <v>141</v>
      </c>
      <c r="C336" s="1" t="n">
        <v>56</v>
      </c>
      <c r="D336" s="1" t="s">
        <v>1458</v>
      </c>
      <c r="E336" s="1" t="n">
        <v>5</v>
      </c>
      <c r="F336" s="1" t="n">
        <v>160.64</v>
      </c>
      <c r="G336" s="1" t="n">
        <v>0.2</v>
      </c>
      <c r="H336" s="1" t="s">
        <v>1336</v>
      </c>
      <c r="I336" s="1" t="n">
        <v>642.56</v>
      </c>
      <c r="J336" s="1" t="str">
        <f aca="false">VLOOKUP(B336,Customers!$A$2:$G$502,6,FALSE())</f>
        <v>Small Business</v>
      </c>
      <c r="K336" s="1" t="str">
        <f aca="false">VLOOKUP(C336,Products!$A$2:$E$62,3,FALSE())</f>
        <v>Furniture</v>
      </c>
      <c r="L336" s="1" t="str">
        <f aca="false">TEXT(D336,"yyyy-mm")</f>
        <v>2023-03</v>
      </c>
    </row>
    <row r="337" customFormat="false" ht="15" hidden="false" customHeight="true" outlineLevel="0" collapsed="false">
      <c r="A337" s="1" t="n">
        <v>343</v>
      </c>
      <c r="B337" s="1" t="n">
        <v>171</v>
      </c>
      <c r="C337" s="1" t="n">
        <v>46</v>
      </c>
      <c r="D337" s="1" t="s">
        <v>1459</v>
      </c>
      <c r="E337" s="1" t="n">
        <v>4</v>
      </c>
      <c r="F337" s="1" t="n">
        <v>94.92</v>
      </c>
      <c r="G337" s="1" t="n">
        <v>0.2</v>
      </c>
      <c r="H337" s="1" t="s">
        <v>1336</v>
      </c>
      <c r="I337" s="1" t="n">
        <v>303.74</v>
      </c>
      <c r="J337" s="1" t="str">
        <f aca="false">VLOOKUP(B337,Customers!$A$2:$G$502,6,FALSE())</f>
        <v>Small Business</v>
      </c>
      <c r="K337" s="1" t="str">
        <f aca="false">VLOOKUP(C337,Products!$A$2:$E$62,3,FALSE())</f>
        <v>Software</v>
      </c>
      <c r="L337" s="1" t="str">
        <f aca="false">TEXT(D337,"yyyy-mm")</f>
        <v>2024-03</v>
      </c>
    </row>
    <row r="338" customFormat="false" ht="15" hidden="false" customHeight="true" outlineLevel="0" collapsed="false">
      <c r="A338" s="1" t="n">
        <v>344</v>
      </c>
      <c r="B338" s="1" t="n">
        <v>216</v>
      </c>
      <c r="C338" s="1" t="n">
        <v>39</v>
      </c>
      <c r="D338" s="1" t="s">
        <v>1410</v>
      </c>
      <c r="E338" s="1" t="n">
        <v>5</v>
      </c>
      <c r="F338" s="1" t="n">
        <v>400.02</v>
      </c>
      <c r="G338" s="1" t="n">
        <v>0.15</v>
      </c>
      <c r="H338" s="1" t="s">
        <v>1336</v>
      </c>
      <c r="I338" s="1" t="n">
        <v>1700.08</v>
      </c>
      <c r="J338" s="1" t="str">
        <f aca="false">VLOOKUP(B338,Customers!$A$2:$G$502,6,FALSE())</f>
        <v>Consumer</v>
      </c>
      <c r="K338" s="1" t="str">
        <f aca="false">VLOOKUP(C338,Products!$A$2:$E$62,3,FALSE())</f>
        <v>Software</v>
      </c>
      <c r="L338" s="1" t="str">
        <f aca="false">TEXT(D338,"yyyy-mm")</f>
        <v>2024-07</v>
      </c>
    </row>
    <row r="339" customFormat="false" ht="15" hidden="false" customHeight="true" outlineLevel="0" collapsed="false">
      <c r="A339" s="1" t="n">
        <v>345</v>
      </c>
      <c r="B339" s="1" t="n">
        <v>95</v>
      </c>
      <c r="C339" s="1" t="n">
        <v>41</v>
      </c>
      <c r="D339" s="1" t="s">
        <v>330</v>
      </c>
      <c r="E339" s="1" t="n">
        <v>7</v>
      </c>
      <c r="F339" s="1" t="n">
        <v>594.54</v>
      </c>
      <c r="G339" s="1" t="n">
        <v>0.2</v>
      </c>
      <c r="H339" s="1" t="s">
        <v>1336</v>
      </c>
      <c r="I339" s="1" t="n">
        <v>3329.42</v>
      </c>
      <c r="J339" s="1" t="str">
        <f aca="false">VLOOKUP(B339,Customers!$A$2:$G$502,6,FALSE())</f>
        <v>Corporate</v>
      </c>
      <c r="K339" s="1" t="str">
        <f aca="false">VLOOKUP(C339,Products!$A$2:$E$62,3,FALSE())</f>
        <v>Software</v>
      </c>
      <c r="L339" s="1" t="str">
        <f aca="false">TEXT(D339,"yyyy-mm")</f>
        <v>2024-03</v>
      </c>
    </row>
    <row r="340" customFormat="false" ht="15" hidden="false" customHeight="true" outlineLevel="0" collapsed="false">
      <c r="A340" s="1" t="n">
        <v>346</v>
      </c>
      <c r="B340" s="1" t="n">
        <v>295</v>
      </c>
      <c r="C340" s="1" t="n">
        <v>6</v>
      </c>
      <c r="D340" s="1" t="s">
        <v>946</v>
      </c>
      <c r="E340" s="1" t="n">
        <v>9</v>
      </c>
      <c r="F340" s="1" t="n">
        <v>28.51</v>
      </c>
      <c r="G340" s="1" t="n">
        <v>0</v>
      </c>
      <c r="H340" s="1" t="s">
        <v>1336</v>
      </c>
      <c r="I340" s="1" t="n">
        <v>256.59</v>
      </c>
      <c r="J340" s="1" t="str">
        <f aca="false">VLOOKUP(B340,Customers!$A$2:$G$502,6,FALSE())</f>
        <v>Small Business</v>
      </c>
      <c r="K340" s="1" t="str">
        <f aca="false">VLOOKUP(C340,Products!$A$2:$E$62,3,FALSE())</f>
        <v>Electronics</v>
      </c>
      <c r="L340" s="1" t="str">
        <f aca="false">TEXT(D340,"yyyy-mm")</f>
        <v>2023-04</v>
      </c>
    </row>
    <row r="341" customFormat="false" ht="15" hidden="false" customHeight="true" outlineLevel="0" collapsed="false">
      <c r="A341" s="1" t="n">
        <v>347</v>
      </c>
      <c r="B341" s="1" t="n">
        <v>67</v>
      </c>
      <c r="C341" s="1" t="n">
        <v>55</v>
      </c>
      <c r="D341" s="1" t="s">
        <v>1371</v>
      </c>
      <c r="E341" s="1" t="n">
        <v>7</v>
      </c>
      <c r="F341" s="1" t="n">
        <v>123.38</v>
      </c>
      <c r="G341" s="1" t="n">
        <v>0.15</v>
      </c>
      <c r="H341" s="1" t="s">
        <v>1336</v>
      </c>
      <c r="I341" s="1" t="n">
        <v>734.11</v>
      </c>
      <c r="J341" s="1" t="str">
        <f aca="false">VLOOKUP(B341,Customers!$A$2:$G$502,6,FALSE())</f>
        <v>Small Business</v>
      </c>
      <c r="K341" s="1" t="str">
        <f aca="false">VLOOKUP(C341,Products!$A$2:$E$62,3,FALSE())</f>
        <v>Furniture</v>
      </c>
      <c r="L341" s="1" t="str">
        <f aca="false">TEXT(D341,"yyyy-mm")</f>
        <v>2024-08</v>
      </c>
    </row>
    <row r="342" customFormat="false" ht="15" hidden="false" customHeight="true" outlineLevel="0" collapsed="false">
      <c r="A342" s="1" t="n">
        <v>348</v>
      </c>
      <c r="B342" s="1" t="n">
        <v>69</v>
      </c>
      <c r="C342" s="1" t="n">
        <v>17</v>
      </c>
      <c r="D342" s="1" t="s">
        <v>1460</v>
      </c>
      <c r="E342" s="1" t="n">
        <v>5</v>
      </c>
      <c r="F342" s="1" t="n">
        <v>65.61</v>
      </c>
      <c r="G342" s="1" t="n">
        <v>0.15</v>
      </c>
      <c r="H342" s="1" t="s">
        <v>1336</v>
      </c>
      <c r="I342" s="1" t="n">
        <v>278.84</v>
      </c>
      <c r="J342" s="1" t="str">
        <f aca="false">VLOOKUP(B342,Customers!$A$2:$G$502,6,FALSE())</f>
        <v>Corporate</v>
      </c>
      <c r="K342" s="1" t="str">
        <f aca="false">VLOOKUP(C342,Products!$A$2:$E$62,3,FALSE())</f>
        <v>Electronics</v>
      </c>
      <c r="L342" s="1" t="str">
        <f aca="false">TEXT(D342,"yyyy-mm")</f>
        <v>2023-06</v>
      </c>
    </row>
    <row r="343" customFormat="false" ht="15" hidden="false" customHeight="true" outlineLevel="0" collapsed="false">
      <c r="A343" s="1" t="n">
        <v>349</v>
      </c>
      <c r="B343" s="1" t="n">
        <v>189</v>
      </c>
      <c r="C343" s="1" t="n">
        <v>12</v>
      </c>
      <c r="D343" s="1" t="s">
        <v>1461</v>
      </c>
      <c r="E343" s="1" t="n">
        <v>7</v>
      </c>
      <c r="F343" s="1" t="n">
        <v>179.23</v>
      </c>
      <c r="G343" s="1" t="n">
        <v>0.05</v>
      </c>
      <c r="H343" s="1" t="s">
        <v>1370</v>
      </c>
      <c r="I343" s="1" t="n">
        <v>1191.88</v>
      </c>
      <c r="J343" s="1" t="str">
        <f aca="false">VLOOKUP(B343,Customers!$A$2:$G$502,6,FALSE())</f>
        <v>Small Business</v>
      </c>
      <c r="K343" s="1" t="str">
        <f aca="false">VLOOKUP(C343,Products!$A$2:$E$62,3,FALSE())</f>
        <v>Electronics</v>
      </c>
      <c r="L343" s="1" t="str">
        <f aca="false">TEXT(D343,"yyyy-mm")</f>
        <v>2024-02</v>
      </c>
    </row>
    <row r="344" customFormat="false" ht="15" hidden="false" customHeight="true" outlineLevel="0" collapsed="false">
      <c r="A344" s="1" t="n">
        <v>350</v>
      </c>
      <c r="B344" s="1" t="n">
        <v>473</v>
      </c>
      <c r="C344" s="1" t="n">
        <v>36</v>
      </c>
      <c r="D344" s="1" t="s">
        <v>1162</v>
      </c>
      <c r="E344" s="1" t="n">
        <v>5</v>
      </c>
      <c r="F344" s="1" t="n">
        <v>424.45</v>
      </c>
      <c r="G344" s="1" t="n">
        <v>0.1</v>
      </c>
      <c r="H344" s="1" t="s">
        <v>1336</v>
      </c>
      <c r="I344" s="1" t="n">
        <v>1910.02</v>
      </c>
      <c r="J344" s="1" t="str">
        <f aca="false">VLOOKUP(B344,Customers!$A$2:$G$502,6,FALSE())</f>
        <v>Small Business</v>
      </c>
      <c r="K344" s="1" t="str">
        <f aca="false">VLOOKUP(C344,Products!$A$2:$E$62,3,FALSE())</f>
        <v>Software</v>
      </c>
      <c r="L344" s="1" t="str">
        <f aca="false">TEXT(D344,"yyyy-mm")</f>
        <v>2024-10</v>
      </c>
    </row>
    <row r="345" customFormat="false" ht="15" hidden="false" customHeight="true" outlineLevel="0" collapsed="false">
      <c r="A345" s="1" t="n">
        <v>351</v>
      </c>
      <c r="B345" s="1" t="n">
        <v>360</v>
      </c>
      <c r="C345" s="1" t="n">
        <v>55</v>
      </c>
      <c r="D345" s="1" t="s">
        <v>1418</v>
      </c>
      <c r="E345" s="1" t="n">
        <v>3</v>
      </c>
      <c r="F345" s="1" t="n">
        <v>123.38</v>
      </c>
      <c r="G345" s="1" t="n">
        <v>0</v>
      </c>
      <c r="H345" s="1" t="s">
        <v>1336</v>
      </c>
      <c r="I345" s="1" t="n">
        <v>370.14</v>
      </c>
      <c r="J345" s="1" t="str">
        <f aca="false">VLOOKUP(B345,Customers!$A$2:$G$502,6,FALSE())</f>
        <v>Corporate</v>
      </c>
      <c r="K345" s="1" t="str">
        <f aca="false">VLOOKUP(C345,Products!$A$2:$E$62,3,FALSE())</f>
        <v>Furniture</v>
      </c>
      <c r="L345" s="1" t="str">
        <f aca="false">TEXT(D345,"yyyy-mm")</f>
        <v>2023-06</v>
      </c>
    </row>
    <row r="346" customFormat="false" ht="15" hidden="false" customHeight="true" outlineLevel="0" collapsed="false">
      <c r="A346" s="1" t="n">
        <v>352</v>
      </c>
      <c r="B346" s="1" t="n">
        <v>189</v>
      </c>
      <c r="C346" s="1" t="n">
        <v>11</v>
      </c>
      <c r="D346" s="1" t="s">
        <v>1462</v>
      </c>
      <c r="E346" s="1" t="n">
        <v>7</v>
      </c>
      <c r="F346" s="1" t="n">
        <v>328.39</v>
      </c>
      <c r="G346" s="1" t="n">
        <v>0</v>
      </c>
      <c r="H346" s="1" t="s">
        <v>1336</v>
      </c>
      <c r="I346" s="1" t="n">
        <v>2298.73</v>
      </c>
      <c r="J346" s="1" t="str">
        <f aca="false">VLOOKUP(B346,Customers!$A$2:$G$502,6,FALSE())</f>
        <v>Small Business</v>
      </c>
      <c r="K346" s="1" t="str">
        <f aca="false">VLOOKUP(C346,Products!$A$2:$E$62,3,FALSE())</f>
        <v>Electronics</v>
      </c>
      <c r="L346" s="1" t="str">
        <f aca="false">TEXT(D346,"yyyy-mm")</f>
        <v>2024-08</v>
      </c>
    </row>
    <row r="347" customFormat="false" ht="15" hidden="false" customHeight="true" outlineLevel="0" collapsed="false">
      <c r="A347" s="1" t="n">
        <v>353</v>
      </c>
      <c r="B347" s="1" t="n">
        <v>424</v>
      </c>
      <c r="C347" s="1" t="n">
        <v>44</v>
      </c>
      <c r="D347" s="1" t="s">
        <v>185</v>
      </c>
      <c r="E347" s="1" t="n">
        <v>2</v>
      </c>
      <c r="F347" s="1" t="n">
        <v>508.26</v>
      </c>
      <c r="G347" s="1" t="n">
        <v>0</v>
      </c>
      <c r="H347" s="1" t="s">
        <v>1336</v>
      </c>
      <c r="I347" s="1" t="n">
        <v>1016.52</v>
      </c>
      <c r="J347" s="1" t="str">
        <f aca="false">VLOOKUP(B347,Customers!$A$2:$G$502,6,FALSE())</f>
        <v>Small Business</v>
      </c>
      <c r="K347" s="1" t="str">
        <f aca="false">VLOOKUP(C347,Products!$A$2:$E$62,3,FALSE())</f>
        <v>Software</v>
      </c>
      <c r="L347" s="1" t="str">
        <f aca="false">TEXT(D347,"yyyy-mm")</f>
        <v>2024-05</v>
      </c>
    </row>
    <row r="348" customFormat="false" ht="15" hidden="false" customHeight="true" outlineLevel="0" collapsed="false">
      <c r="A348" s="1" t="n">
        <v>354</v>
      </c>
      <c r="B348" s="1" t="n">
        <v>137</v>
      </c>
      <c r="C348" s="1" t="n">
        <v>19</v>
      </c>
      <c r="D348" s="1" t="s">
        <v>185</v>
      </c>
      <c r="E348" s="1" t="n">
        <v>9</v>
      </c>
      <c r="F348" s="1" t="n">
        <v>163.64</v>
      </c>
      <c r="G348" s="1" t="n">
        <v>0.05</v>
      </c>
      <c r="H348" s="1" t="s">
        <v>1336</v>
      </c>
      <c r="I348" s="1" t="n">
        <v>1399.12</v>
      </c>
      <c r="J348" s="1" t="str">
        <f aca="false">VLOOKUP(B348,Customers!$A$2:$G$502,6,FALSE())</f>
        <v>Consumer</v>
      </c>
      <c r="K348" s="1" t="str">
        <f aca="false">VLOOKUP(C348,Products!$A$2:$E$62,3,FALSE())</f>
        <v>Office Supplies</v>
      </c>
      <c r="L348" s="1" t="str">
        <f aca="false">TEXT(D348,"yyyy-mm")</f>
        <v>2024-05</v>
      </c>
    </row>
    <row r="349" customFormat="false" ht="15" hidden="false" customHeight="true" outlineLevel="0" collapsed="false">
      <c r="A349" s="1" t="n">
        <v>355</v>
      </c>
      <c r="B349" s="1" t="n">
        <v>145</v>
      </c>
      <c r="C349" s="1" t="n">
        <v>47</v>
      </c>
      <c r="D349" s="1" t="s">
        <v>739</v>
      </c>
      <c r="E349" s="1" t="n">
        <v>1</v>
      </c>
      <c r="F349" s="1" t="n">
        <v>506.19</v>
      </c>
      <c r="G349" s="1" t="n">
        <v>0</v>
      </c>
      <c r="H349" s="1" t="s">
        <v>1336</v>
      </c>
      <c r="I349" s="1" t="n">
        <v>506.19</v>
      </c>
      <c r="J349" s="1" t="str">
        <f aca="false">VLOOKUP(B349,Customers!$A$2:$G$502,6,FALSE())</f>
        <v>Corporate</v>
      </c>
      <c r="K349" s="1" t="str">
        <f aca="false">VLOOKUP(C349,Products!$A$2:$E$62,3,FALSE())</f>
        <v>Software</v>
      </c>
      <c r="L349" s="1" t="str">
        <f aca="false">TEXT(D349,"yyyy-mm")</f>
        <v>2024-11</v>
      </c>
    </row>
    <row r="350" customFormat="false" ht="15" hidden="false" customHeight="true" outlineLevel="0" collapsed="false">
      <c r="A350" s="1" t="n">
        <v>356</v>
      </c>
      <c r="B350" s="1" t="n">
        <v>135</v>
      </c>
      <c r="C350" s="1" t="n">
        <v>16</v>
      </c>
      <c r="D350" s="1" t="s">
        <v>1463</v>
      </c>
      <c r="E350" s="1" t="n">
        <v>6</v>
      </c>
      <c r="F350" s="1" t="n">
        <v>330.91</v>
      </c>
      <c r="G350" s="1" t="n">
        <v>0.05</v>
      </c>
      <c r="H350" s="1" t="s">
        <v>1346</v>
      </c>
      <c r="I350" s="1" t="n">
        <v>1886.19</v>
      </c>
      <c r="J350" s="1" t="str">
        <f aca="false">VLOOKUP(B350,Customers!$A$2:$G$502,6,FALSE())</f>
        <v>Corporate</v>
      </c>
      <c r="K350" s="1" t="str">
        <f aca="false">VLOOKUP(C350,Products!$A$2:$E$62,3,FALSE())</f>
        <v>Electronics</v>
      </c>
      <c r="L350" s="1" t="str">
        <f aca="false">TEXT(D350,"yyyy-mm")</f>
        <v>2024-09</v>
      </c>
    </row>
    <row r="351" customFormat="false" ht="15" hidden="false" customHeight="true" outlineLevel="0" collapsed="false">
      <c r="A351" s="1" t="n">
        <v>357</v>
      </c>
      <c r="B351" s="1" t="n">
        <v>6</v>
      </c>
      <c r="C351" s="1" t="n">
        <v>31</v>
      </c>
      <c r="D351" s="1" t="s">
        <v>1464</v>
      </c>
      <c r="E351" s="1" t="n">
        <v>7</v>
      </c>
      <c r="F351" s="1" t="n">
        <v>224.86</v>
      </c>
      <c r="G351" s="1" t="n">
        <v>0.2</v>
      </c>
      <c r="H351" s="1" t="s">
        <v>1336</v>
      </c>
      <c r="I351" s="1" t="n">
        <v>1259.22</v>
      </c>
      <c r="J351" s="1" t="str">
        <f aca="false">VLOOKUP(B351,Customers!$A$2:$G$502,6,FALSE())</f>
        <v>Corporate</v>
      </c>
      <c r="K351" s="1" t="str">
        <f aca="false">VLOOKUP(C351,Products!$A$2:$E$62,3,FALSE())</f>
        <v>Office Supplies</v>
      </c>
      <c r="L351" s="1" t="str">
        <f aca="false">TEXT(D351,"yyyy-mm")</f>
        <v>2023-05</v>
      </c>
    </row>
    <row r="352" customFormat="false" ht="15" hidden="false" customHeight="true" outlineLevel="0" collapsed="false">
      <c r="A352" s="1" t="n">
        <v>358</v>
      </c>
      <c r="B352" s="1" t="n">
        <v>363</v>
      </c>
      <c r="C352" s="1" t="n">
        <v>28</v>
      </c>
      <c r="D352" s="1" t="s">
        <v>479</v>
      </c>
      <c r="E352" s="1" t="n">
        <v>8</v>
      </c>
      <c r="F352" s="1" t="n">
        <v>505.23</v>
      </c>
      <c r="G352" s="1" t="n">
        <v>0</v>
      </c>
      <c r="H352" s="1" t="s">
        <v>1336</v>
      </c>
      <c r="I352" s="1" t="n">
        <v>4041.84</v>
      </c>
      <c r="J352" s="1" t="str">
        <f aca="false">VLOOKUP(B352,Customers!$A$2:$G$502,6,FALSE())</f>
        <v>Small Business</v>
      </c>
      <c r="K352" s="1" t="str">
        <f aca="false">VLOOKUP(C352,Products!$A$2:$E$62,3,FALSE())</f>
        <v>Office Supplies</v>
      </c>
      <c r="L352" s="1" t="str">
        <f aca="false">TEXT(D352,"yyyy-mm")</f>
        <v>2024-09</v>
      </c>
    </row>
    <row r="353" customFormat="false" ht="15" hidden="false" customHeight="true" outlineLevel="0" collapsed="false">
      <c r="A353" s="1" t="n">
        <v>359</v>
      </c>
      <c r="B353" s="1" t="n">
        <v>242</v>
      </c>
      <c r="C353" s="1" t="n">
        <v>59</v>
      </c>
      <c r="D353" s="1" t="s">
        <v>1394</v>
      </c>
      <c r="E353" s="1" t="n">
        <v>9</v>
      </c>
      <c r="F353" s="1" t="n">
        <v>438.89</v>
      </c>
      <c r="G353" s="1" t="n">
        <v>0.1</v>
      </c>
      <c r="H353" s="1" t="s">
        <v>1346</v>
      </c>
      <c r="I353" s="1" t="n">
        <v>3555.01</v>
      </c>
      <c r="J353" s="1" t="str">
        <f aca="false">VLOOKUP(B353,Customers!$A$2:$G$502,6,FALSE())</f>
        <v>Corporate</v>
      </c>
      <c r="K353" s="1" t="str">
        <f aca="false">VLOOKUP(C353,Products!$A$2:$E$62,3,FALSE())</f>
        <v>Furniture</v>
      </c>
      <c r="L353" s="1" t="str">
        <f aca="false">TEXT(D353,"yyyy-mm")</f>
        <v>2023-12</v>
      </c>
    </row>
    <row r="354" customFormat="false" ht="15" hidden="false" customHeight="true" outlineLevel="0" collapsed="false">
      <c r="A354" s="1" t="n">
        <v>360</v>
      </c>
      <c r="B354" s="1" t="n">
        <v>24</v>
      </c>
      <c r="C354" s="1" t="n">
        <v>1</v>
      </c>
      <c r="D354" s="1" t="s">
        <v>1443</v>
      </c>
      <c r="E354" s="1" t="n">
        <v>2</v>
      </c>
      <c r="F354" s="1" t="n">
        <v>327.32</v>
      </c>
      <c r="G354" s="1" t="n">
        <v>0.1</v>
      </c>
      <c r="H354" s="1" t="s">
        <v>1336</v>
      </c>
      <c r="I354" s="1" t="n">
        <v>589.18</v>
      </c>
      <c r="J354" s="1" t="str">
        <f aca="false">VLOOKUP(B354,Customers!$A$2:$G$502,6,FALSE())</f>
        <v>Consumer</v>
      </c>
      <c r="K354" s="1" t="str">
        <f aca="false">VLOOKUP(C354,Products!$A$2:$E$62,3,FALSE())</f>
        <v>Electronics</v>
      </c>
      <c r="L354" s="1" t="str">
        <f aca="false">TEXT(D354,"yyyy-mm")</f>
        <v>2023-09</v>
      </c>
    </row>
    <row r="355" customFormat="false" ht="15" hidden="false" customHeight="true" outlineLevel="0" collapsed="false">
      <c r="A355" s="1" t="n">
        <v>361</v>
      </c>
      <c r="B355" s="1" t="n">
        <v>496</v>
      </c>
      <c r="C355" s="1" t="n">
        <v>58</v>
      </c>
      <c r="D355" s="1" t="s">
        <v>1255</v>
      </c>
      <c r="E355" s="1" t="n">
        <v>2</v>
      </c>
      <c r="F355" s="1" t="n">
        <v>515.55</v>
      </c>
      <c r="G355" s="1" t="n">
        <v>0</v>
      </c>
      <c r="H355" s="1" t="s">
        <v>1336</v>
      </c>
      <c r="I355" s="1" t="n">
        <v>1031.1</v>
      </c>
      <c r="J355" s="1" t="str">
        <f aca="false">VLOOKUP(B355,Customers!$A$2:$G$502,6,FALSE())</f>
        <v>Small Business</v>
      </c>
      <c r="K355" s="1" t="str">
        <f aca="false">VLOOKUP(C355,Products!$A$2:$E$62,3,FALSE())</f>
        <v>Furniture</v>
      </c>
      <c r="L355" s="1" t="str">
        <f aca="false">TEXT(D355,"yyyy-mm")</f>
        <v>2024-07</v>
      </c>
    </row>
    <row r="356" customFormat="false" ht="15" hidden="false" customHeight="true" outlineLevel="0" collapsed="false">
      <c r="A356" s="1" t="n">
        <v>362</v>
      </c>
      <c r="B356" s="1" t="n">
        <v>450</v>
      </c>
      <c r="C356" s="1" t="n">
        <v>30</v>
      </c>
      <c r="D356" s="1" t="s">
        <v>1465</v>
      </c>
      <c r="E356" s="1" t="n">
        <v>5</v>
      </c>
      <c r="F356" s="1" t="n">
        <v>33.32</v>
      </c>
      <c r="G356" s="1" t="n">
        <v>0</v>
      </c>
      <c r="H356" s="1" t="s">
        <v>1336</v>
      </c>
      <c r="I356" s="1" t="n">
        <v>166.6</v>
      </c>
      <c r="J356" s="1" t="str">
        <f aca="false">VLOOKUP(B356,Customers!$A$2:$G$502,6,FALSE())</f>
        <v>Consumer</v>
      </c>
      <c r="K356" s="1" t="str">
        <f aca="false">VLOOKUP(C356,Products!$A$2:$E$62,3,FALSE())</f>
        <v>Office Supplies</v>
      </c>
      <c r="L356" s="1" t="str">
        <f aca="false">TEXT(D356,"yyyy-mm")</f>
        <v>2023-05</v>
      </c>
    </row>
    <row r="357" customFormat="false" ht="15" hidden="false" customHeight="true" outlineLevel="0" collapsed="false">
      <c r="A357" s="1" t="n">
        <v>363</v>
      </c>
      <c r="B357" s="1" t="n">
        <v>23</v>
      </c>
      <c r="C357" s="1" t="n">
        <v>9</v>
      </c>
      <c r="D357" s="1" t="s">
        <v>1466</v>
      </c>
      <c r="E357" s="1" t="n">
        <v>5</v>
      </c>
      <c r="F357" s="1" t="n">
        <v>203.1</v>
      </c>
      <c r="G357" s="1" t="n">
        <v>0.2</v>
      </c>
      <c r="H357" s="1" t="s">
        <v>1370</v>
      </c>
      <c r="I357" s="1" t="n">
        <v>812.4</v>
      </c>
      <c r="J357" s="1" t="str">
        <f aca="false">VLOOKUP(B357,Customers!$A$2:$G$502,6,FALSE())</f>
        <v>Corporate</v>
      </c>
      <c r="K357" s="1" t="str">
        <f aca="false">VLOOKUP(C357,Products!$A$2:$E$62,3,FALSE())</f>
        <v>Electronics</v>
      </c>
      <c r="L357" s="1" t="str">
        <f aca="false">TEXT(D357,"yyyy-mm")</f>
        <v>2024-05</v>
      </c>
    </row>
    <row r="358" customFormat="false" ht="15" hidden="false" customHeight="true" outlineLevel="0" collapsed="false">
      <c r="A358" s="1" t="n">
        <v>364</v>
      </c>
      <c r="B358" s="1" t="n">
        <v>463</v>
      </c>
      <c r="C358" s="1" t="n">
        <v>57</v>
      </c>
      <c r="D358" s="1" t="s">
        <v>1467</v>
      </c>
      <c r="E358" s="1" t="n">
        <v>6</v>
      </c>
      <c r="F358" s="1" t="n">
        <v>719.76</v>
      </c>
      <c r="G358" s="1" t="n">
        <v>0.1</v>
      </c>
      <c r="H358" s="1" t="s">
        <v>1336</v>
      </c>
      <c r="I358" s="1" t="n">
        <v>3886.7</v>
      </c>
      <c r="J358" s="1" t="str">
        <f aca="false">VLOOKUP(B358,Customers!$A$2:$G$502,6,FALSE())</f>
        <v>Consumer</v>
      </c>
      <c r="K358" s="1" t="str">
        <f aca="false">VLOOKUP(C358,Products!$A$2:$E$62,3,FALSE())</f>
        <v>Furniture</v>
      </c>
      <c r="L358" s="1" t="str">
        <f aca="false">TEXT(D358,"yyyy-mm")</f>
        <v>2023-09</v>
      </c>
    </row>
    <row r="359" customFormat="false" ht="15" hidden="false" customHeight="true" outlineLevel="0" collapsed="false">
      <c r="A359" s="1" t="n">
        <v>365</v>
      </c>
      <c r="B359" s="1" t="n">
        <v>85</v>
      </c>
      <c r="C359" s="1" t="n">
        <v>21</v>
      </c>
      <c r="D359" s="1" t="s">
        <v>1348</v>
      </c>
      <c r="E359" s="1" t="n">
        <v>3</v>
      </c>
      <c r="F359" s="1" t="n">
        <v>84.91</v>
      </c>
      <c r="G359" s="1" t="n">
        <v>0.2</v>
      </c>
      <c r="H359" s="1" t="s">
        <v>1370</v>
      </c>
      <c r="I359" s="1" t="n">
        <v>203.78</v>
      </c>
      <c r="J359" s="1" t="str">
        <f aca="false">VLOOKUP(B359,Customers!$A$2:$G$502,6,FALSE())</f>
        <v>Consumer</v>
      </c>
      <c r="K359" s="1" t="str">
        <f aca="false">VLOOKUP(C359,Products!$A$2:$E$62,3,FALSE())</f>
        <v>Office Supplies</v>
      </c>
      <c r="L359" s="1" t="str">
        <f aca="false">TEXT(D359,"yyyy-mm")</f>
        <v>2024-05</v>
      </c>
    </row>
    <row r="360" customFormat="false" ht="15" hidden="false" customHeight="true" outlineLevel="0" collapsed="false">
      <c r="A360" s="1" t="n">
        <v>366</v>
      </c>
      <c r="B360" s="1" t="n">
        <v>226</v>
      </c>
      <c r="C360" s="1" t="n">
        <v>4</v>
      </c>
      <c r="D360" s="1" t="s">
        <v>1345</v>
      </c>
      <c r="E360" s="1" t="n">
        <v>8</v>
      </c>
      <c r="F360" s="1" t="n">
        <v>56.24</v>
      </c>
      <c r="G360" s="1" t="n">
        <v>0</v>
      </c>
      <c r="H360" s="1" t="s">
        <v>1336</v>
      </c>
      <c r="I360" s="1" t="n">
        <v>449.92</v>
      </c>
      <c r="J360" s="1" t="str">
        <f aca="false">VLOOKUP(B360,Customers!$A$2:$G$502,6,FALSE())</f>
        <v>Corporate</v>
      </c>
      <c r="K360" s="1" t="str">
        <f aca="false">VLOOKUP(C360,Products!$A$2:$E$62,3,FALSE())</f>
        <v>Electronics</v>
      </c>
      <c r="L360" s="1" t="str">
        <f aca="false">TEXT(D360,"yyyy-mm")</f>
        <v>2023-07</v>
      </c>
    </row>
    <row r="361" customFormat="false" ht="15" hidden="false" customHeight="true" outlineLevel="0" collapsed="false">
      <c r="A361" s="1" t="n">
        <v>367</v>
      </c>
      <c r="B361" s="1" t="n">
        <v>240</v>
      </c>
      <c r="C361" s="1" t="n">
        <v>28</v>
      </c>
      <c r="D361" s="1" t="s">
        <v>365</v>
      </c>
      <c r="E361" s="1" t="n">
        <v>1</v>
      </c>
      <c r="F361" s="1" t="n">
        <v>505.23</v>
      </c>
      <c r="G361" s="1" t="n">
        <v>0.05</v>
      </c>
      <c r="H361" s="1" t="s">
        <v>1336</v>
      </c>
      <c r="I361" s="1" t="n">
        <v>479.97</v>
      </c>
      <c r="J361" s="1" t="str">
        <f aca="false">VLOOKUP(B361,Customers!$A$2:$G$502,6,FALSE())</f>
        <v>Corporate</v>
      </c>
      <c r="K361" s="1" t="str">
        <f aca="false">VLOOKUP(C361,Products!$A$2:$E$62,3,FALSE())</f>
        <v>Office Supplies</v>
      </c>
      <c r="L361" s="1" t="str">
        <f aca="false">TEXT(D361,"yyyy-mm")</f>
        <v>2023-04</v>
      </c>
    </row>
    <row r="362" customFormat="false" ht="15" hidden="false" customHeight="true" outlineLevel="0" collapsed="false">
      <c r="A362" s="1" t="n">
        <v>368</v>
      </c>
      <c r="B362" s="1" t="n">
        <v>253</v>
      </c>
      <c r="C362" s="1" t="n">
        <v>8</v>
      </c>
      <c r="D362" s="1" t="s">
        <v>1468</v>
      </c>
      <c r="E362" s="1" t="n">
        <v>6</v>
      </c>
      <c r="F362" s="1" t="n">
        <v>104.4</v>
      </c>
      <c r="G362" s="1" t="n">
        <v>0</v>
      </c>
      <c r="H362" s="1" t="s">
        <v>1336</v>
      </c>
      <c r="I362" s="1" t="n">
        <v>626.4</v>
      </c>
      <c r="J362" s="1" t="str">
        <f aca="false">VLOOKUP(B362,Customers!$A$2:$G$502,6,FALSE())</f>
        <v>Consumer</v>
      </c>
      <c r="K362" s="1" t="str">
        <f aca="false">VLOOKUP(C362,Products!$A$2:$E$62,3,FALSE())</f>
        <v>Electronics</v>
      </c>
      <c r="L362" s="1" t="str">
        <f aca="false">TEXT(D362,"yyyy-mm")</f>
        <v>2023-06</v>
      </c>
    </row>
    <row r="363" customFormat="false" ht="15" hidden="false" customHeight="true" outlineLevel="0" collapsed="false">
      <c r="A363" s="1" t="n">
        <v>369</v>
      </c>
      <c r="B363" s="1" t="n">
        <v>384</v>
      </c>
      <c r="C363" s="1" t="n">
        <v>33</v>
      </c>
      <c r="D363" s="1" t="s">
        <v>1397</v>
      </c>
      <c r="E363" s="1" t="n">
        <v>4</v>
      </c>
      <c r="F363" s="1" t="n">
        <v>190.1</v>
      </c>
      <c r="G363" s="1" t="n">
        <v>0.1</v>
      </c>
      <c r="H363" s="1" t="s">
        <v>1346</v>
      </c>
      <c r="I363" s="1" t="n">
        <v>684.36</v>
      </c>
      <c r="J363" s="1" t="str">
        <f aca="false">VLOOKUP(B363,Customers!$A$2:$G$502,6,FALSE())</f>
        <v>Corporate</v>
      </c>
      <c r="K363" s="1" t="str">
        <f aca="false">VLOOKUP(C363,Products!$A$2:$E$62,3,FALSE())</f>
        <v>Office Supplies</v>
      </c>
      <c r="L363" s="1" t="str">
        <f aca="false">TEXT(D363,"yyyy-mm")</f>
        <v>2023-10</v>
      </c>
    </row>
    <row r="364" customFormat="false" ht="15" hidden="false" customHeight="true" outlineLevel="0" collapsed="false">
      <c r="A364" s="1" t="n">
        <v>370</v>
      </c>
      <c r="B364" s="1" t="n">
        <v>270</v>
      </c>
      <c r="C364" s="1" t="n">
        <v>50</v>
      </c>
      <c r="D364" s="1" t="s">
        <v>1367</v>
      </c>
      <c r="E364" s="1" t="n">
        <v>1</v>
      </c>
      <c r="F364" s="1" t="n">
        <v>19.73</v>
      </c>
      <c r="G364" s="1" t="n">
        <v>0</v>
      </c>
      <c r="H364" s="1" t="s">
        <v>1336</v>
      </c>
      <c r="I364" s="1" t="n">
        <v>19.73</v>
      </c>
      <c r="J364" s="1" t="str">
        <f aca="false">VLOOKUP(B364,Customers!$A$2:$G$502,6,FALSE())</f>
        <v>Small Business</v>
      </c>
      <c r="K364" s="1" t="str">
        <f aca="false">VLOOKUP(C364,Products!$A$2:$E$62,3,FALSE())</f>
        <v>Software</v>
      </c>
      <c r="L364" s="1" t="str">
        <f aca="false">TEXT(D364,"yyyy-mm")</f>
        <v>2024-08</v>
      </c>
    </row>
    <row r="365" customFormat="false" ht="15" hidden="false" customHeight="true" outlineLevel="0" collapsed="false">
      <c r="A365" s="1" t="n">
        <v>371</v>
      </c>
      <c r="B365" s="1" t="n">
        <v>455</v>
      </c>
      <c r="C365" s="1" t="n">
        <v>22</v>
      </c>
      <c r="D365" s="1" t="s">
        <v>413</v>
      </c>
      <c r="E365" s="1" t="n">
        <v>7</v>
      </c>
      <c r="F365" s="1" t="n">
        <v>38.57</v>
      </c>
      <c r="G365" s="1" t="n">
        <v>0</v>
      </c>
      <c r="H365" s="1" t="s">
        <v>1336</v>
      </c>
      <c r="I365" s="1" t="n">
        <v>269.99</v>
      </c>
      <c r="J365" s="1" t="str">
        <f aca="false">VLOOKUP(B365,Customers!$A$2:$G$502,6,FALSE())</f>
        <v>Consumer</v>
      </c>
      <c r="K365" s="1" t="str">
        <f aca="false">VLOOKUP(C365,Products!$A$2:$E$62,3,FALSE())</f>
        <v>Office Supplies</v>
      </c>
      <c r="L365" s="1" t="str">
        <f aca="false">TEXT(D365,"yyyy-mm")</f>
        <v>2023-01</v>
      </c>
    </row>
    <row r="366" customFormat="false" ht="15" hidden="false" customHeight="true" outlineLevel="0" collapsed="false">
      <c r="A366" s="1" t="n">
        <v>372</v>
      </c>
      <c r="B366" s="1" t="n">
        <v>488</v>
      </c>
      <c r="C366" s="1" t="n">
        <v>7</v>
      </c>
      <c r="D366" s="1" t="s">
        <v>1469</v>
      </c>
      <c r="E366" s="1" t="n">
        <v>9</v>
      </c>
      <c r="F366" s="1" t="n">
        <v>460</v>
      </c>
      <c r="G366" s="1" t="n">
        <v>0</v>
      </c>
      <c r="H366" s="1" t="s">
        <v>1336</v>
      </c>
      <c r="I366" s="1" t="n">
        <v>4140</v>
      </c>
      <c r="J366" s="1" t="str">
        <f aca="false">VLOOKUP(B366,Customers!$A$2:$G$502,6,FALSE())</f>
        <v>Consumer</v>
      </c>
      <c r="K366" s="1" t="str">
        <f aca="false">VLOOKUP(C366,Products!$A$2:$E$62,3,FALSE())</f>
        <v>Electronics</v>
      </c>
      <c r="L366" s="1" t="str">
        <f aca="false">TEXT(D366,"yyyy-mm")</f>
        <v>2023-11</v>
      </c>
    </row>
    <row r="367" customFormat="false" ht="15" hidden="false" customHeight="true" outlineLevel="0" collapsed="false">
      <c r="A367" s="1" t="n">
        <v>373</v>
      </c>
      <c r="B367" s="1" t="n">
        <v>322</v>
      </c>
      <c r="C367" s="1" t="n">
        <v>18</v>
      </c>
      <c r="D367" s="1" t="s">
        <v>1371</v>
      </c>
      <c r="E367" s="1" t="n">
        <v>4</v>
      </c>
      <c r="F367" s="1" t="n">
        <v>747.34</v>
      </c>
      <c r="G367" s="1" t="n">
        <v>0.15</v>
      </c>
      <c r="H367" s="1" t="s">
        <v>1336</v>
      </c>
      <c r="I367" s="1" t="n">
        <v>2540.96</v>
      </c>
      <c r="J367" s="1" t="str">
        <f aca="false">VLOOKUP(B367,Customers!$A$2:$G$502,6,FALSE())</f>
        <v>Consumer</v>
      </c>
      <c r="K367" s="1" t="str">
        <f aca="false">VLOOKUP(C367,Products!$A$2:$E$62,3,FALSE())</f>
        <v>Electronics</v>
      </c>
      <c r="L367" s="1" t="str">
        <f aca="false">TEXT(D367,"yyyy-mm")</f>
        <v>2024-08</v>
      </c>
    </row>
    <row r="368" customFormat="false" ht="15" hidden="false" customHeight="true" outlineLevel="0" collapsed="false">
      <c r="A368" s="1" t="n">
        <v>374</v>
      </c>
      <c r="B368" s="1" t="n">
        <v>167</v>
      </c>
      <c r="C368" s="1" t="n">
        <v>47</v>
      </c>
      <c r="D368" s="1" t="s">
        <v>870</v>
      </c>
      <c r="E368" s="1" t="n">
        <v>4</v>
      </c>
      <c r="F368" s="1" t="n">
        <v>506.19</v>
      </c>
      <c r="G368" s="1" t="n">
        <v>0</v>
      </c>
      <c r="H368" s="1" t="s">
        <v>1336</v>
      </c>
      <c r="I368" s="1" t="n">
        <v>2024.76</v>
      </c>
      <c r="J368" s="1" t="str">
        <f aca="false">VLOOKUP(B368,Customers!$A$2:$G$502,6,FALSE())</f>
        <v>Unknown</v>
      </c>
      <c r="K368" s="1" t="str">
        <f aca="false">VLOOKUP(C368,Products!$A$2:$E$62,3,FALSE())</f>
        <v>Software</v>
      </c>
      <c r="L368" s="1" t="str">
        <f aca="false">TEXT(D368,"yyyy-mm")</f>
        <v>2024-08</v>
      </c>
    </row>
    <row r="369" customFormat="false" ht="15" hidden="false" customHeight="true" outlineLevel="0" collapsed="false">
      <c r="A369" s="1" t="n">
        <v>375</v>
      </c>
      <c r="B369" s="1" t="n">
        <v>29</v>
      </c>
      <c r="C369" s="1" t="n">
        <v>48</v>
      </c>
      <c r="D369" s="1" t="s">
        <v>1470</v>
      </c>
      <c r="E369" s="1" t="n">
        <v>6</v>
      </c>
      <c r="F369" s="1" t="n">
        <v>493.53</v>
      </c>
      <c r="G369" s="1" t="n">
        <v>0.1</v>
      </c>
      <c r="H369" s="1" t="s">
        <v>1370</v>
      </c>
      <c r="I369" s="1" t="n">
        <v>2665.06</v>
      </c>
      <c r="J369" s="1" t="str">
        <f aca="false">VLOOKUP(B369,Customers!$A$2:$G$502,6,FALSE())</f>
        <v>Small Business</v>
      </c>
      <c r="K369" s="1" t="str">
        <f aca="false">VLOOKUP(C369,Products!$A$2:$E$62,3,FALSE())</f>
        <v>Software</v>
      </c>
      <c r="L369" s="1" t="str">
        <f aca="false">TEXT(D369,"yyyy-mm")</f>
        <v>2023-03</v>
      </c>
    </row>
    <row r="370" customFormat="false" ht="15" hidden="false" customHeight="true" outlineLevel="0" collapsed="false">
      <c r="A370" s="1" t="n">
        <v>376</v>
      </c>
      <c r="B370" s="1" t="n">
        <v>495</v>
      </c>
      <c r="C370" s="1" t="n">
        <v>50</v>
      </c>
      <c r="D370" s="1" t="s">
        <v>575</v>
      </c>
      <c r="E370" s="1" t="n">
        <v>3</v>
      </c>
      <c r="F370" s="1" t="n">
        <v>19.73</v>
      </c>
      <c r="G370" s="1" t="n">
        <v>0</v>
      </c>
      <c r="H370" s="1" t="s">
        <v>1336</v>
      </c>
      <c r="I370" s="1" t="n">
        <v>59.19</v>
      </c>
      <c r="J370" s="1" t="str">
        <f aca="false">VLOOKUP(B370,Customers!$A$2:$G$502,6,FALSE())</f>
        <v>Small Business</v>
      </c>
      <c r="K370" s="1" t="str">
        <f aca="false">VLOOKUP(C370,Products!$A$2:$E$62,3,FALSE())</f>
        <v>Software</v>
      </c>
      <c r="L370" s="1" t="str">
        <f aca="false">TEXT(D370,"yyyy-mm")</f>
        <v>2024-02</v>
      </c>
    </row>
    <row r="371" customFormat="false" ht="15" hidden="false" customHeight="true" outlineLevel="0" collapsed="false">
      <c r="A371" s="1" t="n">
        <v>377</v>
      </c>
      <c r="B371" s="1" t="n">
        <v>332</v>
      </c>
      <c r="C371" s="1" t="n">
        <v>49</v>
      </c>
      <c r="D371" s="1" t="s">
        <v>1471</v>
      </c>
      <c r="E371" s="1" t="n">
        <v>6</v>
      </c>
      <c r="F371" s="1" t="n">
        <v>325.17</v>
      </c>
      <c r="G371" s="1" t="n">
        <v>0</v>
      </c>
      <c r="H371" s="1" t="s">
        <v>1336</v>
      </c>
      <c r="I371" s="1" t="n">
        <v>1951.02</v>
      </c>
      <c r="J371" s="1" t="str">
        <f aca="false">VLOOKUP(B371,Customers!$A$2:$G$502,6,FALSE())</f>
        <v>Consumer</v>
      </c>
      <c r="K371" s="1" t="str">
        <f aca="false">VLOOKUP(C371,Products!$A$2:$E$62,3,FALSE())</f>
        <v>Software</v>
      </c>
      <c r="L371" s="1" t="str">
        <f aca="false">TEXT(D371,"yyyy-mm")</f>
        <v>2024-10</v>
      </c>
    </row>
    <row r="372" customFormat="false" ht="15" hidden="false" customHeight="true" outlineLevel="0" collapsed="false">
      <c r="A372" s="1" t="n">
        <v>378</v>
      </c>
      <c r="B372" s="1" t="n">
        <v>159</v>
      </c>
      <c r="C372" s="1" t="n">
        <v>58</v>
      </c>
      <c r="D372" s="1" t="s">
        <v>513</v>
      </c>
      <c r="E372" s="1" t="n">
        <v>7</v>
      </c>
      <c r="F372" s="1" t="n">
        <v>515.55</v>
      </c>
      <c r="G372" s="1" t="n">
        <v>0.1</v>
      </c>
      <c r="H372" s="1" t="s">
        <v>1336</v>
      </c>
      <c r="I372" s="1" t="n">
        <v>3247.96</v>
      </c>
      <c r="J372" s="1" t="str">
        <f aca="false">VLOOKUP(B372,Customers!$A$2:$G$502,6,FALSE())</f>
        <v>Corporate</v>
      </c>
      <c r="K372" s="1" t="str">
        <f aca="false">VLOOKUP(C372,Products!$A$2:$E$62,3,FALSE())</f>
        <v>Furniture</v>
      </c>
      <c r="L372" s="1" t="str">
        <f aca="false">TEXT(D372,"yyyy-mm")</f>
        <v>2024-12</v>
      </c>
    </row>
    <row r="373" customFormat="false" ht="15" hidden="false" customHeight="true" outlineLevel="0" collapsed="false">
      <c r="A373" s="1" t="n">
        <v>379</v>
      </c>
      <c r="B373" s="1" t="n">
        <v>251</v>
      </c>
      <c r="C373" s="1" t="n">
        <v>29</v>
      </c>
      <c r="D373" s="1" t="s">
        <v>935</v>
      </c>
      <c r="E373" s="1" t="n">
        <v>3</v>
      </c>
      <c r="F373" s="1" t="n">
        <v>54.62</v>
      </c>
      <c r="G373" s="1" t="n">
        <v>0.05</v>
      </c>
      <c r="H373" s="1" t="s">
        <v>1336</v>
      </c>
      <c r="I373" s="1" t="n">
        <v>155.67</v>
      </c>
      <c r="J373" s="1" t="str">
        <f aca="false">VLOOKUP(B373,Customers!$A$2:$G$502,6,FALSE())</f>
        <v>Small Business</v>
      </c>
      <c r="K373" s="1" t="str">
        <f aca="false">VLOOKUP(C373,Products!$A$2:$E$62,3,FALSE())</f>
        <v>Office Supplies</v>
      </c>
      <c r="L373" s="1" t="str">
        <f aca="false">TEXT(D373,"yyyy-mm")</f>
        <v>2024-02</v>
      </c>
    </row>
    <row r="374" customFormat="false" ht="15" hidden="false" customHeight="true" outlineLevel="0" collapsed="false">
      <c r="A374" s="1" t="n">
        <v>380</v>
      </c>
      <c r="B374" s="1" t="n">
        <v>189</v>
      </c>
      <c r="C374" s="1" t="n">
        <v>40</v>
      </c>
      <c r="D374" s="1" t="s">
        <v>1472</v>
      </c>
      <c r="E374" s="1" t="n">
        <v>7</v>
      </c>
      <c r="F374" s="1" t="n">
        <v>193.02</v>
      </c>
      <c r="G374" s="1" t="n">
        <v>0.05</v>
      </c>
      <c r="H374" s="1" t="s">
        <v>1336</v>
      </c>
      <c r="I374" s="1" t="n">
        <v>1283.58</v>
      </c>
      <c r="J374" s="1" t="str">
        <f aca="false">VLOOKUP(B374,Customers!$A$2:$G$502,6,FALSE())</f>
        <v>Small Business</v>
      </c>
      <c r="K374" s="1" t="str">
        <f aca="false">VLOOKUP(C374,Products!$A$2:$E$62,3,FALSE())</f>
        <v>Software</v>
      </c>
      <c r="L374" s="1" t="str">
        <f aca="false">TEXT(D374,"yyyy-mm")</f>
        <v>2023-07</v>
      </c>
    </row>
    <row r="375" customFormat="false" ht="15" hidden="false" customHeight="true" outlineLevel="0" collapsed="false">
      <c r="A375" s="1" t="n">
        <v>381</v>
      </c>
      <c r="B375" s="1" t="n">
        <v>347</v>
      </c>
      <c r="C375" s="1" t="n">
        <v>15</v>
      </c>
      <c r="D375" s="1" t="s">
        <v>232</v>
      </c>
      <c r="E375" s="1" t="n">
        <v>3</v>
      </c>
      <c r="F375" s="1" t="n">
        <v>304.95</v>
      </c>
      <c r="G375" s="1" t="n">
        <v>0.15</v>
      </c>
      <c r="H375" s="1" t="s">
        <v>1336</v>
      </c>
      <c r="I375" s="1" t="n">
        <v>777.62</v>
      </c>
      <c r="J375" s="1" t="str">
        <f aca="false">VLOOKUP(B375,Customers!$A$2:$G$502,6,FALSE())</f>
        <v>Small Business</v>
      </c>
      <c r="K375" s="1" t="str">
        <f aca="false">VLOOKUP(C375,Products!$A$2:$E$62,3,FALSE())</f>
        <v>Electronics</v>
      </c>
      <c r="L375" s="1" t="str">
        <f aca="false">TEXT(D375,"yyyy-mm")</f>
        <v>2024-10</v>
      </c>
    </row>
    <row r="376" customFormat="false" ht="15" hidden="false" customHeight="true" outlineLevel="0" collapsed="false">
      <c r="A376" s="1" t="n">
        <v>382</v>
      </c>
      <c r="B376" s="1" t="n">
        <v>43</v>
      </c>
      <c r="C376" s="1" t="n">
        <v>19</v>
      </c>
      <c r="D376" s="1" t="s">
        <v>1473</v>
      </c>
      <c r="E376" s="1" t="n">
        <v>2</v>
      </c>
      <c r="F376" s="1" t="n">
        <v>163.64</v>
      </c>
      <c r="G376" s="1" t="n">
        <v>0.05</v>
      </c>
      <c r="H376" s="1" t="s">
        <v>1336</v>
      </c>
      <c r="I376" s="1" t="n">
        <v>310.92</v>
      </c>
      <c r="J376" s="1" t="str">
        <f aca="false">VLOOKUP(B376,Customers!$A$2:$G$502,6,FALSE())</f>
        <v>Small Business</v>
      </c>
      <c r="K376" s="1" t="str">
        <f aca="false">VLOOKUP(C376,Products!$A$2:$E$62,3,FALSE())</f>
        <v>Office Supplies</v>
      </c>
      <c r="L376" s="1" t="str">
        <f aca="false">TEXT(D376,"yyyy-mm")</f>
        <v>2024-04</v>
      </c>
    </row>
    <row r="377" customFormat="false" ht="15" hidden="false" customHeight="true" outlineLevel="0" collapsed="false">
      <c r="A377" s="1" t="n">
        <v>383</v>
      </c>
      <c r="B377" s="1" t="n">
        <v>351</v>
      </c>
      <c r="C377" s="1" t="n">
        <v>58</v>
      </c>
      <c r="D377" s="1" t="s">
        <v>689</v>
      </c>
      <c r="E377" s="1" t="n">
        <v>4</v>
      </c>
      <c r="F377" s="1" t="n">
        <v>515.55</v>
      </c>
      <c r="G377" s="1" t="n">
        <v>0.2</v>
      </c>
      <c r="H377" s="1" t="s">
        <v>1336</v>
      </c>
      <c r="I377" s="1" t="n">
        <v>1649.76</v>
      </c>
      <c r="J377" s="1" t="str">
        <f aca="false">VLOOKUP(B377,Customers!$A$2:$G$502,6,FALSE())</f>
        <v>Small Business</v>
      </c>
      <c r="K377" s="1" t="str">
        <f aca="false">VLOOKUP(C377,Products!$A$2:$E$62,3,FALSE())</f>
        <v>Furniture</v>
      </c>
      <c r="L377" s="1" t="str">
        <f aca="false">TEXT(D377,"yyyy-mm")</f>
        <v>2023-11</v>
      </c>
    </row>
    <row r="378" customFormat="false" ht="15" hidden="false" customHeight="true" outlineLevel="0" collapsed="false">
      <c r="A378" s="1" t="n">
        <v>384</v>
      </c>
      <c r="B378" s="1" t="n">
        <v>470</v>
      </c>
      <c r="C378" s="1" t="n">
        <v>3</v>
      </c>
      <c r="D378" s="1" t="s">
        <v>704</v>
      </c>
      <c r="E378" s="1" t="n">
        <v>8</v>
      </c>
      <c r="F378" s="1" t="n">
        <v>89.39</v>
      </c>
      <c r="G378" s="1" t="n">
        <v>0</v>
      </c>
      <c r="H378" s="1" t="s">
        <v>1336</v>
      </c>
      <c r="I378" s="1" t="n">
        <v>715.12</v>
      </c>
      <c r="J378" s="1" t="str">
        <f aca="false">VLOOKUP(B378,Customers!$A$2:$G$502,6,FALSE())</f>
        <v>Corporate</v>
      </c>
      <c r="K378" s="1" t="str">
        <f aca="false">VLOOKUP(C378,Products!$A$2:$E$62,3,FALSE())</f>
        <v>Electronics</v>
      </c>
      <c r="L378" s="1" t="str">
        <f aca="false">TEXT(D378,"yyyy-mm")</f>
        <v>2024-06</v>
      </c>
    </row>
    <row r="379" customFormat="false" ht="15" hidden="false" customHeight="true" outlineLevel="0" collapsed="false">
      <c r="A379" s="1" t="n">
        <v>385</v>
      </c>
      <c r="B379" s="1" t="n">
        <v>417</v>
      </c>
      <c r="C379" s="1" t="n">
        <v>17</v>
      </c>
      <c r="D379" s="1" t="s">
        <v>44</v>
      </c>
      <c r="E379" s="1" t="n">
        <v>9</v>
      </c>
      <c r="F379" s="1" t="n">
        <v>65.61</v>
      </c>
      <c r="G379" s="1" t="n">
        <v>0</v>
      </c>
      <c r="H379" s="1" t="s">
        <v>1336</v>
      </c>
      <c r="I379" s="1" t="n">
        <v>590.49</v>
      </c>
      <c r="J379" s="1" t="str">
        <f aca="false">VLOOKUP(B379,Customers!$A$2:$G$502,6,FALSE())</f>
        <v>Consumer</v>
      </c>
      <c r="K379" s="1" t="str">
        <f aca="false">VLOOKUP(C379,Products!$A$2:$E$62,3,FALSE())</f>
        <v>Electronics</v>
      </c>
      <c r="L379" s="1" t="str">
        <f aca="false">TEXT(D379,"yyyy-mm")</f>
        <v>2023-12</v>
      </c>
    </row>
    <row r="380" customFormat="false" ht="15" hidden="false" customHeight="true" outlineLevel="0" collapsed="false">
      <c r="A380" s="1" t="n">
        <v>386</v>
      </c>
      <c r="B380" s="1" t="n">
        <v>237</v>
      </c>
      <c r="C380" s="1" t="n">
        <v>12</v>
      </c>
      <c r="D380" s="1" t="s">
        <v>1474</v>
      </c>
      <c r="E380" s="1" t="n">
        <v>7</v>
      </c>
      <c r="F380" s="1" t="n">
        <v>179.23</v>
      </c>
      <c r="G380" s="1" t="n">
        <v>0.2</v>
      </c>
      <c r="H380" s="1" t="s">
        <v>1336</v>
      </c>
      <c r="I380" s="1" t="n">
        <v>1003.69</v>
      </c>
      <c r="J380" s="1" t="str">
        <f aca="false">VLOOKUP(B380,Customers!$A$2:$G$502,6,FALSE())</f>
        <v>Consumer</v>
      </c>
      <c r="K380" s="1" t="str">
        <f aca="false">VLOOKUP(C380,Products!$A$2:$E$62,3,FALSE())</f>
        <v>Electronics</v>
      </c>
      <c r="L380" s="1" t="str">
        <f aca="false">TEXT(D380,"yyyy-mm")</f>
        <v>2023-07</v>
      </c>
    </row>
    <row r="381" customFormat="false" ht="15" hidden="false" customHeight="true" outlineLevel="0" collapsed="false">
      <c r="A381" s="1" t="n">
        <v>387</v>
      </c>
      <c r="B381" s="1" t="n">
        <v>301</v>
      </c>
      <c r="C381" s="1" t="n">
        <v>47</v>
      </c>
      <c r="D381" s="1" t="s">
        <v>1202</v>
      </c>
      <c r="E381" s="1" t="n">
        <v>1</v>
      </c>
      <c r="F381" s="1" t="n">
        <v>506.19</v>
      </c>
      <c r="G381" s="1" t="n">
        <v>0.2</v>
      </c>
      <c r="H381" s="1" t="s">
        <v>1336</v>
      </c>
      <c r="I381" s="1" t="n">
        <v>404.95</v>
      </c>
      <c r="J381" s="1" t="str">
        <f aca="false">VLOOKUP(B381,Customers!$A$2:$G$502,6,FALSE())</f>
        <v>Corporate</v>
      </c>
      <c r="K381" s="1" t="str">
        <f aca="false">VLOOKUP(C381,Products!$A$2:$E$62,3,FALSE())</f>
        <v>Software</v>
      </c>
      <c r="L381" s="1" t="str">
        <f aca="false">TEXT(D381,"yyyy-mm")</f>
        <v>2024-04</v>
      </c>
    </row>
    <row r="382" customFormat="false" ht="15" hidden="false" customHeight="true" outlineLevel="0" collapsed="false">
      <c r="A382" s="1" t="n">
        <v>388</v>
      </c>
      <c r="B382" s="1" t="n">
        <v>447</v>
      </c>
      <c r="C382" s="1" t="n">
        <v>52</v>
      </c>
      <c r="D382" s="1" t="s">
        <v>505</v>
      </c>
      <c r="E382" s="1" t="n">
        <v>3</v>
      </c>
      <c r="F382" s="1" t="n">
        <v>207.67</v>
      </c>
      <c r="G382" s="1" t="n">
        <v>0</v>
      </c>
      <c r="H382" s="1" t="s">
        <v>1336</v>
      </c>
      <c r="I382" s="1" t="n">
        <v>623.01</v>
      </c>
      <c r="J382" s="1" t="str">
        <f aca="false">VLOOKUP(B382,Customers!$A$2:$G$502,6,FALSE())</f>
        <v>Small Business</v>
      </c>
      <c r="K382" s="1" t="str">
        <f aca="false">VLOOKUP(C382,Products!$A$2:$E$62,3,FALSE())</f>
        <v>Software</v>
      </c>
      <c r="L382" s="1" t="str">
        <f aca="false">TEXT(D382,"yyyy-mm")</f>
        <v>2023-07</v>
      </c>
    </row>
    <row r="383" customFormat="false" ht="15" hidden="false" customHeight="true" outlineLevel="0" collapsed="false">
      <c r="A383" s="1" t="n">
        <v>389</v>
      </c>
      <c r="B383" s="1" t="n">
        <v>55</v>
      </c>
      <c r="C383" s="1" t="n">
        <v>28</v>
      </c>
      <c r="D383" s="1" t="s">
        <v>846</v>
      </c>
      <c r="E383" s="1" t="n">
        <v>9</v>
      </c>
      <c r="F383" s="1" t="n">
        <v>505.23</v>
      </c>
      <c r="G383" s="1" t="n">
        <v>0</v>
      </c>
      <c r="H383" s="1" t="s">
        <v>1336</v>
      </c>
      <c r="I383" s="1" t="n">
        <v>4547.07</v>
      </c>
      <c r="J383" s="1" t="str">
        <f aca="false">VLOOKUP(B383,Customers!$A$2:$G$502,6,FALSE())</f>
        <v>Consumer</v>
      </c>
      <c r="K383" s="1" t="str">
        <f aca="false">VLOOKUP(C383,Products!$A$2:$E$62,3,FALSE())</f>
        <v>Office Supplies</v>
      </c>
      <c r="L383" s="1" t="str">
        <f aca="false">TEXT(D383,"yyyy-mm")</f>
        <v>2024-07</v>
      </c>
    </row>
    <row r="384" customFormat="false" ht="15" hidden="false" customHeight="true" outlineLevel="0" collapsed="false">
      <c r="A384" s="1" t="n">
        <v>390</v>
      </c>
      <c r="B384" s="1" t="n">
        <v>355</v>
      </c>
      <c r="C384" s="1" t="n">
        <v>26</v>
      </c>
      <c r="D384" s="1" t="s">
        <v>1454</v>
      </c>
      <c r="E384" s="1" t="n">
        <v>1</v>
      </c>
      <c r="F384" s="1" t="n">
        <v>733.85</v>
      </c>
      <c r="G384" s="1" t="n">
        <v>0.15</v>
      </c>
      <c r="H384" s="1" t="s">
        <v>1336</v>
      </c>
      <c r="I384" s="1" t="n">
        <v>623.77</v>
      </c>
      <c r="J384" s="1" t="str">
        <f aca="false">VLOOKUP(B384,Customers!$A$2:$G$502,6,FALSE())</f>
        <v>Corporate</v>
      </c>
      <c r="K384" s="1" t="str">
        <f aca="false">VLOOKUP(C384,Products!$A$2:$E$62,3,FALSE())</f>
        <v>Office Supplies</v>
      </c>
      <c r="L384" s="1" t="str">
        <f aca="false">TEXT(D384,"yyyy-mm")</f>
        <v>2024-11</v>
      </c>
    </row>
    <row r="385" customFormat="false" ht="15" hidden="false" customHeight="true" outlineLevel="0" collapsed="false">
      <c r="A385" s="1" t="n">
        <v>391</v>
      </c>
      <c r="B385" s="1" t="n">
        <v>185</v>
      </c>
      <c r="C385" s="1" t="n">
        <v>45</v>
      </c>
      <c r="D385" s="1" t="s">
        <v>97</v>
      </c>
      <c r="E385" s="1" t="n">
        <v>9</v>
      </c>
      <c r="F385" s="1" t="n">
        <v>560.01</v>
      </c>
      <c r="G385" s="1" t="n">
        <v>0.15</v>
      </c>
      <c r="H385" s="1" t="s">
        <v>1336</v>
      </c>
      <c r="I385" s="1" t="n">
        <v>4284.08</v>
      </c>
      <c r="J385" s="1" t="str">
        <f aca="false">VLOOKUP(B385,Customers!$A$2:$G$502,6,FALSE())</f>
        <v>Consumer</v>
      </c>
      <c r="K385" s="1" t="str">
        <f aca="false">VLOOKUP(C385,Products!$A$2:$E$62,3,FALSE())</f>
        <v>Software</v>
      </c>
      <c r="L385" s="1" t="str">
        <f aca="false">TEXT(D385,"yyyy-mm")</f>
        <v>2024-11</v>
      </c>
    </row>
    <row r="386" customFormat="false" ht="15" hidden="false" customHeight="true" outlineLevel="0" collapsed="false">
      <c r="A386" s="1" t="n">
        <v>392</v>
      </c>
      <c r="B386" s="1" t="n">
        <v>98</v>
      </c>
      <c r="C386" s="1" t="n">
        <v>8</v>
      </c>
      <c r="D386" s="1" t="s">
        <v>503</v>
      </c>
      <c r="E386" s="1" t="n">
        <v>8</v>
      </c>
      <c r="F386" s="1" t="n">
        <v>104.4</v>
      </c>
      <c r="G386" s="1" t="n">
        <v>0.15</v>
      </c>
      <c r="H386" s="1" t="s">
        <v>1370</v>
      </c>
      <c r="I386" s="1" t="n">
        <v>709.92</v>
      </c>
      <c r="J386" s="1" t="str">
        <f aca="false">VLOOKUP(B386,Customers!$A$2:$G$502,6,FALSE())</f>
        <v>Corporate</v>
      </c>
      <c r="K386" s="1" t="str">
        <f aca="false">VLOOKUP(C386,Products!$A$2:$E$62,3,FALSE())</f>
        <v>Electronics</v>
      </c>
      <c r="L386" s="1" t="str">
        <f aca="false">TEXT(D386,"yyyy-mm")</f>
        <v>2023-01</v>
      </c>
    </row>
    <row r="387" customFormat="false" ht="15" hidden="false" customHeight="true" outlineLevel="0" collapsed="false">
      <c r="A387" s="1" t="n">
        <v>393</v>
      </c>
      <c r="B387" s="1" t="n">
        <v>333</v>
      </c>
      <c r="C387" s="1" t="n">
        <v>16</v>
      </c>
      <c r="D387" s="1" t="s">
        <v>1475</v>
      </c>
      <c r="E387" s="1" t="n">
        <v>1</v>
      </c>
      <c r="F387" s="1" t="n">
        <v>330.91</v>
      </c>
      <c r="G387" s="1" t="n">
        <v>0.2</v>
      </c>
      <c r="H387" s="1" t="s">
        <v>1336</v>
      </c>
      <c r="I387" s="1" t="n">
        <v>264.73</v>
      </c>
      <c r="J387" s="1" t="str">
        <f aca="false">VLOOKUP(B387,Customers!$A$2:$G$502,6,FALSE())</f>
        <v>Consumer</v>
      </c>
      <c r="K387" s="1" t="str">
        <f aca="false">VLOOKUP(C387,Products!$A$2:$E$62,3,FALSE())</f>
        <v>Electronics</v>
      </c>
      <c r="L387" s="1" t="str">
        <f aca="false">TEXT(D387,"yyyy-mm")</f>
        <v>2024-03</v>
      </c>
    </row>
    <row r="388" customFormat="false" ht="15" hidden="false" customHeight="true" outlineLevel="0" collapsed="false">
      <c r="A388" s="1" t="n">
        <v>394</v>
      </c>
      <c r="B388" s="1" t="n">
        <v>238</v>
      </c>
      <c r="C388" s="1" t="n">
        <v>10</v>
      </c>
      <c r="D388" s="1" t="s">
        <v>1383</v>
      </c>
      <c r="E388" s="1" t="n">
        <v>6</v>
      </c>
      <c r="F388" s="1" t="n">
        <v>251.58</v>
      </c>
      <c r="G388" s="1" t="n">
        <v>0.05</v>
      </c>
      <c r="H388" s="1" t="s">
        <v>1336</v>
      </c>
      <c r="I388" s="1" t="n">
        <v>1434.01</v>
      </c>
      <c r="J388" s="1" t="str">
        <f aca="false">VLOOKUP(B388,Customers!$A$2:$G$502,6,FALSE())</f>
        <v>Corporate</v>
      </c>
      <c r="K388" s="1" t="str">
        <f aca="false">VLOOKUP(C388,Products!$A$2:$E$62,3,FALSE())</f>
        <v>Electronics</v>
      </c>
      <c r="L388" s="1" t="str">
        <f aca="false">TEXT(D388,"yyyy-mm")</f>
        <v>2024-04</v>
      </c>
    </row>
    <row r="389" customFormat="false" ht="15" hidden="false" customHeight="true" outlineLevel="0" collapsed="false">
      <c r="A389" s="1" t="n">
        <v>395</v>
      </c>
      <c r="B389" s="1" t="n">
        <v>494</v>
      </c>
      <c r="C389" s="1" t="n">
        <v>32</v>
      </c>
      <c r="D389" s="1" t="s">
        <v>1423</v>
      </c>
      <c r="E389" s="1" t="n">
        <v>5</v>
      </c>
      <c r="F389" s="1" t="n">
        <v>492.27</v>
      </c>
      <c r="G389" s="1" t="n">
        <v>0</v>
      </c>
      <c r="H389" s="1" t="s">
        <v>1336</v>
      </c>
      <c r="I389" s="1" t="n">
        <v>2461.35</v>
      </c>
      <c r="J389" s="1" t="str">
        <f aca="false">VLOOKUP(B389,Customers!$A$2:$G$502,6,FALSE())</f>
        <v>Corporate</v>
      </c>
      <c r="K389" s="1" t="str">
        <f aca="false">VLOOKUP(C389,Products!$A$2:$E$62,3,FALSE())</f>
        <v>Office Supplies</v>
      </c>
      <c r="L389" s="1" t="str">
        <f aca="false">TEXT(D389,"yyyy-mm")</f>
        <v>2024-04</v>
      </c>
    </row>
    <row r="390" customFormat="false" ht="15" hidden="false" customHeight="true" outlineLevel="0" collapsed="false">
      <c r="A390" s="1" t="n">
        <v>396</v>
      </c>
      <c r="B390" s="1" t="n">
        <v>427</v>
      </c>
      <c r="C390" s="1" t="n">
        <v>26</v>
      </c>
      <c r="D390" s="1" t="s">
        <v>408</v>
      </c>
      <c r="E390" s="1" t="n">
        <v>6</v>
      </c>
      <c r="F390" s="1" t="n">
        <v>733.85</v>
      </c>
      <c r="G390" s="1" t="n">
        <v>0</v>
      </c>
      <c r="H390" s="1" t="s">
        <v>1336</v>
      </c>
      <c r="I390" s="1" t="n">
        <v>4403.1</v>
      </c>
      <c r="J390" s="1" t="str">
        <f aca="false">VLOOKUP(B390,Customers!$A$2:$G$502,6,FALSE())</f>
        <v>Small Business</v>
      </c>
      <c r="K390" s="1" t="str">
        <f aca="false">VLOOKUP(C390,Products!$A$2:$E$62,3,FALSE())</f>
        <v>Office Supplies</v>
      </c>
      <c r="L390" s="1" t="str">
        <f aca="false">TEXT(D390,"yyyy-mm")</f>
        <v>2023-02</v>
      </c>
    </row>
    <row r="391" customFormat="false" ht="15" hidden="false" customHeight="true" outlineLevel="0" collapsed="false">
      <c r="A391" s="1" t="n">
        <v>397</v>
      </c>
      <c r="B391" s="1" t="n">
        <v>435</v>
      </c>
      <c r="C391" s="1" t="n">
        <v>32</v>
      </c>
      <c r="D391" s="1" t="s">
        <v>1205</v>
      </c>
      <c r="E391" s="1" t="n">
        <v>5</v>
      </c>
      <c r="F391" s="1" t="n">
        <v>492.27</v>
      </c>
      <c r="G391" s="1" t="n">
        <v>0.1</v>
      </c>
      <c r="H391" s="1" t="s">
        <v>1336</v>
      </c>
      <c r="I391" s="1" t="n">
        <v>2215.22</v>
      </c>
      <c r="J391" s="1" t="str">
        <f aca="false">VLOOKUP(B391,Customers!$A$2:$G$502,6,FALSE())</f>
        <v>Unknown</v>
      </c>
      <c r="K391" s="1" t="str">
        <f aca="false">VLOOKUP(C391,Products!$A$2:$E$62,3,FALSE())</f>
        <v>Office Supplies</v>
      </c>
      <c r="L391" s="1" t="str">
        <f aca="false">TEXT(D391,"yyyy-mm")</f>
        <v>2024-08</v>
      </c>
    </row>
    <row r="392" customFormat="false" ht="15" hidden="false" customHeight="true" outlineLevel="0" collapsed="false">
      <c r="A392" s="1" t="n">
        <v>398</v>
      </c>
      <c r="B392" s="1" t="n">
        <v>263</v>
      </c>
      <c r="C392" s="1" t="n">
        <v>38</v>
      </c>
      <c r="D392" s="1" t="s">
        <v>1476</v>
      </c>
      <c r="E392" s="1" t="n">
        <v>6</v>
      </c>
      <c r="F392" s="1" t="n">
        <v>521.63</v>
      </c>
      <c r="G392" s="1" t="n">
        <v>0.15</v>
      </c>
      <c r="H392" s="1" t="s">
        <v>1346</v>
      </c>
      <c r="I392" s="1" t="n">
        <v>2660.31</v>
      </c>
      <c r="J392" s="1" t="str">
        <f aca="false">VLOOKUP(B392,Customers!$A$2:$G$502,6,FALSE())</f>
        <v>Consumer</v>
      </c>
      <c r="K392" s="1" t="str">
        <f aca="false">VLOOKUP(C392,Products!$A$2:$E$62,3,FALSE())</f>
        <v>Software</v>
      </c>
      <c r="L392" s="1" t="str">
        <f aca="false">TEXT(D392,"yyyy-mm")</f>
        <v>2024-09</v>
      </c>
    </row>
    <row r="393" customFormat="false" ht="15" hidden="false" customHeight="true" outlineLevel="0" collapsed="false">
      <c r="A393" s="1" t="n">
        <v>399</v>
      </c>
      <c r="B393" s="1" t="n">
        <v>10</v>
      </c>
      <c r="C393" s="1" t="n">
        <v>28</v>
      </c>
      <c r="D393" s="1" t="s">
        <v>1477</v>
      </c>
      <c r="E393" s="1" t="n">
        <v>5</v>
      </c>
      <c r="F393" s="1" t="n">
        <v>505.23</v>
      </c>
      <c r="G393" s="1" t="n">
        <v>0</v>
      </c>
      <c r="H393" s="1" t="s">
        <v>1336</v>
      </c>
      <c r="I393" s="1" t="n">
        <v>2526.15</v>
      </c>
      <c r="J393" s="1" t="str">
        <f aca="false">VLOOKUP(B393,Customers!$A$2:$G$502,6,FALSE())</f>
        <v>Small Business</v>
      </c>
      <c r="K393" s="1" t="str">
        <f aca="false">VLOOKUP(C393,Products!$A$2:$E$62,3,FALSE())</f>
        <v>Office Supplies</v>
      </c>
      <c r="L393" s="1" t="str">
        <f aca="false">TEXT(D393,"yyyy-mm")</f>
        <v>2024-08</v>
      </c>
    </row>
    <row r="394" customFormat="false" ht="15" hidden="false" customHeight="true" outlineLevel="0" collapsed="false">
      <c r="A394" s="1" t="n">
        <v>400</v>
      </c>
      <c r="B394" s="1" t="n">
        <v>60</v>
      </c>
      <c r="C394" s="1" t="n">
        <v>32</v>
      </c>
      <c r="D394" s="1" t="s">
        <v>1478</v>
      </c>
      <c r="E394" s="1" t="n">
        <v>5</v>
      </c>
      <c r="F394" s="1" t="n">
        <v>492.27</v>
      </c>
      <c r="G394" s="1" t="n">
        <v>0</v>
      </c>
      <c r="H394" s="1" t="s">
        <v>1336</v>
      </c>
      <c r="I394" s="1" t="n">
        <v>2461.35</v>
      </c>
      <c r="J394" s="1" t="str">
        <f aca="false">VLOOKUP(B394,Customers!$A$2:$G$502,6,FALSE())</f>
        <v>Corporate</v>
      </c>
      <c r="K394" s="1" t="str">
        <f aca="false">VLOOKUP(C394,Products!$A$2:$E$62,3,FALSE())</f>
        <v>Office Supplies</v>
      </c>
      <c r="L394" s="1" t="str">
        <f aca="false">TEXT(D394,"yyyy-mm")</f>
        <v>2024-09</v>
      </c>
    </row>
    <row r="395" customFormat="false" ht="15" hidden="false" customHeight="true" outlineLevel="0" collapsed="false">
      <c r="A395" s="1" t="n">
        <v>401</v>
      </c>
      <c r="B395" s="1" t="n">
        <v>99</v>
      </c>
      <c r="C395" s="1" t="n">
        <v>31</v>
      </c>
      <c r="D395" s="1" t="s">
        <v>1402</v>
      </c>
      <c r="E395" s="1" t="n">
        <v>4</v>
      </c>
      <c r="F395" s="1" t="n">
        <v>224.86</v>
      </c>
      <c r="G395" s="1" t="n">
        <v>0.05</v>
      </c>
      <c r="H395" s="1" t="s">
        <v>1336</v>
      </c>
      <c r="I395" s="1" t="n">
        <v>854.47</v>
      </c>
      <c r="J395" s="1" t="str">
        <f aca="false">VLOOKUP(B395,Customers!$A$2:$G$502,6,FALSE())</f>
        <v>Small Business</v>
      </c>
      <c r="K395" s="1" t="str">
        <f aca="false">VLOOKUP(C395,Products!$A$2:$E$62,3,FALSE())</f>
        <v>Office Supplies</v>
      </c>
      <c r="L395" s="1" t="str">
        <f aca="false">TEXT(D395,"yyyy-mm")</f>
        <v>2023-12</v>
      </c>
    </row>
    <row r="396" customFormat="false" ht="15" hidden="false" customHeight="true" outlineLevel="0" collapsed="false">
      <c r="A396" s="1" t="n">
        <v>402</v>
      </c>
      <c r="B396" s="1" t="n">
        <v>309</v>
      </c>
      <c r="C396" s="1" t="n">
        <v>55</v>
      </c>
      <c r="D396" s="1" t="s">
        <v>467</v>
      </c>
      <c r="E396" s="1" t="n">
        <v>3</v>
      </c>
      <c r="F396" s="1" t="n">
        <v>123.38</v>
      </c>
      <c r="G396" s="1" t="n">
        <v>0.05</v>
      </c>
      <c r="H396" s="1" t="s">
        <v>1336</v>
      </c>
      <c r="I396" s="1" t="n">
        <v>351.63</v>
      </c>
      <c r="J396" s="1" t="str">
        <f aca="false">VLOOKUP(B396,Customers!$A$2:$G$502,6,FALSE())</f>
        <v>Unknown</v>
      </c>
      <c r="K396" s="1" t="str">
        <f aca="false">VLOOKUP(C396,Products!$A$2:$E$62,3,FALSE())</f>
        <v>Furniture</v>
      </c>
      <c r="L396" s="1" t="str">
        <f aca="false">TEXT(D396,"yyyy-mm")</f>
        <v>2024-11</v>
      </c>
    </row>
    <row r="397" customFormat="false" ht="15" hidden="false" customHeight="true" outlineLevel="0" collapsed="false">
      <c r="A397" s="1" t="n">
        <v>403</v>
      </c>
      <c r="B397" s="1" t="n">
        <v>427</v>
      </c>
      <c r="C397" s="1" t="n">
        <v>44</v>
      </c>
      <c r="D397" s="1" t="s">
        <v>1479</v>
      </c>
      <c r="E397" s="1" t="n">
        <v>3</v>
      </c>
      <c r="F397" s="1" t="n">
        <v>508.26</v>
      </c>
      <c r="G397" s="1" t="n">
        <v>0.15</v>
      </c>
      <c r="H397" s="1" t="s">
        <v>1336</v>
      </c>
      <c r="I397" s="1" t="n">
        <v>1296.06</v>
      </c>
      <c r="J397" s="1" t="str">
        <f aca="false">VLOOKUP(B397,Customers!$A$2:$G$502,6,FALSE())</f>
        <v>Small Business</v>
      </c>
      <c r="K397" s="1" t="str">
        <f aca="false">VLOOKUP(C397,Products!$A$2:$E$62,3,FALSE())</f>
        <v>Software</v>
      </c>
      <c r="L397" s="1" t="str">
        <f aca="false">TEXT(D397,"yyyy-mm")</f>
        <v>2024-10</v>
      </c>
    </row>
    <row r="398" customFormat="false" ht="15" hidden="false" customHeight="true" outlineLevel="0" collapsed="false">
      <c r="A398" s="1" t="n">
        <v>404</v>
      </c>
      <c r="B398" s="1" t="n">
        <v>107</v>
      </c>
      <c r="C398" s="1" t="n">
        <v>19</v>
      </c>
      <c r="D398" s="1" t="s">
        <v>1456</v>
      </c>
      <c r="E398" s="1" t="n">
        <v>4</v>
      </c>
      <c r="F398" s="1" t="n">
        <v>163.64</v>
      </c>
      <c r="G398" s="1" t="n">
        <v>0.15</v>
      </c>
      <c r="H398" s="1" t="s">
        <v>1336</v>
      </c>
      <c r="I398" s="1" t="n">
        <v>556.38</v>
      </c>
      <c r="J398" s="1" t="str">
        <f aca="false">VLOOKUP(B398,Customers!$A$2:$G$502,6,FALSE())</f>
        <v>Consumer</v>
      </c>
      <c r="K398" s="1" t="str">
        <f aca="false">VLOOKUP(C398,Products!$A$2:$E$62,3,FALSE())</f>
        <v>Office Supplies</v>
      </c>
      <c r="L398" s="1" t="str">
        <f aca="false">TEXT(D398,"yyyy-mm")</f>
        <v>2024-12</v>
      </c>
    </row>
    <row r="399" customFormat="false" ht="15" hidden="false" customHeight="true" outlineLevel="0" collapsed="false">
      <c r="A399" s="1" t="n">
        <v>406</v>
      </c>
      <c r="B399" s="1" t="n">
        <v>452</v>
      </c>
      <c r="C399" s="1" t="n">
        <v>17</v>
      </c>
      <c r="D399" s="1" t="s">
        <v>1480</v>
      </c>
      <c r="E399" s="1" t="n">
        <v>2</v>
      </c>
      <c r="F399" s="1" t="n">
        <v>65.61</v>
      </c>
      <c r="G399" s="1" t="n">
        <v>0.15</v>
      </c>
      <c r="H399" s="1" t="s">
        <v>1336</v>
      </c>
      <c r="I399" s="1" t="n">
        <v>111.54</v>
      </c>
      <c r="J399" s="1" t="str">
        <f aca="false">VLOOKUP(B399,Customers!$A$2:$G$502,6,FALSE())</f>
        <v>Consumer</v>
      </c>
      <c r="K399" s="1" t="str">
        <f aca="false">VLOOKUP(C399,Products!$A$2:$E$62,3,FALSE())</f>
        <v>Electronics</v>
      </c>
      <c r="L399" s="1" t="str">
        <f aca="false">TEXT(D399,"yyyy-mm")</f>
        <v>2024-01</v>
      </c>
    </row>
    <row r="400" customFormat="false" ht="15" hidden="false" customHeight="true" outlineLevel="0" collapsed="false">
      <c r="A400" s="1" t="n">
        <v>407</v>
      </c>
      <c r="B400" s="1" t="n">
        <v>33</v>
      </c>
      <c r="C400" s="1" t="n">
        <v>22</v>
      </c>
      <c r="D400" s="1" t="s">
        <v>399</v>
      </c>
      <c r="E400" s="1" t="n">
        <v>9</v>
      </c>
      <c r="F400" s="1" t="n">
        <v>38.57</v>
      </c>
      <c r="G400" s="1" t="n">
        <v>0</v>
      </c>
      <c r="H400" s="1" t="s">
        <v>1336</v>
      </c>
      <c r="I400" s="1" t="n">
        <v>347.13</v>
      </c>
      <c r="J400" s="1" t="str">
        <f aca="false">VLOOKUP(B400,Customers!$A$2:$G$502,6,FALSE())</f>
        <v>Corporate</v>
      </c>
      <c r="K400" s="1" t="str">
        <f aca="false">VLOOKUP(C400,Products!$A$2:$E$62,3,FALSE())</f>
        <v>Office Supplies</v>
      </c>
      <c r="L400" s="1" t="str">
        <f aca="false">TEXT(D400,"yyyy-mm")</f>
        <v>2024-03</v>
      </c>
    </row>
    <row r="401" customFormat="false" ht="15" hidden="false" customHeight="true" outlineLevel="0" collapsed="false">
      <c r="A401" s="1" t="n">
        <v>408</v>
      </c>
      <c r="B401" s="1" t="n">
        <v>175</v>
      </c>
      <c r="C401" s="1" t="n">
        <v>51</v>
      </c>
      <c r="D401" s="1" t="s">
        <v>44</v>
      </c>
      <c r="E401" s="1" t="n">
        <v>1</v>
      </c>
      <c r="F401" s="1" t="n">
        <v>30.16</v>
      </c>
      <c r="G401" s="1" t="n">
        <v>0.2</v>
      </c>
      <c r="H401" s="1" t="s">
        <v>1336</v>
      </c>
      <c r="I401" s="1" t="n">
        <v>24.13</v>
      </c>
      <c r="J401" s="1" t="str">
        <f aca="false">VLOOKUP(B401,Customers!$A$2:$G$502,6,FALSE())</f>
        <v>Consumer</v>
      </c>
      <c r="K401" s="1" t="str">
        <f aca="false">VLOOKUP(C401,Products!$A$2:$E$62,3,FALSE())</f>
        <v>Software</v>
      </c>
      <c r="L401" s="1" t="str">
        <f aca="false">TEXT(D401,"yyyy-mm")</f>
        <v>2023-12</v>
      </c>
    </row>
    <row r="402" customFormat="false" ht="15" hidden="false" customHeight="true" outlineLevel="0" collapsed="false">
      <c r="A402" s="1" t="n">
        <v>409</v>
      </c>
      <c r="B402" s="1" t="n">
        <v>354</v>
      </c>
      <c r="C402" s="1" t="n">
        <v>56</v>
      </c>
      <c r="D402" s="1" t="s">
        <v>645</v>
      </c>
      <c r="E402" s="1" t="n">
        <v>1</v>
      </c>
      <c r="F402" s="1" t="n">
        <v>160.64</v>
      </c>
      <c r="G402" s="1" t="n">
        <v>0.1</v>
      </c>
      <c r="H402" s="1" t="s">
        <v>1336</v>
      </c>
      <c r="I402" s="1" t="n">
        <v>144.58</v>
      </c>
      <c r="J402" s="1" t="str">
        <f aca="false">VLOOKUP(B402,Customers!$A$2:$G$502,6,FALSE())</f>
        <v>Consumer</v>
      </c>
      <c r="K402" s="1" t="str">
        <f aca="false">VLOOKUP(C402,Products!$A$2:$E$62,3,FALSE())</f>
        <v>Furniture</v>
      </c>
      <c r="L402" s="1" t="str">
        <f aca="false">TEXT(D402,"yyyy-mm")</f>
        <v>2024-06</v>
      </c>
    </row>
    <row r="403" customFormat="false" ht="15" hidden="false" customHeight="true" outlineLevel="0" collapsed="false">
      <c r="A403" s="1" t="n">
        <v>410</v>
      </c>
      <c r="B403" s="1" t="n">
        <v>235</v>
      </c>
      <c r="C403" s="1" t="n">
        <v>54</v>
      </c>
      <c r="D403" s="1" t="s">
        <v>946</v>
      </c>
      <c r="E403" s="1" t="n">
        <v>5</v>
      </c>
      <c r="F403" s="1" t="n">
        <v>312.01</v>
      </c>
      <c r="G403" s="1" t="n">
        <v>0</v>
      </c>
      <c r="H403" s="1" t="s">
        <v>1336</v>
      </c>
      <c r="I403" s="1" t="n">
        <v>1560.05</v>
      </c>
      <c r="J403" s="1" t="str">
        <f aca="false">VLOOKUP(B403,Customers!$A$2:$G$502,6,FALSE())</f>
        <v>Small Business</v>
      </c>
      <c r="K403" s="1" t="str">
        <f aca="false">VLOOKUP(C403,Products!$A$2:$E$62,3,FALSE())</f>
        <v>Software</v>
      </c>
      <c r="L403" s="1" t="str">
        <f aca="false">TEXT(D403,"yyyy-mm")</f>
        <v>2023-04</v>
      </c>
    </row>
    <row r="404" customFormat="false" ht="15" hidden="false" customHeight="true" outlineLevel="0" collapsed="false">
      <c r="A404" s="1" t="n">
        <v>411</v>
      </c>
      <c r="B404" s="1" t="n">
        <v>288</v>
      </c>
      <c r="C404" s="1" t="n">
        <v>3</v>
      </c>
      <c r="D404" s="1" t="s">
        <v>1481</v>
      </c>
      <c r="E404" s="1" t="n">
        <v>6</v>
      </c>
      <c r="F404" s="1" t="n">
        <v>89.39</v>
      </c>
      <c r="G404" s="1" t="n">
        <v>0</v>
      </c>
      <c r="H404" s="1" t="s">
        <v>1336</v>
      </c>
      <c r="I404" s="1" t="n">
        <v>536.34</v>
      </c>
      <c r="J404" s="1" t="str">
        <f aca="false">VLOOKUP(B404,Customers!$A$2:$G$502,6,FALSE())</f>
        <v>Small Business</v>
      </c>
      <c r="K404" s="1" t="str">
        <f aca="false">VLOOKUP(C404,Products!$A$2:$E$62,3,FALSE())</f>
        <v>Electronics</v>
      </c>
      <c r="L404" s="1" t="str">
        <f aca="false">TEXT(D404,"yyyy-mm")</f>
        <v>2024-06</v>
      </c>
    </row>
    <row r="405" customFormat="false" ht="15" hidden="false" customHeight="true" outlineLevel="0" collapsed="false">
      <c r="A405" s="1" t="n">
        <v>412</v>
      </c>
      <c r="B405" s="1" t="n">
        <v>373</v>
      </c>
      <c r="C405" s="1" t="n">
        <v>19</v>
      </c>
      <c r="D405" s="1" t="s">
        <v>958</v>
      </c>
      <c r="E405" s="1" t="n">
        <v>6</v>
      </c>
      <c r="F405" s="1" t="n">
        <v>163.64</v>
      </c>
      <c r="G405" s="1" t="n">
        <v>0.05</v>
      </c>
      <c r="H405" s="1" t="s">
        <v>1336</v>
      </c>
      <c r="I405" s="1" t="n">
        <v>932.75</v>
      </c>
      <c r="J405" s="1" t="str">
        <f aca="false">VLOOKUP(B405,Customers!$A$2:$G$502,6,FALSE())</f>
        <v>Corporate</v>
      </c>
      <c r="K405" s="1" t="str">
        <f aca="false">VLOOKUP(C405,Products!$A$2:$E$62,3,FALSE())</f>
        <v>Office Supplies</v>
      </c>
      <c r="L405" s="1" t="str">
        <f aca="false">TEXT(D405,"yyyy-mm")</f>
        <v>2024-12</v>
      </c>
    </row>
    <row r="406" customFormat="false" ht="15" hidden="false" customHeight="true" outlineLevel="0" collapsed="false">
      <c r="A406" s="1" t="n">
        <v>413</v>
      </c>
      <c r="B406" s="1" t="n">
        <v>187</v>
      </c>
      <c r="C406" s="1" t="n">
        <v>22</v>
      </c>
      <c r="D406" s="1" t="s">
        <v>1117</v>
      </c>
      <c r="E406" s="1" t="n">
        <v>3</v>
      </c>
      <c r="F406" s="1" t="n">
        <v>38.57</v>
      </c>
      <c r="G406" s="1" t="n">
        <v>0</v>
      </c>
      <c r="H406" s="1" t="s">
        <v>1336</v>
      </c>
      <c r="I406" s="1" t="n">
        <v>115.71</v>
      </c>
      <c r="J406" s="1" t="str">
        <f aca="false">VLOOKUP(B406,Customers!$A$2:$G$502,6,FALSE())</f>
        <v>Consumer</v>
      </c>
      <c r="K406" s="1" t="str">
        <f aca="false">VLOOKUP(C406,Products!$A$2:$E$62,3,FALSE())</f>
        <v>Office Supplies</v>
      </c>
      <c r="L406" s="1" t="str">
        <f aca="false">TEXT(D406,"yyyy-mm")</f>
        <v>2023-05</v>
      </c>
    </row>
    <row r="407" customFormat="false" ht="15" hidden="false" customHeight="true" outlineLevel="0" collapsed="false">
      <c r="A407" s="1" t="n">
        <v>414</v>
      </c>
      <c r="B407" s="1" t="n">
        <v>126</v>
      </c>
      <c r="C407" s="1" t="n">
        <v>54</v>
      </c>
      <c r="D407" s="1" t="s">
        <v>1383</v>
      </c>
      <c r="E407" s="1" t="n">
        <v>7</v>
      </c>
      <c r="F407" s="1" t="n">
        <v>312.01</v>
      </c>
      <c r="G407" s="1" t="n">
        <v>0</v>
      </c>
      <c r="H407" s="1" t="s">
        <v>1336</v>
      </c>
      <c r="I407" s="1" t="n">
        <v>2184.07</v>
      </c>
      <c r="J407" s="1" t="str">
        <f aca="false">VLOOKUP(B407,Customers!$A$2:$G$502,6,FALSE())</f>
        <v>Small Business</v>
      </c>
      <c r="K407" s="1" t="str">
        <f aca="false">VLOOKUP(C407,Products!$A$2:$E$62,3,FALSE())</f>
        <v>Software</v>
      </c>
      <c r="L407" s="1" t="str">
        <f aca="false">TEXT(D407,"yyyy-mm")</f>
        <v>2024-04</v>
      </c>
    </row>
    <row r="408" customFormat="false" ht="15" hidden="false" customHeight="true" outlineLevel="0" collapsed="false">
      <c r="A408" s="1" t="n">
        <v>415</v>
      </c>
      <c r="B408" s="1" t="n">
        <v>213</v>
      </c>
      <c r="C408" s="1" t="n">
        <v>24</v>
      </c>
      <c r="D408" s="1" t="s">
        <v>1216</v>
      </c>
      <c r="E408" s="1" t="n">
        <v>9</v>
      </c>
      <c r="F408" s="1" t="n">
        <v>207.34</v>
      </c>
      <c r="G408" s="1" t="n">
        <v>0.15</v>
      </c>
      <c r="H408" s="1" t="s">
        <v>1336</v>
      </c>
      <c r="I408" s="1" t="n">
        <v>1586.15</v>
      </c>
      <c r="J408" s="1" t="str">
        <f aca="false">VLOOKUP(B408,Customers!$A$2:$G$502,6,FALSE())</f>
        <v>Small Business</v>
      </c>
      <c r="K408" s="1" t="str">
        <f aca="false">VLOOKUP(C408,Products!$A$2:$E$62,3,FALSE())</f>
        <v>Office Supplies</v>
      </c>
      <c r="L408" s="1" t="str">
        <f aca="false">TEXT(D408,"yyyy-mm")</f>
        <v>2024-10</v>
      </c>
    </row>
    <row r="409" customFormat="false" ht="15" hidden="false" customHeight="true" outlineLevel="0" collapsed="false">
      <c r="A409" s="1" t="n">
        <v>416</v>
      </c>
      <c r="B409" s="1" t="n">
        <v>71</v>
      </c>
      <c r="C409" s="1" t="n">
        <v>52</v>
      </c>
      <c r="D409" s="1" t="s">
        <v>853</v>
      </c>
      <c r="E409" s="1" t="n">
        <v>8</v>
      </c>
      <c r="F409" s="1" t="n">
        <v>207.67</v>
      </c>
      <c r="G409" s="1" t="n">
        <v>0.05</v>
      </c>
      <c r="H409" s="1" t="s">
        <v>1346</v>
      </c>
      <c r="I409" s="1" t="n">
        <v>1578.29</v>
      </c>
      <c r="J409" s="1" t="str">
        <f aca="false">VLOOKUP(B409,Customers!$A$2:$G$502,6,FALSE())</f>
        <v>Corporate</v>
      </c>
      <c r="K409" s="1" t="str">
        <f aca="false">VLOOKUP(C409,Products!$A$2:$E$62,3,FALSE())</f>
        <v>Software</v>
      </c>
      <c r="L409" s="1" t="str">
        <f aca="false">TEXT(D409,"yyyy-mm")</f>
        <v>2024-03</v>
      </c>
    </row>
    <row r="410" customFormat="false" ht="15" hidden="false" customHeight="true" outlineLevel="0" collapsed="false">
      <c r="A410" s="1" t="n">
        <v>417</v>
      </c>
      <c r="B410" s="1" t="n">
        <v>350</v>
      </c>
      <c r="C410" s="1" t="n">
        <v>24</v>
      </c>
      <c r="D410" s="1" t="s">
        <v>745</v>
      </c>
      <c r="E410" s="1" t="n">
        <v>6</v>
      </c>
      <c r="F410" s="1" t="n">
        <v>207.34</v>
      </c>
      <c r="G410" s="1" t="n">
        <v>0.05</v>
      </c>
      <c r="H410" s="1" t="s">
        <v>1336</v>
      </c>
      <c r="I410" s="1" t="n">
        <v>1181.84</v>
      </c>
      <c r="J410" s="1" t="str">
        <f aca="false">VLOOKUP(B410,Customers!$A$2:$G$502,6,FALSE())</f>
        <v>Consumer</v>
      </c>
      <c r="K410" s="1" t="str">
        <f aca="false">VLOOKUP(C410,Products!$A$2:$E$62,3,FALSE())</f>
        <v>Office Supplies</v>
      </c>
      <c r="L410" s="1" t="str">
        <f aca="false">TEXT(D410,"yyyy-mm")</f>
        <v>2023-01</v>
      </c>
    </row>
    <row r="411" customFormat="false" ht="15" hidden="false" customHeight="true" outlineLevel="0" collapsed="false">
      <c r="A411" s="1" t="n">
        <v>418</v>
      </c>
      <c r="B411" s="1" t="n">
        <v>44</v>
      </c>
      <c r="C411" s="1" t="n">
        <v>22</v>
      </c>
      <c r="D411" s="1" t="s">
        <v>863</v>
      </c>
      <c r="E411" s="1" t="n">
        <v>8</v>
      </c>
      <c r="F411" s="1" t="n">
        <v>38.57</v>
      </c>
      <c r="G411" s="1" t="n">
        <v>0.05</v>
      </c>
      <c r="H411" s="1" t="s">
        <v>1370</v>
      </c>
      <c r="I411" s="1" t="n">
        <v>293.13</v>
      </c>
      <c r="J411" s="1" t="str">
        <f aca="false">VLOOKUP(B411,Customers!$A$2:$G$502,6,FALSE())</f>
        <v>Consumer</v>
      </c>
      <c r="K411" s="1" t="str">
        <f aca="false">VLOOKUP(C411,Products!$A$2:$E$62,3,FALSE())</f>
        <v>Office Supplies</v>
      </c>
      <c r="L411" s="1" t="str">
        <f aca="false">TEXT(D411,"yyyy-mm")</f>
        <v>2023-11</v>
      </c>
    </row>
    <row r="412" customFormat="false" ht="15" hidden="false" customHeight="true" outlineLevel="0" collapsed="false">
      <c r="A412" s="1" t="n">
        <v>419</v>
      </c>
      <c r="B412" s="1" t="n">
        <v>339</v>
      </c>
      <c r="C412" s="1" t="n">
        <v>60</v>
      </c>
      <c r="D412" s="1" t="s">
        <v>567</v>
      </c>
      <c r="E412" s="1" t="n">
        <v>5</v>
      </c>
      <c r="F412" s="1" t="n">
        <v>584.98</v>
      </c>
      <c r="G412" s="1" t="n">
        <v>0</v>
      </c>
      <c r="H412" s="1" t="s">
        <v>1346</v>
      </c>
      <c r="I412" s="1" t="n">
        <v>2924.9</v>
      </c>
      <c r="J412" s="1" t="str">
        <f aca="false">VLOOKUP(B412,Customers!$A$2:$G$502,6,FALSE())</f>
        <v>Corporate</v>
      </c>
      <c r="K412" s="1" t="str">
        <f aca="false">VLOOKUP(C412,Products!$A$2:$E$62,3,FALSE())</f>
        <v>Furniture</v>
      </c>
      <c r="L412" s="1" t="str">
        <f aca="false">TEXT(D412,"yyyy-mm")</f>
        <v>2024-10</v>
      </c>
    </row>
    <row r="413" customFormat="false" ht="15" hidden="false" customHeight="true" outlineLevel="0" collapsed="false">
      <c r="A413" s="1" t="n">
        <v>420</v>
      </c>
      <c r="B413" s="1" t="n">
        <v>339</v>
      </c>
      <c r="C413" s="1" t="n">
        <v>57</v>
      </c>
      <c r="D413" s="1" t="s">
        <v>907</v>
      </c>
      <c r="E413" s="1" t="n">
        <v>8</v>
      </c>
      <c r="F413" s="1" t="n">
        <v>719.76</v>
      </c>
      <c r="G413" s="1" t="n">
        <v>0</v>
      </c>
      <c r="H413" s="1" t="s">
        <v>1336</v>
      </c>
      <c r="I413" s="1" t="n">
        <v>5758.08</v>
      </c>
      <c r="J413" s="1" t="str">
        <f aca="false">VLOOKUP(B413,Customers!$A$2:$G$502,6,FALSE())</f>
        <v>Corporate</v>
      </c>
      <c r="K413" s="1" t="str">
        <f aca="false">VLOOKUP(C413,Products!$A$2:$E$62,3,FALSE())</f>
        <v>Furniture</v>
      </c>
      <c r="L413" s="1" t="str">
        <f aca="false">TEXT(D413,"yyyy-mm")</f>
        <v>2024-06</v>
      </c>
    </row>
    <row r="414" customFormat="false" ht="15" hidden="false" customHeight="true" outlineLevel="0" collapsed="false">
      <c r="A414" s="1" t="n">
        <v>421</v>
      </c>
      <c r="B414" s="1" t="n">
        <v>370</v>
      </c>
      <c r="C414" s="1" t="n">
        <v>48</v>
      </c>
      <c r="D414" s="1" t="s">
        <v>1482</v>
      </c>
      <c r="E414" s="1" t="n">
        <v>4</v>
      </c>
      <c r="F414" s="1" t="n">
        <v>493.53</v>
      </c>
      <c r="G414" s="1" t="n">
        <v>0</v>
      </c>
      <c r="H414" s="1" t="s">
        <v>1336</v>
      </c>
      <c r="I414" s="1" t="n">
        <v>1974.12</v>
      </c>
      <c r="J414" s="1" t="str">
        <f aca="false">VLOOKUP(B414,Customers!$A$2:$G$502,6,FALSE())</f>
        <v>Small Business</v>
      </c>
      <c r="K414" s="1" t="str">
        <f aca="false">VLOOKUP(C414,Products!$A$2:$E$62,3,FALSE())</f>
        <v>Software</v>
      </c>
      <c r="L414" s="1" t="str">
        <f aca="false">TEXT(D414,"yyyy-mm")</f>
        <v>2023-11</v>
      </c>
    </row>
    <row r="415" customFormat="false" ht="15" hidden="false" customHeight="true" outlineLevel="0" collapsed="false">
      <c r="A415" s="1" t="n">
        <v>422</v>
      </c>
      <c r="B415" s="1" t="n">
        <v>359</v>
      </c>
      <c r="C415" s="1" t="n">
        <v>26</v>
      </c>
      <c r="D415" s="1" t="s">
        <v>664</v>
      </c>
      <c r="E415" s="1" t="n">
        <v>8</v>
      </c>
      <c r="F415" s="1" t="n">
        <v>733.85</v>
      </c>
      <c r="G415" s="1" t="n">
        <v>0.15</v>
      </c>
      <c r="H415" s="1" t="s">
        <v>1336</v>
      </c>
      <c r="I415" s="1" t="n">
        <v>4990.18</v>
      </c>
      <c r="J415" s="1" t="str">
        <f aca="false">VLOOKUP(B415,Customers!$A$2:$G$502,6,FALSE())</f>
        <v>Small Business</v>
      </c>
      <c r="K415" s="1" t="str">
        <f aca="false">VLOOKUP(C415,Products!$A$2:$E$62,3,FALSE())</f>
        <v>Office Supplies</v>
      </c>
      <c r="L415" s="1" t="str">
        <f aca="false">TEXT(D415,"yyyy-mm")</f>
        <v>2024-04</v>
      </c>
    </row>
    <row r="416" customFormat="false" ht="15" hidden="false" customHeight="true" outlineLevel="0" collapsed="false">
      <c r="A416" s="1" t="n">
        <v>423</v>
      </c>
      <c r="B416" s="1" t="n">
        <v>358</v>
      </c>
      <c r="C416" s="1" t="n">
        <v>23</v>
      </c>
      <c r="D416" s="1" t="s">
        <v>1483</v>
      </c>
      <c r="E416" s="1" t="n">
        <v>2</v>
      </c>
      <c r="F416" s="1" t="n">
        <v>188.73</v>
      </c>
      <c r="G416" s="1" t="n">
        <v>0.05</v>
      </c>
      <c r="H416" s="1" t="s">
        <v>1336</v>
      </c>
      <c r="I416" s="1" t="n">
        <v>358.59</v>
      </c>
      <c r="J416" s="1" t="str">
        <f aca="false">VLOOKUP(B416,Customers!$A$2:$G$502,6,FALSE())</f>
        <v>Corporate</v>
      </c>
      <c r="K416" s="1" t="str">
        <f aca="false">VLOOKUP(C416,Products!$A$2:$E$62,3,FALSE())</f>
        <v>Office Supplies</v>
      </c>
      <c r="L416" s="1" t="str">
        <f aca="false">TEXT(D416,"yyyy-mm")</f>
        <v>2024-10</v>
      </c>
    </row>
    <row r="417" customFormat="false" ht="15" hidden="false" customHeight="true" outlineLevel="0" collapsed="false">
      <c r="A417" s="1" t="n">
        <v>424</v>
      </c>
      <c r="B417" s="1" t="n">
        <v>200</v>
      </c>
      <c r="C417" s="1" t="n">
        <v>47</v>
      </c>
      <c r="D417" s="1" t="s">
        <v>320</v>
      </c>
      <c r="E417" s="1" t="n">
        <v>5</v>
      </c>
      <c r="F417" s="1" t="n">
        <v>506.19</v>
      </c>
      <c r="G417" s="1" t="n">
        <v>0.1</v>
      </c>
      <c r="H417" s="1" t="s">
        <v>1370</v>
      </c>
      <c r="I417" s="1" t="n">
        <v>2277.86</v>
      </c>
      <c r="J417" s="1" t="str">
        <f aca="false">VLOOKUP(B417,Customers!$A$2:$G$502,6,FALSE())</f>
        <v>Small Business</v>
      </c>
      <c r="K417" s="1" t="str">
        <f aca="false">VLOOKUP(C417,Products!$A$2:$E$62,3,FALSE())</f>
        <v>Software</v>
      </c>
      <c r="L417" s="1" t="str">
        <f aca="false">TEXT(D417,"yyyy-mm")</f>
        <v>2023-05</v>
      </c>
    </row>
    <row r="418" customFormat="false" ht="15" hidden="false" customHeight="true" outlineLevel="0" collapsed="false">
      <c r="A418" s="1" t="n">
        <v>425</v>
      </c>
      <c r="B418" s="1" t="n">
        <v>267</v>
      </c>
      <c r="C418" s="1" t="n">
        <v>22</v>
      </c>
      <c r="D418" s="1" t="s">
        <v>363</v>
      </c>
      <c r="E418" s="1" t="n">
        <v>9</v>
      </c>
      <c r="F418" s="1" t="n">
        <v>38.57</v>
      </c>
      <c r="G418" s="1" t="n">
        <v>0</v>
      </c>
      <c r="H418" s="1" t="s">
        <v>1336</v>
      </c>
      <c r="I418" s="1" t="n">
        <v>347.13</v>
      </c>
      <c r="J418" s="1" t="str">
        <f aca="false">VLOOKUP(B418,Customers!$A$2:$G$502,6,FALSE())</f>
        <v>Corporate</v>
      </c>
      <c r="K418" s="1" t="str">
        <f aca="false">VLOOKUP(C418,Products!$A$2:$E$62,3,FALSE())</f>
        <v>Office Supplies</v>
      </c>
      <c r="L418" s="1" t="str">
        <f aca="false">TEXT(D418,"yyyy-mm")</f>
        <v>2024-10</v>
      </c>
    </row>
    <row r="419" customFormat="false" ht="15" hidden="false" customHeight="true" outlineLevel="0" collapsed="false">
      <c r="A419" s="1" t="n">
        <v>426</v>
      </c>
      <c r="B419" s="1" t="n">
        <v>427</v>
      </c>
      <c r="C419" s="1" t="n">
        <v>50</v>
      </c>
      <c r="D419" s="1" t="s">
        <v>1406</v>
      </c>
      <c r="E419" s="1" t="n">
        <v>4</v>
      </c>
      <c r="F419" s="1" t="n">
        <v>19.73</v>
      </c>
      <c r="G419" s="1" t="n">
        <v>0.15</v>
      </c>
      <c r="H419" s="1" t="s">
        <v>1336</v>
      </c>
      <c r="I419" s="1" t="n">
        <v>67.08</v>
      </c>
      <c r="J419" s="1" t="str">
        <f aca="false">VLOOKUP(B419,Customers!$A$2:$G$502,6,FALSE())</f>
        <v>Small Business</v>
      </c>
      <c r="K419" s="1" t="str">
        <f aca="false">VLOOKUP(C419,Products!$A$2:$E$62,3,FALSE())</f>
        <v>Software</v>
      </c>
      <c r="L419" s="1" t="str">
        <f aca="false">TEXT(D419,"yyyy-mm")</f>
        <v>2023-11</v>
      </c>
    </row>
    <row r="420" customFormat="false" ht="15" hidden="false" customHeight="true" outlineLevel="0" collapsed="false">
      <c r="A420" s="1" t="n">
        <v>427</v>
      </c>
      <c r="B420" s="1" t="n">
        <v>133</v>
      </c>
      <c r="C420" s="1" t="n">
        <v>41</v>
      </c>
      <c r="D420" s="1" t="s">
        <v>1481</v>
      </c>
      <c r="E420" s="1" t="n">
        <v>6</v>
      </c>
      <c r="F420" s="1" t="n">
        <v>594.54</v>
      </c>
      <c r="G420" s="1" t="n">
        <v>0</v>
      </c>
      <c r="H420" s="1" t="s">
        <v>1336</v>
      </c>
      <c r="I420" s="1" t="n">
        <v>3567.24</v>
      </c>
      <c r="J420" s="1" t="str">
        <f aca="false">VLOOKUP(B420,Customers!$A$2:$G$502,6,FALSE())</f>
        <v>Consumer</v>
      </c>
      <c r="K420" s="1" t="str">
        <f aca="false">VLOOKUP(C420,Products!$A$2:$E$62,3,FALSE())</f>
        <v>Software</v>
      </c>
      <c r="L420" s="1" t="str">
        <f aca="false">TEXT(D420,"yyyy-mm")</f>
        <v>2024-06</v>
      </c>
    </row>
    <row r="421" customFormat="false" ht="15" hidden="false" customHeight="true" outlineLevel="0" collapsed="false">
      <c r="A421" s="1" t="n">
        <v>428</v>
      </c>
      <c r="B421" s="1" t="n">
        <v>294</v>
      </c>
      <c r="C421" s="1" t="n">
        <v>48</v>
      </c>
      <c r="D421" s="1" t="s">
        <v>1235</v>
      </c>
      <c r="E421" s="1" t="n">
        <v>1</v>
      </c>
      <c r="F421" s="1" t="n">
        <v>493.53</v>
      </c>
      <c r="G421" s="1" t="n">
        <v>0.05</v>
      </c>
      <c r="H421" s="1" t="s">
        <v>1336</v>
      </c>
      <c r="I421" s="1" t="n">
        <v>468.85</v>
      </c>
      <c r="J421" s="1" t="str">
        <f aca="false">VLOOKUP(B421,Customers!$A$2:$G$502,6,FALSE())</f>
        <v>Consumer</v>
      </c>
      <c r="K421" s="1" t="str">
        <f aca="false">VLOOKUP(C421,Products!$A$2:$E$62,3,FALSE())</f>
        <v>Software</v>
      </c>
      <c r="L421" s="1" t="str">
        <f aca="false">TEXT(D421,"yyyy-mm")</f>
        <v>2023-01</v>
      </c>
    </row>
    <row r="422" customFormat="false" ht="15" hidden="false" customHeight="true" outlineLevel="0" collapsed="false">
      <c r="A422" s="1" t="n">
        <v>429</v>
      </c>
      <c r="B422" s="1" t="n">
        <v>366</v>
      </c>
      <c r="C422" s="1" t="n">
        <v>58</v>
      </c>
      <c r="D422" s="1" t="s">
        <v>1484</v>
      </c>
      <c r="E422" s="1" t="n">
        <v>9</v>
      </c>
      <c r="F422" s="1" t="n">
        <v>515.55</v>
      </c>
      <c r="G422" s="1" t="n">
        <v>0.15</v>
      </c>
      <c r="H422" s="1" t="s">
        <v>1336</v>
      </c>
      <c r="I422" s="1" t="n">
        <v>3943.96</v>
      </c>
      <c r="J422" s="1" t="str">
        <f aca="false">VLOOKUP(B422,Customers!$A$2:$G$502,6,FALSE())</f>
        <v>Corporate</v>
      </c>
      <c r="K422" s="1" t="str">
        <f aca="false">VLOOKUP(C422,Products!$A$2:$E$62,3,FALSE())</f>
        <v>Furniture</v>
      </c>
      <c r="L422" s="1" t="str">
        <f aca="false">TEXT(D422,"yyyy-mm")</f>
        <v>2024-10</v>
      </c>
    </row>
    <row r="423" customFormat="false" ht="15" hidden="false" customHeight="true" outlineLevel="0" collapsed="false">
      <c r="A423" s="1" t="n">
        <v>430</v>
      </c>
      <c r="B423" s="1" t="n">
        <v>402</v>
      </c>
      <c r="C423" s="1" t="n">
        <v>53</v>
      </c>
      <c r="D423" s="1" t="s">
        <v>980</v>
      </c>
      <c r="E423" s="1" t="n">
        <v>1</v>
      </c>
      <c r="F423" s="1" t="n">
        <v>509.98</v>
      </c>
      <c r="G423" s="1" t="n">
        <v>0.15</v>
      </c>
      <c r="H423" s="1" t="s">
        <v>1336</v>
      </c>
      <c r="I423" s="1" t="n">
        <v>433.48</v>
      </c>
      <c r="J423" s="1" t="str">
        <f aca="false">VLOOKUP(B423,Customers!$A$2:$G$502,6,FALSE())</f>
        <v>Unknown</v>
      </c>
      <c r="K423" s="1" t="str">
        <f aca="false">VLOOKUP(C423,Products!$A$2:$E$62,3,FALSE())</f>
        <v>Software</v>
      </c>
      <c r="L423" s="1" t="str">
        <f aca="false">TEXT(D423,"yyyy-mm")</f>
        <v>2024-08</v>
      </c>
    </row>
    <row r="424" customFormat="false" ht="15" hidden="false" customHeight="true" outlineLevel="0" collapsed="false">
      <c r="A424" s="1" t="n">
        <v>431</v>
      </c>
      <c r="B424" s="1" t="n">
        <v>265</v>
      </c>
      <c r="C424" s="1" t="n">
        <v>38</v>
      </c>
      <c r="D424" s="1" t="s">
        <v>1485</v>
      </c>
      <c r="E424" s="1" t="n">
        <v>5</v>
      </c>
      <c r="F424" s="1" t="n">
        <v>521.63</v>
      </c>
      <c r="G424" s="1" t="n">
        <v>0.2</v>
      </c>
      <c r="H424" s="1" t="s">
        <v>1336</v>
      </c>
      <c r="I424" s="1" t="n">
        <v>2086.52</v>
      </c>
      <c r="J424" s="1" t="str">
        <f aca="false">VLOOKUP(B424,Customers!$A$2:$G$502,6,FALSE())</f>
        <v>Corporate</v>
      </c>
      <c r="K424" s="1" t="str">
        <f aca="false">VLOOKUP(C424,Products!$A$2:$E$62,3,FALSE())</f>
        <v>Software</v>
      </c>
      <c r="L424" s="1" t="str">
        <f aca="false">TEXT(D424,"yyyy-mm")</f>
        <v>2023-07</v>
      </c>
    </row>
    <row r="425" customFormat="false" ht="15" hidden="false" customHeight="true" outlineLevel="0" collapsed="false">
      <c r="A425" s="1" t="n">
        <v>432</v>
      </c>
      <c r="B425" s="1" t="n">
        <v>211</v>
      </c>
      <c r="C425" s="1" t="n">
        <v>6</v>
      </c>
      <c r="D425" s="1" t="s">
        <v>1395</v>
      </c>
      <c r="E425" s="1" t="n">
        <v>4</v>
      </c>
      <c r="F425" s="1" t="n">
        <v>28.51</v>
      </c>
      <c r="G425" s="1" t="n">
        <v>0</v>
      </c>
      <c r="H425" s="1" t="s">
        <v>1336</v>
      </c>
      <c r="I425" s="1" t="n">
        <v>114.04</v>
      </c>
      <c r="J425" s="1" t="str">
        <f aca="false">VLOOKUP(B425,Customers!$A$2:$G$502,6,FALSE())</f>
        <v>Consumer</v>
      </c>
      <c r="K425" s="1" t="str">
        <f aca="false">VLOOKUP(C425,Products!$A$2:$E$62,3,FALSE())</f>
        <v>Electronics</v>
      </c>
      <c r="L425" s="1" t="str">
        <f aca="false">TEXT(D425,"yyyy-mm")</f>
        <v>2023-04</v>
      </c>
    </row>
    <row r="426" customFormat="false" ht="15" hidden="false" customHeight="true" outlineLevel="0" collapsed="false">
      <c r="A426" s="1" t="n">
        <v>433</v>
      </c>
      <c r="B426" s="1" t="n">
        <v>347</v>
      </c>
      <c r="C426" s="1" t="n">
        <v>34</v>
      </c>
      <c r="D426" s="1" t="s">
        <v>1486</v>
      </c>
      <c r="E426" s="1" t="n">
        <v>3</v>
      </c>
      <c r="F426" s="1" t="n">
        <v>116.85</v>
      </c>
      <c r="G426" s="1" t="n">
        <v>0.1</v>
      </c>
      <c r="H426" s="1" t="s">
        <v>1336</v>
      </c>
      <c r="I426" s="1" t="n">
        <v>315.49</v>
      </c>
      <c r="J426" s="1" t="str">
        <f aca="false">VLOOKUP(B426,Customers!$A$2:$G$502,6,FALSE())</f>
        <v>Small Business</v>
      </c>
      <c r="K426" s="1" t="str">
        <f aca="false">VLOOKUP(C426,Products!$A$2:$E$62,3,FALSE())</f>
        <v>Office Supplies</v>
      </c>
      <c r="L426" s="1" t="str">
        <f aca="false">TEXT(D426,"yyyy-mm")</f>
        <v>2024-02</v>
      </c>
    </row>
    <row r="427" customFormat="false" ht="15" hidden="false" customHeight="true" outlineLevel="0" collapsed="false">
      <c r="A427" s="1" t="n">
        <v>434</v>
      </c>
      <c r="B427" s="1" t="n">
        <v>326</v>
      </c>
      <c r="C427" s="1" t="n">
        <v>28</v>
      </c>
      <c r="D427" s="1" t="s">
        <v>975</v>
      </c>
      <c r="E427" s="1" t="n">
        <v>6</v>
      </c>
      <c r="F427" s="1" t="n">
        <v>505.23</v>
      </c>
      <c r="G427" s="1" t="n">
        <v>0.15</v>
      </c>
      <c r="H427" s="1" t="s">
        <v>1346</v>
      </c>
      <c r="I427" s="1" t="n">
        <v>2576.67</v>
      </c>
      <c r="J427" s="1" t="str">
        <f aca="false">VLOOKUP(B427,Customers!$A$2:$G$502,6,FALSE())</f>
        <v>Corporate</v>
      </c>
      <c r="K427" s="1" t="str">
        <f aca="false">VLOOKUP(C427,Products!$A$2:$E$62,3,FALSE())</f>
        <v>Office Supplies</v>
      </c>
      <c r="L427" s="1" t="str">
        <f aca="false">TEXT(D427,"yyyy-mm")</f>
        <v>2024-03</v>
      </c>
    </row>
    <row r="428" customFormat="false" ht="15" hidden="false" customHeight="true" outlineLevel="0" collapsed="false">
      <c r="A428" s="1" t="n">
        <v>435</v>
      </c>
      <c r="B428" s="1" t="n">
        <v>74</v>
      </c>
      <c r="C428" s="1" t="n">
        <v>33</v>
      </c>
      <c r="D428" s="1" t="s">
        <v>1425</v>
      </c>
      <c r="E428" s="1" t="n">
        <v>2</v>
      </c>
      <c r="F428" s="1" t="n">
        <v>190.1</v>
      </c>
      <c r="G428" s="1" t="n">
        <v>0.05</v>
      </c>
      <c r="H428" s="1" t="s">
        <v>1336</v>
      </c>
      <c r="I428" s="1" t="n">
        <v>361.19</v>
      </c>
      <c r="J428" s="1" t="str">
        <f aca="false">VLOOKUP(B428,Customers!$A$2:$G$502,6,FALSE())</f>
        <v>Consumer</v>
      </c>
      <c r="K428" s="1" t="str">
        <f aca="false">VLOOKUP(C428,Products!$A$2:$E$62,3,FALSE())</f>
        <v>Office Supplies</v>
      </c>
      <c r="L428" s="1" t="str">
        <f aca="false">TEXT(D428,"yyyy-mm")</f>
        <v>2023-05</v>
      </c>
    </row>
    <row r="429" customFormat="false" ht="15" hidden="false" customHeight="true" outlineLevel="0" collapsed="false">
      <c r="A429" s="1" t="n">
        <v>436</v>
      </c>
      <c r="B429" s="1" t="n">
        <v>61</v>
      </c>
      <c r="C429" s="1" t="n">
        <v>45</v>
      </c>
      <c r="D429" s="1" t="s">
        <v>1392</v>
      </c>
      <c r="E429" s="1" t="n">
        <v>3</v>
      </c>
      <c r="F429" s="1" t="n">
        <v>560.01</v>
      </c>
      <c r="G429" s="1" t="n">
        <v>0.05</v>
      </c>
      <c r="H429" s="1" t="s">
        <v>1336</v>
      </c>
      <c r="I429" s="1" t="n">
        <v>1596.03</v>
      </c>
      <c r="J429" s="1" t="str">
        <f aca="false">VLOOKUP(B429,Customers!$A$2:$G$502,6,FALSE())</f>
        <v>Small Business</v>
      </c>
      <c r="K429" s="1" t="str">
        <f aca="false">VLOOKUP(C429,Products!$A$2:$E$62,3,FALSE())</f>
        <v>Software</v>
      </c>
      <c r="L429" s="1" t="str">
        <f aca="false">TEXT(D429,"yyyy-mm")</f>
        <v>2023-08</v>
      </c>
    </row>
    <row r="430" customFormat="false" ht="15" hidden="false" customHeight="true" outlineLevel="0" collapsed="false">
      <c r="A430" s="1" t="n">
        <v>437</v>
      </c>
      <c r="B430" s="1" t="n">
        <v>488</v>
      </c>
      <c r="C430" s="1" t="n">
        <v>8</v>
      </c>
      <c r="D430" s="1" t="s">
        <v>1212</v>
      </c>
      <c r="E430" s="1" t="n">
        <v>5</v>
      </c>
      <c r="F430" s="1" t="n">
        <v>104.4</v>
      </c>
      <c r="G430" s="1" t="n">
        <v>0.2</v>
      </c>
      <c r="H430" s="1" t="s">
        <v>1336</v>
      </c>
      <c r="I430" s="1" t="n">
        <v>417.6</v>
      </c>
      <c r="J430" s="1" t="str">
        <f aca="false">VLOOKUP(B430,Customers!$A$2:$G$502,6,FALSE())</f>
        <v>Consumer</v>
      </c>
      <c r="K430" s="1" t="str">
        <f aca="false">VLOOKUP(C430,Products!$A$2:$E$62,3,FALSE())</f>
        <v>Electronics</v>
      </c>
      <c r="L430" s="1" t="str">
        <f aca="false">TEXT(D430,"yyyy-mm")</f>
        <v>2024-09</v>
      </c>
    </row>
    <row r="431" customFormat="false" ht="15" hidden="false" customHeight="true" outlineLevel="0" collapsed="false">
      <c r="A431" s="1" t="n">
        <v>438</v>
      </c>
      <c r="B431" s="1" t="n">
        <v>79</v>
      </c>
      <c r="C431" s="1" t="n">
        <v>8</v>
      </c>
      <c r="D431" s="1" t="s">
        <v>1487</v>
      </c>
      <c r="E431" s="1" t="n">
        <v>9</v>
      </c>
      <c r="F431" s="1" t="n">
        <v>104.4</v>
      </c>
      <c r="G431" s="1" t="n">
        <v>0</v>
      </c>
      <c r="H431" s="1" t="s">
        <v>1370</v>
      </c>
      <c r="I431" s="1" t="n">
        <v>939.6</v>
      </c>
      <c r="J431" s="1" t="str">
        <f aca="false">VLOOKUP(B431,Customers!$A$2:$G$502,6,FALSE())</f>
        <v>Small Business</v>
      </c>
      <c r="K431" s="1" t="str">
        <f aca="false">VLOOKUP(C431,Products!$A$2:$E$62,3,FALSE())</f>
        <v>Electronics</v>
      </c>
      <c r="L431" s="1" t="str">
        <f aca="false">TEXT(D431,"yyyy-mm")</f>
        <v>2024-01</v>
      </c>
    </row>
    <row r="432" customFormat="false" ht="15" hidden="false" customHeight="true" outlineLevel="0" collapsed="false">
      <c r="A432" s="1" t="n">
        <v>439</v>
      </c>
      <c r="B432" s="1" t="n">
        <v>73</v>
      </c>
      <c r="C432" s="1" t="n">
        <v>51</v>
      </c>
      <c r="D432" s="1" t="s">
        <v>1050</v>
      </c>
      <c r="E432" s="1" t="n">
        <v>2</v>
      </c>
      <c r="F432" s="1" t="n">
        <v>30.16</v>
      </c>
      <c r="G432" s="1" t="n">
        <v>0.05</v>
      </c>
      <c r="H432" s="1" t="s">
        <v>1336</v>
      </c>
      <c r="I432" s="1" t="n">
        <v>57.3</v>
      </c>
      <c r="J432" s="1" t="str">
        <f aca="false">VLOOKUP(B432,Customers!$A$2:$G$502,6,FALSE())</f>
        <v>Small Business</v>
      </c>
      <c r="K432" s="1" t="str">
        <f aca="false">VLOOKUP(C432,Products!$A$2:$E$62,3,FALSE())</f>
        <v>Software</v>
      </c>
      <c r="L432" s="1" t="str">
        <f aca="false">TEXT(D432,"yyyy-mm")</f>
        <v>2024-08</v>
      </c>
    </row>
    <row r="433" customFormat="false" ht="15" hidden="false" customHeight="true" outlineLevel="0" collapsed="false">
      <c r="A433" s="1" t="n">
        <v>440</v>
      </c>
      <c r="B433" s="1" t="n">
        <v>420</v>
      </c>
      <c r="C433" s="1" t="n">
        <v>48</v>
      </c>
      <c r="D433" s="1" t="s">
        <v>1488</v>
      </c>
      <c r="E433" s="1" t="n">
        <v>8</v>
      </c>
      <c r="F433" s="1" t="n">
        <v>493.53</v>
      </c>
      <c r="G433" s="1" t="n">
        <v>0</v>
      </c>
      <c r="H433" s="1" t="s">
        <v>1336</v>
      </c>
      <c r="I433" s="1" t="n">
        <v>3948.24</v>
      </c>
      <c r="J433" s="1" t="str">
        <f aca="false">VLOOKUP(B433,Customers!$A$2:$G$502,6,FALSE())</f>
        <v>Small Business</v>
      </c>
      <c r="K433" s="1" t="str">
        <f aca="false">VLOOKUP(C433,Products!$A$2:$E$62,3,FALSE())</f>
        <v>Software</v>
      </c>
      <c r="L433" s="1" t="str">
        <f aca="false">TEXT(D433,"yyyy-mm")</f>
        <v>2024-05</v>
      </c>
    </row>
    <row r="434" customFormat="false" ht="15" hidden="false" customHeight="true" outlineLevel="0" collapsed="false">
      <c r="A434" s="1" t="n">
        <v>441</v>
      </c>
      <c r="B434" s="1" t="n">
        <v>294</v>
      </c>
      <c r="C434" s="1" t="n">
        <v>20</v>
      </c>
      <c r="D434" s="1" t="s">
        <v>732</v>
      </c>
      <c r="E434" s="1" t="n">
        <v>2</v>
      </c>
      <c r="F434" s="1" t="n">
        <v>426.15</v>
      </c>
      <c r="G434" s="1" t="n">
        <v>0.05</v>
      </c>
      <c r="H434" s="1" t="s">
        <v>1346</v>
      </c>
      <c r="I434" s="1" t="n">
        <v>809.68</v>
      </c>
      <c r="J434" s="1" t="str">
        <f aca="false">VLOOKUP(B434,Customers!$A$2:$G$502,6,FALSE())</f>
        <v>Consumer</v>
      </c>
      <c r="K434" s="1" t="str">
        <f aca="false">VLOOKUP(C434,Products!$A$2:$E$62,3,FALSE())</f>
        <v>Office Supplies</v>
      </c>
      <c r="L434" s="1" t="str">
        <f aca="false">TEXT(D434,"yyyy-mm")</f>
        <v>2024-08</v>
      </c>
    </row>
    <row r="435" customFormat="false" ht="15" hidden="false" customHeight="true" outlineLevel="0" collapsed="false">
      <c r="A435" s="1" t="n">
        <v>442</v>
      </c>
      <c r="B435" s="1" t="n">
        <v>311</v>
      </c>
      <c r="C435" s="1" t="n">
        <v>9</v>
      </c>
      <c r="D435" s="1" t="s">
        <v>1117</v>
      </c>
      <c r="E435" s="1" t="n">
        <v>5</v>
      </c>
      <c r="F435" s="1" t="n">
        <v>203.1</v>
      </c>
      <c r="G435" s="1" t="n">
        <v>0.1</v>
      </c>
      <c r="H435" s="1" t="s">
        <v>1336</v>
      </c>
      <c r="I435" s="1" t="n">
        <v>913.95</v>
      </c>
      <c r="J435" s="1" t="str">
        <f aca="false">VLOOKUP(B435,Customers!$A$2:$G$502,6,FALSE())</f>
        <v>Consumer</v>
      </c>
      <c r="K435" s="1" t="str">
        <f aca="false">VLOOKUP(C435,Products!$A$2:$E$62,3,FALSE())</f>
        <v>Electronics</v>
      </c>
      <c r="L435" s="1" t="str">
        <f aca="false">TEXT(D435,"yyyy-mm")</f>
        <v>2023-05</v>
      </c>
    </row>
    <row r="436" customFormat="false" ht="15" hidden="false" customHeight="true" outlineLevel="0" collapsed="false">
      <c r="A436" s="1" t="n">
        <v>443</v>
      </c>
      <c r="B436" s="1" t="n">
        <v>373</v>
      </c>
      <c r="C436" s="1" t="n">
        <v>21</v>
      </c>
      <c r="D436" s="1" t="s">
        <v>1419</v>
      </c>
      <c r="E436" s="1" t="n">
        <v>7</v>
      </c>
      <c r="F436" s="1" t="n">
        <v>84.91</v>
      </c>
      <c r="G436" s="1" t="n">
        <v>0.2</v>
      </c>
      <c r="H436" s="1" t="s">
        <v>1336</v>
      </c>
      <c r="I436" s="1" t="n">
        <v>475.5</v>
      </c>
      <c r="J436" s="1" t="str">
        <f aca="false">VLOOKUP(B436,Customers!$A$2:$G$502,6,FALSE())</f>
        <v>Corporate</v>
      </c>
      <c r="K436" s="1" t="str">
        <f aca="false">VLOOKUP(C436,Products!$A$2:$E$62,3,FALSE())</f>
        <v>Office Supplies</v>
      </c>
      <c r="L436" s="1" t="str">
        <f aca="false">TEXT(D436,"yyyy-mm")</f>
        <v>2023-04</v>
      </c>
    </row>
    <row r="437" customFormat="false" ht="15" hidden="false" customHeight="true" outlineLevel="0" collapsed="false">
      <c r="A437" s="1" t="n">
        <v>444</v>
      </c>
      <c r="B437" s="1" t="n">
        <v>174</v>
      </c>
      <c r="C437" s="1" t="n">
        <v>35</v>
      </c>
      <c r="D437" s="1" t="s">
        <v>707</v>
      </c>
      <c r="E437" s="1" t="n">
        <v>8</v>
      </c>
      <c r="F437" s="1" t="n">
        <v>75.78</v>
      </c>
      <c r="G437" s="1" t="n">
        <v>0.15</v>
      </c>
      <c r="H437" s="1" t="s">
        <v>1346</v>
      </c>
      <c r="I437" s="1" t="n">
        <v>515.3</v>
      </c>
      <c r="J437" s="1" t="str">
        <f aca="false">VLOOKUP(B437,Customers!$A$2:$G$502,6,FALSE())</f>
        <v>Small Business</v>
      </c>
      <c r="K437" s="1" t="str">
        <f aca="false">VLOOKUP(C437,Products!$A$2:$E$62,3,FALSE())</f>
        <v>Software</v>
      </c>
      <c r="L437" s="1" t="str">
        <f aca="false">TEXT(D437,"yyyy-mm")</f>
        <v>2023-02</v>
      </c>
    </row>
    <row r="438" customFormat="false" ht="15" hidden="false" customHeight="true" outlineLevel="0" collapsed="false">
      <c r="A438" s="1" t="n">
        <v>445</v>
      </c>
      <c r="B438" s="1" t="n">
        <v>363</v>
      </c>
      <c r="C438" s="1" t="n">
        <v>2</v>
      </c>
      <c r="D438" s="1" t="s">
        <v>969</v>
      </c>
      <c r="E438" s="1" t="n">
        <v>1</v>
      </c>
      <c r="F438" s="1" t="n">
        <v>498.15</v>
      </c>
      <c r="G438" s="1" t="n">
        <v>0.15</v>
      </c>
      <c r="H438" s="1" t="s">
        <v>1336</v>
      </c>
      <c r="I438" s="1" t="n">
        <v>423.43</v>
      </c>
      <c r="J438" s="1" t="str">
        <f aca="false">VLOOKUP(B438,Customers!$A$2:$G$502,6,FALSE())</f>
        <v>Small Business</v>
      </c>
      <c r="K438" s="1" t="str">
        <f aca="false">VLOOKUP(C438,Products!$A$2:$E$62,3,FALSE())</f>
        <v>Electronics</v>
      </c>
      <c r="L438" s="1" t="str">
        <f aca="false">TEXT(D438,"yyyy-mm")</f>
        <v>2024-08</v>
      </c>
    </row>
    <row r="439" customFormat="false" ht="15" hidden="false" customHeight="true" outlineLevel="0" collapsed="false">
      <c r="A439" s="1" t="n">
        <v>446</v>
      </c>
      <c r="B439" s="1" t="n">
        <v>287</v>
      </c>
      <c r="C439" s="1" t="n">
        <v>6</v>
      </c>
      <c r="D439" s="1" t="s">
        <v>1485</v>
      </c>
      <c r="E439" s="1" t="n">
        <v>6</v>
      </c>
      <c r="F439" s="1" t="n">
        <v>28.51</v>
      </c>
      <c r="G439" s="1" t="n">
        <v>0.1</v>
      </c>
      <c r="H439" s="1" t="s">
        <v>1336</v>
      </c>
      <c r="I439" s="1" t="n">
        <v>153.95</v>
      </c>
      <c r="J439" s="1" t="str">
        <f aca="false">VLOOKUP(B439,Customers!$A$2:$G$502,6,FALSE())</f>
        <v>Corporate</v>
      </c>
      <c r="K439" s="1" t="str">
        <f aca="false">VLOOKUP(C439,Products!$A$2:$E$62,3,FALSE())</f>
        <v>Electronics</v>
      </c>
      <c r="L439" s="1" t="str">
        <f aca="false">TEXT(D439,"yyyy-mm")</f>
        <v>2023-07</v>
      </c>
    </row>
    <row r="440" customFormat="false" ht="15" hidden="false" customHeight="true" outlineLevel="0" collapsed="false">
      <c r="A440" s="1" t="n">
        <v>448</v>
      </c>
      <c r="B440" s="1" t="n">
        <v>403</v>
      </c>
      <c r="C440" s="1" t="n">
        <v>14</v>
      </c>
      <c r="D440" s="1" t="s">
        <v>1489</v>
      </c>
      <c r="E440" s="1" t="n">
        <v>2</v>
      </c>
      <c r="F440" s="1" t="n">
        <v>135.27</v>
      </c>
      <c r="G440" s="1" t="n">
        <v>0.2</v>
      </c>
      <c r="H440" s="1" t="s">
        <v>1336</v>
      </c>
      <c r="I440" s="1" t="n">
        <v>216.43</v>
      </c>
      <c r="J440" s="1" t="str">
        <f aca="false">VLOOKUP(B440,Customers!$A$2:$G$502,6,FALSE())</f>
        <v>Consumer</v>
      </c>
      <c r="K440" s="1" t="str">
        <f aca="false">VLOOKUP(C440,Products!$A$2:$E$62,3,FALSE())</f>
        <v>Electronics</v>
      </c>
      <c r="L440" s="1" t="str">
        <f aca="false">TEXT(D440,"yyyy-mm")</f>
        <v>2023-09</v>
      </c>
    </row>
    <row r="441" customFormat="false" ht="15" hidden="false" customHeight="true" outlineLevel="0" collapsed="false">
      <c r="A441" s="1" t="n">
        <v>449</v>
      </c>
      <c r="B441" s="1" t="n">
        <v>311</v>
      </c>
      <c r="C441" s="1" t="n">
        <v>21</v>
      </c>
      <c r="D441" s="1" t="s">
        <v>594</v>
      </c>
      <c r="E441" s="1" t="n">
        <v>1</v>
      </c>
      <c r="F441" s="1" t="n">
        <v>84.91</v>
      </c>
      <c r="G441" s="1" t="n">
        <v>0</v>
      </c>
      <c r="H441" s="1" t="s">
        <v>1336</v>
      </c>
      <c r="I441" s="1" t="n">
        <v>84.91</v>
      </c>
      <c r="J441" s="1" t="str">
        <f aca="false">VLOOKUP(B441,Customers!$A$2:$G$502,6,FALSE())</f>
        <v>Consumer</v>
      </c>
      <c r="K441" s="1" t="str">
        <f aca="false">VLOOKUP(C441,Products!$A$2:$E$62,3,FALSE())</f>
        <v>Office Supplies</v>
      </c>
      <c r="L441" s="1" t="str">
        <f aca="false">TEXT(D441,"yyyy-mm")</f>
        <v>2024-02</v>
      </c>
    </row>
    <row r="442" customFormat="false" ht="15" hidden="false" customHeight="true" outlineLevel="0" collapsed="false">
      <c r="A442" s="1" t="n">
        <v>450</v>
      </c>
      <c r="B442" s="1" t="n">
        <v>213</v>
      </c>
      <c r="C442" s="1" t="n">
        <v>2</v>
      </c>
      <c r="D442" s="1" t="s">
        <v>1490</v>
      </c>
      <c r="E442" s="1" t="n">
        <v>5</v>
      </c>
      <c r="F442" s="1" t="n">
        <v>498.15</v>
      </c>
      <c r="G442" s="1" t="n">
        <v>0</v>
      </c>
      <c r="H442" s="1" t="s">
        <v>1336</v>
      </c>
      <c r="I442" s="1" t="n">
        <v>2490.75</v>
      </c>
      <c r="J442" s="1" t="str">
        <f aca="false">VLOOKUP(B442,Customers!$A$2:$G$502,6,FALSE())</f>
        <v>Small Business</v>
      </c>
      <c r="K442" s="1" t="str">
        <f aca="false">VLOOKUP(C442,Products!$A$2:$E$62,3,FALSE())</f>
        <v>Electronics</v>
      </c>
      <c r="L442" s="1" t="str">
        <f aca="false">TEXT(D442,"yyyy-mm")</f>
        <v>2024-06</v>
      </c>
    </row>
    <row r="443" customFormat="false" ht="15" hidden="false" customHeight="true" outlineLevel="0" collapsed="false">
      <c r="A443" s="1" t="n">
        <v>451</v>
      </c>
      <c r="B443" s="1" t="n">
        <v>147</v>
      </c>
      <c r="C443" s="1" t="n">
        <v>10</v>
      </c>
      <c r="D443" s="1" t="s">
        <v>1491</v>
      </c>
      <c r="E443" s="1" t="n">
        <v>9</v>
      </c>
      <c r="F443" s="1" t="n">
        <v>251.58</v>
      </c>
      <c r="G443" s="1" t="n">
        <v>0</v>
      </c>
      <c r="H443" s="1" t="s">
        <v>1336</v>
      </c>
      <c r="I443" s="1" t="n">
        <v>2264.22</v>
      </c>
      <c r="J443" s="1" t="str">
        <f aca="false">VLOOKUP(B443,Customers!$A$2:$G$502,6,FALSE())</f>
        <v>Small Business</v>
      </c>
      <c r="K443" s="1" t="str">
        <f aca="false">VLOOKUP(C443,Products!$A$2:$E$62,3,FALSE())</f>
        <v>Electronics</v>
      </c>
      <c r="L443" s="1" t="str">
        <f aca="false">TEXT(D443,"yyyy-mm")</f>
        <v>2023-07</v>
      </c>
    </row>
    <row r="444" customFormat="false" ht="15" hidden="false" customHeight="true" outlineLevel="0" collapsed="false">
      <c r="A444" s="1" t="n">
        <v>452</v>
      </c>
      <c r="B444" s="1" t="n">
        <v>31</v>
      </c>
      <c r="C444" s="1" t="n">
        <v>40</v>
      </c>
      <c r="D444" s="1" t="s">
        <v>1277</v>
      </c>
      <c r="E444" s="1" t="n">
        <v>6</v>
      </c>
      <c r="F444" s="1" t="n">
        <v>193.02</v>
      </c>
      <c r="G444" s="1" t="n">
        <v>0</v>
      </c>
      <c r="H444" s="1" t="s">
        <v>1336</v>
      </c>
      <c r="I444" s="1" t="n">
        <v>1158.12</v>
      </c>
      <c r="J444" s="1" t="str">
        <f aca="false">VLOOKUP(B444,Customers!$A$2:$G$502,6,FALSE())</f>
        <v>Consumer</v>
      </c>
      <c r="K444" s="1" t="str">
        <f aca="false">VLOOKUP(C444,Products!$A$2:$E$62,3,FALSE())</f>
        <v>Software</v>
      </c>
      <c r="L444" s="1" t="str">
        <f aca="false">TEXT(D444,"yyyy-mm")</f>
        <v>2023-11</v>
      </c>
    </row>
    <row r="445" customFormat="false" ht="15" hidden="false" customHeight="true" outlineLevel="0" collapsed="false">
      <c r="A445" s="1" t="n">
        <v>453</v>
      </c>
      <c r="B445" s="1" t="n">
        <v>212</v>
      </c>
      <c r="C445" s="1" t="n">
        <v>58</v>
      </c>
      <c r="D445" s="1" t="s">
        <v>1469</v>
      </c>
      <c r="E445" s="1" t="n">
        <v>1</v>
      </c>
      <c r="F445" s="1" t="n">
        <v>515.55</v>
      </c>
      <c r="G445" s="1" t="n">
        <v>0</v>
      </c>
      <c r="H445" s="1" t="s">
        <v>1336</v>
      </c>
      <c r="I445" s="1" t="n">
        <v>515.55</v>
      </c>
      <c r="J445" s="1" t="str">
        <f aca="false">VLOOKUP(B445,Customers!$A$2:$G$502,6,FALSE())</f>
        <v>Consumer</v>
      </c>
      <c r="K445" s="1" t="str">
        <f aca="false">VLOOKUP(C445,Products!$A$2:$E$62,3,FALSE())</f>
        <v>Furniture</v>
      </c>
      <c r="L445" s="1" t="str">
        <f aca="false">TEXT(D445,"yyyy-mm")</f>
        <v>2023-11</v>
      </c>
    </row>
    <row r="446" customFormat="false" ht="15" hidden="false" customHeight="true" outlineLevel="0" collapsed="false">
      <c r="A446" s="1" t="n">
        <v>454</v>
      </c>
      <c r="B446" s="1" t="n">
        <v>386</v>
      </c>
      <c r="C446" s="1" t="n">
        <v>39</v>
      </c>
      <c r="D446" s="1" t="s">
        <v>1492</v>
      </c>
      <c r="E446" s="1" t="n">
        <v>1</v>
      </c>
      <c r="F446" s="1" t="n">
        <v>400.02</v>
      </c>
      <c r="G446" s="1" t="n">
        <v>0</v>
      </c>
      <c r="H446" s="1" t="s">
        <v>1336</v>
      </c>
      <c r="I446" s="1" t="n">
        <v>400.02</v>
      </c>
      <c r="J446" s="1" t="str">
        <f aca="false">VLOOKUP(B446,Customers!$A$2:$G$502,6,FALSE())</f>
        <v>Consumer</v>
      </c>
      <c r="K446" s="1" t="str">
        <f aca="false">VLOOKUP(C446,Products!$A$2:$E$62,3,FALSE())</f>
        <v>Software</v>
      </c>
      <c r="L446" s="1" t="str">
        <f aca="false">TEXT(D446,"yyyy-mm")</f>
        <v>2024-08</v>
      </c>
    </row>
    <row r="447" customFormat="false" ht="15" hidden="false" customHeight="true" outlineLevel="0" collapsed="false">
      <c r="A447" s="1" t="n">
        <v>455</v>
      </c>
      <c r="B447" s="1" t="n">
        <v>32</v>
      </c>
      <c r="C447" s="1" t="n">
        <v>21</v>
      </c>
      <c r="D447" s="1" t="s">
        <v>188</v>
      </c>
      <c r="E447" s="1" t="n">
        <v>2</v>
      </c>
      <c r="F447" s="1" t="n">
        <v>84.91</v>
      </c>
      <c r="G447" s="1" t="n">
        <v>0.1</v>
      </c>
      <c r="H447" s="1" t="s">
        <v>1336</v>
      </c>
      <c r="I447" s="1" t="n">
        <v>152.84</v>
      </c>
      <c r="J447" s="1" t="str">
        <f aca="false">VLOOKUP(B447,Customers!$A$2:$G$502,6,FALSE())</f>
        <v>Small Business</v>
      </c>
      <c r="K447" s="1" t="str">
        <f aca="false">VLOOKUP(C447,Products!$A$2:$E$62,3,FALSE())</f>
        <v>Office Supplies</v>
      </c>
      <c r="L447" s="1" t="str">
        <f aca="false">TEXT(D447,"yyyy-mm")</f>
        <v>2024-04</v>
      </c>
    </row>
    <row r="448" customFormat="false" ht="15" hidden="false" customHeight="true" outlineLevel="0" collapsed="false">
      <c r="A448" s="1" t="n">
        <v>456</v>
      </c>
      <c r="B448" s="1" t="n">
        <v>454</v>
      </c>
      <c r="C448" s="1" t="n">
        <v>2</v>
      </c>
      <c r="D448" s="1" t="s">
        <v>1493</v>
      </c>
      <c r="E448" s="1" t="n">
        <v>9</v>
      </c>
      <c r="F448" s="1" t="n">
        <v>498.15</v>
      </c>
      <c r="G448" s="1" t="n">
        <v>0.1</v>
      </c>
      <c r="H448" s="1" t="s">
        <v>1370</v>
      </c>
      <c r="I448" s="1" t="n">
        <v>4035.01</v>
      </c>
      <c r="J448" s="1" t="str">
        <f aca="false">VLOOKUP(B448,Customers!$A$2:$G$502,6,FALSE())</f>
        <v>Consumer</v>
      </c>
      <c r="K448" s="1" t="str">
        <f aca="false">VLOOKUP(C448,Products!$A$2:$E$62,3,FALSE())</f>
        <v>Electronics</v>
      </c>
      <c r="L448" s="1" t="str">
        <f aca="false">TEXT(D448,"yyyy-mm")</f>
        <v>2023-10</v>
      </c>
    </row>
    <row r="449" customFormat="false" ht="15" hidden="false" customHeight="true" outlineLevel="0" collapsed="false">
      <c r="A449" s="1" t="n">
        <v>457</v>
      </c>
      <c r="B449" s="1" t="n">
        <v>403</v>
      </c>
      <c r="C449" s="1" t="n">
        <v>9</v>
      </c>
      <c r="D449" s="1" t="s">
        <v>1406</v>
      </c>
      <c r="E449" s="1" t="n">
        <v>3</v>
      </c>
      <c r="F449" s="1" t="n">
        <v>203.1</v>
      </c>
      <c r="G449" s="1" t="n">
        <v>0.1</v>
      </c>
      <c r="H449" s="1" t="s">
        <v>1336</v>
      </c>
      <c r="I449" s="1" t="n">
        <v>548.37</v>
      </c>
      <c r="J449" s="1" t="str">
        <f aca="false">VLOOKUP(B449,Customers!$A$2:$G$502,6,FALSE())</f>
        <v>Consumer</v>
      </c>
      <c r="K449" s="1" t="str">
        <f aca="false">VLOOKUP(C449,Products!$A$2:$E$62,3,FALSE())</f>
        <v>Electronics</v>
      </c>
      <c r="L449" s="1" t="str">
        <f aca="false">TEXT(D449,"yyyy-mm")</f>
        <v>2023-11</v>
      </c>
    </row>
    <row r="450" customFormat="false" ht="15" hidden="false" customHeight="true" outlineLevel="0" collapsed="false">
      <c r="A450" s="1" t="n">
        <v>458</v>
      </c>
      <c r="B450" s="1" t="n">
        <v>496</v>
      </c>
      <c r="C450" s="1" t="n">
        <v>10</v>
      </c>
      <c r="D450" s="1" t="s">
        <v>1103</v>
      </c>
      <c r="E450" s="1" t="n">
        <v>1</v>
      </c>
      <c r="F450" s="1" t="n">
        <v>251.58</v>
      </c>
      <c r="G450" s="1" t="n">
        <v>0.1</v>
      </c>
      <c r="H450" s="1" t="s">
        <v>1370</v>
      </c>
      <c r="I450" s="1" t="n">
        <v>226.42</v>
      </c>
      <c r="J450" s="1" t="str">
        <f aca="false">VLOOKUP(B450,Customers!$A$2:$G$502,6,FALSE())</f>
        <v>Small Business</v>
      </c>
      <c r="K450" s="1" t="str">
        <f aca="false">VLOOKUP(C450,Products!$A$2:$E$62,3,FALSE())</f>
        <v>Electronics</v>
      </c>
      <c r="L450" s="1" t="str">
        <f aca="false">TEXT(D450,"yyyy-mm")</f>
        <v>2024-01</v>
      </c>
    </row>
    <row r="451" customFormat="false" ht="15" hidden="false" customHeight="true" outlineLevel="0" collapsed="false">
      <c r="A451" s="1" t="n">
        <v>459</v>
      </c>
      <c r="B451" s="1" t="n">
        <v>467</v>
      </c>
      <c r="C451" s="1" t="n">
        <v>36</v>
      </c>
      <c r="D451" s="1" t="s">
        <v>387</v>
      </c>
      <c r="E451" s="1" t="n">
        <v>5</v>
      </c>
      <c r="F451" s="1" t="n">
        <v>424.45</v>
      </c>
      <c r="G451" s="1" t="n">
        <v>0</v>
      </c>
      <c r="H451" s="1" t="s">
        <v>1336</v>
      </c>
      <c r="I451" s="1" t="n">
        <v>2122.25</v>
      </c>
      <c r="J451" s="1" t="str">
        <f aca="false">VLOOKUP(B451,Customers!$A$2:$G$502,6,FALSE())</f>
        <v>Corporate</v>
      </c>
      <c r="K451" s="1" t="str">
        <f aca="false">VLOOKUP(C451,Products!$A$2:$E$62,3,FALSE())</f>
        <v>Software</v>
      </c>
      <c r="L451" s="1" t="str">
        <f aca="false">TEXT(D451,"yyyy-mm")</f>
        <v>2024-04</v>
      </c>
    </row>
    <row r="452" customFormat="false" ht="15" hidden="false" customHeight="true" outlineLevel="0" collapsed="false">
      <c r="A452" s="1" t="n">
        <v>460</v>
      </c>
      <c r="B452" s="1" t="n">
        <v>498</v>
      </c>
      <c r="C452" s="1" t="n">
        <v>11</v>
      </c>
      <c r="D452" s="1" t="s">
        <v>1494</v>
      </c>
      <c r="E452" s="1" t="n">
        <v>7</v>
      </c>
      <c r="F452" s="1" t="n">
        <v>328.39</v>
      </c>
      <c r="G452" s="1" t="n">
        <v>0</v>
      </c>
      <c r="H452" s="1" t="s">
        <v>1346</v>
      </c>
      <c r="I452" s="1" t="n">
        <v>2298.73</v>
      </c>
      <c r="J452" s="1" t="str">
        <f aca="false">VLOOKUP(B452,Customers!$A$2:$G$502,6,FALSE())</f>
        <v>Corporate</v>
      </c>
      <c r="K452" s="1" t="str">
        <f aca="false">VLOOKUP(C452,Products!$A$2:$E$62,3,FALSE())</f>
        <v>Electronics</v>
      </c>
      <c r="L452" s="1" t="str">
        <f aca="false">TEXT(D452,"yyyy-mm")</f>
        <v>2023-01</v>
      </c>
    </row>
    <row r="453" customFormat="false" ht="15" hidden="false" customHeight="true" outlineLevel="0" collapsed="false">
      <c r="A453" s="1" t="n">
        <v>461</v>
      </c>
      <c r="B453" s="1" t="n">
        <v>195</v>
      </c>
      <c r="C453" s="1" t="n">
        <v>23</v>
      </c>
      <c r="D453" s="1" t="s">
        <v>1120</v>
      </c>
      <c r="E453" s="1" t="n">
        <v>6</v>
      </c>
      <c r="F453" s="1" t="n">
        <v>188.73</v>
      </c>
      <c r="G453" s="1" t="n">
        <v>0</v>
      </c>
      <c r="H453" s="1" t="s">
        <v>1336</v>
      </c>
      <c r="I453" s="1" t="n">
        <v>1132.38</v>
      </c>
      <c r="J453" s="1" t="str">
        <f aca="false">VLOOKUP(B453,Customers!$A$2:$G$502,6,FALSE())</f>
        <v>Corporate</v>
      </c>
      <c r="K453" s="1" t="str">
        <f aca="false">VLOOKUP(C453,Products!$A$2:$E$62,3,FALSE())</f>
        <v>Office Supplies</v>
      </c>
      <c r="L453" s="1" t="str">
        <f aca="false">TEXT(D453,"yyyy-mm")</f>
        <v>2024-10</v>
      </c>
    </row>
    <row r="454" customFormat="false" ht="15" hidden="false" customHeight="true" outlineLevel="0" collapsed="false">
      <c r="A454" s="1" t="n">
        <v>462</v>
      </c>
      <c r="B454" s="1" t="n">
        <v>289</v>
      </c>
      <c r="C454" s="1" t="n">
        <v>5</v>
      </c>
      <c r="D454" s="1" t="s">
        <v>689</v>
      </c>
      <c r="E454" s="1" t="n">
        <v>1</v>
      </c>
      <c r="F454" s="1" t="n">
        <v>439.06</v>
      </c>
      <c r="G454" s="1" t="n">
        <v>0</v>
      </c>
      <c r="H454" s="1" t="s">
        <v>1336</v>
      </c>
      <c r="I454" s="1" t="n">
        <v>439.06</v>
      </c>
      <c r="J454" s="1" t="str">
        <f aca="false">VLOOKUP(B454,Customers!$A$2:$G$502,6,FALSE())</f>
        <v>Consumer</v>
      </c>
      <c r="K454" s="1" t="str">
        <f aca="false">VLOOKUP(C454,Products!$A$2:$E$62,3,FALSE())</f>
        <v>Electronics</v>
      </c>
      <c r="L454" s="1" t="str">
        <f aca="false">TEXT(D454,"yyyy-mm")</f>
        <v>2023-11</v>
      </c>
    </row>
    <row r="455" customFormat="false" ht="15" hidden="false" customHeight="true" outlineLevel="0" collapsed="false">
      <c r="A455" s="1" t="n">
        <v>463</v>
      </c>
      <c r="B455" s="1" t="n">
        <v>144</v>
      </c>
      <c r="C455" s="1" t="n">
        <v>57</v>
      </c>
      <c r="D455" s="1" t="s">
        <v>1495</v>
      </c>
      <c r="E455" s="1" t="n">
        <v>5</v>
      </c>
      <c r="F455" s="1" t="n">
        <v>719.76</v>
      </c>
      <c r="G455" s="1" t="n">
        <v>0</v>
      </c>
      <c r="H455" s="1" t="s">
        <v>1336</v>
      </c>
      <c r="I455" s="1" t="n">
        <v>3598.8</v>
      </c>
      <c r="J455" s="1" t="str">
        <f aca="false">VLOOKUP(B455,Customers!$A$2:$G$502,6,FALSE())</f>
        <v>Small Business</v>
      </c>
      <c r="K455" s="1" t="str">
        <f aca="false">VLOOKUP(C455,Products!$A$2:$E$62,3,FALSE())</f>
        <v>Furniture</v>
      </c>
      <c r="L455" s="1" t="str">
        <f aca="false">TEXT(D455,"yyyy-mm")</f>
        <v>2024-03</v>
      </c>
    </row>
    <row r="456" customFormat="false" ht="15" hidden="false" customHeight="true" outlineLevel="0" collapsed="false">
      <c r="A456" s="1" t="n">
        <v>464</v>
      </c>
      <c r="B456" s="1" t="n">
        <v>176</v>
      </c>
      <c r="C456" s="1" t="n">
        <v>41</v>
      </c>
      <c r="D456" s="1" t="s">
        <v>1496</v>
      </c>
      <c r="E456" s="1" t="n">
        <v>5</v>
      </c>
      <c r="F456" s="1" t="n">
        <v>594.54</v>
      </c>
      <c r="G456" s="1" t="n">
        <v>0.2</v>
      </c>
      <c r="H456" s="1" t="s">
        <v>1336</v>
      </c>
      <c r="I456" s="1" t="n">
        <v>2378.16</v>
      </c>
      <c r="J456" s="1" t="str">
        <f aca="false">VLOOKUP(B456,Customers!$A$2:$G$502,6,FALSE())</f>
        <v>Corporate</v>
      </c>
      <c r="K456" s="1" t="str">
        <f aca="false">VLOOKUP(C456,Products!$A$2:$E$62,3,FALSE())</f>
        <v>Software</v>
      </c>
      <c r="L456" s="1" t="str">
        <f aca="false">TEXT(D456,"yyyy-mm")</f>
        <v>2023-09</v>
      </c>
    </row>
    <row r="457" customFormat="false" ht="15" hidden="false" customHeight="true" outlineLevel="0" collapsed="false">
      <c r="A457" s="1" t="n">
        <v>466</v>
      </c>
      <c r="B457" s="1" t="n">
        <v>244</v>
      </c>
      <c r="C457" s="1" t="n">
        <v>1</v>
      </c>
      <c r="D457" s="1" t="s">
        <v>1497</v>
      </c>
      <c r="E457" s="1" t="n">
        <v>3</v>
      </c>
      <c r="F457" s="1" t="n">
        <v>327.32</v>
      </c>
      <c r="G457" s="1" t="n">
        <v>0.15</v>
      </c>
      <c r="H457" s="1" t="s">
        <v>1336</v>
      </c>
      <c r="I457" s="1" t="n">
        <v>834.67</v>
      </c>
      <c r="J457" s="1" t="str">
        <f aca="false">VLOOKUP(B457,Customers!$A$2:$G$502,6,FALSE())</f>
        <v>Small Business</v>
      </c>
      <c r="K457" s="1" t="str">
        <f aca="false">VLOOKUP(C457,Products!$A$2:$E$62,3,FALSE())</f>
        <v>Electronics</v>
      </c>
      <c r="L457" s="1" t="str">
        <f aca="false">TEXT(D457,"yyyy-mm")</f>
        <v>2023-01</v>
      </c>
    </row>
    <row r="458" customFormat="false" ht="15" hidden="false" customHeight="true" outlineLevel="0" collapsed="false">
      <c r="A458" s="1" t="n">
        <v>467</v>
      </c>
      <c r="B458" s="1" t="n">
        <v>202</v>
      </c>
      <c r="C458" s="1" t="n">
        <v>35</v>
      </c>
      <c r="D458" s="1" t="s">
        <v>1498</v>
      </c>
      <c r="E458" s="1" t="n">
        <v>5</v>
      </c>
      <c r="F458" s="1" t="n">
        <v>75.78</v>
      </c>
      <c r="G458" s="1" t="n">
        <v>0.2</v>
      </c>
      <c r="H458" s="1" t="s">
        <v>1336</v>
      </c>
      <c r="I458" s="1" t="n">
        <v>303.12</v>
      </c>
      <c r="J458" s="1" t="str">
        <f aca="false">VLOOKUP(B458,Customers!$A$2:$G$502,6,FALSE())</f>
        <v>Corporate</v>
      </c>
      <c r="K458" s="1" t="str">
        <f aca="false">VLOOKUP(C458,Products!$A$2:$E$62,3,FALSE())</f>
        <v>Software</v>
      </c>
      <c r="L458" s="1" t="str">
        <f aca="false">TEXT(D458,"yyyy-mm")</f>
        <v>2023-03</v>
      </c>
    </row>
    <row r="459" customFormat="false" ht="15" hidden="false" customHeight="true" outlineLevel="0" collapsed="false">
      <c r="A459" s="1" t="n">
        <v>468</v>
      </c>
      <c r="B459" s="1" t="n">
        <v>418</v>
      </c>
      <c r="C459" s="1" t="n">
        <v>43</v>
      </c>
      <c r="D459" s="1" t="s">
        <v>371</v>
      </c>
      <c r="E459" s="1" t="n">
        <v>7</v>
      </c>
      <c r="F459" s="1" t="n">
        <v>186.31</v>
      </c>
      <c r="G459" s="1" t="n">
        <v>0.15</v>
      </c>
      <c r="H459" s="1" t="s">
        <v>1336</v>
      </c>
      <c r="I459" s="1" t="n">
        <v>1108.54</v>
      </c>
      <c r="J459" s="1" t="str">
        <f aca="false">VLOOKUP(B459,Customers!$A$2:$G$502,6,FALSE())</f>
        <v>Corporate</v>
      </c>
      <c r="K459" s="1" t="str">
        <f aca="false">VLOOKUP(C459,Products!$A$2:$E$62,3,FALSE())</f>
        <v>Software</v>
      </c>
      <c r="L459" s="1" t="str">
        <f aca="false">TEXT(D459,"yyyy-mm")</f>
        <v>2024-03</v>
      </c>
    </row>
    <row r="460" customFormat="false" ht="15" hidden="false" customHeight="true" outlineLevel="0" collapsed="false">
      <c r="A460" s="1" t="n">
        <v>470</v>
      </c>
      <c r="B460" s="1" t="n">
        <v>381</v>
      </c>
      <c r="C460" s="1" t="n">
        <v>2</v>
      </c>
      <c r="D460" s="1" t="s">
        <v>772</v>
      </c>
      <c r="E460" s="1" t="n">
        <v>5</v>
      </c>
      <c r="F460" s="1" t="n">
        <v>498.15</v>
      </c>
      <c r="G460" s="1" t="n">
        <v>0.15</v>
      </c>
      <c r="H460" s="1" t="s">
        <v>1346</v>
      </c>
      <c r="I460" s="1" t="n">
        <v>2117.14</v>
      </c>
      <c r="J460" s="1" t="str">
        <f aca="false">VLOOKUP(B460,Customers!$A$2:$G$502,6,FALSE())</f>
        <v>Corporate</v>
      </c>
      <c r="K460" s="1" t="str">
        <f aca="false">VLOOKUP(C460,Products!$A$2:$E$62,3,FALSE())</f>
        <v>Electronics</v>
      </c>
      <c r="L460" s="1" t="str">
        <f aca="false">TEXT(D460,"yyyy-mm")</f>
        <v>2023-10</v>
      </c>
    </row>
    <row r="461" customFormat="false" ht="15" hidden="false" customHeight="true" outlineLevel="0" collapsed="false">
      <c r="A461" s="1" t="n">
        <v>471</v>
      </c>
      <c r="B461" s="1" t="n">
        <v>156</v>
      </c>
      <c r="C461" s="1" t="n">
        <v>52</v>
      </c>
      <c r="D461" s="1" t="s">
        <v>1177</v>
      </c>
      <c r="E461" s="1" t="n">
        <v>5</v>
      </c>
      <c r="F461" s="1" t="n">
        <v>207.67</v>
      </c>
      <c r="G461" s="1" t="n">
        <v>0</v>
      </c>
      <c r="H461" s="1" t="s">
        <v>1370</v>
      </c>
      <c r="I461" s="1" t="n">
        <v>1038.35</v>
      </c>
      <c r="J461" s="1" t="str">
        <f aca="false">VLOOKUP(B461,Customers!$A$2:$G$502,6,FALSE())</f>
        <v>Corporate</v>
      </c>
      <c r="K461" s="1" t="str">
        <f aca="false">VLOOKUP(C461,Products!$A$2:$E$62,3,FALSE())</f>
        <v>Software</v>
      </c>
      <c r="L461" s="1" t="str">
        <f aca="false">TEXT(D461,"yyyy-mm")</f>
        <v>2023-08</v>
      </c>
    </row>
    <row r="462" customFormat="false" ht="15" hidden="false" customHeight="true" outlineLevel="0" collapsed="false">
      <c r="A462" s="1" t="n">
        <v>472</v>
      </c>
      <c r="B462" s="1" t="n">
        <v>361</v>
      </c>
      <c r="C462" s="1" t="n">
        <v>46</v>
      </c>
      <c r="D462" s="1" t="s">
        <v>345</v>
      </c>
      <c r="E462" s="1" t="n">
        <v>3</v>
      </c>
      <c r="F462" s="1" t="n">
        <v>94.92</v>
      </c>
      <c r="G462" s="1" t="n">
        <v>0</v>
      </c>
      <c r="H462" s="1" t="s">
        <v>1336</v>
      </c>
      <c r="I462" s="1" t="n">
        <v>284.76</v>
      </c>
      <c r="J462" s="1" t="str">
        <f aca="false">VLOOKUP(B462,Customers!$A$2:$G$502,6,FALSE())</f>
        <v>Small Business</v>
      </c>
      <c r="K462" s="1" t="str">
        <f aca="false">VLOOKUP(C462,Products!$A$2:$E$62,3,FALSE())</f>
        <v>Software</v>
      </c>
      <c r="L462" s="1" t="str">
        <f aca="false">TEXT(D462,"yyyy-mm")</f>
        <v>2024-09</v>
      </c>
    </row>
    <row r="463" customFormat="false" ht="15" hidden="false" customHeight="true" outlineLevel="0" collapsed="false">
      <c r="A463" s="1" t="n">
        <v>473</v>
      </c>
      <c r="B463" s="1" t="n">
        <v>143</v>
      </c>
      <c r="C463" s="1" t="n">
        <v>37</v>
      </c>
      <c r="D463" s="1" t="s">
        <v>71</v>
      </c>
      <c r="E463" s="1" t="n">
        <v>1</v>
      </c>
      <c r="F463" s="1" t="n">
        <v>13.95</v>
      </c>
      <c r="G463" s="1" t="n">
        <v>0.05</v>
      </c>
      <c r="H463" s="1" t="s">
        <v>1336</v>
      </c>
      <c r="I463" s="1" t="n">
        <v>13.25</v>
      </c>
      <c r="J463" s="1" t="str">
        <f aca="false">VLOOKUP(B463,Customers!$A$2:$G$502,6,FALSE())</f>
        <v>Small Business</v>
      </c>
      <c r="K463" s="1" t="str">
        <f aca="false">VLOOKUP(C463,Products!$A$2:$E$62,3,FALSE())</f>
        <v>Software</v>
      </c>
      <c r="L463" s="1" t="str">
        <f aca="false">TEXT(D463,"yyyy-mm")</f>
        <v>2024-05</v>
      </c>
    </row>
    <row r="464" customFormat="false" ht="15" hidden="false" customHeight="true" outlineLevel="0" collapsed="false">
      <c r="A464" s="1" t="n">
        <v>474</v>
      </c>
      <c r="B464" s="1" t="n">
        <v>309</v>
      </c>
      <c r="C464" s="1" t="n">
        <v>37</v>
      </c>
      <c r="D464" s="1" t="s">
        <v>289</v>
      </c>
      <c r="E464" s="1" t="n">
        <v>5</v>
      </c>
      <c r="F464" s="1" t="n">
        <v>13.95</v>
      </c>
      <c r="G464" s="1" t="n">
        <v>0</v>
      </c>
      <c r="H464" s="1" t="s">
        <v>1336</v>
      </c>
      <c r="I464" s="1" t="n">
        <v>69.75</v>
      </c>
      <c r="J464" s="1" t="str">
        <f aca="false">VLOOKUP(B464,Customers!$A$2:$G$502,6,FALSE())</f>
        <v>Unknown</v>
      </c>
      <c r="K464" s="1" t="str">
        <f aca="false">VLOOKUP(C464,Products!$A$2:$E$62,3,FALSE())</f>
        <v>Software</v>
      </c>
      <c r="L464" s="1" t="str">
        <f aca="false">TEXT(D464,"yyyy-mm")</f>
        <v>2023-06</v>
      </c>
    </row>
    <row r="465" customFormat="false" ht="15" hidden="false" customHeight="true" outlineLevel="0" collapsed="false">
      <c r="A465" s="1" t="n">
        <v>475</v>
      </c>
      <c r="B465" s="1" t="n">
        <v>439</v>
      </c>
      <c r="C465" s="1" t="n">
        <v>15</v>
      </c>
      <c r="D465" s="1" t="s">
        <v>989</v>
      </c>
      <c r="E465" s="1" t="n">
        <v>9</v>
      </c>
      <c r="F465" s="1" t="n">
        <v>304.95</v>
      </c>
      <c r="G465" s="1" t="n">
        <v>0.15</v>
      </c>
      <c r="H465" s="1" t="s">
        <v>1336</v>
      </c>
      <c r="I465" s="1" t="n">
        <v>2332.87</v>
      </c>
      <c r="J465" s="1" t="str">
        <f aca="false">VLOOKUP(B465,Customers!$A$2:$G$502,6,FALSE())</f>
        <v>Corporate</v>
      </c>
      <c r="K465" s="1" t="str">
        <f aca="false">VLOOKUP(C465,Products!$A$2:$E$62,3,FALSE())</f>
        <v>Electronics</v>
      </c>
      <c r="L465" s="1" t="str">
        <f aca="false">TEXT(D465,"yyyy-mm")</f>
        <v>2024-06</v>
      </c>
    </row>
    <row r="466" customFormat="false" ht="15" hidden="false" customHeight="true" outlineLevel="0" collapsed="false">
      <c r="A466" s="1" t="n">
        <v>476</v>
      </c>
      <c r="B466" s="1" t="n">
        <v>355</v>
      </c>
      <c r="C466" s="1" t="n">
        <v>44</v>
      </c>
      <c r="D466" s="1" t="s">
        <v>611</v>
      </c>
      <c r="E466" s="1" t="n">
        <v>1</v>
      </c>
      <c r="F466" s="1" t="n">
        <v>508.26</v>
      </c>
      <c r="G466" s="1" t="n">
        <v>0.1</v>
      </c>
      <c r="H466" s="1" t="s">
        <v>1336</v>
      </c>
      <c r="I466" s="1" t="n">
        <v>457.43</v>
      </c>
      <c r="J466" s="1" t="str">
        <f aca="false">VLOOKUP(B466,Customers!$A$2:$G$502,6,FALSE())</f>
        <v>Corporate</v>
      </c>
      <c r="K466" s="1" t="str">
        <f aca="false">VLOOKUP(C466,Products!$A$2:$E$62,3,FALSE())</f>
        <v>Software</v>
      </c>
      <c r="L466" s="1" t="str">
        <f aca="false">TEXT(D466,"yyyy-mm")</f>
        <v>2024-06</v>
      </c>
    </row>
    <row r="467" customFormat="false" ht="15" hidden="false" customHeight="true" outlineLevel="0" collapsed="false">
      <c r="A467" s="1" t="n">
        <v>477</v>
      </c>
      <c r="B467" s="1" t="n">
        <v>329</v>
      </c>
      <c r="C467" s="1" t="n">
        <v>44</v>
      </c>
      <c r="D467" s="1" t="s">
        <v>1499</v>
      </c>
      <c r="E467" s="1" t="n">
        <v>3</v>
      </c>
      <c r="F467" s="1" t="n">
        <v>508.26</v>
      </c>
      <c r="G467" s="1" t="n">
        <v>0</v>
      </c>
      <c r="H467" s="1" t="s">
        <v>1336</v>
      </c>
      <c r="I467" s="1" t="n">
        <v>1524.78</v>
      </c>
      <c r="J467" s="1" t="str">
        <f aca="false">VLOOKUP(B467,Customers!$A$2:$G$502,6,FALSE())</f>
        <v>Consumer</v>
      </c>
      <c r="K467" s="1" t="str">
        <f aca="false">VLOOKUP(C467,Products!$A$2:$E$62,3,FALSE())</f>
        <v>Software</v>
      </c>
      <c r="L467" s="1" t="str">
        <f aca="false">TEXT(D467,"yyyy-mm")</f>
        <v>2024-10</v>
      </c>
    </row>
    <row r="468" customFormat="false" ht="15" hidden="false" customHeight="true" outlineLevel="0" collapsed="false">
      <c r="A468" s="1" t="n">
        <v>478</v>
      </c>
      <c r="B468" s="1" t="n">
        <v>63</v>
      </c>
      <c r="C468" s="1" t="n">
        <v>44</v>
      </c>
      <c r="D468" s="1" t="s">
        <v>1500</v>
      </c>
      <c r="E468" s="1" t="n">
        <v>4</v>
      </c>
      <c r="F468" s="1" t="n">
        <v>508.26</v>
      </c>
      <c r="G468" s="1" t="n">
        <v>0.05</v>
      </c>
      <c r="H468" s="1" t="s">
        <v>1336</v>
      </c>
      <c r="I468" s="1" t="n">
        <v>1931.39</v>
      </c>
      <c r="J468" s="1" t="str">
        <f aca="false">VLOOKUP(B468,Customers!$A$2:$G$502,6,FALSE())</f>
        <v>Consumer</v>
      </c>
      <c r="K468" s="1" t="str">
        <f aca="false">VLOOKUP(C468,Products!$A$2:$E$62,3,FALSE())</f>
        <v>Software</v>
      </c>
      <c r="L468" s="1" t="str">
        <f aca="false">TEXT(D468,"yyyy-mm")</f>
        <v>2024-06</v>
      </c>
    </row>
    <row r="469" customFormat="false" ht="15" hidden="false" customHeight="true" outlineLevel="0" collapsed="false">
      <c r="A469" s="1" t="n">
        <v>479</v>
      </c>
      <c r="B469" s="1" t="n">
        <v>25</v>
      </c>
      <c r="C469" s="1" t="n">
        <v>18</v>
      </c>
      <c r="D469" s="1" t="s">
        <v>1501</v>
      </c>
      <c r="E469" s="1" t="n">
        <v>1</v>
      </c>
      <c r="F469" s="1" t="n">
        <v>747.34</v>
      </c>
      <c r="G469" s="1" t="n">
        <v>0.1</v>
      </c>
      <c r="H469" s="1" t="s">
        <v>1336</v>
      </c>
      <c r="I469" s="1" t="n">
        <v>672.61</v>
      </c>
      <c r="J469" s="1" t="str">
        <f aca="false">VLOOKUP(B469,Customers!$A$2:$G$502,6,FALSE())</f>
        <v>Corporate</v>
      </c>
      <c r="K469" s="1" t="str">
        <f aca="false">VLOOKUP(C469,Products!$A$2:$E$62,3,FALSE())</f>
        <v>Electronics</v>
      </c>
      <c r="L469" s="1" t="str">
        <f aca="false">TEXT(D469,"yyyy-mm")</f>
        <v>2024-03</v>
      </c>
    </row>
    <row r="470" customFormat="false" ht="15" hidden="false" customHeight="true" outlineLevel="0" collapsed="false">
      <c r="A470" s="1" t="n">
        <v>480</v>
      </c>
      <c r="B470" s="1" t="n">
        <v>293</v>
      </c>
      <c r="C470" s="1" t="n">
        <v>52</v>
      </c>
      <c r="D470" s="1" t="s">
        <v>1434</v>
      </c>
      <c r="E470" s="1" t="n">
        <v>1</v>
      </c>
      <c r="F470" s="1" t="n">
        <v>207.67</v>
      </c>
      <c r="G470" s="1" t="n">
        <v>0.15</v>
      </c>
      <c r="H470" s="1" t="s">
        <v>1336</v>
      </c>
      <c r="I470" s="1" t="n">
        <v>176.52</v>
      </c>
      <c r="J470" s="1" t="str">
        <f aca="false">VLOOKUP(B470,Customers!$A$2:$G$502,6,FALSE())</f>
        <v>Small Business</v>
      </c>
      <c r="K470" s="1" t="str">
        <f aca="false">VLOOKUP(C470,Products!$A$2:$E$62,3,FALSE())</f>
        <v>Software</v>
      </c>
      <c r="L470" s="1" t="str">
        <f aca="false">TEXT(D470,"yyyy-mm")</f>
        <v>2023-01</v>
      </c>
    </row>
    <row r="471" customFormat="false" ht="15" hidden="false" customHeight="true" outlineLevel="0" collapsed="false">
      <c r="A471" s="1" t="n">
        <v>481</v>
      </c>
      <c r="B471" s="1" t="n">
        <v>101</v>
      </c>
      <c r="C471" s="1" t="n">
        <v>11</v>
      </c>
      <c r="D471" s="1" t="s">
        <v>1415</v>
      </c>
      <c r="E471" s="1" t="n">
        <v>8</v>
      </c>
      <c r="F471" s="1" t="n">
        <v>328.39</v>
      </c>
      <c r="G471" s="1" t="n">
        <v>0</v>
      </c>
      <c r="H471" s="1" t="s">
        <v>1336</v>
      </c>
      <c r="I471" s="1" t="n">
        <v>2627.12</v>
      </c>
      <c r="J471" s="1" t="str">
        <f aca="false">VLOOKUP(B471,Customers!$A$2:$G$502,6,FALSE())</f>
        <v>Corporate</v>
      </c>
      <c r="K471" s="1" t="str">
        <f aca="false">VLOOKUP(C471,Products!$A$2:$E$62,3,FALSE())</f>
        <v>Electronics</v>
      </c>
      <c r="L471" s="1" t="str">
        <f aca="false">TEXT(D471,"yyyy-mm")</f>
        <v>2023-12</v>
      </c>
    </row>
    <row r="472" customFormat="false" ht="15" hidden="false" customHeight="true" outlineLevel="0" collapsed="false">
      <c r="A472" s="1" t="n">
        <v>482</v>
      </c>
      <c r="B472" s="1" t="n">
        <v>13</v>
      </c>
      <c r="C472" s="1" t="n">
        <v>38</v>
      </c>
      <c r="D472" s="1" t="s">
        <v>1160</v>
      </c>
      <c r="E472" s="1" t="n">
        <v>2</v>
      </c>
      <c r="F472" s="1" t="n">
        <v>521.63</v>
      </c>
      <c r="G472" s="1" t="n">
        <v>0</v>
      </c>
      <c r="H472" s="1" t="s">
        <v>1336</v>
      </c>
      <c r="I472" s="1" t="n">
        <v>1043.26</v>
      </c>
      <c r="J472" s="1" t="str">
        <f aca="false">VLOOKUP(B472,Customers!$A$2:$G$502,6,FALSE())</f>
        <v>Corporate</v>
      </c>
      <c r="K472" s="1" t="str">
        <f aca="false">VLOOKUP(C472,Products!$A$2:$E$62,3,FALSE())</f>
        <v>Software</v>
      </c>
      <c r="L472" s="1" t="str">
        <f aca="false">TEXT(D472,"yyyy-mm")</f>
        <v>2024-10</v>
      </c>
    </row>
    <row r="473" customFormat="false" ht="15" hidden="false" customHeight="true" outlineLevel="0" collapsed="false">
      <c r="A473" s="1" t="n">
        <v>483</v>
      </c>
      <c r="B473" s="1" t="n">
        <v>427</v>
      </c>
      <c r="C473" s="1" t="n">
        <v>4</v>
      </c>
      <c r="D473" s="1" t="s">
        <v>377</v>
      </c>
      <c r="E473" s="1" t="n">
        <v>8</v>
      </c>
      <c r="F473" s="1" t="n">
        <v>56.24</v>
      </c>
      <c r="G473" s="1" t="n">
        <v>0.1</v>
      </c>
      <c r="H473" s="1" t="s">
        <v>1336</v>
      </c>
      <c r="I473" s="1" t="n">
        <v>404.93</v>
      </c>
      <c r="J473" s="1" t="str">
        <f aca="false">VLOOKUP(B473,Customers!$A$2:$G$502,6,FALSE())</f>
        <v>Small Business</v>
      </c>
      <c r="K473" s="1" t="str">
        <f aca="false">VLOOKUP(C473,Products!$A$2:$E$62,3,FALSE())</f>
        <v>Electronics</v>
      </c>
      <c r="L473" s="1" t="str">
        <f aca="false">TEXT(D473,"yyyy-mm")</f>
        <v>2023-12</v>
      </c>
    </row>
    <row r="474" customFormat="false" ht="15" hidden="false" customHeight="true" outlineLevel="0" collapsed="false">
      <c r="A474" s="1" t="n">
        <v>484</v>
      </c>
      <c r="B474" s="1" t="n">
        <v>392</v>
      </c>
      <c r="C474" s="1" t="n">
        <v>7</v>
      </c>
      <c r="D474" s="1" t="s">
        <v>272</v>
      </c>
      <c r="E474" s="1" t="n">
        <v>7</v>
      </c>
      <c r="F474" s="1" t="n">
        <v>460</v>
      </c>
      <c r="G474" s="1" t="n">
        <v>0.05</v>
      </c>
      <c r="H474" s="1" t="s">
        <v>1336</v>
      </c>
      <c r="I474" s="1" t="n">
        <v>3059</v>
      </c>
      <c r="J474" s="1" t="str">
        <f aca="false">VLOOKUP(B474,Customers!$A$2:$G$502,6,FALSE())</f>
        <v>Corporate</v>
      </c>
      <c r="K474" s="1" t="str">
        <f aca="false">VLOOKUP(C474,Products!$A$2:$E$62,3,FALSE())</f>
        <v>Electronics</v>
      </c>
      <c r="L474" s="1" t="str">
        <f aca="false">TEXT(D474,"yyyy-mm")</f>
        <v>2024-10</v>
      </c>
    </row>
    <row r="475" customFormat="false" ht="15" hidden="false" customHeight="true" outlineLevel="0" collapsed="false">
      <c r="A475" s="1" t="n">
        <v>485</v>
      </c>
      <c r="B475" s="1" t="n">
        <v>161</v>
      </c>
      <c r="C475" s="1" t="n">
        <v>57</v>
      </c>
      <c r="D475" s="1" t="s">
        <v>952</v>
      </c>
      <c r="E475" s="1" t="n">
        <v>2</v>
      </c>
      <c r="F475" s="1" t="n">
        <v>719.76</v>
      </c>
      <c r="G475" s="1" t="n">
        <v>0</v>
      </c>
      <c r="H475" s="1" t="s">
        <v>1336</v>
      </c>
      <c r="I475" s="1" t="n">
        <v>1439.52</v>
      </c>
      <c r="J475" s="1" t="str">
        <f aca="false">VLOOKUP(B475,Customers!$A$2:$G$502,6,FALSE())</f>
        <v>Consumer</v>
      </c>
      <c r="K475" s="1" t="str">
        <f aca="false">VLOOKUP(C475,Products!$A$2:$E$62,3,FALSE())</f>
        <v>Furniture</v>
      </c>
      <c r="L475" s="1" t="str">
        <f aca="false">TEXT(D475,"yyyy-mm")</f>
        <v>2024-12</v>
      </c>
    </row>
    <row r="476" customFormat="false" ht="15" hidden="false" customHeight="true" outlineLevel="0" collapsed="false">
      <c r="A476" s="1" t="n">
        <v>486</v>
      </c>
      <c r="B476" s="1" t="n">
        <v>313</v>
      </c>
      <c r="C476" s="1" t="n">
        <v>41</v>
      </c>
      <c r="D476" s="1" t="s">
        <v>1495</v>
      </c>
      <c r="E476" s="1" t="n">
        <v>6</v>
      </c>
      <c r="F476" s="1" t="n">
        <v>594.54</v>
      </c>
      <c r="G476" s="1" t="n">
        <v>0</v>
      </c>
      <c r="H476" s="1" t="s">
        <v>1336</v>
      </c>
      <c r="I476" s="1" t="n">
        <v>3567.24</v>
      </c>
      <c r="J476" s="1" t="str">
        <f aca="false">VLOOKUP(B476,Customers!$A$2:$G$502,6,FALSE())</f>
        <v>Consumer</v>
      </c>
      <c r="K476" s="1" t="str">
        <f aca="false">VLOOKUP(C476,Products!$A$2:$E$62,3,FALSE())</f>
        <v>Software</v>
      </c>
      <c r="L476" s="1" t="str">
        <f aca="false">TEXT(D476,"yyyy-mm")</f>
        <v>2024-03</v>
      </c>
    </row>
    <row r="477" customFormat="false" ht="15" hidden="false" customHeight="true" outlineLevel="0" collapsed="false">
      <c r="A477" s="1" t="n">
        <v>487</v>
      </c>
      <c r="B477" s="1" t="n">
        <v>206</v>
      </c>
      <c r="C477" s="1" t="n">
        <v>7</v>
      </c>
      <c r="D477" s="1" t="s">
        <v>1463</v>
      </c>
      <c r="E477" s="1" t="n">
        <v>6</v>
      </c>
      <c r="F477" s="1" t="n">
        <v>460</v>
      </c>
      <c r="G477" s="1" t="n">
        <v>0.2</v>
      </c>
      <c r="H477" s="1" t="s">
        <v>1336</v>
      </c>
      <c r="I477" s="1" t="n">
        <v>2208</v>
      </c>
      <c r="J477" s="1" t="str">
        <f aca="false">VLOOKUP(B477,Customers!$A$2:$G$502,6,FALSE())</f>
        <v>Small Business</v>
      </c>
      <c r="K477" s="1" t="str">
        <f aca="false">VLOOKUP(C477,Products!$A$2:$E$62,3,FALSE())</f>
        <v>Electronics</v>
      </c>
      <c r="L477" s="1" t="str">
        <f aca="false">TEXT(D477,"yyyy-mm")</f>
        <v>2024-09</v>
      </c>
    </row>
    <row r="478" customFormat="false" ht="15" hidden="false" customHeight="true" outlineLevel="0" collapsed="false">
      <c r="A478" s="1" t="n">
        <v>488</v>
      </c>
      <c r="B478" s="1" t="n">
        <v>233</v>
      </c>
      <c r="C478" s="1" t="n">
        <v>25</v>
      </c>
      <c r="D478" s="1" t="s">
        <v>188</v>
      </c>
      <c r="E478" s="1" t="n">
        <v>3</v>
      </c>
      <c r="F478" s="1" t="n">
        <v>300.49</v>
      </c>
      <c r="G478" s="1" t="n">
        <v>0.2</v>
      </c>
      <c r="H478" s="1" t="s">
        <v>1336</v>
      </c>
      <c r="I478" s="1" t="n">
        <v>721.18</v>
      </c>
      <c r="J478" s="1" t="str">
        <f aca="false">VLOOKUP(B478,Customers!$A$2:$G$502,6,FALSE())</f>
        <v>Corporate</v>
      </c>
      <c r="K478" s="1" t="str">
        <f aca="false">VLOOKUP(C478,Products!$A$2:$E$62,3,FALSE())</f>
        <v>Office Supplies</v>
      </c>
      <c r="L478" s="1" t="str">
        <f aca="false">TEXT(D478,"yyyy-mm")</f>
        <v>2024-04</v>
      </c>
    </row>
    <row r="479" customFormat="false" ht="15" hidden="false" customHeight="true" outlineLevel="0" collapsed="false">
      <c r="A479" s="1" t="n">
        <v>490</v>
      </c>
      <c r="B479" s="1" t="n">
        <v>366</v>
      </c>
      <c r="C479" s="1" t="n">
        <v>5</v>
      </c>
      <c r="D479" s="1" t="s">
        <v>1502</v>
      </c>
      <c r="E479" s="1" t="n">
        <v>1</v>
      </c>
      <c r="F479" s="1" t="n">
        <v>439.06</v>
      </c>
      <c r="G479" s="1" t="n">
        <v>0.2</v>
      </c>
      <c r="H479" s="1" t="s">
        <v>1336</v>
      </c>
      <c r="I479" s="1" t="n">
        <v>351.25</v>
      </c>
      <c r="J479" s="1" t="str">
        <f aca="false">VLOOKUP(B479,Customers!$A$2:$G$502,6,FALSE())</f>
        <v>Corporate</v>
      </c>
      <c r="K479" s="1" t="str">
        <f aca="false">VLOOKUP(C479,Products!$A$2:$E$62,3,FALSE())</f>
        <v>Electronics</v>
      </c>
      <c r="L479" s="1" t="str">
        <f aca="false">TEXT(D479,"yyyy-mm")</f>
        <v>2024-08</v>
      </c>
    </row>
    <row r="480" customFormat="false" ht="15" hidden="false" customHeight="true" outlineLevel="0" collapsed="false">
      <c r="A480" s="1" t="n">
        <v>491</v>
      </c>
      <c r="B480" s="1" t="n">
        <v>182</v>
      </c>
      <c r="C480" s="1" t="n">
        <v>27</v>
      </c>
      <c r="D480" s="1" t="s">
        <v>1439</v>
      </c>
      <c r="E480" s="1" t="n">
        <v>6</v>
      </c>
      <c r="F480" s="1" t="n">
        <v>772.58</v>
      </c>
      <c r="G480" s="1" t="n">
        <v>0.15</v>
      </c>
      <c r="H480" s="1" t="s">
        <v>1336</v>
      </c>
      <c r="I480" s="1" t="n">
        <v>3940.16</v>
      </c>
      <c r="J480" s="1" t="str">
        <f aca="false">VLOOKUP(B480,Customers!$A$2:$G$502,6,FALSE())</f>
        <v>Unknown</v>
      </c>
      <c r="K480" s="1" t="str">
        <f aca="false">VLOOKUP(C480,Products!$A$2:$E$62,3,FALSE())</f>
        <v>Office Supplies</v>
      </c>
      <c r="L480" s="1" t="str">
        <f aca="false">TEXT(D480,"yyyy-mm")</f>
        <v>2024-05</v>
      </c>
    </row>
    <row r="481" customFormat="false" ht="15" hidden="false" customHeight="true" outlineLevel="0" collapsed="false">
      <c r="A481" s="1" t="n">
        <v>492</v>
      </c>
      <c r="B481" s="1" t="n">
        <v>66</v>
      </c>
      <c r="C481" s="1" t="n">
        <v>20</v>
      </c>
      <c r="D481" s="1" t="s">
        <v>937</v>
      </c>
      <c r="E481" s="1" t="n">
        <v>5</v>
      </c>
      <c r="F481" s="1" t="n">
        <v>426.15</v>
      </c>
      <c r="G481" s="1" t="n">
        <v>0.05</v>
      </c>
      <c r="H481" s="1" t="s">
        <v>1336</v>
      </c>
      <c r="I481" s="1" t="n">
        <v>2024.21</v>
      </c>
      <c r="J481" s="1" t="str">
        <f aca="false">VLOOKUP(B481,Customers!$A$2:$G$502,6,FALSE())</f>
        <v>Corporate</v>
      </c>
      <c r="K481" s="1" t="str">
        <f aca="false">VLOOKUP(C481,Products!$A$2:$E$62,3,FALSE())</f>
        <v>Office Supplies</v>
      </c>
      <c r="L481" s="1" t="str">
        <f aca="false">TEXT(D481,"yyyy-mm")</f>
        <v>2024-08</v>
      </c>
    </row>
    <row r="482" customFormat="false" ht="15" hidden="false" customHeight="true" outlineLevel="0" collapsed="false">
      <c r="A482" s="1" t="n">
        <v>493</v>
      </c>
      <c r="B482" s="1" t="n">
        <v>278</v>
      </c>
      <c r="C482" s="1" t="n">
        <v>50</v>
      </c>
      <c r="D482" s="1" t="s">
        <v>1503</v>
      </c>
      <c r="E482" s="1" t="n">
        <v>9</v>
      </c>
      <c r="F482" s="1" t="n">
        <v>19.73</v>
      </c>
      <c r="G482" s="1" t="n">
        <v>0</v>
      </c>
      <c r="H482" s="1" t="s">
        <v>1336</v>
      </c>
      <c r="I482" s="1" t="n">
        <v>177.57</v>
      </c>
      <c r="J482" s="1" t="str">
        <f aca="false">VLOOKUP(B482,Customers!$A$2:$G$502,6,FALSE())</f>
        <v>Consumer</v>
      </c>
      <c r="K482" s="1" t="str">
        <f aca="false">VLOOKUP(C482,Products!$A$2:$E$62,3,FALSE())</f>
        <v>Software</v>
      </c>
      <c r="L482" s="1" t="str">
        <f aca="false">TEXT(D482,"yyyy-mm")</f>
        <v>2023-05</v>
      </c>
    </row>
    <row r="483" customFormat="false" ht="15" hidden="false" customHeight="true" outlineLevel="0" collapsed="false">
      <c r="A483" s="1" t="n">
        <v>494</v>
      </c>
      <c r="B483" s="1" t="n">
        <v>266</v>
      </c>
      <c r="C483" s="1" t="n">
        <v>38</v>
      </c>
      <c r="D483" s="1" t="s">
        <v>1454</v>
      </c>
      <c r="E483" s="1" t="n">
        <v>1</v>
      </c>
      <c r="F483" s="1" t="n">
        <v>521.63</v>
      </c>
      <c r="G483" s="1" t="n">
        <v>0.15</v>
      </c>
      <c r="H483" s="1" t="s">
        <v>1336</v>
      </c>
      <c r="I483" s="1" t="n">
        <v>443.39</v>
      </c>
      <c r="J483" s="1" t="str">
        <f aca="false">VLOOKUP(B483,Customers!$A$2:$G$502,6,FALSE())</f>
        <v>Corporate</v>
      </c>
      <c r="K483" s="1" t="str">
        <f aca="false">VLOOKUP(C483,Products!$A$2:$E$62,3,FALSE())</f>
        <v>Software</v>
      </c>
      <c r="L483" s="1" t="str">
        <f aca="false">TEXT(D483,"yyyy-mm")</f>
        <v>2024-11</v>
      </c>
    </row>
    <row r="484" customFormat="false" ht="15" hidden="false" customHeight="true" outlineLevel="0" collapsed="false">
      <c r="A484" s="1" t="n">
        <v>495</v>
      </c>
      <c r="B484" s="1" t="n">
        <v>28</v>
      </c>
      <c r="C484" s="1" t="n">
        <v>28</v>
      </c>
      <c r="D484" s="1" t="s">
        <v>1402</v>
      </c>
      <c r="E484" s="1" t="n">
        <v>7</v>
      </c>
      <c r="F484" s="1" t="n">
        <v>505.23</v>
      </c>
      <c r="G484" s="1" t="n">
        <v>0</v>
      </c>
      <c r="H484" s="1" t="s">
        <v>1370</v>
      </c>
      <c r="I484" s="1" t="n">
        <v>3536.61</v>
      </c>
      <c r="J484" s="1" t="str">
        <f aca="false">VLOOKUP(B484,Customers!$A$2:$G$502,6,FALSE())</f>
        <v>Small Business</v>
      </c>
      <c r="K484" s="1" t="str">
        <f aca="false">VLOOKUP(C484,Products!$A$2:$E$62,3,FALSE())</f>
        <v>Office Supplies</v>
      </c>
      <c r="L484" s="1" t="str">
        <f aca="false">TEXT(D484,"yyyy-mm")</f>
        <v>2023-12</v>
      </c>
    </row>
    <row r="485" customFormat="false" ht="15" hidden="false" customHeight="true" outlineLevel="0" collapsed="false">
      <c r="A485" s="1" t="n">
        <v>496</v>
      </c>
      <c r="B485" s="1" t="n">
        <v>97</v>
      </c>
      <c r="C485" s="1" t="n">
        <v>43</v>
      </c>
      <c r="D485" s="1" t="s">
        <v>1446</v>
      </c>
      <c r="E485" s="1" t="n">
        <v>5</v>
      </c>
      <c r="F485" s="1" t="n">
        <v>186.31</v>
      </c>
      <c r="G485" s="1" t="n">
        <v>0.15</v>
      </c>
      <c r="H485" s="1" t="s">
        <v>1336</v>
      </c>
      <c r="I485" s="1" t="n">
        <v>791.82</v>
      </c>
      <c r="J485" s="1" t="str">
        <f aca="false">VLOOKUP(B485,Customers!$A$2:$G$502,6,FALSE())</f>
        <v>Corporate</v>
      </c>
      <c r="K485" s="1" t="str">
        <f aca="false">VLOOKUP(C485,Products!$A$2:$E$62,3,FALSE())</f>
        <v>Software</v>
      </c>
      <c r="L485" s="1" t="str">
        <f aca="false">TEXT(D485,"yyyy-mm")</f>
        <v>2024-05</v>
      </c>
    </row>
    <row r="486" customFormat="false" ht="15" hidden="false" customHeight="true" outlineLevel="0" collapsed="false">
      <c r="A486" s="1" t="n">
        <v>497</v>
      </c>
      <c r="B486" s="1" t="n">
        <v>290</v>
      </c>
      <c r="C486" s="1" t="n">
        <v>22</v>
      </c>
      <c r="D486" s="1" t="s">
        <v>173</v>
      </c>
      <c r="E486" s="1" t="n">
        <v>5</v>
      </c>
      <c r="F486" s="1" t="n">
        <v>38.57</v>
      </c>
      <c r="G486" s="1" t="n">
        <v>0</v>
      </c>
      <c r="H486" s="1" t="s">
        <v>1336</v>
      </c>
      <c r="I486" s="1" t="n">
        <v>192.85</v>
      </c>
      <c r="J486" s="1" t="str">
        <f aca="false">VLOOKUP(B486,Customers!$A$2:$G$502,6,FALSE())</f>
        <v>Consumer</v>
      </c>
      <c r="K486" s="1" t="str">
        <f aca="false">VLOOKUP(C486,Products!$A$2:$E$62,3,FALSE())</f>
        <v>Office Supplies</v>
      </c>
      <c r="L486" s="1" t="str">
        <f aca="false">TEXT(D486,"yyyy-mm")</f>
        <v>2024-09</v>
      </c>
    </row>
    <row r="487" customFormat="false" ht="15" hidden="false" customHeight="true" outlineLevel="0" collapsed="false">
      <c r="A487" s="1" t="n">
        <v>498</v>
      </c>
      <c r="B487" s="1" t="n">
        <v>22</v>
      </c>
      <c r="C487" s="1" t="n">
        <v>32</v>
      </c>
      <c r="D487" s="1" t="s">
        <v>59</v>
      </c>
      <c r="E487" s="1" t="n">
        <v>2</v>
      </c>
      <c r="F487" s="1" t="n">
        <v>492.27</v>
      </c>
      <c r="G487" s="1" t="n">
        <v>0</v>
      </c>
      <c r="H487" s="1" t="s">
        <v>1336</v>
      </c>
      <c r="I487" s="1" t="n">
        <v>984.54</v>
      </c>
      <c r="J487" s="1" t="str">
        <f aca="false">VLOOKUP(B487,Customers!$A$2:$G$502,6,FALSE())</f>
        <v>Consumer</v>
      </c>
      <c r="K487" s="1" t="str">
        <f aca="false">VLOOKUP(C487,Products!$A$2:$E$62,3,FALSE())</f>
        <v>Office Supplies</v>
      </c>
      <c r="L487" s="1" t="str">
        <f aca="false">TEXT(D487,"yyyy-mm")</f>
        <v>2023-08</v>
      </c>
    </row>
    <row r="488" customFormat="false" ht="15" hidden="false" customHeight="true" outlineLevel="0" collapsed="false">
      <c r="A488" s="1" t="n">
        <v>499</v>
      </c>
      <c r="B488" s="1" t="n">
        <v>247</v>
      </c>
      <c r="C488" s="1" t="n">
        <v>48</v>
      </c>
      <c r="D488" s="1" t="s">
        <v>1504</v>
      </c>
      <c r="E488" s="1" t="n">
        <v>3</v>
      </c>
      <c r="F488" s="1" t="n">
        <v>493.53</v>
      </c>
      <c r="G488" s="1" t="n">
        <v>0.2</v>
      </c>
      <c r="H488" s="1" t="s">
        <v>1336</v>
      </c>
      <c r="I488" s="1" t="n">
        <v>1184.47</v>
      </c>
      <c r="J488" s="1" t="str">
        <f aca="false">VLOOKUP(B488,Customers!$A$2:$G$502,6,FALSE())</f>
        <v>Small Business</v>
      </c>
      <c r="K488" s="1" t="str">
        <f aca="false">VLOOKUP(C488,Products!$A$2:$E$62,3,FALSE())</f>
        <v>Software</v>
      </c>
      <c r="L488" s="1" t="str">
        <f aca="false">TEXT(D488,"yyyy-mm")</f>
        <v>2023-12</v>
      </c>
    </row>
    <row r="489" customFormat="false" ht="15" hidden="false" customHeight="true" outlineLevel="0" collapsed="false">
      <c r="A489" s="1" t="n">
        <v>500</v>
      </c>
      <c r="B489" s="1" t="n">
        <v>186</v>
      </c>
      <c r="C489" s="1" t="n">
        <v>1</v>
      </c>
      <c r="D489" s="1" t="s">
        <v>127</v>
      </c>
      <c r="E489" s="1" t="n">
        <v>7</v>
      </c>
      <c r="F489" s="1" t="n">
        <v>327.32</v>
      </c>
      <c r="G489" s="1" t="n">
        <v>0</v>
      </c>
      <c r="H489" s="1" t="s">
        <v>1336</v>
      </c>
      <c r="I489" s="1" t="n">
        <v>2291.24</v>
      </c>
      <c r="J489" s="1" t="str">
        <f aca="false">VLOOKUP(B489,Customers!$A$2:$G$502,6,FALSE())</f>
        <v>Small Business</v>
      </c>
      <c r="K489" s="1" t="str">
        <f aca="false">VLOOKUP(C489,Products!$A$2:$E$62,3,FALSE())</f>
        <v>Electronics</v>
      </c>
      <c r="L489" s="1" t="str">
        <f aca="false">TEXT(D489,"yyyy-mm")</f>
        <v>2023-03</v>
      </c>
    </row>
    <row r="490" customFormat="false" ht="15" hidden="false" customHeight="true" outlineLevel="0" collapsed="false">
      <c r="A490" s="1" t="n">
        <v>501</v>
      </c>
      <c r="B490" s="1" t="n">
        <v>300</v>
      </c>
      <c r="C490" s="1" t="n">
        <v>59</v>
      </c>
      <c r="D490" s="1" t="s">
        <v>1069</v>
      </c>
      <c r="E490" s="1" t="n">
        <v>6</v>
      </c>
      <c r="F490" s="1" t="n">
        <v>438.89</v>
      </c>
      <c r="G490" s="1" t="n">
        <v>0</v>
      </c>
      <c r="H490" s="1" t="s">
        <v>1370</v>
      </c>
      <c r="I490" s="1" t="n">
        <v>2633.34</v>
      </c>
      <c r="J490" s="1" t="str">
        <f aca="false">VLOOKUP(B490,Customers!$A$2:$G$502,6,FALSE())</f>
        <v>Consumer</v>
      </c>
      <c r="K490" s="1" t="str">
        <f aca="false">VLOOKUP(C490,Products!$A$2:$E$62,3,FALSE())</f>
        <v>Furniture</v>
      </c>
      <c r="L490" s="1" t="str">
        <f aca="false">TEXT(D490,"yyyy-mm")</f>
        <v>2024-01</v>
      </c>
    </row>
    <row r="491" customFormat="false" ht="15" hidden="false" customHeight="true" outlineLevel="0" collapsed="false">
      <c r="A491" s="1" t="n">
        <v>502</v>
      </c>
      <c r="B491" s="1" t="n">
        <v>135</v>
      </c>
      <c r="C491" s="1" t="n">
        <v>47</v>
      </c>
      <c r="D491" s="1" t="s">
        <v>1407</v>
      </c>
      <c r="E491" s="1" t="n">
        <v>2</v>
      </c>
      <c r="F491" s="1" t="n">
        <v>506.19</v>
      </c>
      <c r="G491" s="1" t="n">
        <v>0</v>
      </c>
      <c r="H491" s="1" t="s">
        <v>1336</v>
      </c>
      <c r="I491" s="1" t="n">
        <v>1012.38</v>
      </c>
      <c r="J491" s="1" t="str">
        <f aca="false">VLOOKUP(B491,Customers!$A$2:$G$502,6,FALSE())</f>
        <v>Corporate</v>
      </c>
      <c r="K491" s="1" t="str">
        <f aca="false">VLOOKUP(C491,Products!$A$2:$E$62,3,FALSE())</f>
        <v>Software</v>
      </c>
      <c r="L491" s="1" t="str">
        <f aca="false">TEXT(D491,"yyyy-mm")</f>
        <v>2023-06</v>
      </c>
    </row>
    <row r="492" customFormat="false" ht="15" hidden="false" customHeight="true" outlineLevel="0" collapsed="false">
      <c r="A492" s="1" t="n">
        <v>503</v>
      </c>
      <c r="B492" s="1" t="n">
        <v>135</v>
      </c>
      <c r="C492" s="1" t="n">
        <v>59</v>
      </c>
      <c r="D492" s="1" t="s">
        <v>1505</v>
      </c>
      <c r="E492" s="1" t="n">
        <v>6</v>
      </c>
      <c r="F492" s="1" t="n">
        <v>438.89</v>
      </c>
      <c r="G492" s="1" t="n">
        <v>0</v>
      </c>
      <c r="H492" s="1" t="s">
        <v>1336</v>
      </c>
      <c r="I492" s="1" t="n">
        <v>2633.34</v>
      </c>
      <c r="J492" s="1" t="str">
        <f aca="false">VLOOKUP(B492,Customers!$A$2:$G$502,6,FALSE())</f>
        <v>Corporate</v>
      </c>
      <c r="K492" s="1" t="str">
        <f aca="false">VLOOKUP(C492,Products!$A$2:$E$62,3,FALSE())</f>
        <v>Furniture</v>
      </c>
      <c r="L492" s="1" t="str">
        <f aca="false">TEXT(D492,"yyyy-mm")</f>
        <v>2023-04</v>
      </c>
    </row>
    <row r="493" customFormat="false" ht="15" hidden="false" customHeight="true" outlineLevel="0" collapsed="false">
      <c r="A493" s="1" t="n">
        <v>504</v>
      </c>
      <c r="B493" s="1" t="n">
        <v>174</v>
      </c>
      <c r="C493" s="1" t="n">
        <v>60</v>
      </c>
      <c r="D493" s="1" t="s">
        <v>146</v>
      </c>
      <c r="E493" s="1" t="n">
        <v>2</v>
      </c>
      <c r="F493" s="1" t="n">
        <v>584.98</v>
      </c>
      <c r="G493" s="1" t="n">
        <v>0</v>
      </c>
      <c r="H493" s="1" t="s">
        <v>1336</v>
      </c>
      <c r="I493" s="1" t="n">
        <v>1169.96</v>
      </c>
      <c r="J493" s="1" t="str">
        <f aca="false">VLOOKUP(B493,Customers!$A$2:$G$502,6,FALSE())</f>
        <v>Small Business</v>
      </c>
      <c r="K493" s="1" t="str">
        <f aca="false">VLOOKUP(C493,Products!$A$2:$E$62,3,FALSE())</f>
        <v>Furniture</v>
      </c>
      <c r="L493" s="1" t="str">
        <f aca="false">TEXT(D493,"yyyy-mm")</f>
        <v>2023-08</v>
      </c>
    </row>
    <row r="494" customFormat="false" ht="15" hidden="false" customHeight="true" outlineLevel="0" collapsed="false">
      <c r="A494" s="1" t="n">
        <v>505</v>
      </c>
      <c r="B494" s="1" t="n">
        <v>270</v>
      </c>
      <c r="C494" s="1" t="n">
        <v>52</v>
      </c>
      <c r="D494" s="1" t="s">
        <v>1052</v>
      </c>
      <c r="E494" s="1" t="n">
        <v>2</v>
      </c>
      <c r="F494" s="1" t="n">
        <v>207.67</v>
      </c>
      <c r="G494" s="1" t="n">
        <v>0.05</v>
      </c>
      <c r="H494" s="1" t="s">
        <v>1336</v>
      </c>
      <c r="I494" s="1" t="n">
        <v>394.57</v>
      </c>
      <c r="J494" s="1" t="str">
        <f aca="false">VLOOKUP(B494,Customers!$A$2:$G$502,6,FALSE())</f>
        <v>Small Business</v>
      </c>
      <c r="K494" s="1" t="str">
        <f aca="false">VLOOKUP(C494,Products!$A$2:$E$62,3,FALSE())</f>
        <v>Software</v>
      </c>
      <c r="L494" s="1" t="str">
        <f aca="false">TEXT(D494,"yyyy-mm")</f>
        <v>2024-09</v>
      </c>
    </row>
    <row r="495" customFormat="false" ht="15" hidden="false" customHeight="true" outlineLevel="0" collapsed="false">
      <c r="A495" s="1" t="n">
        <v>506</v>
      </c>
      <c r="B495" s="1" t="n">
        <v>407</v>
      </c>
      <c r="C495" s="1" t="n">
        <v>13</v>
      </c>
      <c r="D495" s="1" t="s">
        <v>614</v>
      </c>
      <c r="E495" s="1" t="n">
        <v>2</v>
      </c>
      <c r="F495" s="1" t="n">
        <v>352.54</v>
      </c>
      <c r="G495" s="1" t="n">
        <v>0.1</v>
      </c>
      <c r="H495" s="1" t="s">
        <v>1336</v>
      </c>
      <c r="I495" s="1" t="n">
        <v>634.57</v>
      </c>
      <c r="J495" s="1" t="str">
        <f aca="false">VLOOKUP(B495,Customers!$A$2:$G$502,6,FALSE())</f>
        <v>Consumer</v>
      </c>
      <c r="K495" s="1" t="str">
        <f aca="false">VLOOKUP(C495,Products!$A$2:$E$62,3,FALSE())</f>
        <v>Electronics</v>
      </c>
      <c r="L495" s="1" t="str">
        <f aca="false">TEXT(D495,"yyyy-mm")</f>
        <v>2023-07</v>
      </c>
    </row>
    <row r="496" customFormat="false" ht="15" hidden="false" customHeight="true" outlineLevel="0" collapsed="false">
      <c r="A496" s="1" t="n">
        <v>507</v>
      </c>
      <c r="B496" s="1" t="n">
        <v>126</v>
      </c>
      <c r="C496" s="1" t="n">
        <v>59</v>
      </c>
      <c r="D496" s="1" t="s">
        <v>183</v>
      </c>
      <c r="E496" s="1" t="n">
        <v>3</v>
      </c>
      <c r="F496" s="1" t="n">
        <v>438.89</v>
      </c>
      <c r="G496" s="1" t="n">
        <v>0.2</v>
      </c>
      <c r="H496" s="1" t="s">
        <v>1336</v>
      </c>
      <c r="I496" s="1" t="n">
        <v>1053.34</v>
      </c>
      <c r="J496" s="1" t="str">
        <f aca="false">VLOOKUP(B496,Customers!$A$2:$G$502,6,FALSE())</f>
        <v>Small Business</v>
      </c>
      <c r="K496" s="1" t="str">
        <f aca="false">VLOOKUP(C496,Products!$A$2:$E$62,3,FALSE())</f>
        <v>Furniture</v>
      </c>
      <c r="L496" s="1" t="str">
        <f aca="false">TEXT(D496,"yyyy-mm")</f>
        <v>2023-02</v>
      </c>
    </row>
    <row r="497" customFormat="false" ht="15" hidden="false" customHeight="true" outlineLevel="0" collapsed="false">
      <c r="A497" s="1" t="n">
        <v>508</v>
      </c>
      <c r="B497" s="1" t="n">
        <v>168</v>
      </c>
      <c r="C497" s="1" t="n">
        <v>16</v>
      </c>
      <c r="D497" s="1" t="s">
        <v>742</v>
      </c>
      <c r="E497" s="1" t="n">
        <v>2</v>
      </c>
      <c r="F497" s="1" t="n">
        <v>330.91</v>
      </c>
      <c r="G497" s="1" t="n">
        <v>0.15</v>
      </c>
      <c r="H497" s="1" t="s">
        <v>1336</v>
      </c>
      <c r="I497" s="1" t="n">
        <v>562.55</v>
      </c>
      <c r="J497" s="1" t="str">
        <f aca="false">VLOOKUP(B497,Customers!$A$2:$G$502,6,FALSE())</f>
        <v>Consumer</v>
      </c>
      <c r="K497" s="1" t="str">
        <f aca="false">VLOOKUP(C497,Products!$A$2:$E$62,3,FALSE())</f>
        <v>Electronics</v>
      </c>
      <c r="L497" s="1" t="str">
        <f aca="false">TEXT(D497,"yyyy-mm")</f>
        <v>2023-02</v>
      </c>
    </row>
    <row r="498" customFormat="false" ht="15" hidden="false" customHeight="true" outlineLevel="0" collapsed="false">
      <c r="A498" s="1" t="n">
        <v>509</v>
      </c>
      <c r="B498" s="1" t="n">
        <v>454</v>
      </c>
      <c r="C498" s="1" t="n">
        <v>32</v>
      </c>
      <c r="D498" s="1" t="s">
        <v>1396</v>
      </c>
      <c r="E498" s="1" t="n">
        <v>4</v>
      </c>
      <c r="F498" s="1" t="n">
        <v>492.27</v>
      </c>
      <c r="G498" s="1" t="n">
        <v>0.15</v>
      </c>
      <c r="H498" s="1" t="s">
        <v>1336</v>
      </c>
      <c r="I498" s="1" t="n">
        <v>1673.72</v>
      </c>
      <c r="J498" s="1" t="str">
        <f aca="false">VLOOKUP(B498,Customers!$A$2:$G$502,6,FALSE())</f>
        <v>Consumer</v>
      </c>
      <c r="K498" s="1" t="str">
        <f aca="false">VLOOKUP(C498,Products!$A$2:$E$62,3,FALSE())</f>
        <v>Office Supplies</v>
      </c>
      <c r="L498" s="1" t="str">
        <f aca="false">TEXT(D498,"yyyy-mm")</f>
        <v>2023-08</v>
      </c>
    </row>
    <row r="499" customFormat="false" ht="15" hidden="false" customHeight="true" outlineLevel="0" collapsed="false">
      <c r="A499" s="1" t="n">
        <v>510</v>
      </c>
      <c r="B499" s="1" t="n">
        <v>261</v>
      </c>
      <c r="C499" s="1" t="n">
        <v>25</v>
      </c>
      <c r="D499" s="1" t="s">
        <v>1338</v>
      </c>
      <c r="E499" s="1" t="n">
        <v>9</v>
      </c>
      <c r="F499" s="1" t="n">
        <v>300.49</v>
      </c>
      <c r="G499" s="1" t="n">
        <v>0.2</v>
      </c>
      <c r="H499" s="1" t="s">
        <v>1336</v>
      </c>
      <c r="I499" s="1" t="n">
        <v>2163.53</v>
      </c>
      <c r="J499" s="1" t="str">
        <f aca="false">VLOOKUP(B499,Customers!$A$2:$G$502,6,FALSE())</f>
        <v>Consumer</v>
      </c>
      <c r="K499" s="1" t="str">
        <f aca="false">VLOOKUP(C499,Products!$A$2:$E$62,3,FALSE())</f>
        <v>Office Supplies</v>
      </c>
      <c r="L499" s="1" t="str">
        <f aca="false">TEXT(D499,"yyyy-mm")</f>
        <v>2024-10</v>
      </c>
    </row>
    <row r="500" customFormat="false" ht="15" hidden="false" customHeight="true" outlineLevel="0" collapsed="false">
      <c r="A500" s="1" t="n">
        <v>511</v>
      </c>
      <c r="B500" s="1" t="n">
        <v>192</v>
      </c>
      <c r="C500" s="1" t="n">
        <v>34</v>
      </c>
      <c r="D500" s="1" t="s">
        <v>1374</v>
      </c>
      <c r="E500" s="1" t="n">
        <v>6</v>
      </c>
      <c r="F500" s="1" t="n">
        <v>116.85</v>
      </c>
      <c r="G500" s="1" t="n">
        <v>0.05</v>
      </c>
      <c r="H500" s="1" t="s">
        <v>1336</v>
      </c>
      <c r="I500" s="1" t="n">
        <v>666.04</v>
      </c>
      <c r="J500" s="1" t="str">
        <f aca="false">VLOOKUP(B500,Customers!$A$2:$G$502,6,FALSE())</f>
        <v>Corporate</v>
      </c>
      <c r="K500" s="1" t="str">
        <f aca="false">VLOOKUP(C500,Products!$A$2:$E$62,3,FALSE())</f>
        <v>Office Supplies</v>
      </c>
      <c r="L500" s="1" t="str">
        <f aca="false">TEXT(D500,"yyyy-mm")</f>
        <v>2024-12</v>
      </c>
    </row>
    <row r="501" customFormat="false" ht="15" hidden="false" customHeight="true" outlineLevel="0" collapsed="false">
      <c r="A501" s="1" t="n">
        <v>512</v>
      </c>
      <c r="B501" s="1" t="n">
        <v>472</v>
      </c>
      <c r="C501" s="1" t="n">
        <v>51</v>
      </c>
      <c r="D501" s="1" t="s">
        <v>1429</v>
      </c>
      <c r="E501" s="1" t="n">
        <v>1</v>
      </c>
      <c r="F501" s="1" t="n">
        <v>30.16</v>
      </c>
      <c r="G501" s="1" t="n">
        <v>0.15</v>
      </c>
      <c r="H501" s="1" t="s">
        <v>1336</v>
      </c>
      <c r="I501" s="1" t="n">
        <v>25.64</v>
      </c>
      <c r="J501" s="1" t="str">
        <f aca="false">VLOOKUP(B501,Customers!$A$2:$G$502,6,FALSE())</f>
        <v>Consumer</v>
      </c>
      <c r="K501" s="1" t="str">
        <f aca="false">VLOOKUP(C501,Products!$A$2:$E$62,3,FALSE())</f>
        <v>Software</v>
      </c>
      <c r="L501" s="1" t="str">
        <f aca="false">TEXT(D501,"yyyy-mm")</f>
        <v>2024-08</v>
      </c>
    </row>
    <row r="502" customFormat="false" ht="15" hidden="false" customHeight="true" outlineLevel="0" collapsed="false">
      <c r="A502" s="1" t="n">
        <v>513</v>
      </c>
      <c r="B502" s="1" t="n">
        <v>203</v>
      </c>
      <c r="C502" s="1" t="n">
        <v>14</v>
      </c>
      <c r="D502" s="1" t="s">
        <v>1506</v>
      </c>
      <c r="E502" s="1" t="n">
        <v>8</v>
      </c>
      <c r="F502" s="1" t="n">
        <v>135.27</v>
      </c>
      <c r="G502" s="1" t="n">
        <v>0.05</v>
      </c>
      <c r="H502" s="1" t="s">
        <v>1346</v>
      </c>
      <c r="I502" s="1" t="n">
        <v>1028.05</v>
      </c>
      <c r="J502" s="1" t="str">
        <f aca="false">VLOOKUP(B502,Customers!$A$2:$G$502,6,FALSE())</f>
        <v>Corporate</v>
      </c>
      <c r="K502" s="1" t="str">
        <f aca="false">VLOOKUP(C502,Products!$A$2:$E$62,3,FALSE())</f>
        <v>Electronics</v>
      </c>
      <c r="L502" s="1" t="str">
        <f aca="false">TEXT(D502,"yyyy-mm")</f>
        <v>2023-11</v>
      </c>
    </row>
    <row r="503" customFormat="false" ht="15" hidden="false" customHeight="true" outlineLevel="0" collapsed="false">
      <c r="A503" s="1" t="n">
        <v>514</v>
      </c>
      <c r="B503" s="1" t="n">
        <v>282</v>
      </c>
      <c r="C503" s="1" t="n">
        <v>6</v>
      </c>
      <c r="D503" s="1" t="s">
        <v>133</v>
      </c>
      <c r="E503" s="1" t="n">
        <v>7</v>
      </c>
      <c r="F503" s="1" t="n">
        <v>28.51</v>
      </c>
      <c r="G503" s="1" t="n">
        <v>0.2</v>
      </c>
      <c r="H503" s="1" t="s">
        <v>1336</v>
      </c>
      <c r="I503" s="1" t="n">
        <v>159.66</v>
      </c>
      <c r="J503" s="1" t="str">
        <f aca="false">VLOOKUP(B503,Customers!$A$2:$G$502,6,FALSE())</f>
        <v>Corporate</v>
      </c>
      <c r="K503" s="1" t="str">
        <f aca="false">VLOOKUP(C503,Products!$A$2:$E$62,3,FALSE())</f>
        <v>Electronics</v>
      </c>
      <c r="L503" s="1" t="str">
        <f aca="false">TEXT(D503,"yyyy-mm")</f>
        <v>2023-05</v>
      </c>
    </row>
    <row r="504" customFormat="false" ht="15" hidden="false" customHeight="true" outlineLevel="0" collapsed="false">
      <c r="A504" s="1" t="n">
        <v>515</v>
      </c>
      <c r="B504" s="1" t="n">
        <v>239</v>
      </c>
      <c r="C504" s="1" t="n">
        <v>33</v>
      </c>
      <c r="D504" s="1" t="s">
        <v>1507</v>
      </c>
      <c r="E504" s="1" t="n">
        <v>3</v>
      </c>
      <c r="F504" s="1" t="n">
        <v>190.1</v>
      </c>
      <c r="G504" s="1" t="n">
        <v>0</v>
      </c>
      <c r="H504" s="1" t="s">
        <v>1336</v>
      </c>
      <c r="I504" s="1" t="n">
        <v>570.3</v>
      </c>
      <c r="J504" s="1" t="str">
        <f aca="false">VLOOKUP(B504,Customers!$A$2:$G$502,6,FALSE())</f>
        <v>Corporate</v>
      </c>
      <c r="K504" s="1" t="str">
        <f aca="false">VLOOKUP(C504,Products!$A$2:$E$62,3,FALSE())</f>
        <v>Office Supplies</v>
      </c>
      <c r="L504" s="1" t="str">
        <f aca="false">TEXT(D504,"yyyy-mm")</f>
        <v>2024-09</v>
      </c>
    </row>
    <row r="505" customFormat="false" ht="15" hidden="false" customHeight="true" outlineLevel="0" collapsed="false">
      <c r="A505" s="1" t="n">
        <v>516</v>
      </c>
      <c r="B505" s="1" t="n">
        <v>163</v>
      </c>
      <c r="C505" s="1" t="n">
        <v>18</v>
      </c>
      <c r="D505" s="1" t="s">
        <v>1508</v>
      </c>
      <c r="E505" s="1" t="n">
        <v>1</v>
      </c>
      <c r="F505" s="1" t="n">
        <v>747.34</v>
      </c>
      <c r="G505" s="1" t="n">
        <v>0</v>
      </c>
      <c r="H505" s="1" t="s">
        <v>1336</v>
      </c>
      <c r="I505" s="1" t="n">
        <v>747.34</v>
      </c>
      <c r="J505" s="1" t="str">
        <f aca="false">VLOOKUP(B505,Customers!$A$2:$G$502,6,FALSE())</f>
        <v>Small Business</v>
      </c>
      <c r="K505" s="1" t="str">
        <f aca="false">VLOOKUP(C505,Products!$A$2:$E$62,3,FALSE())</f>
        <v>Electronics</v>
      </c>
      <c r="L505" s="1" t="str">
        <f aca="false">TEXT(D505,"yyyy-mm")</f>
        <v>2024-01</v>
      </c>
    </row>
    <row r="506" customFormat="false" ht="15" hidden="false" customHeight="true" outlineLevel="0" collapsed="false">
      <c r="A506" s="1" t="n">
        <v>517</v>
      </c>
      <c r="B506" s="1" t="n">
        <v>43</v>
      </c>
      <c r="C506" s="1" t="n">
        <v>19</v>
      </c>
      <c r="D506" s="1" t="s">
        <v>458</v>
      </c>
      <c r="E506" s="1" t="n">
        <v>5</v>
      </c>
      <c r="F506" s="1" t="n">
        <v>163.64</v>
      </c>
      <c r="G506" s="1" t="n">
        <v>0.1</v>
      </c>
      <c r="H506" s="1" t="s">
        <v>1336</v>
      </c>
      <c r="I506" s="1" t="n">
        <v>736.38</v>
      </c>
      <c r="J506" s="1" t="str">
        <f aca="false">VLOOKUP(B506,Customers!$A$2:$G$502,6,FALSE())</f>
        <v>Small Business</v>
      </c>
      <c r="K506" s="1" t="str">
        <f aca="false">VLOOKUP(C506,Products!$A$2:$E$62,3,FALSE())</f>
        <v>Office Supplies</v>
      </c>
      <c r="L506" s="1" t="str">
        <f aca="false">TEXT(D506,"yyyy-mm")</f>
        <v>2024-05</v>
      </c>
    </row>
    <row r="507" customFormat="false" ht="15" hidden="false" customHeight="true" outlineLevel="0" collapsed="false">
      <c r="A507" s="1" t="n">
        <v>518</v>
      </c>
      <c r="B507" s="1" t="n">
        <v>61</v>
      </c>
      <c r="C507" s="1" t="n">
        <v>5</v>
      </c>
      <c r="D507" s="1" t="s">
        <v>1069</v>
      </c>
      <c r="E507" s="1" t="n">
        <v>4</v>
      </c>
      <c r="F507" s="1" t="n">
        <v>439.06</v>
      </c>
      <c r="G507" s="1" t="n">
        <v>0</v>
      </c>
      <c r="H507" s="1" t="s">
        <v>1336</v>
      </c>
      <c r="I507" s="1" t="n">
        <v>1756.24</v>
      </c>
      <c r="J507" s="1" t="str">
        <f aca="false">VLOOKUP(B507,Customers!$A$2:$G$502,6,FALSE())</f>
        <v>Small Business</v>
      </c>
      <c r="K507" s="1" t="str">
        <f aca="false">VLOOKUP(C507,Products!$A$2:$E$62,3,FALSE())</f>
        <v>Electronics</v>
      </c>
      <c r="L507" s="1" t="str">
        <f aca="false">TEXT(D507,"yyyy-mm")</f>
        <v>2024-01</v>
      </c>
    </row>
    <row r="508" customFormat="false" ht="15" hidden="false" customHeight="true" outlineLevel="0" collapsed="false">
      <c r="A508" s="1" t="n">
        <v>519</v>
      </c>
      <c r="B508" s="1" t="n">
        <v>382</v>
      </c>
      <c r="C508" s="1" t="n">
        <v>53</v>
      </c>
      <c r="D508" s="1" t="s">
        <v>1455</v>
      </c>
      <c r="E508" s="1" t="n">
        <v>8</v>
      </c>
      <c r="F508" s="1" t="n">
        <v>509.98</v>
      </c>
      <c r="G508" s="1" t="n">
        <v>0.2</v>
      </c>
      <c r="H508" s="1" t="s">
        <v>1336</v>
      </c>
      <c r="I508" s="1" t="n">
        <v>3263.87</v>
      </c>
      <c r="J508" s="1" t="str">
        <f aca="false">VLOOKUP(B508,Customers!$A$2:$G$502,6,FALSE())</f>
        <v>Corporate</v>
      </c>
      <c r="K508" s="1" t="str">
        <f aca="false">VLOOKUP(C508,Products!$A$2:$E$62,3,FALSE())</f>
        <v>Software</v>
      </c>
      <c r="L508" s="1" t="str">
        <f aca="false">TEXT(D508,"yyyy-mm")</f>
        <v>2024-11</v>
      </c>
    </row>
    <row r="509" customFormat="false" ht="15" hidden="false" customHeight="true" outlineLevel="0" collapsed="false">
      <c r="A509" s="1" t="n">
        <v>520</v>
      </c>
      <c r="B509" s="1" t="n">
        <v>386</v>
      </c>
      <c r="C509" s="1" t="n">
        <v>46</v>
      </c>
      <c r="D509" s="1" t="s">
        <v>1351</v>
      </c>
      <c r="E509" s="1" t="n">
        <v>1</v>
      </c>
      <c r="F509" s="1" t="n">
        <v>94.92</v>
      </c>
      <c r="G509" s="1" t="n">
        <v>0</v>
      </c>
      <c r="H509" s="1" t="s">
        <v>1336</v>
      </c>
      <c r="I509" s="1" t="n">
        <v>94.92</v>
      </c>
      <c r="J509" s="1" t="str">
        <f aca="false">VLOOKUP(B509,Customers!$A$2:$G$502,6,FALSE())</f>
        <v>Consumer</v>
      </c>
      <c r="K509" s="1" t="str">
        <f aca="false">VLOOKUP(C509,Products!$A$2:$E$62,3,FALSE())</f>
        <v>Software</v>
      </c>
      <c r="L509" s="1" t="str">
        <f aca="false">TEXT(D509,"yyyy-mm")</f>
        <v>2024-07</v>
      </c>
    </row>
    <row r="510" customFormat="false" ht="15" hidden="false" customHeight="true" outlineLevel="0" collapsed="false">
      <c r="A510" s="1" t="n">
        <v>521</v>
      </c>
      <c r="B510" s="1" t="n">
        <v>207</v>
      </c>
      <c r="C510" s="1" t="n">
        <v>26</v>
      </c>
      <c r="D510" s="1" t="s">
        <v>446</v>
      </c>
      <c r="E510" s="1" t="n">
        <v>1</v>
      </c>
      <c r="F510" s="1" t="n">
        <v>733.85</v>
      </c>
      <c r="G510" s="1" t="n">
        <v>0.2</v>
      </c>
      <c r="H510" s="1" t="s">
        <v>1336</v>
      </c>
      <c r="I510" s="1" t="n">
        <v>587.08</v>
      </c>
      <c r="J510" s="1" t="str">
        <f aca="false">VLOOKUP(B510,Customers!$A$2:$G$502,6,FALSE())</f>
        <v>Corporate</v>
      </c>
      <c r="K510" s="1" t="str">
        <f aca="false">VLOOKUP(C510,Products!$A$2:$E$62,3,FALSE())</f>
        <v>Office Supplies</v>
      </c>
      <c r="L510" s="1" t="str">
        <f aca="false">TEXT(D510,"yyyy-mm")</f>
        <v>2024-08</v>
      </c>
    </row>
    <row r="511" customFormat="false" ht="15" hidden="false" customHeight="true" outlineLevel="0" collapsed="false">
      <c r="A511" s="1" t="n">
        <v>522</v>
      </c>
      <c r="B511" s="1" t="n">
        <v>77</v>
      </c>
      <c r="C511" s="1" t="n">
        <v>56</v>
      </c>
      <c r="D511" s="1" t="s">
        <v>1509</v>
      </c>
      <c r="E511" s="1" t="n">
        <v>4</v>
      </c>
      <c r="F511" s="1" t="n">
        <v>160.64</v>
      </c>
      <c r="G511" s="1" t="n">
        <v>0</v>
      </c>
      <c r="H511" s="1" t="s">
        <v>1336</v>
      </c>
      <c r="I511" s="1" t="n">
        <v>642.56</v>
      </c>
      <c r="J511" s="1" t="str">
        <f aca="false">VLOOKUP(B511,Customers!$A$2:$G$502,6,FALSE())</f>
        <v>Consumer</v>
      </c>
      <c r="K511" s="1" t="str">
        <f aca="false">VLOOKUP(C511,Products!$A$2:$E$62,3,FALSE())</f>
        <v>Furniture</v>
      </c>
      <c r="L511" s="1" t="str">
        <f aca="false">TEXT(D511,"yyyy-mm")</f>
        <v>2024-02</v>
      </c>
    </row>
    <row r="512" customFormat="false" ht="15" hidden="false" customHeight="true" outlineLevel="0" collapsed="false">
      <c r="A512" s="1" t="n">
        <v>523</v>
      </c>
      <c r="B512" s="1" t="n">
        <v>403</v>
      </c>
      <c r="C512" s="1" t="n">
        <v>36</v>
      </c>
      <c r="D512" s="1" t="s">
        <v>1473</v>
      </c>
      <c r="E512" s="1" t="n">
        <v>8</v>
      </c>
      <c r="F512" s="1" t="n">
        <v>424.45</v>
      </c>
      <c r="G512" s="1" t="n">
        <v>0.15</v>
      </c>
      <c r="H512" s="1" t="s">
        <v>1336</v>
      </c>
      <c r="I512" s="1" t="n">
        <v>2886.26</v>
      </c>
      <c r="J512" s="1" t="str">
        <f aca="false">VLOOKUP(B512,Customers!$A$2:$G$502,6,FALSE())</f>
        <v>Consumer</v>
      </c>
      <c r="K512" s="1" t="str">
        <f aca="false">VLOOKUP(C512,Products!$A$2:$E$62,3,FALSE())</f>
        <v>Software</v>
      </c>
      <c r="L512" s="1" t="str">
        <f aca="false">TEXT(D512,"yyyy-mm")</f>
        <v>2024-04</v>
      </c>
    </row>
    <row r="513" customFormat="false" ht="15" hidden="false" customHeight="true" outlineLevel="0" collapsed="false">
      <c r="A513" s="1" t="n">
        <v>524</v>
      </c>
      <c r="B513" s="1" t="n">
        <v>220</v>
      </c>
      <c r="C513" s="1" t="n">
        <v>50</v>
      </c>
      <c r="D513" s="1" t="s">
        <v>1342</v>
      </c>
      <c r="E513" s="1" t="n">
        <v>5</v>
      </c>
      <c r="F513" s="1" t="n">
        <v>19.73</v>
      </c>
      <c r="G513" s="1" t="n">
        <v>0.05</v>
      </c>
      <c r="H513" s="1" t="s">
        <v>1336</v>
      </c>
      <c r="I513" s="1" t="n">
        <v>93.72</v>
      </c>
      <c r="J513" s="1" t="str">
        <f aca="false">VLOOKUP(B513,Customers!$A$2:$G$502,6,FALSE())</f>
        <v>Small Business</v>
      </c>
      <c r="K513" s="1" t="str">
        <f aca="false">VLOOKUP(C513,Products!$A$2:$E$62,3,FALSE())</f>
        <v>Software</v>
      </c>
      <c r="L513" s="1" t="str">
        <f aca="false">TEXT(D513,"yyyy-mm")</f>
        <v>2024-12</v>
      </c>
    </row>
    <row r="514" customFormat="false" ht="15" hidden="false" customHeight="true" outlineLevel="0" collapsed="false">
      <c r="A514" s="1" t="n">
        <v>525</v>
      </c>
      <c r="B514" s="1" t="n">
        <v>296</v>
      </c>
      <c r="C514" s="1" t="n">
        <v>56</v>
      </c>
      <c r="D514" s="1" t="s">
        <v>591</v>
      </c>
      <c r="E514" s="1" t="n">
        <v>2</v>
      </c>
      <c r="F514" s="1" t="n">
        <v>160.64</v>
      </c>
      <c r="G514" s="1" t="n">
        <v>0</v>
      </c>
      <c r="H514" s="1" t="s">
        <v>1370</v>
      </c>
      <c r="I514" s="1" t="n">
        <v>321.28</v>
      </c>
      <c r="J514" s="1" t="str">
        <f aca="false">VLOOKUP(B514,Customers!$A$2:$G$502,6,FALSE())</f>
        <v>Corporate</v>
      </c>
      <c r="K514" s="1" t="str">
        <f aca="false">VLOOKUP(C514,Products!$A$2:$E$62,3,FALSE())</f>
        <v>Furniture</v>
      </c>
      <c r="L514" s="1" t="str">
        <f aca="false">TEXT(D514,"yyyy-mm")</f>
        <v>2023-05</v>
      </c>
    </row>
    <row r="515" customFormat="false" ht="15" hidden="false" customHeight="true" outlineLevel="0" collapsed="false">
      <c r="A515" s="1" t="n">
        <v>526</v>
      </c>
      <c r="B515" s="1" t="n">
        <v>174</v>
      </c>
      <c r="C515" s="1" t="n">
        <v>15</v>
      </c>
      <c r="D515" s="1" t="s">
        <v>120</v>
      </c>
      <c r="E515" s="1" t="n">
        <v>6</v>
      </c>
      <c r="F515" s="1" t="n">
        <v>304.95</v>
      </c>
      <c r="G515" s="1" t="n">
        <v>0.05</v>
      </c>
      <c r="H515" s="1" t="s">
        <v>1336</v>
      </c>
      <c r="I515" s="1" t="n">
        <v>1738.21</v>
      </c>
      <c r="J515" s="1" t="str">
        <f aca="false">VLOOKUP(B515,Customers!$A$2:$G$502,6,FALSE())</f>
        <v>Small Business</v>
      </c>
      <c r="K515" s="1" t="str">
        <f aca="false">VLOOKUP(C515,Products!$A$2:$E$62,3,FALSE())</f>
        <v>Electronics</v>
      </c>
      <c r="L515" s="1" t="str">
        <f aca="false">TEXT(D515,"yyyy-mm")</f>
        <v>2024-03</v>
      </c>
    </row>
    <row r="516" customFormat="false" ht="15" hidden="false" customHeight="true" outlineLevel="0" collapsed="false">
      <c r="A516" s="1" t="n">
        <v>527</v>
      </c>
      <c r="B516" s="1" t="n">
        <v>167</v>
      </c>
      <c r="C516" s="1" t="n">
        <v>38</v>
      </c>
      <c r="D516" s="1" t="s">
        <v>1432</v>
      </c>
      <c r="E516" s="1" t="n">
        <v>5</v>
      </c>
      <c r="F516" s="1" t="n">
        <v>521.63</v>
      </c>
      <c r="G516" s="1" t="n">
        <v>0.1</v>
      </c>
      <c r="H516" s="1" t="s">
        <v>1336</v>
      </c>
      <c r="I516" s="1" t="n">
        <v>2347.34</v>
      </c>
      <c r="J516" s="1" t="str">
        <f aca="false">VLOOKUP(B516,Customers!$A$2:$G$502,6,FALSE())</f>
        <v>Unknown</v>
      </c>
      <c r="K516" s="1" t="str">
        <f aca="false">VLOOKUP(C516,Products!$A$2:$E$62,3,FALSE())</f>
        <v>Software</v>
      </c>
      <c r="L516" s="1" t="str">
        <f aca="false">TEXT(D516,"yyyy-mm")</f>
        <v>2023-01</v>
      </c>
    </row>
    <row r="517" customFormat="false" ht="15" hidden="false" customHeight="true" outlineLevel="0" collapsed="false">
      <c r="A517" s="1" t="n">
        <v>528</v>
      </c>
      <c r="B517" s="1" t="n">
        <v>170</v>
      </c>
      <c r="C517" s="1" t="n">
        <v>37</v>
      </c>
      <c r="D517" s="1" t="s">
        <v>1216</v>
      </c>
      <c r="E517" s="1" t="n">
        <v>2</v>
      </c>
      <c r="F517" s="1" t="n">
        <v>13.95</v>
      </c>
      <c r="G517" s="1" t="n">
        <v>0.2</v>
      </c>
      <c r="H517" s="1" t="s">
        <v>1336</v>
      </c>
      <c r="I517" s="1" t="n">
        <v>22.32</v>
      </c>
      <c r="J517" s="1" t="str">
        <f aca="false">VLOOKUP(B517,Customers!$A$2:$G$502,6,FALSE())</f>
        <v>Small Business</v>
      </c>
      <c r="K517" s="1" t="str">
        <f aca="false">VLOOKUP(C517,Products!$A$2:$E$62,3,FALSE())</f>
        <v>Software</v>
      </c>
      <c r="L517" s="1" t="str">
        <f aca="false">TEXT(D517,"yyyy-mm")</f>
        <v>2024-10</v>
      </c>
    </row>
    <row r="518" customFormat="false" ht="15" hidden="false" customHeight="true" outlineLevel="0" collapsed="false">
      <c r="A518" s="1" t="n">
        <v>529</v>
      </c>
      <c r="B518" s="1" t="n">
        <v>105</v>
      </c>
      <c r="C518" s="1" t="n">
        <v>26</v>
      </c>
      <c r="D518" s="1" t="s">
        <v>885</v>
      </c>
      <c r="E518" s="1" t="n">
        <v>3</v>
      </c>
      <c r="F518" s="1" t="n">
        <v>733.85</v>
      </c>
      <c r="G518" s="1" t="n">
        <v>0.1</v>
      </c>
      <c r="H518" s="1" t="s">
        <v>1336</v>
      </c>
      <c r="I518" s="1" t="n">
        <v>1981.4</v>
      </c>
      <c r="J518" s="1" t="str">
        <f aca="false">VLOOKUP(B518,Customers!$A$2:$G$502,6,FALSE())</f>
        <v>Corporate</v>
      </c>
      <c r="K518" s="1" t="str">
        <f aca="false">VLOOKUP(C518,Products!$A$2:$E$62,3,FALSE())</f>
        <v>Office Supplies</v>
      </c>
      <c r="L518" s="1" t="str">
        <f aca="false">TEXT(D518,"yyyy-mm")</f>
        <v>2023-03</v>
      </c>
    </row>
    <row r="519" customFormat="false" ht="15" hidden="false" customHeight="true" outlineLevel="0" collapsed="false">
      <c r="A519" s="1" t="n">
        <v>530</v>
      </c>
      <c r="B519" s="1" t="n">
        <v>328</v>
      </c>
      <c r="C519" s="1" t="n">
        <v>58</v>
      </c>
      <c r="D519" s="1" t="s">
        <v>1406</v>
      </c>
      <c r="E519" s="1" t="n">
        <v>9</v>
      </c>
      <c r="F519" s="1" t="n">
        <v>515.55</v>
      </c>
      <c r="G519" s="1" t="n">
        <v>0</v>
      </c>
      <c r="H519" s="1" t="s">
        <v>1336</v>
      </c>
      <c r="I519" s="1" t="n">
        <v>4639.95</v>
      </c>
      <c r="J519" s="1" t="str">
        <f aca="false">VLOOKUP(B519,Customers!$A$2:$G$502,6,FALSE())</f>
        <v>Consumer</v>
      </c>
      <c r="K519" s="1" t="str">
        <f aca="false">VLOOKUP(C519,Products!$A$2:$E$62,3,FALSE())</f>
        <v>Furniture</v>
      </c>
      <c r="L519" s="1" t="str">
        <f aca="false">TEXT(D519,"yyyy-mm")</f>
        <v>2023-11</v>
      </c>
    </row>
    <row r="520" customFormat="false" ht="15" hidden="false" customHeight="true" outlineLevel="0" collapsed="false">
      <c r="A520" s="1" t="n">
        <v>531</v>
      </c>
      <c r="B520" s="1" t="n">
        <v>309</v>
      </c>
      <c r="C520" s="1" t="n">
        <v>32</v>
      </c>
      <c r="D520" s="1" t="s">
        <v>775</v>
      </c>
      <c r="E520" s="1" t="n">
        <v>7</v>
      </c>
      <c r="F520" s="1" t="n">
        <v>492.27</v>
      </c>
      <c r="G520" s="1" t="n">
        <v>0</v>
      </c>
      <c r="H520" s="1" t="s">
        <v>1336</v>
      </c>
      <c r="I520" s="1" t="n">
        <v>3445.89</v>
      </c>
      <c r="J520" s="1" t="str">
        <f aca="false">VLOOKUP(B520,Customers!$A$2:$G$502,6,FALSE())</f>
        <v>Unknown</v>
      </c>
      <c r="K520" s="1" t="str">
        <f aca="false">VLOOKUP(C520,Products!$A$2:$E$62,3,FALSE())</f>
        <v>Office Supplies</v>
      </c>
      <c r="L520" s="1" t="str">
        <f aca="false">TEXT(D520,"yyyy-mm")</f>
        <v>2023-01</v>
      </c>
    </row>
    <row r="521" customFormat="false" ht="15" hidden="false" customHeight="true" outlineLevel="0" collapsed="false">
      <c r="A521" s="1" t="n">
        <v>532</v>
      </c>
      <c r="B521" s="1" t="n">
        <v>150</v>
      </c>
      <c r="C521" s="1" t="n">
        <v>43</v>
      </c>
      <c r="D521" s="1" t="s">
        <v>1343</v>
      </c>
      <c r="E521" s="1" t="n">
        <v>7</v>
      </c>
      <c r="F521" s="1" t="n">
        <v>186.31</v>
      </c>
      <c r="G521" s="1" t="n">
        <v>0</v>
      </c>
      <c r="H521" s="1" t="s">
        <v>1336</v>
      </c>
      <c r="I521" s="1" t="n">
        <v>1304.17</v>
      </c>
      <c r="J521" s="1" t="str">
        <f aca="false">VLOOKUP(B521,Customers!$A$2:$G$502,6,FALSE())</f>
        <v>Corporate</v>
      </c>
      <c r="K521" s="1" t="str">
        <f aca="false">VLOOKUP(C521,Products!$A$2:$E$62,3,FALSE())</f>
        <v>Software</v>
      </c>
      <c r="L521" s="1" t="str">
        <f aca="false">TEXT(D521,"yyyy-mm")</f>
        <v>2024-06</v>
      </c>
    </row>
    <row r="522" customFormat="false" ht="15" hidden="false" customHeight="true" outlineLevel="0" collapsed="false">
      <c r="A522" s="1" t="n">
        <v>533</v>
      </c>
      <c r="B522" s="1" t="n">
        <v>466</v>
      </c>
      <c r="C522" s="1" t="n">
        <v>27</v>
      </c>
      <c r="D522" s="1" t="s">
        <v>1510</v>
      </c>
      <c r="E522" s="1" t="n">
        <v>6</v>
      </c>
      <c r="F522" s="1" t="n">
        <v>772.58</v>
      </c>
      <c r="G522" s="1" t="n">
        <v>0</v>
      </c>
      <c r="H522" s="1" t="s">
        <v>1370</v>
      </c>
      <c r="I522" s="1" t="n">
        <v>4635.48</v>
      </c>
      <c r="J522" s="1" t="str">
        <f aca="false">VLOOKUP(B522,Customers!$A$2:$G$502,6,FALSE())</f>
        <v>Consumer</v>
      </c>
      <c r="K522" s="1" t="str">
        <f aca="false">VLOOKUP(C522,Products!$A$2:$E$62,3,FALSE())</f>
        <v>Office Supplies</v>
      </c>
      <c r="L522" s="1" t="str">
        <f aca="false">TEXT(D522,"yyyy-mm")</f>
        <v>2024-02</v>
      </c>
    </row>
    <row r="523" customFormat="false" ht="15" hidden="false" customHeight="true" outlineLevel="0" collapsed="false">
      <c r="A523" s="1" t="n">
        <v>534</v>
      </c>
      <c r="B523" s="1" t="n">
        <v>200</v>
      </c>
      <c r="C523" s="1" t="n">
        <v>58</v>
      </c>
      <c r="D523" s="1" t="s">
        <v>1511</v>
      </c>
      <c r="E523" s="1" t="n">
        <v>8</v>
      </c>
      <c r="F523" s="1" t="n">
        <v>515.55</v>
      </c>
      <c r="G523" s="1" t="n">
        <v>0</v>
      </c>
      <c r="H523" s="1" t="s">
        <v>1336</v>
      </c>
      <c r="I523" s="1" t="n">
        <v>4124.4</v>
      </c>
      <c r="J523" s="1" t="str">
        <f aca="false">VLOOKUP(B523,Customers!$A$2:$G$502,6,FALSE())</f>
        <v>Small Business</v>
      </c>
      <c r="K523" s="1" t="str">
        <f aca="false">VLOOKUP(C523,Products!$A$2:$E$62,3,FALSE())</f>
        <v>Furniture</v>
      </c>
      <c r="L523" s="1" t="str">
        <f aca="false">TEXT(D523,"yyyy-mm")</f>
        <v>2023-07</v>
      </c>
    </row>
    <row r="524" customFormat="false" ht="15" hidden="false" customHeight="true" outlineLevel="0" collapsed="false">
      <c r="A524" s="1" t="n">
        <v>535</v>
      </c>
      <c r="B524" s="1" t="n">
        <v>82</v>
      </c>
      <c r="C524" s="1" t="n">
        <v>39</v>
      </c>
      <c r="D524" s="1" t="s">
        <v>342</v>
      </c>
      <c r="E524" s="1" t="n">
        <v>4</v>
      </c>
      <c r="F524" s="1" t="n">
        <v>400.02</v>
      </c>
      <c r="G524" s="1" t="n">
        <v>0</v>
      </c>
      <c r="H524" s="1" t="s">
        <v>1336</v>
      </c>
      <c r="I524" s="1" t="n">
        <v>1600.08</v>
      </c>
      <c r="J524" s="1" t="str">
        <f aca="false">VLOOKUP(B524,Customers!$A$2:$G$502,6,FALSE())</f>
        <v>Consumer</v>
      </c>
      <c r="K524" s="1" t="str">
        <f aca="false">VLOOKUP(C524,Products!$A$2:$E$62,3,FALSE())</f>
        <v>Software</v>
      </c>
      <c r="L524" s="1" t="str">
        <f aca="false">TEXT(D524,"yyyy-mm")</f>
        <v>2024-08</v>
      </c>
    </row>
    <row r="525" customFormat="false" ht="15" hidden="false" customHeight="true" outlineLevel="0" collapsed="false">
      <c r="A525" s="1" t="n">
        <v>536</v>
      </c>
      <c r="B525" s="1" t="n">
        <v>4</v>
      </c>
      <c r="C525" s="1" t="n">
        <v>10</v>
      </c>
      <c r="D525" s="1" t="s">
        <v>664</v>
      </c>
      <c r="E525" s="1" t="n">
        <v>8</v>
      </c>
      <c r="F525" s="1" t="n">
        <v>251.58</v>
      </c>
      <c r="G525" s="1" t="n">
        <v>0</v>
      </c>
      <c r="H525" s="1" t="s">
        <v>1336</v>
      </c>
      <c r="I525" s="1" t="n">
        <v>2012.64</v>
      </c>
      <c r="J525" s="1" t="str">
        <f aca="false">VLOOKUP(B525,Customers!$A$2:$G$502,6,FALSE())</f>
        <v>Consumer</v>
      </c>
      <c r="K525" s="1" t="str">
        <f aca="false">VLOOKUP(C525,Products!$A$2:$E$62,3,FALSE())</f>
        <v>Electronics</v>
      </c>
      <c r="L525" s="1" t="str">
        <f aca="false">TEXT(D525,"yyyy-mm")</f>
        <v>2024-04</v>
      </c>
    </row>
    <row r="526" customFormat="false" ht="15" hidden="false" customHeight="true" outlineLevel="0" collapsed="false">
      <c r="A526" s="1" t="n">
        <v>537</v>
      </c>
      <c r="B526" s="1" t="n">
        <v>292</v>
      </c>
      <c r="C526" s="1" t="n">
        <v>57</v>
      </c>
      <c r="D526" s="1" t="s">
        <v>1147</v>
      </c>
      <c r="E526" s="1" t="n">
        <v>4</v>
      </c>
      <c r="F526" s="1" t="n">
        <v>719.76</v>
      </c>
      <c r="G526" s="1" t="n">
        <v>0.05</v>
      </c>
      <c r="H526" s="1" t="s">
        <v>1336</v>
      </c>
      <c r="I526" s="1" t="n">
        <v>2735.09</v>
      </c>
      <c r="J526" s="1" t="str">
        <f aca="false">VLOOKUP(B526,Customers!$A$2:$G$502,6,FALSE())</f>
        <v>Small Business</v>
      </c>
      <c r="K526" s="1" t="str">
        <f aca="false">VLOOKUP(C526,Products!$A$2:$E$62,3,FALSE())</f>
        <v>Furniture</v>
      </c>
      <c r="L526" s="1" t="str">
        <f aca="false">TEXT(D526,"yyyy-mm")</f>
        <v>2024-05</v>
      </c>
    </row>
    <row r="527" customFormat="false" ht="15" hidden="false" customHeight="true" outlineLevel="0" collapsed="false">
      <c r="A527" s="1" t="n">
        <v>538</v>
      </c>
      <c r="B527" s="1" t="n">
        <v>471</v>
      </c>
      <c r="C527" s="1" t="n">
        <v>30</v>
      </c>
      <c r="D527" s="1" t="s">
        <v>1512</v>
      </c>
      <c r="E527" s="1" t="n">
        <v>8</v>
      </c>
      <c r="F527" s="1" t="n">
        <v>33.32</v>
      </c>
      <c r="G527" s="1" t="n">
        <v>0.15</v>
      </c>
      <c r="H527" s="1" t="s">
        <v>1336</v>
      </c>
      <c r="I527" s="1" t="n">
        <v>226.58</v>
      </c>
      <c r="J527" s="1" t="str">
        <f aca="false">VLOOKUP(B527,Customers!$A$2:$G$502,6,FALSE())</f>
        <v>Small Business</v>
      </c>
      <c r="K527" s="1" t="str">
        <f aca="false">VLOOKUP(C527,Products!$A$2:$E$62,3,FALSE())</f>
        <v>Office Supplies</v>
      </c>
      <c r="L527" s="1" t="str">
        <f aca="false">TEXT(D527,"yyyy-mm")</f>
        <v>2023-12</v>
      </c>
    </row>
    <row r="528" customFormat="false" ht="15" hidden="false" customHeight="true" outlineLevel="0" collapsed="false">
      <c r="A528" s="1" t="n">
        <v>539</v>
      </c>
      <c r="B528" s="1" t="n">
        <v>436</v>
      </c>
      <c r="C528" s="1" t="n">
        <v>12</v>
      </c>
      <c r="D528" s="1" t="s">
        <v>656</v>
      </c>
      <c r="E528" s="1" t="n">
        <v>9</v>
      </c>
      <c r="F528" s="1" t="n">
        <v>179.23</v>
      </c>
      <c r="G528" s="1" t="n">
        <v>0</v>
      </c>
      <c r="H528" s="1" t="s">
        <v>1336</v>
      </c>
      <c r="I528" s="1" t="n">
        <v>1613.07</v>
      </c>
      <c r="J528" s="1" t="str">
        <f aca="false">VLOOKUP(B528,Customers!$A$2:$G$502,6,FALSE())</f>
        <v>Corporate</v>
      </c>
      <c r="K528" s="1" t="str">
        <f aca="false">VLOOKUP(C528,Products!$A$2:$E$62,3,FALSE())</f>
        <v>Electronics</v>
      </c>
      <c r="L528" s="1" t="str">
        <f aca="false">TEXT(D528,"yyyy-mm")</f>
        <v>2024-03</v>
      </c>
    </row>
    <row r="529" customFormat="false" ht="15" hidden="false" customHeight="true" outlineLevel="0" collapsed="false">
      <c r="A529" s="1" t="n">
        <v>540</v>
      </c>
      <c r="B529" s="1" t="n">
        <v>338</v>
      </c>
      <c r="C529" s="1" t="n">
        <v>12</v>
      </c>
      <c r="D529" s="1" t="s">
        <v>1513</v>
      </c>
      <c r="E529" s="1" t="n">
        <v>3</v>
      </c>
      <c r="F529" s="1" t="n">
        <v>179.23</v>
      </c>
      <c r="G529" s="1" t="n">
        <v>0.1</v>
      </c>
      <c r="H529" s="1" t="s">
        <v>1336</v>
      </c>
      <c r="I529" s="1" t="n">
        <v>483.92</v>
      </c>
      <c r="J529" s="1" t="str">
        <f aca="false">VLOOKUP(B529,Customers!$A$2:$G$502,6,FALSE())</f>
        <v>Corporate</v>
      </c>
      <c r="K529" s="1" t="str">
        <f aca="false">VLOOKUP(C529,Products!$A$2:$E$62,3,FALSE())</f>
        <v>Electronics</v>
      </c>
      <c r="L529" s="1" t="str">
        <f aca="false">TEXT(D529,"yyyy-mm")</f>
        <v>2024-12</v>
      </c>
    </row>
    <row r="530" customFormat="false" ht="15" hidden="false" customHeight="true" outlineLevel="0" collapsed="false">
      <c r="A530" s="1" t="n">
        <v>541</v>
      </c>
      <c r="B530" s="1" t="n">
        <v>81</v>
      </c>
      <c r="C530" s="1" t="n">
        <v>18</v>
      </c>
      <c r="D530" s="1" t="s">
        <v>1514</v>
      </c>
      <c r="E530" s="1" t="n">
        <v>3</v>
      </c>
      <c r="F530" s="1" t="n">
        <v>747.34</v>
      </c>
      <c r="G530" s="1" t="n">
        <v>0.1</v>
      </c>
      <c r="H530" s="1" t="s">
        <v>1336</v>
      </c>
      <c r="I530" s="1" t="n">
        <v>2017.82</v>
      </c>
      <c r="J530" s="1" t="str">
        <f aca="false">VLOOKUP(B530,Customers!$A$2:$G$502,6,FALSE())</f>
        <v>Consumer</v>
      </c>
      <c r="K530" s="1" t="str">
        <f aca="false">VLOOKUP(C530,Products!$A$2:$E$62,3,FALSE())</f>
        <v>Electronics</v>
      </c>
      <c r="L530" s="1" t="str">
        <f aca="false">TEXT(D530,"yyyy-mm")</f>
        <v>2024-10</v>
      </c>
    </row>
    <row r="531" customFormat="false" ht="15" hidden="false" customHeight="true" outlineLevel="0" collapsed="false">
      <c r="A531" s="1" t="n">
        <v>542</v>
      </c>
      <c r="B531" s="1" t="n">
        <v>112</v>
      </c>
      <c r="C531" s="1" t="n">
        <v>59</v>
      </c>
      <c r="D531" s="1" t="s">
        <v>899</v>
      </c>
      <c r="E531" s="1" t="n">
        <v>2</v>
      </c>
      <c r="F531" s="1" t="n">
        <v>438.89</v>
      </c>
      <c r="G531" s="1" t="n">
        <v>0.05</v>
      </c>
      <c r="H531" s="1" t="s">
        <v>1370</v>
      </c>
      <c r="I531" s="1" t="n">
        <v>833.89</v>
      </c>
      <c r="J531" s="1" t="str">
        <f aca="false">VLOOKUP(B531,Customers!$A$2:$G$502,6,FALSE())</f>
        <v>Corporate</v>
      </c>
      <c r="K531" s="1" t="str">
        <f aca="false">VLOOKUP(C531,Products!$A$2:$E$62,3,FALSE())</f>
        <v>Furniture</v>
      </c>
      <c r="L531" s="1" t="str">
        <f aca="false">TEXT(D531,"yyyy-mm")</f>
        <v>2024-05</v>
      </c>
    </row>
    <row r="532" customFormat="false" ht="15" hidden="false" customHeight="true" outlineLevel="0" collapsed="false">
      <c r="A532" s="1" t="n">
        <v>543</v>
      </c>
      <c r="B532" s="1" t="n">
        <v>54</v>
      </c>
      <c r="C532" s="1" t="n">
        <v>33</v>
      </c>
      <c r="D532" s="1" t="s">
        <v>1277</v>
      </c>
      <c r="E532" s="1" t="n">
        <v>3</v>
      </c>
      <c r="F532" s="1" t="n">
        <v>190.1</v>
      </c>
      <c r="G532" s="1" t="n">
        <v>0.05</v>
      </c>
      <c r="H532" s="1" t="s">
        <v>1336</v>
      </c>
      <c r="I532" s="1" t="n">
        <v>541.78</v>
      </c>
      <c r="J532" s="1" t="str">
        <f aca="false">VLOOKUP(B532,Customers!$A$2:$G$502,6,FALSE())</f>
        <v>Consumer</v>
      </c>
      <c r="K532" s="1" t="str">
        <f aca="false">VLOOKUP(C532,Products!$A$2:$E$62,3,FALSE())</f>
        <v>Office Supplies</v>
      </c>
      <c r="L532" s="1" t="str">
        <f aca="false">TEXT(D532,"yyyy-mm")</f>
        <v>2023-11</v>
      </c>
    </row>
    <row r="533" customFormat="false" ht="15" hidden="false" customHeight="true" outlineLevel="0" collapsed="false">
      <c r="A533" s="1" t="n">
        <v>544</v>
      </c>
      <c r="B533" s="1" t="n">
        <v>38</v>
      </c>
      <c r="C533" s="1" t="n">
        <v>41</v>
      </c>
      <c r="D533" s="1" t="s">
        <v>1374</v>
      </c>
      <c r="E533" s="1" t="n">
        <v>3</v>
      </c>
      <c r="F533" s="1" t="n">
        <v>594.54</v>
      </c>
      <c r="G533" s="1" t="n">
        <v>0.15</v>
      </c>
      <c r="H533" s="1" t="s">
        <v>1336</v>
      </c>
      <c r="I533" s="1" t="n">
        <v>1516.08</v>
      </c>
      <c r="J533" s="1" t="str">
        <f aca="false">VLOOKUP(B533,Customers!$A$2:$G$502,6,FALSE())</f>
        <v>Small Business</v>
      </c>
      <c r="K533" s="1" t="str">
        <f aca="false">VLOOKUP(C533,Products!$A$2:$E$62,3,FALSE())</f>
        <v>Software</v>
      </c>
      <c r="L533" s="1" t="str">
        <f aca="false">TEXT(D533,"yyyy-mm")</f>
        <v>2024-12</v>
      </c>
    </row>
    <row r="534" customFormat="false" ht="15" hidden="false" customHeight="true" outlineLevel="0" collapsed="false">
      <c r="A534" s="1" t="n">
        <v>545</v>
      </c>
      <c r="B534" s="1" t="n">
        <v>204</v>
      </c>
      <c r="C534" s="1" t="n">
        <v>3</v>
      </c>
      <c r="D534" s="1" t="s">
        <v>1515</v>
      </c>
      <c r="E534" s="1" t="n">
        <v>5</v>
      </c>
      <c r="F534" s="1" t="n">
        <v>89.39</v>
      </c>
      <c r="G534" s="1" t="n">
        <v>0</v>
      </c>
      <c r="H534" s="1" t="s">
        <v>1336</v>
      </c>
      <c r="I534" s="1" t="n">
        <v>446.95</v>
      </c>
      <c r="J534" s="1" t="str">
        <f aca="false">VLOOKUP(B534,Customers!$A$2:$G$502,6,FALSE())</f>
        <v>Small Business</v>
      </c>
      <c r="K534" s="1" t="str">
        <f aca="false">VLOOKUP(C534,Products!$A$2:$E$62,3,FALSE())</f>
        <v>Electronics</v>
      </c>
      <c r="L534" s="1" t="str">
        <f aca="false">TEXT(D534,"yyyy-mm")</f>
        <v>2023-01</v>
      </c>
    </row>
    <row r="535" customFormat="false" ht="15" hidden="false" customHeight="true" outlineLevel="0" collapsed="false">
      <c r="A535" s="1" t="n">
        <v>546</v>
      </c>
      <c r="B535" s="1" t="n">
        <v>249</v>
      </c>
      <c r="C535" s="1" t="n">
        <v>30</v>
      </c>
      <c r="D535" s="1" t="s">
        <v>449</v>
      </c>
      <c r="E535" s="1" t="n">
        <v>5</v>
      </c>
      <c r="F535" s="1" t="n">
        <v>33.32</v>
      </c>
      <c r="G535" s="1" t="n">
        <v>0</v>
      </c>
      <c r="H535" s="1" t="s">
        <v>1336</v>
      </c>
      <c r="I535" s="1" t="n">
        <v>166.6</v>
      </c>
      <c r="J535" s="1" t="str">
        <f aca="false">VLOOKUP(B535,Customers!$A$2:$G$502,6,FALSE())</f>
        <v>Consumer</v>
      </c>
      <c r="K535" s="1" t="str">
        <f aca="false">VLOOKUP(C535,Products!$A$2:$E$62,3,FALSE())</f>
        <v>Office Supplies</v>
      </c>
      <c r="L535" s="1" t="str">
        <f aca="false">TEXT(D535,"yyyy-mm")</f>
        <v>2023-03</v>
      </c>
    </row>
    <row r="536" customFormat="false" ht="15" hidden="false" customHeight="true" outlineLevel="0" collapsed="false">
      <c r="A536" s="1" t="n">
        <v>547</v>
      </c>
      <c r="B536" s="1" t="n">
        <v>421</v>
      </c>
      <c r="C536" s="1" t="n">
        <v>18</v>
      </c>
      <c r="D536" s="1" t="s">
        <v>73</v>
      </c>
      <c r="E536" s="1" t="n">
        <v>2</v>
      </c>
      <c r="F536" s="1" t="n">
        <v>747.34</v>
      </c>
      <c r="G536" s="1" t="n">
        <v>0</v>
      </c>
      <c r="H536" s="1" t="s">
        <v>1336</v>
      </c>
      <c r="I536" s="1" t="n">
        <v>1494.68</v>
      </c>
      <c r="J536" s="1" t="str">
        <f aca="false">VLOOKUP(B536,Customers!$A$2:$G$502,6,FALSE())</f>
        <v>Corporate</v>
      </c>
      <c r="K536" s="1" t="str">
        <f aca="false">VLOOKUP(C536,Products!$A$2:$E$62,3,FALSE())</f>
        <v>Electronics</v>
      </c>
      <c r="L536" s="1" t="str">
        <f aca="false">TEXT(D536,"yyyy-mm")</f>
        <v>2023-06</v>
      </c>
    </row>
    <row r="537" customFormat="false" ht="15" hidden="false" customHeight="true" outlineLevel="0" collapsed="false">
      <c r="A537" s="1" t="n">
        <v>548</v>
      </c>
      <c r="B537" s="1" t="n">
        <v>380</v>
      </c>
      <c r="C537" s="1" t="n">
        <v>26</v>
      </c>
      <c r="D537" s="1" t="s">
        <v>1418</v>
      </c>
      <c r="E537" s="1" t="n">
        <v>6</v>
      </c>
      <c r="F537" s="1" t="n">
        <v>733.85</v>
      </c>
      <c r="G537" s="1" t="n">
        <v>0</v>
      </c>
      <c r="H537" s="1" t="s">
        <v>1336</v>
      </c>
      <c r="I537" s="1" t="n">
        <v>4403.1</v>
      </c>
      <c r="J537" s="1" t="str">
        <f aca="false">VLOOKUP(B537,Customers!$A$2:$G$502,6,FALSE())</f>
        <v>Small Business</v>
      </c>
      <c r="K537" s="1" t="str">
        <f aca="false">VLOOKUP(C537,Products!$A$2:$E$62,3,FALSE())</f>
        <v>Office Supplies</v>
      </c>
      <c r="L537" s="1" t="str">
        <f aca="false">TEXT(D537,"yyyy-mm")</f>
        <v>2023-06</v>
      </c>
    </row>
    <row r="538" customFormat="false" ht="15" hidden="false" customHeight="true" outlineLevel="0" collapsed="false">
      <c r="A538" s="1" t="n">
        <v>549</v>
      </c>
      <c r="B538" s="1" t="n">
        <v>92</v>
      </c>
      <c r="C538" s="1" t="n">
        <v>14</v>
      </c>
      <c r="D538" s="1" t="s">
        <v>1516</v>
      </c>
      <c r="E538" s="1" t="n">
        <v>5</v>
      </c>
      <c r="F538" s="1" t="n">
        <v>135.27</v>
      </c>
      <c r="G538" s="1" t="n">
        <v>0.15</v>
      </c>
      <c r="H538" s="1" t="s">
        <v>1336</v>
      </c>
      <c r="I538" s="1" t="n">
        <v>574.9</v>
      </c>
      <c r="J538" s="1" t="str">
        <f aca="false">VLOOKUP(B538,Customers!$A$2:$G$502,6,FALSE())</f>
        <v>Corporate</v>
      </c>
      <c r="K538" s="1" t="str">
        <f aca="false">VLOOKUP(C538,Products!$A$2:$E$62,3,FALSE())</f>
        <v>Electronics</v>
      </c>
      <c r="L538" s="1" t="str">
        <f aca="false">TEXT(D538,"yyyy-mm")</f>
        <v>2023-02</v>
      </c>
    </row>
    <row r="539" customFormat="false" ht="15" hidden="false" customHeight="true" outlineLevel="0" collapsed="false">
      <c r="A539" s="1" t="n">
        <v>550</v>
      </c>
      <c r="B539" s="1" t="n">
        <v>268</v>
      </c>
      <c r="C539" s="1" t="n">
        <v>42</v>
      </c>
      <c r="D539" s="1" t="s">
        <v>1057</v>
      </c>
      <c r="E539" s="1" t="n">
        <v>6</v>
      </c>
      <c r="F539" s="1" t="n">
        <v>174.48</v>
      </c>
      <c r="G539" s="1" t="n">
        <v>0.15</v>
      </c>
      <c r="H539" s="1" t="s">
        <v>1336</v>
      </c>
      <c r="I539" s="1" t="n">
        <v>889.85</v>
      </c>
      <c r="J539" s="1" t="str">
        <f aca="false">VLOOKUP(B539,Customers!$A$2:$G$502,6,FALSE())</f>
        <v>Small Business</v>
      </c>
      <c r="K539" s="1" t="str">
        <f aca="false">VLOOKUP(C539,Products!$A$2:$E$62,3,FALSE())</f>
        <v>Software</v>
      </c>
      <c r="L539" s="1" t="str">
        <f aca="false">TEXT(D539,"yyyy-mm")</f>
        <v>2024-11</v>
      </c>
    </row>
    <row r="540" customFormat="false" ht="15" hidden="false" customHeight="true" outlineLevel="0" collapsed="false">
      <c r="A540" s="1" t="n">
        <v>551</v>
      </c>
      <c r="B540" s="1" t="n">
        <v>307</v>
      </c>
      <c r="C540" s="1" t="n">
        <v>1</v>
      </c>
      <c r="D540" s="1" t="s">
        <v>1440</v>
      </c>
      <c r="E540" s="1" t="n">
        <v>1</v>
      </c>
      <c r="F540" s="1" t="n">
        <v>327.32</v>
      </c>
      <c r="G540" s="1" t="n">
        <v>0.2</v>
      </c>
      <c r="H540" s="1" t="s">
        <v>1336</v>
      </c>
      <c r="I540" s="1" t="n">
        <v>261.86</v>
      </c>
      <c r="J540" s="1" t="str">
        <f aca="false">VLOOKUP(B540,Customers!$A$2:$G$502,6,FALSE())</f>
        <v>Corporate</v>
      </c>
      <c r="K540" s="1" t="str">
        <f aca="false">VLOOKUP(C540,Products!$A$2:$E$62,3,FALSE())</f>
        <v>Electronics</v>
      </c>
      <c r="L540" s="1" t="str">
        <f aca="false">TEXT(D540,"yyyy-mm")</f>
        <v>2023-02</v>
      </c>
    </row>
    <row r="541" customFormat="false" ht="15" hidden="false" customHeight="true" outlineLevel="0" collapsed="false">
      <c r="A541" s="1" t="n">
        <v>552</v>
      </c>
      <c r="B541" s="1" t="n">
        <v>103</v>
      </c>
      <c r="C541" s="1" t="n">
        <v>6</v>
      </c>
      <c r="D541" s="1" t="s">
        <v>503</v>
      </c>
      <c r="E541" s="1" t="n">
        <v>5</v>
      </c>
      <c r="F541" s="1" t="n">
        <v>28.51</v>
      </c>
      <c r="G541" s="1" t="n">
        <v>0.05</v>
      </c>
      <c r="H541" s="1" t="s">
        <v>1336</v>
      </c>
      <c r="I541" s="1" t="n">
        <v>135.42</v>
      </c>
      <c r="J541" s="1" t="str">
        <f aca="false">VLOOKUP(B541,Customers!$A$2:$G$502,6,FALSE())</f>
        <v>Small Business</v>
      </c>
      <c r="K541" s="1" t="str">
        <f aca="false">VLOOKUP(C541,Products!$A$2:$E$62,3,FALSE())</f>
        <v>Electronics</v>
      </c>
      <c r="L541" s="1" t="str">
        <f aca="false">TEXT(D541,"yyyy-mm")</f>
        <v>2023-01</v>
      </c>
    </row>
    <row r="542" customFormat="false" ht="15" hidden="false" customHeight="true" outlineLevel="0" collapsed="false">
      <c r="A542" s="1" t="n">
        <v>553</v>
      </c>
      <c r="B542" s="1" t="n">
        <v>33</v>
      </c>
      <c r="C542" s="1" t="n">
        <v>15</v>
      </c>
      <c r="D542" s="1" t="s">
        <v>1517</v>
      </c>
      <c r="E542" s="1" t="n">
        <v>9</v>
      </c>
      <c r="F542" s="1" t="n">
        <v>304.95</v>
      </c>
      <c r="G542" s="1" t="n">
        <v>0.2</v>
      </c>
      <c r="H542" s="1" t="s">
        <v>1336</v>
      </c>
      <c r="I542" s="1" t="n">
        <v>2195.64</v>
      </c>
      <c r="J542" s="1" t="str">
        <f aca="false">VLOOKUP(B542,Customers!$A$2:$G$502,6,FALSE())</f>
        <v>Corporate</v>
      </c>
      <c r="K542" s="1" t="str">
        <f aca="false">VLOOKUP(C542,Products!$A$2:$E$62,3,FALSE())</f>
        <v>Electronics</v>
      </c>
      <c r="L542" s="1" t="str">
        <f aca="false">TEXT(D542,"yyyy-mm")</f>
        <v>2023-04</v>
      </c>
    </row>
    <row r="543" customFormat="false" ht="15" hidden="false" customHeight="true" outlineLevel="0" collapsed="false">
      <c r="A543" s="1" t="n">
        <v>554</v>
      </c>
      <c r="B543" s="1" t="n">
        <v>263</v>
      </c>
      <c r="C543" s="1" t="n">
        <v>7</v>
      </c>
      <c r="D543" s="1" t="s">
        <v>1518</v>
      </c>
      <c r="E543" s="1" t="n">
        <v>2</v>
      </c>
      <c r="F543" s="1" t="n">
        <v>460</v>
      </c>
      <c r="G543" s="1" t="n">
        <v>0</v>
      </c>
      <c r="H543" s="1" t="s">
        <v>1336</v>
      </c>
      <c r="I543" s="1" t="n">
        <v>920</v>
      </c>
      <c r="J543" s="1" t="str">
        <f aca="false">VLOOKUP(B543,Customers!$A$2:$G$502,6,FALSE())</f>
        <v>Consumer</v>
      </c>
      <c r="K543" s="1" t="str">
        <f aca="false">VLOOKUP(C543,Products!$A$2:$E$62,3,FALSE())</f>
        <v>Electronics</v>
      </c>
      <c r="L543" s="1" t="str">
        <f aca="false">TEXT(D543,"yyyy-mm")</f>
        <v>2023-12</v>
      </c>
    </row>
    <row r="544" customFormat="false" ht="15" hidden="false" customHeight="true" outlineLevel="0" collapsed="false">
      <c r="A544" s="1" t="n">
        <v>555</v>
      </c>
      <c r="B544" s="1" t="n">
        <v>481</v>
      </c>
      <c r="C544" s="1" t="n">
        <v>28</v>
      </c>
      <c r="D544" s="1" t="s">
        <v>1519</v>
      </c>
      <c r="E544" s="1" t="n">
        <v>1</v>
      </c>
      <c r="F544" s="1" t="n">
        <v>505.23</v>
      </c>
      <c r="G544" s="1" t="n">
        <v>0</v>
      </c>
      <c r="H544" s="1" t="s">
        <v>1336</v>
      </c>
      <c r="I544" s="1" t="n">
        <v>505.23</v>
      </c>
      <c r="J544" s="1" t="str">
        <f aca="false">VLOOKUP(B544,Customers!$A$2:$G$502,6,FALSE())</f>
        <v>Small Business</v>
      </c>
      <c r="K544" s="1" t="str">
        <f aca="false">VLOOKUP(C544,Products!$A$2:$E$62,3,FALSE())</f>
        <v>Office Supplies</v>
      </c>
      <c r="L544" s="1" t="str">
        <f aca="false">TEXT(D544,"yyyy-mm")</f>
        <v>2023-05</v>
      </c>
    </row>
    <row r="545" customFormat="false" ht="15" hidden="false" customHeight="true" outlineLevel="0" collapsed="false">
      <c r="A545" s="1" t="n">
        <v>556</v>
      </c>
      <c r="B545" s="1" t="n">
        <v>162</v>
      </c>
      <c r="C545" s="1" t="n">
        <v>1</v>
      </c>
      <c r="D545" s="1" t="s">
        <v>750</v>
      </c>
      <c r="E545" s="1" t="n">
        <v>9</v>
      </c>
      <c r="F545" s="1" t="n">
        <v>327.32</v>
      </c>
      <c r="G545" s="1" t="n">
        <v>0</v>
      </c>
      <c r="H545" s="1" t="s">
        <v>1336</v>
      </c>
      <c r="I545" s="1" t="n">
        <v>2945.88</v>
      </c>
      <c r="J545" s="1" t="str">
        <f aca="false">VLOOKUP(B545,Customers!$A$2:$G$502,6,FALSE())</f>
        <v>Small Business</v>
      </c>
      <c r="K545" s="1" t="str">
        <f aca="false">VLOOKUP(C545,Products!$A$2:$E$62,3,FALSE())</f>
        <v>Electronics</v>
      </c>
      <c r="L545" s="1" t="str">
        <f aca="false">TEXT(D545,"yyyy-mm")</f>
        <v>2024-02</v>
      </c>
    </row>
    <row r="546" customFormat="false" ht="15" hidden="false" customHeight="true" outlineLevel="0" collapsed="false">
      <c r="A546" s="1" t="n">
        <v>557</v>
      </c>
      <c r="B546" s="1" t="n">
        <v>189</v>
      </c>
      <c r="C546" s="1" t="n">
        <v>3</v>
      </c>
      <c r="D546" s="1" t="s">
        <v>986</v>
      </c>
      <c r="E546" s="1" t="n">
        <v>9</v>
      </c>
      <c r="F546" s="1" t="n">
        <v>89.39</v>
      </c>
      <c r="G546" s="1" t="n">
        <v>0</v>
      </c>
      <c r="H546" s="1" t="s">
        <v>1336</v>
      </c>
      <c r="I546" s="1" t="n">
        <v>804.51</v>
      </c>
      <c r="J546" s="1" t="str">
        <f aca="false">VLOOKUP(B546,Customers!$A$2:$G$502,6,FALSE())</f>
        <v>Small Business</v>
      </c>
      <c r="K546" s="1" t="str">
        <f aca="false">VLOOKUP(C546,Products!$A$2:$E$62,3,FALSE())</f>
        <v>Electronics</v>
      </c>
      <c r="L546" s="1" t="str">
        <f aca="false">TEXT(D546,"yyyy-mm")</f>
        <v>2023-03</v>
      </c>
    </row>
    <row r="547" customFormat="false" ht="15" hidden="false" customHeight="true" outlineLevel="0" collapsed="false">
      <c r="A547" s="1" t="n">
        <v>558</v>
      </c>
      <c r="B547" s="1" t="n">
        <v>365</v>
      </c>
      <c r="C547" s="1" t="n">
        <v>35</v>
      </c>
      <c r="D547" s="1" t="s">
        <v>870</v>
      </c>
      <c r="E547" s="1" t="n">
        <v>9</v>
      </c>
      <c r="F547" s="1" t="n">
        <v>75.78</v>
      </c>
      <c r="G547" s="1" t="n">
        <v>0</v>
      </c>
      <c r="H547" s="1" t="s">
        <v>1336</v>
      </c>
      <c r="I547" s="1" t="n">
        <v>682.02</v>
      </c>
      <c r="J547" s="1" t="str">
        <f aca="false">VLOOKUP(B547,Customers!$A$2:$G$502,6,FALSE())</f>
        <v>Small Business</v>
      </c>
      <c r="K547" s="1" t="str">
        <f aca="false">VLOOKUP(C547,Products!$A$2:$E$62,3,FALSE())</f>
        <v>Software</v>
      </c>
      <c r="L547" s="1" t="str">
        <f aca="false">TEXT(D547,"yyyy-mm")</f>
        <v>2024-08</v>
      </c>
    </row>
    <row r="548" customFormat="false" ht="15" hidden="false" customHeight="true" outlineLevel="0" collapsed="false">
      <c r="A548" s="1" t="n">
        <v>559</v>
      </c>
      <c r="B548" s="1" t="n">
        <v>199</v>
      </c>
      <c r="C548" s="1" t="n">
        <v>44</v>
      </c>
      <c r="D548" s="1" t="s">
        <v>952</v>
      </c>
      <c r="E548" s="1" t="n">
        <v>6</v>
      </c>
      <c r="F548" s="1" t="n">
        <v>508.26</v>
      </c>
      <c r="G548" s="1" t="n">
        <v>0</v>
      </c>
      <c r="H548" s="1" t="s">
        <v>1336</v>
      </c>
      <c r="I548" s="1" t="n">
        <v>3049.56</v>
      </c>
      <c r="J548" s="1" t="str">
        <f aca="false">VLOOKUP(B548,Customers!$A$2:$G$502,6,FALSE())</f>
        <v>Corporate</v>
      </c>
      <c r="K548" s="1" t="str">
        <f aca="false">VLOOKUP(C548,Products!$A$2:$E$62,3,FALSE())</f>
        <v>Software</v>
      </c>
      <c r="L548" s="1" t="str">
        <f aca="false">TEXT(D548,"yyyy-mm")</f>
        <v>2024-12</v>
      </c>
    </row>
    <row r="549" customFormat="false" ht="15" hidden="false" customHeight="true" outlineLevel="0" collapsed="false">
      <c r="A549" s="1" t="n">
        <v>560</v>
      </c>
      <c r="B549" s="1" t="n">
        <v>436</v>
      </c>
      <c r="C549" s="1" t="n">
        <v>43</v>
      </c>
      <c r="D549" s="1" t="s">
        <v>1086</v>
      </c>
      <c r="E549" s="1" t="n">
        <v>8</v>
      </c>
      <c r="F549" s="1" t="n">
        <v>186.31</v>
      </c>
      <c r="G549" s="1" t="n">
        <v>0</v>
      </c>
      <c r="H549" s="1" t="s">
        <v>1336</v>
      </c>
      <c r="I549" s="1" t="n">
        <v>1490.48</v>
      </c>
      <c r="J549" s="1" t="str">
        <f aca="false">VLOOKUP(B549,Customers!$A$2:$G$502,6,FALSE())</f>
        <v>Corporate</v>
      </c>
      <c r="K549" s="1" t="str">
        <f aca="false">VLOOKUP(C549,Products!$A$2:$E$62,3,FALSE())</f>
        <v>Software</v>
      </c>
      <c r="L549" s="1" t="str">
        <f aca="false">TEXT(D549,"yyyy-mm")</f>
        <v>2024-05</v>
      </c>
    </row>
    <row r="550" customFormat="false" ht="15" hidden="false" customHeight="true" outlineLevel="0" collapsed="false">
      <c r="A550" s="1" t="n">
        <v>561</v>
      </c>
      <c r="B550" s="1" t="n">
        <v>328</v>
      </c>
      <c r="C550" s="1" t="n">
        <v>48</v>
      </c>
      <c r="D550" s="1" t="s">
        <v>1391</v>
      </c>
      <c r="E550" s="1" t="n">
        <v>1</v>
      </c>
      <c r="F550" s="1" t="n">
        <v>493.53</v>
      </c>
      <c r="G550" s="1" t="n">
        <v>0.1</v>
      </c>
      <c r="H550" s="1" t="s">
        <v>1336</v>
      </c>
      <c r="I550" s="1" t="n">
        <v>444.18</v>
      </c>
      <c r="J550" s="1" t="str">
        <f aca="false">VLOOKUP(B550,Customers!$A$2:$G$502,6,FALSE())</f>
        <v>Consumer</v>
      </c>
      <c r="K550" s="1" t="str">
        <f aca="false">VLOOKUP(C550,Products!$A$2:$E$62,3,FALSE())</f>
        <v>Software</v>
      </c>
      <c r="L550" s="1" t="str">
        <f aca="false">TEXT(D550,"yyyy-mm")</f>
        <v>2023-08</v>
      </c>
    </row>
    <row r="551" customFormat="false" ht="15" hidden="false" customHeight="true" outlineLevel="0" collapsed="false">
      <c r="A551" s="1" t="n">
        <v>562</v>
      </c>
      <c r="B551" s="1" t="n">
        <v>460</v>
      </c>
      <c r="C551" s="1" t="n">
        <v>8</v>
      </c>
      <c r="D551" s="1" t="s">
        <v>1520</v>
      </c>
      <c r="E551" s="1" t="n">
        <v>4</v>
      </c>
      <c r="F551" s="1" t="n">
        <v>104.4</v>
      </c>
      <c r="G551" s="1" t="n">
        <v>0</v>
      </c>
      <c r="H551" s="1" t="s">
        <v>1336</v>
      </c>
      <c r="I551" s="1" t="n">
        <v>417.6</v>
      </c>
      <c r="J551" s="1" t="str">
        <f aca="false">VLOOKUP(B551,Customers!$A$2:$G$502,6,FALSE())</f>
        <v>Corporate</v>
      </c>
      <c r="K551" s="1" t="str">
        <f aca="false">VLOOKUP(C551,Products!$A$2:$E$62,3,FALSE())</f>
        <v>Electronics</v>
      </c>
      <c r="L551" s="1" t="str">
        <f aca="false">TEXT(D551,"yyyy-mm")</f>
        <v>2023-11</v>
      </c>
    </row>
    <row r="552" customFormat="false" ht="15" hidden="false" customHeight="true" outlineLevel="0" collapsed="false">
      <c r="A552" s="1" t="n">
        <v>563</v>
      </c>
      <c r="B552" s="1" t="n">
        <v>192</v>
      </c>
      <c r="C552" s="1" t="n">
        <v>32</v>
      </c>
      <c r="D552" s="1" t="s">
        <v>1157</v>
      </c>
      <c r="E552" s="1" t="n">
        <v>1</v>
      </c>
      <c r="F552" s="1" t="n">
        <v>492.27</v>
      </c>
      <c r="G552" s="1" t="n">
        <v>0</v>
      </c>
      <c r="H552" s="1" t="s">
        <v>1336</v>
      </c>
      <c r="I552" s="1" t="n">
        <v>492.27</v>
      </c>
      <c r="J552" s="1" t="str">
        <f aca="false">VLOOKUP(B552,Customers!$A$2:$G$502,6,FALSE())</f>
        <v>Corporate</v>
      </c>
      <c r="K552" s="1" t="str">
        <f aca="false">VLOOKUP(C552,Products!$A$2:$E$62,3,FALSE())</f>
        <v>Office Supplies</v>
      </c>
      <c r="L552" s="1" t="str">
        <f aca="false">TEXT(D552,"yyyy-mm")</f>
        <v>2023-10</v>
      </c>
    </row>
    <row r="553" customFormat="false" ht="15" hidden="false" customHeight="true" outlineLevel="0" collapsed="false">
      <c r="A553" s="1" t="n">
        <v>564</v>
      </c>
      <c r="B553" s="1" t="n">
        <v>307</v>
      </c>
      <c r="C553" s="1" t="n">
        <v>29</v>
      </c>
      <c r="D553" s="1" t="s">
        <v>325</v>
      </c>
      <c r="E553" s="1" t="n">
        <v>8</v>
      </c>
      <c r="F553" s="1" t="n">
        <v>54.62</v>
      </c>
      <c r="G553" s="1" t="n">
        <v>0</v>
      </c>
      <c r="H553" s="1" t="s">
        <v>1336</v>
      </c>
      <c r="I553" s="1" t="n">
        <v>436.96</v>
      </c>
      <c r="J553" s="1" t="str">
        <f aca="false">VLOOKUP(B553,Customers!$A$2:$G$502,6,FALSE())</f>
        <v>Corporate</v>
      </c>
      <c r="K553" s="1" t="str">
        <f aca="false">VLOOKUP(C553,Products!$A$2:$E$62,3,FALSE())</f>
        <v>Office Supplies</v>
      </c>
      <c r="L553" s="1" t="str">
        <f aca="false">TEXT(D553,"yyyy-mm")</f>
        <v>2023-12</v>
      </c>
    </row>
    <row r="554" customFormat="false" ht="15" hidden="false" customHeight="true" outlineLevel="0" collapsed="false">
      <c r="A554" s="1" t="n">
        <v>565</v>
      </c>
      <c r="B554" s="1" t="n">
        <v>213</v>
      </c>
      <c r="C554" s="1" t="n">
        <v>42</v>
      </c>
      <c r="D554" s="1" t="s">
        <v>1521</v>
      </c>
      <c r="E554" s="1" t="n">
        <v>1</v>
      </c>
      <c r="F554" s="1" t="n">
        <v>174.48</v>
      </c>
      <c r="G554" s="1" t="n">
        <v>0.2</v>
      </c>
      <c r="H554" s="1" t="s">
        <v>1336</v>
      </c>
      <c r="I554" s="1" t="n">
        <v>139.58</v>
      </c>
      <c r="J554" s="1" t="str">
        <f aca="false">VLOOKUP(B554,Customers!$A$2:$G$502,6,FALSE())</f>
        <v>Small Business</v>
      </c>
      <c r="K554" s="1" t="str">
        <f aca="false">VLOOKUP(C554,Products!$A$2:$E$62,3,FALSE())</f>
        <v>Software</v>
      </c>
      <c r="L554" s="1" t="str">
        <f aca="false">TEXT(D554,"yyyy-mm")</f>
        <v>2023-10</v>
      </c>
    </row>
    <row r="555" customFormat="false" ht="15" hidden="false" customHeight="true" outlineLevel="0" collapsed="false">
      <c r="A555" s="1" t="n">
        <v>566</v>
      </c>
      <c r="B555" s="1" t="n">
        <v>277</v>
      </c>
      <c r="C555" s="1" t="n">
        <v>4</v>
      </c>
      <c r="D555" s="1" t="s">
        <v>1522</v>
      </c>
      <c r="E555" s="1" t="n">
        <v>3</v>
      </c>
      <c r="F555" s="1" t="n">
        <v>56.24</v>
      </c>
      <c r="G555" s="1" t="n">
        <v>0</v>
      </c>
      <c r="H555" s="1" t="s">
        <v>1336</v>
      </c>
      <c r="I555" s="1" t="n">
        <v>168.72</v>
      </c>
      <c r="J555" s="1" t="str">
        <f aca="false">VLOOKUP(B555,Customers!$A$2:$G$502,6,FALSE())</f>
        <v>Corporate</v>
      </c>
      <c r="K555" s="1" t="str">
        <f aca="false">VLOOKUP(C555,Products!$A$2:$E$62,3,FALSE())</f>
        <v>Electronics</v>
      </c>
      <c r="L555" s="1" t="str">
        <f aca="false">TEXT(D555,"yyyy-mm")</f>
        <v>2024-11</v>
      </c>
    </row>
    <row r="556" customFormat="false" ht="15" hidden="false" customHeight="true" outlineLevel="0" collapsed="false">
      <c r="A556" s="1" t="n">
        <v>567</v>
      </c>
      <c r="B556" s="1" t="n">
        <v>267</v>
      </c>
      <c r="C556" s="1" t="n">
        <v>21</v>
      </c>
      <c r="D556" s="1" t="s">
        <v>1491</v>
      </c>
      <c r="E556" s="1" t="n">
        <v>4</v>
      </c>
      <c r="F556" s="1" t="n">
        <v>84.91</v>
      </c>
      <c r="G556" s="1" t="n">
        <v>0.05</v>
      </c>
      <c r="H556" s="1" t="s">
        <v>1336</v>
      </c>
      <c r="I556" s="1" t="n">
        <v>322.66</v>
      </c>
      <c r="J556" s="1" t="str">
        <f aca="false">VLOOKUP(B556,Customers!$A$2:$G$502,6,FALSE())</f>
        <v>Corporate</v>
      </c>
      <c r="K556" s="1" t="str">
        <f aca="false">VLOOKUP(C556,Products!$A$2:$E$62,3,FALSE())</f>
        <v>Office Supplies</v>
      </c>
      <c r="L556" s="1" t="str">
        <f aca="false">TEXT(D556,"yyyy-mm")</f>
        <v>2023-07</v>
      </c>
    </row>
    <row r="557" customFormat="false" ht="15" hidden="false" customHeight="true" outlineLevel="0" collapsed="false">
      <c r="A557" s="1" t="n">
        <v>568</v>
      </c>
      <c r="B557" s="1" t="n">
        <v>27</v>
      </c>
      <c r="C557" s="1" t="n">
        <v>41</v>
      </c>
      <c r="D557" s="1" t="s">
        <v>1523</v>
      </c>
      <c r="E557" s="1" t="n">
        <v>8</v>
      </c>
      <c r="F557" s="1" t="n">
        <v>594.54</v>
      </c>
      <c r="G557" s="1" t="n">
        <v>0</v>
      </c>
      <c r="H557" s="1" t="s">
        <v>1336</v>
      </c>
      <c r="I557" s="1" t="n">
        <v>4756.32</v>
      </c>
      <c r="J557" s="1" t="str">
        <f aca="false">VLOOKUP(B557,Customers!$A$2:$G$502,6,FALSE())</f>
        <v>Small Business</v>
      </c>
      <c r="K557" s="1" t="str">
        <f aca="false">VLOOKUP(C557,Products!$A$2:$E$62,3,FALSE())</f>
        <v>Software</v>
      </c>
      <c r="L557" s="1" t="str">
        <f aca="false">TEXT(D557,"yyyy-mm")</f>
        <v>2023-05</v>
      </c>
    </row>
    <row r="558" customFormat="false" ht="15" hidden="false" customHeight="true" outlineLevel="0" collapsed="false">
      <c r="A558" s="1" t="n">
        <v>569</v>
      </c>
      <c r="B558" s="1" t="n">
        <v>105</v>
      </c>
      <c r="C558" s="1" t="n">
        <v>16</v>
      </c>
      <c r="D558" s="1" t="s">
        <v>1481</v>
      </c>
      <c r="E558" s="1" t="n">
        <v>6</v>
      </c>
      <c r="F558" s="1" t="n">
        <v>330.91</v>
      </c>
      <c r="G558" s="1" t="n">
        <v>0</v>
      </c>
      <c r="H558" s="1" t="s">
        <v>1336</v>
      </c>
      <c r="I558" s="1" t="n">
        <v>1985.46</v>
      </c>
      <c r="J558" s="1" t="str">
        <f aca="false">VLOOKUP(B558,Customers!$A$2:$G$502,6,FALSE())</f>
        <v>Corporate</v>
      </c>
      <c r="K558" s="1" t="str">
        <f aca="false">VLOOKUP(C558,Products!$A$2:$E$62,3,FALSE())</f>
        <v>Electronics</v>
      </c>
      <c r="L558" s="1" t="str">
        <f aca="false">TEXT(D558,"yyyy-mm")</f>
        <v>2024-06</v>
      </c>
    </row>
    <row r="559" customFormat="false" ht="15" hidden="false" customHeight="true" outlineLevel="0" collapsed="false">
      <c r="A559" s="1" t="n">
        <v>570</v>
      </c>
      <c r="B559" s="1" t="n">
        <v>218</v>
      </c>
      <c r="C559" s="1" t="n">
        <v>12</v>
      </c>
      <c r="D559" s="1" t="s">
        <v>345</v>
      </c>
      <c r="E559" s="1" t="n">
        <v>7</v>
      </c>
      <c r="F559" s="1" t="n">
        <v>179.23</v>
      </c>
      <c r="G559" s="1" t="n">
        <v>0</v>
      </c>
      <c r="H559" s="1" t="s">
        <v>1336</v>
      </c>
      <c r="I559" s="1" t="n">
        <v>1254.61</v>
      </c>
      <c r="J559" s="1" t="str">
        <f aca="false">VLOOKUP(B559,Customers!$A$2:$G$502,6,FALSE())</f>
        <v>Corporate</v>
      </c>
      <c r="K559" s="1" t="str">
        <f aca="false">VLOOKUP(C559,Products!$A$2:$E$62,3,FALSE())</f>
        <v>Electronics</v>
      </c>
      <c r="L559" s="1" t="str">
        <f aca="false">TEXT(D559,"yyyy-mm")</f>
        <v>2024-09</v>
      </c>
    </row>
    <row r="560" customFormat="false" ht="15" hidden="false" customHeight="true" outlineLevel="0" collapsed="false">
      <c r="A560" s="1" t="n">
        <v>571</v>
      </c>
      <c r="B560" s="1" t="n">
        <v>442</v>
      </c>
      <c r="C560" s="1" t="n">
        <v>51</v>
      </c>
      <c r="D560" s="1" t="s">
        <v>1439</v>
      </c>
      <c r="E560" s="1" t="n">
        <v>8</v>
      </c>
      <c r="F560" s="1" t="n">
        <v>30.16</v>
      </c>
      <c r="G560" s="1" t="n">
        <v>0</v>
      </c>
      <c r="H560" s="1" t="s">
        <v>1370</v>
      </c>
      <c r="I560" s="1" t="n">
        <v>241.28</v>
      </c>
      <c r="J560" s="1" t="str">
        <f aca="false">VLOOKUP(B560,Customers!$A$2:$G$502,6,FALSE())</f>
        <v>Small Business</v>
      </c>
      <c r="K560" s="1" t="str">
        <f aca="false">VLOOKUP(C560,Products!$A$2:$E$62,3,FALSE())</f>
        <v>Software</v>
      </c>
      <c r="L560" s="1" t="str">
        <f aca="false">TEXT(D560,"yyyy-mm")</f>
        <v>2024-05</v>
      </c>
    </row>
    <row r="561" customFormat="false" ht="15" hidden="false" customHeight="true" outlineLevel="0" collapsed="false">
      <c r="A561" s="1" t="n">
        <v>572</v>
      </c>
      <c r="B561" s="1" t="n">
        <v>217</v>
      </c>
      <c r="C561" s="1" t="n">
        <v>33</v>
      </c>
      <c r="D561" s="1" t="s">
        <v>1524</v>
      </c>
      <c r="E561" s="1" t="n">
        <v>2</v>
      </c>
      <c r="F561" s="1" t="n">
        <v>190.1</v>
      </c>
      <c r="G561" s="1" t="n">
        <v>0.15</v>
      </c>
      <c r="H561" s="1" t="s">
        <v>1336</v>
      </c>
      <c r="I561" s="1" t="n">
        <v>323.17</v>
      </c>
      <c r="J561" s="1" t="str">
        <f aca="false">VLOOKUP(B561,Customers!$A$2:$G$502,6,FALSE())</f>
        <v>Consumer</v>
      </c>
      <c r="K561" s="1" t="str">
        <f aca="false">VLOOKUP(C561,Products!$A$2:$E$62,3,FALSE())</f>
        <v>Office Supplies</v>
      </c>
      <c r="L561" s="1" t="str">
        <f aca="false">TEXT(D561,"yyyy-mm")</f>
        <v>2024-09</v>
      </c>
    </row>
    <row r="562" customFormat="false" ht="15" hidden="false" customHeight="true" outlineLevel="0" collapsed="false">
      <c r="A562" s="1" t="n">
        <v>573</v>
      </c>
      <c r="B562" s="1" t="n">
        <v>391</v>
      </c>
      <c r="C562" s="1" t="n">
        <v>25</v>
      </c>
      <c r="D562" s="1" t="s">
        <v>1390</v>
      </c>
      <c r="E562" s="1" t="n">
        <v>8</v>
      </c>
      <c r="F562" s="1" t="n">
        <v>300.49</v>
      </c>
      <c r="G562" s="1" t="n">
        <v>0.2</v>
      </c>
      <c r="H562" s="1" t="s">
        <v>1336</v>
      </c>
      <c r="I562" s="1" t="n">
        <v>1923.14</v>
      </c>
      <c r="J562" s="1" t="str">
        <f aca="false">VLOOKUP(B562,Customers!$A$2:$G$502,6,FALSE())</f>
        <v>Small Business</v>
      </c>
      <c r="K562" s="1" t="str">
        <f aca="false">VLOOKUP(C562,Products!$A$2:$E$62,3,FALSE())</f>
        <v>Office Supplies</v>
      </c>
      <c r="L562" s="1" t="str">
        <f aca="false">TEXT(D562,"yyyy-mm")</f>
        <v>2024-03</v>
      </c>
    </row>
    <row r="563" customFormat="false" ht="15" hidden="false" customHeight="true" outlineLevel="0" collapsed="false">
      <c r="A563" s="1" t="n">
        <v>574</v>
      </c>
      <c r="B563" s="1" t="n">
        <v>284</v>
      </c>
      <c r="C563" s="1" t="n">
        <v>47</v>
      </c>
      <c r="D563" s="1" t="s">
        <v>289</v>
      </c>
      <c r="E563" s="1" t="n">
        <v>3</v>
      </c>
      <c r="F563" s="1" t="n">
        <v>506.19</v>
      </c>
      <c r="G563" s="1" t="n">
        <v>0</v>
      </c>
      <c r="H563" s="1" t="s">
        <v>1336</v>
      </c>
      <c r="I563" s="1" t="n">
        <v>1518.57</v>
      </c>
      <c r="J563" s="1" t="str">
        <f aca="false">VLOOKUP(B563,Customers!$A$2:$G$502,6,FALSE())</f>
        <v>Consumer</v>
      </c>
      <c r="K563" s="1" t="str">
        <f aca="false">VLOOKUP(C563,Products!$A$2:$E$62,3,FALSE())</f>
        <v>Software</v>
      </c>
      <c r="L563" s="1" t="str">
        <f aca="false">TEXT(D563,"yyyy-mm")</f>
        <v>2023-06</v>
      </c>
    </row>
    <row r="564" customFormat="false" ht="15" hidden="false" customHeight="true" outlineLevel="0" collapsed="false">
      <c r="A564" s="1" t="n">
        <v>576</v>
      </c>
      <c r="B564" s="1" t="n">
        <v>442</v>
      </c>
      <c r="C564" s="1" t="n">
        <v>33</v>
      </c>
      <c r="D564" s="1" t="s">
        <v>1525</v>
      </c>
      <c r="E564" s="1" t="n">
        <v>3</v>
      </c>
      <c r="F564" s="1" t="n">
        <v>190.1</v>
      </c>
      <c r="G564" s="1" t="n">
        <v>0.05</v>
      </c>
      <c r="H564" s="1" t="s">
        <v>1336</v>
      </c>
      <c r="I564" s="1" t="n">
        <v>541.78</v>
      </c>
      <c r="J564" s="1" t="str">
        <f aca="false">VLOOKUP(B564,Customers!$A$2:$G$502,6,FALSE())</f>
        <v>Small Business</v>
      </c>
      <c r="K564" s="1" t="str">
        <f aca="false">VLOOKUP(C564,Products!$A$2:$E$62,3,FALSE())</f>
        <v>Office Supplies</v>
      </c>
      <c r="L564" s="1" t="str">
        <f aca="false">TEXT(D564,"yyyy-mm")</f>
        <v>2024-01</v>
      </c>
    </row>
    <row r="565" customFormat="false" ht="15" hidden="false" customHeight="true" outlineLevel="0" collapsed="false">
      <c r="A565" s="1" t="n">
        <v>577</v>
      </c>
      <c r="B565" s="1" t="n">
        <v>197</v>
      </c>
      <c r="C565" s="1" t="n">
        <v>32</v>
      </c>
      <c r="D565" s="1" t="s">
        <v>601</v>
      </c>
      <c r="E565" s="1" t="n">
        <v>7</v>
      </c>
      <c r="F565" s="1" t="n">
        <v>492.27</v>
      </c>
      <c r="G565" s="1" t="n">
        <v>0.15</v>
      </c>
      <c r="H565" s="1" t="s">
        <v>1370</v>
      </c>
      <c r="I565" s="1" t="n">
        <v>2929.01</v>
      </c>
      <c r="J565" s="1" t="str">
        <f aca="false">VLOOKUP(B565,Customers!$A$2:$G$502,6,FALSE())</f>
        <v>Small Business</v>
      </c>
      <c r="K565" s="1" t="str">
        <f aca="false">VLOOKUP(C565,Products!$A$2:$E$62,3,FALSE())</f>
        <v>Office Supplies</v>
      </c>
      <c r="L565" s="1" t="str">
        <f aca="false">TEXT(D565,"yyyy-mm")</f>
        <v>2023-11</v>
      </c>
    </row>
    <row r="566" customFormat="false" ht="15" hidden="false" customHeight="true" outlineLevel="0" collapsed="false">
      <c r="A566" s="1" t="n">
        <v>578</v>
      </c>
      <c r="B566" s="1" t="n">
        <v>64</v>
      </c>
      <c r="C566" s="1" t="n">
        <v>25</v>
      </c>
      <c r="D566" s="1" t="s">
        <v>732</v>
      </c>
      <c r="E566" s="1" t="n">
        <v>2</v>
      </c>
      <c r="F566" s="1" t="n">
        <v>300.49</v>
      </c>
      <c r="G566" s="1" t="n">
        <v>0</v>
      </c>
      <c r="H566" s="1" t="s">
        <v>1336</v>
      </c>
      <c r="I566" s="1" t="n">
        <v>600.98</v>
      </c>
      <c r="J566" s="1" t="str">
        <f aca="false">VLOOKUP(B566,Customers!$A$2:$G$502,6,FALSE())</f>
        <v>Consumer</v>
      </c>
      <c r="K566" s="1" t="str">
        <f aca="false">VLOOKUP(C566,Products!$A$2:$E$62,3,FALSE())</f>
        <v>Office Supplies</v>
      </c>
      <c r="L566" s="1" t="str">
        <f aca="false">TEXT(D566,"yyyy-mm")</f>
        <v>2024-08</v>
      </c>
    </row>
    <row r="567" customFormat="false" ht="15" hidden="false" customHeight="true" outlineLevel="0" collapsed="false">
      <c r="A567" s="1" t="n">
        <v>579</v>
      </c>
      <c r="B567" s="1" t="n">
        <v>370</v>
      </c>
      <c r="C567" s="1" t="n">
        <v>23</v>
      </c>
      <c r="D567" s="1" t="s">
        <v>599</v>
      </c>
      <c r="E567" s="1" t="n">
        <v>6</v>
      </c>
      <c r="F567" s="1" t="n">
        <v>188.73</v>
      </c>
      <c r="G567" s="1" t="n">
        <v>0.15</v>
      </c>
      <c r="H567" s="1" t="s">
        <v>1336</v>
      </c>
      <c r="I567" s="1" t="n">
        <v>962.52</v>
      </c>
      <c r="J567" s="1" t="str">
        <f aca="false">VLOOKUP(B567,Customers!$A$2:$G$502,6,FALSE())</f>
        <v>Small Business</v>
      </c>
      <c r="K567" s="1" t="str">
        <f aca="false">VLOOKUP(C567,Products!$A$2:$E$62,3,FALSE())</f>
        <v>Office Supplies</v>
      </c>
      <c r="L567" s="1" t="str">
        <f aca="false">TEXT(D567,"yyyy-mm")</f>
        <v>2024-06</v>
      </c>
    </row>
    <row r="568" customFormat="false" ht="15" hidden="false" customHeight="true" outlineLevel="0" collapsed="false">
      <c r="A568" s="1" t="n">
        <v>580</v>
      </c>
      <c r="B568" s="1" t="n">
        <v>475</v>
      </c>
      <c r="C568" s="1" t="n">
        <v>28</v>
      </c>
      <c r="D568" s="1" t="s">
        <v>1526</v>
      </c>
      <c r="E568" s="1" t="n">
        <v>3</v>
      </c>
      <c r="F568" s="1" t="n">
        <v>505.23</v>
      </c>
      <c r="G568" s="1" t="n">
        <v>0</v>
      </c>
      <c r="H568" s="1" t="s">
        <v>1336</v>
      </c>
      <c r="I568" s="1" t="n">
        <v>1515.69</v>
      </c>
      <c r="J568" s="1" t="str">
        <f aca="false">VLOOKUP(B568,Customers!$A$2:$G$502,6,FALSE())</f>
        <v>Small Business</v>
      </c>
      <c r="K568" s="1" t="str">
        <f aca="false">VLOOKUP(C568,Products!$A$2:$E$62,3,FALSE())</f>
        <v>Office Supplies</v>
      </c>
      <c r="L568" s="1" t="str">
        <f aca="false">TEXT(D568,"yyyy-mm")</f>
        <v>2023-09</v>
      </c>
    </row>
    <row r="569" customFormat="false" ht="15" hidden="false" customHeight="true" outlineLevel="0" collapsed="false">
      <c r="A569" s="1" t="n">
        <v>581</v>
      </c>
      <c r="B569" s="1" t="n">
        <v>15</v>
      </c>
      <c r="C569" s="1" t="n">
        <v>45</v>
      </c>
      <c r="D569" s="1" t="s">
        <v>402</v>
      </c>
      <c r="E569" s="1" t="n">
        <v>3</v>
      </c>
      <c r="F569" s="1" t="n">
        <v>560.01</v>
      </c>
      <c r="G569" s="1" t="n">
        <v>0.15</v>
      </c>
      <c r="H569" s="1" t="s">
        <v>1336</v>
      </c>
      <c r="I569" s="1" t="n">
        <v>1428.03</v>
      </c>
      <c r="J569" s="1" t="str">
        <f aca="false">VLOOKUP(B569,Customers!$A$2:$G$502,6,FALSE())</f>
        <v>Corporate</v>
      </c>
      <c r="K569" s="1" t="str">
        <f aca="false">VLOOKUP(C569,Products!$A$2:$E$62,3,FALSE())</f>
        <v>Software</v>
      </c>
      <c r="L569" s="1" t="str">
        <f aca="false">TEXT(D569,"yyyy-mm")</f>
        <v>2024-11</v>
      </c>
    </row>
    <row r="570" customFormat="false" ht="15" hidden="false" customHeight="true" outlineLevel="0" collapsed="false">
      <c r="A570" s="1" t="n">
        <v>582</v>
      </c>
      <c r="B570" s="1" t="n">
        <v>127</v>
      </c>
      <c r="C570" s="1" t="n">
        <v>39</v>
      </c>
      <c r="D570" s="1" t="s">
        <v>1205</v>
      </c>
      <c r="E570" s="1" t="n">
        <v>9</v>
      </c>
      <c r="F570" s="1" t="n">
        <v>400.02</v>
      </c>
      <c r="G570" s="1" t="n">
        <v>0.15</v>
      </c>
      <c r="H570" s="1" t="s">
        <v>1336</v>
      </c>
      <c r="I570" s="1" t="n">
        <v>3060.15</v>
      </c>
      <c r="J570" s="1" t="str">
        <f aca="false">VLOOKUP(B570,Customers!$A$2:$G$502,6,FALSE())</f>
        <v>Corporate</v>
      </c>
      <c r="K570" s="1" t="str">
        <f aca="false">VLOOKUP(C570,Products!$A$2:$E$62,3,FALSE())</f>
        <v>Software</v>
      </c>
      <c r="L570" s="1" t="str">
        <f aca="false">TEXT(D570,"yyyy-mm")</f>
        <v>2024-08</v>
      </c>
    </row>
    <row r="571" customFormat="false" ht="15" hidden="false" customHeight="true" outlineLevel="0" collapsed="false">
      <c r="A571" s="1" t="n">
        <v>583</v>
      </c>
      <c r="B571" s="1" t="n">
        <v>470</v>
      </c>
      <c r="C571" s="1" t="n">
        <v>25</v>
      </c>
      <c r="D571" s="1" t="s">
        <v>1509</v>
      </c>
      <c r="E571" s="1" t="n">
        <v>7</v>
      </c>
      <c r="F571" s="1" t="n">
        <v>300.49</v>
      </c>
      <c r="G571" s="1" t="n">
        <v>0.15</v>
      </c>
      <c r="H571" s="1" t="s">
        <v>1336</v>
      </c>
      <c r="I571" s="1" t="n">
        <v>1787.92</v>
      </c>
      <c r="J571" s="1" t="str">
        <f aca="false">VLOOKUP(B571,Customers!$A$2:$G$502,6,FALSE())</f>
        <v>Corporate</v>
      </c>
      <c r="K571" s="1" t="str">
        <f aca="false">VLOOKUP(C571,Products!$A$2:$E$62,3,FALSE())</f>
        <v>Office Supplies</v>
      </c>
      <c r="L571" s="1" t="str">
        <f aca="false">TEXT(D571,"yyyy-mm")</f>
        <v>2024-02</v>
      </c>
    </row>
    <row r="572" customFormat="false" ht="15" hidden="false" customHeight="true" outlineLevel="0" collapsed="false">
      <c r="A572" s="1" t="n">
        <v>584</v>
      </c>
      <c r="B572" s="1" t="n">
        <v>217</v>
      </c>
      <c r="C572" s="1" t="n">
        <v>11</v>
      </c>
      <c r="D572" s="1" t="s">
        <v>1390</v>
      </c>
      <c r="E572" s="1" t="n">
        <v>5</v>
      </c>
      <c r="F572" s="1" t="n">
        <v>328.39</v>
      </c>
      <c r="G572" s="1" t="n">
        <v>0</v>
      </c>
      <c r="H572" s="1" t="s">
        <v>1336</v>
      </c>
      <c r="I572" s="1" t="n">
        <v>1641.95</v>
      </c>
      <c r="J572" s="1" t="str">
        <f aca="false">VLOOKUP(B572,Customers!$A$2:$G$502,6,FALSE())</f>
        <v>Consumer</v>
      </c>
      <c r="K572" s="1" t="str">
        <f aca="false">VLOOKUP(C572,Products!$A$2:$E$62,3,FALSE())</f>
        <v>Electronics</v>
      </c>
      <c r="L572" s="1" t="str">
        <f aca="false">TEXT(D572,"yyyy-mm")</f>
        <v>2024-03</v>
      </c>
    </row>
    <row r="573" customFormat="false" ht="15" hidden="false" customHeight="true" outlineLevel="0" collapsed="false">
      <c r="A573" s="1" t="n">
        <v>585</v>
      </c>
      <c r="B573" s="1" t="n">
        <v>301</v>
      </c>
      <c r="C573" s="1" t="n">
        <v>20</v>
      </c>
      <c r="D573" s="1" t="s">
        <v>1381</v>
      </c>
      <c r="E573" s="1" t="n">
        <v>7</v>
      </c>
      <c r="F573" s="1" t="n">
        <v>426.15</v>
      </c>
      <c r="G573" s="1" t="n">
        <v>0.2</v>
      </c>
      <c r="H573" s="1" t="s">
        <v>1336</v>
      </c>
      <c r="I573" s="1" t="n">
        <v>2386.44</v>
      </c>
      <c r="J573" s="1" t="str">
        <f aca="false">VLOOKUP(B573,Customers!$A$2:$G$502,6,FALSE())</f>
        <v>Corporate</v>
      </c>
      <c r="K573" s="1" t="str">
        <f aca="false">VLOOKUP(C573,Products!$A$2:$E$62,3,FALSE())</f>
        <v>Office Supplies</v>
      </c>
      <c r="L573" s="1" t="str">
        <f aca="false">TEXT(D573,"yyyy-mm")</f>
        <v>2024-02</v>
      </c>
    </row>
    <row r="574" customFormat="false" ht="15" hidden="false" customHeight="true" outlineLevel="0" collapsed="false">
      <c r="A574" s="1" t="n">
        <v>586</v>
      </c>
      <c r="B574" s="1" t="n">
        <v>398</v>
      </c>
      <c r="C574" s="1" t="n">
        <v>52</v>
      </c>
      <c r="D574" s="1" t="s">
        <v>1402</v>
      </c>
      <c r="E574" s="1" t="n">
        <v>9</v>
      </c>
      <c r="F574" s="1" t="n">
        <v>207.67</v>
      </c>
      <c r="G574" s="1" t="n">
        <v>0.2</v>
      </c>
      <c r="H574" s="1" t="s">
        <v>1336</v>
      </c>
      <c r="I574" s="1" t="n">
        <v>1495.22</v>
      </c>
      <c r="J574" s="1" t="str">
        <f aca="false">VLOOKUP(B574,Customers!$A$2:$G$502,6,FALSE())</f>
        <v>Small Business</v>
      </c>
      <c r="K574" s="1" t="str">
        <f aca="false">VLOOKUP(C574,Products!$A$2:$E$62,3,FALSE())</f>
        <v>Software</v>
      </c>
      <c r="L574" s="1" t="str">
        <f aca="false">TEXT(D574,"yyyy-mm")</f>
        <v>2023-12</v>
      </c>
    </row>
    <row r="575" customFormat="false" ht="15" hidden="false" customHeight="true" outlineLevel="0" collapsed="false">
      <c r="A575" s="1" t="n">
        <v>587</v>
      </c>
      <c r="B575" s="1" t="n">
        <v>158</v>
      </c>
      <c r="C575" s="1" t="n">
        <v>1</v>
      </c>
      <c r="D575" s="1" t="s">
        <v>1418</v>
      </c>
      <c r="E575" s="1" t="n">
        <v>1</v>
      </c>
      <c r="F575" s="1" t="n">
        <v>327.32</v>
      </c>
      <c r="G575" s="1" t="n">
        <v>0.2</v>
      </c>
      <c r="H575" s="1" t="s">
        <v>1336</v>
      </c>
      <c r="I575" s="1" t="n">
        <v>261.86</v>
      </c>
      <c r="J575" s="1" t="str">
        <f aca="false">VLOOKUP(B575,Customers!$A$2:$G$502,6,FALSE())</f>
        <v>Small Business</v>
      </c>
      <c r="K575" s="1" t="str">
        <f aca="false">VLOOKUP(C575,Products!$A$2:$E$62,3,FALSE())</f>
        <v>Electronics</v>
      </c>
      <c r="L575" s="1" t="str">
        <f aca="false">TEXT(D575,"yyyy-mm")</f>
        <v>2023-06</v>
      </c>
    </row>
    <row r="576" customFormat="false" ht="15" hidden="false" customHeight="true" outlineLevel="0" collapsed="false">
      <c r="A576" s="1" t="n">
        <v>588</v>
      </c>
      <c r="B576" s="1" t="n">
        <v>214</v>
      </c>
      <c r="C576" s="1" t="n">
        <v>42</v>
      </c>
      <c r="D576" s="1" t="s">
        <v>1521</v>
      </c>
      <c r="E576" s="1" t="n">
        <v>7</v>
      </c>
      <c r="F576" s="1" t="n">
        <v>174.48</v>
      </c>
      <c r="G576" s="1" t="n">
        <v>0.15</v>
      </c>
      <c r="H576" s="1" t="s">
        <v>1336</v>
      </c>
      <c r="I576" s="1" t="n">
        <v>1038.16</v>
      </c>
      <c r="J576" s="1" t="str">
        <f aca="false">VLOOKUP(B576,Customers!$A$2:$G$502,6,FALSE())</f>
        <v>Corporate</v>
      </c>
      <c r="K576" s="1" t="str">
        <f aca="false">VLOOKUP(C576,Products!$A$2:$E$62,3,FALSE())</f>
        <v>Software</v>
      </c>
      <c r="L576" s="1" t="str">
        <f aca="false">TEXT(D576,"yyyy-mm")</f>
        <v>2023-10</v>
      </c>
    </row>
    <row r="577" customFormat="false" ht="15" hidden="false" customHeight="true" outlineLevel="0" collapsed="false">
      <c r="A577" s="1" t="n">
        <v>589</v>
      </c>
      <c r="B577" s="1" t="n">
        <v>250</v>
      </c>
      <c r="C577" s="1" t="n">
        <v>12</v>
      </c>
      <c r="D577" s="1" t="s">
        <v>722</v>
      </c>
      <c r="E577" s="1" t="n">
        <v>6</v>
      </c>
      <c r="F577" s="1" t="n">
        <v>179.23</v>
      </c>
      <c r="G577" s="1" t="n">
        <v>0</v>
      </c>
      <c r="H577" s="1" t="s">
        <v>1336</v>
      </c>
      <c r="I577" s="1" t="n">
        <v>1075.38</v>
      </c>
      <c r="J577" s="1" t="str">
        <f aca="false">VLOOKUP(B577,Customers!$A$2:$G$502,6,FALSE())</f>
        <v>Consumer</v>
      </c>
      <c r="K577" s="1" t="str">
        <f aca="false">VLOOKUP(C577,Products!$A$2:$E$62,3,FALSE())</f>
        <v>Electronics</v>
      </c>
      <c r="L577" s="1" t="str">
        <f aca="false">TEXT(D577,"yyyy-mm")</f>
        <v>2024-05</v>
      </c>
    </row>
    <row r="578" customFormat="false" ht="15" hidden="false" customHeight="true" outlineLevel="0" collapsed="false">
      <c r="A578" s="1" t="n">
        <v>590</v>
      </c>
      <c r="B578" s="1" t="n">
        <v>94</v>
      </c>
      <c r="C578" s="1" t="n">
        <v>52</v>
      </c>
      <c r="D578" s="1" t="s">
        <v>614</v>
      </c>
      <c r="E578" s="1" t="n">
        <v>9</v>
      </c>
      <c r="F578" s="1" t="n">
        <v>207.67</v>
      </c>
      <c r="G578" s="1" t="n">
        <v>0</v>
      </c>
      <c r="H578" s="1" t="s">
        <v>1370</v>
      </c>
      <c r="I578" s="1" t="n">
        <v>1869.03</v>
      </c>
      <c r="J578" s="1" t="str">
        <f aca="false">VLOOKUP(B578,Customers!$A$2:$G$502,6,FALSE())</f>
        <v>Small Business</v>
      </c>
      <c r="K578" s="1" t="str">
        <f aca="false">VLOOKUP(C578,Products!$A$2:$E$62,3,FALSE())</f>
        <v>Software</v>
      </c>
      <c r="L578" s="1" t="str">
        <f aca="false">TEXT(D578,"yyyy-mm")</f>
        <v>2023-07</v>
      </c>
    </row>
    <row r="579" customFormat="false" ht="15" hidden="false" customHeight="true" outlineLevel="0" collapsed="false">
      <c r="A579" s="1" t="n">
        <v>591</v>
      </c>
      <c r="B579" s="1" t="n">
        <v>56</v>
      </c>
      <c r="C579" s="1" t="n">
        <v>56</v>
      </c>
      <c r="D579" s="1" t="s">
        <v>1244</v>
      </c>
      <c r="E579" s="1" t="n">
        <v>1</v>
      </c>
      <c r="F579" s="1" t="n">
        <v>160.64</v>
      </c>
      <c r="G579" s="1" t="n">
        <v>0</v>
      </c>
      <c r="H579" s="1" t="s">
        <v>1336</v>
      </c>
      <c r="I579" s="1" t="n">
        <v>160.64</v>
      </c>
      <c r="J579" s="1" t="str">
        <f aca="false">VLOOKUP(B579,Customers!$A$2:$G$502,6,FALSE())</f>
        <v>Corporate</v>
      </c>
      <c r="K579" s="1" t="str">
        <f aca="false">VLOOKUP(C579,Products!$A$2:$E$62,3,FALSE())</f>
        <v>Furniture</v>
      </c>
      <c r="L579" s="1" t="str">
        <f aca="false">TEXT(D579,"yyyy-mm")</f>
        <v>2024-10</v>
      </c>
    </row>
    <row r="580" customFormat="false" ht="15" hidden="false" customHeight="true" outlineLevel="0" collapsed="false">
      <c r="A580" s="1" t="n">
        <v>592</v>
      </c>
      <c r="B580" s="1" t="n">
        <v>16</v>
      </c>
      <c r="C580" s="1" t="n">
        <v>38</v>
      </c>
      <c r="D580" s="1" t="s">
        <v>1267</v>
      </c>
      <c r="E580" s="1" t="n">
        <v>4</v>
      </c>
      <c r="F580" s="1" t="n">
        <v>521.63</v>
      </c>
      <c r="G580" s="1" t="n">
        <v>0</v>
      </c>
      <c r="H580" s="1" t="s">
        <v>1336</v>
      </c>
      <c r="I580" s="1" t="n">
        <v>2086.52</v>
      </c>
      <c r="J580" s="1" t="str">
        <f aca="false">VLOOKUP(B580,Customers!$A$2:$G$502,6,FALSE())</f>
        <v>Small Business</v>
      </c>
      <c r="K580" s="1" t="str">
        <f aca="false">VLOOKUP(C580,Products!$A$2:$E$62,3,FALSE())</f>
        <v>Software</v>
      </c>
      <c r="L580" s="1" t="str">
        <f aca="false">TEXT(D580,"yyyy-mm")</f>
        <v>2023-08</v>
      </c>
    </row>
    <row r="581" customFormat="false" ht="15" hidden="false" customHeight="true" outlineLevel="0" collapsed="false">
      <c r="A581" s="1" t="n">
        <v>593</v>
      </c>
      <c r="B581" s="1" t="n">
        <v>490</v>
      </c>
      <c r="C581" s="1" t="n">
        <v>1</v>
      </c>
      <c r="D581" s="1" t="s">
        <v>402</v>
      </c>
      <c r="E581" s="1" t="n">
        <v>9</v>
      </c>
      <c r="F581" s="1" t="n">
        <v>327.32</v>
      </c>
      <c r="G581" s="1" t="n">
        <v>0.1</v>
      </c>
      <c r="H581" s="1" t="s">
        <v>1336</v>
      </c>
      <c r="I581" s="1" t="n">
        <v>2651.29</v>
      </c>
      <c r="J581" s="1" t="str">
        <f aca="false">VLOOKUP(B581,Customers!$A$2:$G$502,6,FALSE())</f>
        <v>Consumer</v>
      </c>
      <c r="K581" s="1" t="str">
        <f aca="false">VLOOKUP(C581,Products!$A$2:$E$62,3,FALSE())</f>
        <v>Electronics</v>
      </c>
      <c r="L581" s="1" t="str">
        <f aca="false">TEXT(D581,"yyyy-mm")</f>
        <v>2024-11</v>
      </c>
    </row>
    <row r="582" customFormat="false" ht="15" hidden="false" customHeight="true" outlineLevel="0" collapsed="false">
      <c r="A582" s="1" t="n">
        <v>594</v>
      </c>
      <c r="B582" s="1" t="n">
        <v>193</v>
      </c>
      <c r="C582" s="1" t="n">
        <v>39</v>
      </c>
      <c r="D582" s="1" t="s">
        <v>907</v>
      </c>
      <c r="E582" s="1" t="n">
        <v>4</v>
      </c>
      <c r="F582" s="1" t="n">
        <v>400.02</v>
      </c>
      <c r="G582" s="1" t="n">
        <v>0.2</v>
      </c>
      <c r="H582" s="1" t="s">
        <v>1336</v>
      </c>
      <c r="I582" s="1" t="n">
        <v>1280.06</v>
      </c>
      <c r="J582" s="1" t="str">
        <f aca="false">VLOOKUP(B582,Customers!$A$2:$G$502,6,FALSE())</f>
        <v>Consumer</v>
      </c>
      <c r="K582" s="1" t="str">
        <f aca="false">VLOOKUP(C582,Products!$A$2:$E$62,3,FALSE())</f>
        <v>Software</v>
      </c>
      <c r="L582" s="1" t="str">
        <f aca="false">TEXT(D582,"yyyy-mm")</f>
        <v>2024-06</v>
      </c>
    </row>
    <row r="583" customFormat="false" ht="15" hidden="false" customHeight="true" outlineLevel="0" collapsed="false">
      <c r="A583" s="1" t="n">
        <v>595</v>
      </c>
      <c r="B583" s="1" t="n">
        <v>173</v>
      </c>
      <c r="C583" s="1" t="n">
        <v>24</v>
      </c>
      <c r="D583" s="1" t="s">
        <v>68</v>
      </c>
      <c r="E583" s="1" t="n">
        <v>3</v>
      </c>
      <c r="F583" s="1" t="n">
        <v>207.34</v>
      </c>
      <c r="G583" s="1" t="n">
        <v>0</v>
      </c>
      <c r="H583" s="1" t="s">
        <v>1370</v>
      </c>
      <c r="I583" s="1" t="n">
        <v>622.02</v>
      </c>
      <c r="J583" s="1" t="str">
        <f aca="false">VLOOKUP(B583,Customers!$A$2:$G$502,6,FALSE())</f>
        <v>Consumer</v>
      </c>
      <c r="K583" s="1" t="str">
        <f aca="false">VLOOKUP(C583,Products!$A$2:$E$62,3,FALSE())</f>
        <v>Office Supplies</v>
      </c>
      <c r="L583" s="1" t="str">
        <f aca="false">TEXT(D583,"yyyy-mm")</f>
        <v>2024-11</v>
      </c>
    </row>
    <row r="584" customFormat="false" ht="15" hidden="false" customHeight="true" outlineLevel="0" collapsed="false">
      <c r="A584" s="1" t="n">
        <v>596</v>
      </c>
      <c r="B584" s="1" t="n">
        <v>194</v>
      </c>
      <c r="C584" s="1" t="n">
        <v>40</v>
      </c>
      <c r="D584" s="1" t="s">
        <v>1527</v>
      </c>
      <c r="E584" s="1" t="n">
        <v>9</v>
      </c>
      <c r="F584" s="1" t="n">
        <v>193.02</v>
      </c>
      <c r="G584" s="1" t="n">
        <v>0</v>
      </c>
      <c r="H584" s="1" t="s">
        <v>1336</v>
      </c>
      <c r="I584" s="1" t="n">
        <v>1737.18</v>
      </c>
      <c r="J584" s="1" t="str">
        <f aca="false">VLOOKUP(B584,Customers!$A$2:$G$502,6,FALSE())</f>
        <v>Corporate</v>
      </c>
      <c r="K584" s="1" t="str">
        <f aca="false">VLOOKUP(C584,Products!$A$2:$E$62,3,FALSE())</f>
        <v>Software</v>
      </c>
      <c r="L584" s="1" t="str">
        <f aca="false">TEXT(D584,"yyyy-mm")</f>
        <v>2023-02</v>
      </c>
    </row>
    <row r="585" customFormat="false" ht="15" hidden="false" customHeight="true" outlineLevel="0" collapsed="false">
      <c r="A585" s="1" t="n">
        <v>597</v>
      </c>
      <c r="B585" s="1" t="n">
        <v>206</v>
      </c>
      <c r="C585" s="1" t="n">
        <v>47</v>
      </c>
      <c r="D585" s="1" t="s">
        <v>1528</v>
      </c>
      <c r="E585" s="1" t="n">
        <v>2</v>
      </c>
      <c r="F585" s="1" t="n">
        <v>506.19</v>
      </c>
      <c r="G585" s="1" t="n">
        <v>0</v>
      </c>
      <c r="H585" s="1" t="s">
        <v>1336</v>
      </c>
      <c r="I585" s="1" t="n">
        <v>1012.38</v>
      </c>
      <c r="J585" s="1" t="str">
        <f aca="false">VLOOKUP(B585,Customers!$A$2:$G$502,6,FALSE())</f>
        <v>Small Business</v>
      </c>
      <c r="K585" s="1" t="str">
        <f aca="false">VLOOKUP(C585,Products!$A$2:$E$62,3,FALSE())</f>
        <v>Software</v>
      </c>
      <c r="L585" s="1" t="str">
        <f aca="false">TEXT(D585,"yyyy-mm")</f>
        <v>2023-05</v>
      </c>
    </row>
    <row r="586" customFormat="false" ht="15" hidden="false" customHeight="true" outlineLevel="0" collapsed="false">
      <c r="A586" s="1" t="n">
        <v>598</v>
      </c>
      <c r="B586" s="1" t="n">
        <v>418</v>
      </c>
      <c r="C586" s="1" t="n">
        <v>16</v>
      </c>
      <c r="D586" s="1" t="s">
        <v>248</v>
      </c>
      <c r="E586" s="1" t="n">
        <v>4</v>
      </c>
      <c r="F586" s="1" t="n">
        <v>330.91</v>
      </c>
      <c r="G586" s="1" t="n">
        <v>0.05</v>
      </c>
      <c r="H586" s="1" t="s">
        <v>1336</v>
      </c>
      <c r="I586" s="1" t="n">
        <v>1257.46</v>
      </c>
      <c r="J586" s="1" t="str">
        <f aca="false">VLOOKUP(B586,Customers!$A$2:$G$502,6,FALSE())</f>
        <v>Corporate</v>
      </c>
      <c r="K586" s="1" t="str">
        <f aca="false">VLOOKUP(C586,Products!$A$2:$E$62,3,FALSE())</f>
        <v>Electronics</v>
      </c>
      <c r="L586" s="1" t="str">
        <f aca="false">TEXT(D586,"yyyy-mm")</f>
        <v>2024-01</v>
      </c>
    </row>
    <row r="587" customFormat="false" ht="15" hidden="false" customHeight="true" outlineLevel="0" collapsed="false">
      <c r="A587" s="1" t="n">
        <v>599</v>
      </c>
      <c r="B587" s="1" t="n">
        <v>97</v>
      </c>
      <c r="C587" s="1" t="n">
        <v>1</v>
      </c>
      <c r="D587" s="1" t="s">
        <v>360</v>
      </c>
      <c r="E587" s="1" t="n">
        <v>6</v>
      </c>
      <c r="F587" s="1" t="n">
        <v>327.32</v>
      </c>
      <c r="G587" s="1" t="n">
        <v>0.2</v>
      </c>
      <c r="H587" s="1" t="s">
        <v>1336</v>
      </c>
      <c r="I587" s="1" t="n">
        <v>1571.14</v>
      </c>
      <c r="J587" s="1" t="str">
        <f aca="false">VLOOKUP(B587,Customers!$A$2:$G$502,6,FALSE())</f>
        <v>Corporate</v>
      </c>
      <c r="K587" s="1" t="str">
        <f aca="false">VLOOKUP(C587,Products!$A$2:$E$62,3,FALSE())</f>
        <v>Electronics</v>
      </c>
      <c r="L587" s="1" t="str">
        <f aca="false">TEXT(D587,"yyyy-mm")</f>
        <v>2024-10</v>
      </c>
    </row>
    <row r="588" customFormat="false" ht="15" hidden="false" customHeight="true" outlineLevel="0" collapsed="false">
      <c r="A588" s="1" t="n">
        <v>600</v>
      </c>
      <c r="B588" s="1" t="n">
        <v>377</v>
      </c>
      <c r="C588" s="1" t="n">
        <v>21</v>
      </c>
      <c r="D588" s="1" t="s">
        <v>1378</v>
      </c>
      <c r="E588" s="1" t="n">
        <v>2</v>
      </c>
      <c r="F588" s="1" t="n">
        <v>84.91</v>
      </c>
      <c r="G588" s="1" t="n">
        <v>0.05</v>
      </c>
      <c r="H588" s="1" t="s">
        <v>1336</v>
      </c>
      <c r="I588" s="1" t="n">
        <v>161.33</v>
      </c>
      <c r="J588" s="1" t="str">
        <f aca="false">VLOOKUP(B588,Customers!$A$2:$G$502,6,FALSE())</f>
        <v>Corporate</v>
      </c>
      <c r="K588" s="1" t="str">
        <f aca="false">VLOOKUP(C588,Products!$A$2:$E$62,3,FALSE())</f>
        <v>Office Supplies</v>
      </c>
      <c r="L588" s="1" t="str">
        <f aca="false">TEXT(D588,"yyyy-mm")</f>
        <v>2024-11</v>
      </c>
    </row>
    <row r="589" customFormat="false" ht="15" hidden="false" customHeight="true" outlineLevel="0" collapsed="false">
      <c r="A589" s="1" t="n">
        <v>601</v>
      </c>
      <c r="B589" s="1" t="n">
        <v>179</v>
      </c>
      <c r="C589" s="1" t="n">
        <v>28</v>
      </c>
      <c r="D589" s="1" t="s">
        <v>1446</v>
      </c>
      <c r="E589" s="1" t="n">
        <v>8</v>
      </c>
      <c r="F589" s="1" t="n">
        <v>505.23</v>
      </c>
      <c r="G589" s="1" t="n">
        <v>0.15</v>
      </c>
      <c r="H589" s="1" t="s">
        <v>1336</v>
      </c>
      <c r="I589" s="1" t="n">
        <v>3435.56</v>
      </c>
      <c r="J589" s="1" t="str">
        <f aca="false">VLOOKUP(B589,Customers!$A$2:$G$502,6,FALSE())</f>
        <v>Small Business</v>
      </c>
      <c r="K589" s="1" t="str">
        <f aca="false">VLOOKUP(C589,Products!$A$2:$E$62,3,FALSE())</f>
        <v>Office Supplies</v>
      </c>
      <c r="L589" s="1" t="str">
        <f aca="false">TEXT(D589,"yyyy-mm")</f>
        <v>2024-05</v>
      </c>
    </row>
    <row r="590" customFormat="false" ht="15" hidden="false" customHeight="true" outlineLevel="0" collapsed="false">
      <c r="A590" s="1" t="n">
        <v>602</v>
      </c>
      <c r="B590" s="1" t="n">
        <v>100</v>
      </c>
      <c r="C590" s="1" t="n">
        <v>46</v>
      </c>
      <c r="D590" s="1" t="s">
        <v>56</v>
      </c>
      <c r="E590" s="1" t="n">
        <v>8</v>
      </c>
      <c r="F590" s="1" t="n">
        <v>94.92</v>
      </c>
      <c r="G590" s="1" t="n">
        <v>0.2</v>
      </c>
      <c r="H590" s="1" t="s">
        <v>1336</v>
      </c>
      <c r="I590" s="1" t="n">
        <v>607.49</v>
      </c>
      <c r="J590" s="1" t="str">
        <f aca="false">VLOOKUP(B590,Customers!$A$2:$G$502,6,FALSE())</f>
        <v>Consumer</v>
      </c>
      <c r="K590" s="1" t="str">
        <f aca="false">VLOOKUP(C590,Products!$A$2:$E$62,3,FALSE())</f>
        <v>Software</v>
      </c>
      <c r="L590" s="1" t="str">
        <f aca="false">TEXT(D590,"yyyy-mm")</f>
        <v>2023-05</v>
      </c>
    </row>
    <row r="591" customFormat="false" ht="15" hidden="false" customHeight="true" outlineLevel="0" collapsed="false">
      <c r="A591" s="1" t="n">
        <v>603</v>
      </c>
      <c r="B591" s="1" t="n">
        <v>66</v>
      </c>
      <c r="C591" s="1" t="n">
        <v>32</v>
      </c>
      <c r="D591" s="1" t="s">
        <v>753</v>
      </c>
      <c r="E591" s="1" t="n">
        <v>1</v>
      </c>
      <c r="F591" s="1" t="n">
        <v>492.27</v>
      </c>
      <c r="G591" s="1" t="n">
        <v>0</v>
      </c>
      <c r="H591" s="1" t="s">
        <v>1336</v>
      </c>
      <c r="I591" s="1" t="n">
        <v>492.27</v>
      </c>
      <c r="J591" s="1" t="str">
        <f aca="false">VLOOKUP(B591,Customers!$A$2:$G$502,6,FALSE())</f>
        <v>Corporate</v>
      </c>
      <c r="K591" s="1" t="str">
        <f aca="false">VLOOKUP(C591,Products!$A$2:$E$62,3,FALSE())</f>
        <v>Office Supplies</v>
      </c>
      <c r="L591" s="1" t="str">
        <f aca="false">TEXT(D591,"yyyy-mm")</f>
        <v>2023-03</v>
      </c>
    </row>
    <row r="592" customFormat="false" ht="15" hidden="false" customHeight="true" outlineLevel="0" collapsed="false">
      <c r="A592" s="1" t="n">
        <v>604</v>
      </c>
      <c r="B592" s="1" t="n">
        <v>459</v>
      </c>
      <c r="C592" s="1" t="n">
        <v>29</v>
      </c>
      <c r="D592" s="1" t="s">
        <v>365</v>
      </c>
      <c r="E592" s="1" t="n">
        <v>3</v>
      </c>
      <c r="F592" s="1" t="n">
        <v>54.62</v>
      </c>
      <c r="G592" s="1" t="n">
        <v>0.05</v>
      </c>
      <c r="H592" s="1" t="s">
        <v>1336</v>
      </c>
      <c r="I592" s="1" t="n">
        <v>155.67</v>
      </c>
      <c r="J592" s="1" t="str">
        <f aca="false">VLOOKUP(B592,Customers!$A$2:$G$502,6,FALSE())</f>
        <v>Small Business</v>
      </c>
      <c r="K592" s="1" t="str">
        <f aca="false">VLOOKUP(C592,Products!$A$2:$E$62,3,FALSE())</f>
        <v>Office Supplies</v>
      </c>
      <c r="L592" s="1" t="str">
        <f aca="false">TEXT(D592,"yyyy-mm")</f>
        <v>2023-04</v>
      </c>
    </row>
    <row r="593" customFormat="false" ht="15" hidden="false" customHeight="true" outlineLevel="0" collapsed="false">
      <c r="A593" s="1" t="n">
        <v>605</v>
      </c>
      <c r="B593" s="1" t="n">
        <v>338</v>
      </c>
      <c r="C593" s="1" t="n">
        <v>45</v>
      </c>
      <c r="D593" s="1" t="s">
        <v>1419</v>
      </c>
      <c r="E593" s="1" t="n">
        <v>9</v>
      </c>
      <c r="F593" s="1" t="n">
        <v>560.01</v>
      </c>
      <c r="G593" s="1" t="n">
        <v>0</v>
      </c>
      <c r="H593" s="1" t="s">
        <v>1336</v>
      </c>
      <c r="I593" s="1" t="n">
        <v>5040.09</v>
      </c>
      <c r="J593" s="1" t="str">
        <f aca="false">VLOOKUP(B593,Customers!$A$2:$G$502,6,FALSE())</f>
        <v>Corporate</v>
      </c>
      <c r="K593" s="1" t="str">
        <f aca="false">VLOOKUP(C593,Products!$A$2:$E$62,3,FALSE())</f>
        <v>Software</v>
      </c>
      <c r="L593" s="1" t="str">
        <f aca="false">TEXT(D593,"yyyy-mm")</f>
        <v>2023-04</v>
      </c>
    </row>
    <row r="594" customFormat="false" ht="15" hidden="false" customHeight="true" outlineLevel="0" collapsed="false">
      <c r="A594" s="1" t="n">
        <v>606</v>
      </c>
      <c r="B594" s="1" t="n">
        <v>463</v>
      </c>
      <c r="C594" s="1" t="n">
        <v>25</v>
      </c>
      <c r="D594" s="1" t="s">
        <v>772</v>
      </c>
      <c r="E594" s="1" t="n">
        <v>5</v>
      </c>
      <c r="F594" s="1" t="n">
        <v>300.49</v>
      </c>
      <c r="G594" s="1" t="n">
        <v>0</v>
      </c>
      <c r="H594" s="1" t="s">
        <v>1336</v>
      </c>
      <c r="I594" s="1" t="n">
        <v>1502.45</v>
      </c>
      <c r="J594" s="1" t="str">
        <f aca="false">VLOOKUP(B594,Customers!$A$2:$G$502,6,FALSE())</f>
        <v>Consumer</v>
      </c>
      <c r="K594" s="1" t="str">
        <f aca="false">VLOOKUP(C594,Products!$A$2:$E$62,3,FALSE())</f>
        <v>Office Supplies</v>
      </c>
      <c r="L594" s="1" t="str">
        <f aca="false">TEXT(D594,"yyyy-mm")</f>
        <v>2023-10</v>
      </c>
    </row>
    <row r="595" customFormat="false" ht="15" hidden="false" customHeight="true" outlineLevel="0" collapsed="false">
      <c r="A595" s="1" t="n">
        <v>607</v>
      </c>
      <c r="B595" s="1" t="n">
        <v>341</v>
      </c>
      <c r="C595" s="1" t="n">
        <v>9</v>
      </c>
      <c r="D595" s="1" t="s">
        <v>846</v>
      </c>
      <c r="E595" s="1" t="n">
        <v>6</v>
      </c>
      <c r="F595" s="1" t="n">
        <v>203.1</v>
      </c>
      <c r="G595" s="1" t="n">
        <v>0.15</v>
      </c>
      <c r="H595" s="1" t="s">
        <v>1336</v>
      </c>
      <c r="I595" s="1" t="n">
        <v>1035.81</v>
      </c>
      <c r="J595" s="1" t="str">
        <f aca="false">VLOOKUP(B595,Customers!$A$2:$G$502,6,FALSE())</f>
        <v>Small Business</v>
      </c>
      <c r="K595" s="1" t="str">
        <f aca="false">VLOOKUP(C595,Products!$A$2:$E$62,3,FALSE())</f>
        <v>Electronics</v>
      </c>
      <c r="L595" s="1" t="str">
        <f aca="false">TEXT(D595,"yyyy-mm")</f>
        <v>2024-07</v>
      </c>
    </row>
    <row r="596" customFormat="false" ht="15" hidden="false" customHeight="true" outlineLevel="0" collapsed="false">
      <c r="A596" s="1" t="n">
        <v>608</v>
      </c>
      <c r="B596" s="1" t="n">
        <v>478</v>
      </c>
      <c r="C596" s="1" t="n">
        <v>37</v>
      </c>
      <c r="D596" s="1" t="s">
        <v>1529</v>
      </c>
      <c r="E596" s="1" t="n">
        <v>4</v>
      </c>
      <c r="F596" s="1" t="n">
        <v>13.95</v>
      </c>
      <c r="G596" s="1" t="n">
        <v>0</v>
      </c>
      <c r="H596" s="1" t="s">
        <v>1336</v>
      </c>
      <c r="I596" s="1" t="n">
        <v>55.8</v>
      </c>
      <c r="J596" s="1" t="str">
        <f aca="false">VLOOKUP(B596,Customers!$A$2:$G$502,6,FALSE())</f>
        <v>Small Business</v>
      </c>
      <c r="K596" s="1" t="str">
        <f aca="false">VLOOKUP(C596,Products!$A$2:$E$62,3,FALSE())</f>
        <v>Software</v>
      </c>
      <c r="L596" s="1" t="str">
        <f aca="false">TEXT(D596,"yyyy-mm")</f>
        <v>2024-09</v>
      </c>
    </row>
    <row r="597" customFormat="false" ht="15" hidden="false" customHeight="true" outlineLevel="0" collapsed="false">
      <c r="A597" s="1" t="n">
        <v>609</v>
      </c>
      <c r="B597" s="1" t="n">
        <v>196</v>
      </c>
      <c r="C597" s="1" t="n">
        <v>42</v>
      </c>
      <c r="D597" s="1" t="s">
        <v>713</v>
      </c>
      <c r="E597" s="1" t="n">
        <v>2</v>
      </c>
      <c r="F597" s="1" t="n">
        <v>174.48</v>
      </c>
      <c r="G597" s="1" t="n">
        <v>0.2</v>
      </c>
      <c r="H597" s="1" t="s">
        <v>1336</v>
      </c>
      <c r="I597" s="1" t="n">
        <v>279.17</v>
      </c>
      <c r="J597" s="1" t="str">
        <f aca="false">VLOOKUP(B597,Customers!$A$2:$G$502,6,FALSE())</f>
        <v>Corporate</v>
      </c>
      <c r="K597" s="1" t="str">
        <f aca="false">VLOOKUP(C597,Products!$A$2:$E$62,3,FALSE())</f>
        <v>Software</v>
      </c>
      <c r="L597" s="1" t="str">
        <f aca="false">TEXT(D597,"yyyy-mm")</f>
        <v>2024-10</v>
      </c>
    </row>
    <row r="598" customFormat="false" ht="15" hidden="false" customHeight="true" outlineLevel="0" collapsed="false">
      <c r="A598" s="1" t="n">
        <v>610</v>
      </c>
      <c r="B598" s="1" t="n">
        <v>60</v>
      </c>
      <c r="C598" s="1" t="n">
        <v>19</v>
      </c>
      <c r="D598" s="1" t="s">
        <v>753</v>
      </c>
      <c r="E598" s="1" t="n">
        <v>8</v>
      </c>
      <c r="F598" s="1" t="n">
        <v>163.64</v>
      </c>
      <c r="G598" s="1" t="n">
        <v>0</v>
      </c>
      <c r="H598" s="1" t="s">
        <v>1336</v>
      </c>
      <c r="I598" s="1" t="n">
        <v>1309.12</v>
      </c>
      <c r="J598" s="1" t="str">
        <f aca="false">VLOOKUP(B598,Customers!$A$2:$G$502,6,FALSE())</f>
        <v>Corporate</v>
      </c>
      <c r="K598" s="1" t="str">
        <f aca="false">VLOOKUP(C598,Products!$A$2:$E$62,3,FALSE())</f>
        <v>Office Supplies</v>
      </c>
      <c r="L598" s="1" t="str">
        <f aca="false">TEXT(D598,"yyyy-mm")</f>
        <v>2023-03</v>
      </c>
    </row>
    <row r="599" customFormat="false" ht="15" hidden="false" customHeight="true" outlineLevel="0" collapsed="false">
      <c r="A599" s="1" t="n">
        <v>612</v>
      </c>
      <c r="B599" s="1" t="n">
        <v>32</v>
      </c>
      <c r="C599" s="1" t="n">
        <v>38</v>
      </c>
      <c r="D599" s="1" t="s">
        <v>1416</v>
      </c>
      <c r="E599" s="1" t="n">
        <v>5</v>
      </c>
      <c r="F599" s="1" t="n">
        <v>521.63</v>
      </c>
      <c r="G599" s="1" t="n">
        <v>0</v>
      </c>
      <c r="H599" s="1" t="s">
        <v>1336</v>
      </c>
      <c r="I599" s="1" t="n">
        <v>2608.15</v>
      </c>
      <c r="J599" s="1" t="str">
        <f aca="false">VLOOKUP(B599,Customers!$A$2:$G$502,6,FALSE())</f>
        <v>Small Business</v>
      </c>
      <c r="K599" s="1" t="str">
        <f aca="false">VLOOKUP(C599,Products!$A$2:$E$62,3,FALSE())</f>
        <v>Software</v>
      </c>
      <c r="L599" s="1" t="str">
        <f aca="false">TEXT(D599,"yyyy-mm")</f>
        <v>2024-07</v>
      </c>
    </row>
    <row r="600" customFormat="false" ht="15" hidden="false" customHeight="true" outlineLevel="0" collapsed="false">
      <c r="A600" s="1" t="n">
        <v>614</v>
      </c>
      <c r="B600" s="1" t="n">
        <v>437</v>
      </c>
      <c r="C600" s="1" t="n">
        <v>30</v>
      </c>
      <c r="D600" s="1" t="s">
        <v>51</v>
      </c>
      <c r="E600" s="1" t="n">
        <v>1</v>
      </c>
      <c r="F600" s="1" t="n">
        <v>33.32</v>
      </c>
      <c r="G600" s="1" t="n">
        <v>0</v>
      </c>
      <c r="H600" s="1" t="s">
        <v>1336</v>
      </c>
      <c r="I600" s="1" t="n">
        <v>33.32</v>
      </c>
      <c r="J600" s="1" t="str">
        <f aca="false">VLOOKUP(B600,Customers!$A$2:$G$502,6,FALSE())</f>
        <v>Small Business</v>
      </c>
      <c r="K600" s="1" t="str">
        <f aca="false">VLOOKUP(C600,Products!$A$2:$E$62,3,FALSE())</f>
        <v>Office Supplies</v>
      </c>
      <c r="L600" s="1" t="str">
        <f aca="false">TEXT(D600,"yyyy-mm")</f>
        <v>2023-11</v>
      </c>
    </row>
    <row r="601" customFormat="false" ht="15" hidden="false" customHeight="true" outlineLevel="0" collapsed="false">
      <c r="A601" s="1" t="n">
        <v>615</v>
      </c>
      <c r="B601" s="1" t="n">
        <v>76</v>
      </c>
      <c r="C601" s="1" t="n">
        <v>39</v>
      </c>
      <c r="D601" s="1" t="s">
        <v>1530</v>
      </c>
      <c r="E601" s="1" t="n">
        <v>5</v>
      </c>
      <c r="F601" s="1" t="n">
        <v>400.02</v>
      </c>
      <c r="G601" s="1" t="n">
        <v>0</v>
      </c>
      <c r="H601" s="1" t="s">
        <v>1336</v>
      </c>
      <c r="I601" s="1" t="n">
        <v>2000.1</v>
      </c>
      <c r="J601" s="1" t="str">
        <f aca="false">VLOOKUP(B601,Customers!$A$2:$G$502,6,FALSE())</f>
        <v>Consumer</v>
      </c>
      <c r="K601" s="1" t="str">
        <f aca="false">VLOOKUP(C601,Products!$A$2:$E$62,3,FALSE())</f>
        <v>Software</v>
      </c>
      <c r="L601" s="1" t="str">
        <f aca="false">TEXT(D601,"yyyy-mm")</f>
        <v>2023-10</v>
      </c>
    </row>
    <row r="602" customFormat="false" ht="15" hidden="false" customHeight="true" outlineLevel="0" collapsed="false">
      <c r="A602" s="1" t="n">
        <v>616</v>
      </c>
      <c r="B602" s="1" t="n">
        <v>164</v>
      </c>
      <c r="C602" s="1" t="n">
        <v>20</v>
      </c>
      <c r="D602" s="1" t="s">
        <v>722</v>
      </c>
      <c r="E602" s="1" t="n">
        <v>6</v>
      </c>
      <c r="F602" s="1" t="n">
        <v>426.15</v>
      </c>
      <c r="G602" s="1" t="n">
        <v>0.15</v>
      </c>
      <c r="H602" s="1" t="s">
        <v>1336</v>
      </c>
      <c r="I602" s="1" t="n">
        <v>2173.36</v>
      </c>
      <c r="J602" s="1" t="str">
        <f aca="false">VLOOKUP(B602,Customers!$A$2:$G$502,6,FALSE())</f>
        <v>Consumer</v>
      </c>
      <c r="K602" s="1" t="str">
        <f aca="false">VLOOKUP(C602,Products!$A$2:$E$62,3,FALSE())</f>
        <v>Office Supplies</v>
      </c>
      <c r="L602" s="1" t="str">
        <f aca="false">TEXT(D602,"yyyy-mm")</f>
        <v>2024-05</v>
      </c>
    </row>
    <row r="603" customFormat="false" ht="15" hidden="false" customHeight="true" outlineLevel="0" collapsed="false">
      <c r="A603" s="1" t="n">
        <v>617</v>
      </c>
      <c r="B603" s="1" t="n">
        <v>425</v>
      </c>
      <c r="C603" s="1" t="n">
        <v>14</v>
      </c>
      <c r="D603" s="1" t="s">
        <v>185</v>
      </c>
      <c r="E603" s="1" t="n">
        <v>5</v>
      </c>
      <c r="F603" s="1" t="n">
        <v>135.27</v>
      </c>
      <c r="G603" s="1" t="n">
        <v>0</v>
      </c>
      <c r="H603" s="1" t="s">
        <v>1336</v>
      </c>
      <c r="I603" s="1" t="n">
        <v>676.35</v>
      </c>
      <c r="J603" s="1" t="str">
        <f aca="false">VLOOKUP(B603,Customers!$A$2:$G$502,6,FALSE())</f>
        <v>Unknown</v>
      </c>
      <c r="K603" s="1" t="str">
        <f aca="false">VLOOKUP(C603,Products!$A$2:$E$62,3,FALSE())</f>
        <v>Electronics</v>
      </c>
      <c r="L603" s="1" t="str">
        <f aca="false">TEXT(D603,"yyyy-mm")</f>
        <v>2024-05</v>
      </c>
    </row>
    <row r="604" customFormat="false" ht="15" hidden="false" customHeight="true" outlineLevel="0" collapsed="false">
      <c r="A604" s="1" t="n">
        <v>618</v>
      </c>
      <c r="B604" s="1" t="n">
        <v>424</v>
      </c>
      <c r="C604" s="1" t="n">
        <v>46</v>
      </c>
      <c r="D604" s="1" t="s">
        <v>146</v>
      </c>
      <c r="E604" s="1" t="n">
        <v>6</v>
      </c>
      <c r="F604" s="1" t="n">
        <v>94.92</v>
      </c>
      <c r="G604" s="1" t="n">
        <v>0.2</v>
      </c>
      <c r="H604" s="1" t="s">
        <v>1336</v>
      </c>
      <c r="I604" s="1" t="n">
        <v>455.62</v>
      </c>
      <c r="J604" s="1" t="str">
        <f aca="false">VLOOKUP(B604,Customers!$A$2:$G$502,6,FALSE())</f>
        <v>Small Business</v>
      </c>
      <c r="K604" s="1" t="str">
        <f aca="false">VLOOKUP(C604,Products!$A$2:$E$62,3,FALSE())</f>
        <v>Software</v>
      </c>
      <c r="L604" s="1" t="str">
        <f aca="false">TEXT(D604,"yyyy-mm")</f>
        <v>2023-08</v>
      </c>
    </row>
    <row r="605" customFormat="false" ht="15" hidden="false" customHeight="true" outlineLevel="0" collapsed="false">
      <c r="A605" s="1" t="n">
        <v>619</v>
      </c>
      <c r="B605" s="1" t="n">
        <v>444</v>
      </c>
      <c r="C605" s="1" t="n">
        <v>50</v>
      </c>
      <c r="D605" s="1" t="s">
        <v>257</v>
      </c>
      <c r="E605" s="1" t="n">
        <v>6</v>
      </c>
      <c r="F605" s="1" t="n">
        <v>19.73</v>
      </c>
      <c r="G605" s="1" t="n">
        <v>0.2</v>
      </c>
      <c r="H605" s="1" t="s">
        <v>1336</v>
      </c>
      <c r="I605" s="1" t="n">
        <v>94.7</v>
      </c>
      <c r="J605" s="1" t="str">
        <f aca="false">VLOOKUP(B605,Customers!$A$2:$G$502,6,FALSE())</f>
        <v>Small Business</v>
      </c>
      <c r="K605" s="1" t="str">
        <f aca="false">VLOOKUP(C605,Products!$A$2:$E$62,3,FALSE())</f>
        <v>Software</v>
      </c>
      <c r="L605" s="1" t="str">
        <f aca="false">TEXT(D605,"yyyy-mm")</f>
        <v>2023-07</v>
      </c>
    </row>
    <row r="606" customFormat="false" ht="15" hidden="false" customHeight="true" outlineLevel="0" collapsed="false">
      <c r="A606" s="1" t="n">
        <v>620</v>
      </c>
      <c r="B606" s="1" t="n">
        <v>435</v>
      </c>
      <c r="C606" s="1" t="n">
        <v>11</v>
      </c>
      <c r="D606" s="1" t="s">
        <v>924</v>
      </c>
      <c r="E606" s="1" t="n">
        <v>7</v>
      </c>
      <c r="F606" s="1" t="n">
        <v>328.39</v>
      </c>
      <c r="G606" s="1" t="n">
        <v>0.1</v>
      </c>
      <c r="H606" s="1" t="s">
        <v>1336</v>
      </c>
      <c r="I606" s="1" t="n">
        <v>2068.86</v>
      </c>
      <c r="J606" s="1" t="str">
        <f aca="false">VLOOKUP(B606,Customers!$A$2:$G$502,6,FALSE())</f>
        <v>Unknown</v>
      </c>
      <c r="K606" s="1" t="str">
        <f aca="false">VLOOKUP(C606,Products!$A$2:$E$62,3,FALSE())</f>
        <v>Electronics</v>
      </c>
      <c r="L606" s="1" t="str">
        <f aca="false">TEXT(D606,"yyyy-mm")</f>
        <v>2023-01</v>
      </c>
    </row>
    <row r="607" customFormat="false" ht="15" hidden="false" customHeight="true" outlineLevel="0" collapsed="false">
      <c r="A607" s="1" t="n">
        <v>621</v>
      </c>
      <c r="B607" s="1" t="n">
        <v>201</v>
      </c>
      <c r="C607" s="1" t="n">
        <v>26</v>
      </c>
      <c r="D607" s="1" t="s">
        <v>1337</v>
      </c>
      <c r="E607" s="1" t="n">
        <v>4</v>
      </c>
      <c r="F607" s="1" t="n">
        <v>733.85</v>
      </c>
      <c r="G607" s="1" t="n">
        <v>0.1</v>
      </c>
      <c r="H607" s="1" t="s">
        <v>1336</v>
      </c>
      <c r="I607" s="1" t="n">
        <v>2641.86</v>
      </c>
      <c r="J607" s="1" t="str">
        <f aca="false">VLOOKUP(B607,Customers!$A$2:$G$502,6,FALSE())</f>
        <v>Corporate</v>
      </c>
      <c r="K607" s="1" t="str">
        <f aca="false">VLOOKUP(C607,Products!$A$2:$E$62,3,FALSE())</f>
        <v>Office Supplies</v>
      </c>
      <c r="L607" s="1" t="str">
        <f aca="false">TEXT(D607,"yyyy-mm")</f>
        <v>2023-03</v>
      </c>
    </row>
    <row r="608" customFormat="false" ht="15" hidden="false" customHeight="true" outlineLevel="0" collapsed="false">
      <c r="A608" s="1" t="n">
        <v>622</v>
      </c>
      <c r="B608" s="1" t="n">
        <v>281</v>
      </c>
      <c r="C608" s="1" t="n">
        <v>26</v>
      </c>
      <c r="D608" s="1" t="s">
        <v>578</v>
      </c>
      <c r="E608" s="1" t="n">
        <v>8</v>
      </c>
      <c r="F608" s="1" t="n">
        <v>733.85</v>
      </c>
      <c r="G608" s="1" t="n">
        <v>0</v>
      </c>
      <c r="H608" s="1" t="s">
        <v>1336</v>
      </c>
      <c r="I608" s="1" t="n">
        <v>5870.8</v>
      </c>
      <c r="J608" s="1" t="str">
        <f aca="false">VLOOKUP(B608,Customers!$A$2:$G$502,6,FALSE())</f>
        <v>Corporate</v>
      </c>
      <c r="K608" s="1" t="str">
        <f aca="false">VLOOKUP(C608,Products!$A$2:$E$62,3,FALSE())</f>
        <v>Office Supplies</v>
      </c>
      <c r="L608" s="1" t="str">
        <f aca="false">TEXT(D608,"yyyy-mm")</f>
        <v>2023-04</v>
      </c>
    </row>
    <row r="609" customFormat="false" ht="15" hidden="false" customHeight="true" outlineLevel="0" collapsed="false">
      <c r="A609" s="1" t="n">
        <v>623</v>
      </c>
      <c r="B609" s="1" t="n">
        <v>479</v>
      </c>
      <c r="C609" s="1" t="n">
        <v>46</v>
      </c>
      <c r="D609" s="1" t="s">
        <v>1406</v>
      </c>
      <c r="E609" s="1" t="n">
        <v>7</v>
      </c>
      <c r="F609" s="1" t="n">
        <v>94.92</v>
      </c>
      <c r="G609" s="1" t="n">
        <v>0.05</v>
      </c>
      <c r="H609" s="1" t="s">
        <v>1336</v>
      </c>
      <c r="I609" s="1" t="n">
        <v>631.22</v>
      </c>
      <c r="J609" s="1" t="str">
        <f aca="false">VLOOKUP(B609,Customers!$A$2:$G$502,6,FALSE())</f>
        <v>Small Business</v>
      </c>
      <c r="K609" s="1" t="str">
        <f aca="false">VLOOKUP(C609,Products!$A$2:$E$62,3,FALSE())</f>
        <v>Software</v>
      </c>
      <c r="L609" s="1" t="str">
        <f aca="false">TEXT(D609,"yyyy-mm")</f>
        <v>2023-11</v>
      </c>
    </row>
    <row r="610" customFormat="false" ht="15" hidden="false" customHeight="true" outlineLevel="0" collapsed="false">
      <c r="A610" s="1" t="n">
        <v>624</v>
      </c>
      <c r="B610" s="1" t="n">
        <v>460</v>
      </c>
      <c r="C610" s="1" t="n">
        <v>10</v>
      </c>
      <c r="D610" s="1" t="s">
        <v>1396</v>
      </c>
      <c r="E610" s="1" t="n">
        <v>9</v>
      </c>
      <c r="F610" s="1" t="n">
        <v>251.58</v>
      </c>
      <c r="G610" s="1" t="n">
        <v>0</v>
      </c>
      <c r="H610" s="1" t="s">
        <v>1336</v>
      </c>
      <c r="I610" s="1" t="n">
        <v>2264.22</v>
      </c>
      <c r="J610" s="1" t="str">
        <f aca="false">VLOOKUP(B610,Customers!$A$2:$G$502,6,FALSE())</f>
        <v>Corporate</v>
      </c>
      <c r="K610" s="1" t="str">
        <f aca="false">VLOOKUP(C610,Products!$A$2:$E$62,3,FALSE())</f>
        <v>Electronics</v>
      </c>
      <c r="L610" s="1" t="str">
        <f aca="false">TEXT(D610,"yyyy-mm")</f>
        <v>2023-08</v>
      </c>
    </row>
    <row r="611" customFormat="false" ht="15" hidden="false" customHeight="true" outlineLevel="0" collapsed="false">
      <c r="A611" s="1" t="n">
        <v>625</v>
      </c>
      <c r="B611" s="1" t="n">
        <v>439</v>
      </c>
      <c r="C611" s="1" t="n">
        <v>37</v>
      </c>
      <c r="D611" s="1" t="s">
        <v>29</v>
      </c>
      <c r="E611" s="1" t="n">
        <v>7</v>
      </c>
      <c r="F611" s="1" t="n">
        <v>13.95</v>
      </c>
      <c r="G611" s="1" t="n">
        <v>0.15</v>
      </c>
      <c r="H611" s="1" t="s">
        <v>1336</v>
      </c>
      <c r="I611" s="1" t="n">
        <v>83</v>
      </c>
      <c r="J611" s="1" t="str">
        <f aca="false">VLOOKUP(B611,Customers!$A$2:$G$502,6,FALSE())</f>
        <v>Corporate</v>
      </c>
      <c r="K611" s="1" t="str">
        <f aca="false">VLOOKUP(C611,Products!$A$2:$E$62,3,FALSE())</f>
        <v>Software</v>
      </c>
      <c r="L611" s="1" t="str">
        <f aca="false">TEXT(D611,"yyyy-mm")</f>
        <v>2023-04</v>
      </c>
    </row>
    <row r="612" customFormat="false" ht="15" hidden="false" customHeight="true" outlineLevel="0" collapsed="false">
      <c r="A612" s="1" t="n">
        <v>626</v>
      </c>
      <c r="B612" s="1" t="n">
        <v>348</v>
      </c>
      <c r="C612" s="1" t="n">
        <v>54</v>
      </c>
      <c r="D612" s="1" t="s">
        <v>1418</v>
      </c>
      <c r="E612" s="1" t="n">
        <v>3</v>
      </c>
      <c r="F612" s="1" t="n">
        <v>312.01</v>
      </c>
      <c r="G612" s="1" t="n">
        <v>0</v>
      </c>
      <c r="H612" s="1" t="s">
        <v>1336</v>
      </c>
      <c r="I612" s="1" t="n">
        <v>936.03</v>
      </c>
      <c r="J612" s="1" t="str">
        <f aca="false">VLOOKUP(B612,Customers!$A$2:$G$502,6,FALSE())</f>
        <v>Consumer</v>
      </c>
      <c r="K612" s="1" t="str">
        <f aca="false">VLOOKUP(C612,Products!$A$2:$E$62,3,FALSE())</f>
        <v>Software</v>
      </c>
      <c r="L612" s="1" t="str">
        <f aca="false">TEXT(D612,"yyyy-mm")</f>
        <v>2023-06</v>
      </c>
    </row>
    <row r="613" customFormat="false" ht="15" hidden="false" customHeight="true" outlineLevel="0" collapsed="false">
      <c r="A613" s="1" t="n">
        <v>627</v>
      </c>
      <c r="B613" s="1" t="n">
        <v>264</v>
      </c>
      <c r="C613" s="1" t="n">
        <v>42</v>
      </c>
      <c r="D613" s="1" t="s">
        <v>464</v>
      </c>
      <c r="E613" s="1" t="n">
        <v>3</v>
      </c>
      <c r="F613" s="1" t="n">
        <v>174.48</v>
      </c>
      <c r="G613" s="1" t="n">
        <v>0.1</v>
      </c>
      <c r="H613" s="1" t="s">
        <v>1336</v>
      </c>
      <c r="I613" s="1" t="n">
        <v>471.1</v>
      </c>
      <c r="J613" s="1" t="str">
        <f aca="false">VLOOKUP(B613,Customers!$A$2:$G$502,6,FALSE())</f>
        <v>Small Business</v>
      </c>
      <c r="K613" s="1" t="str">
        <f aca="false">VLOOKUP(C613,Products!$A$2:$E$62,3,FALSE())</f>
        <v>Software</v>
      </c>
      <c r="L613" s="1" t="str">
        <f aca="false">TEXT(D613,"yyyy-mm")</f>
        <v>2023-12</v>
      </c>
    </row>
    <row r="614" customFormat="false" ht="15" hidden="false" customHeight="true" outlineLevel="0" collapsed="false">
      <c r="A614" s="1" t="n">
        <v>628</v>
      </c>
      <c r="B614" s="1" t="n">
        <v>61</v>
      </c>
      <c r="C614" s="1" t="n">
        <v>16</v>
      </c>
      <c r="D614" s="1" t="s">
        <v>701</v>
      </c>
      <c r="E614" s="1" t="n">
        <v>8</v>
      </c>
      <c r="F614" s="1" t="n">
        <v>330.91</v>
      </c>
      <c r="G614" s="1" t="n">
        <v>0.05</v>
      </c>
      <c r="H614" s="1" t="s">
        <v>1336</v>
      </c>
      <c r="I614" s="1" t="n">
        <v>2514.92</v>
      </c>
      <c r="J614" s="1" t="str">
        <f aca="false">VLOOKUP(B614,Customers!$A$2:$G$502,6,FALSE())</f>
        <v>Small Business</v>
      </c>
      <c r="K614" s="1" t="str">
        <f aca="false">VLOOKUP(C614,Products!$A$2:$E$62,3,FALSE())</f>
        <v>Electronics</v>
      </c>
      <c r="L614" s="1" t="str">
        <f aca="false">TEXT(D614,"yyyy-mm")</f>
        <v>2024-02</v>
      </c>
    </row>
    <row r="615" customFormat="false" ht="15" hidden="false" customHeight="true" outlineLevel="0" collapsed="false">
      <c r="A615" s="1" t="n">
        <v>629</v>
      </c>
      <c r="B615" s="1" t="n">
        <v>398</v>
      </c>
      <c r="C615" s="1" t="n">
        <v>45</v>
      </c>
      <c r="D615" s="1" t="s">
        <v>1531</v>
      </c>
      <c r="E615" s="1" t="n">
        <v>5</v>
      </c>
      <c r="F615" s="1" t="n">
        <v>560.01</v>
      </c>
      <c r="G615" s="1" t="n">
        <v>0.15</v>
      </c>
      <c r="H615" s="1" t="s">
        <v>1336</v>
      </c>
      <c r="I615" s="1" t="n">
        <v>2380.04</v>
      </c>
      <c r="J615" s="1" t="str">
        <f aca="false">VLOOKUP(B615,Customers!$A$2:$G$502,6,FALSE())</f>
        <v>Small Business</v>
      </c>
      <c r="K615" s="1" t="str">
        <f aca="false">VLOOKUP(C615,Products!$A$2:$E$62,3,FALSE())</f>
        <v>Software</v>
      </c>
      <c r="L615" s="1" t="str">
        <f aca="false">TEXT(D615,"yyyy-mm")</f>
        <v>2024-11</v>
      </c>
    </row>
    <row r="616" customFormat="false" ht="15" hidden="false" customHeight="true" outlineLevel="0" collapsed="false">
      <c r="A616" s="1" t="n">
        <v>630</v>
      </c>
      <c r="B616" s="1" t="n">
        <v>324</v>
      </c>
      <c r="C616" s="1" t="n">
        <v>42</v>
      </c>
      <c r="D616" s="1" t="s">
        <v>371</v>
      </c>
      <c r="E616" s="1" t="n">
        <v>4</v>
      </c>
      <c r="F616" s="1" t="n">
        <v>174.48</v>
      </c>
      <c r="G616" s="1" t="n">
        <v>0</v>
      </c>
      <c r="H616" s="1" t="s">
        <v>1336</v>
      </c>
      <c r="I616" s="1" t="n">
        <v>697.92</v>
      </c>
      <c r="J616" s="1" t="str">
        <f aca="false">VLOOKUP(B616,Customers!$A$2:$G$502,6,FALSE())</f>
        <v>Consumer</v>
      </c>
      <c r="K616" s="1" t="str">
        <f aca="false">VLOOKUP(C616,Products!$A$2:$E$62,3,FALSE())</f>
        <v>Software</v>
      </c>
      <c r="L616" s="1" t="str">
        <f aca="false">TEXT(D616,"yyyy-mm")</f>
        <v>2024-03</v>
      </c>
    </row>
    <row r="617" customFormat="false" ht="15" hidden="false" customHeight="true" outlineLevel="0" collapsed="false">
      <c r="A617" s="1" t="n">
        <v>631</v>
      </c>
      <c r="B617" s="1" t="n">
        <v>466</v>
      </c>
      <c r="C617" s="1" t="n">
        <v>33</v>
      </c>
      <c r="D617" s="1" t="s">
        <v>87</v>
      </c>
      <c r="E617" s="1" t="n">
        <v>8</v>
      </c>
      <c r="F617" s="1" t="n">
        <v>190.1</v>
      </c>
      <c r="G617" s="1" t="n">
        <v>0</v>
      </c>
      <c r="H617" s="1" t="s">
        <v>1336</v>
      </c>
      <c r="I617" s="1" t="n">
        <v>1520.8</v>
      </c>
      <c r="J617" s="1" t="str">
        <f aca="false">VLOOKUP(B617,Customers!$A$2:$G$502,6,FALSE())</f>
        <v>Consumer</v>
      </c>
      <c r="K617" s="1" t="str">
        <f aca="false">VLOOKUP(C617,Products!$A$2:$E$62,3,FALSE())</f>
        <v>Office Supplies</v>
      </c>
      <c r="L617" s="1" t="str">
        <f aca="false">TEXT(D617,"yyyy-mm")</f>
        <v>2023-08</v>
      </c>
    </row>
    <row r="618" customFormat="false" ht="15" hidden="false" customHeight="true" outlineLevel="0" collapsed="false">
      <c r="A618" s="1" t="n">
        <v>632</v>
      </c>
      <c r="B618" s="1" t="n">
        <v>49</v>
      </c>
      <c r="C618" s="1" t="n">
        <v>51</v>
      </c>
      <c r="D618" s="1" t="s">
        <v>1502</v>
      </c>
      <c r="E618" s="1" t="n">
        <v>6</v>
      </c>
      <c r="F618" s="1" t="n">
        <v>30.16</v>
      </c>
      <c r="G618" s="1" t="n">
        <v>0</v>
      </c>
      <c r="H618" s="1" t="s">
        <v>1336</v>
      </c>
      <c r="I618" s="1" t="n">
        <v>180.96</v>
      </c>
      <c r="J618" s="1" t="str">
        <f aca="false">VLOOKUP(B618,Customers!$A$2:$G$502,6,FALSE())</f>
        <v>Corporate</v>
      </c>
      <c r="K618" s="1" t="str">
        <f aca="false">VLOOKUP(C618,Products!$A$2:$E$62,3,FALSE())</f>
        <v>Software</v>
      </c>
      <c r="L618" s="1" t="str">
        <f aca="false">TEXT(D618,"yyyy-mm")</f>
        <v>2024-08</v>
      </c>
    </row>
    <row r="619" customFormat="false" ht="15" hidden="false" customHeight="true" outlineLevel="0" collapsed="false">
      <c r="A619" s="1" t="n">
        <v>633</v>
      </c>
      <c r="B619" s="1" t="n">
        <v>65</v>
      </c>
      <c r="C619" s="1" t="n">
        <v>7</v>
      </c>
      <c r="D619" s="1" t="s">
        <v>1277</v>
      </c>
      <c r="E619" s="1" t="n">
        <v>2</v>
      </c>
      <c r="F619" s="1" t="n">
        <v>460</v>
      </c>
      <c r="G619" s="1" t="n">
        <v>0</v>
      </c>
      <c r="H619" s="1" t="s">
        <v>1336</v>
      </c>
      <c r="I619" s="1" t="n">
        <v>920</v>
      </c>
      <c r="J619" s="1" t="str">
        <f aca="false">VLOOKUP(B619,Customers!$A$2:$G$502,6,FALSE())</f>
        <v>Corporate</v>
      </c>
      <c r="K619" s="1" t="str">
        <f aca="false">VLOOKUP(C619,Products!$A$2:$E$62,3,FALSE())</f>
        <v>Electronics</v>
      </c>
      <c r="L619" s="1" t="str">
        <f aca="false">TEXT(D619,"yyyy-mm")</f>
        <v>2023-11</v>
      </c>
    </row>
    <row r="620" customFormat="false" ht="15" hidden="false" customHeight="true" outlineLevel="0" collapsed="false">
      <c r="A620" s="1" t="n">
        <v>634</v>
      </c>
      <c r="B620" s="1" t="n">
        <v>359</v>
      </c>
      <c r="C620" s="1" t="n">
        <v>2</v>
      </c>
      <c r="D620" s="1" t="s">
        <v>1436</v>
      </c>
      <c r="E620" s="1" t="n">
        <v>4</v>
      </c>
      <c r="F620" s="1" t="n">
        <v>498.15</v>
      </c>
      <c r="G620" s="1" t="n">
        <v>0.1</v>
      </c>
      <c r="H620" s="1" t="s">
        <v>1336</v>
      </c>
      <c r="I620" s="1" t="n">
        <v>1793.34</v>
      </c>
      <c r="J620" s="1" t="str">
        <f aca="false">VLOOKUP(B620,Customers!$A$2:$G$502,6,FALSE())</f>
        <v>Small Business</v>
      </c>
      <c r="K620" s="1" t="str">
        <f aca="false">VLOOKUP(C620,Products!$A$2:$E$62,3,FALSE())</f>
        <v>Electronics</v>
      </c>
      <c r="L620" s="1" t="str">
        <f aca="false">TEXT(D620,"yyyy-mm")</f>
        <v>2024-02</v>
      </c>
    </row>
    <row r="621" customFormat="false" ht="15" hidden="false" customHeight="true" outlineLevel="0" collapsed="false">
      <c r="A621" s="1" t="n">
        <v>635</v>
      </c>
      <c r="B621" s="1" t="n">
        <v>429</v>
      </c>
      <c r="C621" s="1" t="n">
        <v>38</v>
      </c>
      <c r="D621" s="1" t="s">
        <v>205</v>
      </c>
      <c r="E621" s="1" t="n">
        <v>4</v>
      </c>
      <c r="F621" s="1" t="n">
        <v>521.63</v>
      </c>
      <c r="G621" s="1" t="n">
        <v>0.15</v>
      </c>
      <c r="H621" s="1" t="s">
        <v>1336</v>
      </c>
      <c r="I621" s="1" t="n">
        <v>1773.54</v>
      </c>
      <c r="J621" s="1" t="str">
        <f aca="false">VLOOKUP(B621,Customers!$A$2:$G$502,6,FALSE())</f>
        <v>Corporate</v>
      </c>
      <c r="K621" s="1" t="str">
        <f aca="false">VLOOKUP(C621,Products!$A$2:$E$62,3,FALSE())</f>
        <v>Software</v>
      </c>
      <c r="L621" s="1" t="str">
        <f aca="false">TEXT(D621,"yyyy-mm")</f>
        <v>2024-07</v>
      </c>
    </row>
    <row r="622" customFormat="false" ht="15" hidden="false" customHeight="true" outlineLevel="0" collapsed="false">
      <c r="A622" s="1" t="n">
        <v>636</v>
      </c>
      <c r="B622" s="1" t="n">
        <v>338</v>
      </c>
      <c r="C622" s="1" t="n">
        <v>58</v>
      </c>
      <c r="D622" s="1" t="s">
        <v>1532</v>
      </c>
      <c r="E622" s="1" t="n">
        <v>6</v>
      </c>
      <c r="F622" s="1" t="n">
        <v>515.55</v>
      </c>
      <c r="G622" s="1" t="n">
        <v>0</v>
      </c>
      <c r="H622" s="1" t="s">
        <v>1336</v>
      </c>
      <c r="I622" s="1" t="n">
        <v>3093.3</v>
      </c>
      <c r="J622" s="1" t="str">
        <f aca="false">VLOOKUP(B622,Customers!$A$2:$G$502,6,FALSE())</f>
        <v>Corporate</v>
      </c>
      <c r="K622" s="1" t="str">
        <f aca="false">VLOOKUP(C622,Products!$A$2:$E$62,3,FALSE())</f>
        <v>Furniture</v>
      </c>
      <c r="L622" s="1" t="str">
        <f aca="false">TEXT(D622,"yyyy-mm")</f>
        <v>2023-05</v>
      </c>
    </row>
    <row r="623" customFormat="false" ht="15" hidden="false" customHeight="true" outlineLevel="0" collapsed="false">
      <c r="A623" s="1" t="n">
        <v>637</v>
      </c>
      <c r="B623" s="1" t="n">
        <v>161</v>
      </c>
      <c r="C623" s="1" t="n">
        <v>8</v>
      </c>
      <c r="D623" s="1" t="s">
        <v>461</v>
      </c>
      <c r="E623" s="1" t="n">
        <v>6</v>
      </c>
      <c r="F623" s="1" t="n">
        <v>104.4</v>
      </c>
      <c r="G623" s="1" t="n">
        <v>0</v>
      </c>
      <c r="H623" s="1" t="s">
        <v>1336</v>
      </c>
      <c r="I623" s="1" t="n">
        <v>626.4</v>
      </c>
      <c r="J623" s="1" t="str">
        <f aca="false">VLOOKUP(B623,Customers!$A$2:$G$502,6,FALSE())</f>
        <v>Consumer</v>
      </c>
      <c r="K623" s="1" t="str">
        <f aca="false">VLOOKUP(C623,Products!$A$2:$E$62,3,FALSE())</f>
        <v>Electronics</v>
      </c>
      <c r="L623" s="1" t="str">
        <f aca="false">TEXT(D623,"yyyy-mm")</f>
        <v>2023-02</v>
      </c>
    </row>
    <row r="624" customFormat="false" ht="15" hidden="false" customHeight="true" outlineLevel="0" collapsed="false">
      <c r="A624" s="1" t="n">
        <v>638</v>
      </c>
      <c r="B624" s="1" t="n">
        <v>386</v>
      </c>
      <c r="C624" s="1" t="n">
        <v>3</v>
      </c>
      <c r="D624" s="1" t="s">
        <v>1533</v>
      </c>
      <c r="E624" s="1" t="n">
        <v>1</v>
      </c>
      <c r="F624" s="1" t="n">
        <v>89.39</v>
      </c>
      <c r="G624" s="1" t="n">
        <v>0</v>
      </c>
      <c r="H624" s="1" t="s">
        <v>1336</v>
      </c>
      <c r="I624" s="1" t="n">
        <v>89.39</v>
      </c>
      <c r="J624" s="1" t="str">
        <f aca="false">VLOOKUP(B624,Customers!$A$2:$G$502,6,FALSE())</f>
        <v>Consumer</v>
      </c>
      <c r="K624" s="1" t="str">
        <f aca="false">VLOOKUP(C624,Products!$A$2:$E$62,3,FALSE())</f>
        <v>Electronics</v>
      </c>
      <c r="L624" s="1" t="str">
        <f aca="false">TEXT(D624,"yyyy-mm")</f>
        <v>2023-03</v>
      </c>
    </row>
    <row r="625" customFormat="false" ht="15" hidden="false" customHeight="true" outlineLevel="0" collapsed="false">
      <c r="A625" s="1" t="n">
        <v>639</v>
      </c>
      <c r="B625" s="1" t="n">
        <v>484</v>
      </c>
      <c r="C625" s="1" t="n">
        <v>43</v>
      </c>
      <c r="D625" s="1" t="s">
        <v>1494</v>
      </c>
      <c r="E625" s="1" t="n">
        <v>8</v>
      </c>
      <c r="F625" s="1" t="n">
        <v>186.31</v>
      </c>
      <c r="G625" s="1" t="n">
        <v>0</v>
      </c>
      <c r="H625" s="1" t="s">
        <v>1336</v>
      </c>
      <c r="I625" s="1" t="n">
        <v>1490.48</v>
      </c>
      <c r="J625" s="1" t="str">
        <f aca="false">VLOOKUP(B625,Customers!$A$2:$G$502,6,FALSE())</f>
        <v>Corporate</v>
      </c>
      <c r="K625" s="1" t="str">
        <f aca="false">VLOOKUP(C625,Products!$A$2:$E$62,3,FALSE())</f>
        <v>Software</v>
      </c>
      <c r="L625" s="1" t="str">
        <f aca="false">TEXT(D625,"yyyy-mm")</f>
        <v>2023-01</v>
      </c>
    </row>
    <row r="626" customFormat="false" ht="15" hidden="false" customHeight="true" outlineLevel="0" collapsed="false">
      <c r="A626" s="1" t="n">
        <v>640</v>
      </c>
      <c r="B626" s="1" t="n">
        <v>338</v>
      </c>
      <c r="C626" s="1" t="n">
        <v>35</v>
      </c>
      <c r="D626" s="1" t="s">
        <v>371</v>
      </c>
      <c r="E626" s="1" t="n">
        <v>6</v>
      </c>
      <c r="F626" s="1" t="n">
        <v>75.78</v>
      </c>
      <c r="G626" s="1" t="n">
        <v>0</v>
      </c>
      <c r="H626" s="1" t="s">
        <v>1336</v>
      </c>
      <c r="I626" s="1" t="n">
        <v>454.68</v>
      </c>
      <c r="J626" s="1" t="str">
        <f aca="false">VLOOKUP(B626,Customers!$A$2:$G$502,6,FALSE())</f>
        <v>Corporate</v>
      </c>
      <c r="K626" s="1" t="str">
        <f aca="false">VLOOKUP(C626,Products!$A$2:$E$62,3,FALSE())</f>
        <v>Software</v>
      </c>
      <c r="L626" s="1" t="str">
        <f aca="false">TEXT(D626,"yyyy-mm")</f>
        <v>2024-03</v>
      </c>
    </row>
    <row r="627" customFormat="false" ht="15" hidden="false" customHeight="true" outlineLevel="0" collapsed="false">
      <c r="A627" s="1" t="n">
        <v>641</v>
      </c>
      <c r="B627" s="1" t="n">
        <v>181</v>
      </c>
      <c r="C627" s="1" t="n">
        <v>39</v>
      </c>
      <c r="D627" s="1" t="s">
        <v>205</v>
      </c>
      <c r="E627" s="1" t="n">
        <v>3</v>
      </c>
      <c r="F627" s="1" t="n">
        <v>400.02</v>
      </c>
      <c r="G627" s="1" t="n">
        <v>0.1</v>
      </c>
      <c r="H627" s="1" t="s">
        <v>1336</v>
      </c>
      <c r="I627" s="1" t="n">
        <v>1080.05</v>
      </c>
      <c r="J627" s="1" t="str">
        <f aca="false">VLOOKUP(B627,Customers!$A$2:$G$502,6,FALSE())</f>
        <v>Small Business</v>
      </c>
      <c r="K627" s="1" t="str">
        <f aca="false">VLOOKUP(C627,Products!$A$2:$E$62,3,FALSE())</f>
        <v>Software</v>
      </c>
      <c r="L627" s="1" t="str">
        <f aca="false">TEXT(D627,"yyyy-mm")</f>
        <v>2024-07</v>
      </c>
    </row>
    <row r="628" customFormat="false" ht="15" hidden="false" customHeight="true" outlineLevel="0" collapsed="false">
      <c r="A628" s="1" t="n">
        <v>642</v>
      </c>
      <c r="B628" s="1" t="n">
        <v>97</v>
      </c>
      <c r="C628" s="1" t="n">
        <v>10</v>
      </c>
      <c r="D628" s="1" t="s">
        <v>761</v>
      </c>
      <c r="E628" s="1" t="n">
        <v>9</v>
      </c>
      <c r="F628" s="1" t="n">
        <v>251.58</v>
      </c>
      <c r="G628" s="1" t="n">
        <v>0.2</v>
      </c>
      <c r="H628" s="1" t="s">
        <v>1336</v>
      </c>
      <c r="I628" s="1" t="n">
        <v>1811.38</v>
      </c>
      <c r="J628" s="1" t="str">
        <f aca="false">VLOOKUP(B628,Customers!$A$2:$G$502,6,FALSE())</f>
        <v>Corporate</v>
      </c>
      <c r="K628" s="1" t="str">
        <f aca="false">VLOOKUP(C628,Products!$A$2:$E$62,3,FALSE())</f>
        <v>Electronics</v>
      </c>
      <c r="L628" s="1" t="str">
        <f aca="false">TEXT(D628,"yyyy-mm")</f>
        <v>2023-11</v>
      </c>
    </row>
    <row r="629" customFormat="false" ht="15" hidden="false" customHeight="true" outlineLevel="0" collapsed="false">
      <c r="A629" s="1" t="n">
        <v>643</v>
      </c>
      <c r="B629" s="1" t="n">
        <v>184</v>
      </c>
      <c r="C629" s="1" t="n">
        <v>18</v>
      </c>
      <c r="D629" s="1" t="s">
        <v>591</v>
      </c>
      <c r="E629" s="1" t="n">
        <v>2</v>
      </c>
      <c r="F629" s="1" t="n">
        <v>747.34</v>
      </c>
      <c r="G629" s="1" t="n">
        <v>0.15</v>
      </c>
      <c r="H629" s="1" t="s">
        <v>1336</v>
      </c>
      <c r="I629" s="1" t="n">
        <v>1270.48</v>
      </c>
      <c r="J629" s="1" t="str">
        <f aca="false">VLOOKUP(B629,Customers!$A$2:$G$502,6,FALSE())</f>
        <v>Corporate</v>
      </c>
      <c r="K629" s="1" t="str">
        <f aca="false">VLOOKUP(C629,Products!$A$2:$E$62,3,FALSE())</f>
        <v>Electronics</v>
      </c>
      <c r="L629" s="1" t="str">
        <f aca="false">TEXT(D629,"yyyy-mm")</f>
        <v>2023-05</v>
      </c>
    </row>
    <row r="630" customFormat="false" ht="15" hidden="false" customHeight="true" outlineLevel="0" collapsed="false">
      <c r="A630" s="1" t="n">
        <v>644</v>
      </c>
      <c r="B630" s="1" t="n">
        <v>463</v>
      </c>
      <c r="C630" s="1" t="n">
        <v>11</v>
      </c>
      <c r="D630" s="1" t="s">
        <v>159</v>
      </c>
      <c r="E630" s="1" t="n">
        <v>8</v>
      </c>
      <c r="F630" s="1" t="n">
        <v>328.39</v>
      </c>
      <c r="G630" s="1" t="n">
        <v>0.05</v>
      </c>
      <c r="H630" s="1" t="s">
        <v>1336</v>
      </c>
      <c r="I630" s="1" t="n">
        <v>2495.76</v>
      </c>
      <c r="J630" s="1" t="str">
        <f aca="false">VLOOKUP(B630,Customers!$A$2:$G$502,6,FALSE())</f>
        <v>Consumer</v>
      </c>
      <c r="K630" s="1" t="str">
        <f aca="false">VLOOKUP(C630,Products!$A$2:$E$62,3,FALSE())</f>
        <v>Electronics</v>
      </c>
      <c r="L630" s="1" t="str">
        <f aca="false">TEXT(D630,"yyyy-mm")</f>
        <v>2024-02</v>
      </c>
    </row>
    <row r="631" customFormat="false" ht="15" hidden="false" customHeight="true" outlineLevel="0" collapsed="false">
      <c r="A631" s="1" t="n">
        <v>645</v>
      </c>
      <c r="B631" s="1" t="n">
        <v>275</v>
      </c>
      <c r="C631" s="1" t="n">
        <v>14</v>
      </c>
      <c r="D631" s="1" t="s">
        <v>1470</v>
      </c>
      <c r="E631" s="1" t="n">
        <v>3</v>
      </c>
      <c r="F631" s="1" t="n">
        <v>135.27</v>
      </c>
      <c r="G631" s="1" t="n">
        <v>0.15</v>
      </c>
      <c r="H631" s="1" t="s">
        <v>1336</v>
      </c>
      <c r="I631" s="1" t="n">
        <v>344.94</v>
      </c>
      <c r="J631" s="1" t="str">
        <f aca="false">VLOOKUP(B631,Customers!$A$2:$G$502,6,FALSE())</f>
        <v>Consumer</v>
      </c>
      <c r="K631" s="1" t="str">
        <f aca="false">VLOOKUP(C631,Products!$A$2:$E$62,3,FALSE())</f>
        <v>Electronics</v>
      </c>
      <c r="L631" s="1" t="str">
        <f aca="false">TEXT(D631,"yyyy-mm")</f>
        <v>2023-03</v>
      </c>
    </row>
    <row r="632" customFormat="false" ht="15" hidden="false" customHeight="true" outlineLevel="0" collapsed="false">
      <c r="A632" s="1" t="n">
        <v>646</v>
      </c>
      <c r="B632" s="1" t="n">
        <v>191</v>
      </c>
      <c r="C632" s="1" t="n">
        <v>37</v>
      </c>
      <c r="D632" s="1" t="s">
        <v>1454</v>
      </c>
      <c r="E632" s="1" t="n">
        <v>5</v>
      </c>
      <c r="F632" s="1" t="n">
        <v>13.95</v>
      </c>
      <c r="G632" s="1" t="n">
        <v>0.15</v>
      </c>
      <c r="H632" s="1" t="s">
        <v>1336</v>
      </c>
      <c r="I632" s="1" t="n">
        <v>59.29</v>
      </c>
      <c r="J632" s="1" t="str">
        <f aca="false">VLOOKUP(B632,Customers!$A$2:$G$502,6,FALSE())</f>
        <v>Corporate</v>
      </c>
      <c r="K632" s="1" t="str">
        <f aca="false">VLOOKUP(C632,Products!$A$2:$E$62,3,FALSE())</f>
        <v>Software</v>
      </c>
      <c r="L632" s="1" t="str">
        <f aca="false">TEXT(D632,"yyyy-mm")</f>
        <v>2024-11</v>
      </c>
    </row>
    <row r="633" customFormat="false" ht="15" hidden="false" customHeight="true" outlineLevel="0" collapsed="false">
      <c r="A633" s="1" t="n">
        <v>647</v>
      </c>
      <c r="B633" s="1" t="n">
        <v>404</v>
      </c>
      <c r="C633" s="1" t="n">
        <v>28</v>
      </c>
      <c r="D633" s="1" t="s">
        <v>729</v>
      </c>
      <c r="E633" s="1" t="n">
        <v>6</v>
      </c>
      <c r="F633" s="1" t="n">
        <v>505.23</v>
      </c>
      <c r="G633" s="1" t="n">
        <v>0</v>
      </c>
      <c r="H633" s="1" t="s">
        <v>1370</v>
      </c>
      <c r="I633" s="1" t="n">
        <v>3031.38</v>
      </c>
      <c r="J633" s="1" t="str">
        <f aca="false">VLOOKUP(B633,Customers!$A$2:$G$502,6,FALSE())</f>
        <v>Corporate</v>
      </c>
      <c r="K633" s="1" t="str">
        <f aca="false">VLOOKUP(C633,Products!$A$2:$E$62,3,FALSE())</f>
        <v>Office Supplies</v>
      </c>
      <c r="L633" s="1" t="str">
        <f aca="false">TEXT(D633,"yyyy-mm")</f>
        <v>2024-01</v>
      </c>
    </row>
    <row r="634" customFormat="false" ht="15" hidden="false" customHeight="true" outlineLevel="0" collapsed="false">
      <c r="A634" s="1" t="n">
        <v>648</v>
      </c>
      <c r="B634" s="1" t="n">
        <v>351</v>
      </c>
      <c r="C634" s="1" t="n">
        <v>36</v>
      </c>
      <c r="D634" s="1" t="s">
        <v>1534</v>
      </c>
      <c r="E634" s="1" t="n">
        <v>6</v>
      </c>
      <c r="F634" s="1" t="n">
        <v>424.45</v>
      </c>
      <c r="G634" s="1" t="n">
        <v>0</v>
      </c>
      <c r="H634" s="1" t="s">
        <v>1336</v>
      </c>
      <c r="I634" s="1" t="n">
        <v>2546.7</v>
      </c>
      <c r="J634" s="1" t="str">
        <f aca="false">VLOOKUP(B634,Customers!$A$2:$G$502,6,FALSE())</f>
        <v>Small Business</v>
      </c>
      <c r="K634" s="1" t="str">
        <f aca="false">VLOOKUP(C634,Products!$A$2:$E$62,3,FALSE())</f>
        <v>Software</v>
      </c>
      <c r="L634" s="1" t="str">
        <f aca="false">TEXT(D634,"yyyy-mm")</f>
        <v>2024-02</v>
      </c>
    </row>
    <row r="635" customFormat="false" ht="15" hidden="false" customHeight="true" outlineLevel="0" collapsed="false">
      <c r="A635" s="1" t="n">
        <v>649</v>
      </c>
      <c r="B635" s="1" t="n">
        <v>75</v>
      </c>
      <c r="C635" s="1" t="n">
        <v>56</v>
      </c>
      <c r="D635" s="1" t="s">
        <v>1043</v>
      </c>
      <c r="E635" s="1" t="n">
        <v>4</v>
      </c>
      <c r="F635" s="1" t="n">
        <v>160.64</v>
      </c>
      <c r="G635" s="1" t="n">
        <v>0</v>
      </c>
      <c r="H635" s="1" t="s">
        <v>1336</v>
      </c>
      <c r="I635" s="1" t="n">
        <v>642.56</v>
      </c>
      <c r="J635" s="1" t="str">
        <f aca="false">VLOOKUP(B635,Customers!$A$2:$G$502,6,FALSE())</f>
        <v>Consumer</v>
      </c>
      <c r="K635" s="1" t="str">
        <f aca="false">VLOOKUP(C635,Products!$A$2:$E$62,3,FALSE())</f>
        <v>Furniture</v>
      </c>
      <c r="L635" s="1" t="str">
        <f aca="false">TEXT(D635,"yyyy-mm")</f>
        <v>2023-08</v>
      </c>
    </row>
    <row r="636" customFormat="false" ht="15" hidden="false" customHeight="true" outlineLevel="0" collapsed="false">
      <c r="A636" s="1" t="n">
        <v>650</v>
      </c>
      <c r="B636" s="1" t="n">
        <v>54</v>
      </c>
      <c r="C636" s="1" t="n">
        <v>51</v>
      </c>
      <c r="D636" s="1" t="s">
        <v>1385</v>
      </c>
      <c r="E636" s="1" t="n">
        <v>3</v>
      </c>
      <c r="F636" s="1" t="n">
        <v>30.16</v>
      </c>
      <c r="G636" s="1" t="n">
        <v>0</v>
      </c>
      <c r="H636" s="1" t="s">
        <v>1336</v>
      </c>
      <c r="I636" s="1" t="n">
        <v>90.48</v>
      </c>
      <c r="J636" s="1" t="str">
        <f aca="false">VLOOKUP(B636,Customers!$A$2:$G$502,6,FALSE())</f>
        <v>Consumer</v>
      </c>
      <c r="K636" s="1" t="str">
        <f aca="false">VLOOKUP(C636,Products!$A$2:$E$62,3,FALSE())</f>
        <v>Software</v>
      </c>
      <c r="L636" s="1" t="str">
        <f aca="false">TEXT(D636,"yyyy-mm")</f>
        <v>2023-05</v>
      </c>
    </row>
    <row r="637" customFormat="false" ht="15" hidden="false" customHeight="true" outlineLevel="0" collapsed="false">
      <c r="A637" s="1" t="n">
        <v>651</v>
      </c>
      <c r="B637" s="1" t="n">
        <v>49</v>
      </c>
      <c r="C637" s="1" t="n">
        <v>34</v>
      </c>
      <c r="D637" s="1" t="s">
        <v>1535</v>
      </c>
      <c r="E637" s="1" t="n">
        <v>4</v>
      </c>
      <c r="F637" s="1" t="n">
        <v>116.85</v>
      </c>
      <c r="G637" s="1" t="n">
        <v>0.15</v>
      </c>
      <c r="H637" s="1" t="s">
        <v>1336</v>
      </c>
      <c r="I637" s="1" t="n">
        <v>397.29</v>
      </c>
      <c r="J637" s="1" t="str">
        <f aca="false">VLOOKUP(B637,Customers!$A$2:$G$502,6,FALSE())</f>
        <v>Corporate</v>
      </c>
      <c r="K637" s="1" t="str">
        <f aca="false">VLOOKUP(C637,Products!$A$2:$E$62,3,FALSE())</f>
        <v>Office Supplies</v>
      </c>
      <c r="L637" s="1" t="str">
        <f aca="false">TEXT(D637,"yyyy-mm")</f>
        <v>2023-12</v>
      </c>
    </row>
    <row r="638" customFormat="false" ht="15" hidden="false" customHeight="true" outlineLevel="0" collapsed="false">
      <c r="A638" s="1" t="n">
        <v>652</v>
      </c>
      <c r="B638" s="1" t="n">
        <v>25</v>
      </c>
      <c r="C638" s="1" t="n">
        <v>11</v>
      </c>
      <c r="D638" s="1" t="s">
        <v>1536</v>
      </c>
      <c r="E638" s="1" t="n">
        <v>1</v>
      </c>
      <c r="F638" s="1" t="n">
        <v>328.39</v>
      </c>
      <c r="G638" s="1" t="n">
        <v>0.2</v>
      </c>
      <c r="H638" s="1" t="s">
        <v>1336</v>
      </c>
      <c r="I638" s="1" t="n">
        <v>262.71</v>
      </c>
      <c r="J638" s="1" t="str">
        <f aca="false">VLOOKUP(B638,Customers!$A$2:$G$502,6,FALSE())</f>
        <v>Corporate</v>
      </c>
      <c r="K638" s="1" t="str">
        <f aca="false">VLOOKUP(C638,Products!$A$2:$E$62,3,FALSE())</f>
        <v>Electronics</v>
      </c>
      <c r="L638" s="1" t="str">
        <f aca="false">TEXT(D638,"yyyy-mm")</f>
        <v>2023-11</v>
      </c>
    </row>
    <row r="639" customFormat="false" ht="15" hidden="false" customHeight="true" outlineLevel="0" collapsed="false">
      <c r="A639" s="1" t="n">
        <v>653</v>
      </c>
      <c r="B639" s="1" t="n">
        <v>273</v>
      </c>
      <c r="C639" s="1" t="n">
        <v>36</v>
      </c>
      <c r="D639" s="1" t="s">
        <v>1371</v>
      </c>
      <c r="E639" s="1" t="n">
        <v>4</v>
      </c>
      <c r="F639" s="1" t="n">
        <v>424.45</v>
      </c>
      <c r="G639" s="1" t="n">
        <v>0.2</v>
      </c>
      <c r="H639" s="1" t="s">
        <v>1336</v>
      </c>
      <c r="I639" s="1" t="n">
        <v>1358.24</v>
      </c>
      <c r="J639" s="1" t="str">
        <f aca="false">VLOOKUP(B639,Customers!$A$2:$G$502,6,FALSE())</f>
        <v>Corporate</v>
      </c>
      <c r="K639" s="1" t="str">
        <f aca="false">VLOOKUP(C639,Products!$A$2:$E$62,3,FALSE())</f>
        <v>Software</v>
      </c>
      <c r="L639" s="1" t="str">
        <f aca="false">TEXT(D639,"yyyy-mm")</f>
        <v>2024-08</v>
      </c>
    </row>
    <row r="640" customFormat="false" ht="15" hidden="false" customHeight="true" outlineLevel="0" collapsed="false">
      <c r="A640" s="1" t="n">
        <v>654</v>
      </c>
      <c r="B640" s="1" t="n">
        <v>366</v>
      </c>
      <c r="C640" s="1" t="n">
        <v>10</v>
      </c>
      <c r="D640" s="1" t="s">
        <v>1454</v>
      </c>
      <c r="E640" s="1" t="n">
        <v>1</v>
      </c>
      <c r="F640" s="1" t="n">
        <v>251.58</v>
      </c>
      <c r="G640" s="1" t="n">
        <v>0</v>
      </c>
      <c r="H640" s="1" t="s">
        <v>1336</v>
      </c>
      <c r="I640" s="1" t="n">
        <v>251.58</v>
      </c>
      <c r="J640" s="1" t="str">
        <f aca="false">VLOOKUP(B640,Customers!$A$2:$G$502,6,FALSE())</f>
        <v>Corporate</v>
      </c>
      <c r="K640" s="1" t="str">
        <f aca="false">VLOOKUP(C640,Products!$A$2:$E$62,3,FALSE())</f>
        <v>Electronics</v>
      </c>
      <c r="L640" s="1" t="str">
        <f aca="false">TEXT(D640,"yyyy-mm")</f>
        <v>2024-11</v>
      </c>
    </row>
    <row r="641" customFormat="false" ht="15" hidden="false" customHeight="true" outlineLevel="0" collapsed="false">
      <c r="A641" s="1" t="n">
        <v>655</v>
      </c>
      <c r="B641" s="1" t="n">
        <v>328</v>
      </c>
      <c r="C641" s="1" t="n">
        <v>24</v>
      </c>
      <c r="D641" s="1" t="s">
        <v>881</v>
      </c>
      <c r="E641" s="1" t="n">
        <v>1</v>
      </c>
      <c r="F641" s="1" t="n">
        <v>207.34</v>
      </c>
      <c r="G641" s="1" t="n">
        <v>0.2</v>
      </c>
      <c r="H641" s="1" t="s">
        <v>1336</v>
      </c>
      <c r="I641" s="1" t="n">
        <v>165.87</v>
      </c>
      <c r="J641" s="1" t="str">
        <f aca="false">VLOOKUP(B641,Customers!$A$2:$G$502,6,FALSE())</f>
        <v>Consumer</v>
      </c>
      <c r="K641" s="1" t="str">
        <f aca="false">VLOOKUP(C641,Products!$A$2:$E$62,3,FALSE())</f>
        <v>Office Supplies</v>
      </c>
      <c r="L641" s="1" t="str">
        <f aca="false">TEXT(D641,"yyyy-mm")</f>
        <v>2024-12</v>
      </c>
    </row>
    <row r="642" customFormat="false" ht="15" hidden="false" customHeight="true" outlineLevel="0" collapsed="false">
      <c r="A642" s="1" t="n">
        <v>656</v>
      </c>
      <c r="B642" s="1" t="n">
        <v>182</v>
      </c>
      <c r="C642" s="1" t="n">
        <v>52</v>
      </c>
      <c r="D642" s="1" t="s">
        <v>1473</v>
      </c>
      <c r="E642" s="1" t="n">
        <v>6</v>
      </c>
      <c r="F642" s="1" t="n">
        <v>207.67</v>
      </c>
      <c r="G642" s="1" t="n">
        <v>0.1</v>
      </c>
      <c r="H642" s="1" t="s">
        <v>1336</v>
      </c>
      <c r="I642" s="1" t="n">
        <v>1121.42</v>
      </c>
      <c r="J642" s="1" t="str">
        <f aca="false">VLOOKUP(B642,Customers!$A$2:$G$502,6,FALSE())</f>
        <v>Unknown</v>
      </c>
      <c r="K642" s="1" t="str">
        <f aca="false">VLOOKUP(C642,Products!$A$2:$E$62,3,FALSE())</f>
        <v>Software</v>
      </c>
      <c r="L642" s="1" t="str">
        <f aca="false">TEXT(D642,"yyyy-mm")</f>
        <v>2024-04</v>
      </c>
    </row>
    <row r="643" customFormat="false" ht="15" hidden="false" customHeight="true" outlineLevel="0" collapsed="false">
      <c r="A643" s="1" t="n">
        <v>657</v>
      </c>
      <c r="B643" s="1" t="n">
        <v>473</v>
      </c>
      <c r="C643" s="1" t="n">
        <v>53</v>
      </c>
      <c r="D643" s="1" t="s">
        <v>1537</v>
      </c>
      <c r="E643" s="1" t="n">
        <v>5</v>
      </c>
      <c r="F643" s="1" t="n">
        <v>509.98</v>
      </c>
      <c r="G643" s="1" t="n">
        <v>0</v>
      </c>
      <c r="H643" s="1" t="s">
        <v>1336</v>
      </c>
      <c r="I643" s="1" t="n">
        <v>2549.9</v>
      </c>
      <c r="J643" s="1" t="str">
        <f aca="false">VLOOKUP(B643,Customers!$A$2:$G$502,6,FALSE())</f>
        <v>Small Business</v>
      </c>
      <c r="K643" s="1" t="str">
        <f aca="false">VLOOKUP(C643,Products!$A$2:$E$62,3,FALSE())</f>
        <v>Software</v>
      </c>
      <c r="L643" s="1" t="str">
        <f aca="false">TEXT(D643,"yyyy-mm")</f>
        <v>2023-08</v>
      </c>
    </row>
    <row r="644" customFormat="false" ht="15" hidden="false" customHeight="true" outlineLevel="0" collapsed="false">
      <c r="A644" s="1" t="n">
        <v>658</v>
      </c>
      <c r="B644" s="1" t="n">
        <v>433</v>
      </c>
      <c r="C644" s="1" t="n">
        <v>6</v>
      </c>
      <c r="D644" s="1" t="s">
        <v>1538</v>
      </c>
      <c r="E644" s="1" t="n">
        <v>4</v>
      </c>
      <c r="F644" s="1" t="n">
        <v>28.51</v>
      </c>
      <c r="G644" s="1" t="n">
        <v>0</v>
      </c>
      <c r="H644" s="1" t="s">
        <v>1336</v>
      </c>
      <c r="I644" s="1" t="n">
        <v>114.04</v>
      </c>
      <c r="J644" s="1" t="str">
        <f aca="false">VLOOKUP(B644,Customers!$A$2:$G$502,6,FALSE())</f>
        <v>Small Business</v>
      </c>
      <c r="K644" s="1" t="str">
        <f aca="false">VLOOKUP(C644,Products!$A$2:$E$62,3,FALSE())</f>
        <v>Electronics</v>
      </c>
      <c r="L644" s="1" t="str">
        <f aca="false">TEXT(D644,"yyyy-mm")</f>
        <v>2024-10</v>
      </c>
    </row>
    <row r="645" customFormat="false" ht="15" hidden="false" customHeight="true" outlineLevel="0" collapsed="false">
      <c r="A645" s="1" t="n">
        <v>659</v>
      </c>
      <c r="B645" s="1" t="n">
        <v>44</v>
      </c>
      <c r="C645" s="1" t="n">
        <v>48</v>
      </c>
      <c r="D645" s="1" t="s">
        <v>1124</v>
      </c>
      <c r="E645" s="1" t="n">
        <v>3</v>
      </c>
      <c r="F645" s="1" t="n">
        <v>493.53</v>
      </c>
      <c r="G645" s="1" t="n">
        <v>0</v>
      </c>
      <c r="H645" s="1" t="s">
        <v>1346</v>
      </c>
      <c r="I645" s="1" t="n">
        <v>1480.59</v>
      </c>
      <c r="J645" s="1" t="str">
        <f aca="false">VLOOKUP(B645,Customers!$A$2:$G$502,6,FALSE())</f>
        <v>Consumer</v>
      </c>
      <c r="K645" s="1" t="str">
        <f aca="false">VLOOKUP(C645,Products!$A$2:$E$62,3,FALSE())</f>
        <v>Software</v>
      </c>
      <c r="L645" s="1" t="str">
        <f aca="false">TEXT(D645,"yyyy-mm")</f>
        <v>2023-10</v>
      </c>
    </row>
    <row r="646" customFormat="false" ht="15" hidden="false" customHeight="true" outlineLevel="0" collapsed="false">
      <c r="A646" s="1" t="n">
        <v>660</v>
      </c>
      <c r="B646" s="1" t="n">
        <v>347</v>
      </c>
      <c r="C646" s="1" t="n">
        <v>33</v>
      </c>
      <c r="D646" s="1" t="s">
        <v>1344</v>
      </c>
      <c r="E646" s="1" t="n">
        <v>1</v>
      </c>
      <c r="F646" s="1" t="n">
        <v>190.1</v>
      </c>
      <c r="G646" s="1" t="n">
        <v>0.05</v>
      </c>
      <c r="H646" s="1" t="s">
        <v>1336</v>
      </c>
      <c r="I646" s="1" t="n">
        <v>180.6</v>
      </c>
      <c r="J646" s="1" t="str">
        <f aca="false">VLOOKUP(B646,Customers!$A$2:$G$502,6,FALSE())</f>
        <v>Small Business</v>
      </c>
      <c r="K646" s="1" t="str">
        <f aca="false">VLOOKUP(C646,Products!$A$2:$E$62,3,FALSE())</f>
        <v>Office Supplies</v>
      </c>
      <c r="L646" s="1" t="str">
        <f aca="false">TEXT(D646,"yyyy-mm")</f>
        <v>2023-05</v>
      </c>
    </row>
    <row r="647" customFormat="false" ht="15" hidden="false" customHeight="true" outlineLevel="0" collapsed="false">
      <c r="A647" s="1" t="n">
        <v>661</v>
      </c>
      <c r="B647" s="1" t="n">
        <v>64</v>
      </c>
      <c r="C647" s="1" t="n">
        <v>26</v>
      </c>
      <c r="D647" s="1" t="s">
        <v>642</v>
      </c>
      <c r="E647" s="1" t="n">
        <v>6</v>
      </c>
      <c r="F647" s="1" t="n">
        <v>733.85</v>
      </c>
      <c r="G647" s="1" t="n">
        <v>0</v>
      </c>
      <c r="H647" s="1" t="s">
        <v>1336</v>
      </c>
      <c r="I647" s="1" t="n">
        <v>4403.1</v>
      </c>
      <c r="J647" s="1" t="str">
        <f aca="false">VLOOKUP(B647,Customers!$A$2:$G$502,6,FALSE())</f>
        <v>Consumer</v>
      </c>
      <c r="K647" s="1" t="str">
        <f aca="false">VLOOKUP(C647,Products!$A$2:$E$62,3,FALSE())</f>
        <v>Office Supplies</v>
      </c>
      <c r="L647" s="1" t="str">
        <f aca="false">TEXT(D647,"yyyy-mm")</f>
        <v>2023-01</v>
      </c>
    </row>
    <row r="648" customFormat="false" ht="15" hidden="false" customHeight="true" outlineLevel="0" collapsed="false">
      <c r="A648" s="1" t="n">
        <v>662</v>
      </c>
      <c r="B648" s="1" t="n">
        <v>274</v>
      </c>
      <c r="C648" s="1" t="n">
        <v>48</v>
      </c>
      <c r="D648" s="1" t="s">
        <v>620</v>
      </c>
      <c r="E648" s="1" t="n">
        <v>2</v>
      </c>
      <c r="F648" s="1" t="n">
        <v>493.53</v>
      </c>
      <c r="G648" s="1" t="n">
        <v>0</v>
      </c>
      <c r="H648" s="1" t="s">
        <v>1370</v>
      </c>
      <c r="I648" s="1" t="n">
        <v>987.06</v>
      </c>
      <c r="J648" s="1" t="str">
        <f aca="false">VLOOKUP(B648,Customers!$A$2:$G$502,6,FALSE())</f>
        <v>Corporate</v>
      </c>
      <c r="K648" s="1" t="str">
        <f aca="false">VLOOKUP(C648,Products!$A$2:$E$62,3,FALSE())</f>
        <v>Software</v>
      </c>
      <c r="L648" s="1" t="str">
        <f aca="false">TEXT(D648,"yyyy-mm")</f>
        <v>2023-12</v>
      </c>
    </row>
    <row r="649" customFormat="false" ht="15" hidden="false" customHeight="true" outlineLevel="0" collapsed="false">
      <c r="A649" s="1" t="n">
        <v>663</v>
      </c>
      <c r="B649" s="1" t="n">
        <v>484</v>
      </c>
      <c r="C649" s="1" t="n">
        <v>34</v>
      </c>
      <c r="D649" s="1" t="s">
        <v>229</v>
      </c>
      <c r="E649" s="1" t="n">
        <v>8</v>
      </c>
      <c r="F649" s="1" t="n">
        <v>116.85</v>
      </c>
      <c r="G649" s="1" t="n">
        <v>0.1</v>
      </c>
      <c r="H649" s="1" t="s">
        <v>1336</v>
      </c>
      <c r="I649" s="1" t="n">
        <v>841.32</v>
      </c>
      <c r="J649" s="1" t="str">
        <f aca="false">VLOOKUP(B649,Customers!$A$2:$G$502,6,FALSE())</f>
        <v>Corporate</v>
      </c>
      <c r="K649" s="1" t="str">
        <f aca="false">VLOOKUP(C649,Products!$A$2:$E$62,3,FALSE())</f>
        <v>Office Supplies</v>
      </c>
      <c r="L649" s="1" t="str">
        <f aca="false">TEXT(D649,"yyyy-mm")</f>
        <v>2024-12</v>
      </c>
    </row>
    <row r="650" customFormat="false" ht="15" hidden="false" customHeight="true" outlineLevel="0" collapsed="false">
      <c r="A650" s="1" t="n">
        <v>664</v>
      </c>
      <c r="B650" s="1" t="n">
        <v>392</v>
      </c>
      <c r="C650" s="1" t="n">
        <v>34</v>
      </c>
      <c r="D650" s="1" t="s">
        <v>87</v>
      </c>
      <c r="E650" s="1" t="n">
        <v>5</v>
      </c>
      <c r="F650" s="1" t="n">
        <v>116.85</v>
      </c>
      <c r="G650" s="1" t="n">
        <v>0</v>
      </c>
      <c r="H650" s="1" t="s">
        <v>1336</v>
      </c>
      <c r="I650" s="1" t="n">
        <v>584.25</v>
      </c>
      <c r="J650" s="1" t="str">
        <f aca="false">VLOOKUP(B650,Customers!$A$2:$G$502,6,FALSE())</f>
        <v>Corporate</v>
      </c>
      <c r="K650" s="1" t="str">
        <f aca="false">VLOOKUP(C650,Products!$A$2:$E$62,3,FALSE())</f>
        <v>Office Supplies</v>
      </c>
      <c r="L650" s="1" t="str">
        <f aca="false">TEXT(D650,"yyyy-mm")</f>
        <v>2023-08</v>
      </c>
    </row>
    <row r="651" customFormat="false" ht="15" hidden="false" customHeight="true" outlineLevel="0" collapsed="false">
      <c r="A651" s="1" t="n">
        <v>665</v>
      </c>
      <c r="B651" s="1" t="n">
        <v>217</v>
      </c>
      <c r="C651" s="1" t="n">
        <v>32</v>
      </c>
      <c r="D651" s="1" t="s">
        <v>729</v>
      </c>
      <c r="E651" s="1" t="n">
        <v>7</v>
      </c>
      <c r="F651" s="1" t="n">
        <v>492.27</v>
      </c>
      <c r="G651" s="1" t="n">
        <v>0</v>
      </c>
      <c r="H651" s="1" t="s">
        <v>1336</v>
      </c>
      <c r="I651" s="1" t="n">
        <v>3445.89</v>
      </c>
      <c r="J651" s="1" t="str">
        <f aca="false">VLOOKUP(B651,Customers!$A$2:$G$502,6,FALSE())</f>
        <v>Consumer</v>
      </c>
      <c r="K651" s="1" t="str">
        <f aca="false">VLOOKUP(C651,Products!$A$2:$E$62,3,FALSE())</f>
        <v>Office Supplies</v>
      </c>
      <c r="L651" s="1" t="str">
        <f aca="false">TEXT(D651,"yyyy-mm")</f>
        <v>2024-01</v>
      </c>
    </row>
    <row r="652" customFormat="false" ht="15" hidden="false" customHeight="true" outlineLevel="0" collapsed="false">
      <c r="A652" s="1" t="n">
        <v>666</v>
      </c>
      <c r="B652" s="1" t="n">
        <v>277</v>
      </c>
      <c r="C652" s="1" t="n">
        <v>55</v>
      </c>
      <c r="D652" s="1" t="s">
        <v>1532</v>
      </c>
      <c r="E652" s="1" t="n">
        <v>2</v>
      </c>
      <c r="F652" s="1" t="n">
        <v>123.38</v>
      </c>
      <c r="G652" s="1" t="n">
        <v>0</v>
      </c>
      <c r="H652" s="1" t="s">
        <v>1336</v>
      </c>
      <c r="I652" s="1" t="n">
        <v>246.76</v>
      </c>
      <c r="J652" s="1" t="str">
        <f aca="false">VLOOKUP(B652,Customers!$A$2:$G$502,6,FALSE())</f>
        <v>Corporate</v>
      </c>
      <c r="K652" s="1" t="str">
        <f aca="false">VLOOKUP(C652,Products!$A$2:$E$62,3,FALSE())</f>
        <v>Furniture</v>
      </c>
      <c r="L652" s="1" t="str">
        <f aca="false">TEXT(D652,"yyyy-mm")</f>
        <v>2023-05</v>
      </c>
    </row>
    <row r="653" customFormat="false" ht="15" hidden="false" customHeight="true" outlineLevel="0" collapsed="false">
      <c r="A653" s="1" t="n">
        <v>667</v>
      </c>
      <c r="B653" s="1" t="n">
        <v>292</v>
      </c>
      <c r="C653" s="1" t="n">
        <v>26</v>
      </c>
      <c r="D653" s="1" t="s">
        <v>1350</v>
      </c>
      <c r="E653" s="1" t="n">
        <v>8</v>
      </c>
      <c r="F653" s="1" t="n">
        <v>733.85</v>
      </c>
      <c r="G653" s="1" t="n">
        <v>0</v>
      </c>
      <c r="H653" s="1" t="s">
        <v>1346</v>
      </c>
      <c r="I653" s="1" t="n">
        <v>5870.8</v>
      </c>
      <c r="J653" s="1" t="str">
        <f aca="false">VLOOKUP(B653,Customers!$A$2:$G$502,6,FALSE())</f>
        <v>Small Business</v>
      </c>
      <c r="K653" s="1" t="str">
        <f aca="false">VLOOKUP(C653,Products!$A$2:$E$62,3,FALSE())</f>
        <v>Office Supplies</v>
      </c>
      <c r="L653" s="1" t="str">
        <f aca="false">TEXT(D653,"yyyy-mm")</f>
        <v>2023-08</v>
      </c>
    </row>
    <row r="654" customFormat="false" ht="15" hidden="false" customHeight="true" outlineLevel="0" collapsed="false">
      <c r="A654" s="1" t="n">
        <v>668</v>
      </c>
      <c r="B654" s="1" t="n">
        <v>479</v>
      </c>
      <c r="C654" s="1" t="n">
        <v>30</v>
      </c>
      <c r="D654" s="1" t="s">
        <v>1463</v>
      </c>
      <c r="E654" s="1" t="n">
        <v>2</v>
      </c>
      <c r="F654" s="1" t="n">
        <v>33.32</v>
      </c>
      <c r="G654" s="1" t="n">
        <v>0.2</v>
      </c>
      <c r="H654" s="1" t="s">
        <v>1336</v>
      </c>
      <c r="I654" s="1" t="n">
        <v>53.31</v>
      </c>
      <c r="J654" s="1" t="str">
        <f aca="false">VLOOKUP(B654,Customers!$A$2:$G$502,6,FALSE())</f>
        <v>Small Business</v>
      </c>
      <c r="K654" s="1" t="str">
        <f aca="false">VLOOKUP(C654,Products!$A$2:$E$62,3,FALSE())</f>
        <v>Office Supplies</v>
      </c>
      <c r="L654" s="1" t="str">
        <f aca="false">TEXT(D654,"yyyy-mm")</f>
        <v>2024-09</v>
      </c>
    </row>
    <row r="655" customFormat="false" ht="15" hidden="false" customHeight="true" outlineLevel="0" collapsed="false">
      <c r="A655" s="1" t="n">
        <v>669</v>
      </c>
      <c r="B655" s="1" t="n">
        <v>182</v>
      </c>
      <c r="C655" s="1" t="n">
        <v>7</v>
      </c>
      <c r="D655" s="1" t="s">
        <v>1235</v>
      </c>
      <c r="E655" s="1" t="n">
        <v>4</v>
      </c>
      <c r="F655" s="1" t="n">
        <v>460</v>
      </c>
      <c r="G655" s="1" t="n">
        <v>0</v>
      </c>
      <c r="H655" s="1" t="s">
        <v>1346</v>
      </c>
      <c r="I655" s="1" t="n">
        <v>1840</v>
      </c>
      <c r="J655" s="1" t="str">
        <f aca="false">VLOOKUP(B655,Customers!$A$2:$G$502,6,FALSE())</f>
        <v>Unknown</v>
      </c>
      <c r="K655" s="1" t="str">
        <f aca="false">VLOOKUP(C655,Products!$A$2:$E$62,3,FALSE())</f>
        <v>Electronics</v>
      </c>
      <c r="L655" s="1" t="str">
        <f aca="false">TEXT(D655,"yyyy-mm")</f>
        <v>2023-01</v>
      </c>
    </row>
    <row r="656" customFormat="false" ht="15" hidden="false" customHeight="true" outlineLevel="0" collapsed="false">
      <c r="A656" s="1" t="n">
        <v>670</v>
      </c>
      <c r="B656" s="1" t="n">
        <v>252</v>
      </c>
      <c r="C656" s="1" t="n">
        <v>13</v>
      </c>
      <c r="D656" s="1" t="s">
        <v>1533</v>
      </c>
      <c r="E656" s="1" t="n">
        <v>1</v>
      </c>
      <c r="F656" s="1" t="n">
        <v>352.54</v>
      </c>
      <c r="G656" s="1" t="n">
        <v>0.1</v>
      </c>
      <c r="H656" s="1" t="s">
        <v>1336</v>
      </c>
      <c r="I656" s="1" t="n">
        <v>317.29</v>
      </c>
      <c r="J656" s="1" t="str">
        <f aca="false">VLOOKUP(B656,Customers!$A$2:$G$502,6,FALSE())</f>
        <v>Consumer</v>
      </c>
      <c r="K656" s="1" t="str">
        <f aca="false">VLOOKUP(C656,Products!$A$2:$E$62,3,FALSE())</f>
        <v>Electronics</v>
      </c>
      <c r="L656" s="1" t="str">
        <f aca="false">TEXT(D656,"yyyy-mm")</f>
        <v>2023-03</v>
      </c>
    </row>
    <row r="657" customFormat="false" ht="15" hidden="false" customHeight="true" outlineLevel="0" collapsed="false">
      <c r="A657" s="1" t="n">
        <v>671</v>
      </c>
      <c r="B657" s="1" t="n">
        <v>80</v>
      </c>
      <c r="C657" s="1" t="n">
        <v>50</v>
      </c>
      <c r="D657" s="1" t="s">
        <v>467</v>
      </c>
      <c r="E657" s="1" t="n">
        <v>5</v>
      </c>
      <c r="F657" s="1" t="n">
        <v>19.73</v>
      </c>
      <c r="G657" s="1" t="n">
        <v>0</v>
      </c>
      <c r="H657" s="1" t="s">
        <v>1336</v>
      </c>
      <c r="I657" s="1" t="n">
        <v>98.65</v>
      </c>
      <c r="J657" s="1" t="str">
        <f aca="false">VLOOKUP(B657,Customers!$A$2:$G$502,6,FALSE())</f>
        <v>Consumer</v>
      </c>
      <c r="K657" s="1" t="str">
        <f aca="false">VLOOKUP(C657,Products!$A$2:$E$62,3,FALSE())</f>
        <v>Software</v>
      </c>
      <c r="L657" s="1" t="str">
        <f aca="false">TEXT(D657,"yyyy-mm")</f>
        <v>2024-11</v>
      </c>
    </row>
    <row r="658" customFormat="false" ht="15" hidden="false" customHeight="true" outlineLevel="0" collapsed="false">
      <c r="A658" s="1" t="n">
        <v>672</v>
      </c>
      <c r="B658" s="1" t="n">
        <v>94</v>
      </c>
      <c r="C658" s="1" t="n">
        <v>35</v>
      </c>
      <c r="D658" s="1" t="s">
        <v>1493</v>
      </c>
      <c r="E658" s="1" t="n">
        <v>9</v>
      </c>
      <c r="F658" s="1" t="n">
        <v>75.78</v>
      </c>
      <c r="G658" s="1" t="n">
        <v>0</v>
      </c>
      <c r="H658" s="1" t="s">
        <v>1370</v>
      </c>
      <c r="I658" s="1" t="n">
        <v>682.02</v>
      </c>
      <c r="J658" s="1" t="str">
        <f aca="false">VLOOKUP(B658,Customers!$A$2:$G$502,6,FALSE())</f>
        <v>Small Business</v>
      </c>
      <c r="K658" s="1" t="str">
        <f aca="false">VLOOKUP(C658,Products!$A$2:$E$62,3,FALSE())</f>
        <v>Software</v>
      </c>
      <c r="L658" s="1" t="str">
        <f aca="false">TEXT(D658,"yyyy-mm")</f>
        <v>2023-10</v>
      </c>
    </row>
    <row r="659" customFormat="false" ht="15" hidden="false" customHeight="true" outlineLevel="0" collapsed="false">
      <c r="A659" s="1" t="n">
        <v>673</v>
      </c>
      <c r="B659" s="1" t="n">
        <v>383</v>
      </c>
      <c r="C659" s="1" t="n">
        <v>28</v>
      </c>
      <c r="D659" s="1" t="s">
        <v>1235</v>
      </c>
      <c r="E659" s="1" t="n">
        <v>1</v>
      </c>
      <c r="F659" s="1" t="n">
        <v>505.23</v>
      </c>
      <c r="G659" s="1" t="n">
        <v>0</v>
      </c>
      <c r="H659" s="1" t="s">
        <v>1346</v>
      </c>
      <c r="I659" s="1" t="n">
        <v>505.23</v>
      </c>
      <c r="J659" s="1" t="str">
        <f aca="false">VLOOKUP(B659,Customers!$A$2:$G$502,6,FALSE())</f>
        <v>Consumer</v>
      </c>
      <c r="K659" s="1" t="str">
        <f aca="false">VLOOKUP(C659,Products!$A$2:$E$62,3,FALSE())</f>
        <v>Office Supplies</v>
      </c>
      <c r="L659" s="1" t="str">
        <f aca="false">TEXT(D659,"yyyy-mm")</f>
        <v>2023-01</v>
      </c>
    </row>
    <row r="660" customFormat="false" ht="15" hidden="false" customHeight="true" outlineLevel="0" collapsed="false">
      <c r="A660" s="1" t="n">
        <v>674</v>
      </c>
      <c r="B660" s="1" t="n">
        <v>69</v>
      </c>
      <c r="C660" s="1" t="n">
        <v>26</v>
      </c>
      <c r="D660" s="1" t="s">
        <v>1405</v>
      </c>
      <c r="E660" s="1" t="n">
        <v>9</v>
      </c>
      <c r="F660" s="1" t="n">
        <v>733.85</v>
      </c>
      <c r="G660" s="1" t="n">
        <v>0.15</v>
      </c>
      <c r="H660" s="1" t="s">
        <v>1336</v>
      </c>
      <c r="I660" s="1" t="n">
        <v>5613.95</v>
      </c>
      <c r="J660" s="1" t="str">
        <f aca="false">VLOOKUP(B660,Customers!$A$2:$G$502,6,FALSE())</f>
        <v>Corporate</v>
      </c>
      <c r="K660" s="1" t="str">
        <f aca="false">VLOOKUP(C660,Products!$A$2:$E$62,3,FALSE())</f>
        <v>Office Supplies</v>
      </c>
      <c r="L660" s="1" t="str">
        <f aca="false">TEXT(D660,"yyyy-mm")</f>
        <v>2024-03</v>
      </c>
    </row>
    <row r="661" customFormat="false" ht="15" hidden="false" customHeight="true" outlineLevel="0" collapsed="false">
      <c r="A661" s="1" t="n">
        <v>675</v>
      </c>
      <c r="B661" s="1" t="n">
        <v>492</v>
      </c>
      <c r="C661" s="1" t="n">
        <v>43</v>
      </c>
      <c r="D661" s="1" t="s">
        <v>1539</v>
      </c>
      <c r="E661" s="1" t="n">
        <v>8</v>
      </c>
      <c r="F661" s="1" t="n">
        <v>186.31</v>
      </c>
      <c r="G661" s="1" t="n">
        <v>0</v>
      </c>
      <c r="H661" s="1" t="s">
        <v>1336</v>
      </c>
      <c r="I661" s="1" t="n">
        <v>1490.48</v>
      </c>
      <c r="J661" s="1" t="str">
        <f aca="false">VLOOKUP(B661,Customers!$A$2:$G$502,6,FALSE())</f>
        <v>Consumer</v>
      </c>
      <c r="K661" s="1" t="str">
        <f aca="false">VLOOKUP(C661,Products!$A$2:$E$62,3,FALSE())</f>
        <v>Software</v>
      </c>
      <c r="L661" s="1" t="str">
        <f aca="false">TEXT(D661,"yyyy-mm")</f>
        <v>2023-09</v>
      </c>
    </row>
    <row r="662" customFormat="false" ht="15" hidden="false" customHeight="true" outlineLevel="0" collapsed="false">
      <c r="A662" s="1" t="n">
        <v>676</v>
      </c>
      <c r="B662" s="1" t="n">
        <v>167</v>
      </c>
      <c r="C662" s="1" t="n">
        <v>49</v>
      </c>
      <c r="D662" s="1" t="s">
        <v>159</v>
      </c>
      <c r="E662" s="1" t="n">
        <v>6</v>
      </c>
      <c r="F662" s="1" t="n">
        <v>325.17</v>
      </c>
      <c r="G662" s="1" t="n">
        <v>0.1</v>
      </c>
      <c r="H662" s="1" t="s">
        <v>1336</v>
      </c>
      <c r="I662" s="1" t="n">
        <v>1755.92</v>
      </c>
      <c r="J662" s="1" t="str">
        <f aca="false">VLOOKUP(B662,Customers!$A$2:$G$502,6,FALSE())</f>
        <v>Unknown</v>
      </c>
      <c r="K662" s="1" t="str">
        <f aca="false">VLOOKUP(C662,Products!$A$2:$E$62,3,FALSE())</f>
        <v>Software</v>
      </c>
      <c r="L662" s="1" t="str">
        <f aca="false">TEXT(D662,"yyyy-mm")</f>
        <v>2024-02</v>
      </c>
    </row>
    <row r="663" customFormat="false" ht="15" hidden="false" customHeight="true" outlineLevel="0" collapsed="false">
      <c r="A663" s="1" t="n">
        <v>677</v>
      </c>
      <c r="B663" s="1" t="n">
        <v>491</v>
      </c>
      <c r="C663" s="1" t="n">
        <v>7</v>
      </c>
      <c r="D663" s="1" t="s">
        <v>1540</v>
      </c>
      <c r="E663" s="1" t="n">
        <v>7</v>
      </c>
      <c r="F663" s="1" t="n">
        <v>460</v>
      </c>
      <c r="G663" s="1" t="n">
        <v>0</v>
      </c>
      <c r="H663" s="1" t="s">
        <v>1336</v>
      </c>
      <c r="I663" s="1" t="n">
        <v>3220</v>
      </c>
      <c r="J663" s="1" t="str">
        <f aca="false">VLOOKUP(B663,Customers!$A$2:$G$502,6,FALSE())</f>
        <v>Small Business</v>
      </c>
      <c r="K663" s="1" t="str">
        <f aca="false">VLOOKUP(C663,Products!$A$2:$E$62,3,FALSE())</f>
        <v>Electronics</v>
      </c>
      <c r="L663" s="1" t="str">
        <f aca="false">TEXT(D663,"yyyy-mm")</f>
        <v>2023-01</v>
      </c>
    </row>
    <row r="664" customFormat="false" ht="15" hidden="false" customHeight="true" outlineLevel="0" collapsed="false">
      <c r="A664" s="1" t="n">
        <v>678</v>
      </c>
      <c r="B664" s="1" t="n">
        <v>348</v>
      </c>
      <c r="C664" s="1" t="n">
        <v>54</v>
      </c>
      <c r="D664" s="1" t="s">
        <v>1033</v>
      </c>
      <c r="E664" s="1" t="n">
        <v>3</v>
      </c>
      <c r="F664" s="1" t="n">
        <v>312.01</v>
      </c>
      <c r="G664" s="1" t="n">
        <v>0.05</v>
      </c>
      <c r="H664" s="1" t="s">
        <v>1370</v>
      </c>
      <c r="I664" s="1" t="n">
        <v>889.23</v>
      </c>
      <c r="J664" s="1" t="str">
        <f aca="false">VLOOKUP(B664,Customers!$A$2:$G$502,6,FALSE())</f>
        <v>Consumer</v>
      </c>
      <c r="K664" s="1" t="str">
        <f aca="false">VLOOKUP(C664,Products!$A$2:$E$62,3,FALSE())</f>
        <v>Software</v>
      </c>
      <c r="L664" s="1" t="str">
        <f aca="false">TEXT(D664,"yyyy-mm")</f>
        <v>2023-12</v>
      </c>
    </row>
    <row r="665" customFormat="false" ht="15" hidden="false" customHeight="true" outlineLevel="0" collapsed="false">
      <c r="A665" s="1" t="n">
        <v>679</v>
      </c>
      <c r="B665" s="1" t="n">
        <v>249</v>
      </c>
      <c r="C665" s="1" t="n">
        <v>6</v>
      </c>
      <c r="D665" s="1" t="s">
        <v>853</v>
      </c>
      <c r="E665" s="1" t="n">
        <v>1</v>
      </c>
      <c r="F665" s="1" t="n">
        <v>28.51</v>
      </c>
      <c r="G665" s="1" t="n">
        <v>0</v>
      </c>
      <c r="H665" s="1" t="s">
        <v>1336</v>
      </c>
      <c r="I665" s="1" t="n">
        <v>28.51</v>
      </c>
      <c r="J665" s="1" t="str">
        <f aca="false">VLOOKUP(B665,Customers!$A$2:$G$502,6,FALSE())</f>
        <v>Consumer</v>
      </c>
      <c r="K665" s="1" t="str">
        <f aca="false">VLOOKUP(C665,Products!$A$2:$E$62,3,FALSE())</f>
        <v>Electronics</v>
      </c>
      <c r="L665" s="1" t="str">
        <f aca="false">TEXT(D665,"yyyy-mm")</f>
        <v>2024-03</v>
      </c>
    </row>
    <row r="666" customFormat="false" ht="15" hidden="false" customHeight="true" outlineLevel="0" collapsed="false">
      <c r="A666" s="1" t="n">
        <v>680</v>
      </c>
      <c r="B666" s="1" t="n">
        <v>59</v>
      </c>
      <c r="C666" s="1" t="n">
        <v>56</v>
      </c>
      <c r="D666" s="1" t="s">
        <v>1467</v>
      </c>
      <c r="E666" s="1" t="n">
        <v>5</v>
      </c>
      <c r="F666" s="1" t="n">
        <v>160.64</v>
      </c>
      <c r="G666" s="1" t="n">
        <v>0.15</v>
      </c>
      <c r="H666" s="1" t="s">
        <v>1336</v>
      </c>
      <c r="I666" s="1" t="n">
        <v>682.72</v>
      </c>
      <c r="J666" s="1" t="str">
        <f aca="false">VLOOKUP(B666,Customers!$A$2:$G$502,6,FALSE())</f>
        <v>Corporate</v>
      </c>
      <c r="K666" s="1" t="str">
        <f aca="false">VLOOKUP(C666,Products!$A$2:$E$62,3,FALSE())</f>
        <v>Furniture</v>
      </c>
      <c r="L666" s="1" t="str">
        <f aca="false">TEXT(D666,"yyyy-mm")</f>
        <v>2023-09</v>
      </c>
    </row>
    <row r="667" customFormat="false" ht="15" hidden="false" customHeight="true" outlineLevel="0" collapsed="false">
      <c r="A667" s="1" t="n">
        <v>681</v>
      </c>
      <c r="B667" s="1" t="n">
        <v>415</v>
      </c>
      <c r="C667" s="1" t="n">
        <v>7</v>
      </c>
      <c r="D667" s="1" t="s">
        <v>606</v>
      </c>
      <c r="E667" s="1" t="n">
        <v>2</v>
      </c>
      <c r="F667" s="1" t="n">
        <v>460</v>
      </c>
      <c r="G667" s="1" t="n">
        <v>0.15</v>
      </c>
      <c r="H667" s="1" t="s">
        <v>1336</v>
      </c>
      <c r="I667" s="1" t="n">
        <v>782</v>
      </c>
      <c r="J667" s="1" t="str">
        <f aca="false">VLOOKUP(B667,Customers!$A$2:$G$502,6,FALSE())</f>
        <v>Consumer</v>
      </c>
      <c r="K667" s="1" t="str">
        <f aca="false">VLOOKUP(C667,Products!$A$2:$E$62,3,FALSE())</f>
        <v>Electronics</v>
      </c>
      <c r="L667" s="1" t="str">
        <f aca="false">TEXT(D667,"yyyy-mm")</f>
        <v>2024-12</v>
      </c>
    </row>
    <row r="668" customFormat="false" ht="15" hidden="false" customHeight="true" outlineLevel="0" collapsed="false">
      <c r="A668" s="1" t="n">
        <v>682</v>
      </c>
      <c r="B668" s="1" t="n">
        <v>325</v>
      </c>
      <c r="C668" s="1" t="n">
        <v>10</v>
      </c>
      <c r="D668" s="1" t="s">
        <v>1537</v>
      </c>
      <c r="E668" s="1" t="n">
        <v>5</v>
      </c>
      <c r="F668" s="1" t="n">
        <v>251.58</v>
      </c>
      <c r="G668" s="1" t="n">
        <v>0</v>
      </c>
      <c r="H668" s="1" t="s">
        <v>1336</v>
      </c>
      <c r="I668" s="1" t="n">
        <v>1257.9</v>
      </c>
      <c r="J668" s="1" t="str">
        <f aca="false">VLOOKUP(B668,Customers!$A$2:$G$502,6,FALSE())</f>
        <v>Small Business</v>
      </c>
      <c r="K668" s="1" t="str">
        <f aca="false">VLOOKUP(C668,Products!$A$2:$E$62,3,FALSE())</f>
        <v>Electronics</v>
      </c>
      <c r="L668" s="1" t="str">
        <f aca="false">TEXT(D668,"yyyy-mm")</f>
        <v>2023-08</v>
      </c>
    </row>
    <row r="669" customFormat="false" ht="15" hidden="false" customHeight="true" outlineLevel="0" collapsed="false">
      <c r="A669" s="1" t="n">
        <v>683</v>
      </c>
      <c r="B669" s="1" t="n">
        <v>219</v>
      </c>
      <c r="C669" s="1" t="n">
        <v>2</v>
      </c>
      <c r="D669" s="1" t="s">
        <v>1363</v>
      </c>
      <c r="E669" s="1" t="n">
        <v>8</v>
      </c>
      <c r="F669" s="1" t="n">
        <v>498.15</v>
      </c>
      <c r="G669" s="1" t="n">
        <v>0</v>
      </c>
      <c r="H669" s="1" t="s">
        <v>1336</v>
      </c>
      <c r="I669" s="1" t="n">
        <v>3985.2</v>
      </c>
      <c r="J669" s="1" t="str">
        <f aca="false">VLOOKUP(B669,Customers!$A$2:$G$502,6,FALSE())</f>
        <v>Small Business</v>
      </c>
      <c r="K669" s="1" t="str">
        <f aca="false">VLOOKUP(C669,Products!$A$2:$E$62,3,FALSE())</f>
        <v>Electronics</v>
      </c>
      <c r="L669" s="1" t="str">
        <f aca="false">TEXT(D669,"yyyy-mm")</f>
        <v>2024-09</v>
      </c>
    </row>
    <row r="670" customFormat="false" ht="15" hidden="false" customHeight="true" outlineLevel="0" collapsed="false">
      <c r="A670" s="1" t="n">
        <v>684</v>
      </c>
      <c r="B670" s="1" t="n">
        <v>325</v>
      </c>
      <c r="C670" s="1" t="n">
        <v>15</v>
      </c>
      <c r="D670" s="1" t="s">
        <v>1273</v>
      </c>
      <c r="E670" s="1" t="n">
        <v>9</v>
      </c>
      <c r="F670" s="1" t="n">
        <v>304.95</v>
      </c>
      <c r="G670" s="1" t="n">
        <v>0</v>
      </c>
      <c r="H670" s="1" t="s">
        <v>1336</v>
      </c>
      <c r="I670" s="1" t="n">
        <v>2744.55</v>
      </c>
      <c r="J670" s="1" t="str">
        <f aca="false">VLOOKUP(B670,Customers!$A$2:$G$502,6,FALSE())</f>
        <v>Small Business</v>
      </c>
      <c r="K670" s="1" t="str">
        <f aca="false">VLOOKUP(C670,Products!$A$2:$E$62,3,FALSE())</f>
        <v>Electronics</v>
      </c>
      <c r="L670" s="1" t="str">
        <f aca="false">TEXT(D670,"yyyy-mm")</f>
        <v>2023-08</v>
      </c>
    </row>
    <row r="671" customFormat="false" ht="15" hidden="false" customHeight="true" outlineLevel="0" collapsed="false">
      <c r="A671" s="1" t="n">
        <v>685</v>
      </c>
      <c r="B671" s="1" t="n">
        <v>57</v>
      </c>
      <c r="C671" s="1" t="n">
        <v>18</v>
      </c>
      <c r="D671" s="1" t="s">
        <v>1361</v>
      </c>
      <c r="E671" s="1" t="n">
        <v>2</v>
      </c>
      <c r="F671" s="1" t="n">
        <v>747.34</v>
      </c>
      <c r="G671" s="1" t="n">
        <v>0</v>
      </c>
      <c r="H671" s="1" t="s">
        <v>1370</v>
      </c>
      <c r="I671" s="1" t="n">
        <v>1494.68</v>
      </c>
      <c r="J671" s="1" t="str">
        <f aca="false">VLOOKUP(B671,Customers!$A$2:$G$502,6,FALSE())</f>
        <v>Consumer</v>
      </c>
      <c r="K671" s="1" t="str">
        <f aca="false">VLOOKUP(C671,Products!$A$2:$E$62,3,FALSE())</f>
        <v>Electronics</v>
      </c>
      <c r="L671" s="1" t="str">
        <f aca="false">TEXT(D671,"yyyy-mm")</f>
        <v>2024-01</v>
      </c>
    </row>
    <row r="672" customFormat="false" ht="15" hidden="false" customHeight="true" outlineLevel="0" collapsed="false">
      <c r="A672" s="1" t="n">
        <v>686</v>
      </c>
      <c r="B672" s="1" t="n">
        <v>94</v>
      </c>
      <c r="C672" s="1" t="n">
        <v>3</v>
      </c>
      <c r="D672" s="1" t="s">
        <v>1494</v>
      </c>
      <c r="E672" s="1" t="n">
        <v>3</v>
      </c>
      <c r="F672" s="1" t="n">
        <v>89.39</v>
      </c>
      <c r="G672" s="1" t="n">
        <v>0</v>
      </c>
      <c r="H672" s="1" t="s">
        <v>1336</v>
      </c>
      <c r="I672" s="1" t="n">
        <v>268.17</v>
      </c>
      <c r="J672" s="1" t="str">
        <f aca="false">VLOOKUP(B672,Customers!$A$2:$G$502,6,FALSE())</f>
        <v>Small Business</v>
      </c>
      <c r="K672" s="1" t="str">
        <f aca="false">VLOOKUP(C672,Products!$A$2:$E$62,3,FALSE())</f>
        <v>Electronics</v>
      </c>
      <c r="L672" s="1" t="str">
        <f aca="false">TEXT(D672,"yyyy-mm")</f>
        <v>2023-01</v>
      </c>
    </row>
    <row r="673" customFormat="false" ht="15" hidden="false" customHeight="true" outlineLevel="0" collapsed="false">
      <c r="A673" s="1" t="n">
        <v>687</v>
      </c>
      <c r="B673" s="1" t="n">
        <v>311</v>
      </c>
      <c r="C673" s="1" t="n">
        <v>7</v>
      </c>
      <c r="D673" s="1" t="s">
        <v>333</v>
      </c>
      <c r="E673" s="1" t="n">
        <v>3</v>
      </c>
      <c r="F673" s="1" t="n">
        <v>460</v>
      </c>
      <c r="G673" s="1" t="n">
        <v>0</v>
      </c>
      <c r="H673" s="1" t="s">
        <v>1336</v>
      </c>
      <c r="I673" s="1" t="n">
        <v>1380</v>
      </c>
      <c r="J673" s="1" t="str">
        <f aca="false">VLOOKUP(B673,Customers!$A$2:$G$502,6,FALSE())</f>
        <v>Consumer</v>
      </c>
      <c r="K673" s="1" t="str">
        <f aca="false">VLOOKUP(C673,Products!$A$2:$E$62,3,FALSE())</f>
        <v>Electronics</v>
      </c>
      <c r="L673" s="1" t="str">
        <f aca="false">TEXT(D673,"yyyy-mm")</f>
        <v>2024-03</v>
      </c>
    </row>
    <row r="674" customFormat="false" ht="15" hidden="false" customHeight="true" outlineLevel="0" collapsed="false">
      <c r="A674" s="1" t="n">
        <v>688</v>
      </c>
      <c r="B674" s="1" t="n">
        <v>343</v>
      </c>
      <c r="C674" s="1" t="n">
        <v>1</v>
      </c>
      <c r="D674" s="1" t="s">
        <v>1455</v>
      </c>
      <c r="E674" s="1" t="n">
        <v>1</v>
      </c>
      <c r="F674" s="1" t="n">
        <v>327.32</v>
      </c>
      <c r="G674" s="1" t="n">
        <v>0.1</v>
      </c>
      <c r="H674" s="1" t="s">
        <v>1336</v>
      </c>
      <c r="I674" s="1" t="n">
        <v>294.59</v>
      </c>
      <c r="J674" s="1" t="str">
        <f aca="false">VLOOKUP(B674,Customers!$A$2:$G$502,6,FALSE())</f>
        <v>Unknown</v>
      </c>
      <c r="K674" s="1" t="str">
        <f aca="false">VLOOKUP(C674,Products!$A$2:$E$62,3,FALSE())</f>
        <v>Electronics</v>
      </c>
      <c r="L674" s="1" t="str">
        <f aca="false">TEXT(D674,"yyyy-mm")</f>
        <v>2024-11</v>
      </c>
    </row>
    <row r="675" customFormat="false" ht="15" hidden="false" customHeight="true" outlineLevel="0" collapsed="false">
      <c r="A675" s="1" t="n">
        <v>689</v>
      </c>
      <c r="B675" s="1" t="n">
        <v>381</v>
      </c>
      <c r="C675" s="1" t="n">
        <v>50</v>
      </c>
      <c r="D675" s="1" t="s">
        <v>1050</v>
      </c>
      <c r="E675" s="1" t="n">
        <v>8</v>
      </c>
      <c r="F675" s="1" t="n">
        <v>19.73</v>
      </c>
      <c r="G675" s="1" t="n">
        <v>0.1</v>
      </c>
      <c r="H675" s="1" t="s">
        <v>1336</v>
      </c>
      <c r="I675" s="1" t="n">
        <v>142.06</v>
      </c>
      <c r="J675" s="1" t="str">
        <f aca="false">VLOOKUP(B675,Customers!$A$2:$G$502,6,FALSE())</f>
        <v>Corporate</v>
      </c>
      <c r="K675" s="1" t="str">
        <f aca="false">VLOOKUP(C675,Products!$A$2:$E$62,3,FALSE())</f>
        <v>Software</v>
      </c>
      <c r="L675" s="1" t="str">
        <f aca="false">TEXT(D675,"yyyy-mm")</f>
        <v>2024-08</v>
      </c>
    </row>
    <row r="676" customFormat="false" ht="15" hidden="false" customHeight="true" outlineLevel="0" collapsed="false">
      <c r="A676" s="1" t="n">
        <v>690</v>
      </c>
      <c r="B676" s="1" t="n">
        <v>45</v>
      </c>
      <c r="C676" s="1" t="n">
        <v>57</v>
      </c>
      <c r="D676" s="1" t="s">
        <v>913</v>
      </c>
      <c r="E676" s="1" t="n">
        <v>6</v>
      </c>
      <c r="F676" s="1" t="n">
        <v>719.76</v>
      </c>
      <c r="G676" s="1" t="n">
        <v>0</v>
      </c>
      <c r="H676" s="1" t="s">
        <v>1336</v>
      </c>
      <c r="I676" s="1" t="n">
        <v>4318.56</v>
      </c>
      <c r="J676" s="1" t="str">
        <f aca="false">VLOOKUP(B676,Customers!$A$2:$G$502,6,FALSE())</f>
        <v>Corporate</v>
      </c>
      <c r="K676" s="1" t="str">
        <f aca="false">VLOOKUP(C676,Products!$A$2:$E$62,3,FALSE())</f>
        <v>Furniture</v>
      </c>
      <c r="L676" s="1" t="str">
        <f aca="false">TEXT(D676,"yyyy-mm")</f>
        <v>2023-04</v>
      </c>
    </row>
    <row r="677" customFormat="false" ht="15" hidden="false" customHeight="true" outlineLevel="0" collapsed="false">
      <c r="A677" s="1" t="n">
        <v>691</v>
      </c>
      <c r="B677" s="1" t="n">
        <v>453</v>
      </c>
      <c r="C677" s="1" t="n">
        <v>42</v>
      </c>
      <c r="D677" s="1" t="s">
        <v>1541</v>
      </c>
      <c r="E677" s="1" t="n">
        <v>8</v>
      </c>
      <c r="F677" s="1" t="n">
        <v>174.48</v>
      </c>
      <c r="G677" s="1" t="n">
        <v>0</v>
      </c>
      <c r="H677" s="1" t="s">
        <v>1336</v>
      </c>
      <c r="I677" s="1" t="n">
        <v>1395.84</v>
      </c>
      <c r="J677" s="1" t="str">
        <f aca="false">VLOOKUP(B677,Customers!$A$2:$G$502,6,FALSE())</f>
        <v>Small Business</v>
      </c>
      <c r="K677" s="1" t="str">
        <f aca="false">VLOOKUP(C677,Products!$A$2:$E$62,3,FALSE())</f>
        <v>Software</v>
      </c>
      <c r="L677" s="1" t="str">
        <f aca="false">TEXT(D677,"yyyy-mm")</f>
        <v>2023-07</v>
      </c>
    </row>
    <row r="678" customFormat="false" ht="15" hidden="false" customHeight="true" outlineLevel="0" collapsed="false">
      <c r="A678" s="1" t="n">
        <v>692</v>
      </c>
      <c r="B678" s="1" t="n">
        <v>176</v>
      </c>
      <c r="C678" s="1" t="n">
        <v>20</v>
      </c>
      <c r="D678" s="1" t="s">
        <v>1383</v>
      </c>
      <c r="E678" s="1" t="n">
        <v>9</v>
      </c>
      <c r="F678" s="1" t="n">
        <v>426.15</v>
      </c>
      <c r="G678" s="1" t="n">
        <v>0.2</v>
      </c>
      <c r="H678" s="1" t="s">
        <v>1336</v>
      </c>
      <c r="I678" s="1" t="n">
        <v>3068.28</v>
      </c>
      <c r="J678" s="1" t="str">
        <f aca="false">VLOOKUP(B678,Customers!$A$2:$G$502,6,FALSE())</f>
        <v>Corporate</v>
      </c>
      <c r="K678" s="1" t="str">
        <f aca="false">VLOOKUP(C678,Products!$A$2:$E$62,3,FALSE())</f>
        <v>Office Supplies</v>
      </c>
      <c r="L678" s="1" t="str">
        <f aca="false">TEXT(D678,"yyyy-mm")</f>
        <v>2024-04</v>
      </c>
    </row>
    <row r="679" customFormat="false" ht="15" hidden="false" customHeight="true" outlineLevel="0" collapsed="false">
      <c r="A679" s="1" t="n">
        <v>693</v>
      </c>
      <c r="B679" s="1" t="n">
        <v>282</v>
      </c>
      <c r="C679" s="1" t="n">
        <v>46</v>
      </c>
      <c r="D679" s="1" t="s">
        <v>1542</v>
      </c>
      <c r="E679" s="1" t="n">
        <v>5</v>
      </c>
      <c r="F679" s="1" t="n">
        <v>94.92</v>
      </c>
      <c r="G679" s="1" t="n">
        <v>0.2</v>
      </c>
      <c r="H679" s="1" t="s">
        <v>1336</v>
      </c>
      <c r="I679" s="1" t="n">
        <v>379.68</v>
      </c>
      <c r="J679" s="1" t="str">
        <f aca="false">VLOOKUP(B679,Customers!$A$2:$G$502,6,FALSE())</f>
        <v>Corporate</v>
      </c>
      <c r="K679" s="1" t="str">
        <f aca="false">VLOOKUP(C679,Products!$A$2:$E$62,3,FALSE())</f>
        <v>Software</v>
      </c>
      <c r="L679" s="1" t="str">
        <f aca="false">TEXT(D679,"yyyy-mm")</f>
        <v>2023-09</v>
      </c>
    </row>
    <row r="680" customFormat="false" ht="15" hidden="false" customHeight="true" outlineLevel="0" collapsed="false">
      <c r="A680" s="1" t="n">
        <v>694</v>
      </c>
      <c r="B680" s="1" t="n">
        <v>230</v>
      </c>
      <c r="C680" s="1" t="n">
        <v>41</v>
      </c>
      <c r="D680" s="1" t="s">
        <v>1532</v>
      </c>
      <c r="E680" s="1" t="n">
        <v>3</v>
      </c>
      <c r="F680" s="1" t="n">
        <v>594.54</v>
      </c>
      <c r="G680" s="1" t="n">
        <v>0.05</v>
      </c>
      <c r="H680" s="1" t="s">
        <v>1336</v>
      </c>
      <c r="I680" s="1" t="n">
        <v>1694.44</v>
      </c>
      <c r="J680" s="1" t="str">
        <f aca="false">VLOOKUP(B680,Customers!$A$2:$G$502,6,FALSE())</f>
        <v>Corporate</v>
      </c>
      <c r="K680" s="1" t="str">
        <f aca="false">VLOOKUP(C680,Products!$A$2:$E$62,3,FALSE())</f>
        <v>Software</v>
      </c>
      <c r="L680" s="1" t="str">
        <f aca="false">TEXT(D680,"yyyy-mm")</f>
        <v>2023-05</v>
      </c>
    </row>
    <row r="681" customFormat="false" ht="15" hidden="false" customHeight="true" outlineLevel="0" collapsed="false">
      <c r="A681" s="1" t="n">
        <v>695</v>
      </c>
      <c r="B681" s="1" t="n">
        <v>12</v>
      </c>
      <c r="C681" s="1" t="n">
        <v>11</v>
      </c>
      <c r="D681" s="1" t="s">
        <v>1359</v>
      </c>
      <c r="E681" s="1" t="n">
        <v>5</v>
      </c>
      <c r="F681" s="1" t="n">
        <v>328.39</v>
      </c>
      <c r="G681" s="1" t="n">
        <v>0</v>
      </c>
      <c r="H681" s="1" t="s">
        <v>1336</v>
      </c>
      <c r="I681" s="1" t="n">
        <v>1641.95</v>
      </c>
      <c r="J681" s="1" t="str">
        <f aca="false">VLOOKUP(B681,Customers!$A$2:$G$502,6,FALSE())</f>
        <v>Small Business</v>
      </c>
      <c r="K681" s="1" t="str">
        <f aca="false">VLOOKUP(C681,Products!$A$2:$E$62,3,FALSE())</f>
        <v>Electronics</v>
      </c>
      <c r="L681" s="1" t="str">
        <f aca="false">TEXT(D681,"yyyy-mm")</f>
        <v>2024-09</v>
      </c>
    </row>
    <row r="682" customFormat="false" ht="15" hidden="false" customHeight="true" outlineLevel="0" collapsed="false">
      <c r="A682" s="1" t="n">
        <v>696</v>
      </c>
      <c r="B682" s="1" t="n">
        <v>407</v>
      </c>
      <c r="C682" s="1" t="n">
        <v>45</v>
      </c>
      <c r="D682" s="1" t="s">
        <v>581</v>
      </c>
      <c r="E682" s="1" t="n">
        <v>5</v>
      </c>
      <c r="F682" s="1" t="n">
        <v>560.01</v>
      </c>
      <c r="G682" s="1" t="n">
        <v>0.15</v>
      </c>
      <c r="H682" s="1" t="s">
        <v>1336</v>
      </c>
      <c r="I682" s="1" t="n">
        <v>2380.04</v>
      </c>
      <c r="J682" s="1" t="str">
        <f aca="false">VLOOKUP(B682,Customers!$A$2:$G$502,6,FALSE())</f>
        <v>Consumer</v>
      </c>
      <c r="K682" s="1" t="str">
        <f aca="false">VLOOKUP(C682,Products!$A$2:$E$62,3,FALSE())</f>
        <v>Software</v>
      </c>
      <c r="L682" s="1" t="str">
        <f aca="false">TEXT(D682,"yyyy-mm")</f>
        <v>2023-07</v>
      </c>
    </row>
    <row r="683" customFormat="false" ht="15" hidden="false" customHeight="true" outlineLevel="0" collapsed="false">
      <c r="A683" s="1" t="n">
        <v>697</v>
      </c>
      <c r="B683" s="1" t="n">
        <v>39</v>
      </c>
      <c r="C683" s="1" t="n">
        <v>11</v>
      </c>
      <c r="D683" s="1" t="s">
        <v>130</v>
      </c>
      <c r="E683" s="1" t="n">
        <v>5</v>
      </c>
      <c r="F683" s="1" t="n">
        <v>328.39</v>
      </c>
      <c r="G683" s="1" t="n">
        <v>0.2</v>
      </c>
      <c r="H683" s="1" t="s">
        <v>1336</v>
      </c>
      <c r="I683" s="1" t="n">
        <v>1313.56</v>
      </c>
      <c r="J683" s="1" t="str">
        <f aca="false">VLOOKUP(B683,Customers!$A$2:$G$502,6,FALSE())</f>
        <v>Corporate</v>
      </c>
      <c r="K683" s="1" t="str">
        <f aca="false">VLOOKUP(C683,Products!$A$2:$E$62,3,FALSE())</f>
        <v>Electronics</v>
      </c>
      <c r="L683" s="1" t="str">
        <f aca="false">TEXT(D683,"yyyy-mm")</f>
        <v>2024-03</v>
      </c>
    </row>
    <row r="684" customFormat="false" ht="15" hidden="false" customHeight="true" outlineLevel="0" collapsed="false">
      <c r="A684" s="1" t="n">
        <v>698</v>
      </c>
      <c r="B684" s="1" t="n">
        <v>106</v>
      </c>
      <c r="C684" s="1" t="n">
        <v>12</v>
      </c>
      <c r="D684" s="1" t="s">
        <v>1543</v>
      </c>
      <c r="E684" s="1" t="n">
        <v>3</v>
      </c>
      <c r="F684" s="1" t="n">
        <v>179.23</v>
      </c>
      <c r="G684" s="1" t="n">
        <v>0</v>
      </c>
      <c r="H684" s="1" t="s">
        <v>1336</v>
      </c>
      <c r="I684" s="1" t="n">
        <v>537.69</v>
      </c>
      <c r="J684" s="1" t="str">
        <f aca="false">VLOOKUP(B684,Customers!$A$2:$G$502,6,FALSE())</f>
        <v>Small Business</v>
      </c>
      <c r="K684" s="1" t="str">
        <f aca="false">VLOOKUP(C684,Products!$A$2:$E$62,3,FALSE())</f>
        <v>Electronics</v>
      </c>
      <c r="L684" s="1" t="str">
        <f aca="false">TEXT(D684,"yyyy-mm")</f>
        <v>2023-01</v>
      </c>
    </row>
    <row r="685" customFormat="false" ht="15" hidden="false" customHeight="true" outlineLevel="0" collapsed="false">
      <c r="A685" s="1" t="n">
        <v>699</v>
      </c>
      <c r="B685" s="1" t="n">
        <v>263</v>
      </c>
      <c r="C685" s="1" t="n">
        <v>30</v>
      </c>
      <c r="D685" s="1" t="s">
        <v>1544</v>
      </c>
      <c r="E685" s="1" t="n">
        <v>4</v>
      </c>
      <c r="F685" s="1" t="n">
        <v>33.32</v>
      </c>
      <c r="G685" s="1" t="n">
        <v>0.15</v>
      </c>
      <c r="H685" s="1" t="s">
        <v>1336</v>
      </c>
      <c r="I685" s="1" t="n">
        <v>113.29</v>
      </c>
      <c r="J685" s="1" t="str">
        <f aca="false">VLOOKUP(B685,Customers!$A$2:$G$502,6,FALSE())</f>
        <v>Consumer</v>
      </c>
      <c r="K685" s="1" t="str">
        <f aca="false">VLOOKUP(C685,Products!$A$2:$E$62,3,FALSE())</f>
        <v>Office Supplies</v>
      </c>
      <c r="L685" s="1" t="str">
        <f aca="false">TEXT(D685,"yyyy-mm")</f>
        <v>2024-05</v>
      </c>
    </row>
    <row r="686" customFormat="false" ht="15" hidden="false" customHeight="true" outlineLevel="0" collapsed="false">
      <c r="A686" s="1" t="n">
        <v>700</v>
      </c>
      <c r="B686" s="1" t="n">
        <v>138</v>
      </c>
      <c r="C686" s="1" t="n">
        <v>36</v>
      </c>
      <c r="D686" s="1" t="s">
        <v>673</v>
      </c>
      <c r="E686" s="1" t="n">
        <v>9</v>
      </c>
      <c r="F686" s="1" t="n">
        <v>424.45</v>
      </c>
      <c r="G686" s="1" t="n">
        <v>0</v>
      </c>
      <c r="H686" s="1" t="s">
        <v>1336</v>
      </c>
      <c r="I686" s="1" t="n">
        <v>3820.05</v>
      </c>
      <c r="J686" s="1" t="str">
        <f aca="false">VLOOKUP(B686,Customers!$A$2:$G$502,6,FALSE())</f>
        <v>Consumer</v>
      </c>
      <c r="K686" s="1" t="str">
        <f aca="false">VLOOKUP(C686,Products!$A$2:$E$62,3,FALSE())</f>
        <v>Software</v>
      </c>
      <c r="L686" s="1" t="str">
        <f aca="false">TEXT(D686,"yyyy-mm")</f>
        <v>2023-05</v>
      </c>
    </row>
    <row r="687" customFormat="false" ht="15" hidden="false" customHeight="true" outlineLevel="0" collapsed="false">
      <c r="A687" s="1" t="n">
        <v>701</v>
      </c>
      <c r="B687" s="1" t="n">
        <v>483</v>
      </c>
      <c r="C687" s="1" t="n">
        <v>57</v>
      </c>
      <c r="D687" s="1" t="s">
        <v>24</v>
      </c>
      <c r="E687" s="1" t="n">
        <v>9</v>
      </c>
      <c r="F687" s="1" t="n">
        <v>719.76</v>
      </c>
      <c r="G687" s="1" t="n">
        <v>0</v>
      </c>
      <c r="H687" s="1" t="s">
        <v>1336</v>
      </c>
      <c r="I687" s="1" t="n">
        <v>6477.84</v>
      </c>
      <c r="J687" s="1" t="str">
        <f aca="false">VLOOKUP(B687,Customers!$A$2:$G$502,6,FALSE())</f>
        <v>Small Business</v>
      </c>
      <c r="K687" s="1" t="str">
        <f aca="false">VLOOKUP(C687,Products!$A$2:$E$62,3,FALSE())</f>
        <v>Furniture</v>
      </c>
      <c r="L687" s="1" t="str">
        <f aca="false">TEXT(D687,"yyyy-mm")</f>
        <v>2023-10</v>
      </c>
    </row>
    <row r="688" customFormat="false" ht="15" hidden="false" customHeight="true" outlineLevel="0" collapsed="false">
      <c r="A688" s="1" t="n">
        <v>702</v>
      </c>
      <c r="B688" s="1" t="n">
        <v>422</v>
      </c>
      <c r="C688" s="1" t="n">
        <v>14</v>
      </c>
      <c r="D688" s="1" t="s">
        <v>846</v>
      </c>
      <c r="E688" s="1" t="n">
        <v>2</v>
      </c>
      <c r="F688" s="1" t="n">
        <v>135.27</v>
      </c>
      <c r="G688" s="1" t="n">
        <v>0</v>
      </c>
      <c r="H688" s="1" t="s">
        <v>1336</v>
      </c>
      <c r="I688" s="1" t="n">
        <v>270.54</v>
      </c>
      <c r="J688" s="1" t="str">
        <f aca="false">VLOOKUP(B688,Customers!$A$2:$G$502,6,FALSE())</f>
        <v>Small Business</v>
      </c>
      <c r="K688" s="1" t="str">
        <f aca="false">VLOOKUP(C688,Products!$A$2:$E$62,3,FALSE())</f>
        <v>Electronics</v>
      </c>
      <c r="L688" s="1" t="str">
        <f aca="false">TEXT(D688,"yyyy-mm")</f>
        <v>2024-07</v>
      </c>
    </row>
    <row r="689" customFormat="false" ht="15" hidden="false" customHeight="true" outlineLevel="0" collapsed="false">
      <c r="A689" s="1" t="n">
        <v>703</v>
      </c>
      <c r="B689" s="1" t="n">
        <v>43</v>
      </c>
      <c r="C689" s="1" t="n">
        <v>46</v>
      </c>
      <c r="D689" s="1" t="s">
        <v>300</v>
      </c>
      <c r="E689" s="1" t="n">
        <v>8</v>
      </c>
      <c r="F689" s="1" t="n">
        <v>94.92</v>
      </c>
      <c r="G689" s="1" t="n">
        <v>0</v>
      </c>
      <c r="H689" s="1" t="s">
        <v>1336</v>
      </c>
      <c r="I689" s="1" t="n">
        <v>759.36</v>
      </c>
      <c r="J689" s="1" t="str">
        <f aca="false">VLOOKUP(B689,Customers!$A$2:$G$502,6,FALSE())</f>
        <v>Small Business</v>
      </c>
      <c r="K689" s="1" t="str">
        <f aca="false">VLOOKUP(C689,Products!$A$2:$E$62,3,FALSE())</f>
        <v>Software</v>
      </c>
      <c r="L689" s="1" t="str">
        <f aca="false">TEXT(D689,"yyyy-mm")</f>
        <v>2024-07</v>
      </c>
    </row>
    <row r="690" customFormat="false" ht="15" hidden="false" customHeight="true" outlineLevel="0" collapsed="false">
      <c r="A690" s="1" t="n">
        <v>704</v>
      </c>
      <c r="B690" s="1" t="n">
        <v>30</v>
      </c>
      <c r="C690" s="1" t="n">
        <v>41</v>
      </c>
      <c r="D690" s="1" t="s">
        <v>1515</v>
      </c>
      <c r="E690" s="1" t="n">
        <v>8</v>
      </c>
      <c r="F690" s="1" t="n">
        <v>594.54</v>
      </c>
      <c r="G690" s="1" t="n">
        <v>0.2</v>
      </c>
      <c r="H690" s="1" t="s">
        <v>1336</v>
      </c>
      <c r="I690" s="1" t="n">
        <v>3805.06</v>
      </c>
      <c r="J690" s="1" t="str">
        <f aca="false">VLOOKUP(B690,Customers!$A$2:$G$502,6,FALSE())</f>
        <v>Unknown</v>
      </c>
      <c r="K690" s="1" t="str">
        <f aca="false">VLOOKUP(C690,Products!$A$2:$E$62,3,FALSE())</f>
        <v>Software</v>
      </c>
      <c r="L690" s="1" t="str">
        <f aca="false">TEXT(D690,"yyyy-mm")</f>
        <v>2023-01</v>
      </c>
    </row>
    <row r="691" customFormat="false" ht="15" hidden="false" customHeight="true" outlineLevel="0" collapsed="false">
      <c r="A691" s="1" t="n">
        <v>705</v>
      </c>
      <c r="B691" s="1" t="n">
        <v>9</v>
      </c>
      <c r="C691" s="1" t="n">
        <v>35</v>
      </c>
      <c r="D691" s="1" t="s">
        <v>1454</v>
      </c>
      <c r="E691" s="1" t="n">
        <v>7</v>
      </c>
      <c r="F691" s="1" t="n">
        <v>75.78</v>
      </c>
      <c r="G691" s="1" t="n">
        <v>0.2</v>
      </c>
      <c r="H691" s="1" t="s">
        <v>1336</v>
      </c>
      <c r="I691" s="1" t="n">
        <v>424.37</v>
      </c>
      <c r="J691" s="1" t="str">
        <f aca="false">VLOOKUP(B691,Customers!$A$2:$G$502,6,FALSE())</f>
        <v>Small Business</v>
      </c>
      <c r="K691" s="1" t="str">
        <f aca="false">VLOOKUP(C691,Products!$A$2:$E$62,3,FALSE())</f>
        <v>Software</v>
      </c>
      <c r="L691" s="1" t="str">
        <f aca="false">TEXT(D691,"yyyy-mm")</f>
        <v>2024-11</v>
      </c>
    </row>
    <row r="692" customFormat="false" ht="15" hidden="false" customHeight="true" outlineLevel="0" collapsed="false">
      <c r="A692" s="1" t="n">
        <v>706</v>
      </c>
      <c r="B692" s="1" t="n">
        <v>196</v>
      </c>
      <c r="C692" s="1" t="n">
        <v>42</v>
      </c>
      <c r="D692" s="1" t="s">
        <v>1259</v>
      </c>
      <c r="E692" s="1" t="n">
        <v>8</v>
      </c>
      <c r="F692" s="1" t="n">
        <v>174.48</v>
      </c>
      <c r="G692" s="1" t="n">
        <v>0.2</v>
      </c>
      <c r="H692" s="1" t="s">
        <v>1336</v>
      </c>
      <c r="I692" s="1" t="n">
        <v>1116.67</v>
      </c>
      <c r="J692" s="1" t="str">
        <f aca="false">VLOOKUP(B692,Customers!$A$2:$G$502,6,FALSE())</f>
        <v>Corporate</v>
      </c>
      <c r="K692" s="1" t="str">
        <f aca="false">VLOOKUP(C692,Products!$A$2:$E$62,3,FALSE())</f>
        <v>Software</v>
      </c>
      <c r="L692" s="1" t="str">
        <f aca="false">TEXT(D692,"yyyy-mm")</f>
        <v>2023-09</v>
      </c>
    </row>
    <row r="693" customFormat="false" ht="15" hidden="false" customHeight="true" outlineLevel="0" collapsed="false">
      <c r="A693" s="1" t="n">
        <v>707</v>
      </c>
      <c r="B693" s="1" t="n">
        <v>167</v>
      </c>
      <c r="C693" s="1" t="n">
        <v>18</v>
      </c>
      <c r="D693" s="1" t="s">
        <v>1545</v>
      </c>
      <c r="E693" s="1" t="n">
        <v>3</v>
      </c>
      <c r="F693" s="1" t="n">
        <v>747.34</v>
      </c>
      <c r="G693" s="1" t="n">
        <v>0.1</v>
      </c>
      <c r="H693" s="1" t="s">
        <v>1336</v>
      </c>
      <c r="I693" s="1" t="n">
        <v>2017.82</v>
      </c>
      <c r="J693" s="1" t="str">
        <f aca="false">VLOOKUP(B693,Customers!$A$2:$G$502,6,FALSE())</f>
        <v>Unknown</v>
      </c>
      <c r="K693" s="1" t="str">
        <f aca="false">VLOOKUP(C693,Products!$A$2:$E$62,3,FALSE())</f>
        <v>Electronics</v>
      </c>
      <c r="L693" s="1" t="str">
        <f aca="false">TEXT(D693,"yyyy-mm")</f>
        <v>2023-07</v>
      </c>
    </row>
    <row r="694" customFormat="false" ht="15" hidden="false" customHeight="true" outlineLevel="0" collapsed="false">
      <c r="A694" s="1" t="n">
        <v>708</v>
      </c>
      <c r="B694" s="1" t="n">
        <v>374</v>
      </c>
      <c r="C694" s="1" t="n">
        <v>47</v>
      </c>
      <c r="D694" s="1" t="s">
        <v>1354</v>
      </c>
      <c r="E694" s="1" t="n">
        <v>6</v>
      </c>
      <c r="F694" s="1" t="n">
        <v>506.19</v>
      </c>
      <c r="G694" s="1" t="n">
        <v>0</v>
      </c>
      <c r="H694" s="1" t="s">
        <v>1336</v>
      </c>
      <c r="I694" s="1" t="n">
        <v>3037.14</v>
      </c>
      <c r="J694" s="1" t="str">
        <f aca="false">VLOOKUP(B694,Customers!$A$2:$G$502,6,FALSE())</f>
        <v>Consumer</v>
      </c>
      <c r="K694" s="1" t="str">
        <f aca="false">VLOOKUP(C694,Products!$A$2:$E$62,3,FALSE())</f>
        <v>Software</v>
      </c>
      <c r="L694" s="1" t="str">
        <f aca="false">TEXT(D694,"yyyy-mm")</f>
        <v>2024-03</v>
      </c>
    </row>
    <row r="695" customFormat="false" ht="15" hidden="false" customHeight="true" outlineLevel="0" collapsed="false">
      <c r="A695" s="1" t="n">
        <v>709</v>
      </c>
      <c r="B695" s="1" t="n">
        <v>418</v>
      </c>
      <c r="C695" s="1" t="n">
        <v>56</v>
      </c>
      <c r="D695" s="1" t="s">
        <v>1421</v>
      </c>
      <c r="E695" s="1" t="n">
        <v>1</v>
      </c>
      <c r="F695" s="1" t="n">
        <v>160.64</v>
      </c>
      <c r="G695" s="1" t="n">
        <v>0</v>
      </c>
      <c r="H695" s="1" t="s">
        <v>1336</v>
      </c>
      <c r="I695" s="1" t="n">
        <v>160.64</v>
      </c>
      <c r="J695" s="1" t="str">
        <f aca="false">VLOOKUP(B695,Customers!$A$2:$G$502,6,FALSE())</f>
        <v>Corporate</v>
      </c>
      <c r="K695" s="1" t="str">
        <f aca="false">VLOOKUP(C695,Products!$A$2:$E$62,3,FALSE())</f>
        <v>Furniture</v>
      </c>
      <c r="L695" s="1" t="str">
        <f aca="false">TEXT(D695,"yyyy-mm")</f>
        <v>2023-06</v>
      </c>
    </row>
    <row r="696" customFormat="false" ht="15" hidden="false" customHeight="true" outlineLevel="0" collapsed="false">
      <c r="A696" s="1" t="n">
        <v>710</v>
      </c>
      <c r="B696" s="1" t="n">
        <v>159</v>
      </c>
      <c r="C696" s="1" t="n">
        <v>11</v>
      </c>
      <c r="D696" s="1" t="s">
        <v>769</v>
      </c>
      <c r="E696" s="1" t="n">
        <v>7</v>
      </c>
      <c r="F696" s="1" t="n">
        <v>328.39</v>
      </c>
      <c r="G696" s="1" t="n">
        <v>0.2</v>
      </c>
      <c r="H696" s="1" t="s">
        <v>1336</v>
      </c>
      <c r="I696" s="1" t="n">
        <v>1838.98</v>
      </c>
      <c r="J696" s="1" t="str">
        <f aca="false">VLOOKUP(B696,Customers!$A$2:$G$502,6,FALSE())</f>
        <v>Corporate</v>
      </c>
      <c r="K696" s="1" t="str">
        <f aca="false">VLOOKUP(C696,Products!$A$2:$E$62,3,FALSE())</f>
        <v>Electronics</v>
      </c>
      <c r="L696" s="1" t="str">
        <f aca="false">TEXT(D696,"yyyy-mm")</f>
        <v>2023-07</v>
      </c>
    </row>
    <row r="697" customFormat="false" ht="15" hidden="false" customHeight="true" outlineLevel="0" collapsed="false">
      <c r="A697" s="1" t="n">
        <v>711</v>
      </c>
      <c r="B697" s="1" t="n">
        <v>126</v>
      </c>
      <c r="C697" s="1" t="n">
        <v>30</v>
      </c>
      <c r="D697" s="1" t="s">
        <v>1338</v>
      </c>
      <c r="E697" s="1" t="n">
        <v>1</v>
      </c>
      <c r="F697" s="1" t="n">
        <v>33.32</v>
      </c>
      <c r="G697" s="1" t="n">
        <v>0.05</v>
      </c>
      <c r="H697" s="1" t="s">
        <v>1336</v>
      </c>
      <c r="I697" s="1" t="n">
        <v>31.65</v>
      </c>
      <c r="J697" s="1" t="str">
        <f aca="false">VLOOKUP(B697,Customers!$A$2:$G$502,6,FALSE())</f>
        <v>Small Business</v>
      </c>
      <c r="K697" s="1" t="str">
        <f aca="false">VLOOKUP(C697,Products!$A$2:$E$62,3,FALSE())</f>
        <v>Office Supplies</v>
      </c>
      <c r="L697" s="1" t="str">
        <f aca="false">TEXT(D697,"yyyy-mm")</f>
        <v>2024-10</v>
      </c>
    </row>
    <row r="698" customFormat="false" ht="15" hidden="false" customHeight="true" outlineLevel="0" collapsed="false">
      <c r="A698" s="1" t="n">
        <v>712</v>
      </c>
      <c r="B698" s="1" t="n">
        <v>309</v>
      </c>
      <c r="C698" s="1" t="n">
        <v>7</v>
      </c>
      <c r="D698" s="1" t="s">
        <v>1358</v>
      </c>
      <c r="E698" s="1" t="n">
        <v>9</v>
      </c>
      <c r="F698" s="1" t="n">
        <v>460</v>
      </c>
      <c r="G698" s="1" t="n">
        <v>0.05</v>
      </c>
      <c r="H698" s="1" t="s">
        <v>1336</v>
      </c>
      <c r="I698" s="1" t="n">
        <v>3933</v>
      </c>
      <c r="J698" s="1" t="str">
        <f aca="false">VLOOKUP(B698,Customers!$A$2:$G$502,6,FALSE())</f>
        <v>Unknown</v>
      </c>
      <c r="K698" s="1" t="str">
        <f aca="false">VLOOKUP(C698,Products!$A$2:$E$62,3,FALSE())</f>
        <v>Electronics</v>
      </c>
      <c r="L698" s="1" t="str">
        <f aca="false">TEXT(D698,"yyyy-mm")</f>
        <v>2024-01</v>
      </c>
    </row>
    <row r="699" customFormat="false" ht="15" hidden="false" customHeight="true" outlineLevel="0" collapsed="false">
      <c r="A699" s="1" t="n">
        <v>714</v>
      </c>
      <c r="B699" s="1" t="n">
        <v>495</v>
      </c>
      <c r="C699" s="1" t="n">
        <v>1</v>
      </c>
      <c r="D699" s="1" t="s">
        <v>913</v>
      </c>
      <c r="E699" s="1" t="n">
        <v>1</v>
      </c>
      <c r="F699" s="1" t="n">
        <v>327.32</v>
      </c>
      <c r="G699" s="1" t="n">
        <v>0.1</v>
      </c>
      <c r="H699" s="1" t="s">
        <v>1336</v>
      </c>
      <c r="I699" s="1" t="n">
        <v>294.59</v>
      </c>
      <c r="J699" s="1" t="str">
        <f aca="false">VLOOKUP(B699,Customers!$A$2:$G$502,6,FALSE())</f>
        <v>Small Business</v>
      </c>
      <c r="K699" s="1" t="str">
        <f aca="false">VLOOKUP(C699,Products!$A$2:$E$62,3,FALSE())</f>
        <v>Electronics</v>
      </c>
      <c r="L699" s="1" t="str">
        <f aca="false">TEXT(D699,"yyyy-mm")</f>
        <v>2023-04</v>
      </c>
    </row>
    <row r="700" customFormat="false" ht="15" hidden="false" customHeight="true" outlineLevel="0" collapsed="false">
      <c r="A700" s="1" t="n">
        <v>715</v>
      </c>
      <c r="B700" s="1" t="n">
        <v>246</v>
      </c>
      <c r="C700" s="1" t="n">
        <v>49</v>
      </c>
      <c r="D700" s="1" t="s">
        <v>786</v>
      </c>
      <c r="E700" s="1" t="n">
        <v>7</v>
      </c>
      <c r="F700" s="1" t="n">
        <v>325.17</v>
      </c>
      <c r="G700" s="1" t="n">
        <v>0.05</v>
      </c>
      <c r="H700" s="1" t="s">
        <v>1336</v>
      </c>
      <c r="I700" s="1" t="n">
        <v>2162.38</v>
      </c>
      <c r="J700" s="1" t="str">
        <f aca="false">VLOOKUP(B700,Customers!$A$2:$G$502,6,FALSE())</f>
        <v>Small Business</v>
      </c>
      <c r="K700" s="1" t="str">
        <f aca="false">VLOOKUP(C700,Products!$A$2:$E$62,3,FALSE())</f>
        <v>Software</v>
      </c>
      <c r="L700" s="1" t="str">
        <f aca="false">TEXT(D700,"yyyy-mm")</f>
        <v>2024-07</v>
      </c>
    </row>
    <row r="701" customFormat="false" ht="15" hidden="false" customHeight="true" outlineLevel="0" collapsed="false">
      <c r="A701" s="1" t="n">
        <v>716</v>
      </c>
      <c r="B701" s="1" t="n">
        <v>279</v>
      </c>
      <c r="C701" s="1" t="n">
        <v>45</v>
      </c>
      <c r="D701" s="1" t="s">
        <v>151</v>
      </c>
      <c r="E701" s="1" t="n">
        <v>2</v>
      </c>
      <c r="F701" s="1" t="n">
        <v>560.01</v>
      </c>
      <c r="G701" s="1" t="n">
        <v>0.15</v>
      </c>
      <c r="H701" s="1" t="s">
        <v>1336</v>
      </c>
      <c r="I701" s="1" t="n">
        <v>952.02</v>
      </c>
      <c r="J701" s="1" t="str">
        <f aca="false">VLOOKUP(B701,Customers!$A$2:$G$502,6,FALSE())</f>
        <v>Unknown</v>
      </c>
      <c r="K701" s="1" t="str">
        <f aca="false">VLOOKUP(C701,Products!$A$2:$E$62,3,FALSE())</f>
        <v>Software</v>
      </c>
      <c r="L701" s="1" t="str">
        <f aca="false">TEXT(D701,"yyyy-mm")</f>
        <v>2023-10</v>
      </c>
    </row>
    <row r="702" customFormat="false" ht="15" hidden="false" customHeight="true" outlineLevel="0" collapsed="false">
      <c r="A702" s="1" t="n">
        <v>717</v>
      </c>
      <c r="B702" s="1" t="n">
        <v>53</v>
      </c>
      <c r="C702" s="1" t="n">
        <v>33</v>
      </c>
      <c r="D702" s="1" t="s">
        <v>656</v>
      </c>
      <c r="E702" s="1" t="n">
        <v>5</v>
      </c>
      <c r="F702" s="1" t="n">
        <v>190.1</v>
      </c>
      <c r="G702" s="1" t="n">
        <v>0</v>
      </c>
      <c r="H702" s="1" t="s">
        <v>1336</v>
      </c>
      <c r="I702" s="1" t="n">
        <v>950.5</v>
      </c>
      <c r="J702" s="1" t="str">
        <f aca="false">VLOOKUP(B702,Customers!$A$2:$G$502,6,FALSE())</f>
        <v>Small Business</v>
      </c>
      <c r="K702" s="1" t="str">
        <f aca="false">VLOOKUP(C702,Products!$A$2:$E$62,3,FALSE())</f>
        <v>Office Supplies</v>
      </c>
      <c r="L702" s="1" t="str">
        <f aca="false">TEXT(D702,"yyyy-mm")</f>
        <v>2024-03</v>
      </c>
    </row>
    <row r="703" customFormat="false" ht="15" hidden="false" customHeight="true" outlineLevel="0" collapsed="false">
      <c r="A703" s="1" t="n">
        <v>718</v>
      </c>
      <c r="B703" s="1" t="n">
        <v>181</v>
      </c>
      <c r="C703" s="1" t="n">
        <v>42</v>
      </c>
      <c r="D703" s="1" t="s">
        <v>1451</v>
      </c>
      <c r="E703" s="1" t="n">
        <v>8</v>
      </c>
      <c r="F703" s="1" t="n">
        <v>174.48</v>
      </c>
      <c r="G703" s="1" t="n">
        <v>0</v>
      </c>
      <c r="H703" s="1" t="s">
        <v>1346</v>
      </c>
      <c r="I703" s="1" t="n">
        <v>1395.84</v>
      </c>
      <c r="J703" s="1" t="str">
        <f aca="false">VLOOKUP(B703,Customers!$A$2:$G$502,6,FALSE())</f>
        <v>Small Business</v>
      </c>
      <c r="K703" s="1" t="str">
        <f aca="false">VLOOKUP(C703,Products!$A$2:$E$62,3,FALSE())</f>
        <v>Software</v>
      </c>
      <c r="L703" s="1" t="str">
        <f aca="false">TEXT(D703,"yyyy-mm")</f>
        <v>2023-10</v>
      </c>
    </row>
    <row r="704" customFormat="false" ht="15" hidden="false" customHeight="true" outlineLevel="0" collapsed="false">
      <c r="A704" s="1" t="n">
        <v>719</v>
      </c>
      <c r="B704" s="1" t="n">
        <v>462</v>
      </c>
      <c r="C704" s="1" t="n">
        <v>8</v>
      </c>
      <c r="D704" s="1" t="s">
        <v>1348</v>
      </c>
      <c r="E704" s="1" t="n">
        <v>8</v>
      </c>
      <c r="F704" s="1" t="n">
        <v>104.4</v>
      </c>
      <c r="G704" s="1" t="n">
        <v>0</v>
      </c>
      <c r="H704" s="1" t="s">
        <v>1370</v>
      </c>
      <c r="I704" s="1" t="n">
        <v>835.2</v>
      </c>
      <c r="J704" s="1" t="str">
        <f aca="false">VLOOKUP(B704,Customers!$A$2:$G$502,6,FALSE())</f>
        <v>Small Business</v>
      </c>
      <c r="K704" s="1" t="str">
        <f aca="false">VLOOKUP(C704,Products!$A$2:$E$62,3,FALSE())</f>
        <v>Electronics</v>
      </c>
      <c r="L704" s="1" t="str">
        <f aca="false">TEXT(D704,"yyyy-mm")</f>
        <v>2024-05</v>
      </c>
    </row>
    <row r="705" customFormat="false" ht="15" hidden="false" customHeight="true" outlineLevel="0" collapsed="false">
      <c r="A705" s="1" t="n">
        <v>720</v>
      </c>
      <c r="B705" s="1" t="n">
        <v>40</v>
      </c>
      <c r="C705" s="1" t="n">
        <v>40</v>
      </c>
      <c r="D705" s="1" t="s">
        <v>377</v>
      </c>
      <c r="E705" s="1" t="n">
        <v>3</v>
      </c>
      <c r="F705" s="1" t="n">
        <v>193.02</v>
      </c>
      <c r="G705" s="1" t="n">
        <v>0</v>
      </c>
      <c r="H705" s="1" t="s">
        <v>1336</v>
      </c>
      <c r="I705" s="1" t="n">
        <v>579.06</v>
      </c>
      <c r="J705" s="1" t="str">
        <f aca="false">VLOOKUP(B705,Customers!$A$2:$G$502,6,FALSE())</f>
        <v>Consumer</v>
      </c>
      <c r="K705" s="1" t="str">
        <f aca="false">VLOOKUP(C705,Products!$A$2:$E$62,3,FALSE())</f>
        <v>Software</v>
      </c>
      <c r="L705" s="1" t="str">
        <f aca="false">TEXT(D705,"yyyy-mm")</f>
        <v>2023-12</v>
      </c>
    </row>
    <row r="706" customFormat="false" ht="15" hidden="false" customHeight="true" outlineLevel="0" collapsed="false">
      <c r="A706" s="1" t="n">
        <v>721</v>
      </c>
      <c r="B706" s="1" t="n">
        <v>78</v>
      </c>
      <c r="C706" s="1" t="n">
        <v>12</v>
      </c>
      <c r="D706" s="1" t="s">
        <v>1449</v>
      </c>
      <c r="E706" s="1" t="n">
        <v>7</v>
      </c>
      <c r="F706" s="1" t="n">
        <v>179.23</v>
      </c>
      <c r="G706" s="1" t="n">
        <v>0.1</v>
      </c>
      <c r="H706" s="1" t="s">
        <v>1336</v>
      </c>
      <c r="I706" s="1" t="n">
        <v>1129.15</v>
      </c>
      <c r="J706" s="1" t="str">
        <f aca="false">VLOOKUP(B706,Customers!$A$2:$G$502,6,FALSE())</f>
        <v>Consumer</v>
      </c>
      <c r="K706" s="1" t="str">
        <f aca="false">VLOOKUP(C706,Products!$A$2:$E$62,3,FALSE())</f>
        <v>Electronics</v>
      </c>
      <c r="L706" s="1" t="str">
        <f aca="false">TEXT(D706,"yyyy-mm")</f>
        <v>2024-03</v>
      </c>
    </row>
    <row r="707" customFormat="false" ht="15" hidden="false" customHeight="true" outlineLevel="0" collapsed="false">
      <c r="A707" s="1" t="n">
        <v>722</v>
      </c>
      <c r="B707" s="1" t="n">
        <v>352</v>
      </c>
      <c r="C707" s="1" t="n">
        <v>20</v>
      </c>
      <c r="D707" s="1" t="s">
        <v>1546</v>
      </c>
      <c r="E707" s="1" t="n">
        <v>3</v>
      </c>
      <c r="F707" s="1" t="n">
        <v>426.15</v>
      </c>
      <c r="G707" s="1" t="n">
        <v>0.2</v>
      </c>
      <c r="H707" s="1" t="s">
        <v>1336</v>
      </c>
      <c r="I707" s="1" t="n">
        <v>1022.76</v>
      </c>
      <c r="J707" s="1" t="str">
        <f aca="false">VLOOKUP(B707,Customers!$A$2:$G$502,6,FALSE())</f>
        <v>Corporate</v>
      </c>
      <c r="K707" s="1" t="str">
        <f aca="false">VLOOKUP(C707,Products!$A$2:$E$62,3,FALSE())</f>
        <v>Office Supplies</v>
      </c>
      <c r="L707" s="1" t="str">
        <f aca="false">TEXT(D707,"yyyy-mm")</f>
        <v>2024-10</v>
      </c>
    </row>
    <row r="708" customFormat="false" ht="15" hidden="false" customHeight="true" outlineLevel="0" collapsed="false">
      <c r="A708" s="1" t="n">
        <v>723</v>
      </c>
      <c r="B708" s="1" t="n">
        <v>189</v>
      </c>
      <c r="C708" s="1" t="n">
        <v>60</v>
      </c>
      <c r="D708" s="1" t="s">
        <v>1412</v>
      </c>
      <c r="E708" s="1" t="n">
        <v>6</v>
      </c>
      <c r="F708" s="1" t="n">
        <v>584.98</v>
      </c>
      <c r="G708" s="1" t="n">
        <v>0.2</v>
      </c>
      <c r="H708" s="1" t="s">
        <v>1346</v>
      </c>
      <c r="I708" s="1" t="n">
        <v>2807.9</v>
      </c>
      <c r="J708" s="1" t="str">
        <f aca="false">VLOOKUP(B708,Customers!$A$2:$G$502,6,FALSE())</f>
        <v>Small Business</v>
      </c>
      <c r="K708" s="1" t="str">
        <f aca="false">VLOOKUP(C708,Products!$A$2:$E$62,3,FALSE())</f>
        <v>Furniture</v>
      </c>
      <c r="L708" s="1" t="str">
        <f aca="false">TEXT(D708,"yyyy-mm")</f>
        <v>2023-09</v>
      </c>
    </row>
    <row r="709" customFormat="false" ht="15" hidden="false" customHeight="true" outlineLevel="0" collapsed="false">
      <c r="A709" s="1" t="n">
        <v>724</v>
      </c>
      <c r="B709" s="1" t="n">
        <v>77</v>
      </c>
      <c r="C709" s="1" t="n">
        <v>50</v>
      </c>
      <c r="D709" s="1" t="s">
        <v>1547</v>
      </c>
      <c r="E709" s="1" t="n">
        <v>6</v>
      </c>
      <c r="F709" s="1" t="n">
        <v>19.73</v>
      </c>
      <c r="G709" s="1" t="n">
        <v>0</v>
      </c>
      <c r="H709" s="1" t="s">
        <v>1336</v>
      </c>
      <c r="I709" s="1" t="n">
        <v>118.38</v>
      </c>
      <c r="J709" s="1" t="str">
        <f aca="false">VLOOKUP(B709,Customers!$A$2:$G$502,6,FALSE())</f>
        <v>Consumer</v>
      </c>
      <c r="K709" s="1" t="str">
        <f aca="false">VLOOKUP(C709,Products!$A$2:$E$62,3,FALSE())</f>
        <v>Software</v>
      </c>
      <c r="L709" s="1" t="str">
        <f aca="false">TEXT(D709,"yyyy-mm")</f>
        <v>2024-11</v>
      </c>
    </row>
    <row r="710" customFormat="false" ht="15" hidden="false" customHeight="true" outlineLevel="0" collapsed="false">
      <c r="A710" s="1" t="n">
        <v>725</v>
      </c>
      <c r="B710" s="1" t="n">
        <v>245</v>
      </c>
      <c r="C710" s="1" t="n">
        <v>53</v>
      </c>
      <c r="D710" s="1" t="s">
        <v>986</v>
      </c>
      <c r="E710" s="1" t="n">
        <v>3</v>
      </c>
      <c r="F710" s="1" t="n">
        <v>509.98</v>
      </c>
      <c r="G710" s="1" t="n">
        <v>0</v>
      </c>
      <c r="H710" s="1" t="s">
        <v>1336</v>
      </c>
      <c r="I710" s="1" t="n">
        <v>1529.94</v>
      </c>
      <c r="J710" s="1" t="str">
        <f aca="false">VLOOKUP(B710,Customers!$A$2:$G$502,6,FALSE())</f>
        <v>Consumer</v>
      </c>
      <c r="K710" s="1" t="str">
        <f aca="false">VLOOKUP(C710,Products!$A$2:$E$62,3,FALSE())</f>
        <v>Software</v>
      </c>
      <c r="L710" s="1" t="str">
        <f aca="false">TEXT(D710,"yyyy-mm")</f>
        <v>2023-03</v>
      </c>
    </row>
    <row r="711" customFormat="false" ht="15" hidden="false" customHeight="true" outlineLevel="0" collapsed="false">
      <c r="A711" s="1" t="n">
        <v>726</v>
      </c>
      <c r="B711" s="1" t="n">
        <v>66</v>
      </c>
      <c r="C711" s="1" t="n">
        <v>12</v>
      </c>
      <c r="D711" s="1" t="s">
        <v>756</v>
      </c>
      <c r="E711" s="1" t="n">
        <v>7</v>
      </c>
      <c r="F711" s="1" t="n">
        <v>179.23</v>
      </c>
      <c r="G711" s="1" t="n">
        <v>0</v>
      </c>
      <c r="H711" s="1" t="s">
        <v>1336</v>
      </c>
      <c r="I711" s="1" t="n">
        <v>1254.61</v>
      </c>
      <c r="J711" s="1" t="str">
        <f aca="false">VLOOKUP(B711,Customers!$A$2:$G$502,6,FALSE())</f>
        <v>Corporate</v>
      </c>
      <c r="K711" s="1" t="str">
        <f aca="false">VLOOKUP(C711,Products!$A$2:$E$62,3,FALSE())</f>
        <v>Electronics</v>
      </c>
      <c r="L711" s="1" t="str">
        <f aca="false">TEXT(D711,"yyyy-mm")</f>
        <v>2024-01</v>
      </c>
    </row>
    <row r="712" customFormat="false" ht="15" hidden="false" customHeight="true" outlineLevel="0" collapsed="false">
      <c r="A712" s="1" t="n">
        <v>727</v>
      </c>
      <c r="B712" s="1" t="n">
        <v>407</v>
      </c>
      <c r="C712" s="1" t="n">
        <v>41</v>
      </c>
      <c r="D712" s="1" t="s">
        <v>377</v>
      </c>
      <c r="E712" s="1" t="n">
        <v>3</v>
      </c>
      <c r="F712" s="1" t="n">
        <v>594.54</v>
      </c>
      <c r="G712" s="1" t="n">
        <v>0</v>
      </c>
      <c r="H712" s="1" t="s">
        <v>1336</v>
      </c>
      <c r="I712" s="1" t="n">
        <v>1783.62</v>
      </c>
      <c r="J712" s="1" t="str">
        <f aca="false">VLOOKUP(B712,Customers!$A$2:$G$502,6,FALSE())</f>
        <v>Consumer</v>
      </c>
      <c r="K712" s="1" t="str">
        <f aca="false">VLOOKUP(C712,Products!$A$2:$E$62,3,FALSE())</f>
        <v>Software</v>
      </c>
      <c r="L712" s="1" t="str">
        <f aca="false">TEXT(D712,"yyyy-mm")</f>
        <v>2023-12</v>
      </c>
    </row>
    <row r="713" customFormat="false" ht="15" hidden="false" customHeight="true" outlineLevel="0" collapsed="false">
      <c r="A713" s="1" t="n">
        <v>728</v>
      </c>
      <c r="B713" s="1" t="n">
        <v>255</v>
      </c>
      <c r="C713" s="1" t="n">
        <v>35</v>
      </c>
      <c r="D713" s="1" t="s">
        <v>1548</v>
      </c>
      <c r="E713" s="1" t="n">
        <v>8</v>
      </c>
      <c r="F713" s="1" t="n">
        <v>75.78</v>
      </c>
      <c r="G713" s="1" t="n">
        <v>0.05</v>
      </c>
      <c r="H713" s="1" t="s">
        <v>1336</v>
      </c>
      <c r="I713" s="1" t="n">
        <v>575.93</v>
      </c>
      <c r="J713" s="1" t="str">
        <f aca="false">VLOOKUP(B713,Customers!$A$2:$G$502,6,FALSE())</f>
        <v>Corporate</v>
      </c>
      <c r="K713" s="1" t="str">
        <f aca="false">VLOOKUP(C713,Products!$A$2:$E$62,3,FALSE())</f>
        <v>Software</v>
      </c>
      <c r="L713" s="1" t="str">
        <f aca="false">TEXT(D713,"yyyy-mm")</f>
        <v>2024-06</v>
      </c>
    </row>
    <row r="714" customFormat="false" ht="15" hidden="false" customHeight="true" outlineLevel="0" collapsed="false">
      <c r="A714" s="1" t="n">
        <v>729</v>
      </c>
      <c r="B714" s="1" t="n">
        <v>216</v>
      </c>
      <c r="C714" s="1" t="n">
        <v>34</v>
      </c>
      <c r="D714" s="1" t="s">
        <v>1387</v>
      </c>
      <c r="E714" s="1" t="n">
        <v>4</v>
      </c>
      <c r="F714" s="1" t="n">
        <v>116.85</v>
      </c>
      <c r="G714" s="1" t="n">
        <v>0.2</v>
      </c>
      <c r="H714" s="1" t="s">
        <v>1336</v>
      </c>
      <c r="I714" s="1" t="n">
        <v>373.92</v>
      </c>
      <c r="J714" s="1" t="str">
        <f aca="false">VLOOKUP(B714,Customers!$A$2:$G$502,6,FALSE())</f>
        <v>Consumer</v>
      </c>
      <c r="K714" s="1" t="str">
        <f aca="false">VLOOKUP(C714,Products!$A$2:$E$62,3,FALSE())</f>
        <v>Office Supplies</v>
      </c>
      <c r="L714" s="1" t="str">
        <f aca="false">TEXT(D714,"yyyy-mm")</f>
        <v>2024-08</v>
      </c>
    </row>
    <row r="715" customFormat="false" ht="15" hidden="false" customHeight="true" outlineLevel="0" collapsed="false">
      <c r="A715" s="1" t="n">
        <v>730</v>
      </c>
      <c r="B715" s="1" t="n">
        <v>2</v>
      </c>
      <c r="C715" s="1" t="n">
        <v>14</v>
      </c>
      <c r="D715" s="1" t="s">
        <v>1549</v>
      </c>
      <c r="E715" s="1" t="n">
        <v>1</v>
      </c>
      <c r="F715" s="1" t="n">
        <v>135.27</v>
      </c>
      <c r="G715" s="1" t="n">
        <v>0</v>
      </c>
      <c r="H715" s="1" t="s">
        <v>1336</v>
      </c>
      <c r="I715" s="1" t="n">
        <v>135.27</v>
      </c>
      <c r="J715" s="1" t="str">
        <f aca="false">VLOOKUP(B715,Customers!$A$2:$G$502,6,FALSE())</f>
        <v>Small Business</v>
      </c>
      <c r="K715" s="1" t="str">
        <f aca="false">VLOOKUP(C715,Products!$A$2:$E$62,3,FALSE())</f>
        <v>Electronics</v>
      </c>
      <c r="L715" s="1" t="str">
        <f aca="false">TEXT(D715,"yyyy-mm")</f>
        <v>2023-01</v>
      </c>
    </row>
    <row r="716" customFormat="false" ht="15" hidden="false" customHeight="true" outlineLevel="0" collapsed="false">
      <c r="A716" s="1" t="n">
        <v>731</v>
      </c>
      <c r="B716" s="1" t="n">
        <v>179</v>
      </c>
      <c r="C716" s="1" t="n">
        <v>24</v>
      </c>
      <c r="D716" s="1" t="s">
        <v>1528</v>
      </c>
      <c r="E716" s="1" t="n">
        <v>4</v>
      </c>
      <c r="F716" s="1" t="n">
        <v>207.34</v>
      </c>
      <c r="G716" s="1" t="n">
        <v>0</v>
      </c>
      <c r="H716" s="1" t="s">
        <v>1336</v>
      </c>
      <c r="I716" s="1" t="n">
        <v>829.36</v>
      </c>
      <c r="J716" s="1" t="str">
        <f aca="false">VLOOKUP(B716,Customers!$A$2:$G$502,6,FALSE())</f>
        <v>Small Business</v>
      </c>
      <c r="K716" s="1" t="str">
        <f aca="false">VLOOKUP(C716,Products!$A$2:$E$62,3,FALSE())</f>
        <v>Office Supplies</v>
      </c>
      <c r="L716" s="1" t="str">
        <f aca="false">TEXT(D716,"yyyy-mm")</f>
        <v>2023-05</v>
      </c>
    </row>
    <row r="717" customFormat="false" ht="15" hidden="false" customHeight="true" outlineLevel="0" collapsed="false">
      <c r="A717" s="1" t="n">
        <v>732</v>
      </c>
      <c r="B717" s="1" t="n">
        <v>216</v>
      </c>
      <c r="C717" s="1" t="n">
        <v>16</v>
      </c>
      <c r="D717" s="1" t="s">
        <v>146</v>
      </c>
      <c r="E717" s="1" t="n">
        <v>7</v>
      </c>
      <c r="F717" s="1" t="n">
        <v>330.91</v>
      </c>
      <c r="G717" s="1" t="n">
        <v>0.2</v>
      </c>
      <c r="H717" s="1" t="s">
        <v>1336</v>
      </c>
      <c r="I717" s="1" t="n">
        <v>1853.1</v>
      </c>
      <c r="J717" s="1" t="str">
        <f aca="false">VLOOKUP(B717,Customers!$A$2:$G$502,6,FALSE())</f>
        <v>Consumer</v>
      </c>
      <c r="K717" s="1" t="str">
        <f aca="false">VLOOKUP(C717,Products!$A$2:$E$62,3,FALSE())</f>
        <v>Electronics</v>
      </c>
      <c r="L717" s="1" t="str">
        <f aca="false">TEXT(D717,"yyyy-mm")</f>
        <v>2023-08</v>
      </c>
    </row>
    <row r="718" customFormat="false" ht="15" hidden="false" customHeight="true" outlineLevel="0" collapsed="false">
      <c r="A718" s="1" t="n">
        <v>733</v>
      </c>
      <c r="B718" s="1" t="n">
        <v>74</v>
      </c>
      <c r="C718" s="1" t="n">
        <v>25</v>
      </c>
      <c r="D718" s="1" t="s">
        <v>413</v>
      </c>
      <c r="E718" s="1" t="n">
        <v>4</v>
      </c>
      <c r="F718" s="1" t="n">
        <v>300.49</v>
      </c>
      <c r="G718" s="1" t="n">
        <v>0.15</v>
      </c>
      <c r="H718" s="1" t="s">
        <v>1370</v>
      </c>
      <c r="I718" s="1" t="n">
        <v>1021.67</v>
      </c>
      <c r="J718" s="1" t="str">
        <f aca="false">VLOOKUP(B718,Customers!$A$2:$G$502,6,FALSE())</f>
        <v>Consumer</v>
      </c>
      <c r="K718" s="1" t="str">
        <f aca="false">VLOOKUP(C718,Products!$A$2:$E$62,3,FALSE())</f>
        <v>Office Supplies</v>
      </c>
      <c r="L718" s="1" t="str">
        <f aca="false">TEXT(D718,"yyyy-mm")</f>
        <v>2023-01</v>
      </c>
    </row>
    <row r="719" customFormat="false" ht="15" hidden="false" customHeight="true" outlineLevel="0" collapsed="false">
      <c r="A719" s="1" t="n">
        <v>734</v>
      </c>
      <c r="B719" s="1" t="n">
        <v>38</v>
      </c>
      <c r="C719" s="1" t="n">
        <v>31</v>
      </c>
      <c r="D719" s="1" t="s">
        <v>1371</v>
      </c>
      <c r="E719" s="1" t="n">
        <v>6</v>
      </c>
      <c r="F719" s="1" t="n">
        <v>224.86</v>
      </c>
      <c r="G719" s="1" t="n">
        <v>0.2</v>
      </c>
      <c r="H719" s="1" t="s">
        <v>1336</v>
      </c>
      <c r="I719" s="1" t="n">
        <v>1079.33</v>
      </c>
      <c r="J719" s="1" t="str">
        <f aca="false">VLOOKUP(B719,Customers!$A$2:$G$502,6,FALSE())</f>
        <v>Small Business</v>
      </c>
      <c r="K719" s="1" t="str">
        <f aca="false">VLOOKUP(C719,Products!$A$2:$E$62,3,FALSE())</f>
        <v>Office Supplies</v>
      </c>
      <c r="L719" s="1" t="str">
        <f aca="false">TEXT(D719,"yyyy-mm")</f>
        <v>2024-08</v>
      </c>
    </row>
    <row r="720" customFormat="false" ht="15" hidden="false" customHeight="true" outlineLevel="0" collapsed="false">
      <c r="A720" s="1" t="n">
        <v>735</v>
      </c>
      <c r="B720" s="1" t="n">
        <v>7</v>
      </c>
      <c r="C720" s="1" t="n">
        <v>37</v>
      </c>
      <c r="D720" s="1" t="s">
        <v>1550</v>
      </c>
      <c r="E720" s="1" t="n">
        <v>9</v>
      </c>
      <c r="F720" s="1" t="n">
        <v>13.95</v>
      </c>
      <c r="G720" s="1" t="n">
        <v>0</v>
      </c>
      <c r="H720" s="1" t="s">
        <v>1336</v>
      </c>
      <c r="I720" s="1" t="n">
        <v>125.55</v>
      </c>
      <c r="J720" s="1" t="str">
        <f aca="false">VLOOKUP(B720,Customers!$A$2:$G$502,6,FALSE())</f>
        <v>Small Business</v>
      </c>
      <c r="K720" s="1" t="str">
        <f aca="false">VLOOKUP(C720,Products!$A$2:$E$62,3,FALSE())</f>
        <v>Software</v>
      </c>
      <c r="L720" s="1" t="str">
        <f aca="false">TEXT(D720,"yyyy-mm")</f>
        <v>2024-03</v>
      </c>
    </row>
    <row r="721" customFormat="false" ht="15" hidden="false" customHeight="true" outlineLevel="0" collapsed="false">
      <c r="A721" s="1" t="n">
        <v>738</v>
      </c>
      <c r="B721" s="1" t="n">
        <v>427</v>
      </c>
      <c r="C721" s="1" t="n">
        <v>28</v>
      </c>
      <c r="D721" s="1" t="s">
        <v>856</v>
      </c>
      <c r="E721" s="1" t="n">
        <v>7</v>
      </c>
      <c r="F721" s="1" t="n">
        <v>505.23</v>
      </c>
      <c r="G721" s="1" t="n">
        <v>0.05</v>
      </c>
      <c r="H721" s="1" t="s">
        <v>1336</v>
      </c>
      <c r="I721" s="1" t="n">
        <v>3359.78</v>
      </c>
      <c r="J721" s="1" t="str">
        <f aca="false">VLOOKUP(B721,Customers!$A$2:$G$502,6,FALSE())</f>
        <v>Small Business</v>
      </c>
      <c r="K721" s="1" t="str">
        <f aca="false">VLOOKUP(C721,Products!$A$2:$E$62,3,FALSE())</f>
        <v>Office Supplies</v>
      </c>
      <c r="L721" s="1" t="str">
        <f aca="false">TEXT(D721,"yyyy-mm")</f>
        <v>2024-11</v>
      </c>
    </row>
    <row r="722" customFormat="false" ht="15" hidden="false" customHeight="true" outlineLevel="0" collapsed="false">
      <c r="A722" s="1" t="n">
        <v>739</v>
      </c>
      <c r="B722" s="1" t="n">
        <v>364</v>
      </c>
      <c r="C722" s="1" t="n">
        <v>15</v>
      </c>
      <c r="D722" s="1" t="s">
        <v>1551</v>
      </c>
      <c r="E722" s="1" t="n">
        <v>1</v>
      </c>
      <c r="F722" s="1" t="n">
        <v>304.95</v>
      </c>
      <c r="G722" s="1" t="n">
        <v>0</v>
      </c>
      <c r="H722" s="1" t="s">
        <v>1336</v>
      </c>
      <c r="I722" s="1" t="n">
        <v>304.95</v>
      </c>
      <c r="J722" s="1" t="str">
        <f aca="false">VLOOKUP(B722,Customers!$A$2:$G$502,6,FALSE())</f>
        <v>Small Business</v>
      </c>
      <c r="K722" s="1" t="str">
        <f aca="false">VLOOKUP(C722,Products!$A$2:$E$62,3,FALSE())</f>
        <v>Electronics</v>
      </c>
      <c r="L722" s="1" t="str">
        <f aca="false">TEXT(D722,"yyyy-mm")</f>
        <v>2024-03</v>
      </c>
    </row>
    <row r="723" customFormat="false" ht="15" hidden="false" customHeight="true" outlineLevel="0" collapsed="false">
      <c r="A723" s="1" t="n">
        <v>740</v>
      </c>
      <c r="B723" s="1" t="n">
        <v>381</v>
      </c>
      <c r="C723" s="1" t="n">
        <v>14</v>
      </c>
      <c r="D723" s="1" t="s">
        <v>106</v>
      </c>
      <c r="E723" s="1" t="n">
        <v>4</v>
      </c>
      <c r="F723" s="1" t="n">
        <v>135.27</v>
      </c>
      <c r="G723" s="1" t="n">
        <v>0.1</v>
      </c>
      <c r="H723" s="1" t="s">
        <v>1336</v>
      </c>
      <c r="I723" s="1" t="n">
        <v>486.97</v>
      </c>
      <c r="J723" s="1" t="str">
        <f aca="false">VLOOKUP(B723,Customers!$A$2:$G$502,6,FALSE())</f>
        <v>Corporate</v>
      </c>
      <c r="K723" s="1" t="str">
        <f aca="false">VLOOKUP(C723,Products!$A$2:$E$62,3,FALSE())</f>
        <v>Electronics</v>
      </c>
      <c r="L723" s="1" t="str">
        <f aca="false">TEXT(D723,"yyyy-mm")</f>
        <v>2024-02</v>
      </c>
    </row>
    <row r="724" customFormat="false" ht="15" hidden="false" customHeight="true" outlineLevel="0" collapsed="false">
      <c r="A724" s="1" t="n">
        <v>741</v>
      </c>
      <c r="B724" s="1" t="n">
        <v>310</v>
      </c>
      <c r="C724" s="1" t="n">
        <v>54</v>
      </c>
      <c r="D724" s="1" t="s">
        <v>196</v>
      </c>
      <c r="E724" s="1" t="n">
        <v>6</v>
      </c>
      <c r="F724" s="1" t="n">
        <v>312.01</v>
      </c>
      <c r="G724" s="1" t="n">
        <v>0.2</v>
      </c>
      <c r="H724" s="1" t="s">
        <v>1336</v>
      </c>
      <c r="I724" s="1" t="n">
        <v>1497.65</v>
      </c>
      <c r="J724" s="1" t="str">
        <f aca="false">VLOOKUP(B724,Customers!$A$2:$G$502,6,FALSE())</f>
        <v>Small Business</v>
      </c>
      <c r="K724" s="1" t="str">
        <f aca="false">VLOOKUP(C724,Products!$A$2:$E$62,3,FALSE())</f>
        <v>Software</v>
      </c>
      <c r="L724" s="1" t="str">
        <f aca="false">TEXT(D724,"yyyy-mm")</f>
        <v>2023-03</v>
      </c>
    </row>
    <row r="725" customFormat="false" ht="15" hidden="false" customHeight="true" outlineLevel="0" collapsed="false">
      <c r="A725" s="1" t="n">
        <v>742</v>
      </c>
      <c r="B725" s="1" t="n">
        <v>195</v>
      </c>
      <c r="C725" s="1" t="n">
        <v>11</v>
      </c>
      <c r="D725" s="1" t="s">
        <v>1552</v>
      </c>
      <c r="E725" s="1" t="n">
        <v>2</v>
      </c>
      <c r="F725" s="1" t="n">
        <v>328.39</v>
      </c>
      <c r="G725" s="1" t="n">
        <v>0.2</v>
      </c>
      <c r="H725" s="1" t="s">
        <v>1336</v>
      </c>
      <c r="I725" s="1" t="n">
        <v>525.42</v>
      </c>
      <c r="J725" s="1" t="str">
        <f aca="false">VLOOKUP(B725,Customers!$A$2:$G$502,6,FALSE())</f>
        <v>Corporate</v>
      </c>
      <c r="K725" s="1" t="str">
        <f aca="false">VLOOKUP(C725,Products!$A$2:$E$62,3,FALSE())</f>
        <v>Electronics</v>
      </c>
      <c r="L725" s="1" t="str">
        <f aca="false">TEXT(D725,"yyyy-mm")</f>
        <v>2023-02</v>
      </c>
    </row>
    <row r="726" customFormat="false" ht="15" hidden="false" customHeight="true" outlineLevel="0" collapsed="false">
      <c r="A726" s="1" t="n">
        <v>743</v>
      </c>
      <c r="B726" s="1" t="n">
        <v>186</v>
      </c>
      <c r="C726" s="1" t="n">
        <v>39</v>
      </c>
      <c r="D726" s="1" t="s">
        <v>1408</v>
      </c>
      <c r="E726" s="1" t="n">
        <v>5</v>
      </c>
      <c r="F726" s="1" t="n">
        <v>400.02</v>
      </c>
      <c r="G726" s="1" t="n">
        <v>0</v>
      </c>
      <c r="H726" s="1" t="s">
        <v>1336</v>
      </c>
      <c r="I726" s="1" t="n">
        <v>2000.1</v>
      </c>
      <c r="J726" s="1" t="str">
        <f aca="false">VLOOKUP(B726,Customers!$A$2:$G$502,6,FALSE())</f>
        <v>Small Business</v>
      </c>
      <c r="K726" s="1" t="str">
        <f aca="false">VLOOKUP(C726,Products!$A$2:$E$62,3,FALSE())</f>
        <v>Software</v>
      </c>
      <c r="L726" s="1" t="str">
        <f aca="false">TEXT(D726,"yyyy-mm")</f>
        <v>2023-12</v>
      </c>
    </row>
    <row r="727" customFormat="false" ht="15" hidden="false" customHeight="true" outlineLevel="0" collapsed="false">
      <c r="A727" s="1" t="n">
        <v>744</v>
      </c>
      <c r="B727" s="1" t="n">
        <v>6</v>
      </c>
      <c r="C727" s="1" t="n">
        <v>49</v>
      </c>
      <c r="D727" s="1" t="s">
        <v>1520</v>
      </c>
      <c r="E727" s="1" t="n">
        <v>1</v>
      </c>
      <c r="F727" s="1" t="n">
        <v>325.17</v>
      </c>
      <c r="G727" s="1" t="n">
        <v>0</v>
      </c>
      <c r="H727" s="1" t="s">
        <v>1336</v>
      </c>
      <c r="I727" s="1" t="n">
        <v>325.17</v>
      </c>
      <c r="J727" s="1" t="str">
        <f aca="false">VLOOKUP(B727,Customers!$A$2:$G$502,6,FALSE())</f>
        <v>Corporate</v>
      </c>
      <c r="K727" s="1" t="str">
        <f aca="false">VLOOKUP(C727,Products!$A$2:$E$62,3,FALSE())</f>
        <v>Software</v>
      </c>
      <c r="L727" s="1" t="str">
        <f aca="false">TEXT(D727,"yyyy-mm")</f>
        <v>2023-11</v>
      </c>
    </row>
    <row r="728" customFormat="false" ht="15" hidden="false" customHeight="true" outlineLevel="0" collapsed="false">
      <c r="A728" s="1" t="n">
        <v>745</v>
      </c>
      <c r="B728" s="1" t="n">
        <v>292</v>
      </c>
      <c r="C728" s="1" t="n">
        <v>37</v>
      </c>
      <c r="D728" s="1" t="s">
        <v>164</v>
      </c>
      <c r="E728" s="1" t="n">
        <v>6</v>
      </c>
      <c r="F728" s="1" t="n">
        <v>13.95</v>
      </c>
      <c r="G728" s="1" t="n">
        <v>0.1</v>
      </c>
      <c r="H728" s="1" t="s">
        <v>1370</v>
      </c>
      <c r="I728" s="1" t="n">
        <v>75.33</v>
      </c>
      <c r="J728" s="1" t="str">
        <f aca="false">VLOOKUP(B728,Customers!$A$2:$G$502,6,FALSE())</f>
        <v>Small Business</v>
      </c>
      <c r="K728" s="1" t="str">
        <f aca="false">VLOOKUP(C728,Products!$A$2:$E$62,3,FALSE())</f>
        <v>Software</v>
      </c>
      <c r="L728" s="1" t="str">
        <f aca="false">TEXT(D728,"yyyy-mm")</f>
        <v>2023-02</v>
      </c>
    </row>
    <row r="729" customFormat="false" ht="15" hidden="false" customHeight="true" outlineLevel="0" collapsed="false">
      <c r="A729" s="1" t="n">
        <v>746</v>
      </c>
      <c r="B729" s="1" t="n">
        <v>159</v>
      </c>
      <c r="C729" s="1" t="n">
        <v>1</v>
      </c>
      <c r="D729" s="1" t="s">
        <v>1480</v>
      </c>
      <c r="E729" s="1" t="n">
        <v>6</v>
      </c>
      <c r="F729" s="1" t="n">
        <v>327.32</v>
      </c>
      <c r="G729" s="1" t="n">
        <v>0.2</v>
      </c>
      <c r="H729" s="1" t="s">
        <v>1336</v>
      </c>
      <c r="I729" s="1" t="n">
        <v>1571.14</v>
      </c>
      <c r="J729" s="1" t="str">
        <f aca="false">VLOOKUP(B729,Customers!$A$2:$G$502,6,FALSE())</f>
        <v>Corporate</v>
      </c>
      <c r="K729" s="1" t="str">
        <f aca="false">VLOOKUP(C729,Products!$A$2:$E$62,3,FALSE())</f>
        <v>Electronics</v>
      </c>
      <c r="L729" s="1" t="str">
        <f aca="false">TEXT(D729,"yyyy-mm")</f>
        <v>2024-01</v>
      </c>
    </row>
    <row r="730" customFormat="false" ht="15" hidden="false" customHeight="true" outlineLevel="0" collapsed="false">
      <c r="A730" s="1" t="n">
        <v>747</v>
      </c>
      <c r="B730" s="1" t="n">
        <v>372</v>
      </c>
      <c r="C730" s="1" t="n">
        <v>23</v>
      </c>
      <c r="D730" s="1" t="s">
        <v>470</v>
      </c>
      <c r="E730" s="1" t="n">
        <v>4</v>
      </c>
      <c r="F730" s="1" t="n">
        <v>188.73</v>
      </c>
      <c r="G730" s="1" t="n">
        <v>0.15</v>
      </c>
      <c r="H730" s="1" t="s">
        <v>1336</v>
      </c>
      <c r="I730" s="1" t="n">
        <v>641.68</v>
      </c>
      <c r="J730" s="1" t="str">
        <f aca="false">VLOOKUP(B730,Customers!$A$2:$G$502,6,FALSE())</f>
        <v>Corporate</v>
      </c>
      <c r="K730" s="1" t="str">
        <f aca="false">VLOOKUP(C730,Products!$A$2:$E$62,3,FALSE())</f>
        <v>Office Supplies</v>
      </c>
      <c r="L730" s="1" t="str">
        <f aca="false">TEXT(D730,"yyyy-mm")</f>
        <v>2023-05</v>
      </c>
    </row>
    <row r="731" customFormat="false" ht="15" hidden="false" customHeight="true" outlineLevel="0" collapsed="false">
      <c r="A731" s="1" t="n">
        <v>748</v>
      </c>
      <c r="B731" s="1" t="n">
        <v>258</v>
      </c>
      <c r="C731" s="1" t="n">
        <v>52</v>
      </c>
      <c r="D731" s="1" t="s">
        <v>1285</v>
      </c>
      <c r="E731" s="1" t="n">
        <v>8</v>
      </c>
      <c r="F731" s="1" t="n">
        <v>207.67</v>
      </c>
      <c r="G731" s="1" t="n">
        <v>0</v>
      </c>
      <c r="H731" s="1" t="s">
        <v>1336</v>
      </c>
      <c r="I731" s="1" t="n">
        <v>1661.36</v>
      </c>
      <c r="J731" s="1" t="str">
        <f aca="false">VLOOKUP(B731,Customers!$A$2:$G$502,6,FALSE())</f>
        <v>Small Business</v>
      </c>
      <c r="K731" s="1" t="str">
        <f aca="false">VLOOKUP(C731,Products!$A$2:$E$62,3,FALSE())</f>
        <v>Software</v>
      </c>
      <c r="L731" s="1" t="str">
        <f aca="false">TEXT(D731,"yyyy-mm")</f>
        <v>2023-06</v>
      </c>
    </row>
    <row r="732" customFormat="false" ht="15" hidden="false" customHeight="true" outlineLevel="0" collapsed="false">
      <c r="A732" s="1" t="n">
        <v>749</v>
      </c>
      <c r="B732" s="1" t="n">
        <v>149</v>
      </c>
      <c r="C732" s="1" t="n">
        <v>11</v>
      </c>
      <c r="D732" s="1" t="s">
        <v>1553</v>
      </c>
      <c r="E732" s="1" t="n">
        <v>4</v>
      </c>
      <c r="F732" s="1" t="n">
        <v>328.39</v>
      </c>
      <c r="G732" s="1" t="n">
        <v>0.15</v>
      </c>
      <c r="H732" s="1" t="s">
        <v>1336</v>
      </c>
      <c r="I732" s="1" t="n">
        <v>1116.53</v>
      </c>
      <c r="J732" s="1" t="str">
        <f aca="false">VLOOKUP(B732,Customers!$A$2:$G$502,6,FALSE())</f>
        <v>Consumer</v>
      </c>
      <c r="K732" s="1" t="str">
        <f aca="false">VLOOKUP(C732,Products!$A$2:$E$62,3,FALSE())</f>
        <v>Electronics</v>
      </c>
      <c r="L732" s="1" t="str">
        <f aca="false">TEXT(D732,"yyyy-mm")</f>
        <v>2023-06</v>
      </c>
    </row>
    <row r="733" customFormat="false" ht="15" hidden="false" customHeight="true" outlineLevel="0" collapsed="false">
      <c r="A733" s="1" t="n">
        <v>750</v>
      </c>
      <c r="B733" s="1" t="n">
        <v>453</v>
      </c>
      <c r="C733" s="1" t="n">
        <v>14</v>
      </c>
      <c r="D733" s="1" t="s">
        <v>1554</v>
      </c>
      <c r="E733" s="1" t="n">
        <v>8</v>
      </c>
      <c r="F733" s="1" t="n">
        <v>135.27</v>
      </c>
      <c r="G733" s="1" t="n">
        <v>0.15</v>
      </c>
      <c r="H733" s="1" t="s">
        <v>1336</v>
      </c>
      <c r="I733" s="1" t="n">
        <v>919.84</v>
      </c>
      <c r="J733" s="1" t="str">
        <f aca="false">VLOOKUP(B733,Customers!$A$2:$G$502,6,FALSE())</f>
        <v>Small Business</v>
      </c>
      <c r="K733" s="1" t="str">
        <f aca="false">VLOOKUP(C733,Products!$A$2:$E$62,3,FALSE())</f>
        <v>Electronics</v>
      </c>
      <c r="L733" s="1" t="str">
        <f aca="false">TEXT(D733,"yyyy-mm")</f>
        <v>2024-11</v>
      </c>
    </row>
    <row r="734" customFormat="false" ht="15" hidden="false" customHeight="true" outlineLevel="0" collapsed="false">
      <c r="A734" s="1" t="n">
        <v>751</v>
      </c>
      <c r="B734" s="1" t="n">
        <v>374</v>
      </c>
      <c r="C734" s="1" t="n">
        <v>39</v>
      </c>
      <c r="D734" s="1" t="s">
        <v>103</v>
      </c>
      <c r="E734" s="1" t="n">
        <v>8</v>
      </c>
      <c r="F734" s="1" t="n">
        <v>400.02</v>
      </c>
      <c r="G734" s="1" t="n">
        <v>0.1</v>
      </c>
      <c r="H734" s="1" t="s">
        <v>1346</v>
      </c>
      <c r="I734" s="1" t="n">
        <v>2880.14</v>
      </c>
      <c r="J734" s="1" t="str">
        <f aca="false">VLOOKUP(B734,Customers!$A$2:$G$502,6,FALSE())</f>
        <v>Consumer</v>
      </c>
      <c r="K734" s="1" t="str">
        <f aca="false">VLOOKUP(C734,Products!$A$2:$E$62,3,FALSE())</f>
        <v>Software</v>
      </c>
      <c r="L734" s="1" t="str">
        <f aca="false">TEXT(D734,"yyyy-mm")</f>
        <v>2024-10</v>
      </c>
    </row>
    <row r="735" customFormat="false" ht="15" hidden="false" customHeight="true" outlineLevel="0" collapsed="false">
      <c r="A735" s="1" t="n">
        <v>752</v>
      </c>
      <c r="B735" s="1" t="n">
        <v>185</v>
      </c>
      <c r="C735" s="1" t="n">
        <v>40</v>
      </c>
      <c r="D735" s="1" t="s">
        <v>333</v>
      </c>
      <c r="E735" s="1" t="n">
        <v>5</v>
      </c>
      <c r="F735" s="1" t="n">
        <v>193.02</v>
      </c>
      <c r="G735" s="1" t="n">
        <v>0</v>
      </c>
      <c r="H735" s="1" t="s">
        <v>1346</v>
      </c>
      <c r="I735" s="1" t="n">
        <v>965.1</v>
      </c>
      <c r="J735" s="1" t="str">
        <f aca="false">VLOOKUP(B735,Customers!$A$2:$G$502,6,FALSE())</f>
        <v>Consumer</v>
      </c>
      <c r="K735" s="1" t="str">
        <f aca="false">VLOOKUP(C735,Products!$A$2:$E$62,3,FALSE())</f>
        <v>Software</v>
      </c>
      <c r="L735" s="1" t="str">
        <f aca="false">TEXT(D735,"yyyy-mm")</f>
        <v>2024-03</v>
      </c>
    </row>
    <row r="736" customFormat="false" ht="15" hidden="false" customHeight="true" outlineLevel="0" collapsed="false">
      <c r="A736" s="1" t="n">
        <v>754</v>
      </c>
      <c r="B736" s="1" t="n">
        <v>393</v>
      </c>
      <c r="C736" s="1" t="n">
        <v>56</v>
      </c>
      <c r="D736" s="1" t="s">
        <v>1520</v>
      </c>
      <c r="E736" s="1" t="n">
        <v>2</v>
      </c>
      <c r="F736" s="1" t="n">
        <v>160.64</v>
      </c>
      <c r="G736" s="1" t="n">
        <v>0.1</v>
      </c>
      <c r="H736" s="1" t="s">
        <v>1336</v>
      </c>
      <c r="I736" s="1" t="n">
        <v>289.15</v>
      </c>
      <c r="J736" s="1" t="str">
        <f aca="false">VLOOKUP(B736,Customers!$A$2:$G$502,6,FALSE())</f>
        <v>Consumer</v>
      </c>
      <c r="K736" s="1" t="str">
        <f aca="false">VLOOKUP(C736,Products!$A$2:$E$62,3,FALSE())</f>
        <v>Furniture</v>
      </c>
      <c r="L736" s="1" t="str">
        <f aca="false">TEXT(D736,"yyyy-mm")</f>
        <v>2023-11</v>
      </c>
    </row>
    <row r="737" customFormat="false" ht="15" hidden="false" customHeight="true" outlineLevel="0" collapsed="false">
      <c r="A737" s="1" t="n">
        <v>755</v>
      </c>
      <c r="B737" s="1" t="n">
        <v>233</v>
      </c>
      <c r="C737" s="1" t="n">
        <v>21</v>
      </c>
      <c r="D737" s="1" t="s">
        <v>758</v>
      </c>
      <c r="E737" s="1" t="n">
        <v>3</v>
      </c>
      <c r="F737" s="1" t="n">
        <v>84.91</v>
      </c>
      <c r="G737" s="1" t="n">
        <v>0</v>
      </c>
      <c r="H737" s="1" t="s">
        <v>1336</v>
      </c>
      <c r="I737" s="1" t="n">
        <v>254.73</v>
      </c>
      <c r="J737" s="1" t="str">
        <f aca="false">VLOOKUP(B737,Customers!$A$2:$G$502,6,FALSE())</f>
        <v>Corporate</v>
      </c>
      <c r="K737" s="1" t="str">
        <f aca="false">VLOOKUP(C737,Products!$A$2:$E$62,3,FALSE())</f>
        <v>Office Supplies</v>
      </c>
      <c r="L737" s="1" t="str">
        <f aca="false">TEXT(D737,"yyyy-mm")</f>
        <v>2023-06</v>
      </c>
    </row>
    <row r="738" customFormat="false" ht="15" hidden="false" customHeight="true" outlineLevel="0" collapsed="false">
      <c r="A738" s="1" t="n">
        <v>756</v>
      </c>
      <c r="B738" s="1" t="n">
        <v>92</v>
      </c>
      <c r="C738" s="1" t="n">
        <v>46</v>
      </c>
      <c r="D738" s="1" t="s">
        <v>1555</v>
      </c>
      <c r="E738" s="1" t="n">
        <v>3</v>
      </c>
      <c r="F738" s="1" t="n">
        <v>94.92</v>
      </c>
      <c r="G738" s="1" t="n">
        <v>0</v>
      </c>
      <c r="H738" s="1" t="s">
        <v>1370</v>
      </c>
      <c r="I738" s="1" t="n">
        <v>284.76</v>
      </c>
      <c r="J738" s="1" t="str">
        <f aca="false">VLOOKUP(B738,Customers!$A$2:$G$502,6,FALSE())</f>
        <v>Corporate</v>
      </c>
      <c r="K738" s="1" t="str">
        <f aca="false">VLOOKUP(C738,Products!$A$2:$E$62,3,FALSE())</f>
        <v>Software</v>
      </c>
      <c r="L738" s="1" t="str">
        <f aca="false">TEXT(D738,"yyyy-mm")</f>
        <v>2024-04</v>
      </c>
    </row>
    <row r="739" customFormat="false" ht="15" hidden="false" customHeight="true" outlineLevel="0" collapsed="false">
      <c r="A739" s="1" t="n">
        <v>757</v>
      </c>
      <c r="B739" s="1" t="n">
        <v>474</v>
      </c>
      <c r="C739" s="1" t="n">
        <v>9</v>
      </c>
      <c r="D739" s="1" t="s">
        <v>1385</v>
      </c>
      <c r="E739" s="1" t="n">
        <v>4</v>
      </c>
      <c r="F739" s="1" t="n">
        <v>203.1</v>
      </c>
      <c r="G739" s="1" t="n">
        <v>0.1</v>
      </c>
      <c r="H739" s="1" t="s">
        <v>1336</v>
      </c>
      <c r="I739" s="1" t="n">
        <v>731.16</v>
      </c>
      <c r="J739" s="1" t="str">
        <f aca="false">VLOOKUP(B739,Customers!$A$2:$G$502,6,FALSE())</f>
        <v>Consumer</v>
      </c>
      <c r="K739" s="1" t="str">
        <f aca="false">VLOOKUP(C739,Products!$A$2:$E$62,3,FALSE())</f>
        <v>Electronics</v>
      </c>
      <c r="L739" s="1" t="str">
        <f aca="false">TEXT(D739,"yyyy-mm")</f>
        <v>2023-05</v>
      </c>
    </row>
    <row r="740" customFormat="false" ht="15" hidden="false" customHeight="true" outlineLevel="0" collapsed="false">
      <c r="A740" s="1" t="n">
        <v>758</v>
      </c>
      <c r="B740" s="1" t="n">
        <v>318</v>
      </c>
      <c r="C740" s="1" t="n">
        <v>59</v>
      </c>
      <c r="D740" s="1" t="s">
        <v>856</v>
      </c>
      <c r="E740" s="1" t="n">
        <v>4</v>
      </c>
      <c r="F740" s="1" t="n">
        <v>438.89</v>
      </c>
      <c r="G740" s="1" t="n">
        <v>0</v>
      </c>
      <c r="H740" s="1" t="s">
        <v>1336</v>
      </c>
      <c r="I740" s="1" t="n">
        <v>1755.56</v>
      </c>
      <c r="J740" s="1" t="str">
        <f aca="false">VLOOKUP(B740,Customers!$A$2:$G$502,6,FALSE())</f>
        <v>Consumer</v>
      </c>
      <c r="K740" s="1" t="str">
        <f aca="false">VLOOKUP(C740,Products!$A$2:$E$62,3,FALSE())</f>
        <v>Furniture</v>
      </c>
      <c r="L740" s="1" t="str">
        <f aca="false">TEXT(D740,"yyyy-mm")</f>
        <v>2024-11</v>
      </c>
    </row>
    <row r="741" customFormat="false" ht="15" hidden="false" customHeight="true" outlineLevel="0" collapsed="false">
      <c r="A741" s="1" t="n">
        <v>759</v>
      </c>
      <c r="B741" s="1" t="n">
        <v>43</v>
      </c>
      <c r="C741" s="1" t="n">
        <v>44</v>
      </c>
      <c r="D741" s="1" t="s">
        <v>1556</v>
      </c>
      <c r="E741" s="1" t="n">
        <v>5</v>
      </c>
      <c r="F741" s="1" t="n">
        <v>508.26</v>
      </c>
      <c r="G741" s="1" t="n">
        <v>0.1</v>
      </c>
      <c r="H741" s="1" t="s">
        <v>1336</v>
      </c>
      <c r="I741" s="1" t="n">
        <v>2287.17</v>
      </c>
      <c r="J741" s="1" t="str">
        <f aca="false">VLOOKUP(B741,Customers!$A$2:$G$502,6,FALSE())</f>
        <v>Small Business</v>
      </c>
      <c r="K741" s="1" t="str">
        <f aca="false">VLOOKUP(C741,Products!$A$2:$E$62,3,FALSE())</f>
        <v>Software</v>
      </c>
      <c r="L741" s="1" t="str">
        <f aca="false">TEXT(D741,"yyyy-mm")</f>
        <v>2024-02</v>
      </c>
    </row>
    <row r="742" customFormat="false" ht="15" hidden="false" customHeight="true" outlineLevel="0" collapsed="false">
      <c r="A742" s="1" t="n">
        <v>760</v>
      </c>
      <c r="B742" s="1" t="n">
        <v>330</v>
      </c>
      <c r="C742" s="1" t="n">
        <v>4</v>
      </c>
      <c r="D742" s="1" t="s">
        <v>12</v>
      </c>
      <c r="E742" s="1" t="n">
        <v>4</v>
      </c>
      <c r="F742" s="1" t="n">
        <v>56.24</v>
      </c>
      <c r="G742" s="1" t="n">
        <v>0.15</v>
      </c>
      <c r="H742" s="1" t="s">
        <v>1336</v>
      </c>
      <c r="I742" s="1" t="n">
        <v>191.22</v>
      </c>
      <c r="J742" s="1" t="str">
        <f aca="false">VLOOKUP(B742,Customers!$A$2:$G$502,6,FALSE())</f>
        <v>Corporate</v>
      </c>
      <c r="K742" s="1" t="str">
        <f aca="false">VLOOKUP(C742,Products!$A$2:$E$62,3,FALSE())</f>
        <v>Electronics</v>
      </c>
      <c r="L742" s="1" t="str">
        <f aca="false">TEXT(D742,"yyyy-mm")</f>
        <v>2023-09</v>
      </c>
    </row>
    <row r="743" customFormat="false" ht="15" hidden="false" customHeight="true" outlineLevel="0" collapsed="false">
      <c r="A743" s="1" t="n">
        <v>761</v>
      </c>
      <c r="B743" s="1" t="n">
        <v>82</v>
      </c>
      <c r="C743" s="1" t="n">
        <v>37</v>
      </c>
      <c r="D743" s="1" t="s">
        <v>575</v>
      </c>
      <c r="E743" s="1" t="n">
        <v>8</v>
      </c>
      <c r="F743" s="1" t="n">
        <v>13.95</v>
      </c>
      <c r="G743" s="1" t="n">
        <v>0.2</v>
      </c>
      <c r="H743" s="1" t="s">
        <v>1336</v>
      </c>
      <c r="I743" s="1" t="n">
        <v>89.28</v>
      </c>
      <c r="J743" s="1" t="str">
        <f aca="false">VLOOKUP(B743,Customers!$A$2:$G$502,6,FALSE())</f>
        <v>Consumer</v>
      </c>
      <c r="K743" s="1" t="str">
        <f aca="false">VLOOKUP(C743,Products!$A$2:$E$62,3,FALSE())</f>
        <v>Software</v>
      </c>
      <c r="L743" s="1" t="str">
        <f aca="false">TEXT(D743,"yyyy-mm")</f>
        <v>2024-02</v>
      </c>
    </row>
    <row r="744" customFormat="false" ht="15" hidden="false" customHeight="true" outlineLevel="0" collapsed="false">
      <c r="A744" s="1" t="n">
        <v>762</v>
      </c>
      <c r="B744" s="1" t="n">
        <v>239</v>
      </c>
      <c r="C744" s="1" t="n">
        <v>30</v>
      </c>
      <c r="D744" s="1" t="s">
        <v>713</v>
      </c>
      <c r="E744" s="1" t="n">
        <v>6</v>
      </c>
      <c r="F744" s="1" t="n">
        <v>33.32</v>
      </c>
      <c r="G744" s="1" t="n">
        <v>0.1</v>
      </c>
      <c r="H744" s="1" t="s">
        <v>1346</v>
      </c>
      <c r="I744" s="1" t="n">
        <v>179.93</v>
      </c>
      <c r="J744" s="1" t="str">
        <f aca="false">VLOOKUP(B744,Customers!$A$2:$G$502,6,FALSE())</f>
        <v>Corporate</v>
      </c>
      <c r="K744" s="1" t="str">
        <f aca="false">VLOOKUP(C744,Products!$A$2:$E$62,3,FALSE())</f>
        <v>Office Supplies</v>
      </c>
      <c r="L744" s="1" t="str">
        <f aca="false">TEXT(D744,"yyyy-mm")</f>
        <v>2024-10</v>
      </c>
    </row>
    <row r="745" customFormat="false" ht="15" hidden="false" customHeight="true" outlineLevel="0" collapsed="false">
      <c r="A745" s="1" t="n">
        <v>763</v>
      </c>
      <c r="B745" s="1" t="n">
        <v>470</v>
      </c>
      <c r="C745" s="1" t="n">
        <v>60</v>
      </c>
      <c r="D745" s="1" t="s">
        <v>701</v>
      </c>
      <c r="E745" s="1" t="n">
        <v>6</v>
      </c>
      <c r="F745" s="1" t="n">
        <v>584.98</v>
      </c>
      <c r="G745" s="1" t="n">
        <v>0.2</v>
      </c>
      <c r="H745" s="1" t="s">
        <v>1336</v>
      </c>
      <c r="I745" s="1" t="n">
        <v>2807.9</v>
      </c>
      <c r="J745" s="1" t="str">
        <f aca="false">VLOOKUP(B745,Customers!$A$2:$G$502,6,FALSE())</f>
        <v>Corporate</v>
      </c>
      <c r="K745" s="1" t="str">
        <f aca="false">VLOOKUP(C745,Products!$A$2:$E$62,3,FALSE())</f>
        <v>Furniture</v>
      </c>
      <c r="L745" s="1" t="str">
        <f aca="false">TEXT(D745,"yyyy-mm")</f>
        <v>2024-02</v>
      </c>
    </row>
    <row r="746" customFormat="false" ht="15" hidden="false" customHeight="true" outlineLevel="0" collapsed="false">
      <c r="A746" s="1" t="n">
        <v>764</v>
      </c>
      <c r="B746" s="1" t="n">
        <v>310</v>
      </c>
      <c r="C746" s="1" t="n">
        <v>32</v>
      </c>
      <c r="D746" s="1" t="s">
        <v>1392</v>
      </c>
      <c r="E746" s="1" t="n">
        <v>8</v>
      </c>
      <c r="F746" s="1" t="n">
        <v>492.27</v>
      </c>
      <c r="G746" s="1" t="n">
        <v>0.15</v>
      </c>
      <c r="H746" s="1" t="s">
        <v>1336</v>
      </c>
      <c r="I746" s="1" t="n">
        <v>3347.44</v>
      </c>
      <c r="J746" s="1" t="str">
        <f aca="false">VLOOKUP(B746,Customers!$A$2:$G$502,6,FALSE())</f>
        <v>Small Business</v>
      </c>
      <c r="K746" s="1" t="str">
        <f aca="false">VLOOKUP(C746,Products!$A$2:$E$62,3,FALSE())</f>
        <v>Office Supplies</v>
      </c>
      <c r="L746" s="1" t="str">
        <f aca="false">TEXT(D746,"yyyy-mm")</f>
        <v>2023-08</v>
      </c>
    </row>
    <row r="747" customFormat="false" ht="15" hidden="false" customHeight="true" outlineLevel="0" collapsed="false">
      <c r="A747" s="1" t="n">
        <v>765</v>
      </c>
      <c r="B747" s="1" t="n">
        <v>486</v>
      </c>
      <c r="C747" s="1" t="n">
        <v>31</v>
      </c>
      <c r="D747" s="1" t="s">
        <v>1503</v>
      </c>
      <c r="E747" s="1" t="n">
        <v>7</v>
      </c>
      <c r="F747" s="1" t="n">
        <v>224.86</v>
      </c>
      <c r="G747" s="1" t="n">
        <v>0.15</v>
      </c>
      <c r="H747" s="1" t="s">
        <v>1336</v>
      </c>
      <c r="I747" s="1" t="n">
        <v>1337.92</v>
      </c>
      <c r="J747" s="1" t="str">
        <f aca="false">VLOOKUP(B747,Customers!$A$2:$G$502,6,FALSE())</f>
        <v>Corporate</v>
      </c>
      <c r="K747" s="1" t="str">
        <f aca="false">VLOOKUP(C747,Products!$A$2:$E$62,3,FALSE())</f>
        <v>Office Supplies</v>
      </c>
      <c r="L747" s="1" t="str">
        <f aca="false">TEXT(D747,"yyyy-mm")</f>
        <v>2023-05</v>
      </c>
    </row>
    <row r="748" customFormat="false" ht="15" hidden="false" customHeight="true" outlineLevel="0" collapsed="false">
      <c r="A748" s="1" t="n">
        <v>766</v>
      </c>
      <c r="B748" s="1" t="n">
        <v>32</v>
      </c>
      <c r="C748" s="1" t="n">
        <v>60</v>
      </c>
      <c r="D748" s="1" t="s">
        <v>536</v>
      </c>
      <c r="E748" s="1" t="n">
        <v>8</v>
      </c>
      <c r="F748" s="1" t="n">
        <v>584.98</v>
      </c>
      <c r="G748" s="1" t="n">
        <v>0.2</v>
      </c>
      <c r="H748" s="1" t="s">
        <v>1336</v>
      </c>
      <c r="I748" s="1" t="n">
        <v>3743.87</v>
      </c>
      <c r="J748" s="1" t="str">
        <f aca="false">VLOOKUP(B748,Customers!$A$2:$G$502,6,FALSE())</f>
        <v>Small Business</v>
      </c>
      <c r="K748" s="1" t="str">
        <f aca="false">VLOOKUP(C748,Products!$A$2:$E$62,3,FALSE())</f>
        <v>Furniture</v>
      </c>
      <c r="L748" s="1" t="str">
        <f aca="false">TEXT(D748,"yyyy-mm")</f>
        <v>2024-01</v>
      </c>
    </row>
    <row r="749" customFormat="false" ht="15" hidden="false" customHeight="true" outlineLevel="0" collapsed="false">
      <c r="A749" s="1" t="n">
        <v>767</v>
      </c>
      <c r="B749" s="1" t="n">
        <v>488</v>
      </c>
      <c r="C749" s="1" t="n">
        <v>49</v>
      </c>
      <c r="D749" s="1" t="s">
        <v>229</v>
      </c>
      <c r="E749" s="1" t="n">
        <v>2</v>
      </c>
      <c r="F749" s="1" t="n">
        <v>325.17</v>
      </c>
      <c r="G749" s="1" t="n">
        <v>0.05</v>
      </c>
      <c r="H749" s="1" t="s">
        <v>1336</v>
      </c>
      <c r="I749" s="1" t="n">
        <v>617.82</v>
      </c>
      <c r="J749" s="1" t="str">
        <f aca="false">VLOOKUP(B749,Customers!$A$2:$G$502,6,FALSE())</f>
        <v>Consumer</v>
      </c>
      <c r="K749" s="1" t="str">
        <f aca="false">VLOOKUP(C749,Products!$A$2:$E$62,3,FALSE())</f>
        <v>Software</v>
      </c>
      <c r="L749" s="1" t="str">
        <f aca="false">TEXT(D749,"yyyy-mm")</f>
        <v>2024-12</v>
      </c>
    </row>
    <row r="750" customFormat="false" ht="15" hidden="false" customHeight="true" outlineLevel="0" collapsed="false">
      <c r="A750" s="1" t="n">
        <v>768</v>
      </c>
      <c r="B750" s="1" t="n">
        <v>208</v>
      </c>
      <c r="C750" s="1" t="n">
        <v>6</v>
      </c>
      <c r="D750" s="1" t="s">
        <v>1016</v>
      </c>
      <c r="E750" s="1" t="n">
        <v>9</v>
      </c>
      <c r="F750" s="1" t="n">
        <v>28.51</v>
      </c>
      <c r="G750" s="1" t="n">
        <v>0.2</v>
      </c>
      <c r="H750" s="1" t="s">
        <v>1336</v>
      </c>
      <c r="I750" s="1" t="n">
        <v>205.27</v>
      </c>
      <c r="J750" s="1" t="str">
        <f aca="false">VLOOKUP(B750,Customers!$A$2:$G$502,6,FALSE())</f>
        <v>Corporate</v>
      </c>
      <c r="K750" s="1" t="str">
        <f aca="false">VLOOKUP(C750,Products!$A$2:$E$62,3,FALSE())</f>
        <v>Electronics</v>
      </c>
      <c r="L750" s="1" t="str">
        <f aca="false">TEXT(D750,"yyyy-mm")</f>
        <v>2023-11</v>
      </c>
    </row>
    <row r="751" customFormat="false" ht="15" hidden="false" customHeight="true" outlineLevel="0" collapsed="false">
      <c r="A751" s="1" t="n">
        <v>769</v>
      </c>
      <c r="B751" s="1" t="n">
        <v>133</v>
      </c>
      <c r="C751" s="1" t="n">
        <v>12</v>
      </c>
      <c r="D751" s="1" t="s">
        <v>1552</v>
      </c>
      <c r="E751" s="1" t="n">
        <v>1</v>
      </c>
      <c r="F751" s="1" t="n">
        <v>179.23</v>
      </c>
      <c r="G751" s="1" t="n">
        <v>0</v>
      </c>
      <c r="H751" s="1" t="s">
        <v>1346</v>
      </c>
      <c r="I751" s="1" t="n">
        <v>179.23</v>
      </c>
      <c r="J751" s="1" t="str">
        <f aca="false">VLOOKUP(B751,Customers!$A$2:$G$502,6,FALSE())</f>
        <v>Consumer</v>
      </c>
      <c r="K751" s="1" t="str">
        <f aca="false">VLOOKUP(C751,Products!$A$2:$E$62,3,FALSE())</f>
        <v>Electronics</v>
      </c>
      <c r="L751" s="1" t="str">
        <f aca="false">TEXT(D751,"yyyy-mm")</f>
        <v>2023-02</v>
      </c>
    </row>
    <row r="752" customFormat="false" ht="15" hidden="false" customHeight="true" outlineLevel="0" collapsed="false">
      <c r="A752" s="1" t="n">
        <v>770</v>
      </c>
      <c r="B752" s="1" t="n">
        <v>102</v>
      </c>
      <c r="C752" s="1" t="n">
        <v>23</v>
      </c>
      <c r="D752" s="1" t="s">
        <v>120</v>
      </c>
      <c r="E752" s="1" t="n">
        <v>8</v>
      </c>
      <c r="F752" s="1" t="n">
        <v>188.73</v>
      </c>
      <c r="G752" s="1" t="n">
        <v>0.05</v>
      </c>
      <c r="H752" s="1" t="s">
        <v>1336</v>
      </c>
      <c r="I752" s="1" t="n">
        <v>1434.35</v>
      </c>
      <c r="J752" s="1" t="str">
        <f aca="false">VLOOKUP(B752,Customers!$A$2:$G$502,6,FALSE())</f>
        <v>Consumer</v>
      </c>
      <c r="K752" s="1" t="str">
        <f aca="false">VLOOKUP(C752,Products!$A$2:$E$62,3,FALSE())</f>
        <v>Office Supplies</v>
      </c>
      <c r="L752" s="1" t="str">
        <f aca="false">TEXT(D752,"yyyy-mm")</f>
        <v>2024-03</v>
      </c>
    </row>
    <row r="753" customFormat="false" ht="15" hidden="false" customHeight="true" outlineLevel="0" collapsed="false">
      <c r="A753" s="1" t="n">
        <v>771</v>
      </c>
      <c r="B753" s="1" t="n">
        <v>182</v>
      </c>
      <c r="C753" s="1" t="n">
        <v>59</v>
      </c>
      <c r="D753" s="1" t="s">
        <v>651</v>
      </c>
      <c r="E753" s="1" t="n">
        <v>4</v>
      </c>
      <c r="F753" s="1" t="n">
        <v>438.89</v>
      </c>
      <c r="G753" s="1" t="n">
        <v>0.1</v>
      </c>
      <c r="H753" s="1" t="s">
        <v>1336</v>
      </c>
      <c r="I753" s="1" t="n">
        <v>1580</v>
      </c>
      <c r="J753" s="1" t="str">
        <f aca="false">VLOOKUP(B753,Customers!$A$2:$G$502,6,FALSE())</f>
        <v>Unknown</v>
      </c>
      <c r="K753" s="1" t="str">
        <f aca="false">VLOOKUP(C753,Products!$A$2:$E$62,3,FALSE())</f>
        <v>Furniture</v>
      </c>
      <c r="L753" s="1" t="str">
        <f aca="false">TEXT(D753,"yyyy-mm")</f>
        <v>2024-12</v>
      </c>
    </row>
    <row r="754" customFormat="false" ht="15" hidden="false" customHeight="true" outlineLevel="0" collapsed="false">
      <c r="A754" s="1" t="n">
        <v>772</v>
      </c>
      <c r="B754" s="1" t="n">
        <v>40</v>
      </c>
      <c r="C754" s="1" t="n">
        <v>47</v>
      </c>
      <c r="D754" s="1" t="s">
        <v>427</v>
      </c>
      <c r="E754" s="1" t="n">
        <v>4</v>
      </c>
      <c r="F754" s="1" t="n">
        <v>506.19</v>
      </c>
      <c r="G754" s="1" t="n">
        <v>0.1</v>
      </c>
      <c r="H754" s="1" t="s">
        <v>1336</v>
      </c>
      <c r="I754" s="1" t="n">
        <v>1822.28</v>
      </c>
      <c r="J754" s="1" t="str">
        <f aca="false">VLOOKUP(B754,Customers!$A$2:$G$502,6,FALSE())</f>
        <v>Consumer</v>
      </c>
      <c r="K754" s="1" t="str">
        <f aca="false">VLOOKUP(C754,Products!$A$2:$E$62,3,FALSE())</f>
        <v>Software</v>
      </c>
      <c r="L754" s="1" t="str">
        <f aca="false">TEXT(D754,"yyyy-mm")</f>
        <v>2024-11</v>
      </c>
    </row>
    <row r="755" customFormat="false" ht="15" hidden="false" customHeight="true" outlineLevel="0" collapsed="false">
      <c r="A755" s="1" t="n">
        <v>773</v>
      </c>
      <c r="B755" s="1" t="n">
        <v>381</v>
      </c>
      <c r="C755" s="1" t="n">
        <v>53</v>
      </c>
      <c r="D755" s="1" t="s">
        <v>617</v>
      </c>
      <c r="E755" s="1" t="n">
        <v>5</v>
      </c>
      <c r="F755" s="1" t="n">
        <v>509.98</v>
      </c>
      <c r="G755" s="1" t="n">
        <v>0</v>
      </c>
      <c r="H755" s="1" t="s">
        <v>1336</v>
      </c>
      <c r="I755" s="1" t="n">
        <v>2549.9</v>
      </c>
      <c r="J755" s="1" t="str">
        <f aca="false">VLOOKUP(B755,Customers!$A$2:$G$502,6,FALSE())</f>
        <v>Corporate</v>
      </c>
      <c r="K755" s="1" t="str">
        <f aca="false">VLOOKUP(C755,Products!$A$2:$E$62,3,FALSE())</f>
        <v>Software</v>
      </c>
      <c r="L755" s="1" t="str">
        <f aca="false">TEXT(D755,"yyyy-mm")</f>
        <v>2023-11</v>
      </c>
    </row>
    <row r="756" customFormat="false" ht="15" hidden="false" customHeight="true" outlineLevel="0" collapsed="false">
      <c r="A756" s="1" t="n">
        <v>774</v>
      </c>
      <c r="B756" s="1" t="n">
        <v>59</v>
      </c>
      <c r="C756" s="1" t="n">
        <v>51</v>
      </c>
      <c r="D756" s="1" t="s">
        <v>1364</v>
      </c>
      <c r="E756" s="1" t="n">
        <v>8</v>
      </c>
      <c r="F756" s="1" t="n">
        <v>30.16</v>
      </c>
      <c r="G756" s="1" t="n">
        <v>0.05</v>
      </c>
      <c r="H756" s="1" t="s">
        <v>1336</v>
      </c>
      <c r="I756" s="1" t="n">
        <v>229.22</v>
      </c>
      <c r="J756" s="1" t="str">
        <f aca="false">VLOOKUP(B756,Customers!$A$2:$G$502,6,FALSE())</f>
        <v>Corporate</v>
      </c>
      <c r="K756" s="1" t="str">
        <f aca="false">VLOOKUP(C756,Products!$A$2:$E$62,3,FALSE())</f>
        <v>Software</v>
      </c>
      <c r="L756" s="1" t="str">
        <f aca="false">TEXT(D756,"yyyy-mm")</f>
        <v>2024-11</v>
      </c>
    </row>
    <row r="757" customFormat="false" ht="15" hidden="false" customHeight="true" outlineLevel="0" collapsed="false">
      <c r="A757" s="1" t="n">
        <v>775</v>
      </c>
      <c r="B757" s="1" t="n">
        <v>439</v>
      </c>
      <c r="C757" s="1" t="n">
        <v>9</v>
      </c>
      <c r="D757" s="1" t="s">
        <v>1538</v>
      </c>
      <c r="E757" s="1" t="n">
        <v>5</v>
      </c>
      <c r="F757" s="1" t="n">
        <v>203.1</v>
      </c>
      <c r="G757" s="1" t="n">
        <v>0.05</v>
      </c>
      <c r="H757" s="1" t="s">
        <v>1336</v>
      </c>
      <c r="I757" s="1" t="n">
        <v>964.72</v>
      </c>
      <c r="J757" s="1" t="str">
        <f aca="false">VLOOKUP(B757,Customers!$A$2:$G$502,6,FALSE())</f>
        <v>Corporate</v>
      </c>
      <c r="K757" s="1" t="str">
        <f aca="false">VLOOKUP(C757,Products!$A$2:$E$62,3,FALSE())</f>
        <v>Electronics</v>
      </c>
      <c r="L757" s="1" t="str">
        <f aca="false">TEXT(D757,"yyyy-mm")</f>
        <v>2024-10</v>
      </c>
    </row>
    <row r="758" customFormat="false" ht="15" hidden="false" customHeight="true" outlineLevel="0" collapsed="false">
      <c r="A758" s="1" t="n">
        <v>776</v>
      </c>
      <c r="B758" s="1" t="n">
        <v>97</v>
      </c>
      <c r="C758" s="1" t="n">
        <v>27</v>
      </c>
      <c r="D758" s="1" t="s">
        <v>109</v>
      </c>
      <c r="E758" s="1" t="n">
        <v>8</v>
      </c>
      <c r="F758" s="1" t="n">
        <v>772.58</v>
      </c>
      <c r="G758" s="1" t="n">
        <v>0.1</v>
      </c>
      <c r="H758" s="1" t="s">
        <v>1336</v>
      </c>
      <c r="I758" s="1" t="n">
        <v>5562.58</v>
      </c>
      <c r="J758" s="1" t="str">
        <f aca="false">VLOOKUP(B758,Customers!$A$2:$G$502,6,FALSE())</f>
        <v>Corporate</v>
      </c>
      <c r="K758" s="1" t="str">
        <f aca="false">VLOOKUP(C758,Products!$A$2:$E$62,3,FALSE())</f>
        <v>Office Supplies</v>
      </c>
      <c r="L758" s="1" t="str">
        <f aca="false">TEXT(D758,"yyyy-mm")</f>
        <v>2024-12</v>
      </c>
    </row>
    <row r="759" customFormat="false" ht="15" hidden="false" customHeight="true" outlineLevel="0" collapsed="false">
      <c r="A759" s="1" t="n">
        <v>777</v>
      </c>
      <c r="B759" s="1" t="n">
        <v>98</v>
      </c>
      <c r="C759" s="1" t="n">
        <v>44</v>
      </c>
      <c r="D759" s="1" t="s">
        <v>1477</v>
      </c>
      <c r="E759" s="1" t="n">
        <v>1</v>
      </c>
      <c r="F759" s="1" t="n">
        <v>508.26</v>
      </c>
      <c r="G759" s="1" t="n">
        <v>0</v>
      </c>
      <c r="H759" s="1" t="s">
        <v>1336</v>
      </c>
      <c r="I759" s="1" t="n">
        <v>508.26</v>
      </c>
      <c r="J759" s="1" t="str">
        <f aca="false">VLOOKUP(B759,Customers!$A$2:$G$502,6,FALSE())</f>
        <v>Corporate</v>
      </c>
      <c r="K759" s="1" t="str">
        <f aca="false">VLOOKUP(C759,Products!$A$2:$E$62,3,FALSE())</f>
        <v>Software</v>
      </c>
      <c r="L759" s="1" t="str">
        <f aca="false">TEXT(D759,"yyyy-mm")</f>
        <v>2024-08</v>
      </c>
    </row>
    <row r="760" customFormat="false" ht="15" hidden="false" customHeight="true" outlineLevel="0" collapsed="false">
      <c r="A760" s="1" t="n">
        <v>778</v>
      </c>
      <c r="B760" s="1" t="n">
        <v>420</v>
      </c>
      <c r="C760" s="1" t="n">
        <v>56</v>
      </c>
      <c r="D760" s="1" t="s">
        <v>1438</v>
      </c>
      <c r="E760" s="1" t="n">
        <v>9</v>
      </c>
      <c r="F760" s="1" t="n">
        <v>160.64</v>
      </c>
      <c r="G760" s="1" t="n">
        <v>0.15</v>
      </c>
      <c r="H760" s="1" t="s">
        <v>1336</v>
      </c>
      <c r="I760" s="1" t="n">
        <v>1228.9</v>
      </c>
      <c r="J760" s="1" t="str">
        <f aca="false">VLOOKUP(B760,Customers!$A$2:$G$502,6,FALSE())</f>
        <v>Small Business</v>
      </c>
      <c r="K760" s="1" t="str">
        <f aca="false">VLOOKUP(C760,Products!$A$2:$E$62,3,FALSE())</f>
        <v>Furniture</v>
      </c>
      <c r="L760" s="1" t="str">
        <f aca="false">TEXT(D760,"yyyy-mm")</f>
        <v>2023-05</v>
      </c>
    </row>
    <row r="761" customFormat="false" ht="15" hidden="false" customHeight="true" outlineLevel="0" collapsed="false">
      <c r="A761" s="1" t="n">
        <v>779</v>
      </c>
      <c r="B761" s="1" t="n">
        <v>425</v>
      </c>
      <c r="C761" s="1" t="n">
        <v>35</v>
      </c>
      <c r="D761" s="1" t="s">
        <v>1557</v>
      </c>
      <c r="E761" s="1" t="n">
        <v>6</v>
      </c>
      <c r="F761" s="1" t="n">
        <v>75.78</v>
      </c>
      <c r="G761" s="1" t="n">
        <v>0.1</v>
      </c>
      <c r="H761" s="1" t="s">
        <v>1370</v>
      </c>
      <c r="I761" s="1" t="n">
        <v>409.21</v>
      </c>
      <c r="J761" s="1" t="str">
        <f aca="false">VLOOKUP(B761,Customers!$A$2:$G$502,6,FALSE())</f>
        <v>Unknown</v>
      </c>
      <c r="K761" s="1" t="str">
        <f aca="false">VLOOKUP(C761,Products!$A$2:$E$62,3,FALSE())</f>
        <v>Software</v>
      </c>
      <c r="L761" s="1" t="str">
        <f aca="false">TEXT(D761,"yyyy-mm")</f>
        <v>2024-03</v>
      </c>
    </row>
    <row r="762" customFormat="false" ht="15" hidden="false" customHeight="true" outlineLevel="0" collapsed="false">
      <c r="A762" s="1" t="n">
        <v>780</v>
      </c>
      <c r="B762" s="1" t="n">
        <v>192</v>
      </c>
      <c r="C762" s="1" t="n">
        <v>12</v>
      </c>
      <c r="D762" s="1" t="s">
        <v>897</v>
      </c>
      <c r="E762" s="1" t="n">
        <v>3</v>
      </c>
      <c r="F762" s="1" t="n">
        <v>179.23</v>
      </c>
      <c r="G762" s="1" t="n">
        <v>0.1</v>
      </c>
      <c r="H762" s="1" t="s">
        <v>1336</v>
      </c>
      <c r="I762" s="1" t="n">
        <v>483.92</v>
      </c>
      <c r="J762" s="1" t="str">
        <f aca="false">VLOOKUP(B762,Customers!$A$2:$G$502,6,FALSE())</f>
        <v>Corporate</v>
      </c>
      <c r="K762" s="1" t="str">
        <f aca="false">VLOOKUP(C762,Products!$A$2:$E$62,3,FALSE())</f>
        <v>Electronics</v>
      </c>
      <c r="L762" s="1" t="str">
        <f aca="false">TEXT(D762,"yyyy-mm")</f>
        <v>2024-07</v>
      </c>
    </row>
    <row r="763" customFormat="false" ht="15" hidden="false" customHeight="true" outlineLevel="0" collapsed="false">
      <c r="A763" s="1" t="n">
        <v>781</v>
      </c>
      <c r="B763" s="1" t="n">
        <v>349</v>
      </c>
      <c r="C763" s="1" t="n">
        <v>28</v>
      </c>
      <c r="D763" s="1" t="s">
        <v>1538</v>
      </c>
      <c r="E763" s="1" t="n">
        <v>8</v>
      </c>
      <c r="F763" s="1" t="n">
        <v>505.23</v>
      </c>
      <c r="G763" s="1" t="n">
        <v>0</v>
      </c>
      <c r="H763" s="1" t="s">
        <v>1336</v>
      </c>
      <c r="I763" s="1" t="n">
        <v>4041.84</v>
      </c>
      <c r="J763" s="1" t="str">
        <f aca="false">VLOOKUP(B763,Customers!$A$2:$G$502,6,FALSE())</f>
        <v>Consumer</v>
      </c>
      <c r="K763" s="1" t="str">
        <f aca="false">VLOOKUP(C763,Products!$A$2:$E$62,3,FALSE())</f>
        <v>Office Supplies</v>
      </c>
      <c r="L763" s="1" t="str">
        <f aca="false">TEXT(D763,"yyyy-mm")</f>
        <v>2024-10</v>
      </c>
    </row>
    <row r="764" customFormat="false" ht="15" hidden="false" customHeight="true" outlineLevel="0" collapsed="false">
      <c r="A764" s="1" t="n">
        <v>782</v>
      </c>
      <c r="B764" s="1" t="n">
        <v>45</v>
      </c>
      <c r="C764" s="1" t="n">
        <v>52</v>
      </c>
      <c r="D764" s="1" t="s">
        <v>904</v>
      </c>
      <c r="E764" s="1" t="n">
        <v>9</v>
      </c>
      <c r="F764" s="1" t="n">
        <v>207.67</v>
      </c>
      <c r="G764" s="1" t="n">
        <v>0</v>
      </c>
      <c r="H764" s="1" t="s">
        <v>1336</v>
      </c>
      <c r="I764" s="1" t="n">
        <v>1869.03</v>
      </c>
      <c r="J764" s="1" t="str">
        <f aca="false">VLOOKUP(B764,Customers!$A$2:$G$502,6,FALSE())</f>
        <v>Corporate</v>
      </c>
      <c r="K764" s="1" t="str">
        <f aca="false">VLOOKUP(C764,Products!$A$2:$E$62,3,FALSE())</f>
        <v>Software</v>
      </c>
      <c r="L764" s="1" t="str">
        <f aca="false">TEXT(D764,"yyyy-mm")</f>
        <v>2023-04</v>
      </c>
    </row>
    <row r="765" customFormat="false" ht="15" hidden="false" customHeight="true" outlineLevel="0" collapsed="false">
      <c r="A765" s="1" t="n">
        <v>783</v>
      </c>
      <c r="B765" s="1" t="n">
        <v>385</v>
      </c>
      <c r="C765" s="1" t="n">
        <v>40</v>
      </c>
      <c r="D765" s="1" t="s">
        <v>1558</v>
      </c>
      <c r="E765" s="1" t="n">
        <v>6</v>
      </c>
      <c r="F765" s="1" t="n">
        <v>193.02</v>
      </c>
      <c r="G765" s="1" t="n">
        <v>0</v>
      </c>
      <c r="H765" s="1" t="s">
        <v>1336</v>
      </c>
      <c r="I765" s="1" t="n">
        <v>1158.12</v>
      </c>
      <c r="J765" s="1" t="str">
        <f aca="false">VLOOKUP(B765,Customers!$A$2:$G$502,6,FALSE())</f>
        <v>Small Business</v>
      </c>
      <c r="K765" s="1" t="str">
        <f aca="false">VLOOKUP(C765,Products!$A$2:$E$62,3,FALSE())</f>
        <v>Software</v>
      </c>
      <c r="L765" s="1" t="str">
        <f aca="false">TEXT(D765,"yyyy-mm")</f>
        <v>2024-07</v>
      </c>
    </row>
    <row r="766" customFormat="false" ht="15" hidden="false" customHeight="true" outlineLevel="0" collapsed="false">
      <c r="A766" s="1" t="n">
        <v>784</v>
      </c>
      <c r="B766" s="1" t="n">
        <v>437</v>
      </c>
      <c r="C766" s="1" t="n">
        <v>27</v>
      </c>
      <c r="D766" s="1" t="s">
        <v>214</v>
      </c>
      <c r="E766" s="1" t="n">
        <v>7</v>
      </c>
      <c r="F766" s="1" t="n">
        <v>772.58</v>
      </c>
      <c r="G766" s="1" t="n">
        <v>0</v>
      </c>
      <c r="H766" s="1" t="s">
        <v>1336</v>
      </c>
      <c r="I766" s="1" t="n">
        <v>5408.06</v>
      </c>
      <c r="J766" s="1" t="str">
        <f aca="false">VLOOKUP(B766,Customers!$A$2:$G$502,6,FALSE())</f>
        <v>Small Business</v>
      </c>
      <c r="K766" s="1" t="str">
        <f aca="false">VLOOKUP(C766,Products!$A$2:$E$62,3,FALSE())</f>
        <v>Office Supplies</v>
      </c>
      <c r="L766" s="1" t="str">
        <f aca="false">TEXT(D766,"yyyy-mm")</f>
        <v>2023-08</v>
      </c>
    </row>
    <row r="767" customFormat="false" ht="15" hidden="false" customHeight="true" outlineLevel="0" collapsed="false">
      <c r="A767" s="1" t="n">
        <v>785</v>
      </c>
      <c r="B767" s="1" t="n">
        <v>487</v>
      </c>
      <c r="C767" s="1" t="n">
        <v>8</v>
      </c>
      <c r="D767" s="1" t="s">
        <v>416</v>
      </c>
      <c r="E767" s="1" t="n">
        <v>1</v>
      </c>
      <c r="F767" s="1" t="n">
        <v>104.4</v>
      </c>
      <c r="G767" s="1" t="n">
        <v>0.2</v>
      </c>
      <c r="H767" s="1" t="s">
        <v>1346</v>
      </c>
      <c r="I767" s="1" t="n">
        <v>83.52</v>
      </c>
      <c r="J767" s="1" t="str">
        <f aca="false">VLOOKUP(B767,Customers!$A$2:$G$502,6,FALSE())</f>
        <v>Small Business</v>
      </c>
      <c r="K767" s="1" t="str">
        <f aca="false">VLOOKUP(C767,Products!$A$2:$E$62,3,FALSE())</f>
        <v>Electronics</v>
      </c>
      <c r="L767" s="1" t="str">
        <f aca="false">TEXT(D767,"yyyy-mm")</f>
        <v>2023-12</v>
      </c>
    </row>
    <row r="768" customFormat="false" ht="15" hidden="false" customHeight="true" outlineLevel="0" collapsed="false">
      <c r="A768" s="1" t="n">
        <v>786</v>
      </c>
      <c r="B768" s="1" t="n">
        <v>380</v>
      </c>
      <c r="C768" s="1" t="n">
        <v>26</v>
      </c>
      <c r="D768" s="1" t="s">
        <v>1559</v>
      </c>
      <c r="E768" s="1" t="n">
        <v>5</v>
      </c>
      <c r="F768" s="1" t="n">
        <v>733.85</v>
      </c>
      <c r="G768" s="1" t="n">
        <v>0</v>
      </c>
      <c r="H768" s="1" t="s">
        <v>1336</v>
      </c>
      <c r="I768" s="1" t="n">
        <v>3669.25</v>
      </c>
      <c r="J768" s="1" t="str">
        <f aca="false">VLOOKUP(B768,Customers!$A$2:$G$502,6,FALSE())</f>
        <v>Small Business</v>
      </c>
      <c r="K768" s="1" t="str">
        <f aca="false">VLOOKUP(C768,Products!$A$2:$E$62,3,FALSE())</f>
        <v>Office Supplies</v>
      </c>
      <c r="L768" s="1" t="str">
        <f aca="false">TEXT(D768,"yyyy-mm")</f>
        <v>2023-01</v>
      </c>
    </row>
    <row r="769" customFormat="false" ht="15" hidden="false" customHeight="true" outlineLevel="0" collapsed="false">
      <c r="A769" s="1" t="n">
        <v>788</v>
      </c>
      <c r="B769" s="1" t="n">
        <v>79</v>
      </c>
      <c r="C769" s="1" t="n">
        <v>51</v>
      </c>
      <c r="D769" s="1" t="s">
        <v>1525</v>
      </c>
      <c r="E769" s="1" t="n">
        <v>4</v>
      </c>
      <c r="F769" s="1" t="n">
        <v>30.16</v>
      </c>
      <c r="G769" s="1" t="n">
        <v>0.2</v>
      </c>
      <c r="H769" s="1" t="s">
        <v>1336</v>
      </c>
      <c r="I769" s="1" t="n">
        <v>96.51</v>
      </c>
      <c r="J769" s="1" t="str">
        <f aca="false">VLOOKUP(B769,Customers!$A$2:$G$502,6,FALSE())</f>
        <v>Small Business</v>
      </c>
      <c r="K769" s="1" t="str">
        <f aca="false">VLOOKUP(C769,Products!$A$2:$E$62,3,FALSE())</f>
        <v>Software</v>
      </c>
      <c r="L769" s="1" t="str">
        <f aca="false">TEXT(D769,"yyyy-mm")</f>
        <v>2024-01</v>
      </c>
    </row>
    <row r="770" customFormat="false" ht="15" hidden="false" customHeight="true" outlineLevel="0" collapsed="false">
      <c r="A770" s="1" t="n">
        <v>789</v>
      </c>
      <c r="B770" s="1" t="n">
        <v>492</v>
      </c>
      <c r="C770" s="1" t="n">
        <v>37</v>
      </c>
      <c r="D770" s="1" t="s">
        <v>399</v>
      </c>
      <c r="E770" s="1" t="n">
        <v>6</v>
      </c>
      <c r="F770" s="1" t="n">
        <v>13.95</v>
      </c>
      <c r="G770" s="1" t="n">
        <v>0</v>
      </c>
      <c r="H770" s="1" t="s">
        <v>1336</v>
      </c>
      <c r="I770" s="1" t="n">
        <v>83.7</v>
      </c>
      <c r="J770" s="1" t="str">
        <f aca="false">VLOOKUP(B770,Customers!$A$2:$G$502,6,FALSE())</f>
        <v>Consumer</v>
      </c>
      <c r="K770" s="1" t="str">
        <f aca="false">VLOOKUP(C770,Products!$A$2:$E$62,3,FALSE())</f>
        <v>Software</v>
      </c>
      <c r="L770" s="1" t="str">
        <f aca="false">TEXT(D770,"yyyy-mm")</f>
        <v>2024-03</v>
      </c>
    </row>
    <row r="771" customFormat="false" ht="15" hidden="false" customHeight="true" outlineLevel="0" collapsed="false">
      <c r="A771" s="1" t="n">
        <v>790</v>
      </c>
      <c r="B771" s="1" t="n">
        <v>27</v>
      </c>
      <c r="C771" s="1" t="n">
        <v>52</v>
      </c>
      <c r="D771" s="1" t="s">
        <v>1387</v>
      </c>
      <c r="E771" s="1" t="n">
        <v>7</v>
      </c>
      <c r="F771" s="1" t="n">
        <v>207.67</v>
      </c>
      <c r="G771" s="1" t="n">
        <v>0.05</v>
      </c>
      <c r="H771" s="1" t="s">
        <v>1336</v>
      </c>
      <c r="I771" s="1" t="n">
        <v>1381.01</v>
      </c>
      <c r="J771" s="1" t="str">
        <f aca="false">VLOOKUP(B771,Customers!$A$2:$G$502,6,FALSE())</f>
        <v>Small Business</v>
      </c>
      <c r="K771" s="1" t="str">
        <f aca="false">VLOOKUP(C771,Products!$A$2:$E$62,3,FALSE())</f>
        <v>Software</v>
      </c>
      <c r="L771" s="1" t="str">
        <f aca="false">TEXT(D771,"yyyy-mm")</f>
        <v>2024-08</v>
      </c>
    </row>
    <row r="772" customFormat="false" ht="15" hidden="false" customHeight="true" outlineLevel="0" collapsed="false">
      <c r="A772" s="1" t="n">
        <v>791</v>
      </c>
      <c r="B772" s="1" t="n">
        <v>463</v>
      </c>
      <c r="C772" s="1" t="n">
        <v>21</v>
      </c>
      <c r="D772" s="1" t="s">
        <v>1560</v>
      </c>
      <c r="E772" s="1" t="n">
        <v>9</v>
      </c>
      <c r="F772" s="1" t="n">
        <v>84.91</v>
      </c>
      <c r="G772" s="1" t="n">
        <v>0</v>
      </c>
      <c r="H772" s="1" t="s">
        <v>1336</v>
      </c>
      <c r="I772" s="1" t="n">
        <v>764.19</v>
      </c>
      <c r="J772" s="1" t="str">
        <f aca="false">VLOOKUP(B772,Customers!$A$2:$G$502,6,FALSE())</f>
        <v>Consumer</v>
      </c>
      <c r="K772" s="1" t="str">
        <f aca="false">VLOOKUP(C772,Products!$A$2:$E$62,3,FALSE())</f>
        <v>Office Supplies</v>
      </c>
      <c r="L772" s="1" t="str">
        <f aca="false">TEXT(D772,"yyyy-mm")</f>
        <v>2024-06</v>
      </c>
    </row>
    <row r="773" customFormat="false" ht="15" hidden="false" customHeight="true" outlineLevel="0" collapsed="false">
      <c r="A773" s="1" t="n">
        <v>792</v>
      </c>
      <c r="B773" s="1" t="n">
        <v>324</v>
      </c>
      <c r="C773" s="1" t="n">
        <v>37</v>
      </c>
      <c r="D773" s="1" t="s">
        <v>1561</v>
      </c>
      <c r="E773" s="1" t="n">
        <v>1</v>
      </c>
      <c r="F773" s="1" t="n">
        <v>13.95</v>
      </c>
      <c r="G773" s="1" t="n">
        <v>0.2</v>
      </c>
      <c r="H773" s="1" t="s">
        <v>1336</v>
      </c>
      <c r="I773" s="1" t="n">
        <v>11.16</v>
      </c>
      <c r="J773" s="1" t="str">
        <f aca="false">VLOOKUP(B773,Customers!$A$2:$G$502,6,FALSE())</f>
        <v>Consumer</v>
      </c>
      <c r="K773" s="1" t="str">
        <f aca="false">VLOOKUP(C773,Products!$A$2:$E$62,3,FALSE())</f>
        <v>Software</v>
      </c>
      <c r="L773" s="1" t="str">
        <f aca="false">TEXT(D773,"yyyy-mm")</f>
        <v>2024-02</v>
      </c>
    </row>
    <row r="774" customFormat="false" ht="15" hidden="false" customHeight="true" outlineLevel="0" collapsed="false">
      <c r="A774" s="1" t="n">
        <v>793</v>
      </c>
      <c r="B774" s="1" t="n">
        <v>166</v>
      </c>
      <c r="C774" s="1" t="n">
        <v>14</v>
      </c>
      <c r="D774" s="1" t="s">
        <v>852</v>
      </c>
      <c r="E774" s="1" t="n">
        <v>6</v>
      </c>
      <c r="F774" s="1" t="n">
        <v>135.27</v>
      </c>
      <c r="G774" s="1" t="n">
        <v>0</v>
      </c>
      <c r="H774" s="1" t="s">
        <v>1336</v>
      </c>
      <c r="I774" s="1" t="n">
        <v>811.62</v>
      </c>
      <c r="J774" s="1" t="str">
        <f aca="false">VLOOKUP(B774,Customers!$A$2:$G$502,6,FALSE())</f>
        <v>Small Business</v>
      </c>
      <c r="K774" s="1" t="str">
        <f aca="false">VLOOKUP(C774,Products!$A$2:$E$62,3,FALSE())</f>
        <v>Electronics</v>
      </c>
      <c r="L774" s="1" t="str">
        <f aca="false">TEXT(D774,"yyyy-mm")</f>
        <v>2023-04</v>
      </c>
    </row>
    <row r="775" customFormat="false" ht="15" hidden="false" customHeight="true" outlineLevel="0" collapsed="false">
      <c r="A775" s="1" t="n">
        <v>794</v>
      </c>
      <c r="B775" s="1" t="n">
        <v>317</v>
      </c>
      <c r="C775" s="1" t="n">
        <v>46</v>
      </c>
      <c r="D775" s="1" t="s">
        <v>1351</v>
      </c>
      <c r="E775" s="1" t="n">
        <v>7</v>
      </c>
      <c r="F775" s="1" t="n">
        <v>94.92</v>
      </c>
      <c r="G775" s="1" t="n">
        <v>0</v>
      </c>
      <c r="H775" s="1" t="s">
        <v>1336</v>
      </c>
      <c r="I775" s="1" t="n">
        <v>664.44</v>
      </c>
      <c r="J775" s="1" t="str">
        <f aca="false">VLOOKUP(B775,Customers!$A$2:$G$502,6,FALSE())</f>
        <v>Small Business</v>
      </c>
      <c r="K775" s="1" t="str">
        <f aca="false">VLOOKUP(C775,Products!$A$2:$E$62,3,FALSE())</f>
        <v>Software</v>
      </c>
      <c r="L775" s="1" t="str">
        <f aca="false">TEXT(D775,"yyyy-mm")</f>
        <v>2024-07</v>
      </c>
    </row>
    <row r="776" customFormat="false" ht="15" hidden="false" customHeight="true" outlineLevel="0" collapsed="false">
      <c r="A776" s="1" t="n">
        <v>795</v>
      </c>
      <c r="B776" s="1" t="n">
        <v>325</v>
      </c>
      <c r="C776" s="1" t="n">
        <v>41</v>
      </c>
      <c r="D776" s="1" t="s">
        <v>1169</v>
      </c>
      <c r="E776" s="1" t="n">
        <v>3</v>
      </c>
      <c r="F776" s="1" t="n">
        <v>594.54</v>
      </c>
      <c r="G776" s="1" t="n">
        <v>0</v>
      </c>
      <c r="H776" s="1" t="s">
        <v>1336</v>
      </c>
      <c r="I776" s="1" t="n">
        <v>1783.62</v>
      </c>
      <c r="J776" s="1" t="str">
        <f aca="false">VLOOKUP(B776,Customers!$A$2:$G$502,6,FALSE())</f>
        <v>Small Business</v>
      </c>
      <c r="K776" s="1" t="str">
        <f aca="false">VLOOKUP(C776,Products!$A$2:$E$62,3,FALSE())</f>
        <v>Software</v>
      </c>
      <c r="L776" s="1" t="str">
        <f aca="false">TEXT(D776,"yyyy-mm")</f>
        <v>2024-01</v>
      </c>
    </row>
    <row r="777" customFormat="false" ht="15" hidden="false" customHeight="true" outlineLevel="0" collapsed="false">
      <c r="A777" s="1" t="n">
        <v>796</v>
      </c>
      <c r="B777" s="1" t="n">
        <v>126</v>
      </c>
      <c r="C777" s="1" t="n">
        <v>47</v>
      </c>
      <c r="D777" s="1" t="s">
        <v>1347</v>
      </c>
      <c r="E777" s="1" t="n">
        <v>8</v>
      </c>
      <c r="F777" s="1" t="n">
        <v>506.19</v>
      </c>
      <c r="G777" s="1" t="n">
        <v>0.2</v>
      </c>
      <c r="H777" s="1" t="s">
        <v>1336</v>
      </c>
      <c r="I777" s="1" t="n">
        <v>3239.62</v>
      </c>
      <c r="J777" s="1" t="str">
        <f aca="false">VLOOKUP(B777,Customers!$A$2:$G$502,6,FALSE())</f>
        <v>Small Business</v>
      </c>
      <c r="K777" s="1" t="str">
        <f aca="false">VLOOKUP(C777,Products!$A$2:$E$62,3,FALSE())</f>
        <v>Software</v>
      </c>
      <c r="L777" s="1" t="str">
        <f aca="false">TEXT(D777,"yyyy-mm")</f>
        <v>2024-01</v>
      </c>
    </row>
    <row r="778" customFormat="false" ht="15" hidden="false" customHeight="true" outlineLevel="0" collapsed="false">
      <c r="A778" s="1" t="n">
        <v>797</v>
      </c>
      <c r="B778" s="1" t="n">
        <v>12</v>
      </c>
      <c r="C778" s="1" t="n">
        <v>41</v>
      </c>
      <c r="D778" s="1" t="s">
        <v>446</v>
      </c>
      <c r="E778" s="1" t="n">
        <v>5</v>
      </c>
      <c r="F778" s="1" t="n">
        <v>594.54</v>
      </c>
      <c r="G778" s="1" t="n">
        <v>0.2</v>
      </c>
      <c r="H778" s="1" t="s">
        <v>1336</v>
      </c>
      <c r="I778" s="1" t="n">
        <v>2378.16</v>
      </c>
      <c r="J778" s="1" t="str">
        <f aca="false">VLOOKUP(B778,Customers!$A$2:$G$502,6,FALSE())</f>
        <v>Small Business</v>
      </c>
      <c r="K778" s="1" t="str">
        <f aca="false">VLOOKUP(C778,Products!$A$2:$E$62,3,FALSE())</f>
        <v>Software</v>
      </c>
      <c r="L778" s="1" t="str">
        <f aca="false">TEXT(D778,"yyyy-mm")</f>
        <v>2024-08</v>
      </c>
    </row>
    <row r="779" customFormat="false" ht="15" hidden="false" customHeight="true" outlineLevel="0" collapsed="false">
      <c r="A779" s="1" t="n">
        <v>798</v>
      </c>
      <c r="B779" s="1" t="n">
        <v>145</v>
      </c>
      <c r="C779" s="1" t="n">
        <v>17</v>
      </c>
      <c r="D779" s="1" t="s">
        <v>1562</v>
      </c>
      <c r="E779" s="1" t="n">
        <v>9</v>
      </c>
      <c r="F779" s="1" t="n">
        <v>65.61</v>
      </c>
      <c r="G779" s="1" t="n">
        <v>0</v>
      </c>
      <c r="H779" s="1" t="s">
        <v>1336</v>
      </c>
      <c r="I779" s="1" t="n">
        <v>590.49</v>
      </c>
      <c r="J779" s="1" t="str">
        <f aca="false">VLOOKUP(B779,Customers!$A$2:$G$502,6,FALSE())</f>
        <v>Corporate</v>
      </c>
      <c r="K779" s="1" t="str">
        <f aca="false">VLOOKUP(C779,Products!$A$2:$E$62,3,FALSE())</f>
        <v>Electronics</v>
      </c>
      <c r="L779" s="1" t="str">
        <f aca="false">TEXT(D779,"yyyy-mm")</f>
        <v>2023-07</v>
      </c>
    </row>
    <row r="780" customFormat="false" ht="15" hidden="false" customHeight="true" outlineLevel="0" collapsed="false">
      <c r="A780" s="1" t="n">
        <v>799</v>
      </c>
      <c r="B780" s="1" t="n">
        <v>52</v>
      </c>
      <c r="C780" s="1" t="n">
        <v>32</v>
      </c>
      <c r="D780" s="1" t="s">
        <v>924</v>
      </c>
      <c r="E780" s="1" t="n">
        <v>5</v>
      </c>
      <c r="F780" s="1" t="n">
        <v>492.27</v>
      </c>
      <c r="G780" s="1" t="n">
        <v>0.05</v>
      </c>
      <c r="H780" s="1" t="s">
        <v>1336</v>
      </c>
      <c r="I780" s="1" t="n">
        <v>2338.28</v>
      </c>
      <c r="J780" s="1" t="str">
        <f aca="false">VLOOKUP(B780,Customers!$A$2:$G$502,6,FALSE())</f>
        <v>Small Business</v>
      </c>
      <c r="K780" s="1" t="str">
        <f aca="false">VLOOKUP(C780,Products!$A$2:$E$62,3,FALSE())</f>
        <v>Office Supplies</v>
      </c>
      <c r="L780" s="1" t="str">
        <f aca="false">TEXT(D780,"yyyy-mm")</f>
        <v>2023-01</v>
      </c>
    </row>
    <row r="781" customFormat="false" ht="15" hidden="false" customHeight="true" outlineLevel="0" collapsed="false">
      <c r="A781" s="1" t="n">
        <v>801</v>
      </c>
      <c r="B781" s="1" t="n">
        <v>92</v>
      </c>
      <c r="C781" s="1" t="n">
        <v>43</v>
      </c>
      <c r="D781" s="1" t="s">
        <v>1462</v>
      </c>
      <c r="E781" s="1" t="n">
        <v>4</v>
      </c>
      <c r="F781" s="1" t="n">
        <v>186.31</v>
      </c>
      <c r="G781" s="1" t="n">
        <v>0.15</v>
      </c>
      <c r="H781" s="1" t="s">
        <v>1336</v>
      </c>
      <c r="I781" s="1" t="n">
        <v>633.45</v>
      </c>
      <c r="J781" s="1" t="str">
        <f aca="false">VLOOKUP(B781,Customers!$A$2:$G$502,6,FALSE())</f>
        <v>Corporate</v>
      </c>
      <c r="K781" s="1" t="str">
        <f aca="false">VLOOKUP(C781,Products!$A$2:$E$62,3,FALSE())</f>
        <v>Software</v>
      </c>
      <c r="L781" s="1" t="str">
        <f aca="false">TEXT(D781,"yyyy-mm")</f>
        <v>2024-08</v>
      </c>
    </row>
    <row r="782" customFormat="false" ht="15" hidden="false" customHeight="true" outlineLevel="0" collapsed="false">
      <c r="A782" s="1" t="n">
        <v>802</v>
      </c>
      <c r="B782" s="1" t="n">
        <v>248</v>
      </c>
      <c r="C782" s="1" t="n">
        <v>40</v>
      </c>
      <c r="D782" s="1" t="s">
        <v>1563</v>
      </c>
      <c r="E782" s="1" t="n">
        <v>9</v>
      </c>
      <c r="F782" s="1" t="n">
        <v>193.02</v>
      </c>
      <c r="G782" s="1" t="n">
        <v>0.1</v>
      </c>
      <c r="H782" s="1" t="s">
        <v>1336</v>
      </c>
      <c r="I782" s="1" t="n">
        <v>1563.46</v>
      </c>
      <c r="J782" s="1" t="str">
        <f aca="false">VLOOKUP(B782,Customers!$A$2:$G$502,6,FALSE())</f>
        <v>Small Business</v>
      </c>
      <c r="K782" s="1" t="str">
        <f aca="false">VLOOKUP(C782,Products!$A$2:$E$62,3,FALSE())</f>
        <v>Software</v>
      </c>
      <c r="L782" s="1" t="str">
        <f aca="false">TEXT(D782,"yyyy-mm")</f>
        <v>2024-09</v>
      </c>
    </row>
    <row r="783" customFormat="false" ht="15" hidden="false" customHeight="true" outlineLevel="0" collapsed="false">
      <c r="A783" s="1" t="n">
        <v>803</v>
      </c>
      <c r="B783" s="1" t="n">
        <v>311</v>
      </c>
      <c r="C783" s="1" t="n">
        <v>2</v>
      </c>
      <c r="D783" s="1" t="s">
        <v>1416</v>
      </c>
      <c r="E783" s="1" t="n">
        <v>5</v>
      </c>
      <c r="F783" s="1" t="n">
        <v>498.15</v>
      </c>
      <c r="G783" s="1" t="n">
        <v>0</v>
      </c>
      <c r="H783" s="1" t="s">
        <v>1336</v>
      </c>
      <c r="I783" s="1" t="n">
        <v>2490.75</v>
      </c>
      <c r="J783" s="1" t="str">
        <f aca="false">VLOOKUP(B783,Customers!$A$2:$G$502,6,FALSE())</f>
        <v>Consumer</v>
      </c>
      <c r="K783" s="1" t="str">
        <f aca="false">VLOOKUP(C783,Products!$A$2:$E$62,3,FALSE())</f>
        <v>Electronics</v>
      </c>
      <c r="L783" s="1" t="str">
        <f aca="false">TEXT(D783,"yyyy-mm")</f>
        <v>2024-07</v>
      </c>
    </row>
    <row r="784" customFormat="false" ht="15" hidden="false" customHeight="true" outlineLevel="0" collapsed="false">
      <c r="A784" s="1" t="n">
        <v>804</v>
      </c>
      <c r="B784" s="1" t="n">
        <v>461</v>
      </c>
      <c r="C784" s="1" t="n">
        <v>14</v>
      </c>
      <c r="D784" s="1" t="s">
        <v>745</v>
      </c>
      <c r="E784" s="1" t="n">
        <v>9</v>
      </c>
      <c r="F784" s="1" t="n">
        <v>135.27</v>
      </c>
      <c r="G784" s="1" t="n">
        <v>0</v>
      </c>
      <c r="H784" s="1" t="s">
        <v>1336</v>
      </c>
      <c r="I784" s="1" t="n">
        <v>1217.43</v>
      </c>
      <c r="J784" s="1" t="str">
        <f aca="false">VLOOKUP(B784,Customers!$A$2:$G$502,6,FALSE())</f>
        <v>Corporate</v>
      </c>
      <c r="K784" s="1" t="str">
        <f aca="false">VLOOKUP(C784,Products!$A$2:$E$62,3,FALSE())</f>
        <v>Electronics</v>
      </c>
      <c r="L784" s="1" t="str">
        <f aca="false">TEXT(D784,"yyyy-mm")</f>
        <v>2023-01</v>
      </c>
    </row>
    <row r="785" customFormat="false" ht="15" hidden="false" customHeight="true" outlineLevel="0" collapsed="false">
      <c r="A785" s="1" t="n">
        <v>805</v>
      </c>
      <c r="B785" s="1" t="n">
        <v>141</v>
      </c>
      <c r="C785" s="1" t="n">
        <v>31</v>
      </c>
      <c r="D785" s="1" t="s">
        <v>1127</v>
      </c>
      <c r="E785" s="1" t="n">
        <v>3</v>
      </c>
      <c r="F785" s="1" t="n">
        <v>224.86</v>
      </c>
      <c r="G785" s="1" t="n">
        <v>0</v>
      </c>
      <c r="H785" s="1" t="s">
        <v>1336</v>
      </c>
      <c r="I785" s="1" t="n">
        <v>674.58</v>
      </c>
      <c r="J785" s="1" t="str">
        <f aca="false">VLOOKUP(B785,Customers!$A$2:$G$502,6,FALSE())</f>
        <v>Small Business</v>
      </c>
      <c r="K785" s="1" t="str">
        <f aca="false">VLOOKUP(C785,Products!$A$2:$E$62,3,FALSE())</f>
        <v>Office Supplies</v>
      </c>
      <c r="L785" s="1" t="str">
        <f aca="false">TEXT(D785,"yyyy-mm")</f>
        <v>2023-07</v>
      </c>
    </row>
    <row r="786" customFormat="false" ht="15" hidden="false" customHeight="true" outlineLevel="0" collapsed="false">
      <c r="A786" s="1" t="n">
        <v>806</v>
      </c>
      <c r="B786" s="1" t="n">
        <v>254</v>
      </c>
      <c r="C786" s="1" t="n">
        <v>28</v>
      </c>
      <c r="D786" s="1" t="s">
        <v>1564</v>
      </c>
      <c r="E786" s="1" t="n">
        <v>4</v>
      </c>
      <c r="F786" s="1" t="n">
        <v>505.23</v>
      </c>
      <c r="G786" s="1" t="n">
        <v>0.05</v>
      </c>
      <c r="H786" s="1" t="s">
        <v>1346</v>
      </c>
      <c r="I786" s="1" t="n">
        <v>1919.87</v>
      </c>
      <c r="J786" s="1" t="str">
        <f aca="false">VLOOKUP(B786,Customers!$A$2:$G$502,6,FALSE())</f>
        <v>Small Business</v>
      </c>
      <c r="K786" s="1" t="str">
        <f aca="false">VLOOKUP(C786,Products!$A$2:$E$62,3,FALSE())</f>
        <v>Office Supplies</v>
      </c>
      <c r="L786" s="1" t="str">
        <f aca="false">TEXT(D786,"yyyy-mm")</f>
        <v>2024-06</v>
      </c>
    </row>
    <row r="787" customFormat="false" ht="15" hidden="false" customHeight="true" outlineLevel="0" collapsed="false">
      <c r="A787" s="1" t="n">
        <v>807</v>
      </c>
      <c r="B787" s="1" t="n">
        <v>368</v>
      </c>
      <c r="C787" s="1" t="n">
        <v>18</v>
      </c>
      <c r="D787" s="1" t="s">
        <v>1461</v>
      </c>
      <c r="E787" s="1" t="n">
        <v>9</v>
      </c>
      <c r="F787" s="1" t="n">
        <v>747.34</v>
      </c>
      <c r="G787" s="1" t="n">
        <v>0</v>
      </c>
      <c r="H787" s="1" t="s">
        <v>1336</v>
      </c>
      <c r="I787" s="1" t="n">
        <v>6726.06</v>
      </c>
      <c r="J787" s="1" t="str">
        <f aca="false">VLOOKUP(B787,Customers!$A$2:$G$502,6,FALSE())</f>
        <v>Corporate</v>
      </c>
      <c r="K787" s="1" t="str">
        <f aca="false">VLOOKUP(C787,Products!$A$2:$E$62,3,FALSE())</f>
        <v>Electronics</v>
      </c>
      <c r="L787" s="1" t="str">
        <f aca="false">TEXT(D787,"yyyy-mm")</f>
        <v>2024-02</v>
      </c>
    </row>
    <row r="788" customFormat="false" ht="15" hidden="false" customHeight="true" outlineLevel="0" collapsed="false">
      <c r="A788" s="1" t="n">
        <v>808</v>
      </c>
      <c r="B788" s="1" t="n">
        <v>489</v>
      </c>
      <c r="C788" s="1" t="n">
        <v>47</v>
      </c>
      <c r="D788" s="1" t="s">
        <v>1036</v>
      </c>
      <c r="E788" s="1" t="n">
        <v>6</v>
      </c>
      <c r="F788" s="1" t="n">
        <v>506.19</v>
      </c>
      <c r="G788" s="1" t="n">
        <v>0.05</v>
      </c>
      <c r="H788" s="1" t="s">
        <v>1346</v>
      </c>
      <c r="I788" s="1" t="n">
        <v>2885.28</v>
      </c>
      <c r="J788" s="1" t="str">
        <f aca="false">VLOOKUP(B788,Customers!$A$2:$G$502,6,FALSE())</f>
        <v>Small Business</v>
      </c>
      <c r="K788" s="1" t="str">
        <f aca="false">VLOOKUP(C788,Products!$A$2:$E$62,3,FALSE())</f>
        <v>Software</v>
      </c>
      <c r="L788" s="1" t="str">
        <f aca="false">TEXT(D788,"yyyy-mm")</f>
        <v>2024-05</v>
      </c>
    </row>
    <row r="789" customFormat="false" ht="15" hidden="false" customHeight="true" outlineLevel="0" collapsed="false">
      <c r="A789" s="1" t="n">
        <v>809</v>
      </c>
      <c r="B789" s="1" t="n">
        <v>319</v>
      </c>
      <c r="C789" s="1" t="n">
        <v>7</v>
      </c>
      <c r="D789" s="1" t="s">
        <v>1565</v>
      </c>
      <c r="E789" s="1" t="n">
        <v>2</v>
      </c>
      <c r="F789" s="1" t="n">
        <v>460</v>
      </c>
      <c r="G789" s="1" t="n">
        <v>0.05</v>
      </c>
      <c r="H789" s="1" t="s">
        <v>1336</v>
      </c>
      <c r="I789" s="1" t="n">
        <v>874</v>
      </c>
      <c r="J789" s="1" t="str">
        <f aca="false">VLOOKUP(B789,Customers!$A$2:$G$502,6,FALSE())</f>
        <v>Corporate</v>
      </c>
      <c r="K789" s="1" t="str">
        <f aca="false">VLOOKUP(C789,Products!$A$2:$E$62,3,FALSE())</f>
        <v>Electronics</v>
      </c>
      <c r="L789" s="1" t="str">
        <f aca="false">TEXT(D789,"yyyy-mm")</f>
        <v>2024-09</v>
      </c>
    </row>
    <row r="790" customFormat="false" ht="15" hidden="false" customHeight="true" outlineLevel="0" collapsed="false">
      <c r="A790" s="1" t="n">
        <v>810</v>
      </c>
      <c r="B790" s="1" t="n">
        <v>33</v>
      </c>
      <c r="C790" s="1" t="n">
        <v>29</v>
      </c>
      <c r="D790" s="1" t="s">
        <v>223</v>
      </c>
      <c r="E790" s="1" t="n">
        <v>7</v>
      </c>
      <c r="F790" s="1" t="n">
        <v>54.62</v>
      </c>
      <c r="G790" s="1" t="n">
        <v>0</v>
      </c>
      <c r="H790" s="1" t="s">
        <v>1370</v>
      </c>
      <c r="I790" s="1" t="n">
        <v>382.34</v>
      </c>
      <c r="J790" s="1" t="str">
        <f aca="false">VLOOKUP(B790,Customers!$A$2:$G$502,6,FALSE())</f>
        <v>Corporate</v>
      </c>
      <c r="K790" s="1" t="str">
        <f aca="false">VLOOKUP(C790,Products!$A$2:$E$62,3,FALSE())</f>
        <v>Office Supplies</v>
      </c>
      <c r="L790" s="1" t="str">
        <f aca="false">TEXT(D790,"yyyy-mm")</f>
        <v>2023-06</v>
      </c>
    </row>
    <row r="791" customFormat="false" ht="15" hidden="false" customHeight="true" outlineLevel="0" collapsed="false">
      <c r="A791" s="1" t="n">
        <v>811</v>
      </c>
      <c r="B791" s="1" t="n">
        <v>450</v>
      </c>
      <c r="C791" s="1" t="n">
        <v>42</v>
      </c>
      <c r="D791" s="1" t="s">
        <v>1428</v>
      </c>
      <c r="E791" s="1" t="n">
        <v>2</v>
      </c>
      <c r="F791" s="1" t="n">
        <v>174.48</v>
      </c>
      <c r="G791" s="1" t="n">
        <v>0</v>
      </c>
      <c r="H791" s="1" t="s">
        <v>1336</v>
      </c>
      <c r="I791" s="1" t="n">
        <v>348.96</v>
      </c>
      <c r="J791" s="1" t="str">
        <f aca="false">VLOOKUP(B791,Customers!$A$2:$G$502,6,FALSE())</f>
        <v>Consumer</v>
      </c>
      <c r="K791" s="1" t="str">
        <f aca="false">VLOOKUP(C791,Products!$A$2:$E$62,3,FALSE())</f>
        <v>Software</v>
      </c>
      <c r="L791" s="1" t="str">
        <f aca="false">TEXT(D791,"yyyy-mm")</f>
        <v>2024-06</v>
      </c>
    </row>
    <row r="792" customFormat="false" ht="15" hidden="false" customHeight="true" outlineLevel="0" collapsed="false">
      <c r="A792" s="1" t="n">
        <v>812</v>
      </c>
      <c r="B792" s="1" t="n">
        <v>96</v>
      </c>
      <c r="C792" s="1" t="n">
        <v>23</v>
      </c>
      <c r="D792" s="1" t="s">
        <v>1489</v>
      </c>
      <c r="E792" s="1" t="n">
        <v>2</v>
      </c>
      <c r="F792" s="1" t="n">
        <v>188.73</v>
      </c>
      <c r="G792" s="1" t="n">
        <v>0</v>
      </c>
      <c r="H792" s="1" t="s">
        <v>1336</v>
      </c>
      <c r="I792" s="1" t="n">
        <v>377.46</v>
      </c>
      <c r="J792" s="1" t="str">
        <f aca="false">VLOOKUP(B792,Customers!$A$2:$G$502,6,FALSE())</f>
        <v>Corporate</v>
      </c>
      <c r="K792" s="1" t="str">
        <f aca="false">VLOOKUP(C792,Products!$A$2:$E$62,3,FALSE())</f>
        <v>Office Supplies</v>
      </c>
      <c r="L792" s="1" t="str">
        <f aca="false">TEXT(D792,"yyyy-mm")</f>
        <v>2023-09</v>
      </c>
    </row>
    <row r="793" customFormat="false" ht="15" hidden="false" customHeight="true" outlineLevel="0" collapsed="false">
      <c r="A793" s="1" t="n">
        <v>813</v>
      </c>
      <c r="B793" s="1" t="n">
        <v>5</v>
      </c>
      <c r="C793" s="1" t="n">
        <v>21</v>
      </c>
      <c r="D793" s="1" t="s">
        <v>1566</v>
      </c>
      <c r="E793" s="1" t="n">
        <v>1</v>
      </c>
      <c r="F793" s="1" t="n">
        <v>84.91</v>
      </c>
      <c r="G793" s="1" t="n">
        <v>0</v>
      </c>
      <c r="H793" s="1" t="s">
        <v>1336</v>
      </c>
      <c r="I793" s="1" t="n">
        <v>84.91</v>
      </c>
      <c r="J793" s="1" t="str">
        <f aca="false">VLOOKUP(B793,Customers!$A$2:$G$502,6,FALSE())</f>
        <v>Small Business</v>
      </c>
      <c r="K793" s="1" t="str">
        <f aca="false">VLOOKUP(C793,Products!$A$2:$E$62,3,FALSE())</f>
        <v>Office Supplies</v>
      </c>
      <c r="L793" s="1" t="str">
        <f aca="false">TEXT(D793,"yyyy-mm")</f>
        <v>2024-12</v>
      </c>
    </row>
    <row r="794" customFormat="false" ht="15" hidden="false" customHeight="true" outlineLevel="0" collapsed="false">
      <c r="A794" s="1" t="n">
        <v>814</v>
      </c>
      <c r="B794" s="1" t="n">
        <v>120</v>
      </c>
      <c r="C794" s="1" t="n">
        <v>36</v>
      </c>
      <c r="D794" s="1" t="s">
        <v>1001</v>
      </c>
      <c r="E794" s="1" t="n">
        <v>3</v>
      </c>
      <c r="F794" s="1" t="n">
        <v>424.45</v>
      </c>
      <c r="G794" s="1" t="n">
        <v>0.05</v>
      </c>
      <c r="H794" s="1" t="s">
        <v>1336</v>
      </c>
      <c r="I794" s="1" t="n">
        <v>1209.68</v>
      </c>
      <c r="J794" s="1" t="str">
        <f aca="false">VLOOKUP(B794,Customers!$A$2:$G$502,6,FALSE())</f>
        <v>Consumer</v>
      </c>
      <c r="K794" s="1" t="str">
        <f aca="false">VLOOKUP(C794,Products!$A$2:$E$62,3,FALSE())</f>
        <v>Software</v>
      </c>
      <c r="L794" s="1" t="str">
        <f aca="false">TEXT(D794,"yyyy-mm")</f>
        <v>2023-03</v>
      </c>
    </row>
    <row r="795" customFormat="false" ht="15" hidden="false" customHeight="true" outlineLevel="0" collapsed="false">
      <c r="A795" s="1" t="n">
        <v>815</v>
      </c>
      <c r="B795" s="1" t="n">
        <v>367</v>
      </c>
      <c r="C795" s="1" t="n">
        <v>39</v>
      </c>
      <c r="D795" s="1" t="s">
        <v>1567</v>
      </c>
      <c r="E795" s="1" t="n">
        <v>6</v>
      </c>
      <c r="F795" s="1" t="n">
        <v>400.02</v>
      </c>
      <c r="G795" s="1" t="n">
        <v>0</v>
      </c>
      <c r="H795" s="1" t="s">
        <v>1336</v>
      </c>
      <c r="I795" s="1" t="n">
        <v>2400.12</v>
      </c>
      <c r="J795" s="1" t="str">
        <f aca="false">VLOOKUP(B795,Customers!$A$2:$G$502,6,FALSE())</f>
        <v>Corporate</v>
      </c>
      <c r="K795" s="1" t="str">
        <f aca="false">VLOOKUP(C795,Products!$A$2:$E$62,3,FALSE())</f>
        <v>Software</v>
      </c>
      <c r="L795" s="1" t="str">
        <f aca="false">TEXT(D795,"yyyy-mm")</f>
        <v>2024-11</v>
      </c>
    </row>
    <row r="796" customFormat="false" ht="15" hidden="false" customHeight="true" outlineLevel="0" collapsed="false">
      <c r="A796" s="1" t="n">
        <v>816</v>
      </c>
      <c r="B796" s="1" t="n">
        <v>417</v>
      </c>
      <c r="C796" s="1" t="n">
        <v>21</v>
      </c>
      <c r="D796" s="1" t="s">
        <v>1568</v>
      </c>
      <c r="E796" s="1" t="n">
        <v>8</v>
      </c>
      <c r="F796" s="1" t="n">
        <v>84.91</v>
      </c>
      <c r="G796" s="1" t="n">
        <v>0</v>
      </c>
      <c r="H796" s="1" t="s">
        <v>1336</v>
      </c>
      <c r="I796" s="1" t="n">
        <v>679.28</v>
      </c>
      <c r="J796" s="1" t="str">
        <f aca="false">VLOOKUP(B796,Customers!$A$2:$G$502,6,FALSE())</f>
        <v>Consumer</v>
      </c>
      <c r="K796" s="1" t="str">
        <f aca="false">VLOOKUP(C796,Products!$A$2:$E$62,3,FALSE())</f>
        <v>Office Supplies</v>
      </c>
      <c r="L796" s="1" t="str">
        <f aca="false">TEXT(D796,"yyyy-mm")</f>
        <v>2023-07</v>
      </c>
    </row>
    <row r="797" customFormat="false" ht="15" hidden="false" customHeight="true" outlineLevel="0" collapsed="false">
      <c r="A797" s="1" t="n">
        <v>817</v>
      </c>
      <c r="B797" s="1" t="n">
        <v>62</v>
      </c>
      <c r="C797" s="1" t="n">
        <v>8</v>
      </c>
      <c r="D797" s="1" t="s">
        <v>919</v>
      </c>
      <c r="E797" s="1" t="n">
        <v>9</v>
      </c>
      <c r="F797" s="1" t="n">
        <v>104.4</v>
      </c>
      <c r="G797" s="1" t="n">
        <v>0</v>
      </c>
      <c r="H797" s="1" t="s">
        <v>1336</v>
      </c>
      <c r="I797" s="1" t="n">
        <v>939.6</v>
      </c>
      <c r="J797" s="1" t="str">
        <f aca="false">VLOOKUP(B797,Customers!$A$2:$G$502,6,FALSE())</f>
        <v>Consumer</v>
      </c>
      <c r="K797" s="1" t="str">
        <f aca="false">VLOOKUP(C797,Products!$A$2:$E$62,3,FALSE())</f>
        <v>Electronics</v>
      </c>
      <c r="L797" s="1" t="str">
        <f aca="false">TEXT(D797,"yyyy-mm")</f>
        <v>2024-04</v>
      </c>
    </row>
    <row r="798" customFormat="false" ht="15" hidden="false" customHeight="true" outlineLevel="0" collapsed="false">
      <c r="A798" s="1" t="n">
        <v>818</v>
      </c>
      <c r="B798" s="1" t="n">
        <v>10</v>
      </c>
      <c r="C798" s="1" t="n">
        <v>42</v>
      </c>
      <c r="D798" s="1" t="s">
        <v>435</v>
      </c>
      <c r="E798" s="1" t="n">
        <v>7</v>
      </c>
      <c r="F798" s="1" t="n">
        <v>174.48</v>
      </c>
      <c r="G798" s="1" t="n">
        <v>0</v>
      </c>
      <c r="H798" s="1" t="s">
        <v>1346</v>
      </c>
      <c r="I798" s="1" t="n">
        <v>1221.36</v>
      </c>
      <c r="J798" s="1" t="str">
        <f aca="false">VLOOKUP(B798,Customers!$A$2:$G$502,6,FALSE())</f>
        <v>Small Business</v>
      </c>
      <c r="K798" s="1" t="str">
        <f aca="false">VLOOKUP(C798,Products!$A$2:$E$62,3,FALSE())</f>
        <v>Software</v>
      </c>
      <c r="L798" s="1" t="str">
        <f aca="false">TEXT(D798,"yyyy-mm")</f>
        <v>2024-08</v>
      </c>
    </row>
    <row r="799" customFormat="false" ht="15" hidden="false" customHeight="true" outlineLevel="0" collapsed="false">
      <c r="A799" s="1" t="n">
        <v>819</v>
      </c>
      <c r="B799" s="1" t="n">
        <v>459</v>
      </c>
      <c r="C799" s="1" t="n">
        <v>35</v>
      </c>
      <c r="D799" s="1" t="s">
        <v>1490</v>
      </c>
      <c r="E799" s="1" t="n">
        <v>4</v>
      </c>
      <c r="F799" s="1" t="n">
        <v>75.78</v>
      </c>
      <c r="G799" s="1" t="n">
        <v>0</v>
      </c>
      <c r="H799" s="1" t="s">
        <v>1336</v>
      </c>
      <c r="I799" s="1" t="n">
        <v>303.12</v>
      </c>
      <c r="J799" s="1" t="str">
        <f aca="false">VLOOKUP(B799,Customers!$A$2:$G$502,6,FALSE())</f>
        <v>Small Business</v>
      </c>
      <c r="K799" s="1" t="str">
        <f aca="false">VLOOKUP(C799,Products!$A$2:$E$62,3,FALSE())</f>
        <v>Software</v>
      </c>
      <c r="L799" s="1" t="str">
        <f aca="false">TEXT(D799,"yyyy-mm")</f>
        <v>2024-06</v>
      </c>
    </row>
    <row r="800" customFormat="false" ht="15" hidden="false" customHeight="true" outlineLevel="0" collapsed="false">
      <c r="A800" s="1" t="n">
        <v>820</v>
      </c>
      <c r="B800" s="1" t="n">
        <v>213</v>
      </c>
      <c r="C800" s="1" t="n">
        <v>47</v>
      </c>
      <c r="D800" s="1" t="s">
        <v>1420</v>
      </c>
      <c r="E800" s="1" t="n">
        <v>6</v>
      </c>
      <c r="F800" s="1" t="n">
        <v>506.19</v>
      </c>
      <c r="G800" s="1" t="n">
        <v>0</v>
      </c>
      <c r="H800" s="1" t="s">
        <v>1336</v>
      </c>
      <c r="I800" s="1" t="n">
        <v>3037.14</v>
      </c>
      <c r="J800" s="1" t="str">
        <f aca="false">VLOOKUP(B800,Customers!$A$2:$G$502,6,FALSE())</f>
        <v>Small Business</v>
      </c>
      <c r="K800" s="1" t="str">
        <f aca="false">VLOOKUP(C800,Products!$A$2:$E$62,3,FALSE())</f>
        <v>Software</v>
      </c>
      <c r="L800" s="1" t="str">
        <f aca="false">TEXT(D800,"yyyy-mm")</f>
        <v>2023-11</v>
      </c>
    </row>
    <row r="801" customFormat="false" ht="15" hidden="false" customHeight="true" outlineLevel="0" collapsed="false">
      <c r="A801" s="1" t="n">
        <v>821</v>
      </c>
      <c r="B801" s="1" t="n">
        <v>253</v>
      </c>
      <c r="C801" s="1" t="n">
        <v>40</v>
      </c>
      <c r="D801" s="1" t="s">
        <v>1569</v>
      </c>
      <c r="E801" s="1" t="n">
        <v>5</v>
      </c>
      <c r="F801" s="1" t="n">
        <v>193.02</v>
      </c>
      <c r="G801" s="1" t="n">
        <v>0.05</v>
      </c>
      <c r="H801" s="1" t="s">
        <v>1336</v>
      </c>
      <c r="I801" s="1" t="n">
        <v>916.84</v>
      </c>
      <c r="J801" s="1" t="str">
        <f aca="false">VLOOKUP(B801,Customers!$A$2:$G$502,6,FALSE())</f>
        <v>Consumer</v>
      </c>
      <c r="K801" s="1" t="str">
        <f aca="false">VLOOKUP(C801,Products!$A$2:$E$62,3,FALSE())</f>
        <v>Software</v>
      </c>
      <c r="L801" s="1" t="str">
        <f aca="false">TEXT(D801,"yyyy-mm")</f>
        <v>2023-02</v>
      </c>
    </row>
    <row r="802" customFormat="false" ht="15" hidden="false" customHeight="true" outlineLevel="0" collapsed="false">
      <c r="A802" s="1" t="n">
        <v>822</v>
      </c>
      <c r="B802" s="1" t="n">
        <v>467</v>
      </c>
      <c r="C802" s="1" t="n">
        <v>8</v>
      </c>
      <c r="D802" s="1" t="s">
        <v>1103</v>
      </c>
      <c r="E802" s="1" t="n">
        <v>8</v>
      </c>
      <c r="F802" s="1" t="n">
        <v>104.4</v>
      </c>
      <c r="G802" s="1" t="n">
        <v>0.1</v>
      </c>
      <c r="H802" s="1" t="s">
        <v>1336</v>
      </c>
      <c r="I802" s="1" t="n">
        <v>751.68</v>
      </c>
      <c r="J802" s="1" t="str">
        <f aca="false">VLOOKUP(B802,Customers!$A$2:$G$502,6,FALSE())</f>
        <v>Corporate</v>
      </c>
      <c r="K802" s="1" t="str">
        <f aca="false">VLOOKUP(C802,Products!$A$2:$E$62,3,FALSE())</f>
        <v>Electronics</v>
      </c>
      <c r="L802" s="1" t="str">
        <f aca="false">TEXT(D802,"yyyy-mm")</f>
        <v>2024-01</v>
      </c>
    </row>
    <row r="803" customFormat="false" ht="15" hidden="false" customHeight="true" outlineLevel="0" collapsed="false">
      <c r="A803" s="1" t="n">
        <v>823</v>
      </c>
      <c r="B803" s="1" t="n">
        <v>166</v>
      </c>
      <c r="C803" s="1" t="n">
        <v>56</v>
      </c>
      <c r="D803" s="1" t="s">
        <v>1566</v>
      </c>
      <c r="E803" s="1" t="n">
        <v>1</v>
      </c>
      <c r="F803" s="1" t="n">
        <v>160.64</v>
      </c>
      <c r="G803" s="1" t="n">
        <v>0.15</v>
      </c>
      <c r="H803" s="1" t="s">
        <v>1336</v>
      </c>
      <c r="I803" s="1" t="n">
        <v>136.54</v>
      </c>
      <c r="J803" s="1" t="str">
        <f aca="false">VLOOKUP(B803,Customers!$A$2:$G$502,6,FALSE())</f>
        <v>Small Business</v>
      </c>
      <c r="K803" s="1" t="str">
        <f aca="false">VLOOKUP(C803,Products!$A$2:$E$62,3,FALSE())</f>
        <v>Furniture</v>
      </c>
      <c r="L803" s="1" t="str">
        <f aca="false">TEXT(D803,"yyyy-mm")</f>
        <v>2024-12</v>
      </c>
    </row>
    <row r="804" customFormat="false" ht="15" hidden="false" customHeight="true" outlineLevel="0" collapsed="false">
      <c r="A804" s="1" t="n">
        <v>824</v>
      </c>
      <c r="B804" s="1" t="n">
        <v>189</v>
      </c>
      <c r="C804" s="1" t="n">
        <v>53</v>
      </c>
      <c r="D804" s="1" t="s">
        <v>1373</v>
      </c>
      <c r="E804" s="1" t="n">
        <v>1</v>
      </c>
      <c r="F804" s="1" t="n">
        <v>509.98</v>
      </c>
      <c r="G804" s="1" t="n">
        <v>0</v>
      </c>
      <c r="H804" s="1" t="s">
        <v>1346</v>
      </c>
      <c r="I804" s="1" t="n">
        <v>509.98</v>
      </c>
      <c r="J804" s="1" t="str">
        <f aca="false">VLOOKUP(B804,Customers!$A$2:$G$502,6,FALSE())</f>
        <v>Small Business</v>
      </c>
      <c r="K804" s="1" t="str">
        <f aca="false">VLOOKUP(C804,Products!$A$2:$E$62,3,FALSE())</f>
        <v>Software</v>
      </c>
      <c r="L804" s="1" t="str">
        <f aca="false">TEXT(D804,"yyyy-mm")</f>
        <v>2024-07</v>
      </c>
    </row>
    <row r="805" customFormat="false" ht="15" hidden="false" customHeight="true" outlineLevel="0" collapsed="false">
      <c r="A805" s="1" t="n">
        <v>825</v>
      </c>
      <c r="B805" s="1" t="n">
        <v>57</v>
      </c>
      <c r="C805" s="1" t="n">
        <v>4</v>
      </c>
      <c r="D805" s="1" t="s">
        <v>1406</v>
      </c>
      <c r="E805" s="1" t="n">
        <v>6</v>
      </c>
      <c r="F805" s="1" t="n">
        <v>56.24</v>
      </c>
      <c r="G805" s="1" t="n">
        <v>0</v>
      </c>
      <c r="H805" s="1" t="s">
        <v>1336</v>
      </c>
      <c r="I805" s="1" t="n">
        <v>337.44</v>
      </c>
      <c r="J805" s="1" t="str">
        <f aca="false">VLOOKUP(B805,Customers!$A$2:$G$502,6,FALSE())</f>
        <v>Consumer</v>
      </c>
      <c r="K805" s="1" t="str">
        <f aca="false">VLOOKUP(C805,Products!$A$2:$E$62,3,FALSE())</f>
        <v>Electronics</v>
      </c>
      <c r="L805" s="1" t="str">
        <f aca="false">TEXT(D805,"yyyy-mm")</f>
        <v>2023-11</v>
      </c>
    </row>
    <row r="806" customFormat="false" ht="15" hidden="false" customHeight="true" outlineLevel="0" collapsed="false">
      <c r="A806" s="1" t="n">
        <v>826</v>
      </c>
      <c r="B806" s="1" t="n">
        <v>358</v>
      </c>
      <c r="C806" s="1" t="n">
        <v>11</v>
      </c>
      <c r="D806" s="1" t="s">
        <v>1117</v>
      </c>
      <c r="E806" s="1" t="n">
        <v>2</v>
      </c>
      <c r="F806" s="1" t="n">
        <v>328.39</v>
      </c>
      <c r="G806" s="1" t="n">
        <v>0.1</v>
      </c>
      <c r="H806" s="1" t="s">
        <v>1336</v>
      </c>
      <c r="I806" s="1" t="n">
        <v>591.1</v>
      </c>
      <c r="J806" s="1" t="str">
        <f aca="false">VLOOKUP(B806,Customers!$A$2:$G$502,6,FALSE())</f>
        <v>Corporate</v>
      </c>
      <c r="K806" s="1" t="str">
        <f aca="false">VLOOKUP(C806,Products!$A$2:$E$62,3,FALSE())</f>
        <v>Electronics</v>
      </c>
      <c r="L806" s="1" t="str">
        <f aca="false">TEXT(D806,"yyyy-mm")</f>
        <v>2023-05</v>
      </c>
    </row>
    <row r="807" customFormat="false" ht="15" hidden="false" customHeight="true" outlineLevel="0" collapsed="false">
      <c r="A807" s="1" t="n">
        <v>827</v>
      </c>
      <c r="B807" s="1" t="n">
        <v>455</v>
      </c>
      <c r="C807" s="1" t="n">
        <v>55</v>
      </c>
      <c r="D807" s="1" t="s">
        <v>1556</v>
      </c>
      <c r="E807" s="1" t="n">
        <v>5</v>
      </c>
      <c r="F807" s="1" t="n">
        <v>123.38</v>
      </c>
      <c r="G807" s="1" t="n">
        <v>0.15</v>
      </c>
      <c r="H807" s="1" t="s">
        <v>1336</v>
      </c>
      <c r="I807" s="1" t="n">
        <v>524.36</v>
      </c>
      <c r="J807" s="1" t="str">
        <f aca="false">VLOOKUP(B807,Customers!$A$2:$G$502,6,FALSE())</f>
        <v>Consumer</v>
      </c>
      <c r="K807" s="1" t="str">
        <f aca="false">VLOOKUP(C807,Products!$A$2:$E$62,3,FALSE())</f>
        <v>Furniture</v>
      </c>
      <c r="L807" s="1" t="str">
        <f aca="false">TEXT(D807,"yyyy-mm")</f>
        <v>2024-02</v>
      </c>
    </row>
    <row r="808" customFormat="false" ht="15" hidden="false" customHeight="true" outlineLevel="0" collapsed="false">
      <c r="A808" s="1" t="n">
        <v>828</v>
      </c>
      <c r="B808" s="1" t="n">
        <v>339</v>
      </c>
      <c r="C808" s="1" t="n">
        <v>32</v>
      </c>
      <c r="D808" s="1" t="s">
        <v>772</v>
      </c>
      <c r="E808" s="1" t="n">
        <v>1</v>
      </c>
      <c r="F808" s="1" t="n">
        <v>492.27</v>
      </c>
      <c r="G808" s="1" t="n">
        <v>0</v>
      </c>
      <c r="H808" s="1" t="s">
        <v>1336</v>
      </c>
      <c r="I808" s="1" t="n">
        <v>492.27</v>
      </c>
      <c r="J808" s="1" t="str">
        <f aca="false">VLOOKUP(B808,Customers!$A$2:$G$502,6,FALSE())</f>
        <v>Corporate</v>
      </c>
      <c r="K808" s="1" t="str">
        <f aca="false">VLOOKUP(C808,Products!$A$2:$E$62,3,FALSE())</f>
        <v>Office Supplies</v>
      </c>
      <c r="L808" s="1" t="str">
        <f aca="false">TEXT(D808,"yyyy-mm")</f>
        <v>2023-10</v>
      </c>
    </row>
    <row r="809" customFormat="false" ht="15" hidden="false" customHeight="true" outlineLevel="0" collapsed="false">
      <c r="A809" s="1" t="n">
        <v>829</v>
      </c>
      <c r="B809" s="1" t="n">
        <v>365</v>
      </c>
      <c r="C809" s="1" t="n">
        <v>6</v>
      </c>
      <c r="D809" s="1" t="s">
        <v>1433</v>
      </c>
      <c r="E809" s="1" t="n">
        <v>7</v>
      </c>
      <c r="F809" s="1" t="n">
        <v>28.51</v>
      </c>
      <c r="G809" s="1" t="n">
        <v>0.1</v>
      </c>
      <c r="H809" s="1" t="s">
        <v>1336</v>
      </c>
      <c r="I809" s="1" t="n">
        <v>179.61</v>
      </c>
      <c r="J809" s="1" t="str">
        <f aca="false">VLOOKUP(B809,Customers!$A$2:$G$502,6,FALSE())</f>
        <v>Small Business</v>
      </c>
      <c r="K809" s="1" t="str">
        <f aca="false">VLOOKUP(C809,Products!$A$2:$E$62,3,FALSE())</f>
        <v>Electronics</v>
      </c>
      <c r="L809" s="1" t="str">
        <f aca="false">TEXT(D809,"yyyy-mm")</f>
        <v>2023-12</v>
      </c>
    </row>
    <row r="810" customFormat="false" ht="15" hidden="false" customHeight="true" outlineLevel="0" collapsed="false">
      <c r="A810" s="1" t="n">
        <v>830</v>
      </c>
      <c r="B810" s="1" t="n">
        <v>356</v>
      </c>
      <c r="C810" s="1" t="n">
        <v>5</v>
      </c>
      <c r="D810" s="1" t="s">
        <v>909</v>
      </c>
      <c r="E810" s="1" t="n">
        <v>1</v>
      </c>
      <c r="F810" s="1" t="n">
        <v>439.06</v>
      </c>
      <c r="G810" s="1" t="n">
        <v>0.05</v>
      </c>
      <c r="H810" s="1" t="s">
        <v>1336</v>
      </c>
      <c r="I810" s="1" t="n">
        <v>417.11</v>
      </c>
      <c r="J810" s="1" t="str">
        <f aca="false">VLOOKUP(B810,Customers!$A$2:$G$502,6,FALSE())</f>
        <v>Consumer</v>
      </c>
      <c r="K810" s="1" t="str">
        <f aca="false">VLOOKUP(C810,Products!$A$2:$E$62,3,FALSE())</f>
        <v>Electronics</v>
      </c>
      <c r="L810" s="1" t="str">
        <f aca="false">TEXT(D810,"yyyy-mm")</f>
        <v>2023-03</v>
      </c>
    </row>
    <row r="811" customFormat="false" ht="15" hidden="false" customHeight="true" outlineLevel="0" collapsed="false">
      <c r="A811" s="1" t="n">
        <v>831</v>
      </c>
      <c r="B811" s="1" t="n">
        <v>97</v>
      </c>
      <c r="C811" s="1" t="n">
        <v>32</v>
      </c>
      <c r="D811" s="1" t="s">
        <v>1570</v>
      </c>
      <c r="E811" s="1" t="n">
        <v>4</v>
      </c>
      <c r="F811" s="1" t="n">
        <v>492.27</v>
      </c>
      <c r="G811" s="1" t="n">
        <v>0</v>
      </c>
      <c r="H811" s="1" t="s">
        <v>1336</v>
      </c>
      <c r="I811" s="1" t="n">
        <v>1969.08</v>
      </c>
      <c r="J811" s="1" t="str">
        <f aca="false">VLOOKUP(B811,Customers!$A$2:$G$502,6,FALSE())</f>
        <v>Corporate</v>
      </c>
      <c r="K811" s="1" t="str">
        <f aca="false">VLOOKUP(C811,Products!$A$2:$E$62,3,FALSE())</f>
        <v>Office Supplies</v>
      </c>
      <c r="L811" s="1" t="str">
        <f aca="false">TEXT(D811,"yyyy-mm")</f>
        <v>2023-04</v>
      </c>
    </row>
    <row r="812" customFormat="false" ht="15" hidden="false" customHeight="true" outlineLevel="0" collapsed="false">
      <c r="A812" s="1" t="n">
        <v>832</v>
      </c>
      <c r="B812" s="1" t="n">
        <v>390</v>
      </c>
      <c r="C812" s="1" t="n">
        <v>20</v>
      </c>
      <c r="D812" s="1" t="s">
        <v>958</v>
      </c>
      <c r="E812" s="1" t="n">
        <v>9</v>
      </c>
      <c r="F812" s="1" t="n">
        <v>426.15</v>
      </c>
      <c r="G812" s="1" t="n">
        <v>0.05</v>
      </c>
      <c r="H812" s="1" t="s">
        <v>1336</v>
      </c>
      <c r="I812" s="1" t="n">
        <v>3643.58</v>
      </c>
      <c r="J812" s="1" t="str">
        <f aca="false">VLOOKUP(B812,Customers!$A$2:$G$502,6,FALSE())</f>
        <v>Small Business</v>
      </c>
      <c r="K812" s="1" t="str">
        <f aca="false">VLOOKUP(C812,Products!$A$2:$E$62,3,FALSE())</f>
        <v>Office Supplies</v>
      </c>
      <c r="L812" s="1" t="str">
        <f aca="false">TEXT(D812,"yyyy-mm")</f>
        <v>2024-12</v>
      </c>
    </row>
    <row r="813" customFormat="false" ht="15" hidden="false" customHeight="true" outlineLevel="0" collapsed="false">
      <c r="A813" s="1" t="n">
        <v>833</v>
      </c>
      <c r="B813" s="1" t="n">
        <v>470</v>
      </c>
      <c r="C813" s="1" t="n">
        <v>24</v>
      </c>
      <c r="D813" s="1" t="s">
        <v>756</v>
      </c>
      <c r="E813" s="1" t="n">
        <v>1</v>
      </c>
      <c r="F813" s="1" t="n">
        <v>207.34</v>
      </c>
      <c r="G813" s="1" t="n">
        <v>0.05</v>
      </c>
      <c r="H813" s="1" t="s">
        <v>1336</v>
      </c>
      <c r="I813" s="1" t="n">
        <v>196.97</v>
      </c>
      <c r="J813" s="1" t="str">
        <f aca="false">VLOOKUP(B813,Customers!$A$2:$G$502,6,FALSE())</f>
        <v>Corporate</v>
      </c>
      <c r="K813" s="1" t="str">
        <f aca="false">VLOOKUP(C813,Products!$A$2:$E$62,3,FALSE())</f>
        <v>Office Supplies</v>
      </c>
      <c r="L813" s="1" t="str">
        <f aca="false">TEXT(D813,"yyyy-mm")</f>
        <v>2024-01</v>
      </c>
    </row>
    <row r="814" customFormat="false" ht="15" hidden="false" customHeight="true" outlineLevel="0" collapsed="false">
      <c r="A814" s="1" t="n">
        <v>834</v>
      </c>
      <c r="B814" s="1" t="n">
        <v>143</v>
      </c>
      <c r="C814" s="1" t="n">
        <v>28</v>
      </c>
      <c r="D814" s="1" t="s">
        <v>560</v>
      </c>
      <c r="E814" s="1" t="n">
        <v>4</v>
      </c>
      <c r="F814" s="1" t="n">
        <v>505.23</v>
      </c>
      <c r="G814" s="1" t="n">
        <v>0.15</v>
      </c>
      <c r="H814" s="1" t="s">
        <v>1336</v>
      </c>
      <c r="I814" s="1" t="n">
        <v>1717.78</v>
      </c>
      <c r="J814" s="1" t="str">
        <f aca="false">VLOOKUP(B814,Customers!$A$2:$G$502,6,FALSE())</f>
        <v>Small Business</v>
      </c>
      <c r="K814" s="1" t="str">
        <f aca="false">VLOOKUP(C814,Products!$A$2:$E$62,3,FALSE())</f>
        <v>Office Supplies</v>
      </c>
      <c r="L814" s="1" t="str">
        <f aca="false">TEXT(D814,"yyyy-mm")</f>
        <v>2023-06</v>
      </c>
    </row>
    <row r="815" customFormat="false" ht="15" hidden="false" customHeight="true" outlineLevel="0" collapsed="false">
      <c r="A815" s="1" t="n">
        <v>835</v>
      </c>
      <c r="B815" s="1" t="n">
        <v>449</v>
      </c>
      <c r="C815" s="1" t="n">
        <v>7</v>
      </c>
      <c r="D815" s="1" t="s">
        <v>381</v>
      </c>
      <c r="E815" s="1" t="n">
        <v>6</v>
      </c>
      <c r="F815" s="1" t="n">
        <v>460</v>
      </c>
      <c r="G815" s="1" t="n">
        <v>0</v>
      </c>
      <c r="H815" s="1" t="s">
        <v>1336</v>
      </c>
      <c r="I815" s="1" t="n">
        <v>2760</v>
      </c>
      <c r="J815" s="1" t="str">
        <f aca="false">VLOOKUP(B815,Customers!$A$2:$G$502,6,FALSE())</f>
        <v>Corporate</v>
      </c>
      <c r="K815" s="1" t="str">
        <f aca="false">VLOOKUP(C815,Products!$A$2:$E$62,3,FALSE())</f>
        <v>Electronics</v>
      </c>
      <c r="L815" s="1" t="str">
        <f aca="false">TEXT(D815,"yyyy-mm")</f>
        <v>2023-04</v>
      </c>
    </row>
    <row r="816" customFormat="false" ht="15" hidden="false" customHeight="true" outlineLevel="0" collapsed="false">
      <c r="A816" s="1" t="n">
        <v>836</v>
      </c>
      <c r="B816" s="1" t="n">
        <v>272</v>
      </c>
      <c r="C816" s="1" t="n">
        <v>29</v>
      </c>
      <c r="D816" s="1" t="s">
        <v>810</v>
      </c>
      <c r="E816" s="1" t="n">
        <v>6</v>
      </c>
      <c r="F816" s="1" t="n">
        <v>54.62</v>
      </c>
      <c r="G816" s="1" t="n">
        <v>0</v>
      </c>
      <c r="H816" s="1" t="s">
        <v>1336</v>
      </c>
      <c r="I816" s="1" t="n">
        <v>327.72</v>
      </c>
      <c r="J816" s="1" t="str">
        <f aca="false">VLOOKUP(B816,Customers!$A$2:$G$502,6,FALSE())</f>
        <v>Consumer</v>
      </c>
      <c r="K816" s="1" t="str">
        <f aca="false">VLOOKUP(C816,Products!$A$2:$E$62,3,FALSE())</f>
        <v>Office Supplies</v>
      </c>
      <c r="L816" s="1" t="str">
        <f aca="false">TEXT(D816,"yyyy-mm")</f>
        <v>2023-12</v>
      </c>
    </row>
    <row r="817" customFormat="false" ht="15" hidden="false" customHeight="true" outlineLevel="0" collapsed="false">
      <c r="A817" s="1" t="n">
        <v>837</v>
      </c>
      <c r="B817" s="1" t="n">
        <v>204</v>
      </c>
      <c r="C817" s="1" t="n">
        <v>33</v>
      </c>
      <c r="D817" s="1" t="s">
        <v>333</v>
      </c>
      <c r="E817" s="1" t="n">
        <v>8</v>
      </c>
      <c r="F817" s="1" t="n">
        <v>190.1</v>
      </c>
      <c r="G817" s="1" t="n">
        <v>0.1</v>
      </c>
      <c r="H817" s="1" t="s">
        <v>1336</v>
      </c>
      <c r="I817" s="1" t="n">
        <v>1368.72</v>
      </c>
      <c r="J817" s="1" t="str">
        <f aca="false">VLOOKUP(B817,Customers!$A$2:$G$502,6,FALSE())</f>
        <v>Small Business</v>
      </c>
      <c r="K817" s="1" t="str">
        <f aca="false">VLOOKUP(C817,Products!$A$2:$E$62,3,FALSE())</f>
        <v>Office Supplies</v>
      </c>
      <c r="L817" s="1" t="str">
        <f aca="false">TEXT(D817,"yyyy-mm")</f>
        <v>2024-03</v>
      </c>
    </row>
    <row r="818" customFormat="false" ht="15" hidden="false" customHeight="true" outlineLevel="0" collapsed="false">
      <c r="A818" s="1" t="n">
        <v>838</v>
      </c>
      <c r="B818" s="1" t="n">
        <v>196</v>
      </c>
      <c r="C818" s="1" t="n">
        <v>47</v>
      </c>
      <c r="D818" s="1" t="s">
        <v>1459</v>
      </c>
      <c r="E818" s="1" t="n">
        <v>1</v>
      </c>
      <c r="F818" s="1" t="n">
        <v>506.19</v>
      </c>
      <c r="G818" s="1" t="n">
        <v>0</v>
      </c>
      <c r="H818" s="1" t="s">
        <v>1336</v>
      </c>
      <c r="I818" s="1" t="n">
        <v>506.19</v>
      </c>
      <c r="J818" s="1" t="str">
        <f aca="false">VLOOKUP(B818,Customers!$A$2:$G$502,6,FALSE())</f>
        <v>Corporate</v>
      </c>
      <c r="K818" s="1" t="str">
        <f aca="false">VLOOKUP(C818,Products!$A$2:$E$62,3,FALSE())</f>
        <v>Software</v>
      </c>
      <c r="L818" s="1" t="str">
        <f aca="false">TEXT(D818,"yyyy-mm")</f>
        <v>2024-03</v>
      </c>
    </row>
    <row r="819" customFormat="false" ht="15" hidden="false" customHeight="true" outlineLevel="0" collapsed="false">
      <c r="A819" s="1" t="n">
        <v>839</v>
      </c>
      <c r="B819" s="1" t="n">
        <v>253</v>
      </c>
      <c r="C819" s="1" t="n">
        <v>34</v>
      </c>
      <c r="D819" s="1" t="s">
        <v>1166</v>
      </c>
      <c r="E819" s="1" t="n">
        <v>7</v>
      </c>
      <c r="F819" s="1" t="n">
        <v>116.85</v>
      </c>
      <c r="G819" s="1" t="n">
        <v>0</v>
      </c>
      <c r="H819" s="1" t="s">
        <v>1336</v>
      </c>
      <c r="I819" s="1" t="n">
        <v>817.95</v>
      </c>
      <c r="J819" s="1" t="str">
        <f aca="false">VLOOKUP(B819,Customers!$A$2:$G$502,6,FALSE())</f>
        <v>Consumer</v>
      </c>
      <c r="K819" s="1" t="str">
        <f aca="false">VLOOKUP(C819,Products!$A$2:$E$62,3,FALSE())</f>
        <v>Office Supplies</v>
      </c>
      <c r="L819" s="1" t="str">
        <f aca="false">TEXT(D819,"yyyy-mm")</f>
        <v>2024-03</v>
      </c>
    </row>
    <row r="820" customFormat="false" ht="15" hidden="false" customHeight="true" outlineLevel="0" collapsed="false">
      <c r="A820" s="1" t="n">
        <v>840</v>
      </c>
      <c r="B820" s="1" t="n">
        <v>28</v>
      </c>
      <c r="C820" s="1" t="n">
        <v>58</v>
      </c>
      <c r="D820" s="1" t="s">
        <v>328</v>
      </c>
      <c r="E820" s="1" t="n">
        <v>1</v>
      </c>
      <c r="F820" s="1" t="n">
        <v>515.55</v>
      </c>
      <c r="G820" s="1" t="n">
        <v>0.1</v>
      </c>
      <c r="H820" s="1" t="s">
        <v>1336</v>
      </c>
      <c r="I820" s="1" t="n">
        <v>463.99</v>
      </c>
      <c r="J820" s="1" t="str">
        <f aca="false">VLOOKUP(B820,Customers!$A$2:$G$502,6,FALSE())</f>
        <v>Small Business</v>
      </c>
      <c r="K820" s="1" t="str">
        <f aca="false">VLOOKUP(C820,Products!$A$2:$E$62,3,FALSE())</f>
        <v>Furniture</v>
      </c>
      <c r="L820" s="1" t="str">
        <f aca="false">TEXT(D820,"yyyy-mm")</f>
        <v>2023-02</v>
      </c>
    </row>
    <row r="821" customFormat="false" ht="15" hidden="false" customHeight="true" outlineLevel="0" collapsed="false">
      <c r="A821" s="1" t="n">
        <v>841</v>
      </c>
      <c r="B821" s="1" t="n">
        <v>318</v>
      </c>
      <c r="C821" s="1" t="n">
        <v>45</v>
      </c>
      <c r="D821" s="1" t="s">
        <v>1571</v>
      </c>
      <c r="E821" s="1" t="n">
        <v>7</v>
      </c>
      <c r="F821" s="1" t="n">
        <v>560.01</v>
      </c>
      <c r="G821" s="1" t="n">
        <v>0.05</v>
      </c>
      <c r="H821" s="1" t="s">
        <v>1336</v>
      </c>
      <c r="I821" s="1" t="n">
        <v>3724.07</v>
      </c>
      <c r="J821" s="1" t="str">
        <f aca="false">VLOOKUP(B821,Customers!$A$2:$G$502,6,FALSE())</f>
        <v>Consumer</v>
      </c>
      <c r="K821" s="1" t="str">
        <f aca="false">VLOOKUP(C821,Products!$A$2:$E$62,3,FALSE())</f>
        <v>Software</v>
      </c>
      <c r="L821" s="1" t="str">
        <f aca="false">TEXT(D821,"yyyy-mm")</f>
        <v>2024-02</v>
      </c>
    </row>
    <row r="822" customFormat="false" ht="15" hidden="false" customHeight="true" outlineLevel="0" collapsed="false">
      <c r="A822" s="1" t="n">
        <v>842</v>
      </c>
      <c r="B822" s="1" t="n">
        <v>254</v>
      </c>
      <c r="C822" s="1" t="n">
        <v>14</v>
      </c>
      <c r="D822" s="1" t="s">
        <v>1398</v>
      </c>
      <c r="E822" s="1" t="n">
        <v>3</v>
      </c>
      <c r="F822" s="1" t="n">
        <v>135.27</v>
      </c>
      <c r="G822" s="1" t="n">
        <v>0.2</v>
      </c>
      <c r="H822" s="1" t="s">
        <v>1336</v>
      </c>
      <c r="I822" s="1" t="n">
        <v>324.65</v>
      </c>
      <c r="J822" s="1" t="str">
        <f aca="false">VLOOKUP(B822,Customers!$A$2:$G$502,6,FALSE())</f>
        <v>Small Business</v>
      </c>
      <c r="K822" s="1" t="str">
        <f aca="false">VLOOKUP(C822,Products!$A$2:$E$62,3,FALSE())</f>
        <v>Electronics</v>
      </c>
      <c r="L822" s="1" t="str">
        <f aca="false">TEXT(D822,"yyyy-mm")</f>
        <v>2023-06</v>
      </c>
    </row>
    <row r="823" customFormat="false" ht="15" hidden="false" customHeight="true" outlineLevel="0" collapsed="false">
      <c r="A823" s="1" t="n">
        <v>843</v>
      </c>
      <c r="B823" s="1" t="n">
        <v>2</v>
      </c>
      <c r="C823" s="1" t="n">
        <v>7</v>
      </c>
      <c r="D823" s="1" t="s">
        <v>1572</v>
      </c>
      <c r="E823" s="1" t="n">
        <v>8</v>
      </c>
      <c r="F823" s="1" t="n">
        <v>460</v>
      </c>
      <c r="G823" s="1" t="n">
        <v>0.1</v>
      </c>
      <c r="H823" s="1" t="s">
        <v>1346</v>
      </c>
      <c r="I823" s="1" t="n">
        <v>3312</v>
      </c>
      <c r="J823" s="1" t="str">
        <f aca="false">VLOOKUP(B823,Customers!$A$2:$G$502,6,FALSE())</f>
        <v>Small Business</v>
      </c>
      <c r="K823" s="1" t="str">
        <f aca="false">VLOOKUP(C823,Products!$A$2:$E$62,3,FALSE())</f>
        <v>Electronics</v>
      </c>
      <c r="L823" s="1" t="str">
        <f aca="false">TEXT(D823,"yyyy-mm")</f>
        <v>2023-07</v>
      </c>
    </row>
    <row r="824" customFormat="false" ht="15" hidden="false" customHeight="true" outlineLevel="0" collapsed="false">
      <c r="A824" s="1" t="n">
        <v>844</v>
      </c>
      <c r="B824" s="1" t="n">
        <v>353</v>
      </c>
      <c r="C824" s="1" t="n">
        <v>16</v>
      </c>
      <c r="D824" s="1" t="s">
        <v>1022</v>
      </c>
      <c r="E824" s="1" t="n">
        <v>3</v>
      </c>
      <c r="F824" s="1" t="n">
        <v>330.91</v>
      </c>
      <c r="G824" s="1" t="n">
        <v>0</v>
      </c>
      <c r="H824" s="1" t="s">
        <v>1336</v>
      </c>
      <c r="I824" s="1" t="n">
        <v>992.73</v>
      </c>
      <c r="J824" s="1" t="str">
        <f aca="false">VLOOKUP(B824,Customers!$A$2:$G$502,6,FALSE())</f>
        <v>Corporate</v>
      </c>
      <c r="K824" s="1" t="str">
        <f aca="false">VLOOKUP(C824,Products!$A$2:$E$62,3,FALSE())</f>
        <v>Electronics</v>
      </c>
      <c r="L824" s="1" t="str">
        <f aca="false">TEXT(D824,"yyyy-mm")</f>
        <v>2023-06</v>
      </c>
    </row>
    <row r="825" customFormat="false" ht="15" hidden="false" customHeight="true" outlineLevel="0" collapsed="false">
      <c r="A825" s="1" t="n">
        <v>845</v>
      </c>
      <c r="B825" s="1" t="n">
        <v>493</v>
      </c>
      <c r="C825" s="1" t="n">
        <v>1</v>
      </c>
      <c r="D825" s="1" t="s">
        <v>170</v>
      </c>
      <c r="E825" s="1" t="n">
        <v>1</v>
      </c>
      <c r="F825" s="1" t="n">
        <v>327.32</v>
      </c>
      <c r="G825" s="1" t="n">
        <v>0.05</v>
      </c>
      <c r="H825" s="1" t="s">
        <v>1336</v>
      </c>
      <c r="I825" s="1" t="n">
        <v>310.95</v>
      </c>
      <c r="J825" s="1" t="str">
        <f aca="false">VLOOKUP(B825,Customers!$A$2:$G$502,6,FALSE())</f>
        <v>Corporate</v>
      </c>
      <c r="K825" s="1" t="str">
        <f aca="false">VLOOKUP(C825,Products!$A$2:$E$62,3,FALSE())</f>
        <v>Electronics</v>
      </c>
      <c r="L825" s="1" t="str">
        <f aca="false">TEXT(D825,"yyyy-mm")</f>
        <v>2024-11</v>
      </c>
    </row>
    <row r="826" customFormat="false" ht="15" hidden="false" customHeight="true" outlineLevel="0" collapsed="false">
      <c r="A826" s="1" t="n">
        <v>846</v>
      </c>
      <c r="B826" s="1" t="n">
        <v>88</v>
      </c>
      <c r="C826" s="1" t="n">
        <v>44</v>
      </c>
      <c r="D826" s="1" t="s">
        <v>1497</v>
      </c>
      <c r="E826" s="1" t="n">
        <v>8</v>
      </c>
      <c r="F826" s="1" t="n">
        <v>508.26</v>
      </c>
      <c r="G826" s="1" t="n">
        <v>0</v>
      </c>
      <c r="H826" s="1" t="s">
        <v>1336</v>
      </c>
      <c r="I826" s="1" t="n">
        <v>4066.08</v>
      </c>
      <c r="J826" s="1" t="str">
        <f aca="false">VLOOKUP(B826,Customers!$A$2:$G$502,6,FALSE())</f>
        <v>Corporate</v>
      </c>
      <c r="K826" s="1" t="str">
        <f aca="false">VLOOKUP(C826,Products!$A$2:$E$62,3,FALSE())</f>
        <v>Software</v>
      </c>
      <c r="L826" s="1" t="str">
        <f aca="false">TEXT(D826,"yyyy-mm")</f>
        <v>2023-01</v>
      </c>
    </row>
    <row r="827" customFormat="false" ht="15" hidden="false" customHeight="true" outlineLevel="0" collapsed="false">
      <c r="A827" s="1" t="n">
        <v>847</v>
      </c>
      <c r="B827" s="1" t="n">
        <v>242</v>
      </c>
      <c r="C827" s="1" t="n">
        <v>8</v>
      </c>
      <c r="D827" s="1" t="s">
        <v>707</v>
      </c>
      <c r="E827" s="1" t="n">
        <v>3</v>
      </c>
      <c r="F827" s="1" t="n">
        <v>104.4</v>
      </c>
      <c r="G827" s="1" t="n">
        <v>0.2</v>
      </c>
      <c r="H827" s="1" t="s">
        <v>1336</v>
      </c>
      <c r="I827" s="1" t="n">
        <v>250.56</v>
      </c>
      <c r="J827" s="1" t="str">
        <f aca="false">VLOOKUP(B827,Customers!$A$2:$G$502,6,FALSE())</f>
        <v>Corporate</v>
      </c>
      <c r="K827" s="1" t="str">
        <f aca="false">VLOOKUP(C827,Products!$A$2:$E$62,3,FALSE())</f>
        <v>Electronics</v>
      </c>
      <c r="L827" s="1" t="str">
        <f aca="false">TEXT(D827,"yyyy-mm")</f>
        <v>2023-02</v>
      </c>
    </row>
    <row r="828" customFormat="false" ht="15" hidden="false" customHeight="true" outlineLevel="0" collapsed="false">
      <c r="A828" s="1" t="n">
        <v>848</v>
      </c>
      <c r="B828" s="1" t="n">
        <v>258</v>
      </c>
      <c r="C828" s="1" t="n">
        <v>11</v>
      </c>
      <c r="D828" s="1" t="s">
        <v>1447</v>
      </c>
      <c r="E828" s="1" t="n">
        <v>2</v>
      </c>
      <c r="F828" s="1" t="n">
        <v>328.39</v>
      </c>
      <c r="G828" s="1" t="n">
        <v>0.2</v>
      </c>
      <c r="H828" s="1" t="s">
        <v>1336</v>
      </c>
      <c r="I828" s="1" t="n">
        <v>525.42</v>
      </c>
      <c r="J828" s="1" t="str">
        <f aca="false">VLOOKUP(B828,Customers!$A$2:$G$502,6,FALSE())</f>
        <v>Small Business</v>
      </c>
      <c r="K828" s="1" t="str">
        <f aca="false">VLOOKUP(C828,Products!$A$2:$E$62,3,FALSE())</f>
        <v>Electronics</v>
      </c>
      <c r="L828" s="1" t="str">
        <f aca="false">TEXT(D828,"yyyy-mm")</f>
        <v>2023-05</v>
      </c>
    </row>
    <row r="829" customFormat="false" ht="15" hidden="false" customHeight="true" outlineLevel="0" collapsed="false">
      <c r="A829" s="1" t="n">
        <v>849</v>
      </c>
      <c r="B829" s="1" t="n">
        <v>377</v>
      </c>
      <c r="C829" s="1" t="n">
        <v>23</v>
      </c>
      <c r="D829" s="1" t="s">
        <v>143</v>
      </c>
      <c r="E829" s="1" t="n">
        <v>1</v>
      </c>
      <c r="F829" s="1" t="n">
        <v>188.73</v>
      </c>
      <c r="G829" s="1" t="n">
        <v>0</v>
      </c>
      <c r="H829" s="1" t="s">
        <v>1336</v>
      </c>
      <c r="I829" s="1" t="n">
        <v>188.73</v>
      </c>
      <c r="J829" s="1" t="str">
        <f aca="false">VLOOKUP(B829,Customers!$A$2:$G$502,6,FALSE())</f>
        <v>Corporate</v>
      </c>
      <c r="K829" s="1" t="str">
        <f aca="false">VLOOKUP(C829,Products!$A$2:$E$62,3,FALSE())</f>
        <v>Office Supplies</v>
      </c>
      <c r="L829" s="1" t="str">
        <f aca="false">TEXT(D829,"yyyy-mm")</f>
        <v>2024-07</v>
      </c>
    </row>
    <row r="830" customFormat="false" ht="15" hidden="false" customHeight="true" outlineLevel="0" collapsed="false">
      <c r="A830" s="1" t="n">
        <v>850</v>
      </c>
      <c r="B830" s="1" t="n">
        <v>155</v>
      </c>
      <c r="C830" s="1" t="n">
        <v>46</v>
      </c>
      <c r="D830" s="1" t="s">
        <v>377</v>
      </c>
      <c r="E830" s="1" t="n">
        <v>3</v>
      </c>
      <c r="F830" s="1" t="n">
        <v>94.92</v>
      </c>
      <c r="G830" s="1" t="n">
        <v>0.1</v>
      </c>
      <c r="H830" s="1" t="s">
        <v>1336</v>
      </c>
      <c r="I830" s="1" t="n">
        <v>256.28</v>
      </c>
      <c r="J830" s="1" t="str">
        <f aca="false">VLOOKUP(B830,Customers!$A$2:$G$502,6,FALSE())</f>
        <v>Consumer</v>
      </c>
      <c r="K830" s="1" t="str">
        <f aca="false">VLOOKUP(C830,Products!$A$2:$E$62,3,FALSE())</f>
        <v>Software</v>
      </c>
      <c r="L830" s="1" t="str">
        <f aca="false">TEXT(D830,"yyyy-mm")</f>
        <v>2023-12</v>
      </c>
    </row>
    <row r="831" customFormat="false" ht="15" hidden="false" customHeight="true" outlineLevel="0" collapsed="false">
      <c r="A831" s="1" t="n">
        <v>851</v>
      </c>
      <c r="B831" s="1" t="n">
        <v>58</v>
      </c>
      <c r="C831" s="1" t="n">
        <v>18</v>
      </c>
      <c r="D831" s="1" t="s">
        <v>1223</v>
      </c>
      <c r="E831" s="1" t="n">
        <v>2</v>
      </c>
      <c r="F831" s="1" t="n">
        <v>747.34</v>
      </c>
      <c r="G831" s="1" t="n">
        <v>0.1</v>
      </c>
      <c r="H831" s="1" t="s">
        <v>1336</v>
      </c>
      <c r="I831" s="1" t="n">
        <v>1345.21</v>
      </c>
      <c r="J831" s="1" t="str">
        <f aca="false">VLOOKUP(B831,Customers!$A$2:$G$502,6,FALSE())</f>
        <v>Consumer</v>
      </c>
      <c r="K831" s="1" t="str">
        <f aca="false">VLOOKUP(C831,Products!$A$2:$E$62,3,FALSE())</f>
        <v>Electronics</v>
      </c>
      <c r="L831" s="1" t="str">
        <f aca="false">TEXT(D831,"yyyy-mm")</f>
        <v>2024-12</v>
      </c>
    </row>
    <row r="832" customFormat="false" ht="15" hidden="false" customHeight="true" outlineLevel="0" collapsed="false">
      <c r="A832" s="1" t="n">
        <v>852</v>
      </c>
      <c r="B832" s="1" t="n">
        <v>338</v>
      </c>
      <c r="C832" s="1" t="n">
        <v>10</v>
      </c>
      <c r="D832" s="1" t="s">
        <v>1480</v>
      </c>
      <c r="E832" s="1" t="n">
        <v>2</v>
      </c>
      <c r="F832" s="1" t="n">
        <v>251.58</v>
      </c>
      <c r="G832" s="1" t="n">
        <v>0.05</v>
      </c>
      <c r="H832" s="1" t="s">
        <v>1336</v>
      </c>
      <c r="I832" s="1" t="n">
        <v>478</v>
      </c>
      <c r="J832" s="1" t="str">
        <f aca="false">VLOOKUP(B832,Customers!$A$2:$G$502,6,FALSE())</f>
        <v>Corporate</v>
      </c>
      <c r="K832" s="1" t="str">
        <f aca="false">VLOOKUP(C832,Products!$A$2:$E$62,3,FALSE())</f>
        <v>Electronics</v>
      </c>
      <c r="L832" s="1" t="str">
        <f aca="false">TEXT(D832,"yyyy-mm")</f>
        <v>2024-01</v>
      </c>
    </row>
    <row r="833" customFormat="false" ht="15" hidden="false" customHeight="true" outlineLevel="0" collapsed="false">
      <c r="A833" s="1" t="n">
        <v>853</v>
      </c>
      <c r="B833" s="1" t="n">
        <v>106</v>
      </c>
      <c r="C833" s="1" t="n">
        <v>48</v>
      </c>
      <c r="D833" s="1" t="s">
        <v>1419</v>
      </c>
      <c r="E833" s="1" t="n">
        <v>6</v>
      </c>
      <c r="F833" s="1" t="n">
        <v>493.53</v>
      </c>
      <c r="G833" s="1" t="n">
        <v>0</v>
      </c>
      <c r="H833" s="1" t="s">
        <v>1346</v>
      </c>
      <c r="I833" s="1" t="n">
        <v>2961.18</v>
      </c>
      <c r="J833" s="1" t="str">
        <f aca="false">VLOOKUP(B833,Customers!$A$2:$G$502,6,FALSE())</f>
        <v>Small Business</v>
      </c>
      <c r="K833" s="1" t="str">
        <f aca="false">VLOOKUP(C833,Products!$A$2:$E$62,3,FALSE())</f>
        <v>Software</v>
      </c>
      <c r="L833" s="1" t="str">
        <f aca="false">TEXT(D833,"yyyy-mm")</f>
        <v>2023-04</v>
      </c>
    </row>
    <row r="834" customFormat="false" ht="15" hidden="false" customHeight="true" outlineLevel="0" collapsed="false">
      <c r="A834" s="1" t="n">
        <v>854</v>
      </c>
      <c r="B834" s="1" t="n">
        <v>321</v>
      </c>
      <c r="C834" s="1" t="n">
        <v>44</v>
      </c>
      <c r="D834" s="1" t="s">
        <v>1558</v>
      </c>
      <c r="E834" s="1" t="n">
        <v>1</v>
      </c>
      <c r="F834" s="1" t="n">
        <v>508.26</v>
      </c>
      <c r="G834" s="1" t="n">
        <v>0.05</v>
      </c>
      <c r="H834" s="1" t="s">
        <v>1370</v>
      </c>
      <c r="I834" s="1" t="n">
        <v>482.85</v>
      </c>
      <c r="J834" s="1" t="str">
        <f aca="false">VLOOKUP(B834,Customers!$A$2:$G$502,6,FALSE())</f>
        <v>Small Business</v>
      </c>
      <c r="K834" s="1" t="str">
        <f aca="false">VLOOKUP(C834,Products!$A$2:$E$62,3,FALSE())</f>
        <v>Software</v>
      </c>
      <c r="L834" s="1" t="str">
        <f aca="false">TEXT(D834,"yyyy-mm")</f>
        <v>2024-07</v>
      </c>
    </row>
    <row r="835" customFormat="false" ht="15" hidden="false" customHeight="true" outlineLevel="0" collapsed="false">
      <c r="A835" s="1" t="n">
        <v>855</v>
      </c>
      <c r="B835" s="1" t="n">
        <v>179</v>
      </c>
      <c r="C835" s="1" t="n">
        <v>57</v>
      </c>
      <c r="D835" s="1" t="s">
        <v>1504</v>
      </c>
      <c r="E835" s="1" t="n">
        <v>2</v>
      </c>
      <c r="F835" s="1" t="n">
        <v>719.76</v>
      </c>
      <c r="G835" s="1" t="n">
        <v>0.05</v>
      </c>
      <c r="H835" s="1" t="s">
        <v>1336</v>
      </c>
      <c r="I835" s="1" t="n">
        <v>1367.54</v>
      </c>
      <c r="J835" s="1" t="str">
        <f aca="false">VLOOKUP(B835,Customers!$A$2:$G$502,6,FALSE())</f>
        <v>Small Business</v>
      </c>
      <c r="K835" s="1" t="str">
        <f aca="false">VLOOKUP(C835,Products!$A$2:$E$62,3,FALSE())</f>
        <v>Furniture</v>
      </c>
      <c r="L835" s="1" t="str">
        <f aca="false">TEXT(D835,"yyyy-mm")</f>
        <v>2023-12</v>
      </c>
    </row>
    <row r="836" customFormat="false" ht="15" hidden="false" customHeight="true" outlineLevel="0" collapsed="false">
      <c r="A836" s="1" t="n">
        <v>856</v>
      </c>
      <c r="B836" s="1" t="n">
        <v>297</v>
      </c>
      <c r="C836" s="1" t="n">
        <v>34</v>
      </c>
      <c r="D836" s="1" t="s">
        <v>783</v>
      </c>
      <c r="E836" s="1" t="n">
        <v>6</v>
      </c>
      <c r="F836" s="1" t="n">
        <v>116.85</v>
      </c>
      <c r="G836" s="1" t="n">
        <v>0</v>
      </c>
      <c r="H836" s="1" t="s">
        <v>1336</v>
      </c>
      <c r="I836" s="1" t="n">
        <v>701.1</v>
      </c>
      <c r="J836" s="1" t="str">
        <f aca="false">VLOOKUP(B836,Customers!$A$2:$G$502,6,FALSE())</f>
        <v>Corporate</v>
      </c>
      <c r="K836" s="1" t="str">
        <f aca="false">VLOOKUP(C836,Products!$A$2:$E$62,3,FALSE())</f>
        <v>Office Supplies</v>
      </c>
      <c r="L836" s="1" t="str">
        <f aca="false">TEXT(D836,"yyyy-mm")</f>
        <v>2024-12</v>
      </c>
    </row>
    <row r="837" customFormat="false" ht="15" hidden="false" customHeight="true" outlineLevel="0" collapsed="false">
      <c r="A837" s="1" t="n">
        <v>857</v>
      </c>
      <c r="B837" s="1" t="n">
        <v>406</v>
      </c>
      <c r="C837" s="1" t="n">
        <v>51</v>
      </c>
      <c r="D837" s="1" t="s">
        <v>1512</v>
      </c>
      <c r="E837" s="1" t="n">
        <v>3</v>
      </c>
      <c r="F837" s="1" t="n">
        <v>30.16</v>
      </c>
      <c r="G837" s="1" t="n">
        <v>0</v>
      </c>
      <c r="H837" s="1" t="s">
        <v>1336</v>
      </c>
      <c r="I837" s="1" t="n">
        <v>90.48</v>
      </c>
      <c r="J837" s="1" t="str">
        <f aca="false">VLOOKUP(B837,Customers!$A$2:$G$502,6,FALSE())</f>
        <v>Small Business</v>
      </c>
      <c r="K837" s="1" t="str">
        <f aca="false">VLOOKUP(C837,Products!$A$2:$E$62,3,FALSE())</f>
        <v>Software</v>
      </c>
      <c r="L837" s="1" t="str">
        <f aca="false">TEXT(D837,"yyyy-mm")</f>
        <v>2023-12</v>
      </c>
    </row>
    <row r="838" customFormat="false" ht="15" hidden="false" customHeight="true" outlineLevel="0" collapsed="false">
      <c r="A838" s="1" t="n">
        <v>858</v>
      </c>
      <c r="B838" s="1" t="n">
        <v>349</v>
      </c>
      <c r="C838" s="1" t="n">
        <v>10</v>
      </c>
      <c r="D838" s="1" t="s">
        <v>989</v>
      </c>
      <c r="E838" s="1" t="n">
        <v>4</v>
      </c>
      <c r="F838" s="1" t="n">
        <v>251.58</v>
      </c>
      <c r="G838" s="1" t="n">
        <v>0</v>
      </c>
      <c r="H838" s="1" t="s">
        <v>1336</v>
      </c>
      <c r="I838" s="1" t="n">
        <v>1006.32</v>
      </c>
      <c r="J838" s="1" t="str">
        <f aca="false">VLOOKUP(B838,Customers!$A$2:$G$502,6,FALSE())</f>
        <v>Consumer</v>
      </c>
      <c r="K838" s="1" t="str">
        <f aca="false">VLOOKUP(C838,Products!$A$2:$E$62,3,FALSE())</f>
        <v>Electronics</v>
      </c>
      <c r="L838" s="1" t="str">
        <f aca="false">TEXT(D838,"yyyy-mm")</f>
        <v>2024-06</v>
      </c>
    </row>
    <row r="839" customFormat="false" ht="15" hidden="false" customHeight="true" outlineLevel="0" collapsed="false">
      <c r="A839" s="1" t="n">
        <v>859</v>
      </c>
      <c r="B839" s="1" t="n">
        <v>410</v>
      </c>
      <c r="C839" s="1" t="n">
        <v>19</v>
      </c>
      <c r="D839" s="1" t="s">
        <v>1573</v>
      </c>
      <c r="E839" s="1" t="n">
        <v>1</v>
      </c>
      <c r="F839" s="1" t="n">
        <v>163.64</v>
      </c>
      <c r="G839" s="1" t="n">
        <v>0.05</v>
      </c>
      <c r="H839" s="1" t="s">
        <v>1336</v>
      </c>
      <c r="I839" s="1" t="n">
        <v>155.46</v>
      </c>
      <c r="J839" s="1" t="str">
        <f aca="false">VLOOKUP(B839,Customers!$A$2:$G$502,6,FALSE())</f>
        <v>Consumer</v>
      </c>
      <c r="K839" s="1" t="str">
        <f aca="false">VLOOKUP(C839,Products!$A$2:$E$62,3,FALSE())</f>
        <v>Office Supplies</v>
      </c>
      <c r="L839" s="1" t="str">
        <f aca="false">TEXT(D839,"yyyy-mm")</f>
        <v>2023-01</v>
      </c>
    </row>
    <row r="840" customFormat="false" ht="15" hidden="false" customHeight="true" outlineLevel="0" collapsed="false">
      <c r="A840" s="1" t="n">
        <v>860</v>
      </c>
      <c r="B840" s="1" t="n">
        <v>157</v>
      </c>
      <c r="C840" s="1" t="n">
        <v>1</v>
      </c>
      <c r="D840" s="1" t="s">
        <v>399</v>
      </c>
      <c r="E840" s="1" t="n">
        <v>8</v>
      </c>
      <c r="F840" s="1" t="n">
        <v>327.32</v>
      </c>
      <c r="G840" s="1" t="n">
        <v>0</v>
      </c>
      <c r="H840" s="1" t="s">
        <v>1336</v>
      </c>
      <c r="I840" s="1" t="n">
        <v>2618.56</v>
      </c>
      <c r="J840" s="1" t="str">
        <f aca="false">VLOOKUP(B840,Customers!$A$2:$G$502,6,FALSE())</f>
        <v>Corporate</v>
      </c>
      <c r="K840" s="1" t="str">
        <f aca="false">VLOOKUP(C840,Products!$A$2:$E$62,3,FALSE())</f>
        <v>Electronics</v>
      </c>
      <c r="L840" s="1" t="str">
        <f aca="false">TEXT(D840,"yyyy-mm")</f>
        <v>2024-03</v>
      </c>
    </row>
    <row r="841" customFormat="false" ht="15" hidden="false" customHeight="true" outlineLevel="0" collapsed="false">
      <c r="A841" s="1" t="n">
        <v>861</v>
      </c>
      <c r="B841" s="1" t="n">
        <v>146</v>
      </c>
      <c r="C841" s="1" t="n">
        <v>51</v>
      </c>
      <c r="D841" s="1" t="s">
        <v>722</v>
      </c>
      <c r="E841" s="1" t="n">
        <v>7</v>
      </c>
      <c r="F841" s="1" t="n">
        <v>30.16</v>
      </c>
      <c r="G841" s="1" t="n">
        <v>0.15</v>
      </c>
      <c r="H841" s="1" t="s">
        <v>1370</v>
      </c>
      <c r="I841" s="1" t="n">
        <v>179.45</v>
      </c>
      <c r="J841" s="1" t="str">
        <f aca="false">VLOOKUP(B841,Customers!$A$2:$G$502,6,FALSE())</f>
        <v>Consumer</v>
      </c>
      <c r="K841" s="1" t="str">
        <f aca="false">VLOOKUP(C841,Products!$A$2:$E$62,3,FALSE())</f>
        <v>Software</v>
      </c>
      <c r="L841" s="1" t="str">
        <f aca="false">TEXT(D841,"yyyy-mm")</f>
        <v>2024-05</v>
      </c>
    </row>
    <row r="842" customFormat="false" ht="15" hidden="false" customHeight="true" outlineLevel="0" collapsed="false">
      <c r="A842" s="1" t="n">
        <v>862</v>
      </c>
      <c r="B842" s="1" t="n">
        <v>74</v>
      </c>
      <c r="C842" s="1" t="n">
        <v>47</v>
      </c>
      <c r="D842" s="1" t="s">
        <v>1574</v>
      </c>
      <c r="E842" s="1" t="n">
        <v>7</v>
      </c>
      <c r="F842" s="1" t="n">
        <v>506.19</v>
      </c>
      <c r="G842" s="1" t="n">
        <v>0.05</v>
      </c>
      <c r="H842" s="1" t="s">
        <v>1336</v>
      </c>
      <c r="I842" s="1" t="n">
        <v>3366.16</v>
      </c>
      <c r="J842" s="1" t="str">
        <f aca="false">VLOOKUP(B842,Customers!$A$2:$G$502,6,FALSE())</f>
        <v>Consumer</v>
      </c>
      <c r="K842" s="1" t="str">
        <f aca="false">VLOOKUP(C842,Products!$A$2:$E$62,3,FALSE())</f>
        <v>Software</v>
      </c>
      <c r="L842" s="1" t="str">
        <f aca="false">TEXT(D842,"yyyy-mm")</f>
        <v>2023-07</v>
      </c>
    </row>
    <row r="843" customFormat="false" ht="15" hidden="false" customHeight="true" outlineLevel="0" collapsed="false">
      <c r="A843" s="1" t="n">
        <v>863</v>
      </c>
      <c r="B843" s="1" t="n">
        <v>182</v>
      </c>
      <c r="C843" s="1" t="n">
        <v>16</v>
      </c>
      <c r="D843" s="1" t="s">
        <v>1378</v>
      </c>
      <c r="E843" s="1" t="n">
        <v>3</v>
      </c>
      <c r="F843" s="1" t="n">
        <v>330.91</v>
      </c>
      <c r="G843" s="1" t="n">
        <v>0.15</v>
      </c>
      <c r="H843" s="1" t="s">
        <v>1336</v>
      </c>
      <c r="I843" s="1" t="n">
        <v>843.82</v>
      </c>
      <c r="J843" s="1" t="str">
        <f aca="false">VLOOKUP(B843,Customers!$A$2:$G$502,6,FALSE())</f>
        <v>Unknown</v>
      </c>
      <c r="K843" s="1" t="str">
        <f aca="false">VLOOKUP(C843,Products!$A$2:$E$62,3,FALSE())</f>
        <v>Electronics</v>
      </c>
      <c r="L843" s="1" t="str">
        <f aca="false">TEXT(D843,"yyyy-mm")</f>
        <v>2024-11</v>
      </c>
    </row>
    <row r="844" customFormat="false" ht="15" hidden="false" customHeight="true" outlineLevel="0" collapsed="false">
      <c r="A844" s="1" t="n">
        <v>864</v>
      </c>
      <c r="B844" s="1" t="n">
        <v>472</v>
      </c>
      <c r="C844" s="1" t="n">
        <v>20</v>
      </c>
      <c r="D844" s="1" t="s">
        <v>479</v>
      </c>
      <c r="E844" s="1" t="n">
        <v>3</v>
      </c>
      <c r="F844" s="1" t="n">
        <v>426.15</v>
      </c>
      <c r="G844" s="1" t="n">
        <v>0</v>
      </c>
      <c r="H844" s="1" t="s">
        <v>1336</v>
      </c>
      <c r="I844" s="1" t="n">
        <v>1278.45</v>
      </c>
      <c r="J844" s="1" t="str">
        <f aca="false">VLOOKUP(B844,Customers!$A$2:$G$502,6,FALSE())</f>
        <v>Consumer</v>
      </c>
      <c r="K844" s="1" t="str">
        <f aca="false">VLOOKUP(C844,Products!$A$2:$E$62,3,FALSE())</f>
        <v>Office Supplies</v>
      </c>
      <c r="L844" s="1" t="str">
        <f aca="false">TEXT(D844,"yyyy-mm")</f>
        <v>2024-09</v>
      </c>
    </row>
    <row r="845" customFormat="false" ht="15" hidden="false" customHeight="true" outlineLevel="0" collapsed="false">
      <c r="A845" s="1" t="n">
        <v>865</v>
      </c>
      <c r="B845" s="1" t="n">
        <v>72</v>
      </c>
      <c r="C845" s="1" t="n">
        <v>44</v>
      </c>
      <c r="D845" s="1" t="s">
        <v>1127</v>
      </c>
      <c r="E845" s="1" t="n">
        <v>2</v>
      </c>
      <c r="F845" s="1" t="n">
        <v>508.26</v>
      </c>
      <c r="G845" s="1" t="n">
        <v>0</v>
      </c>
      <c r="H845" s="1" t="s">
        <v>1336</v>
      </c>
      <c r="I845" s="1" t="n">
        <v>1016.52</v>
      </c>
      <c r="J845" s="1" t="str">
        <f aca="false">VLOOKUP(B845,Customers!$A$2:$G$502,6,FALSE())</f>
        <v>Corporate</v>
      </c>
      <c r="K845" s="1" t="str">
        <f aca="false">VLOOKUP(C845,Products!$A$2:$E$62,3,FALSE())</f>
        <v>Software</v>
      </c>
      <c r="L845" s="1" t="str">
        <f aca="false">TEXT(D845,"yyyy-mm")</f>
        <v>2023-07</v>
      </c>
    </row>
    <row r="846" customFormat="false" ht="15" hidden="false" customHeight="true" outlineLevel="0" collapsed="false">
      <c r="A846" s="1" t="n">
        <v>866</v>
      </c>
      <c r="B846" s="1" t="n">
        <v>291</v>
      </c>
      <c r="C846" s="1" t="n">
        <v>60</v>
      </c>
      <c r="D846" s="1" t="s">
        <v>1514</v>
      </c>
      <c r="E846" s="1" t="n">
        <v>1</v>
      </c>
      <c r="F846" s="1" t="n">
        <v>584.98</v>
      </c>
      <c r="G846" s="1" t="n">
        <v>0.05</v>
      </c>
      <c r="H846" s="1" t="s">
        <v>1336</v>
      </c>
      <c r="I846" s="1" t="n">
        <v>555.73</v>
      </c>
      <c r="J846" s="1" t="str">
        <f aca="false">VLOOKUP(B846,Customers!$A$2:$G$502,6,FALSE())</f>
        <v>Consumer</v>
      </c>
      <c r="K846" s="1" t="str">
        <f aca="false">VLOOKUP(C846,Products!$A$2:$E$62,3,FALSE())</f>
        <v>Furniture</v>
      </c>
      <c r="L846" s="1" t="str">
        <f aca="false">TEXT(D846,"yyyy-mm")</f>
        <v>2024-10</v>
      </c>
    </row>
    <row r="847" customFormat="false" ht="15" hidden="false" customHeight="true" outlineLevel="0" collapsed="false">
      <c r="A847" s="1" t="n">
        <v>867</v>
      </c>
      <c r="B847" s="1" t="n">
        <v>71</v>
      </c>
      <c r="C847" s="1" t="n">
        <v>34</v>
      </c>
      <c r="D847" s="1" t="s">
        <v>1442</v>
      </c>
      <c r="E847" s="1" t="n">
        <v>7</v>
      </c>
      <c r="F847" s="1" t="n">
        <v>116.85</v>
      </c>
      <c r="G847" s="1" t="n">
        <v>0.15</v>
      </c>
      <c r="H847" s="1" t="s">
        <v>1336</v>
      </c>
      <c r="I847" s="1" t="n">
        <v>695.26</v>
      </c>
      <c r="J847" s="1" t="str">
        <f aca="false">VLOOKUP(B847,Customers!$A$2:$G$502,6,FALSE())</f>
        <v>Corporate</v>
      </c>
      <c r="K847" s="1" t="str">
        <f aca="false">VLOOKUP(C847,Products!$A$2:$E$62,3,FALSE())</f>
        <v>Office Supplies</v>
      </c>
      <c r="L847" s="1" t="str">
        <f aca="false">TEXT(D847,"yyyy-mm")</f>
        <v>2024-03</v>
      </c>
    </row>
    <row r="848" customFormat="false" ht="15" hidden="false" customHeight="true" outlineLevel="0" collapsed="false">
      <c r="A848" s="1" t="n">
        <v>868</v>
      </c>
      <c r="B848" s="1" t="n">
        <v>219</v>
      </c>
      <c r="C848" s="1" t="n">
        <v>30</v>
      </c>
      <c r="D848" s="1" t="s">
        <v>1501</v>
      </c>
      <c r="E848" s="1" t="n">
        <v>7</v>
      </c>
      <c r="F848" s="1" t="n">
        <v>33.32</v>
      </c>
      <c r="G848" s="1" t="n">
        <v>0</v>
      </c>
      <c r="H848" s="1" t="s">
        <v>1336</v>
      </c>
      <c r="I848" s="1" t="n">
        <v>233.24</v>
      </c>
      <c r="J848" s="1" t="str">
        <f aca="false">VLOOKUP(B848,Customers!$A$2:$G$502,6,FALSE())</f>
        <v>Small Business</v>
      </c>
      <c r="K848" s="1" t="str">
        <f aca="false">VLOOKUP(C848,Products!$A$2:$E$62,3,FALSE())</f>
        <v>Office Supplies</v>
      </c>
      <c r="L848" s="1" t="str">
        <f aca="false">TEXT(D848,"yyyy-mm")</f>
        <v>2024-03</v>
      </c>
    </row>
    <row r="849" customFormat="false" ht="15" hidden="false" customHeight="true" outlineLevel="0" collapsed="false">
      <c r="A849" s="1" t="n">
        <v>869</v>
      </c>
      <c r="B849" s="1" t="n">
        <v>46</v>
      </c>
      <c r="C849" s="1" t="n">
        <v>49</v>
      </c>
      <c r="D849" s="1" t="s">
        <v>100</v>
      </c>
      <c r="E849" s="1" t="n">
        <v>2</v>
      </c>
      <c r="F849" s="1" t="n">
        <v>325.17</v>
      </c>
      <c r="G849" s="1" t="n">
        <v>0.1</v>
      </c>
      <c r="H849" s="1" t="s">
        <v>1346</v>
      </c>
      <c r="I849" s="1" t="n">
        <v>585.31</v>
      </c>
      <c r="J849" s="1" t="str">
        <f aca="false">VLOOKUP(B849,Customers!$A$2:$G$502,6,FALSE())</f>
        <v>Consumer</v>
      </c>
      <c r="K849" s="1" t="str">
        <f aca="false">VLOOKUP(C849,Products!$A$2:$E$62,3,FALSE())</f>
        <v>Software</v>
      </c>
      <c r="L849" s="1" t="str">
        <f aca="false">TEXT(D849,"yyyy-mm")</f>
        <v>2023-05</v>
      </c>
    </row>
    <row r="850" customFormat="false" ht="15" hidden="false" customHeight="true" outlineLevel="0" collapsed="false">
      <c r="A850" s="1" t="n">
        <v>870</v>
      </c>
      <c r="B850" s="1" t="n">
        <v>318</v>
      </c>
      <c r="C850" s="1" t="n">
        <v>35</v>
      </c>
      <c r="D850" s="1" t="s">
        <v>732</v>
      </c>
      <c r="E850" s="1" t="n">
        <v>7</v>
      </c>
      <c r="F850" s="1" t="n">
        <v>75.78</v>
      </c>
      <c r="G850" s="1" t="n">
        <v>0</v>
      </c>
      <c r="H850" s="1" t="s">
        <v>1336</v>
      </c>
      <c r="I850" s="1" t="n">
        <v>530.46</v>
      </c>
      <c r="J850" s="1" t="str">
        <f aca="false">VLOOKUP(B850,Customers!$A$2:$G$502,6,FALSE())</f>
        <v>Consumer</v>
      </c>
      <c r="K850" s="1" t="str">
        <f aca="false">VLOOKUP(C850,Products!$A$2:$E$62,3,FALSE())</f>
        <v>Software</v>
      </c>
      <c r="L850" s="1" t="str">
        <f aca="false">TEXT(D850,"yyyy-mm")</f>
        <v>2024-08</v>
      </c>
    </row>
    <row r="851" customFormat="false" ht="15" hidden="false" customHeight="true" outlineLevel="0" collapsed="false">
      <c r="A851" s="1" t="n">
        <v>871</v>
      </c>
      <c r="B851" s="1" t="n">
        <v>237</v>
      </c>
      <c r="C851" s="1" t="n">
        <v>52</v>
      </c>
      <c r="D851" s="1" t="s">
        <v>1500</v>
      </c>
      <c r="E851" s="1" t="n">
        <v>8</v>
      </c>
      <c r="F851" s="1" t="n">
        <v>207.67</v>
      </c>
      <c r="G851" s="1" t="n">
        <v>0.05</v>
      </c>
      <c r="H851" s="1" t="s">
        <v>1336</v>
      </c>
      <c r="I851" s="1" t="n">
        <v>1578.29</v>
      </c>
      <c r="J851" s="1" t="str">
        <f aca="false">VLOOKUP(B851,Customers!$A$2:$G$502,6,FALSE())</f>
        <v>Consumer</v>
      </c>
      <c r="K851" s="1" t="str">
        <f aca="false">VLOOKUP(C851,Products!$A$2:$E$62,3,FALSE())</f>
        <v>Software</v>
      </c>
      <c r="L851" s="1" t="str">
        <f aca="false">TEXT(D851,"yyyy-mm")</f>
        <v>2024-06</v>
      </c>
    </row>
    <row r="852" customFormat="false" ht="15" hidden="false" customHeight="true" outlineLevel="0" collapsed="false">
      <c r="A852" s="1" t="n">
        <v>872</v>
      </c>
      <c r="B852" s="1" t="n">
        <v>55</v>
      </c>
      <c r="C852" s="1" t="n">
        <v>22</v>
      </c>
      <c r="D852" s="1" t="s">
        <v>1371</v>
      </c>
      <c r="E852" s="1" t="n">
        <v>1</v>
      </c>
      <c r="F852" s="1" t="n">
        <v>38.57</v>
      </c>
      <c r="G852" s="1" t="n">
        <v>0</v>
      </c>
      <c r="H852" s="1" t="s">
        <v>1336</v>
      </c>
      <c r="I852" s="1" t="n">
        <v>38.57</v>
      </c>
      <c r="J852" s="1" t="str">
        <f aca="false">VLOOKUP(B852,Customers!$A$2:$G$502,6,FALSE())</f>
        <v>Consumer</v>
      </c>
      <c r="K852" s="1" t="str">
        <f aca="false">VLOOKUP(C852,Products!$A$2:$E$62,3,FALSE())</f>
        <v>Office Supplies</v>
      </c>
      <c r="L852" s="1" t="str">
        <f aca="false">TEXT(D852,"yyyy-mm")</f>
        <v>2024-08</v>
      </c>
    </row>
    <row r="853" customFormat="false" ht="15" hidden="false" customHeight="true" outlineLevel="0" collapsed="false">
      <c r="A853" s="1" t="n">
        <v>873</v>
      </c>
      <c r="B853" s="1" t="n">
        <v>63</v>
      </c>
      <c r="C853" s="1" t="n">
        <v>48</v>
      </c>
      <c r="D853" s="1" t="s">
        <v>937</v>
      </c>
      <c r="E853" s="1" t="n">
        <v>9</v>
      </c>
      <c r="F853" s="1" t="n">
        <v>493.53</v>
      </c>
      <c r="G853" s="1" t="n">
        <v>0.15</v>
      </c>
      <c r="H853" s="1" t="s">
        <v>1336</v>
      </c>
      <c r="I853" s="1" t="n">
        <v>3775.5</v>
      </c>
      <c r="J853" s="1" t="str">
        <f aca="false">VLOOKUP(B853,Customers!$A$2:$G$502,6,FALSE())</f>
        <v>Consumer</v>
      </c>
      <c r="K853" s="1" t="str">
        <f aca="false">VLOOKUP(C853,Products!$A$2:$E$62,3,FALSE())</f>
        <v>Software</v>
      </c>
      <c r="L853" s="1" t="str">
        <f aca="false">TEXT(D853,"yyyy-mm")</f>
        <v>2024-08</v>
      </c>
    </row>
    <row r="854" customFormat="false" ht="15" hidden="false" customHeight="true" outlineLevel="0" collapsed="false">
      <c r="A854" s="1" t="n">
        <v>874</v>
      </c>
      <c r="B854" s="1" t="n">
        <v>288</v>
      </c>
      <c r="C854" s="1" t="n">
        <v>48</v>
      </c>
      <c r="D854" s="1" t="s">
        <v>1575</v>
      </c>
      <c r="E854" s="1" t="n">
        <v>7</v>
      </c>
      <c r="F854" s="1" t="n">
        <v>493.53</v>
      </c>
      <c r="G854" s="1" t="n">
        <v>0</v>
      </c>
      <c r="H854" s="1" t="s">
        <v>1336</v>
      </c>
      <c r="I854" s="1" t="n">
        <v>3454.71</v>
      </c>
      <c r="J854" s="1" t="str">
        <f aca="false">VLOOKUP(B854,Customers!$A$2:$G$502,6,FALSE())</f>
        <v>Small Business</v>
      </c>
      <c r="K854" s="1" t="str">
        <f aca="false">VLOOKUP(C854,Products!$A$2:$E$62,3,FALSE())</f>
        <v>Software</v>
      </c>
      <c r="L854" s="1" t="str">
        <f aca="false">TEXT(D854,"yyyy-mm")</f>
        <v>2024-05</v>
      </c>
    </row>
    <row r="855" customFormat="false" ht="15" hidden="false" customHeight="true" outlineLevel="0" collapsed="false">
      <c r="A855" s="1" t="n">
        <v>876</v>
      </c>
      <c r="B855" s="1" t="n">
        <v>310</v>
      </c>
      <c r="C855" s="1" t="n">
        <v>57</v>
      </c>
      <c r="D855" s="1" t="s">
        <v>1519</v>
      </c>
      <c r="E855" s="1" t="n">
        <v>8</v>
      </c>
      <c r="F855" s="1" t="n">
        <v>719.76</v>
      </c>
      <c r="G855" s="1" t="n">
        <v>0.1</v>
      </c>
      <c r="H855" s="1" t="s">
        <v>1336</v>
      </c>
      <c r="I855" s="1" t="n">
        <v>5182.27</v>
      </c>
      <c r="J855" s="1" t="str">
        <f aca="false">VLOOKUP(B855,Customers!$A$2:$G$502,6,FALSE())</f>
        <v>Small Business</v>
      </c>
      <c r="K855" s="1" t="str">
        <f aca="false">VLOOKUP(C855,Products!$A$2:$E$62,3,FALSE())</f>
        <v>Furniture</v>
      </c>
      <c r="L855" s="1" t="str">
        <f aca="false">TEXT(D855,"yyyy-mm")</f>
        <v>2023-05</v>
      </c>
    </row>
    <row r="856" customFormat="false" ht="15" hidden="false" customHeight="true" outlineLevel="0" collapsed="false">
      <c r="A856" s="1" t="n">
        <v>877</v>
      </c>
      <c r="B856" s="1" t="n">
        <v>228</v>
      </c>
      <c r="C856" s="1" t="n">
        <v>26</v>
      </c>
      <c r="D856" s="1" t="s">
        <v>1576</v>
      </c>
      <c r="E856" s="1" t="n">
        <v>7</v>
      </c>
      <c r="F856" s="1" t="n">
        <v>733.85</v>
      </c>
      <c r="G856" s="1" t="n">
        <v>0</v>
      </c>
      <c r="H856" s="1" t="s">
        <v>1336</v>
      </c>
      <c r="I856" s="1" t="n">
        <v>5136.95</v>
      </c>
      <c r="J856" s="1" t="str">
        <f aca="false">VLOOKUP(B856,Customers!$A$2:$G$502,6,FALSE())</f>
        <v>Small Business</v>
      </c>
      <c r="K856" s="1" t="str">
        <f aca="false">VLOOKUP(C856,Products!$A$2:$E$62,3,FALSE())</f>
        <v>Office Supplies</v>
      </c>
      <c r="L856" s="1" t="str">
        <f aca="false">TEXT(D856,"yyyy-mm")</f>
        <v>2023-02</v>
      </c>
    </row>
    <row r="857" customFormat="false" ht="15" hidden="false" customHeight="true" outlineLevel="0" collapsed="false">
      <c r="A857" s="1" t="n">
        <v>878</v>
      </c>
      <c r="B857" s="1" t="n">
        <v>435</v>
      </c>
      <c r="C857" s="1" t="n">
        <v>35</v>
      </c>
      <c r="D857" s="1" t="s">
        <v>1577</v>
      </c>
      <c r="E857" s="1" t="n">
        <v>8</v>
      </c>
      <c r="F857" s="1" t="n">
        <v>75.78</v>
      </c>
      <c r="G857" s="1" t="n">
        <v>0.2</v>
      </c>
      <c r="H857" s="1" t="s">
        <v>1336</v>
      </c>
      <c r="I857" s="1" t="n">
        <v>484.99</v>
      </c>
      <c r="J857" s="1" t="str">
        <f aca="false">VLOOKUP(B857,Customers!$A$2:$G$502,6,FALSE())</f>
        <v>Unknown</v>
      </c>
      <c r="K857" s="1" t="str">
        <f aca="false">VLOOKUP(C857,Products!$A$2:$E$62,3,FALSE())</f>
        <v>Software</v>
      </c>
      <c r="L857" s="1" t="str">
        <f aca="false">TEXT(D857,"yyyy-mm")</f>
        <v>2023-09</v>
      </c>
    </row>
    <row r="858" customFormat="false" ht="15" hidden="false" customHeight="true" outlineLevel="0" collapsed="false">
      <c r="A858" s="1" t="n">
        <v>879</v>
      </c>
      <c r="B858" s="1" t="n">
        <v>75</v>
      </c>
      <c r="C858" s="1" t="n">
        <v>41</v>
      </c>
      <c r="D858" s="1" t="s">
        <v>924</v>
      </c>
      <c r="E858" s="1" t="n">
        <v>6</v>
      </c>
      <c r="F858" s="1" t="n">
        <v>594.54</v>
      </c>
      <c r="G858" s="1" t="n">
        <v>0</v>
      </c>
      <c r="H858" s="1" t="s">
        <v>1336</v>
      </c>
      <c r="I858" s="1" t="n">
        <v>3567.24</v>
      </c>
      <c r="J858" s="1" t="str">
        <f aca="false">VLOOKUP(B858,Customers!$A$2:$G$502,6,FALSE())</f>
        <v>Consumer</v>
      </c>
      <c r="K858" s="1" t="str">
        <f aca="false">VLOOKUP(C858,Products!$A$2:$E$62,3,FALSE())</f>
        <v>Software</v>
      </c>
      <c r="L858" s="1" t="str">
        <f aca="false">TEXT(D858,"yyyy-mm")</f>
        <v>2023-01</v>
      </c>
    </row>
    <row r="859" customFormat="false" ht="15" hidden="false" customHeight="true" outlineLevel="0" collapsed="false">
      <c r="A859" s="1" t="n">
        <v>880</v>
      </c>
      <c r="B859" s="1" t="n">
        <v>359</v>
      </c>
      <c r="C859" s="1" t="n">
        <v>35</v>
      </c>
      <c r="D859" s="1" t="s">
        <v>1578</v>
      </c>
      <c r="E859" s="1" t="n">
        <v>9</v>
      </c>
      <c r="F859" s="1" t="n">
        <v>75.78</v>
      </c>
      <c r="G859" s="1" t="n">
        <v>0.05</v>
      </c>
      <c r="H859" s="1" t="s">
        <v>1336</v>
      </c>
      <c r="I859" s="1" t="n">
        <v>647.92</v>
      </c>
      <c r="J859" s="1" t="str">
        <f aca="false">VLOOKUP(B859,Customers!$A$2:$G$502,6,FALSE())</f>
        <v>Small Business</v>
      </c>
      <c r="K859" s="1" t="str">
        <f aca="false">VLOOKUP(C859,Products!$A$2:$E$62,3,FALSE())</f>
        <v>Software</v>
      </c>
      <c r="L859" s="1" t="str">
        <f aca="false">TEXT(D859,"yyyy-mm")</f>
        <v>2023-07</v>
      </c>
    </row>
    <row r="860" customFormat="false" ht="15" hidden="false" customHeight="true" outlineLevel="0" collapsed="false">
      <c r="A860" s="1" t="n">
        <v>881</v>
      </c>
      <c r="B860" s="1" t="n">
        <v>189</v>
      </c>
      <c r="C860" s="1" t="n">
        <v>43</v>
      </c>
      <c r="D860" s="1" t="s">
        <v>1389</v>
      </c>
      <c r="E860" s="1" t="n">
        <v>5</v>
      </c>
      <c r="F860" s="1" t="n">
        <v>186.31</v>
      </c>
      <c r="G860" s="1" t="n">
        <v>0.05</v>
      </c>
      <c r="H860" s="1" t="s">
        <v>1336</v>
      </c>
      <c r="I860" s="1" t="n">
        <v>884.97</v>
      </c>
      <c r="J860" s="1" t="str">
        <f aca="false">VLOOKUP(B860,Customers!$A$2:$G$502,6,FALSE())</f>
        <v>Small Business</v>
      </c>
      <c r="K860" s="1" t="str">
        <f aca="false">VLOOKUP(C860,Products!$A$2:$E$62,3,FALSE())</f>
        <v>Software</v>
      </c>
      <c r="L860" s="1" t="str">
        <f aca="false">TEXT(D860,"yyyy-mm")</f>
        <v>2023-10</v>
      </c>
    </row>
    <row r="861" customFormat="false" ht="15" hidden="false" customHeight="true" outlineLevel="0" collapsed="false">
      <c r="A861" s="1" t="n">
        <v>882</v>
      </c>
      <c r="B861" s="1" t="n">
        <v>76</v>
      </c>
      <c r="C861" s="1" t="n">
        <v>2</v>
      </c>
      <c r="D861" s="1" t="s">
        <v>1530</v>
      </c>
      <c r="E861" s="1" t="n">
        <v>3</v>
      </c>
      <c r="F861" s="1" t="n">
        <v>498.15</v>
      </c>
      <c r="G861" s="1" t="n">
        <v>0.05</v>
      </c>
      <c r="H861" s="1" t="s">
        <v>1336</v>
      </c>
      <c r="I861" s="1" t="n">
        <v>1419.73</v>
      </c>
      <c r="J861" s="1" t="str">
        <f aca="false">VLOOKUP(B861,Customers!$A$2:$G$502,6,FALSE())</f>
        <v>Consumer</v>
      </c>
      <c r="K861" s="1" t="str">
        <f aca="false">VLOOKUP(C861,Products!$A$2:$E$62,3,FALSE())</f>
        <v>Electronics</v>
      </c>
      <c r="L861" s="1" t="str">
        <f aca="false">TEXT(D861,"yyyy-mm")</f>
        <v>2023-10</v>
      </c>
    </row>
    <row r="862" customFormat="false" ht="15" hidden="false" customHeight="true" outlineLevel="0" collapsed="false">
      <c r="A862" s="1" t="n">
        <v>883</v>
      </c>
      <c r="B862" s="1" t="n">
        <v>334</v>
      </c>
      <c r="C862" s="1" t="n">
        <v>58</v>
      </c>
      <c r="D862" s="1" t="s">
        <v>467</v>
      </c>
      <c r="E862" s="1" t="n">
        <v>3</v>
      </c>
      <c r="F862" s="1" t="n">
        <v>515.55</v>
      </c>
      <c r="G862" s="1" t="n">
        <v>0.1</v>
      </c>
      <c r="H862" s="1" t="s">
        <v>1336</v>
      </c>
      <c r="I862" s="1" t="n">
        <v>1391.98</v>
      </c>
      <c r="J862" s="1" t="str">
        <f aca="false">VLOOKUP(B862,Customers!$A$2:$G$502,6,FALSE())</f>
        <v>Unknown</v>
      </c>
      <c r="K862" s="1" t="str">
        <f aca="false">VLOOKUP(C862,Products!$A$2:$E$62,3,FALSE())</f>
        <v>Furniture</v>
      </c>
      <c r="L862" s="1" t="str">
        <f aca="false">TEXT(D862,"yyyy-mm")</f>
        <v>2024-11</v>
      </c>
    </row>
    <row r="863" customFormat="false" ht="15" hidden="false" customHeight="true" outlineLevel="0" collapsed="false">
      <c r="A863" s="1" t="n">
        <v>884</v>
      </c>
      <c r="B863" s="1" t="n">
        <v>452</v>
      </c>
      <c r="C863" s="1" t="n">
        <v>47</v>
      </c>
      <c r="D863" s="1" t="s">
        <v>1262</v>
      </c>
      <c r="E863" s="1" t="n">
        <v>1</v>
      </c>
      <c r="F863" s="1" t="n">
        <v>506.19</v>
      </c>
      <c r="G863" s="1" t="n">
        <v>0</v>
      </c>
      <c r="H863" s="1" t="s">
        <v>1336</v>
      </c>
      <c r="I863" s="1" t="n">
        <v>506.19</v>
      </c>
      <c r="J863" s="1" t="str">
        <f aca="false">VLOOKUP(B863,Customers!$A$2:$G$502,6,FALSE())</f>
        <v>Consumer</v>
      </c>
      <c r="K863" s="1" t="str">
        <f aca="false">VLOOKUP(C863,Products!$A$2:$E$62,3,FALSE())</f>
        <v>Software</v>
      </c>
      <c r="L863" s="1" t="str">
        <f aca="false">TEXT(D863,"yyyy-mm")</f>
        <v>2024-04</v>
      </c>
    </row>
    <row r="864" customFormat="false" ht="15" hidden="false" customHeight="true" outlineLevel="0" collapsed="false">
      <c r="A864" s="1" t="n">
        <v>885</v>
      </c>
      <c r="B864" s="1" t="n">
        <v>108</v>
      </c>
      <c r="C864" s="1" t="n">
        <v>23</v>
      </c>
      <c r="D864" s="1" t="s">
        <v>199</v>
      </c>
      <c r="E864" s="1" t="n">
        <v>8</v>
      </c>
      <c r="F864" s="1" t="n">
        <v>188.73</v>
      </c>
      <c r="G864" s="1" t="n">
        <v>0.1</v>
      </c>
      <c r="H864" s="1" t="s">
        <v>1336</v>
      </c>
      <c r="I864" s="1" t="n">
        <v>1358.86</v>
      </c>
      <c r="J864" s="1" t="str">
        <f aca="false">VLOOKUP(B864,Customers!$A$2:$G$502,6,FALSE())</f>
        <v>Consumer</v>
      </c>
      <c r="K864" s="1" t="str">
        <f aca="false">VLOOKUP(C864,Products!$A$2:$E$62,3,FALSE())</f>
        <v>Office Supplies</v>
      </c>
      <c r="L864" s="1" t="str">
        <f aca="false">TEXT(D864,"yyyy-mm")</f>
        <v>2024-12</v>
      </c>
    </row>
    <row r="865" customFormat="false" ht="15" hidden="false" customHeight="true" outlineLevel="0" collapsed="false">
      <c r="A865" s="1" t="n">
        <v>886</v>
      </c>
      <c r="B865" s="1" t="n">
        <v>369</v>
      </c>
      <c r="C865" s="1" t="n">
        <v>37</v>
      </c>
      <c r="D865" s="1" t="s">
        <v>440</v>
      </c>
      <c r="E865" s="1" t="n">
        <v>2</v>
      </c>
      <c r="F865" s="1" t="n">
        <v>13.95</v>
      </c>
      <c r="G865" s="1" t="n">
        <v>0.05</v>
      </c>
      <c r="H865" s="1" t="s">
        <v>1336</v>
      </c>
      <c r="I865" s="1" t="n">
        <v>26.5</v>
      </c>
      <c r="J865" s="1" t="str">
        <f aca="false">VLOOKUP(B865,Customers!$A$2:$G$502,6,FALSE())</f>
        <v>Corporate</v>
      </c>
      <c r="K865" s="1" t="str">
        <f aca="false">VLOOKUP(C865,Products!$A$2:$E$62,3,FALSE())</f>
        <v>Software</v>
      </c>
      <c r="L865" s="1" t="str">
        <f aca="false">TEXT(D865,"yyyy-mm")</f>
        <v>2023-12</v>
      </c>
    </row>
    <row r="866" customFormat="false" ht="15" hidden="false" customHeight="true" outlineLevel="0" collapsed="false">
      <c r="A866" s="1" t="n">
        <v>887</v>
      </c>
      <c r="B866" s="1" t="n">
        <v>156</v>
      </c>
      <c r="C866" s="1" t="n">
        <v>60</v>
      </c>
      <c r="D866" s="1" t="s">
        <v>1436</v>
      </c>
      <c r="E866" s="1" t="n">
        <v>3</v>
      </c>
      <c r="F866" s="1" t="n">
        <v>584.98</v>
      </c>
      <c r="G866" s="1" t="n">
        <v>0</v>
      </c>
      <c r="H866" s="1" t="s">
        <v>1346</v>
      </c>
      <c r="I866" s="1" t="n">
        <v>1754.94</v>
      </c>
      <c r="J866" s="1" t="str">
        <f aca="false">VLOOKUP(B866,Customers!$A$2:$G$502,6,FALSE())</f>
        <v>Corporate</v>
      </c>
      <c r="K866" s="1" t="str">
        <f aca="false">VLOOKUP(C866,Products!$A$2:$E$62,3,FALSE())</f>
        <v>Furniture</v>
      </c>
      <c r="L866" s="1" t="str">
        <f aca="false">TEXT(D866,"yyyy-mm")</f>
        <v>2024-02</v>
      </c>
    </row>
    <row r="867" customFormat="false" ht="15" hidden="false" customHeight="true" outlineLevel="0" collapsed="false">
      <c r="A867" s="1" t="n">
        <v>888</v>
      </c>
      <c r="B867" s="1" t="n">
        <v>338</v>
      </c>
      <c r="C867" s="1" t="n">
        <v>12</v>
      </c>
      <c r="D867" s="1" t="s">
        <v>435</v>
      </c>
      <c r="E867" s="1" t="n">
        <v>8</v>
      </c>
      <c r="F867" s="1" t="n">
        <v>179.23</v>
      </c>
      <c r="G867" s="1" t="n">
        <v>0.15</v>
      </c>
      <c r="H867" s="1" t="s">
        <v>1346</v>
      </c>
      <c r="I867" s="1" t="n">
        <v>1218.76</v>
      </c>
      <c r="J867" s="1" t="str">
        <f aca="false">VLOOKUP(B867,Customers!$A$2:$G$502,6,FALSE())</f>
        <v>Corporate</v>
      </c>
      <c r="K867" s="1" t="str">
        <f aca="false">VLOOKUP(C867,Products!$A$2:$E$62,3,FALSE())</f>
        <v>Electronics</v>
      </c>
      <c r="L867" s="1" t="str">
        <f aca="false">TEXT(D867,"yyyy-mm")</f>
        <v>2024-08</v>
      </c>
    </row>
    <row r="868" customFormat="false" ht="15" hidden="false" customHeight="true" outlineLevel="0" collapsed="false">
      <c r="A868" s="1" t="n">
        <v>889</v>
      </c>
      <c r="B868" s="1" t="n">
        <v>166</v>
      </c>
      <c r="C868" s="1" t="n">
        <v>38</v>
      </c>
      <c r="D868" s="1" t="s">
        <v>455</v>
      </c>
      <c r="E868" s="1" t="n">
        <v>8</v>
      </c>
      <c r="F868" s="1" t="n">
        <v>521.63</v>
      </c>
      <c r="G868" s="1" t="n">
        <v>0</v>
      </c>
      <c r="H868" s="1" t="s">
        <v>1336</v>
      </c>
      <c r="I868" s="1" t="n">
        <v>4173.04</v>
      </c>
      <c r="J868" s="1" t="str">
        <f aca="false">VLOOKUP(B868,Customers!$A$2:$G$502,6,FALSE())</f>
        <v>Small Business</v>
      </c>
      <c r="K868" s="1" t="str">
        <f aca="false">VLOOKUP(C868,Products!$A$2:$E$62,3,FALSE())</f>
        <v>Software</v>
      </c>
      <c r="L868" s="1" t="str">
        <f aca="false">TEXT(D868,"yyyy-mm")</f>
        <v>2024-08</v>
      </c>
    </row>
    <row r="869" customFormat="false" ht="15" hidden="false" customHeight="true" outlineLevel="0" collapsed="false">
      <c r="A869" s="1" t="n">
        <v>890</v>
      </c>
      <c r="B869" s="1" t="n">
        <v>376</v>
      </c>
      <c r="C869" s="1" t="n">
        <v>11</v>
      </c>
      <c r="D869" s="1" t="s">
        <v>1579</v>
      </c>
      <c r="E869" s="1" t="n">
        <v>4</v>
      </c>
      <c r="F869" s="1" t="n">
        <v>328.39</v>
      </c>
      <c r="G869" s="1" t="n">
        <v>0</v>
      </c>
      <c r="H869" s="1" t="s">
        <v>1336</v>
      </c>
      <c r="I869" s="1" t="n">
        <v>1313.56</v>
      </c>
      <c r="J869" s="1" t="str">
        <f aca="false">VLOOKUP(B869,Customers!$A$2:$G$502,6,FALSE())</f>
        <v>Consumer</v>
      </c>
      <c r="K869" s="1" t="str">
        <f aca="false">VLOOKUP(C869,Products!$A$2:$E$62,3,FALSE())</f>
        <v>Electronics</v>
      </c>
      <c r="L869" s="1" t="str">
        <f aca="false">TEXT(D869,"yyyy-mm")</f>
        <v>2023-08</v>
      </c>
    </row>
    <row r="870" customFormat="false" ht="15" hidden="false" customHeight="true" outlineLevel="0" collapsed="false">
      <c r="A870" s="1" t="n">
        <v>891</v>
      </c>
      <c r="B870" s="1" t="n">
        <v>119</v>
      </c>
      <c r="C870" s="1" t="n">
        <v>50</v>
      </c>
      <c r="D870" s="1" t="s">
        <v>1580</v>
      </c>
      <c r="E870" s="1" t="n">
        <v>4</v>
      </c>
      <c r="F870" s="1" t="n">
        <v>19.73</v>
      </c>
      <c r="G870" s="1" t="n">
        <v>0</v>
      </c>
      <c r="H870" s="1" t="s">
        <v>1346</v>
      </c>
      <c r="I870" s="1" t="n">
        <v>78.92</v>
      </c>
      <c r="J870" s="1" t="str">
        <f aca="false">VLOOKUP(B870,Customers!$A$2:$G$502,6,FALSE())</f>
        <v>Small Business</v>
      </c>
      <c r="K870" s="1" t="str">
        <f aca="false">VLOOKUP(C870,Products!$A$2:$E$62,3,FALSE())</f>
        <v>Software</v>
      </c>
      <c r="L870" s="1" t="str">
        <f aca="false">TEXT(D870,"yyyy-mm")</f>
        <v>2023-08</v>
      </c>
    </row>
    <row r="871" customFormat="false" ht="15" hidden="false" customHeight="true" outlineLevel="0" collapsed="false">
      <c r="A871" s="1" t="n">
        <v>892</v>
      </c>
      <c r="B871" s="1" t="n">
        <v>216</v>
      </c>
      <c r="C871" s="1" t="n">
        <v>60</v>
      </c>
      <c r="D871" s="1" t="s">
        <v>885</v>
      </c>
      <c r="E871" s="1" t="n">
        <v>5</v>
      </c>
      <c r="F871" s="1" t="n">
        <v>584.98</v>
      </c>
      <c r="G871" s="1" t="n">
        <v>0</v>
      </c>
      <c r="H871" s="1" t="s">
        <v>1336</v>
      </c>
      <c r="I871" s="1" t="n">
        <v>2924.9</v>
      </c>
      <c r="J871" s="1" t="str">
        <f aca="false">VLOOKUP(B871,Customers!$A$2:$G$502,6,FALSE())</f>
        <v>Consumer</v>
      </c>
      <c r="K871" s="1" t="str">
        <f aca="false">VLOOKUP(C871,Products!$A$2:$E$62,3,FALSE())</f>
        <v>Furniture</v>
      </c>
      <c r="L871" s="1" t="str">
        <f aca="false">TEXT(D871,"yyyy-mm")</f>
        <v>2023-03</v>
      </c>
    </row>
    <row r="872" customFormat="false" ht="15" hidden="false" customHeight="true" outlineLevel="0" collapsed="false">
      <c r="A872" s="1" t="n">
        <v>893</v>
      </c>
      <c r="B872" s="1" t="n">
        <v>391</v>
      </c>
      <c r="C872" s="1" t="n">
        <v>24</v>
      </c>
      <c r="D872" s="1" t="s">
        <v>1565</v>
      </c>
      <c r="E872" s="1" t="n">
        <v>6</v>
      </c>
      <c r="F872" s="1" t="n">
        <v>207.34</v>
      </c>
      <c r="G872" s="1" t="n">
        <v>0.15</v>
      </c>
      <c r="H872" s="1" t="s">
        <v>1336</v>
      </c>
      <c r="I872" s="1" t="n">
        <v>1057.43</v>
      </c>
      <c r="J872" s="1" t="str">
        <f aca="false">VLOOKUP(B872,Customers!$A$2:$G$502,6,FALSE())</f>
        <v>Small Business</v>
      </c>
      <c r="K872" s="1" t="str">
        <f aca="false">VLOOKUP(C872,Products!$A$2:$E$62,3,FALSE())</f>
        <v>Office Supplies</v>
      </c>
      <c r="L872" s="1" t="str">
        <f aca="false">TEXT(D872,"yyyy-mm")</f>
        <v>2024-09</v>
      </c>
    </row>
    <row r="873" customFormat="false" ht="15" hidden="false" customHeight="true" outlineLevel="0" collapsed="false">
      <c r="A873" s="1" t="n">
        <v>894</v>
      </c>
      <c r="B873" s="1" t="n">
        <v>194</v>
      </c>
      <c r="C873" s="1" t="n">
        <v>9</v>
      </c>
      <c r="D873" s="1" t="s">
        <v>1219</v>
      </c>
      <c r="E873" s="1" t="n">
        <v>5</v>
      </c>
      <c r="F873" s="1" t="n">
        <v>203.1</v>
      </c>
      <c r="G873" s="1" t="n">
        <v>0.1</v>
      </c>
      <c r="H873" s="1" t="s">
        <v>1336</v>
      </c>
      <c r="I873" s="1" t="n">
        <v>913.95</v>
      </c>
      <c r="J873" s="1" t="str">
        <f aca="false">VLOOKUP(B873,Customers!$A$2:$G$502,6,FALSE())</f>
        <v>Corporate</v>
      </c>
      <c r="K873" s="1" t="str">
        <f aca="false">VLOOKUP(C873,Products!$A$2:$E$62,3,FALSE())</f>
        <v>Electronics</v>
      </c>
      <c r="L873" s="1" t="str">
        <f aca="false">TEXT(D873,"yyyy-mm")</f>
        <v>2024-10</v>
      </c>
    </row>
    <row r="874" customFormat="false" ht="15" hidden="false" customHeight="true" outlineLevel="0" collapsed="false">
      <c r="A874" s="1" t="n">
        <v>895</v>
      </c>
      <c r="B874" s="1" t="n">
        <v>116</v>
      </c>
      <c r="C874" s="1" t="n">
        <v>13</v>
      </c>
      <c r="D874" s="1" t="s">
        <v>73</v>
      </c>
      <c r="E874" s="1" t="n">
        <v>7</v>
      </c>
      <c r="F874" s="1" t="n">
        <v>352.54</v>
      </c>
      <c r="G874" s="1" t="n">
        <v>0.05</v>
      </c>
      <c r="H874" s="1" t="s">
        <v>1336</v>
      </c>
      <c r="I874" s="1" t="n">
        <v>2344.39</v>
      </c>
      <c r="J874" s="1" t="str">
        <f aca="false">VLOOKUP(B874,Customers!$A$2:$G$502,6,FALSE())</f>
        <v>Corporate</v>
      </c>
      <c r="K874" s="1" t="str">
        <f aca="false">VLOOKUP(C874,Products!$A$2:$E$62,3,FALSE())</f>
        <v>Electronics</v>
      </c>
      <c r="L874" s="1" t="str">
        <f aca="false">TEXT(D874,"yyyy-mm")</f>
        <v>2023-06</v>
      </c>
    </row>
    <row r="875" customFormat="false" ht="15" hidden="false" customHeight="true" outlineLevel="0" collapsed="false">
      <c r="A875" s="1" t="n">
        <v>896</v>
      </c>
      <c r="B875" s="1" t="n">
        <v>323</v>
      </c>
      <c r="C875" s="1" t="n">
        <v>43</v>
      </c>
      <c r="D875" s="1" t="s">
        <v>1517</v>
      </c>
      <c r="E875" s="1" t="n">
        <v>2</v>
      </c>
      <c r="F875" s="1" t="n">
        <v>186.31</v>
      </c>
      <c r="G875" s="1" t="n">
        <v>0</v>
      </c>
      <c r="H875" s="1" t="s">
        <v>1336</v>
      </c>
      <c r="I875" s="1" t="n">
        <v>372.62</v>
      </c>
      <c r="J875" s="1" t="str">
        <f aca="false">VLOOKUP(B875,Customers!$A$2:$G$502,6,FALSE())</f>
        <v>Consumer</v>
      </c>
      <c r="K875" s="1" t="str">
        <f aca="false">VLOOKUP(C875,Products!$A$2:$E$62,3,FALSE())</f>
        <v>Software</v>
      </c>
      <c r="L875" s="1" t="str">
        <f aca="false">TEXT(D875,"yyyy-mm")</f>
        <v>2023-04</v>
      </c>
    </row>
    <row r="876" customFormat="false" ht="15" hidden="false" customHeight="true" outlineLevel="0" collapsed="false">
      <c r="A876" s="1" t="n">
        <v>897</v>
      </c>
      <c r="B876" s="1" t="n">
        <v>291</v>
      </c>
      <c r="C876" s="1" t="n">
        <v>35</v>
      </c>
      <c r="D876" s="1" t="s">
        <v>1337</v>
      </c>
      <c r="E876" s="1" t="n">
        <v>7</v>
      </c>
      <c r="F876" s="1" t="n">
        <v>75.78</v>
      </c>
      <c r="G876" s="1" t="n">
        <v>0</v>
      </c>
      <c r="H876" s="1" t="s">
        <v>1336</v>
      </c>
      <c r="I876" s="1" t="n">
        <v>530.46</v>
      </c>
      <c r="J876" s="1" t="str">
        <f aca="false">VLOOKUP(B876,Customers!$A$2:$G$502,6,FALSE())</f>
        <v>Consumer</v>
      </c>
      <c r="K876" s="1" t="str">
        <f aca="false">VLOOKUP(C876,Products!$A$2:$E$62,3,FALSE())</f>
        <v>Software</v>
      </c>
      <c r="L876" s="1" t="str">
        <f aca="false">TEXT(D876,"yyyy-mm")</f>
        <v>2023-03</v>
      </c>
    </row>
    <row r="877" customFormat="false" ht="15" hidden="false" customHeight="true" outlineLevel="0" collapsed="false">
      <c r="A877" s="1" t="n">
        <v>898</v>
      </c>
      <c r="B877" s="1" t="n">
        <v>255</v>
      </c>
      <c r="C877" s="1" t="n">
        <v>13</v>
      </c>
      <c r="D877" s="1" t="s">
        <v>1386</v>
      </c>
      <c r="E877" s="1" t="n">
        <v>7</v>
      </c>
      <c r="F877" s="1" t="n">
        <v>352.54</v>
      </c>
      <c r="G877" s="1" t="n">
        <v>0.1</v>
      </c>
      <c r="H877" s="1" t="s">
        <v>1336</v>
      </c>
      <c r="I877" s="1" t="n">
        <v>2221</v>
      </c>
      <c r="J877" s="1" t="str">
        <f aca="false">VLOOKUP(B877,Customers!$A$2:$G$502,6,FALSE())</f>
        <v>Corporate</v>
      </c>
      <c r="K877" s="1" t="str">
        <f aca="false">VLOOKUP(C877,Products!$A$2:$E$62,3,FALSE())</f>
        <v>Electronics</v>
      </c>
      <c r="L877" s="1" t="str">
        <f aca="false">TEXT(D877,"yyyy-mm")</f>
        <v>2023-08</v>
      </c>
    </row>
    <row r="878" customFormat="false" ht="15" hidden="false" customHeight="true" outlineLevel="0" collapsed="false">
      <c r="A878" s="1" t="n">
        <v>899</v>
      </c>
      <c r="B878" s="1" t="n">
        <v>437</v>
      </c>
      <c r="C878" s="1" t="n">
        <v>9</v>
      </c>
      <c r="D878" s="1" t="s">
        <v>986</v>
      </c>
      <c r="E878" s="1" t="n">
        <v>1</v>
      </c>
      <c r="F878" s="1" t="n">
        <v>203.1</v>
      </c>
      <c r="G878" s="1" t="n">
        <v>0.05</v>
      </c>
      <c r="H878" s="1" t="s">
        <v>1336</v>
      </c>
      <c r="I878" s="1" t="n">
        <v>192.94</v>
      </c>
      <c r="J878" s="1" t="str">
        <f aca="false">VLOOKUP(B878,Customers!$A$2:$G$502,6,FALSE())</f>
        <v>Small Business</v>
      </c>
      <c r="K878" s="1" t="str">
        <f aca="false">VLOOKUP(C878,Products!$A$2:$E$62,3,FALSE())</f>
        <v>Electronics</v>
      </c>
      <c r="L878" s="1" t="str">
        <f aca="false">TEXT(D878,"yyyy-mm")</f>
        <v>2023-03</v>
      </c>
    </row>
    <row r="879" customFormat="false" ht="15" hidden="false" customHeight="true" outlineLevel="0" collapsed="false">
      <c r="A879" s="1" t="n">
        <v>900</v>
      </c>
      <c r="B879" s="1" t="n">
        <v>401</v>
      </c>
      <c r="C879" s="1" t="n">
        <v>34</v>
      </c>
      <c r="D879" s="1" t="s">
        <v>1016</v>
      </c>
      <c r="E879" s="1" t="n">
        <v>7</v>
      </c>
      <c r="F879" s="1" t="n">
        <v>116.85</v>
      </c>
      <c r="G879" s="1" t="n">
        <v>0</v>
      </c>
      <c r="H879" s="1" t="s">
        <v>1336</v>
      </c>
      <c r="I879" s="1" t="n">
        <v>817.95</v>
      </c>
      <c r="J879" s="1" t="str">
        <f aca="false">VLOOKUP(B879,Customers!$A$2:$G$502,6,FALSE())</f>
        <v>Consumer</v>
      </c>
      <c r="K879" s="1" t="str">
        <f aca="false">VLOOKUP(C879,Products!$A$2:$E$62,3,FALSE())</f>
        <v>Office Supplies</v>
      </c>
      <c r="L879" s="1" t="str">
        <f aca="false">TEXT(D879,"yyyy-mm")</f>
        <v>2023-11</v>
      </c>
    </row>
    <row r="880" customFormat="false" ht="15" hidden="false" customHeight="true" outlineLevel="0" collapsed="false">
      <c r="A880" s="1" t="n">
        <v>901</v>
      </c>
      <c r="B880" s="1" t="n">
        <v>115</v>
      </c>
      <c r="C880" s="1" t="n">
        <v>53</v>
      </c>
      <c r="D880" s="1" t="s">
        <v>39</v>
      </c>
      <c r="E880" s="1" t="n">
        <v>5</v>
      </c>
      <c r="F880" s="1" t="n">
        <v>509.98</v>
      </c>
      <c r="G880" s="1" t="n">
        <v>0.2</v>
      </c>
      <c r="H880" s="1" t="s">
        <v>1336</v>
      </c>
      <c r="I880" s="1" t="n">
        <v>2039.92</v>
      </c>
      <c r="J880" s="1" t="str">
        <f aca="false">VLOOKUP(B880,Customers!$A$2:$G$502,6,FALSE())</f>
        <v>Small Business</v>
      </c>
      <c r="K880" s="1" t="str">
        <f aca="false">VLOOKUP(C880,Products!$A$2:$E$62,3,FALSE())</f>
        <v>Software</v>
      </c>
      <c r="L880" s="1" t="str">
        <f aca="false">TEXT(D880,"yyyy-mm")</f>
        <v>2023-10</v>
      </c>
    </row>
    <row r="881" customFormat="false" ht="15" hidden="false" customHeight="true" outlineLevel="0" collapsed="false">
      <c r="A881" s="1" t="n">
        <v>902</v>
      </c>
      <c r="B881" s="1" t="n">
        <v>496</v>
      </c>
      <c r="C881" s="1" t="n">
        <v>19</v>
      </c>
      <c r="D881" s="1" t="s">
        <v>909</v>
      </c>
      <c r="E881" s="1" t="n">
        <v>3</v>
      </c>
      <c r="F881" s="1" t="n">
        <v>163.64</v>
      </c>
      <c r="G881" s="1" t="n">
        <v>0.1</v>
      </c>
      <c r="H881" s="1" t="s">
        <v>1336</v>
      </c>
      <c r="I881" s="1" t="n">
        <v>441.83</v>
      </c>
      <c r="J881" s="1" t="str">
        <f aca="false">VLOOKUP(B881,Customers!$A$2:$G$502,6,FALSE())</f>
        <v>Small Business</v>
      </c>
      <c r="K881" s="1" t="str">
        <f aca="false">VLOOKUP(C881,Products!$A$2:$E$62,3,FALSE())</f>
        <v>Office Supplies</v>
      </c>
      <c r="L881" s="1" t="str">
        <f aca="false">TEXT(D881,"yyyy-mm")</f>
        <v>2023-03</v>
      </c>
    </row>
    <row r="882" customFormat="false" ht="15" hidden="false" customHeight="true" outlineLevel="0" collapsed="false">
      <c r="A882" s="1" t="n">
        <v>903</v>
      </c>
      <c r="B882" s="1" t="n">
        <v>205</v>
      </c>
      <c r="C882" s="1" t="n">
        <v>40</v>
      </c>
      <c r="D882" s="1" t="s">
        <v>1527</v>
      </c>
      <c r="E882" s="1" t="n">
        <v>3</v>
      </c>
      <c r="F882" s="1" t="n">
        <v>193.02</v>
      </c>
      <c r="G882" s="1" t="n">
        <v>0.1</v>
      </c>
      <c r="H882" s="1" t="s">
        <v>1336</v>
      </c>
      <c r="I882" s="1" t="n">
        <v>521.15</v>
      </c>
      <c r="J882" s="1" t="str">
        <f aca="false">VLOOKUP(B882,Customers!$A$2:$G$502,6,FALSE())</f>
        <v>Corporate</v>
      </c>
      <c r="K882" s="1" t="str">
        <f aca="false">VLOOKUP(C882,Products!$A$2:$E$62,3,FALSE())</f>
        <v>Software</v>
      </c>
      <c r="L882" s="1" t="str">
        <f aca="false">TEXT(D882,"yyyy-mm")</f>
        <v>2023-02</v>
      </c>
    </row>
    <row r="883" customFormat="false" ht="15" hidden="false" customHeight="true" outlineLevel="0" collapsed="false">
      <c r="A883" s="1" t="n">
        <v>904</v>
      </c>
      <c r="B883" s="1" t="n">
        <v>135</v>
      </c>
      <c r="C883" s="1" t="n">
        <v>42</v>
      </c>
      <c r="D883" s="1" t="s">
        <v>745</v>
      </c>
      <c r="E883" s="1" t="n">
        <v>4</v>
      </c>
      <c r="F883" s="1" t="n">
        <v>174.48</v>
      </c>
      <c r="G883" s="1" t="n">
        <v>0</v>
      </c>
      <c r="H883" s="1" t="s">
        <v>1336</v>
      </c>
      <c r="I883" s="1" t="n">
        <v>697.92</v>
      </c>
      <c r="J883" s="1" t="str">
        <f aca="false">VLOOKUP(B883,Customers!$A$2:$G$502,6,FALSE())</f>
        <v>Corporate</v>
      </c>
      <c r="K883" s="1" t="str">
        <f aca="false">VLOOKUP(C883,Products!$A$2:$E$62,3,FALSE())</f>
        <v>Software</v>
      </c>
      <c r="L883" s="1" t="str">
        <f aca="false">TEXT(D883,"yyyy-mm")</f>
        <v>2023-01</v>
      </c>
    </row>
    <row r="884" customFormat="false" ht="15" hidden="false" customHeight="true" outlineLevel="0" collapsed="false">
      <c r="A884" s="1" t="n">
        <v>905</v>
      </c>
      <c r="B884" s="1" t="n">
        <v>72</v>
      </c>
      <c r="C884" s="1" t="n">
        <v>14</v>
      </c>
      <c r="D884" s="1" t="s">
        <v>1410</v>
      </c>
      <c r="E884" s="1" t="n">
        <v>2</v>
      </c>
      <c r="F884" s="1" t="n">
        <v>135.27</v>
      </c>
      <c r="G884" s="1" t="n">
        <v>0.2</v>
      </c>
      <c r="H884" s="1" t="s">
        <v>1336</v>
      </c>
      <c r="I884" s="1" t="n">
        <v>216.43</v>
      </c>
      <c r="J884" s="1" t="str">
        <f aca="false">VLOOKUP(B884,Customers!$A$2:$G$502,6,FALSE())</f>
        <v>Corporate</v>
      </c>
      <c r="K884" s="1" t="str">
        <f aca="false">VLOOKUP(C884,Products!$A$2:$E$62,3,FALSE())</f>
        <v>Electronics</v>
      </c>
      <c r="L884" s="1" t="str">
        <f aca="false">TEXT(D884,"yyyy-mm")</f>
        <v>2024-07</v>
      </c>
    </row>
    <row r="885" customFormat="false" ht="15" hidden="false" customHeight="true" outlineLevel="0" collapsed="false">
      <c r="A885" s="1" t="n">
        <v>906</v>
      </c>
      <c r="B885" s="1" t="n">
        <v>121</v>
      </c>
      <c r="C885" s="1" t="n">
        <v>32</v>
      </c>
      <c r="D885" s="1" t="s">
        <v>697</v>
      </c>
      <c r="E885" s="1" t="n">
        <v>2</v>
      </c>
      <c r="F885" s="1" t="n">
        <v>492.27</v>
      </c>
      <c r="G885" s="1" t="n">
        <v>0.2</v>
      </c>
      <c r="H885" s="1" t="s">
        <v>1370</v>
      </c>
      <c r="I885" s="1" t="n">
        <v>787.63</v>
      </c>
      <c r="J885" s="1" t="str">
        <f aca="false">VLOOKUP(B885,Customers!$A$2:$G$502,6,FALSE())</f>
        <v>Consumer</v>
      </c>
      <c r="K885" s="1" t="str">
        <f aca="false">VLOOKUP(C885,Products!$A$2:$E$62,3,FALSE())</f>
        <v>Office Supplies</v>
      </c>
      <c r="L885" s="1" t="str">
        <f aca="false">TEXT(D885,"yyyy-mm")</f>
        <v>2023-03</v>
      </c>
    </row>
    <row r="886" customFormat="false" ht="15" hidden="false" customHeight="true" outlineLevel="0" collapsed="false">
      <c r="A886" s="1" t="n">
        <v>907</v>
      </c>
      <c r="B886" s="1" t="n">
        <v>19</v>
      </c>
      <c r="C886" s="1" t="n">
        <v>23</v>
      </c>
      <c r="D886" s="1" t="s">
        <v>1470</v>
      </c>
      <c r="E886" s="1" t="n">
        <v>1</v>
      </c>
      <c r="F886" s="1" t="n">
        <v>188.73</v>
      </c>
      <c r="G886" s="1" t="n">
        <v>0.05</v>
      </c>
      <c r="H886" s="1" t="s">
        <v>1336</v>
      </c>
      <c r="I886" s="1" t="n">
        <v>179.29</v>
      </c>
      <c r="J886" s="1" t="str">
        <f aca="false">VLOOKUP(B886,Customers!$A$2:$G$502,6,FALSE())</f>
        <v>Consumer</v>
      </c>
      <c r="K886" s="1" t="str">
        <f aca="false">VLOOKUP(C886,Products!$A$2:$E$62,3,FALSE())</f>
        <v>Office Supplies</v>
      </c>
      <c r="L886" s="1" t="str">
        <f aca="false">TEXT(D886,"yyyy-mm")</f>
        <v>2023-03</v>
      </c>
    </row>
    <row r="887" customFormat="false" ht="15" hidden="false" customHeight="true" outlineLevel="0" collapsed="false">
      <c r="A887" s="1" t="n">
        <v>908</v>
      </c>
      <c r="B887" s="1" t="n">
        <v>485</v>
      </c>
      <c r="C887" s="1" t="n">
        <v>9</v>
      </c>
      <c r="D887" s="1" t="s">
        <v>1581</v>
      </c>
      <c r="E887" s="1" t="n">
        <v>5</v>
      </c>
      <c r="F887" s="1" t="n">
        <v>203.1</v>
      </c>
      <c r="G887" s="1" t="n">
        <v>0.15</v>
      </c>
      <c r="H887" s="1" t="s">
        <v>1336</v>
      </c>
      <c r="I887" s="1" t="n">
        <v>863.18</v>
      </c>
      <c r="J887" s="1" t="str">
        <f aca="false">VLOOKUP(B887,Customers!$A$2:$G$502,6,FALSE())</f>
        <v>Corporate</v>
      </c>
      <c r="K887" s="1" t="str">
        <f aca="false">VLOOKUP(C887,Products!$A$2:$E$62,3,FALSE())</f>
        <v>Electronics</v>
      </c>
      <c r="L887" s="1" t="str">
        <f aca="false">TEXT(D887,"yyyy-mm")</f>
        <v>2023-10</v>
      </c>
    </row>
    <row r="888" customFormat="false" ht="15" hidden="false" customHeight="true" outlineLevel="0" collapsed="false">
      <c r="A888" s="1" t="n">
        <v>909</v>
      </c>
      <c r="B888" s="1" t="n">
        <v>221</v>
      </c>
      <c r="C888" s="1" t="n">
        <v>31</v>
      </c>
      <c r="D888" s="1" t="s">
        <v>1582</v>
      </c>
      <c r="E888" s="1" t="n">
        <v>4</v>
      </c>
      <c r="F888" s="1" t="n">
        <v>224.86</v>
      </c>
      <c r="G888" s="1" t="n">
        <v>0</v>
      </c>
      <c r="H888" s="1" t="s">
        <v>1336</v>
      </c>
      <c r="I888" s="1" t="n">
        <v>899.44</v>
      </c>
      <c r="J888" s="1" t="str">
        <f aca="false">VLOOKUP(B888,Customers!$A$2:$G$502,6,FALSE())</f>
        <v>Consumer</v>
      </c>
      <c r="K888" s="1" t="str">
        <f aca="false">VLOOKUP(C888,Products!$A$2:$E$62,3,FALSE())</f>
        <v>Office Supplies</v>
      </c>
      <c r="L888" s="1" t="str">
        <f aca="false">TEXT(D888,"yyyy-mm")</f>
        <v>2023-11</v>
      </c>
    </row>
    <row r="889" customFormat="false" ht="15" hidden="false" customHeight="true" outlineLevel="0" collapsed="false">
      <c r="A889" s="1" t="n">
        <v>911</v>
      </c>
      <c r="B889" s="1" t="n">
        <v>247</v>
      </c>
      <c r="C889" s="1" t="n">
        <v>4</v>
      </c>
      <c r="D889" s="1" t="s">
        <v>1424</v>
      </c>
      <c r="E889" s="1" t="n">
        <v>3</v>
      </c>
      <c r="F889" s="1" t="n">
        <v>56.24</v>
      </c>
      <c r="G889" s="1" t="n">
        <v>0.2</v>
      </c>
      <c r="H889" s="1" t="s">
        <v>1336</v>
      </c>
      <c r="I889" s="1" t="n">
        <v>134.98</v>
      </c>
      <c r="J889" s="1" t="str">
        <f aca="false">VLOOKUP(B889,Customers!$A$2:$G$502,6,FALSE())</f>
        <v>Small Business</v>
      </c>
      <c r="K889" s="1" t="str">
        <f aca="false">VLOOKUP(C889,Products!$A$2:$E$62,3,FALSE())</f>
        <v>Electronics</v>
      </c>
      <c r="L889" s="1" t="str">
        <f aca="false">TEXT(D889,"yyyy-mm")</f>
        <v>2024-02</v>
      </c>
    </row>
    <row r="890" customFormat="false" ht="15" hidden="false" customHeight="true" outlineLevel="0" collapsed="false">
      <c r="A890" s="1" t="n">
        <v>912</v>
      </c>
      <c r="B890" s="1" t="n">
        <v>60</v>
      </c>
      <c r="C890" s="1" t="n">
        <v>29</v>
      </c>
      <c r="D890" s="1" t="s">
        <v>1532</v>
      </c>
      <c r="E890" s="1" t="n">
        <v>7</v>
      </c>
      <c r="F890" s="1" t="n">
        <v>54.62</v>
      </c>
      <c r="G890" s="1" t="n">
        <v>0.1</v>
      </c>
      <c r="H890" s="1" t="s">
        <v>1370</v>
      </c>
      <c r="I890" s="1" t="n">
        <v>344.11</v>
      </c>
      <c r="J890" s="1" t="str">
        <f aca="false">VLOOKUP(B890,Customers!$A$2:$G$502,6,FALSE())</f>
        <v>Corporate</v>
      </c>
      <c r="K890" s="1" t="str">
        <f aca="false">VLOOKUP(C890,Products!$A$2:$E$62,3,FALSE())</f>
        <v>Office Supplies</v>
      </c>
      <c r="L890" s="1" t="str">
        <f aca="false">TEXT(D890,"yyyy-mm")</f>
        <v>2023-05</v>
      </c>
    </row>
    <row r="891" customFormat="false" ht="15" hidden="false" customHeight="true" outlineLevel="0" collapsed="false">
      <c r="A891" s="1" t="n">
        <v>913</v>
      </c>
      <c r="B891" s="1" t="n">
        <v>30</v>
      </c>
      <c r="C891" s="1" t="n">
        <v>16</v>
      </c>
      <c r="D891" s="1" t="s">
        <v>1579</v>
      </c>
      <c r="E891" s="1" t="n">
        <v>7</v>
      </c>
      <c r="F891" s="1" t="n">
        <v>330.91</v>
      </c>
      <c r="G891" s="1" t="n">
        <v>0</v>
      </c>
      <c r="H891" s="1" t="s">
        <v>1336</v>
      </c>
      <c r="I891" s="1" t="n">
        <v>2316.37</v>
      </c>
      <c r="J891" s="1" t="str">
        <f aca="false">VLOOKUP(B891,Customers!$A$2:$G$502,6,FALSE())</f>
        <v>Unknown</v>
      </c>
      <c r="K891" s="1" t="str">
        <f aca="false">VLOOKUP(C891,Products!$A$2:$E$62,3,FALSE())</f>
        <v>Electronics</v>
      </c>
      <c r="L891" s="1" t="str">
        <f aca="false">TEXT(D891,"yyyy-mm")</f>
        <v>2023-08</v>
      </c>
    </row>
    <row r="892" customFormat="false" ht="15" hidden="false" customHeight="true" outlineLevel="0" collapsed="false">
      <c r="A892" s="1" t="n">
        <v>914</v>
      </c>
      <c r="B892" s="1" t="n">
        <v>407</v>
      </c>
      <c r="C892" s="1" t="n">
        <v>35</v>
      </c>
      <c r="D892" s="1" t="s">
        <v>1583</v>
      </c>
      <c r="E892" s="1" t="n">
        <v>4</v>
      </c>
      <c r="F892" s="1" t="n">
        <v>75.78</v>
      </c>
      <c r="G892" s="1" t="n">
        <v>0</v>
      </c>
      <c r="H892" s="1" t="s">
        <v>1370</v>
      </c>
      <c r="I892" s="1" t="n">
        <v>303.12</v>
      </c>
      <c r="J892" s="1" t="str">
        <f aca="false">VLOOKUP(B892,Customers!$A$2:$G$502,6,FALSE())</f>
        <v>Consumer</v>
      </c>
      <c r="K892" s="1" t="str">
        <f aca="false">VLOOKUP(C892,Products!$A$2:$E$62,3,FALSE())</f>
        <v>Software</v>
      </c>
      <c r="L892" s="1" t="str">
        <f aca="false">TEXT(D892,"yyyy-mm")</f>
        <v>2024-08</v>
      </c>
    </row>
    <row r="893" customFormat="false" ht="15" hidden="false" customHeight="true" outlineLevel="0" collapsed="false">
      <c r="A893" s="1" t="n">
        <v>915</v>
      </c>
      <c r="B893" s="1" t="n">
        <v>40</v>
      </c>
      <c r="C893" s="1" t="n">
        <v>4</v>
      </c>
      <c r="D893" s="1" t="s">
        <v>320</v>
      </c>
      <c r="E893" s="1" t="n">
        <v>5</v>
      </c>
      <c r="F893" s="1" t="n">
        <v>56.24</v>
      </c>
      <c r="G893" s="1" t="n">
        <v>0.05</v>
      </c>
      <c r="H893" s="1" t="s">
        <v>1336</v>
      </c>
      <c r="I893" s="1" t="n">
        <v>267.14</v>
      </c>
      <c r="J893" s="1" t="str">
        <f aca="false">VLOOKUP(B893,Customers!$A$2:$G$502,6,FALSE())</f>
        <v>Consumer</v>
      </c>
      <c r="K893" s="1" t="str">
        <f aca="false">VLOOKUP(C893,Products!$A$2:$E$62,3,FALSE())</f>
        <v>Electronics</v>
      </c>
      <c r="L893" s="1" t="str">
        <f aca="false">TEXT(D893,"yyyy-mm")</f>
        <v>2023-05</v>
      </c>
    </row>
    <row r="894" customFormat="false" ht="15" hidden="false" customHeight="true" outlineLevel="0" collapsed="false">
      <c r="A894" s="1" t="n">
        <v>916</v>
      </c>
      <c r="B894" s="1" t="n">
        <v>126</v>
      </c>
      <c r="C894" s="1" t="n">
        <v>19</v>
      </c>
      <c r="D894" s="1" t="s">
        <v>470</v>
      </c>
      <c r="E894" s="1" t="n">
        <v>5</v>
      </c>
      <c r="F894" s="1" t="n">
        <v>163.64</v>
      </c>
      <c r="G894" s="1" t="n">
        <v>0.1</v>
      </c>
      <c r="H894" s="1" t="s">
        <v>1336</v>
      </c>
      <c r="I894" s="1" t="n">
        <v>736.38</v>
      </c>
      <c r="J894" s="1" t="str">
        <f aca="false">VLOOKUP(B894,Customers!$A$2:$G$502,6,FALSE())</f>
        <v>Small Business</v>
      </c>
      <c r="K894" s="1" t="str">
        <f aca="false">VLOOKUP(C894,Products!$A$2:$E$62,3,FALSE())</f>
        <v>Office Supplies</v>
      </c>
      <c r="L894" s="1" t="str">
        <f aca="false">TEXT(D894,"yyyy-mm")</f>
        <v>2023-05</v>
      </c>
    </row>
    <row r="895" customFormat="false" ht="15" hidden="false" customHeight="true" outlineLevel="0" collapsed="false">
      <c r="A895" s="1" t="n">
        <v>917</v>
      </c>
      <c r="B895" s="1" t="n">
        <v>481</v>
      </c>
      <c r="C895" s="1" t="n">
        <v>35</v>
      </c>
      <c r="D895" s="1" t="s">
        <v>1444</v>
      </c>
      <c r="E895" s="1" t="n">
        <v>6</v>
      </c>
      <c r="F895" s="1" t="n">
        <v>75.78</v>
      </c>
      <c r="G895" s="1" t="n">
        <v>0.05</v>
      </c>
      <c r="H895" s="1" t="s">
        <v>1336</v>
      </c>
      <c r="I895" s="1" t="n">
        <v>431.95</v>
      </c>
      <c r="J895" s="1" t="str">
        <f aca="false">VLOOKUP(B895,Customers!$A$2:$G$502,6,FALSE())</f>
        <v>Small Business</v>
      </c>
      <c r="K895" s="1" t="str">
        <f aca="false">VLOOKUP(C895,Products!$A$2:$E$62,3,FALSE())</f>
        <v>Software</v>
      </c>
      <c r="L895" s="1" t="str">
        <f aca="false">TEXT(D895,"yyyy-mm")</f>
        <v>2023-07</v>
      </c>
    </row>
    <row r="896" customFormat="false" ht="15" hidden="false" customHeight="true" outlineLevel="0" collapsed="false">
      <c r="A896" s="1" t="n">
        <v>918</v>
      </c>
      <c r="B896" s="1" t="n">
        <v>228</v>
      </c>
      <c r="C896" s="1" t="n">
        <v>46</v>
      </c>
      <c r="D896" s="1" t="s">
        <v>1366</v>
      </c>
      <c r="E896" s="1" t="n">
        <v>9</v>
      </c>
      <c r="F896" s="1" t="n">
        <v>94.92</v>
      </c>
      <c r="G896" s="1" t="n">
        <v>0</v>
      </c>
      <c r="H896" s="1" t="s">
        <v>1336</v>
      </c>
      <c r="I896" s="1" t="n">
        <v>854.28</v>
      </c>
      <c r="J896" s="1" t="str">
        <f aca="false">VLOOKUP(B896,Customers!$A$2:$G$502,6,FALSE())</f>
        <v>Small Business</v>
      </c>
      <c r="K896" s="1" t="str">
        <f aca="false">VLOOKUP(C896,Products!$A$2:$E$62,3,FALSE())</f>
        <v>Software</v>
      </c>
      <c r="L896" s="1" t="str">
        <f aca="false">TEXT(D896,"yyyy-mm")</f>
        <v>2023-11</v>
      </c>
    </row>
    <row r="897" customFormat="false" ht="15" hidden="false" customHeight="true" outlineLevel="0" collapsed="false">
      <c r="A897" s="1" t="n">
        <v>919</v>
      </c>
      <c r="B897" s="1" t="n">
        <v>137</v>
      </c>
      <c r="C897" s="1" t="n">
        <v>21</v>
      </c>
      <c r="D897" s="1" t="s">
        <v>1342</v>
      </c>
      <c r="E897" s="1" t="n">
        <v>2</v>
      </c>
      <c r="F897" s="1" t="n">
        <v>84.91</v>
      </c>
      <c r="G897" s="1" t="n">
        <v>0.1</v>
      </c>
      <c r="H897" s="1" t="s">
        <v>1336</v>
      </c>
      <c r="I897" s="1" t="n">
        <v>152.84</v>
      </c>
      <c r="J897" s="1" t="str">
        <f aca="false">VLOOKUP(B897,Customers!$A$2:$G$502,6,FALSE())</f>
        <v>Consumer</v>
      </c>
      <c r="K897" s="1" t="str">
        <f aca="false">VLOOKUP(C897,Products!$A$2:$E$62,3,FALSE())</f>
        <v>Office Supplies</v>
      </c>
      <c r="L897" s="1" t="str">
        <f aca="false">TEXT(D897,"yyyy-mm")</f>
        <v>2024-12</v>
      </c>
    </row>
    <row r="898" customFormat="false" ht="15" hidden="false" customHeight="true" outlineLevel="0" collapsed="false">
      <c r="A898" s="1" t="n">
        <v>920</v>
      </c>
      <c r="B898" s="1" t="n">
        <v>319</v>
      </c>
      <c r="C898" s="1" t="n">
        <v>32</v>
      </c>
      <c r="D898" s="1" t="s">
        <v>1377</v>
      </c>
      <c r="E898" s="1" t="n">
        <v>5</v>
      </c>
      <c r="F898" s="1" t="n">
        <v>492.27</v>
      </c>
      <c r="G898" s="1" t="n">
        <v>0</v>
      </c>
      <c r="H898" s="1" t="s">
        <v>1336</v>
      </c>
      <c r="I898" s="1" t="n">
        <v>2461.35</v>
      </c>
      <c r="J898" s="1" t="str">
        <f aca="false">VLOOKUP(B898,Customers!$A$2:$G$502,6,FALSE())</f>
        <v>Corporate</v>
      </c>
      <c r="K898" s="1" t="str">
        <f aca="false">VLOOKUP(C898,Products!$A$2:$E$62,3,FALSE())</f>
        <v>Office Supplies</v>
      </c>
      <c r="L898" s="1" t="str">
        <f aca="false">TEXT(D898,"yyyy-mm")</f>
        <v>2023-10</v>
      </c>
    </row>
    <row r="899" customFormat="false" ht="15" hidden="false" customHeight="true" outlineLevel="0" collapsed="false">
      <c r="A899" s="1" t="n">
        <v>921</v>
      </c>
      <c r="B899" s="1" t="n">
        <v>380</v>
      </c>
      <c r="C899" s="1" t="n">
        <v>36</v>
      </c>
      <c r="D899" s="1" t="s">
        <v>146</v>
      </c>
      <c r="E899" s="1" t="n">
        <v>3</v>
      </c>
      <c r="F899" s="1" t="n">
        <v>424.45</v>
      </c>
      <c r="G899" s="1" t="n">
        <v>0</v>
      </c>
      <c r="H899" s="1" t="s">
        <v>1336</v>
      </c>
      <c r="I899" s="1" t="n">
        <v>1273.35</v>
      </c>
      <c r="J899" s="1" t="str">
        <f aca="false">VLOOKUP(B899,Customers!$A$2:$G$502,6,FALSE())</f>
        <v>Small Business</v>
      </c>
      <c r="K899" s="1" t="str">
        <f aca="false">VLOOKUP(C899,Products!$A$2:$E$62,3,FALSE())</f>
        <v>Software</v>
      </c>
      <c r="L899" s="1" t="str">
        <f aca="false">TEXT(D899,"yyyy-mm")</f>
        <v>2023-08</v>
      </c>
    </row>
    <row r="900" customFormat="false" ht="15" hidden="false" customHeight="true" outlineLevel="0" collapsed="false">
      <c r="A900" s="1" t="n">
        <v>922</v>
      </c>
      <c r="B900" s="1" t="n">
        <v>358</v>
      </c>
      <c r="C900" s="1" t="n">
        <v>29</v>
      </c>
      <c r="D900" s="1" t="s">
        <v>1499</v>
      </c>
      <c r="E900" s="1" t="n">
        <v>4</v>
      </c>
      <c r="F900" s="1" t="n">
        <v>54.62</v>
      </c>
      <c r="G900" s="1" t="n">
        <v>0.2</v>
      </c>
      <c r="H900" s="1" t="s">
        <v>1336</v>
      </c>
      <c r="I900" s="1" t="n">
        <v>174.78</v>
      </c>
      <c r="J900" s="1" t="str">
        <f aca="false">VLOOKUP(B900,Customers!$A$2:$G$502,6,FALSE())</f>
        <v>Corporate</v>
      </c>
      <c r="K900" s="1" t="str">
        <f aca="false">VLOOKUP(C900,Products!$A$2:$E$62,3,FALSE())</f>
        <v>Office Supplies</v>
      </c>
      <c r="L900" s="1" t="str">
        <f aca="false">TEXT(D900,"yyyy-mm")</f>
        <v>2024-10</v>
      </c>
    </row>
    <row r="901" customFormat="false" ht="15" hidden="false" customHeight="true" outlineLevel="0" collapsed="false">
      <c r="A901" s="1" t="n">
        <v>923</v>
      </c>
      <c r="B901" s="1" t="n">
        <v>143</v>
      </c>
      <c r="C901" s="1" t="n">
        <v>38</v>
      </c>
      <c r="D901" s="1" t="s">
        <v>1584</v>
      </c>
      <c r="E901" s="1" t="n">
        <v>6</v>
      </c>
      <c r="F901" s="1" t="n">
        <v>521.63</v>
      </c>
      <c r="G901" s="1" t="n">
        <v>0</v>
      </c>
      <c r="H901" s="1" t="s">
        <v>1336</v>
      </c>
      <c r="I901" s="1" t="n">
        <v>3129.78</v>
      </c>
      <c r="J901" s="1" t="str">
        <f aca="false">VLOOKUP(B901,Customers!$A$2:$G$502,6,FALSE())</f>
        <v>Small Business</v>
      </c>
      <c r="K901" s="1" t="str">
        <f aca="false">VLOOKUP(C901,Products!$A$2:$E$62,3,FALSE())</f>
        <v>Software</v>
      </c>
      <c r="L901" s="1" t="str">
        <f aca="false">TEXT(D901,"yyyy-mm")</f>
        <v>2024-01</v>
      </c>
    </row>
    <row r="902" customFormat="false" ht="15" hidden="false" customHeight="true" outlineLevel="0" collapsed="false">
      <c r="A902" s="1" t="n">
        <v>924</v>
      </c>
      <c r="B902" s="1" t="n">
        <v>254</v>
      </c>
      <c r="C902" s="1" t="n">
        <v>2</v>
      </c>
      <c r="D902" s="1" t="s">
        <v>1508</v>
      </c>
      <c r="E902" s="1" t="n">
        <v>8</v>
      </c>
      <c r="F902" s="1" t="n">
        <v>498.15</v>
      </c>
      <c r="G902" s="1" t="n">
        <v>0.05</v>
      </c>
      <c r="H902" s="1" t="s">
        <v>1336</v>
      </c>
      <c r="I902" s="1" t="n">
        <v>3785.94</v>
      </c>
      <c r="J902" s="1" t="str">
        <f aca="false">VLOOKUP(B902,Customers!$A$2:$G$502,6,FALSE())</f>
        <v>Small Business</v>
      </c>
      <c r="K902" s="1" t="str">
        <f aca="false">VLOOKUP(C902,Products!$A$2:$E$62,3,FALSE())</f>
        <v>Electronics</v>
      </c>
      <c r="L902" s="1" t="str">
        <f aca="false">TEXT(D902,"yyyy-mm")</f>
        <v>2024-01</v>
      </c>
    </row>
    <row r="903" customFormat="false" ht="15" hidden="false" customHeight="true" outlineLevel="0" collapsed="false">
      <c r="A903" s="1" t="n">
        <v>925</v>
      </c>
      <c r="B903" s="1" t="n">
        <v>273</v>
      </c>
      <c r="C903" s="1" t="n">
        <v>4</v>
      </c>
      <c r="D903" s="1" t="s">
        <v>748</v>
      </c>
      <c r="E903" s="1" t="n">
        <v>1</v>
      </c>
      <c r="F903" s="1" t="n">
        <v>56.24</v>
      </c>
      <c r="G903" s="1" t="n">
        <v>0</v>
      </c>
      <c r="H903" s="1" t="s">
        <v>1336</v>
      </c>
      <c r="I903" s="1" t="n">
        <v>56.24</v>
      </c>
      <c r="J903" s="1" t="str">
        <f aca="false">VLOOKUP(B903,Customers!$A$2:$G$502,6,FALSE())</f>
        <v>Corporate</v>
      </c>
      <c r="K903" s="1" t="str">
        <f aca="false">VLOOKUP(C903,Products!$A$2:$E$62,3,FALSE())</f>
        <v>Electronics</v>
      </c>
      <c r="L903" s="1" t="str">
        <f aca="false">TEXT(D903,"yyyy-mm")</f>
        <v>2024-11</v>
      </c>
    </row>
    <row r="904" customFormat="false" ht="15" hidden="false" customHeight="true" outlineLevel="0" collapsed="false">
      <c r="A904" s="1" t="n">
        <v>926</v>
      </c>
      <c r="B904" s="1" t="n">
        <v>387</v>
      </c>
      <c r="C904" s="1" t="n">
        <v>58</v>
      </c>
      <c r="D904" s="1" t="s">
        <v>208</v>
      </c>
      <c r="E904" s="1" t="n">
        <v>8</v>
      </c>
      <c r="F904" s="1" t="n">
        <v>515.55</v>
      </c>
      <c r="G904" s="1" t="n">
        <v>0.2</v>
      </c>
      <c r="H904" s="1" t="s">
        <v>1346</v>
      </c>
      <c r="I904" s="1" t="n">
        <v>3299.52</v>
      </c>
      <c r="J904" s="1" t="str">
        <f aca="false">VLOOKUP(B904,Customers!$A$2:$G$502,6,FALSE())</f>
        <v>Corporate</v>
      </c>
      <c r="K904" s="1" t="str">
        <f aca="false">VLOOKUP(C904,Products!$A$2:$E$62,3,FALSE())</f>
        <v>Furniture</v>
      </c>
      <c r="L904" s="1" t="str">
        <f aca="false">TEXT(D904,"yyyy-mm")</f>
        <v>2023-12</v>
      </c>
    </row>
    <row r="905" customFormat="false" ht="15" hidden="false" customHeight="true" outlineLevel="0" collapsed="false">
      <c r="A905" s="1" t="n">
        <v>927</v>
      </c>
      <c r="B905" s="1" t="n">
        <v>175</v>
      </c>
      <c r="C905" s="1" t="n">
        <v>47</v>
      </c>
      <c r="D905" s="1" t="s">
        <v>1507</v>
      </c>
      <c r="E905" s="1" t="n">
        <v>7</v>
      </c>
      <c r="F905" s="1" t="n">
        <v>506.19</v>
      </c>
      <c r="G905" s="1" t="n">
        <v>0.05</v>
      </c>
      <c r="H905" s="1" t="s">
        <v>1336</v>
      </c>
      <c r="I905" s="1" t="n">
        <v>3366.16</v>
      </c>
      <c r="J905" s="1" t="str">
        <f aca="false">VLOOKUP(B905,Customers!$A$2:$G$502,6,FALSE())</f>
        <v>Consumer</v>
      </c>
      <c r="K905" s="1" t="str">
        <f aca="false">VLOOKUP(C905,Products!$A$2:$E$62,3,FALSE())</f>
        <v>Software</v>
      </c>
      <c r="L905" s="1" t="str">
        <f aca="false">TEXT(D905,"yyyy-mm")</f>
        <v>2024-09</v>
      </c>
    </row>
    <row r="906" customFormat="false" ht="15" hidden="false" customHeight="true" outlineLevel="0" collapsed="false">
      <c r="A906" s="1" t="n">
        <v>928</v>
      </c>
      <c r="B906" s="1" t="n">
        <v>414</v>
      </c>
      <c r="C906" s="1" t="n">
        <v>7</v>
      </c>
      <c r="D906" s="1" t="s">
        <v>897</v>
      </c>
      <c r="E906" s="1" t="n">
        <v>1</v>
      </c>
      <c r="F906" s="1" t="n">
        <v>460</v>
      </c>
      <c r="G906" s="1" t="n">
        <v>0.05</v>
      </c>
      <c r="H906" s="1" t="s">
        <v>1370</v>
      </c>
      <c r="I906" s="1" t="n">
        <v>437</v>
      </c>
      <c r="J906" s="1" t="str">
        <f aca="false">VLOOKUP(B906,Customers!$A$2:$G$502,6,FALSE())</f>
        <v>Consumer</v>
      </c>
      <c r="K906" s="1" t="str">
        <f aca="false">VLOOKUP(C906,Products!$A$2:$E$62,3,FALSE())</f>
        <v>Electronics</v>
      </c>
      <c r="L906" s="1" t="str">
        <f aca="false">TEXT(D906,"yyyy-mm")</f>
        <v>2024-07</v>
      </c>
    </row>
    <row r="907" customFormat="false" ht="15" hidden="false" customHeight="true" outlineLevel="0" collapsed="false">
      <c r="A907" s="1" t="n">
        <v>929</v>
      </c>
      <c r="B907" s="1" t="n">
        <v>274</v>
      </c>
      <c r="C907" s="1" t="n">
        <v>30</v>
      </c>
      <c r="D907" s="1" t="s">
        <v>1404</v>
      </c>
      <c r="E907" s="1" t="n">
        <v>2</v>
      </c>
      <c r="F907" s="1" t="n">
        <v>33.32</v>
      </c>
      <c r="G907" s="1" t="n">
        <v>0.1</v>
      </c>
      <c r="H907" s="1" t="s">
        <v>1336</v>
      </c>
      <c r="I907" s="1" t="n">
        <v>59.98</v>
      </c>
      <c r="J907" s="1" t="str">
        <f aca="false">VLOOKUP(B907,Customers!$A$2:$G$502,6,FALSE())</f>
        <v>Corporate</v>
      </c>
      <c r="K907" s="1" t="str">
        <f aca="false">VLOOKUP(C907,Products!$A$2:$E$62,3,FALSE())</f>
        <v>Office Supplies</v>
      </c>
      <c r="L907" s="1" t="str">
        <f aca="false">TEXT(D907,"yyyy-mm")</f>
        <v>2024-03</v>
      </c>
    </row>
    <row r="908" customFormat="false" ht="15" hidden="false" customHeight="true" outlineLevel="0" collapsed="false">
      <c r="A908" s="1" t="n">
        <v>930</v>
      </c>
      <c r="B908" s="1" t="n">
        <v>240</v>
      </c>
      <c r="C908" s="1" t="n">
        <v>48</v>
      </c>
      <c r="D908" s="1" t="s">
        <v>1585</v>
      </c>
      <c r="E908" s="1" t="n">
        <v>3</v>
      </c>
      <c r="F908" s="1" t="n">
        <v>493.53</v>
      </c>
      <c r="G908" s="1" t="n">
        <v>0</v>
      </c>
      <c r="H908" s="1" t="s">
        <v>1346</v>
      </c>
      <c r="I908" s="1" t="n">
        <v>1480.59</v>
      </c>
      <c r="J908" s="1" t="str">
        <f aca="false">VLOOKUP(B908,Customers!$A$2:$G$502,6,FALSE())</f>
        <v>Corporate</v>
      </c>
      <c r="K908" s="1" t="str">
        <f aca="false">VLOOKUP(C908,Products!$A$2:$E$62,3,FALSE())</f>
        <v>Software</v>
      </c>
      <c r="L908" s="1" t="str">
        <f aca="false">TEXT(D908,"yyyy-mm")</f>
        <v>2023-09</v>
      </c>
    </row>
    <row r="909" customFormat="false" ht="15" hidden="false" customHeight="true" outlineLevel="0" collapsed="false">
      <c r="A909" s="1" t="n">
        <v>931</v>
      </c>
      <c r="B909" s="1" t="n">
        <v>128</v>
      </c>
      <c r="C909" s="1" t="n">
        <v>50</v>
      </c>
      <c r="D909" s="1" t="s">
        <v>112</v>
      </c>
      <c r="E909" s="1" t="n">
        <v>1</v>
      </c>
      <c r="F909" s="1" t="n">
        <v>19.73</v>
      </c>
      <c r="G909" s="1" t="n">
        <v>0</v>
      </c>
      <c r="H909" s="1" t="s">
        <v>1336</v>
      </c>
      <c r="I909" s="1" t="n">
        <v>19.73</v>
      </c>
      <c r="J909" s="1" t="str">
        <f aca="false">VLOOKUP(B909,Customers!$A$2:$G$502,6,FALSE())</f>
        <v>Consumer</v>
      </c>
      <c r="K909" s="1" t="str">
        <f aca="false">VLOOKUP(C909,Products!$A$2:$E$62,3,FALSE())</f>
        <v>Software</v>
      </c>
      <c r="L909" s="1" t="str">
        <f aca="false">TEXT(D909,"yyyy-mm")</f>
        <v>2024-07</v>
      </c>
    </row>
    <row r="910" customFormat="false" ht="15" hidden="false" customHeight="true" outlineLevel="0" collapsed="false">
      <c r="A910" s="1" t="n">
        <v>932</v>
      </c>
      <c r="B910" s="1" t="n">
        <v>338</v>
      </c>
      <c r="C910" s="1" t="n">
        <v>17</v>
      </c>
      <c r="D910" s="1" t="s">
        <v>1479</v>
      </c>
      <c r="E910" s="1" t="n">
        <v>9</v>
      </c>
      <c r="F910" s="1" t="n">
        <v>65.61</v>
      </c>
      <c r="G910" s="1" t="n">
        <v>0.2</v>
      </c>
      <c r="H910" s="1" t="s">
        <v>1336</v>
      </c>
      <c r="I910" s="1" t="n">
        <v>472.39</v>
      </c>
      <c r="J910" s="1" t="str">
        <f aca="false">VLOOKUP(B910,Customers!$A$2:$G$502,6,FALSE())</f>
        <v>Corporate</v>
      </c>
      <c r="K910" s="1" t="str">
        <f aca="false">VLOOKUP(C910,Products!$A$2:$E$62,3,FALSE())</f>
        <v>Electronics</v>
      </c>
      <c r="L910" s="1" t="str">
        <f aca="false">TEXT(D910,"yyyy-mm")</f>
        <v>2024-10</v>
      </c>
    </row>
    <row r="911" customFormat="false" ht="15" hidden="false" customHeight="true" outlineLevel="0" collapsed="false">
      <c r="A911" s="1" t="n">
        <v>933</v>
      </c>
      <c r="B911" s="1" t="n">
        <v>429</v>
      </c>
      <c r="C911" s="1" t="n">
        <v>17</v>
      </c>
      <c r="D911" s="1" t="s">
        <v>257</v>
      </c>
      <c r="E911" s="1" t="n">
        <v>8</v>
      </c>
      <c r="F911" s="1" t="n">
        <v>65.61</v>
      </c>
      <c r="G911" s="1" t="n">
        <v>0.05</v>
      </c>
      <c r="H911" s="1" t="s">
        <v>1336</v>
      </c>
      <c r="I911" s="1" t="n">
        <v>498.64</v>
      </c>
      <c r="J911" s="1" t="str">
        <f aca="false">VLOOKUP(B911,Customers!$A$2:$G$502,6,FALSE())</f>
        <v>Corporate</v>
      </c>
      <c r="K911" s="1" t="str">
        <f aca="false">VLOOKUP(C911,Products!$A$2:$E$62,3,FALSE())</f>
        <v>Electronics</v>
      </c>
      <c r="L911" s="1" t="str">
        <f aca="false">TEXT(D911,"yyyy-mm")</f>
        <v>2023-07</v>
      </c>
    </row>
    <row r="912" customFormat="false" ht="15" hidden="false" customHeight="true" outlineLevel="0" collapsed="false">
      <c r="A912" s="1" t="n">
        <v>934</v>
      </c>
      <c r="B912" s="1" t="n">
        <v>246</v>
      </c>
      <c r="C912" s="1" t="n">
        <v>41</v>
      </c>
      <c r="D912" s="1" t="s">
        <v>243</v>
      </c>
      <c r="E912" s="1" t="n">
        <v>2</v>
      </c>
      <c r="F912" s="1" t="n">
        <v>594.54</v>
      </c>
      <c r="G912" s="1" t="n">
        <v>0</v>
      </c>
      <c r="H912" s="1" t="s">
        <v>1336</v>
      </c>
      <c r="I912" s="1" t="n">
        <v>1189.08</v>
      </c>
      <c r="J912" s="1" t="str">
        <f aca="false">VLOOKUP(B912,Customers!$A$2:$G$502,6,FALSE())</f>
        <v>Small Business</v>
      </c>
      <c r="K912" s="1" t="str">
        <f aca="false">VLOOKUP(C912,Products!$A$2:$E$62,3,FALSE())</f>
        <v>Software</v>
      </c>
      <c r="L912" s="1" t="str">
        <f aca="false">TEXT(D912,"yyyy-mm")</f>
        <v>2024-07</v>
      </c>
    </row>
    <row r="913" customFormat="false" ht="15" hidden="false" customHeight="true" outlineLevel="0" collapsed="false">
      <c r="A913" s="1" t="n">
        <v>935</v>
      </c>
      <c r="B913" s="1" t="n">
        <v>283</v>
      </c>
      <c r="C913" s="1" t="n">
        <v>21</v>
      </c>
      <c r="D913" s="1" t="s">
        <v>885</v>
      </c>
      <c r="E913" s="1" t="n">
        <v>9</v>
      </c>
      <c r="F913" s="1" t="n">
        <v>84.91</v>
      </c>
      <c r="G913" s="1" t="n">
        <v>0.05</v>
      </c>
      <c r="H913" s="1" t="s">
        <v>1336</v>
      </c>
      <c r="I913" s="1" t="n">
        <v>725.98</v>
      </c>
      <c r="J913" s="1" t="str">
        <f aca="false">VLOOKUP(B913,Customers!$A$2:$G$502,6,FALSE())</f>
        <v>Small Business</v>
      </c>
      <c r="K913" s="1" t="str">
        <f aca="false">VLOOKUP(C913,Products!$A$2:$E$62,3,FALSE())</f>
        <v>Office Supplies</v>
      </c>
      <c r="L913" s="1" t="str">
        <f aca="false">TEXT(D913,"yyyy-mm")</f>
        <v>2023-03</v>
      </c>
    </row>
    <row r="914" customFormat="false" ht="15" hidden="false" customHeight="true" outlineLevel="0" collapsed="false">
      <c r="A914" s="1" t="n">
        <v>936</v>
      </c>
      <c r="B914" s="1" t="n">
        <v>66</v>
      </c>
      <c r="C914" s="1" t="n">
        <v>15</v>
      </c>
      <c r="D914" s="1" t="s">
        <v>717</v>
      </c>
      <c r="E914" s="1" t="n">
        <v>7</v>
      </c>
      <c r="F914" s="1" t="n">
        <v>304.95</v>
      </c>
      <c r="G914" s="1" t="n">
        <v>0</v>
      </c>
      <c r="H914" s="1" t="s">
        <v>1336</v>
      </c>
      <c r="I914" s="1" t="n">
        <v>2134.65</v>
      </c>
      <c r="J914" s="1" t="str">
        <f aca="false">VLOOKUP(B914,Customers!$A$2:$G$502,6,FALSE())</f>
        <v>Corporate</v>
      </c>
      <c r="K914" s="1" t="str">
        <f aca="false">VLOOKUP(C914,Products!$A$2:$E$62,3,FALSE())</f>
        <v>Electronics</v>
      </c>
      <c r="L914" s="1" t="str">
        <f aca="false">TEXT(D914,"yyyy-mm")</f>
        <v>2024-10</v>
      </c>
    </row>
    <row r="915" customFormat="false" ht="15" hidden="false" customHeight="true" outlineLevel="0" collapsed="false">
      <c r="A915" s="1" t="n">
        <v>937</v>
      </c>
      <c r="B915" s="1" t="n">
        <v>20</v>
      </c>
      <c r="C915" s="1" t="n">
        <v>12</v>
      </c>
      <c r="D915" s="1" t="s">
        <v>229</v>
      </c>
      <c r="E915" s="1" t="n">
        <v>9</v>
      </c>
      <c r="F915" s="1" t="n">
        <v>179.23</v>
      </c>
      <c r="G915" s="1" t="n">
        <v>0.1</v>
      </c>
      <c r="H915" s="1" t="s">
        <v>1336</v>
      </c>
      <c r="I915" s="1" t="n">
        <v>1451.76</v>
      </c>
      <c r="J915" s="1" t="str">
        <f aca="false">VLOOKUP(B915,Customers!$A$2:$G$502,6,FALSE())</f>
        <v>Consumer</v>
      </c>
      <c r="K915" s="1" t="str">
        <f aca="false">VLOOKUP(C915,Products!$A$2:$E$62,3,FALSE())</f>
        <v>Electronics</v>
      </c>
      <c r="L915" s="1" t="str">
        <f aca="false">TEXT(D915,"yyyy-mm")</f>
        <v>2024-12</v>
      </c>
    </row>
    <row r="916" customFormat="false" ht="15" hidden="false" customHeight="true" outlineLevel="0" collapsed="false">
      <c r="A916" s="1" t="n">
        <v>938</v>
      </c>
      <c r="B916" s="1" t="n">
        <v>32</v>
      </c>
      <c r="C916" s="1" t="n">
        <v>46</v>
      </c>
      <c r="D916" s="1" t="s">
        <v>1413</v>
      </c>
      <c r="E916" s="1" t="n">
        <v>6</v>
      </c>
      <c r="F916" s="1" t="n">
        <v>94.92</v>
      </c>
      <c r="G916" s="1" t="n">
        <v>0</v>
      </c>
      <c r="H916" s="1" t="s">
        <v>1336</v>
      </c>
      <c r="I916" s="1" t="n">
        <v>569.52</v>
      </c>
      <c r="J916" s="1" t="str">
        <f aca="false">VLOOKUP(B916,Customers!$A$2:$G$502,6,FALSE())</f>
        <v>Small Business</v>
      </c>
      <c r="K916" s="1" t="str">
        <f aca="false">VLOOKUP(C916,Products!$A$2:$E$62,3,FALSE())</f>
        <v>Software</v>
      </c>
      <c r="L916" s="1" t="str">
        <f aca="false">TEXT(D916,"yyyy-mm")</f>
        <v>2023-09</v>
      </c>
    </row>
    <row r="917" customFormat="false" ht="15" hidden="false" customHeight="true" outlineLevel="0" collapsed="false">
      <c r="A917" s="1" t="n">
        <v>939</v>
      </c>
      <c r="B917" s="1" t="n">
        <v>23</v>
      </c>
      <c r="C917" s="1" t="n">
        <v>39</v>
      </c>
      <c r="D917" s="1" t="s">
        <v>1267</v>
      </c>
      <c r="E917" s="1" t="n">
        <v>6</v>
      </c>
      <c r="F917" s="1" t="n">
        <v>400.02</v>
      </c>
      <c r="G917" s="1" t="n">
        <v>0</v>
      </c>
      <c r="H917" s="1" t="s">
        <v>1336</v>
      </c>
      <c r="I917" s="1" t="n">
        <v>2400.12</v>
      </c>
      <c r="J917" s="1" t="str">
        <f aca="false">VLOOKUP(B917,Customers!$A$2:$G$502,6,FALSE())</f>
        <v>Corporate</v>
      </c>
      <c r="K917" s="1" t="str">
        <f aca="false">VLOOKUP(C917,Products!$A$2:$E$62,3,FALSE())</f>
        <v>Software</v>
      </c>
      <c r="L917" s="1" t="str">
        <f aca="false">TEXT(D917,"yyyy-mm")</f>
        <v>2023-08</v>
      </c>
    </row>
    <row r="918" customFormat="false" ht="15" hidden="false" customHeight="true" outlineLevel="0" collapsed="false">
      <c r="A918" s="1" t="n">
        <v>940</v>
      </c>
      <c r="B918" s="1" t="n">
        <v>105</v>
      </c>
      <c r="C918" s="1" t="n">
        <v>21</v>
      </c>
      <c r="D918" s="1" t="s">
        <v>1367</v>
      </c>
      <c r="E918" s="1" t="n">
        <v>4</v>
      </c>
      <c r="F918" s="1" t="n">
        <v>84.91</v>
      </c>
      <c r="G918" s="1" t="n">
        <v>0</v>
      </c>
      <c r="H918" s="1" t="s">
        <v>1336</v>
      </c>
      <c r="I918" s="1" t="n">
        <v>339.64</v>
      </c>
      <c r="J918" s="1" t="str">
        <f aca="false">VLOOKUP(B918,Customers!$A$2:$G$502,6,FALSE())</f>
        <v>Corporate</v>
      </c>
      <c r="K918" s="1" t="str">
        <f aca="false">VLOOKUP(C918,Products!$A$2:$E$62,3,FALSE())</f>
        <v>Office Supplies</v>
      </c>
      <c r="L918" s="1" t="str">
        <f aca="false">TEXT(D918,"yyyy-mm")</f>
        <v>2024-08</v>
      </c>
    </row>
    <row r="919" customFormat="false" ht="15" hidden="false" customHeight="true" outlineLevel="0" collapsed="false">
      <c r="A919" s="1" t="n">
        <v>941</v>
      </c>
      <c r="B919" s="1" t="n">
        <v>145</v>
      </c>
      <c r="C919" s="1" t="n">
        <v>10</v>
      </c>
      <c r="D919" s="1" t="s">
        <v>1434</v>
      </c>
      <c r="E919" s="1" t="n">
        <v>2</v>
      </c>
      <c r="F919" s="1" t="n">
        <v>251.58</v>
      </c>
      <c r="G919" s="1" t="n">
        <v>0</v>
      </c>
      <c r="H919" s="1" t="s">
        <v>1336</v>
      </c>
      <c r="I919" s="1" t="n">
        <v>503.16</v>
      </c>
      <c r="J919" s="1" t="str">
        <f aca="false">VLOOKUP(B919,Customers!$A$2:$G$502,6,FALSE())</f>
        <v>Corporate</v>
      </c>
      <c r="K919" s="1" t="str">
        <f aca="false">VLOOKUP(C919,Products!$A$2:$E$62,3,FALSE())</f>
        <v>Electronics</v>
      </c>
      <c r="L919" s="1" t="str">
        <f aca="false">TEXT(D919,"yyyy-mm")</f>
        <v>2023-01</v>
      </c>
    </row>
    <row r="920" customFormat="false" ht="15" hidden="false" customHeight="true" outlineLevel="0" collapsed="false">
      <c r="A920" s="1" t="n">
        <v>942</v>
      </c>
      <c r="B920" s="1" t="n">
        <v>192</v>
      </c>
      <c r="C920" s="1" t="n">
        <v>31</v>
      </c>
      <c r="D920" s="1" t="s">
        <v>396</v>
      </c>
      <c r="E920" s="1" t="n">
        <v>7</v>
      </c>
      <c r="F920" s="1" t="n">
        <v>224.86</v>
      </c>
      <c r="G920" s="1" t="n">
        <v>0.1</v>
      </c>
      <c r="H920" s="1" t="s">
        <v>1336</v>
      </c>
      <c r="I920" s="1" t="n">
        <v>1416.62</v>
      </c>
      <c r="J920" s="1" t="str">
        <f aca="false">VLOOKUP(B920,Customers!$A$2:$G$502,6,FALSE())</f>
        <v>Corporate</v>
      </c>
      <c r="K920" s="1" t="str">
        <f aca="false">VLOOKUP(C920,Products!$A$2:$E$62,3,FALSE())</f>
        <v>Office Supplies</v>
      </c>
      <c r="L920" s="1" t="str">
        <f aca="false">TEXT(D920,"yyyy-mm")</f>
        <v>2023-10</v>
      </c>
    </row>
    <row r="921" customFormat="false" ht="15" hidden="false" customHeight="true" outlineLevel="0" collapsed="false">
      <c r="A921" s="1" t="n">
        <v>943</v>
      </c>
      <c r="B921" s="1" t="n">
        <v>303</v>
      </c>
      <c r="C921" s="1" t="n">
        <v>2</v>
      </c>
      <c r="D921" s="1" t="s">
        <v>913</v>
      </c>
      <c r="E921" s="1" t="n">
        <v>5</v>
      </c>
      <c r="F921" s="1" t="n">
        <v>498.15</v>
      </c>
      <c r="G921" s="1" t="n">
        <v>0.1</v>
      </c>
      <c r="H921" s="1" t="s">
        <v>1336</v>
      </c>
      <c r="I921" s="1" t="n">
        <v>2241.68</v>
      </c>
      <c r="J921" s="1" t="str">
        <f aca="false">VLOOKUP(B921,Customers!$A$2:$G$502,6,FALSE())</f>
        <v>Corporate</v>
      </c>
      <c r="K921" s="1" t="str">
        <f aca="false">VLOOKUP(C921,Products!$A$2:$E$62,3,FALSE())</f>
        <v>Electronics</v>
      </c>
      <c r="L921" s="1" t="str">
        <f aca="false">TEXT(D921,"yyyy-mm")</f>
        <v>2023-04</v>
      </c>
    </row>
    <row r="922" customFormat="false" ht="15" hidden="false" customHeight="true" outlineLevel="0" collapsed="false">
      <c r="A922" s="1" t="n">
        <v>944</v>
      </c>
      <c r="B922" s="1" t="n">
        <v>402</v>
      </c>
      <c r="C922" s="1" t="n">
        <v>38</v>
      </c>
      <c r="D922" s="1" t="s">
        <v>1013</v>
      </c>
      <c r="E922" s="1" t="n">
        <v>6</v>
      </c>
      <c r="F922" s="1" t="n">
        <v>521.63</v>
      </c>
      <c r="G922" s="1" t="n">
        <v>0</v>
      </c>
      <c r="H922" s="1" t="s">
        <v>1346</v>
      </c>
      <c r="I922" s="1" t="n">
        <v>3129.78</v>
      </c>
      <c r="J922" s="1" t="str">
        <f aca="false">VLOOKUP(B922,Customers!$A$2:$G$502,6,FALSE())</f>
        <v>Unknown</v>
      </c>
      <c r="K922" s="1" t="str">
        <f aca="false">VLOOKUP(C922,Products!$A$2:$E$62,3,FALSE())</f>
        <v>Software</v>
      </c>
      <c r="L922" s="1" t="str">
        <f aca="false">TEXT(D922,"yyyy-mm")</f>
        <v>2024-12</v>
      </c>
    </row>
    <row r="923" customFormat="false" ht="15" hidden="false" customHeight="true" outlineLevel="0" collapsed="false">
      <c r="A923" s="1" t="n">
        <v>945</v>
      </c>
      <c r="B923" s="1" t="n">
        <v>77</v>
      </c>
      <c r="C923" s="1" t="n">
        <v>25</v>
      </c>
      <c r="D923" s="1" t="s">
        <v>1483</v>
      </c>
      <c r="E923" s="1" t="n">
        <v>2</v>
      </c>
      <c r="F923" s="1" t="n">
        <v>300.49</v>
      </c>
      <c r="G923" s="1" t="n">
        <v>0</v>
      </c>
      <c r="H923" s="1" t="s">
        <v>1370</v>
      </c>
      <c r="I923" s="1" t="n">
        <v>600.98</v>
      </c>
      <c r="J923" s="1" t="str">
        <f aca="false">VLOOKUP(B923,Customers!$A$2:$G$502,6,FALSE())</f>
        <v>Consumer</v>
      </c>
      <c r="K923" s="1" t="str">
        <f aca="false">VLOOKUP(C923,Products!$A$2:$E$62,3,FALSE())</f>
        <v>Office Supplies</v>
      </c>
      <c r="L923" s="1" t="str">
        <f aca="false">TEXT(D923,"yyyy-mm")</f>
        <v>2024-10</v>
      </c>
    </row>
    <row r="924" customFormat="false" ht="15" hidden="false" customHeight="true" outlineLevel="0" collapsed="false">
      <c r="A924" s="1" t="n">
        <v>946</v>
      </c>
      <c r="B924" s="1" t="n">
        <v>295</v>
      </c>
      <c r="C924" s="1" t="n">
        <v>41</v>
      </c>
      <c r="D924" s="1" t="s">
        <v>1340</v>
      </c>
      <c r="E924" s="1" t="n">
        <v>5</v>
      </c>
      <c r="F924" s="1" t="n">
        <v>594.54</v>
      </c>
      <c r="G924" s="1" t="n">
        <v>0.15</v>
      </c>
      <c r="H924" s="1" t="s">
        <v>1336</v>
      </c>
      <c r="I924" s="1" t="n">
        <v>2526.79</v>
      </c>
      <c r="J924" s="1" t="str">
        <f aca="false">VLOOKUP(B924,Customers!$A$2:$G$502,6,FALSE())</f>
        <v>Small Business</v>
      </c>
      <c r="K924" s="1" t="str">
        <f aca="false">VLOOKUP(C924,Products!$A$2:$E$62,3,FALSE())</f>
        <v>Software</v>
      </c>
      <c r="L924" s="1" t="str">
        <f aca="false">TEXT(D924,"yyyy-mm")</f>
        <v>2024-07</v>
      </c>
    </row>
    <row r="925" customFormat="false" ht="15" hidden="false" customHeight="true" outlineLevel="0" collapsed="false">
      <c r="A925" s="1" t="n">
        <v>947</v>
      </c>
      <c r="B925" s="1" t="n">
        <v>27</v>
      </c>
      <c r="C925" s="1" t="n">
        <v>39</v>
      </c>
      <c r="D925" s="1" t="s">
        <v>1586</v>
      </c>
      <c r="E925" s="1" t="n">
        <v>4</v>
      </c>
      <c r="F925" s="1" t="n">
        <v>400.02</v>
      </c>
      <c r="G925" s="1" t="n">
        <v>0.15</v>
      </c>
      <c r="H925" s="1" t="s">
        <v>1336</v>
      </c>
      <c r="I925" s="1" t="n">
        <v>1360.07</v>
      </c>
      <c r="J925" s="1" t="str">
        <f aca="false">VLOOKUP(B925,Customers!$A$2:$G$502,6,FALSE())</f>
        <v>Small Business</v>
      </c>
      <c r="K925" s="1" t="str">
        <f aca="false">VLOOKUP(C925,Products!$A$2:$E$62,3,FALSE())</f>
        <v>Software</v>
      </c>
      <c r="L925" s="1" t="str">
        <f aca="false">TEXT(D925,"yyyy-mm")</f>
        <v>2024-04</v>
      </c>
    </row>
    <row r="926" customFormat="false" ht="15" hidden="false" customHeight="true" outlineLevel="0" collapsed="false">
      <c r="A926" s="1" t="n">
        <v>948</v>
      </c>
      <c r="B926" s="1" t="n">
        <v>151</v>
      </c>
      <c r="C926" s="1" t="n">
        <v>59</v>
      </c>
      <c r="D926" s="1" t="s">
        <v>726</v>
      </c>
      <c r="E926" s="1" t="n">
        <v>9</v>
      </c>
      <c r="F926" s="1" t="n">
        <v>438.89</v>
      </c>
      <c r="G926" s="1" t="n">
        <v>0</v>
      </c>
      <c r="H926" s="1" t="s">
        <v>1336</v>
      </c>
      <c r="I926" s="1" t="n">
        <v>3950.01</v>
      </c>
      <c r="J926" s="1" t="str">
        <f aca="false">VLOOKUP(B926,Customers!$A$2:$G$502,6,FALSE())</f>
        <v>Small Business</v>
      </c>
      <c r="K926" s="1" t="str">
        <f aca="false">VLOOKUP(C926,Products!$A$2:$E$62,3,FALSE())</f>
        <v>Furniture</v>
      </c>
      <c r="L926" s="1" t="str">
        <f aca="false">TEXT(D926,"yyyy-mm")</f>
        <v>2023-09</v>
      </c>
    </row>
    <row r="927" customFormat="false" ht="15" hidden="false" customHeight="true" outlineLevel="0" collapsed="false">
      <c r="A927" s="1" t="n">
        <v>949</v>
      </c>
      <c r="B927" s="1" t="n">
        <v>384</v>
      </c>
      <c r="C927" s="1" t="n">
        <v>8</v>
      </c>
      <c r="D927" s="1" t="s">
        <v>651</v>
      </c>
      <c r="E927" s="1" t="n">
        <v>6</v>
      </c>
      <c r="F927" s="1" t="n">
        <v>104.4</v>
      </c>
      <c r="G927" s="1" t="n">
        <v>0</v>
      </c>
      <c r="H927" s="1" t="s">
        <v>1336</v>
      </c>
      <c r="I927" s="1" t="n">
        <v>626.4</v>
      </c>
      <c r="J927" s="1" t="str">
        <f aca="false">VLOOKUP(B927,Customers!$A$2:$G$502,6,FALSE())</f>
        <v>Corporate</v>
      </c>
      <c r="K927" s="1" t="str">
        <f aca="false">VLOOKUP(C927,Products!$A$2:$E$62,3,FALSE())</f>
        <v>Electronics</v>
      </c>
      <c r="L927" s="1" t="str">
        <f aca="false">TEXT(D927,"yyyy-mm")</f>
        <v>2024-12</v>
      </c>
    </row>
    <row r="928" customFormat="false" ht="15" hidden="false" customHeight="true" outlineLevel="0" collapsed="false">
      <c r="A928" s="1" t="n">
        <v>950</v>
      </c>
      <c r="B928" s="1" t="n">
        <v>287</v>
      </c>
      <c r="C928" s="1" t="n">
        <v>33</v>
      </c>
      <c r="D928" s="1" t="s">
        <v>1441</v>
      </c>
      <c r="E928" s="1" t="n">
        <v>2</v>
      </c>
      <c r="F928" s="1" t="n">
        <v>190.1</v>
      </c>
      <c r="G928" s="1" t="n">
        <v>0</v>
      </c>
      <c r="H928" s="1" t="s">
        <v>1336</v>
      </c>
      <c r="I928" s="1" t="n">
        <v>380.2</v>
      </c>
      <c r="J928" s="1" t="str">
        <f aca="false">VLOOKUP(B928,Customers!$A$2:$G$502,6,FALSE())</f>
        <v>Corporate</v>
      </c>
      <c r="K928" s="1" t="str">
        <f aca="false">VLOOKUP(C928,Products!$A$2:$E$62,3,FALSE())</f>
        <v>Office Supplies</v>
      </c>
      <c r="L928" s="1" t="str">
        <f aca="false">TEXT(D928,"yyyy-mm")</f>
        <v>2023-03</v>
      </c>
    </row>
    <row r="929" customFormat="false" ht="15" hidden="false" customHeight="true" outlineLevel="0" collapsed="false">
      <c r="A929" s="1" t="n">
        <v>951</v>
      </c>
      <c r="B929" s="1" t="n">
        <v>292</v>
      </c>
      <c r="C929" s="1" t="n">
        <v>53</v>
      </c>
      <c r="D929" s="1" t="s">
        <v>81</v>
      </c>
      <c r="E929" s="1" t="n">
        <v>1</v>
      </c>
      <c r="F929" s="1" t="n">
        <v>509.98</v>
      </c>
      <c r="G929" s="1" t="n">
        <v>0.1</v>
      </c>
      <c r="H929" s="1" t="s">
        <v>1336</v>
      </c>
      <c r="I929" s="1" t="n">
        <v>458.98</v>
      </c>
      <c r="J929" s="1" t="str">
        <f aca="false">VLOOKUP(B929,Customers!$A$2:$G$502,6,FALSE())</f>
        <v>Small Business</v>
      </c>
      <c r="K929" s="1" t="str">
        <f aca="false">VLOOKUP(C929,Products!$A$2:$E$62,3,FALSE())</f>
        <v>Software</v>
      </c>
      <c r="L929" s="1" t="str">
        <f aca="false">TEXT(D929,"yyyy-mm")</f>
        <v>2023-05</v>
      </c>
    </row>
    <row r="930" customFormat="false" ht="15" hidden="false" customHeight="true" outlineLevel="0" collapsed="false">
      <c r="A930" s="1" t="n">
        <v>952</v>
      </c>
      <c r="B930" s="1" t="n">
        <v>311</v>
      </c>
      <c r="C930" s="1" t="n">
        <v>17</v>
      </c>
      <c r="D930" s="1" t="s">
        <v>1451</v>
      </c>
      <c r="E930" s="1" t="n">
        <v>5</v>
      </c>
      <c r="F930" s="1" t="n">
        <v>65.61</v>
      </c>
      <c r="G930" s="1" t="n">
        <v>0</v>
      </c>
      <c r="H930" s="1" t="s">
        <v>1336</v>
      </c>
      <c r="I930" s="1" t="n">
        <v>328.05</v>
      </c>
      <c r="J930" s="1" t="str">
        <f aca="false">VLOOKUP(B930,Customers!$A$2:$G$502,6,FALSE())</f>
        <v>Consumer</v>
      </c>
      <c r="K930" s="1" t="str">
        <f aca="false">VLOOKUP(C930,Products!$A$2:$E$62,3,FALSE())</f>
        <v>Electronics</v>
      </c>
      <c r="L930" s="1" t="str">
        <f aca="false">TEXT(D930,"yyyy-mm")</f>
        <v>2023-10</v>
      </c>
    </row>
    <row r="931" customFormat="false" ht="15" hidden="false" customHeight="true" outlineLevel="0" collapsed="false">
      <c r="A931" s="1" t="n">
        <v>953</v>
      </c>
      <c r="B931" s="1" t="n">
        <v>295</v>
      </c>
      <c r="C931" s="1" t="n">
        <v>32</v>
      </c>
      <c r="D931" s="1" t="s">
        <v>1120</v>
      </c>
      <c r="E931" s="1" t="n">
        <v>9</v>
      </c>
      <c r="F931" s="1" t="n">
        <v>492.27</v>
      </c>
      <c r="G931" s="1" t="n">
        <v>0.2</v>
      </c>
      <c r="H931" s="1" t="s">
        <v>1336</v>
      </c>
      <c r="I931" s="1" t="n">
        <v>3544.34</v>
      </c>
      <c r="J931" s="1" t="str">
        <f aca="false">VLOOKUP(B931,Customers!$A$2:$G$502,6,FALSE())</f>
        <v>Small Business</v>
      </c>
      <c r="K931" s="1" t="str">
        <f aca="false">VLOOKUP(C931,Products!$A$2:$E$62,3,FALSE())</f>
        <v>Office Supplies</v>
      </c>
      <c r="L931" s="1" t="str">
        <f aca="false">TEXT(D931,"yyyy-mm")</f>
        <v>2024-10</v>
      </c>
    </row>
    <row r="932" customFormat="false" ht="15" hidden="false" customHeight="true" outlineLevel="0" collapsed="false">
      <c r="A932" s="1" t="n">
        <v>954</v>
      </c>
      <c r="B932" s="1" t="n">
        <v>215</v>
      </c>
      <c r="C932" s="1" t="n">
        <v>17</v>
      </c>
      <c r="D932" s="1" t="s">
        <v>1587</v>
      </c>
      <c r="E932" s="1" t="n">
        <v>6</v>
      </c>
      <c r="F932" s="1" t="n">
        <v>65.61</v>
      </c>
      <c r="G932" s="1" t="n">
        <v>0.15</v>
      </c>
      <c r="H932" s="1" t="s">
        <v>1346</v>
      </c>
      <c r="I932" s="1" t="n">
        <v>334.61</v>
      </c>
      <c r="J932" s="1" t="str">
        <f aca="false">VLOOKUP(B932,Customers!$A$2:$G$502,6,FALSE())</f>
        <v>Corporate</v>
      </c>
      <c r="K932" s="1" t="str">
        <f aca="false">VLOOKUP(C932,Products!$A$2:$E$62,3,FALSE())</f>
        <v>Electronics</v>
      </c>
      <c r="L932" s="1" t="str">
        <f aca="false">TEXT(D932,"yyyy-mm")</f>
        <v>2024-07</v>
      </c>
    </row>
    <row r="933" customFormat="false" ht="15" hidden="false" customHeight="true" outlineLevel="0" collapsed="false">
      <c r="A933" s="1" t="n">
        <v>955</v>
      </c>
      <c r="B933" s="1" t="n">
        <v>221</v>
      </c>
      <c r="C933" s="1" t="n">
        <v>2</v>
      </c>
      <c r="D933" s="1" t="s">
        <v>84</v>
      </c>
      <c r="E933" s="1" t="n">
        <v>7</v>
      </c>
      <c r="F933" s="1" t="n">
        <v>498.15</v>
      </c>
      <c r="G933" s="1" t="n">
        <v>0</v>
      </c>
      <c r="H933" s="1" t="s">
        <v>1370</v>
      </c>
      <c r="I933" s="1" t="n">
        <v>3487.05</v>
      </c>
      <c r="J933" s="1" t="str">
        <f aca="false">VLOOKUP(B933,Customers!$A$2:$G$502,6,FALSE())</f>
        <v>Consumer</v>
      </c>
      <c r="K933" s="1" t="str">
        <f aca="false">VLOOKUP(C933,Products!$A$2:$E$62,3,FALSE())</f>
        <v>Electronics</v>
      </c>
      <c r="L933" s="1" t="str">
        <f aca="false">TEXT(D933,"yyyy-mm")</f>
        <v>2024-12</v>
      </c>
    </row>
    <row r="934" customFormat="false" ht="15" hidden="false" customHeight="true" outlineLevel="0" collapsed="false">
      <c r="A934" s="1" t="n">
        <v>956</v>
      </c>
      <c r="B934" s="1" t="n">
        <v>463</v>
      </c>
      <c r="C934" s="1" t="n">
        <v>28</v>
      </c>
      <c r="D934" s="1" t="s">
        <v>1394</v>
      </c>
      <c r="E934" s="1" t="n">
        <v>5</v>
      </c>
      <c r="F934" s="1" t="n">
        <v>505.23</v>
      </c>
      <c r="G934" s="1" t="n">
        <v>0</v>
      </c>
      <c r="H934" s="1" t="s">
        <v>1336</v>
      </c>
      <c r="I934" s="1" t="n">
        <v>2526.15</v>
      </c>
      <c r="J934" s="1" t="str">
        <f aca="false">VLOOKUP(B934,Customers!$A$2:$G$502,6,FALSE())</f>
        <v>Consumer</v>
      </c>
      <c r="K934" s="1" t="str">
        <f aca="false">VLOOKUP(C934,Products!$A$2:$E$62,3,FALSE())</f>
        <v>Office Supplies</v>
      </c>
      <c r="L934" s="1" t="str">
        <f aca="false">TEXT(D934,"yyyy-mm")</f>
        <v>2023-12</v>
      </c>
    </row>
    <row r="935" customFormat="false" ht="15" hidden="false" customHeight="true" outlineLevel="0" collapsed="false">
      <c r="A935" s="1" t="n">
        <v>957</v>
      </c>
      <c r="B935" s="1" t="n">
        <v>460</v>
      </c>
      <c r="C935" s="1" t="n">
        <v>53</v>
      </c>
      <c r="D935" s="1" t="s">
        <v>208</v>
      </c>
      <c r="E935" s="1" t="n">
        <v>6</v>
      </c>
      <c r="F935" s="1" t="n">
        <v>509.98</v>
      </c>
      <c r="G935" s="1" t="n">
        <v>0.1</v>
      </c>
      <c r="H935" s="1" t="s">
        <v>1336</v>
      </c>
      <c r="I935" s="1" t="n">
        <v>2753.89</v>
      </c>
      <c r="J935" s="1" t="str">
        <f aca="false">VLOOKUP(B935,Customers!$A$2:$G$502,6,FALSE())</f>
        <v>Corporate</v>
      </c>
      <c r="K935" s="1" t="str">
        <f aca="false">VLOOKUP(C935,Products!$A$2:$E$62,3,FALSE())</f>
        <v>Software</v>
      </c>
      <c r="L935" s="1" t="str">
        <f aca="false">TEXT(D935,"yyyy-mm")</f>
        <v>2023-12</v>
      </c>
    </row>
    <row r="936" customFormat="false" ht="15" hidden="false" customHeight="true" outlineLevel="0" collapsed="false">
      <c r="A936" s="1" t="n">
        <v>958</v>
      </c>
      <c r="B936" s="1" t="n">
        <v>472</v>
      </c>
      <c r="C936" s="1" t="n">
        <v>23</v>
      </c>
      <c r="D936" s="1" t="s">
        <v>671</v>
      </c>
      <c r="E936" s="1" t="n">
        <v>5</v>
      </c>
      <c r="F936" s="1" t="n">
        <v>188.73</v>
      </c>
      <c r="G936" s="1" t="n">
        <v>0.05</v>
      </c>
      <c r="H936" s="1" t="s">
        <v>1336</v>
      </c>
      <c r="I936" s="1" t="n">
        <v>896.47</v>
      </c>
      <c r="J936" s="1" t="str">
        <f aca="false">VLOOKUP(B936,Customers!$A$2:$G$502,6,FALSE())</f>
        <v>Consumer</v>
      </c>
      <c r="K936" s="1" t="str">
        <f aca="false">VLOOKUP(C936,Products!$A$2:$E$62,3,FALSE())</f>
        <v>Office Supplies</v>
      </c>
      <c r="L936" s="1" t="str">
        <f aca="false">TEXT(D936,"yyyy-mm")</f>
        <v>2024-04</v>
      </c>
    </row>
    <row r="937" customFormat="false" ht="15" hidden="false" customHeight="true" outlineLevel="0" collapsed="false">
      <c r="A937" s="1" t="n">
        <v>959</v>
      </c>
      <c r="B937" s="1" t="n">
        <v>359</v>
      </c>
      <c r="C937" s="1" t="n">
        <v>9</v>
      </c>
      <c r="D937" s="1" t="s">
        <v>1491</v>
      </c>
      <c r="E937" s="1" t="n">
        <v>9</v>
      </c>
      <c r="F937" s="1" t="n">
        <v>203.1</v>
      </c>
      <c r="G937" s="1" t="n">
        <v>0.15</v>
      </c>
      <c r="H937" s="1" t="s">
        <v>1336</v>
      </c>
      <c r="I937" s="1" t="n">
        <v>1553.72</v>
      </c>
      <c r="J937" s="1" t="str">
        <f aca="false">VLOOKUP(B937,Customers!$A$2:$G$502,6,FALSE())</f>
        <v>Small Business</v>
      </c>
      <c r="K937" s="1" t="str">
        <f aca="false">VLOOKUP(C937,Products!$A$2:$E$62,3,FALSE())</f>
        <v>Electronics</v>
      </c>
      <c r="L937" s="1" t="str">
        <f aca="false">TEXT(D937,"yyyy-mm")</f>
        <v>2023-07</v>
      </c>
    </row>
    <row r="938" customFormat="false" ht="15" hidden="false" customHeight="true" outlineLevel="0" collapsed="false">
      <c r="A938" s="1" t="n">
        <v>960</v>
      </c>
      <c r="B938" s="1" t="n">
        <v>459</v>
      </c>
      <c r="C938" s="1" t="n">
        <v>1</v>
      </c>
      <c r="D938" s="1" t="s">
        <v>1502</v>
      </c>
      <c r="E938" s="1" t="n">
        <v>6</v>
      </c>
      <c r="F938" s="1" t="n">
        <v>327.32</v>
      </c>
      <c r="G938" s="1" t="n">
        <v>0.1</v>
      </c>
      <c r="H938" s="1" t="s">
        <v>1336</v>
      </c>
      <c r="I938" s="1" t="n">
        <v>1767.53</v>
      </c>
      <c r="J938" s="1" t="str">
        <f aca="false">VLOOKUP(B938,Customers!$A$2:$G$502,6,FALSE())</f>
        <v>Small Business</v>
      </c>
      <c r="K938" s="1" t="str">
        <f aca="false">VLOOKUP(C938,Products!$A$2:$E$62,3,FALSE())</f>
        <v>Electronics</v>
      </c>
      <c r="L938" s="1" t="str">
        <f aca="false">TEXT(D938,"yyyy-mm")</f>
        <v>2024-08</v>
      </c>
    </row>
    <row r="939" customFormat="false" ht="15" hidden="false" customHeight="true" outlineLevel="0" collapsed="false">
      <c r="A939" s="1" t="n">
        <v>961</v>
      </c>
      <c r="B939" s="1" t="n">
        <v>261</v>
      </c>
      <c r="C939" s="1" t="n">
        <v>47</v>
      </c>
      <c r="D939" s="1" t="s">
        <v>1588</v>
      </c>
      <c r="E939" s="1" t="n">
        <v>8</v>
      </c>
      <c r="F939" s="1" t="n">
        <v>506.19</v>
      </c>
      <c r="G939" s="1" t="n">
        <v>0</v>
      </c>
      <c r="H939" s="1" t="s">
        <v>1370</v>
      </c>
      <c r="I939" s="1" t="n">
        <v>4049.52</v>
      </c>
      <c r="J939" s="1" t="str">
        <f aca="false">VLOOKUP(B939,Customers!$A$2:$G$502,6,FALSE())</f>
        <v>Consumer</v>
      </c>
      <c r="K939" s="1" t="str">
        <f aca="false">VLOOKUP(C939,Products!$A$2:$E$62,3,FALSE())</f>
        <v>Software</v>
      </c>
      <c r="L939" s="1" t="str">
        <f aca="false">TEXT(D939,"yyyy-mm")</f>
        <v>2024-08</v>
      </c>
    </row>
    <row r="940" customFormat="false" ht="15" hidden="false" customHeight="true" outlineLevel="0" collapsed="false">
      <c r="A940" s="1" t="n">
        <v>962</v>
      </c>
      <c r="B940" s="1" t="n">
        <v>289</v>
      </c>
      <c r="C940" s="1" t="n">
        <v>34</v>
      </c>
      <c r="D940" s="1" t="s">
        <v>1589</v>
      </c>
      <c r="E940" s="1" t="n">
        <v>2</v>
      </c>
      <c r="F940" s="1" t="n">
        <v>116.85</v>
      </c>
      <c r="G940" s="1" t="n">
        <v>0.1</v>
      </c>
      <c r="H940" s="1" t="s">
        <v>1336</v>
      </c>
      <c r="I940" s="1" t="n">
        <v>210.33</v>
      </c>
      <c r="J940" s="1" t="str">
        <f aca="false">VLOOKUP(B940,Customers!$A$2:$G$502,6,FALSE())</f>
        <v>Consumer</v>
      </c>
      <c r="K940" s="1" t="str">
        <f aca="false">VLOOKUP(C940,Products!$A$2:$E$62,3,FALSE())</f>
        <v>Office Supplies</v>
      </c>
      <c r="L940" s="1" t="str">
        <f aca="false">TEXT(D940,"yyyy-mm")</f>
        <v>2024-06</v>
      </c>
    </row>
    <row r="941" customFormat="false" ht="15" hidden="false" customHeight="true" outlineLevel="0" collapsed="false">
      <c r="A941" s="1" t="n">
        <v>963</v>
      </c>
      <c r="B941" s="1" t="n">
        <v>388</v>
      </c>
      <c r="C941" s="1" t="n">
        <v>12</v>
      </c>
      <c r="D941" s="1" t="s">
        <v>56</v>
      </c>
      <c r="E941" s="1" t="n">
        <v>9</v>
      </c>
      <c r="F941" s="1" t="n">
        <v>179.23</v>
      </c>
      <c r="G941" s="1" t="n">
        <v>0</v>
      </c>
      <c r="H941" s="1" t="s">
        <v>1336</v>
      </c>
      <c r="I941" s="1" t="n">
        <v>1613.07</v>
      </c>
      <c r="J941" s="1" t="str">
        <f aca="false">VLOOKUP(B941,Customers!$A$2:$G$502,6,FALSE())</f>
        <v>Corporate</v>
      </c>
      <c r="K941" s="1" t="str">
        <f aca="false">VLOOKUP(C941,Products!$A$2:$E$62,3,FALSE())</f>
        <v>Electronics</v>
      </c>
      <c r="L941" s="1" t="str">
        <f aca="false">TEXT(D941,"yyyy-mm")</f>
        <v>2023-05</v>
      </c>
    </row>
    <row r="942" customFormat="false" ht="15" hidden="false" customHeight="true" outlineLevel="0" collapsed="false">
      <c r="A942" s="1" t="n">
        <v>964</v>
      </c>
      <c r="B942" s="1" t="n">
        <v>266</v>
      </c>
      <c r="C942" s="1" t="n">
        <v>18</v>
      </c>
      <c r="D942" s="1" t="s">
        <v>342</v>
      </c>
      <c r="E942" s="1" t="n">
        <v>5</v>
      </c>
      <c r="F942" s="1" t="n">
        <v>747.34</v>
      </c>
      <c r="G942" s="1" t="n">
        <v>0.1</v>
      </c>
      <c r="H942" s="1" t="s">
        <v>1336</v>
      </c>
      <c r="I942" s="1" t="n">
        <v>3363.03</v>
      </c>
      <c r="J942" s="1" t="str">
        <f aca="false">VLOOKUP(B942,Customers!$A$2:$G$502,6,FALSE())</f>
        <v>Corporate</v>
      </c>
      <c r="K942" s="1" t="str">
        <f aca="false">VLOOKUP(C942,Products!$A$2:$E$62,3,FALSE())</f>
        <v>Electronics</v>
      </c>
      <c r="L942" s="1" t="str">
        <f aca="false">TEXT(D942,"yyyy-mm")</f>
        <v>2024-08</v>
      </c>
    </row>
    <row r="943" customFormat="false" ht="15" hidden="false" customHeight="true" outlineLevel="0" collapsed="false">
      <c r="A943" s="1" t="n">
        <v>965</v>
      </c>
      <c r="B943" s="1" t="n">
        <v>250</v>
      </c>
      <c r="C943" s="1" t="n">
        <v>29</v>
      </c>
      <c r="D943" s="1" t="s">
        <v>1437</v>
      </c>
      <c r="E943" s="1" t="n">
        <v>7</v>
      </c>
      <c r="F943" s="1" t="n">
        <v>54.62</v>
      </c>
      <c r="G943" s="1" t="n">
        <v>0</v>
      </c>
      <c r="H943" s="1" t="s">
        <v>1336</v>
      </c>
      <c r="I943" s="1" t="n">
        <v>382.34</v>
      </c>
      <c r="J943" s="1" t="str">
        <f aca="false">VLOOKUP(B943,Customers!$A$2:$G$502,6,FALSE())</f>
        <v>Consumer</v>
      </c>
      <c r="K943" s="1" t="str">
        <f aca="false">VLOOKUP(C943,Products!$A$2:$E$62,3,FALSE())</f>
        <v>Office Supplies</v>
      </c>
      <c r="L943" s="1" t="str">
        <f aca="false">TEXT(D943,"yyyy-mm")</f>
        <v>2023-08</v>
      </c>
    </row>
    <row r="944" customFormat="false" ht="15" hidden="false" customHeight="true" outlineLevel="0" collapsed="false">
      <c r="A944" s="1" t="n">
        <v>966</v>
      </c>
      <c r="B944" s="1" t="n">
        <v>474</v>
      </c>
      <c r="C944" s="1" t="n">
        <v>15</v>
      </c>
      <c r="D944" s="1" t="s">
        <v>170</v>
      </c>
      <c r="E944" s="1" t="n">
        <v>1</v>
      </c>
      <c r="F944" s="1" t="n">
        <v>304.95</v>
      </c>
      <c r="G944" s="1" t="n">
        <v>0</v>
      </c>
      <c r="H944" s="1" t="s">
        <v>1336</v>
      </c>
      <c r="I944" s="1" t="n">
        <v>304.95</v>
      </c>
      <c r="J944" s="1" t="str">
        <f aca="false">VLOOKUP(B944,Customers!$A$2:$G$502,6,FALSE())</f>
        <v>Consumer</v>
      </c>
      <c r="K944" s="1" t="str">
        <f aca="false">VLOOKUP(C944,Products!$A$2:$E$62,3,FALSE())</f>
        <v>Electronics</v>
      </c>
      <c r="L944" s="1" t="str">
        <f aca="false">TEXT(D944,"yyyy-mm")</f>
        <v>2024-11</v>
      </c>
    </row>
    <row r="945" customFormat="false" ht="15" hidden="false" customHeight="true" outlineLevel="0" collapsed="false">
      <c r="A945" s="1" t="n">
        <v>967</v>
      </c>
      <c r="B945" s="1" t="n">
        <v>15</v>
      </c>
      <c r="C945" s="1" t="n">
        <v>39</v>
      </c>
      <c r="D945" s="1" t="s">
        <v>461</v>
      </c>
      <c r="E945" s="1" t="n">
        <v>5</v>
      </c>
      <c r="F945" s="1" t="n">
        <v>400.02</v>
      </c>
      <c r="G945" s="1" t="n">
        <v>0.1</v>
      </c>
      <c r="H945" s="1" t="s">
        <v>1336</v>
      </c>
      <c r="I945" s="1" t="n">
        <v>1800.09</v>
      </c>
      <c r="J945" s="1" t="str">
        <f aca="false">VLOOKUP(B945,Customers!$A$2:$G$502,6,FALSE())</f>
        <v>Corporate</v>
      </c>
      <c r="K945" s="1" t="str">
        <f aca="false">VLOOKUP(C945,Products!$A$2:$E$62,3,FALSE())</f>
        <v>Software</v>
      </c>
      <c r="L945" s="1" t="str">
        <f aca="false">TEXT(D945,"yyyy-mm")</f>
        <v>2023-02</v>
      </c>
    </row>
    <row r="946" customFormat="false" ht="15" hidden="false" customHeight="true" outlineLevel="0" collapsed="false">
      <c r="A946" s="1" t="n">
        <v>968</v>
      </c>
      <c r="B946" s="1" t="n">
        <v>190</v>
      </c>
      <c r="C946" s="1" t="n">
        <v>14</v>
      </c>
      <c r="D946" s="1" t="s">
        <v>1349</v>
      </c>
      <c r="E946" s="1" t="n">
        <v>2</v>
      </c>
      <c r="F946" s="1" t="n">
        <v>135.27</v>
      </c>
      <c r="G946" s="1" t="n">
        <v>0.1</v>
      </c>
      <c r="H946" s="1" t="s">
        <v>1336</v>
      </c>
      <c r="I946" s="1" t="n">
        <v>243.49</v>
      </c>
      <c r="J946" s="1" t="str">
        <f aca="false">VLOOKUP(B946,Customers!$A$2:$G$502,6,FALSE())</f>
        <v>Corporate</v>
      </c>
      <c r="K946" s="1" t="str">
        <f aca="false">VLOOKUP(C946,Products!$A$2:$E$62,3,FALSE())</f>
        <v>Electronics</v>
      </c>
      <c r="L946" s="1" t="str">
        <f aca="false">TEXT(D946,"yyyy-mm")</f>
        <v>2023-10</v>
      </c>
    </row>
    <row r="947" customFormat="false" ht="15" hidden="false" customHeight="true" outlineLevel="0" collapsed="false">
      <c r="A947" s="1" t="n">
        <v>969</v>
      </c>
      <c r="B947" s="1" t="n">
        <v>471</v>
      </c>
      <c r="C947" s="1" t="n">
        <v>8</v>
      </c>
      <c r="D947" s="1" t="s">
        <v>199</v>
      </c>
      <c r="E947" s="1" t="n">
        <v>6</v>
      </c>
      <c r="F947" s="1" t="n">
        <v>104.4</v>
      </c>
      <c r="G947" s="1" t="n">
        <v>0.2</v>
      </c>
      <c r="H947" s="1" t="s">
        <v>1336</v>
      </c>
      <c r="I947" s="1" t="n">
        <v>501.12</v>
      </c>
      <c r="J947" s="1" t="str">
        <f aca="false">VLOOKUP(B947,Customers!$A$2:$G$502,6,FALSE())</f>
        <v>Small Business</v>
      </c>
      <c r="K947" s="1" t="str">
        <f aca="false">VLOOKUP(C947,Products!$A$2:$E$62,3,FALSE())</f>
        <v>Electronics</v>
      </c>
      <c r="L947" s="1" t="str">
        <f aca="false">TEXT(D947,"yyyy-mm")</f>
        <v>2024-12</v>
      </c>
    </row>
    <row r="948" customFormat="false" ht="15" hidden="false" customHeight="true" outlineLevel="0" collapsed="false">
      <c r="A948" s="1" t="n">
        <v>970</v>
      </c>
      <c r="B948" s="1" t="n">
        <v>71</v>
      </c>
      <c r="C948" s="1" t="n">
        <v>18</v>
      </c>
      <c r="D948" s="1" t="s">
        <v>432</v>
      </c>
      <c r="E948" s="1" t="n">
        <v>1</v>
      </c>
      <c r="F948" s="1" t="n">
        <v>747.34</v>
      </c>
      <c r="G948" s="1" t="n">
        <v>0</v>
      </c>
      <c r="H948" s="1" t="s">
        <v>1370</v>
      </c>
      <c r="I948" s="1" t="n">
        <v>747.34</v>
      </c>
      <c r="J948" s="1" t="str">
        <f aca="false">VLOOKUP(B948,Customers!$A$2:$G$502,6,FALSE())</f>
        <v>Corporate</v>
      </c>
      <c r="K948" s="1" t="str">
        <f aca="false">VLOOKUP(C948,Products!$A$2:$E$62,3,FALSE())</f>
        <v>Electronics</v>
      </c>
      <c r="L948" s="1" t="str">
        <f aca="false">TEXT(D948,"yyyy-mm")</f>
        <v>2024-11</v>
      </c>
    </row>
    <row r="949" customFormat="false" ht="15" hidden="false" customHeight="true" outlineLevel="0" collapsed="false">
      <c r="A949" s="1" t="n">
        <v>971</v>
      </c>
      <c r="B949" s="1" t="n">
        <v>39</v>
      </c>
      <c r="C949" s="1" t="n">
        <v>21</v>
      </c>
      <c r="D949" s="1" t="s">
        <v>1590</v>
      </c>
      <c r="E949" s="1" t="n">
        <v>3</v>
      </c>
      <c r="F949" s="1" t="n">
        <v>84.91</v>
      </c>
      <c r="G949" s="1" t="n">
        <v>0.1</v>
      </c>
      <c r="H949" s="1" t="s">
        <v>1336</v>
      </c>
      <c r="I949" s="1" t="n">
        <v>229.26</v>
      </c>
      <c r="J949" s="1" t="str">
        <f aca="false">VLOOKUP(B949,Customers!$A$2:$G$502,6,FALSE())</f>
        <v>Corporate</v>
      </c>
      <c r="K949" s="1" t="str">
        <f aca="false">VLOOKUP(C949,Products!$A$2:$E$62,3,FALSE())</f>
        <v>Office Supplies</v>
      </c>
      <c r="L949" s="1" t="str">
        <f aca="false">TEXT(D949,"yyyy-mm")</f>
        <v>2023-06</v>
      </c>
    </row>
    <row r="950" customFormat="false" ht="15" hidden="false" customHeight="true" outlineLevel="0" collapsed="false">
      <c r="A950" s="1" t="n">
        <v>972</v>
      </c>
      <c r="B950" s="1" t="n">
        <v>38</v>
      </c>
      <c r="C950" s="1" t="n">
        <v>46</v>
      </c>
      <c r="D950" s="1" t="s">
        <v>1566</v>
      </c>
      <c r="E950" s="1" t="n">
        <v>5</v>
      </c>
      <c r="F950" s="1" t="n">
        <v>94.92</v>
      </c>
      <c r="G950" s="1" t="n">
        <v>0</v>
      </c>
      <c r="H950" s="1" t="s">
        <v>1346</v>
      </c>
      <c r="I950" s="1" t="n">
        <v>474.6</v>
      </c>
      <c r="J950" s="1" t="str">
        <f aca="false">VLOOKUP(B950,Customers!$A$2:$G$502,6,FALSE())</f>
        <v>Small Business</v>
      </c>
      <c r="K950" s="1" t="str">
        <f aca="false">VLOOKUP(C950,Products!$A$2:$E$62,3,FALSE())</f>
        <v>Software</v>
      </c>
      <c r="L950" s="1" t="str">
        <f aca="false">TEXT(D950,"yyyy-mm")</f>
        <v>2024-12</v>
      </c>
    </row>
    <row r="951" customFormat="false" ht="15" hidden="false" customHeight="true" outlineLevel="0" collapsed="false">
      <c r="A951" s="1" t="n">
        <v>973</v>
      </c>
      <c r="B951" s="1" t="n">
        <v>267</v>
      </c>
      <c r="C951" s="1" t="n">
        <v>21</v>
      </c>
      <c r="D951" s="1" t="s">
        <v>581</v>
      </c>
      <c r="E951" s="1" t="n">
        <v>4</v>
      </c>
      <c r="F951" s="1" t="n">
        <v>84.91</v>
      </c>
      <c r="G951" s="1" t="n">
        <v>0.2</v>
      </c>
      <c r="H951" s="1" t="s">
        <v>1336</v>
      </c>
      <c r="I951" s="1" t="n">
        <v>271.71</v>
      </c>
      <c r="J951" s="1" t="str">
        <f aca="false">VLOOKUP(B951,Customers!$A$2:$G$502,6,FALSE())</f>
        <v>Corporate</v>
      </c>
      <c r="K951" s="1" t="str">
        <f aca="false">VLOOKUP(C951,Products!$A$2:$E$62,3,FALSE())</f>
        <v>Office Supplies</v>
      </c>
      <c r="L951" s="1" t="str">
        <f aca="false">TEXT(D951,"yyyy-mm")</f>
        <v>2023-07</v>
      </c>
    </row>
    <row r="952" customFormat="false" ht="15" hidden="false" customHeight="true" outlineLevel="0" collapsed="false">
      <c r="A952" s="1" t="n">
        <v>974</v>
      </c>
      <c r="B952" s="1" t="n">
        <v>322</v>
      </c>
      <c r="C952" s="1" t="n">
        <v>1</v>
      </c>
      <c r="D952" s="1" t="s">
        <v>1489</v>
      </c>
      <c r="E952" s="1" t="n">
        <v>3</v>
      </c>
      <c r="F952" s="1" t="n">
        <v>327.32</v>
      </c>
      <c r="G952" s="1" t="n">
        <v>0</v>
      </c>
      <c r="H952" s="1" t="s">
        <v>1336</v>
      </c>
      <c r="I952" s="1" t="n">
        <v>981.96</v>
      </c>
      <c r="J952" s="1" t="str">
        <f aca="false">VLOOKUP(B952,Customers!$A$2:$G$502,6,FALSE())</f>
        <v>Consumer</v>
      </c>
      <c r="K952" s="1" t="str">
        <f aca="false">VLOOKUP(C952,Products!$A$2:$E$62,3,FALSE())</f>
        <v>Electronics</v>
      </c>
      <c r="L952" s="1" t="str">
        <f aca="false">TEXT(D952,"yyyy-mm")</f>
        <v>2023-09</v>
      </c>
    </row>
    <row r="953" customFormat="false" ht="15" hidden="false" customHeight="true" outlineLevel="0" collapsed="false">
      <c r="A953" s="1" t="n">
        <v>975</v>
      </c>
      <c r="B953" s="1" t="n">
        <v>241</v>
      </c>
      <c r="C953" s="1" t="n">
        <v>10</v>
      </c>
      <c r="D953" s="1" t="s">
        <v>1591</v>
      </c>
      <c r="E953" s="1" t="n">
        <v>5</v>
      </c>
      <c r="F953" s="1" t="n">
        <v>251.58</v>
      </c>
      <c r="G953" s="1" t="n">
        <v>0.2</v>
      </c>
      <c r="H953" s="1" t="s">
        <v>1336</v>
      </c>
      <c r="I953" s="1" t="n">
        <v>1006.32</v>
      </c>
      <c r="J953" s="1" t="str">
        <f aca="false">VLOOKUP(B953,Customers!$A$2:$G$502,6,FALSE())</f>
        <v>Small Business</v>
      </c>
      <c r="K953" s="1" t="str">
        <f aca="false">VLOOKUP(C953,Products!$A$2:$E$62,3,FALSE())</f>
        <v>Electronics</v>
      </c>
      <c r="L953" s="1" t="str">
        <f aca="false">TEXT(D953,"yyyy-mm")</f>
        <v>2024-05</v>
      </c>
    </row>
    <row r="954" customFormat="false" ht="15" hidden="false" customHeight="true" outlineLevel="0" collapsed="false">
      <c r="A954" s="1" t="n">
        <v>976</v>
      </c>
      <c r="B954" s="1" t="n">
        <v>46</v>
      </c>
      <c r="C954" s="1" t="n">
        <v>34</v>
      </c>
      <c r="D954" s="1" t="s">
        <v>929</v>
      </c>
      <c r="E954" s="1" t="n">
        <v>8</v>
      </c>
      <c r="F954" s="1" t="n">
        <v>116.85</v>
      </c>
      <c r="G954" s="1" t="n">
        <v>0</v>
      </c>
      <c r="H954" s="1" t="s">
        <v>1336</v>
      </c>
      <c r="I954" s="1" t="n">
        <v>934.8</v>
      </c>
      <c r="J954" s="1" t="str">
        <f aca="false">VLOOKUP(B954,Customers!$A$2:$G$502,6,FALSE())</f>
        <v>Consumer</v>
      </c>
      <c r="K954" s="1" t="str">
        <f aca="false">VLOOKUP(C954,Products!$A$2:$E$62,3,FALSE())</f>
        <v>Office Supplies</v>
      </c>
      <c r="L954" s="1" t="str">
        <f aca="false">TEXT(D954,"yyyy-mm")</f>
        <v>2023-08</v>
      </c>
    </row>
    <row r="955" customFormat="false" ht="15" hidden="false" customHeight="true" outlineLevel="0" collapsed="false">
      <c r="A955" s="1" t="n">
        <v>977</v>
      </c>
      <c r="B955" s="1" t="n">
        <v>20</v>
      </c>
      <c r="C955" s="1" t="n">
        <v>27</v>
      </c>
      <c r="D955" s="1" t="s">
        <v>1566</v>
      </c>
      <c r="E955" s="1" t="n">
        <v>4</v>
      </c>
      <c r="F955" s="1" t="n">
        <v>772.58</v>
      </c>
      <c r="G955" s="1" t="n">
        <v>0</v>
      </c>
      <c r="H955" s="1" t="s">
        <v>1336</v>
      </c>
      <c r="I955" s="1" t="n">
        <v>3090.32</v>
      </c>
      <c r="J955" s="1" t="str">
        <f aca="false">VLOOKUP(B955,Customers!$A$2:$G$502,6,FALSE())</f>
        <v>Consumer</v>
      </c>
      <c r="K955" s="1" t="str">
        <f aca="false">VLOOKUP(C955,Products!$A$2:$E$62,3,FALSE())</f>
        <v>Office Supplies</v>
      </c>
      <c r="L955" s="1" t="str">
        <f aca="false">TEXT(D955,"yyyy-mm")</f>
        <v>2024-12</v>
      </c>
    </row>
    <row r="956" customFormat="false" ht="15" hidden="false" customHeight="true" outlineLevel="0" collapsed="false">
      <c r="A956" s="1" t="n">
        <v>978</v>
      </c>
      <c r="B956" s="1" t="n">
        <v>272</v>
      </c>
      <c r="C956" s="1" t="n">
        <v>43</v>
      </c>
      <c r="D956" s="1" t="s">
        <v>1562</v>
      </c>
      <c r="E956" s="1" t="n">
        <v>1</v>
      </c>
      <c r="F956" s="1" t="n">
        <v>186.31</v>
      </c>
      <c r="G956" s="1" t="n">
        <v>0</v>
      </c>
      <c r="H956" s="1" t="s">
        <v>1336</v>
      </c>
      <c r="I956" s="1" t="n">
        <v>186.31</v>
      </c>
      <c r="J956" s="1" t="str">
        <f aca="false">VLOOKUP(B956,Customers!$A$2:$G$502,6,FALSE())</f>
        <v>Consumer</v>
      </c>
      <c r="K956" s="1" t="str">
        <f aca="false">VLOOKUP(C956,Products!$A$2:$E$62,3,FALSE())</f>
        <v>Software</v>
      </c>
      <c r="L956" s="1" t="str">
        <f aca="false">TEXT(D956,"yyyy-mm")</f>
        <v>2023-07</v>
      </c>
    </row>
    <row r="957" customFormat="false" ht="15" hidden="false" customHeight="true" outlineLevel="0" collapsed="false">
      <c r="A957" s="1" t="n">
        <v>979</v>
      </c>
      <c r="B957" s="1" t="n">
        <v>323</v>
      </c>
      <c r="C957" s="1" t="n">
        <v>26</v>
      </c>
      <c r="D957" s="1" t="s">
        <v>780</v>
      </c>
      <c r="E957" s="1" t="n">
        <v>7</v>
      </c>
      <c r="F957" s="1" t="n">
        <v>733.85</v>
      </c>
      <c r="G957" s="1" t="n">
        <v>0</v>
      </c>
      <c r="H957" s="1" t="s">
        <v>1336</v>
      </c>
      <c r="I957" s="1" t="n">
        <v>5136.95</v>
      </c>
      <c r="J957" s="1" t="str">
        <f aca="false">VLOOKUP(B957,Customers!$A$2:$G$502,6,FALSE())</f>
        <v>Consumer</v>
      </c>
      <c r="K957" s="1" t="str">
        <f aca="false">VLOOKUP(C957,Products!$A$2:$E$62,3,FALSE())</f>
        <v>Office Supplies</v>
      </c>
      <c r="L957" s="1" t="str">
        <f aca="false">TEXT(D957,"yyyy-mm")</f>
        <v>2024-09</v>
      </c>
    </row>
    <row r="958" customFormat="false" ht="15" hidden="false" customHeight="true" outlineLevel="0" collapsed="false">
      <c r="A958" s="1" t="n">
        <v>980</v>
      </c>
      <c r="B958" s="1" t="n">
        <v>460</v>
      </c>
      <c r="C958" s="1" t="n">
        <v>49</v>
      </c>
      <c r="D958" s="1" t="s">
        <v>632</v>
      </c>
      <c r="E958" s="1" t="n">
        <v>8</v>
      </c>
      <c r="F958" s="1" t="n">
        <v>325.17</v>
      </c>
      <c r="G958" s="1" t="n">
        <v>0.05</v>
      </c>
      <c r="H958" s="1" t="s">
        <v>1370</v>
      </c>
      <c r="I958" s="1" t="n">
        <v>2471.29</v>
      </c>
      <c r="J958" s="1" t="str">
        <f aca="false">VLOOKUP(B958,Customers!$A$2:$G$502,6,FALSE())</f>
        <v>Corporate</v>
      </c>
      <c r="K958" s="1" t="str">
        <f aca="false">VLOOKUP(C958,Products!$A$2:$E$62,3,FALSE())</f>
        <v>Software</v>
      </c>
      <c r="L958" s="1" t="str">
        <f aca="false">TEXT(D958,"yyyy-mm")</f>
        <v>2023-10</v>
      </c>
    </row>
    <row r="959" customFormat="false" ht="15" hidden="false" customHeight="true" outlineLevel="0" collapsed="false">
      <c r="A959" s="1" t="n">
        <v>981</v>
      </c>
      <c r="B959" s="1" t="n">
        <v>238</v>
      </c>
      <c r="C959" s="1" t="n">
        <v>21</v>
      </c>
      <c r="D959" s="1" t="s">
        <v>748</v>
      </c>
      <c r="E959" s="1" t="n">
        <v>3</v>
      </c>
      <c r="F959" s="1" t="n">
        <v>84.91</v>
      </c>
      <c r="G959" s="1" t="n">
        <v>0</v>
      </c>
      <c r="H959" s="1" t="s">
        <v>1336</v>
      </c>
      <c r="I959" s="1" t="n">
        <v>254.73</v>
      </c>
      <c r="J959" s="1" t="str">
        <f aca="false">VLOOKUP(B959,Customers!$A$2:$G$502,6,FALSE())</f>
        <v>Corporate</v>
      </c>
      <c r="K959" s="1" t="str">
        <f aca="false">VLOOKUP(C959,Products!$A$2:$E$62,3,FALSE())</f>
        <v>Office Supplies</v>
      </c>
      <c r="L959" s="1" t="str">
        <f aca="false">TEXT(D959,"yyyy-mm")</f>
        <v>2024-11</v>
      </c>
    </row>
    <row r="960" customFormat="false" ht="15" hidden="false" customHeight="true" outlineLevel="0" collapsed="false">
      <c r="A960" s="1" t="n">
        <v>982</v>
      </c>
      <c r="B960" s="1" t="n">
        <v>431</v>
      </c>
      <c r="C960" s="1" t="n">
        <v>52</v>
      </c>
      <c r="D960" s="1" t="s">
        <v>1488</v>
      </c>
      <c r="E960" s="1" t="n">
        <v>6</v>
      </c>
      <c r="F960" s="1" t="n">
        <v>207.67</v>
      </c>
      <c r="G960" s="1" t="n">
        <v>0.1</v>
      </c>
      <c r="H960" s="1" t="s">
        <v>1336</v>
      </c>
      <c r="I960" s="1" t="n">
        <v>1121.42</v>
      </c>
      <c r="J960" s="1" t="str">
        <f aca="false">VLOOKUP(B960,Customers!$A$2:$G$502,6,FALSE())</f>
        <v>Consumer</v>
      </c>
      <c r="K960" s="1" t="str">
        <f aca="false">VLOOKUP(C960,Products!$A$2:$E$62,3,FALSE())</f>
        <v>Software</v>
      </c>
      <c r="L960" s="1" t="str">
        <f aca="false">TEXT(D960,"yyyy-mm")</f>
        <v>2024-05</v>
      </c>
    </row>
    <row r="961" customFormat="false" ht="15" hidden="false" customHeight="true" outlineLevel="0" collapsed="false">
      <c r="A961" s="1" t="n">
        <v>983</v>
      </c>
      <c r="B961" s="1" t="n">
        <v>456</v>
      </c>
      <c r="C961" s="1" t="n">
        <v>55</v>
      </c>
      <c r="D961" s="1" t="s">
        <v>1237</v>
      </c>
      <c r="E961" s="1" t="n">
        <v>2</v>
      </c>
      <c r="F961" s="1" t="n">
        <v>123.38</v>
      </c>
      <c r="G961" s="1" t="n">
        <v>0</v>
      </c>
      <c r="H961" s="1" t="s">
        <v>1336</v>
      </c>
      <c r="I961" s="1" t="n">
        <v>246.76</v>
      </c>
      <c r="J961" s="1" t="str">
        <f aca="false">VLOOKUP(B961,Customers!$A$2:$G$502,6,FALSE())</f>
        <v>Consumer</v>
      </c>
      <c r="K961" s="1" t="str">
        <f aca="false">VLOOKUP(C961,Products!$A$2:$E$62,3,FALSE())</f>
        <v>Furniture</v>
      </c>
      <c r="L961" s="1" t="str">
        <f aca="false">TEXT(D961,"yyyy-mm")</f>
        <v>2024-02</v>
      </c>
    </row>
    <row r="962" customFormat="false" ht="15" hidden="false" customHeight="true" outlineLevel="0" collapsed="false">
      <c r="A962" s="1" t="n">
        <v>984</v>
      </c>
      <c r="B962" s="1" t="n">
        <v>415</v>
      </c>
      <c r="C962" s="1" t="n">
        <v>29</v>
      </c>
      <c r="D962" s="1" t="s">
        <v>1592</v>
      </c>
      <c r="E962" s="1" t="n">
        <v>7</v>
      </c>
      <c r="F962" s="1" t="n">
        <v>54.62</v>
      </c>
      <c r="G962" s="1" t="n">
        <v>0.05</v>
      </c>
      <c r="H962" s="1" t="s">
        <v>1336</v>
      </c>
      <c r="I962" s="1" t="n">
        <v>363.22</v>
      </c>
      <c r="J962" s="1" t="str">
        <f aca="false">VLOOKUP(B962,Customers!$A$2:$G$502,6,FALSE())</f>
        <v>Consumer</v>
      </c>
      <c r="K962" s="1" t="str">
        <f aca="false">VLOOKUP(C962,Products!$A$2:$E$62,3,FALSE())</f>
        <v>Office Supplies</v>
      </c>
      <c r="L962" s="1" t="str">
        <f aca="false">TEXT(D962,"yyyy-mm")</f>
        <v>2024-03</v>
      </c>
    </row>
    <row r="963" customFormat="false" ht="15" hidden="false" customHeight="true" outlineLevel="0" collapsed="false">
      <c r="A963" s="1" t="n">
        <v>985</v>
      </c>
      <c r="B963" s="1" t="n">
        <v>326</v>
      </c>
      <c r="C963" s="1" t="n">
        <v>53</v>
      </c>
      <c r="D963" s="1" t="s">
        <v>707</v>
      </c>
      <c r="E963" s="1" t="n">
        <v>8</v>
      </c>
      <c r="F963" s="1" t="n">
        <v>509.98</v>
      </c>
      <c r="G963" s="1" t="n">
        <v>0</v>
      </c>
      <c r="H963" s="1" t="s">
        <v>1336</v>
      </c>
      <c r="I963" s="1" t="n">
        <v>4079.84</v>
      </c>
      <c r="J963" s="1" t="str">
        <f aca="false">VLOOKUP(B963,Customers!$A$2:$G$502,6,FALSE())</f>
        <v>Corporate</v>
      </c>
      <c r="K963" s="1" t="str">
        <f aca="false">VLOOKUP(C963,Products!$A$2:$E$62,3,FALSE())</f>
        <v>Software</v>
      </c>
      <c r="L963" s="1" t="str">
        <f aca="false">TEXT(D963,"yyyy-mm")</f>
        <v>2023-02</v>
      </c>
    </row>
    <row r="964" customFormat="false" ht="15" hidden="false" customHeight="true" outlineLevel="0" collapsed="false">
      <c r="A964" s="1" t="n">
        <v>986</v>
      </c>
      <c r="B964" s="1" t="n">
        <v>400</v>
      </c>
      <c r="C964" s="1" t="n">
        <v>41</v>
      </c>
      <c r="D964" s="1" t="s">
        <v>381</v>
      </c>
      <c r="E964" s="1" t="n">
        <v>6</v>
      </c>
      <c r="F964" s="1" t="n">
        <v>594.54</v>
      </c>
      <c r="G964" s="1" t="n">
        <v>0.1</v>
      </c>
      <c r="H964" s="1" t="s">
        <v>1336</v>
      </c>
      <c r="I964" s="1" t="n">
        <v>3210.52</v>
      </c>
      <c r="J964" s="1" t="str">
        <f aca="false">VLOOKUP(B964,Customers!$A$2:$G$502,6,FALSE())</f>
        <v>Small Business</v>
      </c>
      <c r="K964" s="1" t="str">
        <f aca="false">VLOOKUP(C964,Products!$A$2:$E$62,3,FALSE())</f>
        <v>Software</v>
      </c>
      <c r="L964" s="1" t="str">
        <f aca="false">TEXT(D964,"yyyy-mm")</f>
        <v>2023-04</v>
      </c>
    </row>
    <row r="965" customFormat="false" ht="15" hidden="false" customHeight="true" outlineLevel="0" collapsed="false">
      <c r="A965" s="1" t="n">
        <v>987</v>
      </c>
      <c r="B965" s="1" t="n">
        <v>11</v>
      </c>
      <c r="C965" s="1" t="n">
        <v>52</v>
      </c>
      <c r="D965" s="1" t="s">
        <v>729</v>
      </c>
      <c r="E965" s="1" t="n">
        <v>6</v>
      </c>
      <c r="F965" s="1" t="n">
        <v>207.67</v>
      </c>
      <c r="G965" s="1" t="n">
        <v>0</v>
      </c>
      <c r="H965" s="1" t="s">
        <v>1336</v>
      </c>
      <c r="I965" s="1" t="n">
        <v>1246.02</v>
      </c>
      <c r="J965" s="1" t="str">
        <f aca="false">VLOOKUP(B965,Customers!$A$2:$G$502,6,FALSE())</f>
        <v>Consumer</v>
      </c>
      <c r="K965" s="1" t="str">
        <f aca="false">VLOOKUP(C965,Products!$A$2:$E$62,3,FALSE())</f>
        <v>Software</v>
      </c>
      <c r="L965" s="1" t="str">
        <f aca="false">TEXT(D965,"yyyy-mm")</f>
        <v>2024-01</v>
      </c>
    </row>
    <row r="966" customFormat="false" ht="15" hidden="false" customHeight="true" outlineLevel="0" collapsed="false">
      <c r="A966" s="1" t="n">
        <v>988</v>
      </c>
      <c r="B966" s="1" t="n">
        <v>33</v>
      </c>
      <c r="C966" s="1" t="n">
        <v>42</v>
      </c>
      <c r="D966" s="1" t="s">
        <v>994</v>
      </c>
      <c r="E966" s="1" t="n">
        <v>5</v>
      </c>
      <c r="F966" s="1" t="n">
        <v>174.48</v>
      </c>
      <c r="G966" s="1" t="n">
        <v>0.1</v>
      </c>
      <c r="H966" s="1" t="s">
        <v>1336</v>
      </c>
      <c r="I966" s="1" t="n">
        <v>785.16</v>
      </c>
      <c r="J966" s="1" t="str">
        <f aca="false">VLOOKUP(B966,Customers!$A$2:$G$502,6,FALSE())</f>
        <v>Corporate</v>
      </c>
      <c r="K966" s="1" t="str">
        <f aca="false">VLOOKUP(C966,Products!$A$2:$E$62,3,FALSE())</f>
        <v>Software</v>
      </c>
      <c r="L966" s="1" t="str">
        <f aca="false">TEXT(D966,"yyyy-mm")</f>
        <v>2023-02</v>
      </c>
    </row>
    <row r="967" customFormat="false" ht="15" hidden="false" customHeight="true" outlineLevel="0" collapsed="false">
      <c r="A967" s="1" t="n">
        <v>989</v>
      </c>
      <c r="B967" s="1" t="n">
        <v>203</v>
      </c>
      <c r="C967" s="1" t="n">
        <v>56</v>
      </c>
      <c r="D967" s="1" t="s">
        <v>1537</v>
      </c>
      <c r="E967" s="1" t="n">
        <v>8</v>
      </c>
      <c r="F967" s="1" t="n">
        <v>160.64</v>
      </c>
      <c r="G967" s="1" t="n">
        <v>0</v>
      </c>
      <c r="H967" s="1" t="s">
        <v>1336</v>
      </c>
      <c r="I967" s="1" t="n">
        <v>1285.12</v>
      </c>
      <c r="J967" s="1" t="str">
        <f aca="false">VLOOKUP(B967,Customers!$A$2:$G$502,6,FALSE())</f>
        <v>Corporate</v>
      </c>
      <c r="K967" s="1" t="str">
        <f aca="false">VLOOKUP(C967,Products!$A$2:$E$62,3,FALSE())</f>
        <v>Furniture</v>
      </c>
      <c r="L967" s="1" t="str">
        <f aca="false">TEXT(D967,"yyyy-mm")</f>
        <v>2023-08</v>
      </c>
    </row>
    <row r="968" customFormat="false" ht="15" hidden="false" customHeight="true" outlineLevel="0" collapsed="false">
      <c r="A968" s="1" t="n">
        <v>990</v>
      </c>
      <c r="B968" s="1" t="n">
        <v>376</v>
      </c>
      <c r="C968" s="1" t="n">
        <v>16</v>
      </c>
      <c r="D968" s="1" t="s">
        <v>1136</v>
      </c>
      <c r="E968" s="1" t="n">
        <v>1</v>
      </c>
      <c r="F968" s="1" t="n">
        <v>330.91</v>
      </c>
      <c r="G968" s="1" t="n">
        <v>0</v>
      </c>
      <c r="H968" s="1" t="s">
        <v>1336</v>
      </c>
      <c r="I968" s="1" t="n">
        <v>330.91</v>
      </c>
      <c r="J968" s="1" t="str">
        <f aca="false">VLOOKUP(B968,Customers!$A$2:$G$502,6,FALSE())</f>
        <v>Consumer</v>
      </c>
      <c r="K968" s="1" t="str">
        <f aca="false">VLOOKUP(C968,Products!$A$2:$E$62,3,FALSE())</f>
        <v>Electronics</v>
      </c>
      <c r="L968" s="1" t="str">
        <f aca="false">TEXT(D968,"yyyy-mm")</f>
        <v>2023-01</v>
      </c>
    </row>
    <row r="969" customFormat="false" ht="15" hidden="false" customHeight="true" outlineLevel="0" collapsed="false">
      <c r="A969" s="1" t="n">
        <v>991</v>
      </c>
      <c r="B969" s="1" t="n">
        <v>406</v>
      </c>
      <c r="C969" s="1" t="n">
        <v>32</v>
      </c>
      <c r="D969" s="1" t="s">
        <v>1355</v>
      </c>
      <c r="E969" s="1" t="n">
        <v>4</v>
      </c>
      <c r="F969" s="1" t="n">
        <v>492.27</v>
      </c>
      <c r="G969" s="1" t="n">
        <v>0</v>
      </c>
      <c r="H969" s="1" t="s">
        <v>1336</v>
      </c>
      <c r="I969" s="1" t="n">
        <v>1969.08</v>
      </c>
      <c r="J969" s="1" t="str">
        <f aca="false">VLOOKUP(B969,Customers!$A$2:$G$502,6,FALSE())</f>
        <v>Small Business</v>
      </c>
      <c r="K969" s="1" t="str">
        <f aca="false">VLOOKUP(C969,Products!$A$2:$E$62,3,FALSE())</f>
        <v>Office Supplies</v>
      </c>
      <c r="L969" s="1" t="str">
        <f aca="false">TEXT(D969,"yyyy-mm")</f>
        <v>2023-02</v>
      </c>
    </row>
    <row r="970" customFormat="false" ht="15" hidden="false" customHeight="true" outlineLevel="0" collapsed="false">
      <c r="A970" s="1" t="n">
        <v>992</v>
      </c>
      <c r="B970" s="1" t="n">
        <v>18</v>
      </c>
      <c r="C970" s="1" t="n">
        <v>18</v>
      </c>
      <c r="D970" s="1" t="s">
        <v>1385</v>
      </c>
      <c r="E970" s="1" t="n">
        <v>4</v>
      </c>
      <c r="F970" s="1" t="n">
        <v>747.34</v>
      </c>
      <c r="G970" s="1" t="n">
        <v>0.2</v>
      </c>
      <c r="H970" s="1" t="s">
        <v>1336</v>
      </c>
      <c r="I970" s="1" t="n">
        <v>2391.49</v>
      </c>
      <c r="J970" s="1" t="str">
        <f aca="false">VLOOKUP(B970,Customers!$A$2:$G$502,6,FALSE())</f>
        <v>Corporate</v>
      </c>
      <c r="K970" s="1" t="str">
        <f aca="false">VLOOKUP(C970,Products!$A$2:$E$62,3,FALSE())</f>
        <v>Electronics</v>
      </c>
      <c r="L970" s="1" t="str">
        <f aca="false">TEXT(D970,"yyyy-mm")</f>
        <v>2023-05</v>
      </c>
    </row>
    <row r="971" customFormat="false" ht="15" hidden="false" customHeight="true" outlineLevel="0" collapsed="false">
      <c r="A971" s="1" t="n">
        <v>993</v>
      </c>
      <c r="B971" s="1" t="n">
        <v>139</v>
      </c>
      <c r="C971" s="1" t="n">
        <v>56</v>
      </c>
      <c r="D971" s="1" t="s">
        <v>1533</v>
      </c>
      <c r="E971" s="1" t="n">
        <v>3</v>
      </c>
      <c r="F971" s="1" t="n">
        <v>160.64</v>
      </c>
      <c r="G971" s="1" t="n">
        <v>0</v>
      </c>
      <c r="H971" s="1" t="s">
        <v>1336</v>
      </c>
      <c r="I971" s="1" t="n">
        <v>481.92</v>
      </c>
      <c r="J971" s="1" t="str">
        <f aca="false">VLOOKUP(B971,Customers!$A$2:$G$502,6,FALSE())</f>
        <v>Consumer</v>
      </c>
      <c r="K971" s="1" t="str">
        <f aca="false">VLOOKUP(C971,Products!$A$2:$E$62,3,FALSE())</f>
        <v>Furniture</v>
      </c>
      <c r="L971" s="1" t="str">
        <f aca="false">TEXT(D971,"yyyy-mm")</f>
        <v>2023-03</v>
      </c>
    </row>
    <row r="972" customFormat="false" ht="15" hidden="false" customHeight="true" outlineLevel="0" collapsed="false">
      <c r="A972" s="1" t="n">
        <v>994</v>
      </c>
      <c r="B972" s="1" t="n">
        <v>8</v>
      </c>
      <c r="C972" s="1" t="n">
        <v>48</v>
      </c>
      <c r="D972" s="1" t="s">
        <v>902</v>
      </c>
      <c r="E972" s="1" t="n">
        <v>3</v>
      </c>
      <c r="F972" s="1" t="n">
        <v>493.53</v>
      </c>
      <c r="G972" s="1" t="n">
        <v>0.1</v>
      </c>
      <c r="H972" s="1" t="s">
        <v>1346</v>
      </c>
      <c r="I972" s="1" t="n">
        <v>1332.53</v>
      </c>
      <c r="J972" s="1" t="str">
        <f aca="false">VLOOKUP(B972,Customers!$A$2:$G$502,6,FALSE())</f>
        <v>Consumer</v>
      </c>
      <c r="K972" s="1" t="str">
        <f aca="false">VLOOKUP(C972,Products!$A$2:$E$62,3,FALSE())</f>
        <v>Software</v>
      </c>
      <c r="L972" s="1" t="str">
        <f aca="false">TEXT(D972,"yyyy-mm")</f>
        <v>2024-07</v>
      </c>
    </row>
    <row r="973" customFormat="false" ht="15" hidden="false" customHeight="true" outlineLevel="0" collapsed="false">
      <c r="A973" s="1" t="n">
        <v>995</v>
      </c>
      <c r="B973" s="1" t="n">
        <v>426</v>
      </c>
      <c r="C973" s="1" t="n">
        <v>39</v>
      </c>
      <c r="D973" s="1" t="s">
        <v>226</v>
      </c>
      <c r="E973" s="1" t="n">
        <v>4</v>
      </c>
      <c r="F973" s="1" t="n">
        <v>400.02</v>
      </c>
      <c r="G973" s="1" t="n">
        <v>0</v>
      </c>
      <c r="H973" s="1" t="s">
        <v>1336</v>
      </c>
      <c r="I973" s="1" t="n">
        <v>1600.08</v>
      </c>
      <c r="J973" s="1" t="str">
        <f aca="false">VLOOKUP(B973,Customers!$A$2:$G$502,6,FALSE())</f>
        <v>Consumer</v>
      </c>
      <c r="K973" s="1" t="str">
        <f aca="false">VLOOKUP(C973,Products!$A$2:$E$62,3,FALSE())</f>
        <v>Software</v>
      </c>
      <c r="L973" s="1" t="str">
        <f aca="false">TEXT(D973,"yyyy-mm")</f>
        <v>2023-11</v>
      </c>
    </row>
    <row r="974" customFormat="false" ht="15" hidden="false" customHeight="true" outlineLevel="0" collapsed="false">
      <c r="A974" s="1" t="n">
        <v>996</v>
      </c>
      <c r="B974" s="1" t="n">
        <v>104</v>
      </c>
      <c r="C974" s="1" t="n">
        <v>7</v>
      </c>
      <c r="D974" s="1" t="s">
        <v>1593</v>
      </c>
      <c r="E974" s="1" t="n">
        <v>1</v>
      </c>
      <c r="F974" s="1" t="n">
        <v>460</v>
      </c>
      <c r="G974" s="1" t="n">
        <v>0.15</v>
      </c>
      <c r="H974" s="1" t="s">
        <v>1336</v>
      </c>
      <c r="I974" s="1" t="n">
        <v>391</v>
      </c>
      <c r="J974" s="1" t="str">
        <f aca="false">VLOOKUP(B974,Customers!$A$2:$G$502,6,FALSE())</f>
        <v>Corporate</v>
      </c>
      <c r="K974" s="1" t="str">
        <f aca="false">VLOOKUP(C974,Products!$A$2:$E$62,3,FALSE())</f>
        <v>Electronics</v>
      </c>
      <c r="L974" s="1" t="str">
        <f aca="false">TEXT(D974,"yyyy-mm")</f>
        <v>2023-09</v>
      </c>
    </row>
    <row r="975" customFormat="false" ht="15" hidden="false" customHeight="true" outlineLevel="0" collapsed="false">
      <c r="A975" s="1" t="n">
        <v>997</v>
      </c>
      <c r="B975" s="1" t="n">
        <v>209</v>
      </c>
      <c r="C975" s="1" t="n">
        <v>36</v>
      </c>
      <c r="D975" s="1" t="s">
        <v>1594</v>
      </c>
      <c r="E975" s="1" t="n">
        <v>2</v>
      </c>
      <c r="F975" s="1" t="n">
        <v>424.45</v>
      </c>
      <c r="G975" s="1" t="n">
        <v>0.05</v>
      </c>
      <c r="H975" s="1" t="s">
        <v>1336</v>
      </c>
      <c r="I975" s="1" t="n">
        <v>806.46</v>
      </c>
      <c r="J975" s="1" t="str">
        <f aca="false">VLOOKUP(B975,Customers!$A$2:$G$502,6,FALSE())</f>
        <v>Small Business</v>
      </c>
      <c r="K975" s="1" t="str">
        <f aca="false">VLOOKUP(C975,Products!$A$2:$E$62,3,FALSE())</f>
        <v>Software</v>
      </c>
      <c r="L975" s="1" t="str">
        <f aca="false">TEXT(D975,"yyyy-mm")</f>
        <v>2023-10</v>
      </c>
    </row>
    <row r="976" customFormat="false" ht="15" hidden="false" customHeight="true" outlineLevel="0" collapsed="false">
      <c r="A976" s="1" t="n">
        <v>998</v>
      </c>
      <c r="B976" s="1" t="n">
        <v>255</v>
      </c>
      <c r="C976" s="1" t="n">
        <v>47</v>
      </c>
      <c r="D976" s="1" t="s">
        <v>1436</v>
      </c>
      <c r="E976" s="1" t="n">
        <v>9</v>
      </c>
      <c r="F976" s="1" t="n">
        <v>506.19</v>
      </c>
      <c r="G976" s="1" t="n">
        <v>0</v>
      </c>
      <c r="H976" s="1" t="s">
        <v>1336</v>
      </c>
      <c r="I976" s="1" t="n">
        <v>4555.71</v>
      </c>
      <c r="J976" s="1" t="str">
        <f aca="false">VLOOKUP(B976,Customers!$A$2:$G$502,6,FALSE())</f>
        <v>Corporate</v>
      </c>
      <c r="K976" s="1" t="str">
        <f aca="false">VLOOKUP(C976,Products!$A$2:$E$62,3,FALSE())</f>
        <v>Software</v>
      </c>
      <c r="L976" s="1" t="str">
        <f aca="false">TEXT(D976,"yyyy-mm")</f>
        <v>2024-02</v>
      </c>
    </row>
    <row r="977" customFormat="false" ht="15" hidden="false" customHeight="true" outlineLevel="0" collapsed="false">
      <c r="A977" s="1" t="n">
        <v>999</v>
      </c>
      <c r="B977" s="1" t="n">
        <v>13</v>
      </c>
      <c r="C977" s="1" t="n">
        <v>26</v>
      </c>
      <c r="D977" s="1" t="s">
        <v>1579</v>
      </c>
      <c r="E977" s="1" t="n">
        <v>2</v>
      </c>
      <c r="F977" s="1" t="n">
        <v>733.85</v>
      </c>
      <c r="G977" s="1" t="n">
        <v>0.05</v>
      </c>
      <c r="H977" s="1" t="s">
        <v>1336</v>
      </c>
      <c r="I977" s="1" t="n">
        <v>1394.32</v>
      </c>
      <c r="J977" s="1" t="str">
        <f aca="false">VLOOKUP(B977,Customers!$A$2:$G$502,6,FALSE())</f>
        <v>Corporate</v>
      </c>
      <c r="K977" s="1" t="str">
        <f aca="false">VLOOKUP(C977,Products!$A$2:$E$62,3,FALSE())</f>
        <v>Office Supplies</v>
      </c>
      <c r="L977" s="1" t="str">
        <f aca="false">TEXT(D977,"yyyy-mm")</f>
        <v>2023-08</v>
      </c>
    </row>
    <row r="978" customFormat="false" ht="15" hidden="false" customHeight="true" outlineLevel="0" collapsed="false">
      <c r="A978" s="1" t="n">
        <v>1000</v>
      </c>
      <c r="B978" s="1" t="n">
        <v>415</v>
      </c>
      <c r="C978" s="1" t="n">
        <v>41</v>
      </c>
      <c r="D978" s="1" t="s">
        <v>1453</v>
      </c>
      <c r="E978" s="1" t="n">
        <v>5</v>
      </c>
      <c r="F978" s="1" t="n">
        <v>594.54</v>
      </c>
      <c r="G978" s="1" t="n">
        <v>0</v>
      </c>
      <c r="H978" s="1" t="s">
        <v>1336</v>
      </c>
      <c r="I978" s="1" t="n">
        <v>2972.7</v>
      </c>
      <c r="J978" s="1" t="str">
        <f aca="false">VLOOKUP(B978,Customers!$A$2:$G$502,6,FALSE())</f>
        <v>Consumer</v>
      </c>
      <c r="K978" s="1" t="str">
        <f aca="false">VLOOKUP(C978,Products!$A$2:$E$62,3,FALSE())</f>
        <v>Software</v>
      </c>
      <c r="L978" s="1" t="str">
        <f aca="false">TEXT(D978,"yyyy-mm")</f>
        <v>2023-03</v>
      </c>
    </row>
    <row r="979" customFormat="false" ht="15" hidden="false" customHeight="true" outlineLevel="0" collapsed="false">
      <c r="A979" s="1" t="n">
        <v>1001</v>
      </c>
      <c r="B979" s="1" t="n">
        <v>43</v>
      </c>
      <c r="C979" s="1" t="n">
        <v>10</v>
      </c>
      <c r="D979" s="1" t="s">
        <v>1486</v>
      </c>
      <c r="E979" s="1" t="n">
        <v>9</v>
      </c>
      <c r="F979" s="1" t="n">
        <v>251.58</v>
      </c>
      <c r="G979" s="1" t="n">
        <v>0.1</v>
      </c>
      <c r="H979" s="1" t="s">
        <v>1336</v>
      </c>
      <c r="I979" s="1" t="n">
        <v>2037.8</v>
      </c>
      <c r="J979" s="1" t="str">
        <f aca="false">VLOOKUP(B979,Customers!$A$2:$G$502,6,FALSE())</f>
        <v>Small Business</v>
      </c>
      <c r="K979" s="1" t="str">
        <f aca="false">VLOOKUP(C979,Products!$A$2:$E$62,3,FALSE())</f>
        <v>Electronics</v>
      </c>
      <c r="L979" s="1" t="str">
        <f aca="false">TEXT(D979,"yyyy-mm")</f>
        <v>2024-02</v>
      </c>
    </row>
    <row r="980" customFormat="false" ht="15" hidden="false" customHeight="true" outlineLevel="0" collapsed="false">
      <c r="A980" s="1" t="n">
        <v>1002</v>
      </c>
      <c r="B980" s="1" t="n">
        <v>31</v>
      </c>
      <c r="C980" s="1" t="n">
        <v>50</v>
      </c>
      <c r="D980" s="1" t="s">
        <v>899</v>
      </c>
      <c r="E980" s="1" t="n">
        <v>9</v>
      </c>
      <c r="F980" s="1" t="n">
        <v>19.73</v>
      </c>
      <c r="G980" s="1" t="n">
        <v>0</v>
      </c>
      <c r="H980" s="1" t="s">
        <v>1336</v>
      </c>
      <c r="I980" s="1" t="n">
        <v>177.57</v>
      </c>
      <c r="J980" s="1" t="str">
        <f aca="false">VLOOKUP(B980,Customers!$A$2:$G$502,6,FALSE())</f>
        <v>Consumer</v>
      </c>
      <c r="K980" s="1" t="str">
        <f aca="false">VLOOKUP(C980,Products!$A$2:$E$62,3,FALSE())</f>
        <v>Software</v>
      </c>
      <c r="L980" s="1" t="str">
        <f aca="false">TEXT(D980,"yyyy-mm")</f>
        <v>2024-05</v>
      </c>
    </row>
    <row r="981" customFormat="false" ht="15" hidden="false" customHeight="true" outlineLevel="0" collapsed="false">
      <c r="A981" s="1" t="n">
        <v>1003</v>
      </c>
      <c r="B981" s="1" t="n">
        <v>353</v>
      </c>
      <c r="C981" s="1" t="n">
        <v>37</v>
      </c>
      <c r="D981" s="1" t="s">
        <v>1359</v>
      </c>
      <c r="E981" s="1" t="n">
        <v>8</v>
      </c>
      <c r="F981" s="1" t="n">
        <v>13.95</v>
      </c>
      <c r="G981" s="1" t="n">
        <v>0.05</v>
      </c>
      <c r="H981" s="1" t="s">
        <v>1336</v>
      </c>
      <c r="I981" s="1" t="n">
        <v>106.02</v>
      </c>
      <c r="J981" s="1" t="str">
        <f aca="false">VLOOKUP(B981,Customers!$A$2:$G$502,6,FALSE())</f>
        <v>Corporate</v>
      </c>
      <c r="K981" s="1" t="str">
        <f aca="false">VLOOKUP(C981,Products!$A$2:$E$62,3,FALSE())</f>
        <v>Software</v>
      </c>
      <c r="L981" s="1" t="str">
        <f aca="false">TEXT(D981,"yyyy-mm")</f>
        <v>2024-09</v>
      </c>
    </row>
    <row r="982" customFormat="false" ht="15" hidden="false" customHeight="true" outlineLevel="0" collapsed="false">
      <c r="A982" s="1" t="n">
        <v>1004</v>
      </c>
      <c r="B982" s="1" t="n">
        <v>251</v>
      </c>
      <c r="C982" s="1" t="n">
        <v>35</v>
      </c>
      <c r="D982" s="1" t="s">
        <v>1466</v>
      </c>
      <c r="E982" s="1" t="n">
        <v>1</v>
      </c>
      <c r="F982" s="1" t="n">
        <v>75.78</v>
      </c>
      <c r="G982" s="1" t="n">
        <v>0</v>
      </c>
      <c r="H982" s="1" t="s">
        <v>1370</v>
      </c>
      <c r="I982" s="1" t="n">
        <v>75.78</v>
      </c>
      <c r="J982" s="1" t="str">
        <f aca="false">VLOOKUP(B982,Customers!$A$2:$G$502,6,FALSE())</f>
        <v>Small Business</v>
      </c>
      <c r="K982" s="1" t="str">
        <f aca="false">VLOOKUP(C982,Products!$A$2:$E$62,3,FALSE())</f>
        <v>Software</v>
      </c>
      <c r="L982" s="1" t="str">
        <f aca="false">TEXT(D982,"yyyy-mm")</f>
        <v>2024-05</v>
      </c>
    </row>
    <row r="983" customFormat="false" ht="15" hidden="false" customHeight="true" outlineLevel="0" collapsed="false">
      <c r="A983" s="1" t="n">
        <v>1006</v>
      </c>
      <c r="B983" s="1" t="n">
        <v>267</v>
      </c>
      <c r="C983" s="1" t="n">
        <v>48</v>
      </c>
      <c r="D983" s="1" t="s">
        <v>501</v>
      </c>
      <c r="E983" s="1" t="n">
        <v>9</v>
      </c>
      <c r="F983" s="1" t="n">
        <v>493.53</v>
      </c>
      <c r="G983" s="1" t="n">
        <v>0</v>
      </c>
      <c r="H983" s="1" t="s">
        <v>1336</v>
      </c>
      <c r="I983" s="1" t="n">
        <v>4441.77</v>
      </c>
      <c r="J983" s="1" t="str">
        <f aca="false">VLOOKUP(B983,Customers!$A$2:$G$502,6,FALSE())</f>
        <v>Corporate</v>
      </c>
      <c r="K983" s="1" t="str">
        <f aca="false">VLOOKUP(C983,Products!$A$2:$E$62,3,FALSE())</f>
        <v>Software</v>
      </c>
      <c r="L983" s="1" t="str">
        <f aca="false">TEXT(D983,"yyyy-mm")</f>
        <v>2023-05</v>
      </c>
    </row>
    <row r="984" customFormat="false" ht="15" hidden="false" customHeight="true" outlineLevel="0" collapsed="false">
      <c r="A984" s="1" t="n">
        <v>1007</v>
      </c>
      <c r="B984" s="1" t="n">
        <v>254</v>
      </c>
      <c r="C984" s="1" t="n">
        <v>11</v>
      </c>
      <c r="D984" s="1" t="s">
        <v>1160</v>
      </c>
      <c r="E984" s="1" t="n">
        <v>8</v>
      </c>
      <c r="F984" s="1" t="n">
        <v>328.39</v>
      </c>
      <c r="G984" s="1" t="n">
        <v>0.2</v>
      </c>
      <c r="H984" s="1" t="s">
        <v>1336</v>
      </c>
      <c r="I984" s="1" t="n">
        <v>2101.7</v>
      </c>
      <c r="J984" s="1" t="str">
        <f aca="false">VLOOKUP(B984,Customers!$A$2:$G$502,6,FALSE())</f>
        <v>Small Business</v>
      </c>
      <c r="K984" s="1" t="str">
        <f aca="false">VLOOKUP(C984,Products!$A$2:$E$62,3,FALSE())</f>
        <v>Electronics</v>
      </c>
      <c r="L984" s="1" t="str">
        <f aca="false">TEXT(D984,"yyyy-mm")</f>
        <v>2024-10</v>
      </c>
    </row>
    <row r="985" customFormat="false" ht="15" hidden="false" customHeight="true" outlineLevel="0" collapsed="false">
      <c r="A985" s="1" t="n">
        <v>1008</v>
      </c>
      <c r="B985" s="1" t="n">
        <v>5</v>
      </c>
      <c r="C985" s="1" t="n">
        <v>19</v>
      </c>
      <c r="D985" s="1" t="s">
        <v>1532</v>
      </c>
      <c r="E985" s="1" t="n">
        <v>9</v>
      </c>
      <c r="F985" s="1" t="n">
        <v>163.64</v>
      </c>
      <c r="G985" s="1" t="n">
        <v>0.05</v>
      </c>
      <c r="H985" s="1" t="s">
        <v>1370</v>
      </c>
      <c r="I985" s="1" t="n">
        <v>1399.12</v>
      </c>
      <c r="J985" s="1" t="str">
        <f aca="false">VLOOKUP(B985,Customers!$A$2:$G$502,6,FALSE())</f>
        <v>Small Business</v>
      </c>
      <c r="K985" s="1" t="str">
        <f aca="false">VLOOKUP(C985,Products!$A$2:$E$62,3,FALSE())</f>
        <v>Office Supplies</v>
      </c>
      <c r="L985" s="1" t="str">
        <f aca="false">TEXT(D985,"yyyy-mm")</f>
        <v>2023-05</v>
      </c>
    </row>
    <row r="986" customFormat="false" ht="15" hidden="false" customHeight="true" outlineLevel="0" collapsed="false">
      <c r="A986" s="1" t="n">
        <v>1009</v>
      </c>
      <c r="B986" s="1" t="n">
        <v>166</v>
      </c>
      <c r="C986" s="1" t="n">
        <v>40</v>
      </c>
      <c r="D986" s="1" t="s">
        <v>1487</v>
      </c>
      <c r="E986" s="1" t="n">
        <v>7</v>
      </c>
      <c r="F986" s="1" t="n">
        <v>193.02</v>
      </c>
      <c r="G986" s="1" t="n">
        <v>0.1</v>
      </c>
      <c r="H986" s="1" t="s">
        <v>1336</v>
      </c>
      <c r="I986" s="1" t="n">
        <v>1216.03</v>
      </c>
      <c r="J986" s="1" t="str">
        <f aca="false">VLOOKUP(B986,Customers!$A$2:$G$502,6,FALSE())</f>
        <v>Small Business</v>
      </c>
      <c r="K986" s="1" t="str">
        <f aca="false">VLOOKUP(C986,Products!$A$2:$E$62,3,FALSE())</f>
        <v>Software</v>
      </c>
      <c r="L986" s="1" t="str">
        <f aca="false">TEXT(D986,"yyyy-mm")</f>
        <v>2024-01</v>
      </c>
    </row>
    <row r="987" customFormat="false" ht="15" hidden="false" customHeight="true" outlineLevel="0" collapsed="false">
      <c r="A987" s="1" t="n">
        <v>1010</v>
      </c>
      <c r="B987" s="1" t="n">
        <v>315</v>
      </c>
      <c r="C987" s="1" t="n">
        <v>46</v>
      </c>
      <c r="D987" s="1" t="s">
        <v>1487</v>
      </c>
      <c r="E987" s="1" t="n">
        <v>3</v>
      </c>
      <c r="F987" s="1" t="n">
        <v>94.92</v>
      </c>
      <c r="G987" s="1" t="n">
        <v>0.1</v>
      </c>
      <c r="H987" s="1" t="s">
        <v>1336</v>
      </c>
      <c r="I987" s="1" t="n">
        <v>256.28</v>
      </c>
      <c r="J987" s="1" t="str">
        <f aca="false">VLOOKUP(B987,Customers!$A$2:$G$502,6,FALSE())</f>
        <v>Consumer</v>
      </c>
      <c r="K987" s="1" t="str">
        <f aca="false">VLOOKUP(C987,Products!$A$2:$E$62,3,FALSE())</f>
        <v>Software</v>
      </c>
      <c r="L987" s="1" t="str">
        <f aca="false">TEXT(D987,"yyyy-mm")</f>
        <v>2024-01</v>
      </c>
    </row>
    <row r="988" customFormat="false" ht="15" hidden="false" customHeight="true" outlineLevel="0" collapsed="false">
      <c r="A988" s="1" t="n">
        <v>1011</v>
      </c>
      <c r="B988" s="1" t="n">
        <v>383</v>
      </c>
      <c r="C988" s="1" t="n">
        <v>47</v>
      </c>
      <c r="D988" s="1" t="s">
        <v>545</v>
      </c>
      <c r="E988" s="1" t="n">
        <v>3</v>
      </c>
      <c r="F988" s="1" t="n">
        <v>506.19</v>
      </c>
      <c r="G988" s="1" t="n">
        <v>0</v>
      </c>
      <c r="H988" s="1" t="s">
        <v>1336</v>
      </c>
      <c r="I988" s="1" t="n">
        <v>1518.57</v>
      </c>
      <c r="J988" s="1" t="str">
        <f aca="false">VLOOKUP(B988,Customers!$A$2:$G$502,6,FALSE())</f>
        <v>Consumer</v>
      </c>
      <c r="K988" s="1" t="str">
        <f aca="false">VLOOKUP(C988,Products!$A$2:$E$62,3,FALSE())</f>
        <v>Software</v>
      </c>
      <c r="L988" s="1" t="str">
        <f aca="false">TEXT(D988,"yyyy-mm")</f>
        <v>2023-05</v>
      </c>
    </row>
    <row r="989" customFormat="false" ht="15" hidden="false" customHeight="true" outlineLevel="0" collapsed="false">
      <c r="A989" s="1" t="n">
        <v>1012</v>
      </c>
      <c r="B989" s="1" t="n">
        <v>77</v>
      </c>
      <c r="C989" s="1" t="n">
        <v>31</v>
      </c>
      <c r="D989" s="1" t="s">
        <v>986</v>
      </c>
      <c r="E989" s="1" t="n">
        <v>2</v>
      </c>
      <c r="F989" s="1" t="n">
        <v>224.86</v>
      </c>
      <c r="G989" s="1" t="n">
        <v>0</v>
      </c>
      <c r="H989" s="1" t="s">
        <v>1336</v>
      </c>
      <c r="I989" s="1" t="n">
        <v>449.72</v>
      </c>
      <c r="J989" s="1" t="str">
        <f aca="false">VLOOKUP(B989,Customers!$A$2:$G$502,6,FALSE())</f>
        <v>Consumer</v>
      </c>
      <c r="K989" s="1" t="str">
        <f aca="false">VLOOKUP(C989,Products!$A$2:$E$62,3,FALSE())</f>
        <v>Office Supplies</v>
      </c>
      <c r="L989" s="1" t="str">
        <f aca="false">TEXT(D989,"yyyy-mm")</f>
        <v>2023-03</v>
      </c>
    </row>
    <row r="990" customFormat="false" ht="15" hidden="false" customHeight="true" outlineLevel="0" collapsed="false">
      <c r="A990" s="1" t="n">
        <v>1013</v>
      </c>
      <c r="B990" s="1" t="n">
        <v>170</v>
      </c>
      <c r="C990" s="1" t="n">
        <v>7</v>
      </c>
      <c r="D990" s="1" t="s">
        <v>390</v>
      </c>
      <c r="E990" s="1" t="n">
        <v>5</v>
      </c>
      <c r="F990" s="1" t="n">
        <v>460</v>
      </c>
      <c r="G990" s="1" t="n">
        <v>0.1</v>
      </c>
      <c r="H990" s="1" t="s">
        <v>1336</v>
      </c>
      <c r="I990" s="1" t="n">
        <v>2070</v>
      </c>
      <c r="J990" s="1" t="str">
        <f aca="false">VLOOKUP(B990,Customers!$A$2:$G$502,6,FALSE())</f>
        <v>Small Business</v>
      </c>
      <c r="K990" s="1" t="str">
        <f aca="false">VLOOKUP(C990,Products!$A$2:$E$62,3,FALSE())</f>
        <v>Electronics</v>
      </c>
      <c r="L990" s="1" t="str">
        <f aca="false">TEXT(D990,"yyyy-mm")</f>
        <v>2023-03</v>
      </c>
    </row>
    <row r="991" customFormat="false" ht="15" hidden="false" customHeight="true" outlineLevel="0" collapsed="false">
      <c r="A991" s="1" t="n">
        <v>1014</v>
      </c>
      <c r="B991" s="1" t="n">
        <v>116</v>
      </c>
      <c r="C991" s="1" t="n">
        <v>23</v>
      </c>
      <c r="D991" s="1" t="s">
        <v>1514</v>
      </c>
      <c r="E991" s="1" t="n">
        <v>3</v>
      </c>
      <c r="F991" s="1" t="n">
        <v>188.73</v>
      </c>
      <c r="G991" s="1" t="n">
        <v>0</v>
      </c>
      <c r="H991" s="1" t="s">
        <v>1346</v>
      </c>
      <c r="I991" s="1" t="n">
        <v>566.19</v>
      </c>
      <c r="J991" s="1" t="str">
        <f aca="false">VLOOKUP(B991,Customers!$A$2:$G$502,6,FALSE())</f>
        <v>Corporate</v>
      </c>
      <c r="K991" s="1" t="str">
        <f aca="false">VLOOKUP(C991,Products!$A$2:$E$62,3,FALSE())</f>
        <v>Office Supplies</v>
      </c>
      <c r="L991" s="1" t="str">
        <f aca="false">TEXT(D991,"yyyy-mm")</f>
        <v>2024-10</v>
      </c>
    </row>
    <row r="992" customFormat="false" ht="15" hidden="false" customHeight="true" outlineLevel="0" collapsed="false">
      <c r="A992" s="1" t="n">
        <v>1015</v>
      </c>
      <c r="B992" s="1" t="n">
        <v>300</v>
      </c>
      <c r="C992" s="1" t="n">
        <v>47</v>
      </c>
      <c r="D992" s="1" t="s">
        <v>1506</v>
      </c>
      <c r="E992" s="1" t="n">
        <v>6</v>
      </c>
      <c r="F992" s="1" t="n">
        <v>506.19</v>
      </c>
      <c r="G992" s="1" t="n">
        <v>0</v>
      </c>
      <c r="H992" s="1" t="s">
        <v>1336</v>
      </c>
      <c r="I992" s="1" t="n">
        <v>3037.14</v>
      </c>
      <c r="J992" s="1" t="str">
        <f aca="false">VLOOKUP(B992,Customers!$A$2:$G$502,6,FALSE())</f>
        <v>Consumer</v>
      </c>
      <c r="K992" s="1" t="str">
        <f aca="false">VLOOKUP(C992,Products!$A$2:$E$62,3,FALSE())</f>
        <v>Software</v>
      </c>
      <c r="L992" s="1" t="str">
        <f aca="false">TEXT(D992,"yyyy-mm")</f>
        <v>2023-11</v>
      </c>
    </row>
    <row r="993" customFormat="false" ht="15" hidden="false" customHeight="true" outlineLevel="0" collapsed="false">
      <c r="A993" s="1" t="n">
        <v>1016</v>
      </c>
      <c r="B993" s="1" t="n">
        <v>338</v>
      </c>
      <c r="C993" s="1" t="n">
        <v>13</v>
      </c>
      <c r="D993" s="1" t="s">
        <v>196</v>
      </c>
      <c r="E993" s="1" t="n">
        <v>2</v>
      </c>
      <c r="F993" s="1" t="n">
        <v>352.54</v>
      </c>
      <c r="G993" s="1" t="n">
        <v>0.1</v>
      </c>
      <c r="H993" s="1" t="s">
        <v>1336</v>
      </c>
      <c r="I993" s="1" t="n">
        <v>634.57</v>
      </c>
      <c r="J993" s="1" t="str">
        <f aca="false">VLOOKUP(B993,Customers!$A$2:$G$502,6,FALSE())</f>
        <v>Corporate</v>
      </c>
      <c r="K993" s="1" t="str">
        <f aca="false">VLOOKUP(C993,Products!$A$2:$E$62,3,FALSE())</f>
        <v>Electronics</v>
      </c>
      <c r="L993" s="1" t="str">
        <f aca="false">TEXT(D993,"yyyy-mm")</f>
        <v>2023-03</v>
      </c>
    </row>
    <row r="994" customFormat="false" ht="15" hidden="false" customHeight="true" outlineLevel="0" collapsed="false">
      <c r="A994" s="1" t="n">
        <v>1017</v>
      </c>
      <c r="B994" s="1" t="n">
        <v>53</v>
      </c>
      <c r="C994" s="1" t="n">
        <v>9</v>
      </c>
      <c r="D994" s="1" t="s">
        <v>1595</v>
      </c>
      <c r="E994" s="1" t="n">
        <v>3</v>
      </c>
      <c r="F994" s="1" t="n">
        <v>203.1</v>
      </c>
      <c r="G994" s="1" t="n">
        <v>0.1</v>
      </c>
      <c r="H994" s="1" t="s">
        <v>1336</v>
      </c>
      <c r="I994" s="1" t="n">
        <v>548.37</v>
      </c>
      <c r="J994" s="1" t="str">
        <f aca="false">VLOOKUP(B994,Customers!$A$2:$G$502,6,FALSE())</f>
        <v>Small Business</v>
      </c>
      <c r="K994" s="1" t="str">
        <f aca="false">VLOOKUP(C994,Products!$A$2:$E$62,3,FALSE())</f>
        <v>Electronics</v>
      </c>
      <c r="L994" s="1" t="str">
        <f aca="false">TEXT(D994,"yyyy-mm")</f>
        <v>2024-06</v>
      </c>
    </row>
    <row r="995" customFormat="false" ht="15" hidden="false" customHeight="true" outlineLevel="0" collapsed="false">
      <c r="A995" s="1" t="n">
        <v>1018</v>
      </c>
      <c r="B995" s="1" t="n">
        <v>310</v>
      </c>
      <c r="C995" s="1" t="n">
        <v>18</v>
      </c>
      <c r="D995" s="1" t="s">
        <v>173</v>
      </c>
      <c r="E995" s="1" t="n">
        <v>5</v>
      </c>
      <c r="F995" s="1" t="n">
        <v>747.34</v>
      </c>
      <c r="G995" s="1" t="n">
        <v>0</v>
      </c>
      <c r="H995" s="1" t="s">
        <v>1346</v>
      </c>
      <c r="I995" s="1" t="n">
        <v>3736.7</v>
      </c>
      <c r="J995" s="1" t="str">
        <f aca="false">VLOOKUP(B995,Customers!$A$2:$G$502,6,FALSE())</f>
        <v>Small Business</v>
      </c>
      <c r="K995" s="1" t="str">
        <f aca="false">VLOOKUP(C995,Products!$A$2:$E$62,3,FALSE())</f>
        <v>Electronics</v>
      </c>
      <c r="L995" s="1" t="str">
        <f aca="false">TEXT(D995,"yyyy-mm")</f>
        <v>2024-09</v>
      </c>
    </row>
    <row r="996" customFormat="false" ht="15" hidden="false" customHeight="true" outlineLevel="0" collapsed="false">
      <c r="A996" s="1" t="n">
        <v>1019</v>
      </c>
      <c r="B996" s="1" t="n">
        <v>111</v>
      </c>
      <c r="C996" s="1" t="n">
        <v>6</v>
      </c>
      <c r="D996" s="1" t="s">
        <v>530</v>
      </c>
      <c r="E996" s="1" t="n">
        <v>1</v>
      </c>
      <c r="F996" s="1" t="n">
        <v>28.51</v>
      </c>
      <c r="G996" s="1" t="n">
        <v>0</v>
      </c>
      <c r="H996" s="1" t="s">
        <v>1336</v>
      </c>
      <c r="I996" s="1" t="n">
        <v>28.51</v>
      </c>
      <c r="J996" s="1" t="str">
        <f aca="false">VLOOKUP(B996,Customers!$A$2:$G$502,6,FALSE())</f>
        <v>Small Business</v>
      </c>
      <c r="K996" s="1" t="str">
        <f aca="false">VLOOKUP(C996,Products!$A$2:$E$62,3,FALSE())</f>
        <v>Electronics</v>
      </c>
      <c r="L996" s="1" t="str">
        <f aca="false">TEXT(D996,"yyyy-mm")</f>
        <v>2024-09</v>
      </c>
    </row>
    <row r="997" customFormat="false" ht="15" hidden="false" customHeight="true" outlineLevel="0" collapsed="false">
      <c r="A997" s="1" t="n">
        <v>1020</v>
      </c>
      <c r="B997" s="1" t="n">
        <v>497</v>
      </c>
      <c r="C997" s="1" t="n">
        <v>4</v>
      </c>
      <c r="D997" s="1" t="s">
        <v>496</v>
      </c>
      <c r="E997" s="1" t="n">
        <v>1</v>
      </c>
      <c r="F997" s="1" t="n">
        <v>56.24</v>
      </c>
      <c r="G997" s="1" t="n">
        <v>0.1</v>
      </c>
      <c r="H997" s="1" t="s">
        <v>1336</v>
      </c>
      <c r="I997" s="1" t="n">
        <v>50.62</v>
      </c>
      <c r="J997" s="1" t="str">
        <f aca="false">VLOOKUP(B997,Customers!$A$2:$G$502,6,FALSE())</f>
        <v>Consumer</v>
      </c>
      <c r="K997" s="1" t="str">
        <f aca="false">VLOOKUP(C997,Products!$A$2:$E$62,3,FALSE())</f>
        <v>Electronics</v>
      </c>
      <c r="L997" s="1" t="str">
        <f aca="false">TEXT(D997,"yyyy-mm")</f>
        <v>2023-05</v>
      </c>
    </row>
    <row r="998" customFormat="false" ht="15" hidden="false" customHeight="true" outlineLevel="0" collapsed="false">
      <c r="A998" s="1" t="n">
        <v>1021</v>
      </c>
      <c r="B998" s="1" t="n">
        <v>390</v>
      </c>
      <c r="C998" s="1" t="n">
        <v>8</v>
      </c>
      <c r="D998" s="1" t="s">
        <v>1365</v>
      </c>
      <c r="E998" s="1" t="n">
        <v>9</v>
      </c>
      <c r="F998" s="1" t="n">
        <v>104.4</v>
      </c>
      <c r="G998" s="1" t="n">
        <v>0.1</v>
      </c>
      <c r="H998" s="1" t="s">
        <v>1336</v>
      </c>
      <c r="I998" s="1" t="n">
        <v>845.64</v>
      </c>
      <c r="J998" s="1" t="str">
        <f aca="false">VLOOKUP(B998,Customers!$A$2:$G$502,6,FALSE())</f>
        <v>Small Business</v>
      </c>
      <c r="K998" s="1" t="str">
        <f aca="false">VLOOKUP(C998,Products!$A$2:$E$62,3,FALSE())</f>
        <v>Electronics</v>
      </c>
      <c r="L998" s="1" t="str">
        <f aca="false">TEXT(D998,"yyyy-mm")</f>
        <v>2023-09</v>
      </c>
    </row>
    <row r="999" customFormat="false" ht="15" hidden="false" customHeight="true" outlineLevel="0" collapsed="false">
      <c r="A999" s="1" t="n">
        <v>1022</v>
      </c>
      <c r="B999" s="1" t="n">
        <v>430</v>
      </c>
      <c r="C999" s="1" t="n">
        <v>34</v>
      </c>
      <c r="D999" s="1" t="s">
        <v>617</v>
      </c>
      <c r="E999" s="1" t="n">
        <v>7</v>
      </c>
      <c r="F999" s="1" t="n">
        <v>116.85</v>
      </c>
      <c r="G999" s="1" t="n">
        <v>0.1</v>
      </c>
      <c r="H999" s="1" t="s">
        <v>1336</v>
      </c>
      <c r="I999" s="1" t="n">
        <v>736.16</v>
      </c>
      <c r="J999" s="1" t="str">
        <f aca="false">VLOOKUP(B999,Customers!$A$2:$G$502,6,FALSE())</f>
        <v>Corporate</v>
      </c>
      <c r="K999" s="1" t="str">
        <f aca="false">VLOOKUP(C999,Products!$A$2:$E$62,3,FALSE())</f>
        <v>Office Supplies</v>
      </c>
      <c r="L999" s="1" t="str">
        <f aca="false">TEXT(D999,"yyyy-mm")</f>
        <v>2023-11</v>
      </c>
    </row>
    <row r="1000" customFormat="false" ht="15" hidden="false" customHeight="true" outlineLevel="0" collapsed="false">
      <c r="A1000" s="1" t="n">
        <v>1023</v>
      </c>
      <c r="B1000" s="1" t="n">
        <v>325</v>
      </c>
      <c r="C1000" s="1" t="n">
        <v>54</v>
      </c>
      <c r="D1000" s="1" t="s">
        <v>24</v>
      </c>
      <c r="E1000" s="1" t="n">
        <v>1</v>
      </c>
      <c r="F1000" s="1" t="n">
        <v>312.01</v>
      </c>
      <c r="G1000" s="1" t="n">
        <v>0.15</v>
      </c>
      <c r="H1000" s="1" t="s">
        <v>1336</v>
      </c>
      <c r="I1000" s="1" t="n">
        <v>265.21</v>
      </c>
      <c r="J1000" s="1" t="str">
        <f aca="false">VLOOKUP(B1000,Customers!$A$2:$G$502,6,FALSE())</f>
        <v>Small Business</v>
      </c>
      <c r="K1000" s="1" t="str">
        <f aca="false">VLOOKUP(C1000,Products!$A$2:$E$62,3,FALSE())</f>
        <v>Software</v>
      </c>
      <c r="L1000" s="1" t="str">
        <f aca="false">TEXT(D1000,"yyyy-mm")</f>
        <v>2023-10</v>
      </c>
    </row>
    <row r="1001" customFormat="false" ht="15" hidden="false" customHeight="true" outlineLevel="0" collapsed="false">
      <c r="A1001" s="1" t="n">
        <v>1024</v>
      </c>
      <c r="B1001" s="1" t="n">
        <v>129</v>
      </c>
      <c r="C1001" s="1" t="n">
        <v>44</v>
      </c>
      <c r="D1001" s="1" t="s">
        <v>1519</v>
      </c>
      <c r="E1001" s="1" t="n">
        <v>8</v>
      </c>
      <c r="F1001" s="1" t="n">
        <v>508.26</v>
      </c>
      <c r="G1001" s="1" t="n">
        <v>0.1</v>
      </c>
      <c r="H1001" s="1" t="s">
        <v>1346</v>
      </c>
      <c r="I1001" s="1" t="n">
        <v>3659.47</v>
      </c>
      <c r="J1001" s="1" t="str">
        <f aca="false">VLOOKUP(B1001,Customers!$A$2:$G$502,6,FALSE())</f>
        <v>Corporate</v>
      </c>
      <c r="K1001" s="1" t="str">
        <f aca="false">VLOOKUP(C1001,Products!$A$2:$E$62,3,FALSE())</f>
        <v>Software</v>
      </c>
      <c r="L1001" s="1" t="str">
        <f aca="false">TEXT(D1001,"yyyy-mm")</f>
        <v>2023-05</v>
      </c>
    </row>
    <row r="1002" customFormat="false" ht="15" hidden="false" customHeight="true" outlineLevel="0" collapsed="false">
      <c r="A1002" s="1" t="n">
        <v>1025</v>
      </c>
      <c r="B1002" s="1" t="n">
        <v>438</v>
      </c>
      <c r="C1002" s="1" t="n">
        <v>30</v>
      </c>
      <c r="D1002" s="1" t="s">
        <v>1531</v>
      </c>
      <c r="E1002" s="1" t="n">
        <v>3</v>
      </c>
      <c r="F1002" s="1" t="n">
        <v>33.32</v>
      </c>
      <c r="G1002" s="1" t="n">
        <v>0</v>
      </c>
      <c r="H1002" s="1" t="s">
        <v>1336</v>
      </c>
      <c r="I1002" s="1" t="n">
        <v>99.96</v>
      </c>
      <c r="J1002" s="1" t="str">
        <f aca="false">VLOOKUP(B1002,Customers!$A$2:$G$502,6,FALSE())</f>
        <v>Consumer</v>
      </c>
      <c r="K1002" s="1" t="str">
        <f aca="false">VLOOKUP(C1002,Products!$A$2:$E$62,3,FALSE())</f>
        <v>Office Supplies</v>
      </c>
      <c r="L1002" s="1" t="str">
        <f aca="false">TEXT(D1002,"yyyy-mm")</f>
        <v>2024-11</v>
      </c>
    </row>
    <row r="1003" customFormat="false" ht="15" hidden="false" customHeight="true" outlineLevel="0" collapsed="false">
      <c r="A1003" s="1" t="n">
        <v>1026</v>
      </c>
      <c r="B1003" s="1" t="n">
        <v>481</v>
      </c>
      <c r="C1003" s="1" t="n">
        <v>13</v>
      </c>
      <c r="D1003" s="1" t="s">
        <v>1508</v>
      </c>
      <c r="E1003" s="1" t="n">
        <v>8</v>
      </c>
      <c r="F1003" s="1" t="n">
        <v>352.54</v>
      </c>
      <c r="G1003" s="1" t="n">
        <v>0</v>
      </c>
      <c r="H1003" s="1" t="s">
        <v>1336</v>
      </c>
      <c r="I1003" s="1" t="n">
        <v>2820.32</v>
      </c>
      <c r="J1003" s="1" t="str">
        <f aca="false">VLOOKUP(B1003,Customers!$A$2:$G$502,6,FALSE())</f>
        <v>Small Business</v>
      </c>
      <c r="K1003" s="1" t="str">
        <f aca="false">VLOOKUP(C1003,Products!$A$2:$E$62,3,FALSE())</f>
        <v>Electronics</v>
      </c>
      <c r="L1003" s="1" t="str">
        <f aca="false">TEXT(D1003,"yyyy-mm")</f>
        <v>2024-01</v>
      </c>
    </row>
    <row r="1004" customFormat="false" ht="15" hidden="false" customHeight="true" outlineLevel="0" collapsed="false">
      <c r="A1004" s="1" t="n">
        <v>1027</v>
      </c>
      <c r="B1004" s="1" t="n">
        <v>270</v>
      </c>
      <c r="C1004" s="1" t="n">
        <v>13</v>
      </c>
      <c r="D1004" s="1" t="s">
        <v>1235</v>
      </c>
      <c r="E1004" s="1" t="n">
        <v>5</v>
      </c>
      <c r="F1004" s="1" t="n">
        <v>352.54</v>
      </c>
      <c r="G1004" s="1" t="n">
        <v>0.1</v>
      </c>
      <c r="H1004" s="1" t="s">
        <v>1336</v>
      </c>
      <c r="I1004" s="1" t="n">
        <v>1586.43</v>
      </c>
      <c r="J1004" s="1" t="str">
        <f aca="false">VLOOKUP(B1004,Customers!$A$2:$G$502,6,FALSE())</f>
        <v>Small Business</v>
      </c>
      <c r="K1004" s="1" t="str">
        <f aca="false">VLOOKUP(C1004,Products!$A$2:$E$62,3,FALSE())</f>
        <v>Electronics</v>
      </c>
      <c r="L1004" s="1" t="str">
        <f aca="false">TEXT(D1004,"yyyy-mm")</f>
        <v>2023-01</v>
      </c>
    </row>
    <row r="1005" customFormat="false" ht="15" hidden="false" customHeight="true" outlineLevel="0" collapsed="false">
      <c r="A1005" s="1" t="n">
        <v>1028</v>
      </c>
      <c r="B1005" s="1" t="n">
        <v>472</v>
      </c>
      <c r="C1005" s="1" t="n">
        <v>1</v>
      </c>
      <c r="D1005" s="1" t="s">
        <v>1565</v>
      </c>
      <c r="E1005" s="1" t="n">
        <v>1</v>
      </c>
      <c r="F1005" s="1" t="n">
        <v>327.32</v>
      </c>
      <c r="G1005" s="1" t="n">
        <v>0</v>
      </c>
      <c r="H1005" s="1" t="s">
        <v>1336</v>
      </c>
      <c r="I1005" s="1" t="n">
        <v>327.32</v>
      </c>
      <c r="J1005" s="1" t="str">
        <f aca="false">VLOOKUP(B1005,Customers!$A$2:$G$502,6,FALSE())</f>
        <v>Consumer</v>
      </c>
      <c r="K1005" s="1" t="str">
        <f aca="false">VLOOKUP(C1005,Products!$A$2:$E$62,3,FALSE())</f>
        <v>Electronics</v>
      </c>
      <c r="L1005" s="1" t="str">
        <f aca="false">TEXT(D1005,"yyyy-mm")</f>
        <v>2024-09</v>
      </c>
    </row>
    <row r="1006" customFormat="false" ht="15" hidden="false" customHeight="true" outlineLevel="0" collapsed="false">
      <c r="A1006" s="1" t="n">
        <v>1029</v>
      </c>
      <c r="B1006" s="1" t="n">
        <v>357</v>
      </c>
      <c r="C1006" s="1" t="n">
        <v>46</v>
      </c>
      <c r="D1006" s="1" t="s">
        <v>1443</v>
      </c>
      <c r="E1006" s="1" t="n">
        <v>7</v>
      </c>
      <c r="F1006" s="1" t="n">
        <v>94.92</v>
      </c>
      <c r="G1006" s="1" t="n">
        <v>0</v>
      </c>
      <c r="H1006" s="1" t="s">
        <v>1336</v>
      </c>
      <c r="I1006" s="1" t="n">
        <v>664.44</v>
      </c>
      <c r="J1006" s="1" t="str">
        <f aca="false">VLOOKUP(B1006,Customers!$A$2:$G$502,6,FALSE())</f>
        <v>Consumer</v>
      </c>
      <c r="K1006" s="1" t="str">
        <f aca="false">VLOOKUP(C1006,Products!$A$2:$E$62,3,FALSE())</f>
        <v>Software</v>
      </c>
      <c r="L1006" s="1" t="str">
        <f aca="false">TEXT(D1006,"yyyy-mm")</f>
        <v>2023-09</v>
      </c>
    </row>
    <row r="1007" customFormat="false" ht="15" hidden="false" customHeight="true" outlineLevel="0" collapsed="false">
      <c r="A1007" s="1" t="n">
        <v>1030</v>
      </c>
      <c r="B1007" s="1" t="n">
        <v>475</v>
      </c>
      <c r="C1007" s="1" t="n">
        <v>31</v>
      </c>
      <c r="D1007" s="1" t="s">
        <v>1384</v>
      </c>
      <c r="E1007" s="1" t="n">
        <v>5</v>
      </c>
      <c r="F1007" s="1" t="n">
        <v>224.86</v>
      </c>
      <c r="G1007" s="1" t="n">
        <v>0.15</v>
      </c>
      <c r="H1007" s="1" t="s">
        <v>1336</v>
      </c>
      <c r="I1007" s="1" t="n">
        <v>955.66</v>
      </c>
      <c r="J1007" s="1" t="str">
        <f aca="false">VLOOKUP(B1007,Customers!$A$2:$G$502,6,FALSE())</f>
        <v>Small Business</v>
      </c>
      <c r="K1007" s="1" t="str">
        <f aca="false">VLOOKUP(C1007,Products!$A$2:$E$62,3,FALSE())</f>
        <v>Office Supplies</v>
      </c>
      <c r="L1007" s="1" t="str">
        <f aca="false">TEXT(D1007,"yyyy-mm")</f>
        <v>2024-09</v>
      </c>
    </row>
    <row r="1008" customFormat="false" ht="15" hidden="false" customHeight="true" outlineLevel="0" collapsed="false">
      <c r="A1008" s="1" t="n">
        <v>1031</v>
      </c>
      <c r="B1008" s="1" t="n">
        <v>280</v>
      </c>
      <c r="C1008" s="1" t="n">
        <v>52</v>
      </c>
      <c r="D1008" s="1" t="s">
        <v>904</v>
      </c>
      <c r="E1008" s="1" t="n">
        <v>6</v>
      </c>
      <c r="F1008" s="1" t="n">
        <v>207.67</v>
      </c>
      <c r="G1008" s="1" t="n">
        <v>0</v>
      </c>
      <c r="H1008" s="1" t="s">
        <v>1336</v>
      </c>
      <c r="I1008" s="1" t="n">
        <v>1246.02</v>
      </c>
      <c r="J1008" s="1" t="str">
        <f aca="false">VLOOKUP(B1008,Customers!$A$2:$G$502,6,FALSE())</f>
        <v>Consumer</v>
      </c>
      <c r="K1008" s="1" t="str">
        <f aca="false">VLOOKUP(C1008,Products!$A$2:$E$62,3,FALSE())</f>
        <v>Software</v>
      </c>
      <c r="L1008" s="1" t="str">
        <f aca="false">TEXT(D1008,"yyyy-mm")</f>
        <v>2023-04</v>
      </c>
    </row>
    <row r="1009" customFormat="false" ht="15" hidden="false" customHeight="true" outlineLevel="0" collapsed="false">
      <c r="A1009" s="1" t="n">
        <v>1032</v>
      </c>
      <c r="B1009" s="1" t="n">
        <v>91</v>
      </c>
      <c r="C1009" s="1" t="n">
        <v>56</v>
      </c>
      <c r="D1009" s="1" t="s">
        <v>124</v>
      </c>
      <c r="E1009" s="1" t="n">
        <v>6</v>
      </c>
      <c r="F1009" s="1" t="n">
        <v>160.64</v>
      </c>
      <c r="G1009" s="1" t="n">
        <v>0</v>
      </c>
      <c r="H1009" s="1" t="s">
        <v>1336</v>
      </c>
      <c r="I1009" s="1" t="n">
        <v>963.84</v>
      </c>
      <c r="J1009" s="1" t="str">
        <f aca="false">VLOOKUP(B1009,Customers!$A$2:$G$502,6,FALSE())</f>
        <v>Consumer</v>
      </c>
      <c r="K1009" s="1" t="str">
        <f aca="false">VLOOKUP(C1009,Products!$A$2:$E$62,3,FALSE())</f>
        <v>Furniture</v>
      </c>
      <c r="L1009" s="1" t="str">
        <f aca="false">TEXT(D1009,"yyyy-mm")</f>
        <v>2023-05</v>
      </c>
    </row>
    <row r="1010" customFormat="false" ht="15" hidden="false" customHeight="true" outlineLevel="0" collapsed="false">
      <c r="A1010" s="1" t="n">
        <v>1033</v>
      </c>
      <c r="B1010" s="1" t="n">
        <v>32</v>
      </c>
      <c r="C1010" s="1" t="n">
        <v>21</v>
      </c>
      <c r="D1010" s="1" t="s">
        <v>578</v>
      </c>
      <c r="E1010" s="1" t="n">
        <v>8</v>
      </c>
      <c r="F1010" s="1" t="n">
        <v>84.91</v>
      </c>
      <c r="G1010" s="1" t="n">
        <v>0.2</v>
      </c>
      <c r="H1010" s="1" t="s">
        <v>1336</v>
      </c>
      <c r="I1010" s="1" t="n">
        <v>543.42</v>
      </c>
      <c r="J1010" s="1" t="str">
        <f aca="false">VLOOKUP(B1010,Customers!$A$2:$G$502,6,FALSE())</f>
        <v>Small Business</v>
      </c>
      <c r="K1010" s="1" t="str">
        <f aca="false">VLOOKUP(C1010,Products!$A$2:$E$62,3,FALSE())</f>
        <v>Office Supplies</v>
      </c>
      <c r="L1010" s="1" t="str">
        <f aca="false">TEXT(D1010,"yyyy-mm")</f>
        <v>2023-04</v>
      </c>
    </row>
    <row r="1011" customFormat="false" ht="15" hidden="false" customHeight="true" outlineLevel="0" collapsed="false">
      <c r="A1011" s="1" t="n">
        <v>1034</v>
      </c>
      <c r="B1011" s="1" t="n">
        <v>9</v>
      </c>
      <c r="C1011" s="1" t="n">
        <v>22</v>
      </c>
      <c r="D1011" s="1" t="s">
        <v>1388</v>
      </c>
      <c r="E1011" s="1" t="n">
        <v>9</v>
      </c>
      <c r="F1011" s="1" t="n">
        <v>38.57</v>
      </c>
      <c r="G1011" s="1" t="n">
        <v>0.2</v>
      </c>
      <c r="H1011" s="1" t="s">
        <v>1346</v>
      </c>
      <c r="I1011" s="1" t="n">
        <v>277.7</v>
      </c>
      <c r="J1011" s="1" t="str">
        <f aca="false">VLOOKUP(B1011,Customers!$A$2:$G$502,6,FALSE())</f>
        <v>Small Business</v>
      </c>
      <c r="K1011" s="1" t="str">
        <f aca="false">VLOOKUP(C1011,Products!$A$2:$E$62,3,FALSE())</f>
        <v>Office Supplies</v>
      </c>
      <c r="L1011" s="1" t="str">
        <f aca="false">TEXT(D1011,"yyyy-mm")</f>
        <v>2024-11</v>
      </c>
    </row>
    <row r="1012" customFormat="false" ht="15" hidden="false" customHeight="true" outlineLevel="0" collapsed="false">
      <c r="A1012" s="1" t="n">
        <v>1035</v>
      </c>
      <c r="B1012" s="1" t="n">
        <v>370</v>
      </c>
      <c r="C1012" s="1" t="n">
        <v>24</v>
      </c>
      <c r="D1012" s="1" t="s">
        <v>799</v>
      </c>
      <c r="E1012" s="1" t="n">
        <v>2</v>
      </c>
      <c r="F1012" s="1" t="n">
        <v>207.34</v>
      </c>
      <c r="G1012" s="1" t="n">
        <v>0</v>
      </c>
      <c r="H1012" s="1" t="s">
        <v>1370</v>
      </c>
      <c r="I1012" s="1" t="n">
        <v>414.68</v>
      </c>
      <c r="J1012" s="1" t="str">
        <f aca="false">VLOOKUP(B1012,Customers!$A$2:$G$502,6,FALSE())</f>
        <v>Small Business</v>
      </c>
      <c r="K1012" s="1" t="str">
        <f aca="false">VLOOKUP(C1012,Products!$A$2:$E$62,3,FALSE())</f>
        <v>Office Supplies</v>
      </c>
      <c r="L1012" s="1" t="str">
        <f aca="false">TEXT(D1012,"yyyy-mm")</f>
        <v>2024-06</v>
      </c>
    </row>
    <row r="1013" customFormat="false" ht="15" hidden="false" customHeight="true" outlineLevel="0" collapsed="false">
      <c r="A1013" s="1" t="n">
        <v>1036</v>
      </c>
      <c r="B1013" s="1" t="n">
        <v>34</v>
      </c>
      <c r="C1013" s="1" t="n">
        <v>13</v>
      </c>
      <c r="D1013" s="1" t="s">
        <v>458</v>
      </c>
      <c r="E1013" s="1" t="n">
        <v>9</v>
      </c>
      <c r="F1013" s="1" t="n">
        <v>352.54</v>
      </c>
      <c r="G1013" s="1" t="n">
        <v>0</v>
      </c>
      <c r="H1013" s="1" t="s">
        <v>1336</v>
      </c>
      <c r="I1013" s="1" t="n">
        <v>3172.86</v>
      </c>
      <c r="J1013" s="1" t="str">
        <f aca="false">VLOOKUP(B1013,Customers!$A$2:$G$502,6,FALSE())</f>
        <v>Corporate</v>
      </c>
      <c r="K1013" s="1" t="str">
        <f aca="false">VLOOKUP(C1013,Products!$A$2:$E$62,3,FALSE())</f>
        <v>Electronics</v>
      </c>
      <c r="L1013" s="1" t="str">
        <f aca="false">TEXT(D1013,"yyyy-mm")</f>
        <v>2024-05</v>
      </c>
    </row>
    <row r="1014" customFormat="false" ht="15" hidden="false" customHeight="true" outlineLevel="0" collapsed="false">
      <c r="A1014" s="1" t="n">
        <v>1038</v>
      </c>
      <c r="B1014" s="1" t="n">
        <v>141</v>
      </c>
      <c r="C1014" s="1" t="n">
        <v>36</v>
      </c>
      <c r="D1014" s="1" t="s">
        <v>416</v>
      </c>
      <c r="E1014" s="1" t="n">
        <v>7</v>
      </c>
      <c r="F1014" s="1" t="n">
        <v>424.45</v>
      </c>
      <c r="G1014" s="1" t="n">
        <v>0</v>
      </c>
      <c r="H1014" s="1" t="s">
        <v>1336</v>
      </c>
      <c r="I1014" s="1" t="n">
        <v>2971.15</v>
      </c>
      <c r="J1014" s="1" t="str">
        <f aca="false">VLOOKUP(B1014,Customers!$A$2:$G$502,6,FALSE())</f>
        <v>Small Business</v>
      </c>
      <c r="K1014" s="1" t="str">
        <f aca="false">VLOOKUP(C1014,Products!$A$2:$E$62,3,FALSE())</f>
        <v>Software</v>
      </c>
      <c r="L1014" s="1" t="str">
        <f aca="false">TEXT(D1014,"yyyy-mm")</f>
        <v>2023-12</v>
      </c>
    </row>
    <row r="1015" customFormat="false" ht="15" hidden="false" customHeight="true" outlineLevel="0" collapsed="false">
      <c r="A1015" s="1" t="n">
        <v>1039</v>
      </c>
      <c r="B1015" s="1" t="n">
        <v>238</v>
      </c>
      <c r="C1015" s="1" t="n">
        <v>6</v>
      </c>
      <c r="D1015" s="1" t="s">
        <v>1596</v>
      </c>
      <c r="E1015" s="1" t="n">
        <v>1</v>
      </c>
      <c r="F1015" s="1" t="n">
        <v>28.51</v>
      </c>
      <c r="G1015" s="1" t="n">
        <v>0</v>
      </c>
      <c r="H1015" s="1" t="s">
        <v>1336</v>
      </c>
      <c r="I1015" s="1" t="n">
        <v>28.51</v>
      </c>
      <c r="J1015" s="1" t="str">
        <f aca="false">VLOOKUP(B1015,Customers!$A$2:$G$502,6,FALSE())</f>
        <v>Corporate</v>
      </c>
      <c r="K1015" s="1" t="str">
        <f aca="false">VLOOKUP(C1015,Products!$A$2:$E$62,3,FALSE())</f>
        <v>Electronics</v>
      </c>
      <c r="L1015" s="1" t="str">
        <f aca="false">TEXT(D1015,"yyyy-mm")</f>
        <v>2023-04</v>
      </c>
    </row>
    <row r="1016" customFormat="false" ht="15" hidden="false" customHeight="true" outlineLevel="0" collapsed="false">
      <c r="A1016" s="1" t="n">
        <v>1040</v>
      </c>
      <c r="B1016" s="1" t="n">
        <v>11</v>
      </c>
      <c r="C1016" s="1" t="n">
        <v>50</v>
      </c>
      <c r="D1016" s="1" t="s">
        <v>758</v>
      </c>
      <c r="E1016" s="1" t="n">
        <v>7</v>
      </c>
      <c r="F1016" s="1" t="n">
        <v>19.73</v>
      </c>
      <c r="G1016" s="1" t="n">
        <v>0.2</v>
      </c>
      <c r="H1016" s="1" t="s">
        <v>1336</v>
      </c>
      <c r="I1016" s="1" t="n">
        <v>110.49</v>
      </c>
      <c r="J1016" s="1" t="str">
        <f aca="false">VLOOKUP(B1016,Customers!$A$2:$G$502,6,FALSE())</f>
        <v>Consumer</v>
      </c>
      <c r="K1016" s="1" t="str">
        <f aca="false">VLOOKUP(C1016,Products!$A$2:$E$62,3,FALSE())</f>
        <v>Software</v>
      </c>
      <c r="L1016" s="1" t="str">
        <f aca="false">TEXT(D1016,"yyyy-mm")</f>
        <v>2023-06</v>
      </c>
    </row>
    <row r="1017" customFormat="false" ht="15" hidden="false" customHeight="true" outlineLevel="0" collapsed="false">
      <c r="A1017" s="1" t="n">
        <v>1041</v>
      </c>
      <c r="B1017" s="1" t="n">
        <v>483</v>
      </c>
      <c r="C1017" s="1" t="n">
        <v>16</v>
      </c>
      <c r="D1017" s="1" t="s">
        <v>601</v>
      </c>
      <c r="E1017" s="1" t="n">
        <v>5</v>
      </c>
      <c r="F1017" s="1" t="n">
        <v>330.91</v>
      </c>
      <c r="G1017" s="1" t="n">
        <v>0.2</v>
      </c>
      <c r="H1017" s="1" t="s">
        <v>1336</v>
      </c>
      <c r="I1017" s="1" t="n">
        <v>1323.64</v>
      </c>
      <c r="J1017" s="1" t="str">
        <f aca="false">VLOOKUP(B1017,Customers!$A$2:$G$502,6,FALSE())</f>
        <v>Small Business</v>
      </c>
      <c r="K1017" s="1" t="str">
        <f aca="false">VLOOKUP(C1017,Products!$A$2:$E$62,3,FALSE())</f>
        <v>Electronics</v>
      </c>
      <c r="L1017" s="1" t="str">
        <f aca="false">TEXT(D1017,"yyyy-mm")</f>
        <v>2023-11</v>
      </c>
    </row>
    <row r="1018" customFormat="false" ht="15" hidden="false" customHeight="true" outlineLevel="0" collapsed="false">
      <c r="A1018" s="1" t="n">
        <v>1042</v>
      </c>
      <c r="B1018" s="1" t="n">
        <v>378</v>
      </c>
      <c r="C1018" s="1" t="n">
        <v>9</v>
      </c>
      <c r="D1018" s="1" t="s">
        <v>1597</v>
      </c>
      <c r="E1018" s="1" t="n">
        <v>6</v>
      </c>
      <c r="F1018" s="1" t="n">
        <v>203.1</v>
      </c>
      <c r="G1018" s="1" t="n">
        <v>0</v>
      </c>
      <c r="H1018" s="1" t="s">
        <v>1336</v>
      </c>
      <c r="I1018" s="1" t="n">
        <v>1218.6</v>
      </c>
      <c r="J1018" s="1" t="str">
        <f aca="false">VLOOKUP(B1018,Customers!$A$2:$G$502,6,FALSE())</f>
        <v>Small Business</v>
      </c>
      <c r="K1018" s="1" t="str">
        <f aca="false">VLOOKUP(C1018,Products!$A$2:$E$62,3,FALSE())</f>
        <v>Electronics</v>
      </c>
      <c r="L1018" s="1" t="str">
        <f aca="false">TEXT(D1018,"yyyy-mm")</f>
        <v>2023-11</v>
      </c>
    </row>
    <row r="1019" customFormat="false" ht="15" hidden="false" customHeight="true" outlineLevel="0" collapsed="false">
      <c r="A1019" s="1" t="n">
        <v>1043</v>
      </c>
      <c r="B1019" s="1" t="n">
        <v>212</v>
      </c>
      <c r="C1019" s="1" t="n">
        <v>15</v>
      </c>
      <c r="D1019" s="1" t="s">
        <v>998</v>
      </c>
      <c r="E1019" s="1" t="n">
        <v>7</v>
      </c>
      <c r="F1019" s="1" t="n">
        <v>304.95</v>
      </c>
      <c r="G1019" s="1" t="n">
        <v>0</v>
      </c>
      <c r="H1019" s="1" t="s">
        <v>1346</v>
      </c>
      <c r="I1019" s="1" t="n">
        <v>2134.65</v>
      </c>
      <c r="J1019" s="1" t="str">
        <f aca="false">VLOOKUP(B1019,Customers!$A$2:$G$502,6,FALSE())</f>
        <v>Consumer</v>
      </c>
      <c r="K1019" s="1" t="str">
        <f aca="false">VLOOKUP(C1019,Products!$A$2:$E$62,3,FALSE())</f>
        <v>Electronics</v>
      </c>
      <c r="L1019" s="1" t="str">
        <f aca="false">TEXT(D1019,"yyyy-mm")</f>
        <v>2023-07</v>
      </c>
    </row>
    <row r="1020" customFormat="false" ht="15" hidden="false" customHeight="true" outlineLevel="0" collapsed="false">
      <c r="A1020" s="1" t="n">
        <v>1044</v>
      </c>
      <c r="B1020" s="1" t="n">
        <v>136</v>
      </c>
      <c r="C1020" s="1" t="n">
        <v>6</v>
      </c>
      <c r="D1020" s="1" t="s">
        <v>1038</v>
      </c>
      <c r="E1020" s="1" t="n">
        <v>5</v>
      </c>
      <c r="F1020" s="1" t="n">
        <v>28.51</v>
      </c>
      <c r="G1020" s="1" t="n">
        <v>0</v>
      </c>
      <c r="H1020" s="1" t="s">
        <v>1336</v>
      </c>
      <c r="I1020" s="1" t="n">
        <v>142.55</v>
      </c>
      <c r="J1020" s="1" t="str">
        <f aca="false">VLOOKUP(B1020,Customers!$A$2:$G$502,6,FALSE())</f>
        <v>Corporate</v>
      </c>
      <c r="K1020" s="1" t="str">
        <f aca="false">VLOOKUP(C1020,Products!$A$2:$E$62,3,FALSE())</f>
        <v>Electronics</v>
      </c>
      <c r="L1020" s="1" t="str">
        <f aca="false">TEXT(D1020,"yyyy-mm")</f>
        <v>2024-05</v>
      </c>
    </row>
    <row r="1021" customFormat="false" ht="15" hidden="false" customHeight="true" outlineLevel="0" collapsed="false">
      <c r="A1021" s="1" t="n">
        <v>1045</v>
      </c>
      <c r="B1021" s="1" t="n">
        <v>324</v>
      </c>
      <c r="C1021" s="1" t="n">
        <v>44</v>
      </c>
      <c r="D1021" s="1" t="s">
        <v>1022</v>
      </c>
      <c r="E1021" s="1" t="n">
        <v>7</v>
      </c>
      <c r="F1021" s="1" t="n">
        <v>508.26</v>
      </c>
      <c r="G1021" s="1" t="n">
        <v>0</v>
      </c>
      <c r="H1021" s="1" t="s">
        <v>1370</v>
      </c>
      <c r="I1021" s="1" t="n">
        <v>3557.82</v>
      </c>
      <c r="J1021" s="1" t="str">
        <f aca="false">VLOOKUP(B1021,Customers!$A$2:$G$502,6,FALSE())</f>
        <v>Consumer</v>
      </c>
      <c r="K1021" s="1" t="str">
        <f aca="false">VLOOKUP(C1021,Products!$A$2:$E$62,3,FALSE())</f>
        <v>Software</v>
      </c>
      <c r="L1021" s="1" t="str">
        <f aca="false">TEXT(D1021,"yyyy-mm")</f>
        <v>2023-06</v>
      </c>
    </row>
    <row r="1022" customFormat="false" ht="15" hidden="false" customHeight="true" outlineLevel="0" collapsed="false">
      <c r="A1022" s="1" t="n">
        <v>1046</v>
      </c>
      <c r="B1022" s="1" t="n">
        <v>360</v>
      </c>
      <c r="C1022" s="1" t="n">
        <v>28</v>
      </c>
      <c r="D1022" s="1" t="s">
        <v>1512</v>
      </c>
      <c r="E1022" s="1" t="n">
        <v>9</v>
      </c>
      <c r="F1022" s="1" t="n">
        <v>505.23</v>
      </c>
      <c r="G1022" s="1" t="n">
        <v>0.15</v>
      </c>
      <c r="H1022" s="1" t="s">
        <v>1336</v>
      </c>
      <c r="I1022" s="1" t="n">
        <v>3865.01</v>
      </c>
      <c r="J1022" s="1" t="str">
        <f aca="false">VLOOKUP(B1022,Customers!$A$2:$G$502,6,FALSE())</f>
        <v>Corporate</v>
      </c>
      <c r="K1022" s="1" t="str">
        <f aca="false">VLOOKUP(C1022,Products!$A$2:$E$62,3,FALSE())</f>
        <v>Office Supplies</v>
      </c>
      <c r="L1022" s="1" t="str">
        <f aca="false">TEXT(D1022,"yyyy-mm")</f>
        <v>2023-12</v>
      </c>
    </row>
    <row r="1023" customFormat="false" ht="15" hidden="false" customHeight="true" outlineLevel="0" collapsed="false">
      <c r="A1023" s="1" t="n">
        <v>1047</v>
      </c>
      <c r="B1023" s="1" t="n">
        <v>258</v>
      </c>
      <c r="C1023" s="1" t="n">
        <v>36</v>
      </c>
      <c r="D1023" s="1" t="s">
        <v>1493</v>
      </c>
      <c r="E1023" s="1" t="n">
        <v>3</v>
      </c>
      <c r="F1023" s="1" t="n">
        <v>424.45</v>
      </c>
      <c r="G1023" s="1" t="n">
        <v>0</v>
      </c>
      <c r="H1023" s="1" t="s">
        <v>1336</v>
      </c>
      <c r="I1023" s="1" t="n">
        <v>1273.35</v>
      </c>
      <c r="J1023" s="1" t="str">
        <f aca="false">VLOOKUP(B1023,Customers!$A$2:$G$502,6,FALSE())</f>
        <v>Small Business</v>
      </c>
      <c r="K1023" s="1" t="str">
        <f aca="false">VLOOKUP(C1023,Products!$A$2:$E$62,3,FALSE())</f>
        <v>Software</v>
      </c>
      <c r="L1023" s="1" t="str">
        <f aca="false">TEXT(D1023,"yyyy-mm")</f>
        <v>2023-10</v>
      </c>
    </row>
    <row r="1024" customFormat="false" ht="15" hidden="false" customHeight="true" outlineLevel="0" collapsed="false">
      <c r="A1024" s="1" t="n">
        <v>1048</v>
      </c>
      <c r="B1024" s="1" t="n">
        <v>473</v>
      </c>
      <c r="C1024" s="1" t="n">
        <v>8</v>
      </c>
      <c r="D1024" s="1" t="s">
        <v>1560</v>
      </c>
      <c r="E1024" s="1" t="n">
        <v>8</v>
      </c>
      <c r="F1024" s="1" t="n">
        <v>104.4</v>
      </c>
      <c r="G1024" s="1" t="n">
        <v>0.15</v>
      </c>
      <c r="H1024" s="1" t="s">
        <v>1336</v>
      </c>
      <c r="I1024" s="1" t="n">
        <v>709.92</v>
      </c>
      <c r="J1024" s="1" t="str">
        <f aca="false">VLOOKUP(B1024,Customers!$A$2:$G$502,6,FALSE())</f>
        <v>Small Business</v>
      </c>
      <c r="K1024" s="1" t="str">
        <f aca="false">VLOOKUP(C1024,Products!$A$2:$E$62,3,FALSE())</f>
        <v>Electronics</v>
      </c>
      <c r="L1024" s="1" t="str">
        <f aca="false">TEXT(D1024,"yyyy-mm")</f>
        <v>2024-06</v>
      </c>
    </row>
    <row r="1025" customFormat="false" ht="15" hidden="false" customHeight="true" outlineLevel="0" collapsed="false">
      <c r="A1025" s="1" t="n">
        <v>1049</v>
      </c>
      <c r="B1025" s="1" t="n">
        <v>289</v>
      </c>
      <c r="C1025" s="1" t="n">
        <v>25</v>
      </c>
      <c r="D1025" s="1" t="s">
        <v>866</v>
      </c>
      <c r="E1025" s="1" t="n">
        <v>2</v>
      </c>
      <c r="F1025" s="1" t="n">
        <v>300.49</v>
      </c>
      <c r="G1025" s="1" t="n">
        <v>0.1</v>
      </c>
      <c r="H1025" s="1" t="s">
        <v>1346</v>
      </c>
      <c r="I1025" s="1" t="n">
        <v>540.88</v>
      </c>
      <c r="J1025" s="1" t="str">
        <f aca="false">VLOOKUP(B1025,Customers!$A$2:$G$502,6,FALSE())</f>
        <v>Consumer</v>
      </c>
      <c r="K1025" s="1" t="str">
        <f aca="false">VLOOKUP(C1025,Products!$A$2:$E$62,3,FALSE())</f>
        <v>Office Supplies</v>
      </c>
      <c r="L1025" s="1" t="str">
        <f aca="false">TEXT(D1025,"yyyy-mm")</f>
        <v>2024-11</v>
      </c>
    </row>
    <row r="1026" customFormat="false" ht="15" hidden="false" customHeight="true" outlineLevel="0" collapsed="false">
      <c r="A1026" s="1" t="n">
        <v>1050</v>
      </c>
      <c r="B1026" s="1" t="n">
        <v>462</v>
      </c>
      <c r="C1026" s="1" t="n">
        <v>1</v>
      </c>
      <c r="D1026" s="1" t="s">
        <v>1353</v>
      </c>
      <c r="E1026" s="1" t="n">
        <v>7</v>
      </c>
      <c r="F1026" s="1" t="n">
        <v>327.32</v>
      </c>
      <c r="G1026" s="1" t="n">
        <v>0.05</v>
      </c>
      <c r="H1026" s="1" t="s">
        <v>1336</v>
      </c>
      <c r="I1026" s="1" t="n">
        <v>2176.68</v>
      </c>
      <c r="J1026" s="1" t="str">
        <f aca="false">VLOOKUP(B1026,Customers!$A$2:$G$502,6,FALSE())</f>
        <v>Small Business</v>
      </c>
      <c r="K1026" s="1" t="str">
        <f aca="false">VLOOKUP(C1026,Products!$A$2:$E$62,3,FALSE())</f>
        <v>Electronics</v>
      </c>
      <c r="L1026" s="1" t="str">
        <f aca="false">TEXT(D1026,"yyyy-mm")</f>
        <v>2023-06</v>
      </c>
    </row>
    <row r="1027" customFormat="false" ht="15" hidden="false" customHeight="true" outlineLevel="0" collapsed="false">
      <c r="A1027" s="1" t="n">
        <v>1051</v>
      </c>
      <c r="B1027" s="1" t="n">
        <v>184</v>
      </c>
      <c r="C1027" s="1" t="n">
        <v>20</v>
      </c>
      <c r="D1027" s="1" t="s">
        <v>148</v>
      </c>
      <c r="E1027" s="1" t="n">
        <v>2</v>
      </c>
      <c r="F1027" s="1" t="n">
        <v>426.15</v>
      </c>
      <c r="G1027" s="1" t="n">
        <v>0.05</v>
      </c>
      <c r="H1027" s="1" t="s">
        <v>1336</v>
      </c>
      <c r="I1027" s="1" t="n">
        <v>809.68</v>
      </c>
      <c r="J1027" s="1" t="str">
        <f aca="false">VLOOKUP(B1027,Customers!$A$2:$G$502,6,FALSE())</f>
        <v>Corporate</v>
      </c>
      <c r="K1027" s="1" t="str">
        <f aca="false">VLOOKUP(C1027,Products!$A$2:$E$62,3,FALSE())</f>
        <v>Office Supplies</v>
      </c>
      <c r="L1027" s="1" t="str">
        <f aca="false">TEXT(D1027,"yyyy-mm")</f>
        <v>2023-06</v>
      </c>
    </row>
    <row r="1028" customFormat="false" ht="15" hidden="false" customHeight="true" outlineLevel="0" collapsed="false">
      <c r="A1028" s="1" t="n">
        <v>1052</v>
      </c>
      <c r="B1028" s="1" t="n">
        <v>304</v>
      </c>
      <c r="C1028" s="1" t="n">
        <v>37</v>
      </c>
      <c r="D1028" s="1" t="s">
        <v>1374</v>
      </c>
      <c r="E1028" s="1" t="n">
        <v>4</v>
      </c>
      <c r="F1028" s="1" t="n">
        <v>13.95</v>
      </c>
      <c r="G1028" s="1" t="n">
        <v>0.05</v>
      </c>
      <c r="H1028" s="1" t="s">
        <v>1336</v>
      </c>
      <c r="I1028" s="1" t="n">
        <v>53.01</v>
      </c>
      <c r="J1028" s="1" t="str">
        <f aca="false">VLOOKUP(B1028,Customers!$A$2:$G$502,6,FALSE())</f>
        <v>Small Business</v>
      </c>
      <c r="K1028" s="1" t="str">
        <f aca="false">VLOOKUP(C1028,Products!$A$2:$E$62,3,FALSE())</f>
        <v>Software</v>
      </c>
      <c r="L1028" s="1" t="str">
        <f aca="false">TEXT(D1028,"yyyy-mm")</f>
        <v>2024-12</v>
      </c>
    </row>
    <row r="1029" customFormat="false" ht="15" hidden="false" customHeight="true" outlineLevel="0" collapsed="false">
      <c r="A1029" s="1" t="n">
        <v>1053</v>
      </c>
      <c r="B1029" s="1" t="n">
        <v>308</v>
      </c>
      <c r="C1029" s="1" t="n">
        <v>22</v>
      </c>
      <c r="D1029" s="1" t="s">
        <v>1598</v>
      </c>
      <c r="E1029" s="1" t="n">
        <v>7</v>
      </c>
      <c r="F1029" s="1" t="n">
        <v>38.57</v>
      </c>
      <c r="G1029" s="1" t="n">
        <v>0.15</v>
      </c>
      <c r="H1029" s="1" t="s">
        <v>1336</v>
      </c>
      <c r="I1029" s="1" t="n">
        <v>229.49</v>
      </c>
      <c r="J1029" s="1" t="str">
        <f aca="false">VLOOKUP(B1029,Customers!$A$2:$G$502,6,FALSE())</f>
        <v>Consumer</v>
      </c>
      <c r="K1029" s="1" t="str">
        <f aca="false">VLOOKUP(C1029,Products!$A$2:$E$62,3,FALSE())</f>
        <v>Office Supplies</v>
      </c>
      <c r="L1029" s="1" t="str">
        <f aca="false">TEXT(D1029,"yyyy-mm")</f>
        <v>2024-05</v>
      </c>
    </row>
    <row r="1030" customFormat="false" ht="15" hidden="false" customHeight="true" outlineLevel="0" collapsed="false">
      <c r="A1030" s="1" t="n">
        <v>1054</v>
      </c>
      <c r="B1030" s="1" t="n">
        <v>479</v>
      </c>
      <c r="C1030" s="1" t="n">
        <v>58</v>
      </c>
      <c r="D1030" s="1" t="s">
        <v>1481</v>
      </c>
      <c r="E1030" s="1" t="n">
        <v>3</v>
      </c>
      <c r="F1030" s="1" t="n">
        <v>515.55</v>
      </c>
      <c r="G1030" s="1" t="n">
        <v>0</v>
      </c>
      <c r="H1030" s="1" t="s">
        <v>1336</v>
      </c>
      <c r="I1030" s="1" t="n">
        <v>1546.65</v>
      </c>
      <c r="J1030" s="1" t="str">
        <f aca="false">VLOOKUP(B1030,Customers!$A$2:$G$502,6,FALSE())</f>
        <v>Small Business</v>
      </c>
      <c r="K1030" s="1" t="str">
        <f aca="false">VLOOKUP(C1030,Products!$A$2:$E$62,3,FALSE())</f>
        <v>Furniture</v>
      </c>
      <c r="L1030" s="1" t="str">
        <f aca="false">TEXT(D1030,"yyyy-mm")</f>
        <v>2024-06</v>
      </c>
    </row>
    <row r="1031" customFormat="false" ht="15" hidden="false" customHeight="true" outlineLevel="0" collapsed="false">
      <c r="A1031" s="1" t="n">
        <v>1055</v>
      </c>
      <c r="B1031" s="1" t="n">
        <v>15</v>
      </c>
      <c r="C1031" s="1" t="n">
        <v>11</v>
      </c>
      <c r="D1031" s="1" t="s">
        <v>1564</v>
      </c>
      <c r="E1031" s="1" t="n">
        <v>2</v>
      </c>
      <c r="F1031" s="1" t="n">
        <v>328.39</v>
      </c>
      <c r="G1031" s="1" t="n">
        <v>0</v>
      </c>
      <c r="H1031" s="1" t="s">
        <v>1346</v>
      </c>
      <c r="I1031" s="1" t="n">
        <v>656.78</v>
      </c>
      <c r="J1031" s="1" t="str">
        <f aca="false">VLOOKUP(B1031,Customers!$A$2:$G$502,6,FALSE())</f>
        <v>Corporate</v>
      </c>
      <c r="K1031" s="1" t="str">
        <f aca="false">VLOOKUP(C1031,Products!$A$2:$E$62,3,FALSE())</f>
        <v>Electronics</v>
      </c>
      <c r="L1031" s="1" t="str">
        <f aca="false">TEXT(D1031,"yyyy-mm")</f>
        <v>2024-06</v>
      </c>
    </row>
    <row r="1032" customFormat="false" ht="15" hidden="false" customHeight="true" outlineLevel="0" collapsed="false">
      <c r="A1032" s="1" t="n">
        <v>1056</v>
      </c>
      <c r="B1032" s="1" t="n">
        <v>102</v>
      </c>
      <c r="C1032" s="1" t="n">
        <v>37</v>
      </c>
      <c r="D1032" s="1" t="s">
        <v>1528</v>
      </c>
      <c r="E1032" s="1" t="n">
        <v>7</v>
      </c>
      <c r="F1032" s="1" t="n">
        <v>13.95</v>
      </c>
      <c r="G1032" s="1" t="n">
        <v>0</v>
      </c>
      <c r="H1032" s="1" t="s">
        <v>1336</v>
      </c>
      <c r="I1032" s="1" t="n">
        <v>97.65</v>
      </c>
      <c r="J1032" s="1" t="str">
        <f aca="false">VLOOKUP(B1032,Customers!$A$2:$G$502,6,FALSE())</f>
        <v>Consumer</v>
      </c>
      <c r="K1032" s="1" t="str">
        <f aca="false">VLOOKUP(C1032,Products!$A$2:$E$62,3,FALSE())</f>
        <v>Software</v>
      </c>
      <c r="L1032" s="1" t="str">
        <f aca="false">TEXT(D1032,"yyyy-mm")</f>
        <v>2023-05</v>
      </c>
    </row>
    <row r="1033" customFormat="false" ht="15" hidden="false" customHeight="true" outlineLevel="0" collapsed="false">
      <c r="A1033" s="1" t="n">
        <v>1057</v>
      </c>
      <c r="B1033" s="1" t="n">
        <v>406</v>
      </c>
      <c r="C1033" s="1" t="n">
        <v>50</v>
      </c>
      <c r="D1033" s="1" t="s">
        <v>1523</v>
      </c>
      <c r="E1033" s="1" t="n">
        <v>1</v>
      </c>
      <c r="F1033" s="1" t="n">
        <v>19.73</v>
      </c>
      <c r="G1033" s="1" t="n">
        <v>0.2</v>
      </c>
      <c r="H1033" s="1" t="s">
        <v>1336</v>
      </c>
      <c r="I1033" s="1" t="n">
        <v>15.78</v>
      </c>
      <c r="J1033" s="1" t="str">
        <f aca="false">VLOOKUP(B1033,Customers!$A$2:$G$502,6,FALSE())</f>
        <v>Small Business</v>
      </c>
      <c r="K1033" s="1" t="str">
        <f aca="false">VLOOKUP(C1033,Products!$A$2:$E$62,3,FALSE())</f>
        <v>Software</v>
      </c>
      <c r="L1033" s="1" t="str">
        <f aca="false">TEXT(D1033,"yyyy-mm")</f>
        <v>2023-05</v>
      </c>
    </row>
    <row r="1034" customFormat="false" ht="15" hidden="false" customHeight="true" outlineLevel="0" collapsed="false">
      <c r="A1034" s="1" t="n">
        <v>1058</v>
      </c>
      <c r="B1034" s="1" t="n">
        <v>103</v>
      </c>
      <c r="C1034" s="1" t="n">
        <v>57</v>
      </c>
      <c r="D1034" s="1" t="s">
        <v>1599</v>
      </c>
      <c r="E1034" s="1" t="n">
        <v>8</v>
      </c>
      <c r="F1034" s="1" t="n">
        <v>719.76</v>
      </c>
      <c r="G1034" s="1" t="n">
        <v>0</v>
      </c>
      <c r="H1034" s="1" t="s">
        <v>1336</v>
      </c>
      <c r="I1034" s="1" t="n">
        <v>5758.08</v>
      </c>
      <c r="J1034" s="1" t="str">
        <f aca="false">VLOOKUP(B1034,Customers!$A$2:$G$502,6,FALSE())</f>
        <v>Small Business</v>
      </c>
      <c r="K1034" s="1" t="str">
        <f aca="false">VLOOKUP(C1034,Products!$A$2:$E$62,3,FALSE())</f>
        <v>Furniture</v>
      </c>
      <c r="L1034" s="1" t="str">
        <f aca="false">TEXT(D1034,"yyyy-mm")</f>
        <v>2023-06</v>
      </c>
    </row>
    <row r="1035" customFormat="false" ht="15" hidden="false" customHeight="true" outlineLevel="0" collapsed="false">
      <c r="A1035" s="1" t="n">
        <v>1059</v>
      </c>
      <c r="B1035" s="1" t="n">
        <v>371</v>
      </c>
      <c r="C1035" s="1" t="n">
        <v>16</v>
      </c>
      <c r="D1035" s="1" t="s">
        <v>565</v>
      </c>
      <c r="E1035" s="1" t="n">
        <v>3</v>
      </c>
      <c r="F1035" s="1" t="n">
        <v>330.91</v>
      </c>
      <c r="G1035" s="1" t="n">
        <v>0</v>
      </c>
      <c r="H1035" s="1" t="s">
        <v>1336</v>
      </c>
      <c r="I1035" s="1" t="n">
        <v>992.73</v>
      </c>
      <c r="J1035" s="1" t="str">
        <f aca="false">VLOOKUP(B1035,Customers!$A$2:$G$502,6,FALSE())</f>
        <v>Unknown</v>
      </c>
      <c r="K1035" s="1" t="str">
        <f aca="false">VLOOKUP(C1035,Products!$A$2:$E$62,3,FALSE())</f>
        <v>Electronics</v>
      </c>
      <c r="L1035" s="1" t="str">
        <f aca="false">TEXT(D1035,"yyyy-mm")</f>
        <v>2023-06</v>
      </c>
    </row>
    <row r="1036" customFormat="false" ht="15" hidden="false" customHeight="true" outlineLevel="0" collapsed="false">
      <c r="A1036" s="1" t="n">
        <v>1060</v>
      </c>
      <c r="B1036" s="1" t="n">
        <v>52</v>
      </c>
      <c r="C1036" s="1" t="n">
        <v>31</v>
      </c>
      <c r="D1036" s="1" t="s">
        <v>295</v>
      </c>
      <c r="E1036" s="1" t="n">
        <v>2</v>
      </c>
      <c r="F1036" s="1" t="n">
        <v>224.86</v>
      </c>
      <c r="G1036" s="1" t="n">
        <v>0.15</v>
      </c>
      <c r="H1036" s="1" t="s">
        <v>1336</v>
      </c>
      <c r="I1036" s="1" t="n">
        <v>382.26</v>
      </c>
      <c r="J1036" s="1" t="str">
        <f aca="false">VLOOKUP(B1036,Customers!$A$2:$G$502,6,FALSE())</f>
        <v>Small Business</v>
      </c>
      <c r="K1036" s="1" t="str">
        <f aca="false">VLOOKUP(C1036,Products!$A$2:$E$62,3,FALSE())</f>
        <v>Office Supplies</v>
      </c>
      <c r="L1036" s="1" t="str">
        <f aca="false">TEXT(D1036,"yyyy-mm")</f>
        <v>2024-07</v>
      </c>
    </row>
    <row r="1037" customFormat="false" ht="15" hidden="false" customHeight="true" outlineLevel="0" collapsed="false">
      <c r="A1037" s="1" t="n">
        <v>1061</v>
      </c>
      <c r="B1037" s="1" t="n">
        <v>238</v>
      </c>
      <c r="C1037" s="1" t="n">
        <v>46</v>
      </c>
      <c r="D1037" s="1" t="s">
        <v>94</v>
      </c>
      <c r="E1037" s="1" t="n">
        <v>3</v>
      </c>
      <c r="F1037" s="1" t="n">
        <v>94.92</v>
      </c>
      <c r="G1037" s="1" t="n">
        <v>0.2</v>
      </c>
      <c r="H1037" s="1" t="s">
        <v>1346</v>
      </c>
      <c r="I1037" s="1" t="n">
        <v>227.81</v>
      </c>
      <c r="J1037" s="1" t="str">
        <f aca="false">VLOOKUP(B1037,Customers!$A$2:$G$502,6,FALSE())</f>
        <v>Corporate</v>
      </c>
      <c r="K1037" s="1" t="str">
        <f aca="false">VLOOKUP(C1037,Products!$A$2:$E$62,3,FALSE())</f>
        <v>Software</v>
      </c>
      <c r="L1037" s="1" t="str">
        <f aca="false">TEXT(D1037,"yyyy-mm")</f>
        <v>2023-09</v>
      </c>
    </row>
    <row r="1038" customFormat="false" ht="15" hidden="false" customHeight="true" outlineLevel="0" collapsed="false">
      <c r="A1038" s="1" t="n">
        <v>1062</v>
      </c>
      <c r="B1038" s="1" t="n">
        <v>205</v>
      </c>
      <c r="C1038" s="1" t="n">
        <v>50</v>
      </c>
      <c r="D1038" s="1" t="s">
        <v>1518</v>
      </c>
      <c r="E1038" s="1" t="n">
        <v>5</v>
      </c>
      <c r="F1038" s="1" t="n">
        <v>19.73</v>
      </c>
      <c r="G1038" s="1" t="n">
        <v>0</v>
      </c>
      <c r="H1038" s="1" t="s">
        <v>1336</v>
      </c>
      <c r="I1038" s="1" t="n">
        <v>98.65</v>
      </c>
      <c r="J1038" s="1" t="str">
        <f aca="false">VLOOKUP(B1038,Customers!$A$2:$G$502,6,FALSE())</f>
        <v>Corporate</v>
      </c>
      <c r="K1038" s="1" t="str">
        <f aca="false">VLOOKUP(C1038,Products!$A$2:$E$62,3,FALSE())</f>
        <v>Software</v>
      </c>
      <c r="L1038" s="1" t="str">
        <f aca="false">TEXT(D1038,"yyyy-mm")</f>
        <v>2023-12</v>
      </c>
    </row>
    <row r="1039" customFormat="false" ht="15" hidden="false" customHeight="true" outlineLevel="0" collapsed="false">
      <c r="A1039" s="1" t="n">
        <v>1063</v>
      </c>
      <c r="B1039" s="1" t="n">
        <v>37</v>
      </c>
      <c r="C1039" s="1" t="n">
        <v>23</v>
      </c>
      <c r="D1039" s="1" t="s">
        <v>1488</v>
      </c>
      <c r="E1039" s="1" t="n">
        <v>8</v>
      </c>
      <c r="F1039" s="1" t="n">
        <v>188.73</v>
      </c>
      <c r="G1039" s="1" t="n">
        <v>0.15</v>
      </c>
      <c r="H1039" s="1" t="s">
        <v>1336</v>
      </c>
      <c r="I1039" s="1" t="n">
        <v>1283.36</v>
      </c>
      <c r="J1039" s="1" t="str">
        <f aca="false">VLOOKUP(B1039,Customers!$A$2:$G$502,6,FALSE())</f>
        <v>Corporate</v>
      </c>
      <c r="K1039" s="1" t="str">
        <f aca="false">VLOOKUP(C1039,Products!$A$2:$E$62,3,FALSE())</f>
        <v>Office Supplies</v>
      </c>
      <c r="L1039" s="1" t="str">
        <f aca="false">TEXT(D1039,"yyyy-mm")</f>
        <v>2024-05</v>
      </c>
    </row>
    <row r="1040" customFormat="false" ht="15" hidden="false" customHeight="true" outlineLevel="0" collapsed="false">
      <c r="A1040" s="1" t="n">
        <v>1064</v>
      </c>
      <c r="B1040" s="1" t="n">
        <v>394</v>
      </c>
      <c r="C1040" s="1" t="n">
        <v>16</v>
      </c>
      <c r="D1040" s="1" t="s">
        <v>248</v>
      </c>
      <c r="E1040" s="1" t="n">
        <v>7</v>
      </c>
      <c r="F1040" s="1" t="n">
        <v>330.91</v>
      </c>
      <c r="G1040" s="1" t="n">
        <v>0</v>
      </c>
      <c r="H1040" s="1" t="s">
        <v>1336</v>
      </c>
      <c r="I1040" s="1" t="n">
        <v>2316.37</v>
      </c>
      <c r="J1040" s="1" t="str">
        <f aca="false">VLOOKUP(B1040,Customers!$A$2:$G$502,6,FALSE())</f>
        <v>Corporate</v>
      </c>
      <c r="K1040" s="1" t="str">
        <f aca="false">VLOOKUP(C1040,Products!$A$2:$E$62,3,FALSE())</f>
        <v>Electronics</v>
      </c>
      <c r="L1040" s="1" t="str">
        <f aca="false">TEXT(D1040,"yyyy-mm")</f>
        <v>2024-01</v>
      </c>
    </row>
    <row r="1041" customFormat="false" ht="15" hidden="false" customHeight="true" outlineLevel="0" collapsed="false">
      <c r="A1041" s="1" t="n">
        <v>1065</v>
      </c>
      <c r="B1041" s="1" t="n">
        <v>469</v>
      </c>
      <c r="C1041" s="1" t="n">
        <v>5</v>
      </c>
      <c r="D1041" s="1" t="s">
        <v>245</v>
      </c>
      <c r="E1041" s="1" t="n">
        <v>7</v>
      </c>
      <c r="F1041" s="1" t="n">
        <v>439.06</v>
      </c>
      <c r="G1041" s="1" t="n">
        <v>0</v>
      </c>
      <c r="H1041" s="1" t="s">
        <v>1336</v>
      </c>
      <c r="I1041" s="1" t="n">
        <v>3073.42</v>
      </c>
      <c r="J1041" s="1" t="str">
        <f aca="false">VLOOKUP(B1041,Customers!$A$2:$G$502,6,FALSE())</f>
        <v>Small Business</v>
      </c>
      <c r="K1041" s="1" t="str">
        <f aca="false">VLOOKUP(C1041,Products!$A$2:$E$62,3,FALSE())</f>
        <v>Electronics</v>
      </c>
      <c r="L1041" s="1" t="str">
        <f aca="false">TEXT(D1041,"yyyy-mm")</f>
        <v>2024-10</v>
      </c>
    </row>
    <row r="1042" customFormat="false" ht="15" hidden="false" customHeight="true" outlineLevel="0" collapsed="false">
      <c r="A1042" s="1" t="n">
        <v>1066</v>
      </c>
      <c r="B1042" s="1" t="n">
        <v>174</v>
      </c>
      <c r="C1042" s="1" t="n">
        <v>25</v>
      </c>
      <c r="D1042" s="1" t="s">
        <v>1471</v>
      </c>
      <c r="E1042" s="1" t="n">
        <v>7</v>
      </c>
      <c r="F1042" s="1" t="n">
        <v>300.49</v>
      </c>
      <c r="G1042" s="1" t="n">
        <v>0</v>
      </c>
      <c r="H1042" s="1" t="s">
        <v>1336</v>
      </c>
      <c r="I1042" s="1" t="n">
        <v>2103.43</v>
      </c>
      <c r="J1042" s="1" t="str">
        <f aca="false">VLOOKUP(B1042,Customers!$A$2:$G$502,6,FALSE())</f>
        <v>Small Business</v>
      </c>
      <c r="K1042" s="1" t="str">
        <f aca="false">VLOOKUP(C1042,Products!$A$2:$E$62,3,FALSE())</f>
        <v>Office Supplies</v>
      </c>
      <c r="L1042" s="1" t="str">
        <f aca="false">TEXT(D1042,"yyyy-mm")</f>
        <v>2024-10</v>
      </c>
    </row>
    <row r="1043" customFormat="false" ht="15" hidden="false" customHeight="true" outlineLevel="0" collapsed="false">
      <c r="A1043" s="1" t="n">
        <v>1067</v>
      </c>
      <c r="B1043" s="1" t="n">
        <v>18</v>
      </c>
      <c r="C1043" s="1" t="n">
        <v>17</v>
      </c>
      <c r="D1043" s="1" t="s">
        <v>1405</v>
      </c>
      <c r="E1043" s="1" t="n">
        <v>8</v>
      </c>
      <c r="F1043" s="1" t="n">
        <v>65.61</v>
      </c>
      <c r="G1043" s="1" t="n">
        <v>0</v>
      </c>
      <c r="H1043" s="1" t="s">
        <v>1336</v>
      </c>
      <c r="I1043" s="1" t="n">
        <v>524.88</v>
      </c>
      <c r="J1043" s="1" t="str">
        <f aca="false">VLOOKUP(B1043,Customers!$A$2:$G$502,6,FALSE())</f>
        <v>Corporate</v>
      </c>
      <c r="K1043" s="1" t="str">
        <f aca="false">VLOOKUP(C1043,Products!$A$2:$E$62,3,FALSE())</f>
        <v>Electronics</v>
      </c>
      <c r="L1043" s="1" t="str">
        <f aca="false">TEXT(D1043,"yyyy-mm")</f>
        <v>2024-03</v>
      </c>
    </row>
    <row r="1044" customFormat="false" ht="15" hidden="false" customHeight="true" outlineLevel="0" collapsed="false">
      <c r="A1044" s="1" t="n">
        <v>1069</v>
      </c>
      <c r="B1044" s="1" t="n">
        <v>164</v>
      </c>
      <c r="C1044" s="1" t="n">
        <v>9</v>
      </c>
      <c r="D1044" s="1" t="s">
        <v>342</v>
      </c>
      <c r="E1044" s="1" t="n">
        <v>4</v>
      </c>
      <c r="F1044" s="1" t="n">
        <v>203.1</v>
      </c>
      <c r="G1044" s="1" t="n">
        <v>0.1</v>
      </c>
      <c r="H1044" s="1" t="s">
        <v>1336</v>
      </c>
      <c r="I1044" s="1" t="n">
        <v>731.16</v>
      </c>
      <c r="J1044" s="1" t="str">
        <f aca="false">VLOOKUP(B1044,Customers!$A$2:$G$502,6,FALSE())</f>
        <v>Consumer</v>
      </c>
      <c r="K1044" s="1" t="str">
        <f aca="false">VLOOKUP(C1044,Products!$A$2:$E$62,3,FALSE())</f>
        <v>Electronics</v>
      </c>
      <c r="L1044" s="1" t="str">
        <f aca="false">TEXT(D1044,"yyyy-mm")</f>
        <v>2024-08</v>
      </c>
    </row>
    <row r="1045" customFormat="false" ht="15" hidden="false" customHeight="true" outlineLevel="0" collapsed="false">
      <c r="A1045" s="1" t="n">
        <v>1070</v>
      </c>
      <c r="B1045" s="1" t="n">
        <v>206</v>
      </c>
      <c r="C1045" s="1" t="n">
        <v>28</v>
      </c>
      <c r="D1045" s="1" t="s">
        <v>1552</v>
      </c>
      <c r="E1045" s="1" t="n">
        <v>6</v>
      </c>
      <c r="F1045" s="1" t="n">
        <v>505.23</v>
      </c>
      <c r="G1045" s="1" t="n">
        <v>0</v>
      </c>
      <c r="H1045" s="1" t="s">
        <v>1336</v>
      </c>
      <c r="I1045" s="1" t="n">
        <v>3031.38</v>
      </c>
      <c r="J1045" s="1" t="str">
        <f aca="false">VLOOKUP(B1045,Customers!$A$2:$G$502,6,FALSE())</f>
        <v>Small Business</v>
      </c>
      <c r="K1045" s="1" t="str">
        <f aca="false">VLOOKUP(C1045,Products!$A$2:$E$62,3,FALSE())</f>
        <v>Office Supplies</v>
      </c>
      <c r="L1045" s="1" t="str">
        <f aca="false">TEXT(D1045,"yyyy-mm")</f>
        <v>2023-02</v>
      </c>
    </row>
    <row r="1046" customFormat="false" ht="15" hidden="false" customHeight="true" outlineLevel="0" collapsed="false">
      <c r="A1046" s="1" t="n">
        <v>1071</v>
      </c>
      <c r="B1046" s="1" t="n">
        <v>466</v>
      </c>
      <c r="C1046" s="1" t="n">
        <v>29</v>
      </c>
      <c r="D1046" s="1" t="s">
        <v>722</v>
      </c>
      <c r="E1046" s="1" t="n">
        <v>9</v>
      </c>
      <c r="F1046" s="1" t="n">
        <v>54.62</v>
      </c>
      <c r="G1046" s="1" t="n">
        <v>0</v>
      </c>
      <c r="H1046" s="1" t="s">
        <v>1336</v>
      </c>
      <c r="I1046" s="1" t="n">
        <v>491.58</v>
      </c>
      <c r="J1046" s="1" t="str">
        <f aca="false">VLOOKUP(B1046,Customers!$A$2:$G$502,6,FALSE())</f>
        <v>Consumer</v>
      </c>
      <c r="K1046" s="1" t="str">
        <f aca="false">VLOOKUP(C1046,Products!$A$2:$E$62,3,FALSE())</f>
        <v>Office Supplies</v>
      </c>
      <c r="L1046" s="1" t="str">
        <f aca="false">TEXT(D1046,"yyyy-mm")</f>
        <v>2024-05</v>
      </c>
    </row>
    <row r="1047" customFormat="false" ht="15" hidden="false" customHeight="true" outlineLevel="0" collapsed="false">
      <c r="A1047" s="1" t="n">
        <v>1072</v>
      </c>
      <c r="B1047" s="1" t="n">
        <v>58</v>
      </c>
      <c r="C1047" s="1" t="n">
        <v>51</v>
      </c>
      <c r="D1047" s="1" t="s">
        <v>257</v>
      </c>
      <c r="E1047" s="1" t="n">
        <v>2</v>
      </c>
      <c r="F1047" s="1" t="n">
        <v>30.16</v>
      </c>
      <c r="G1047" s="1" t="n">
        <v>0.05</v>
      </c>
      <c r="H1047" s="1" t="s">
        <v>1336</v>
      </c>
      <c r="I1047" s="1" t="n">
        <v>57.3</v>
      </c>
      <c r="J1047" s="1" t="str">
        <f aca="false">VLOOKUP(B1047,Customers!$A$2:$G$502,6,FALSE())</f>
        <v>Consumer</v>
      </c>
      <c r="K1047" s="1" t="str">
        <f aca="false">VLOOKUP(C1047,Products!$A$2:$E$62,3,FALSE())</f>
        <v>Software</v>
      </c>
      <c r="L1047" s="1" t="str">
        <f aca="false">TEXT(D1047,"yyyy-mm")</f>
        <v>2023-07</v>
      </c>
    </row>
    <row r="1048" customFormat="false" ht="15" hidden="false" customHeight="true" outlineLevel="0" collapsed="false">
      <c r="A1048" s="1" t="n">
        <v>1073</v>
      </c>
      <c r="B1048" s="1" t="n">
        <v>173</v>
      </c>
      <c r="C1048" s="1" t="n">
        <v>60</v>
      </c>
      <c r="D1048" s="1" t="s">
        <v>881</v>
      </c>
      <c r="E1048" s="1" t="n">
        <v>1</v>
      </c>
      <c r="F1048" s="1" t="n">
        <v>584.98</v>
      </c>
      <c r="G1048" s="1" t="n">
        <v>0.1</v>
      </c>
      <c r="H1048" s="1" t="s">
        <v>1336</v>
      </c>
      <c r="I1048" s="1" t="n">
        <v>526.48</v>
      </c>
      <c r="J1048" s="1" t="str">
        <f aca="false">VLOOKUP(B1048,Customers!$A$2:$G$502,6,FALSE())</f>
        <v>Consumer</v>
      </c>
      <c r="K1048" s="1" t="str">
        <f aca="false">VLOOKUP(C1048,Products!$A$2:$E$62,3,FALSE())</f>
        <v>Furniture</v>
      </c>
      <c r="L1048" s="1" t="str">
        <f aca="false">TEXT(D1048,"yyyy-mm")</f>
        <v>2024-12</v>
      </c>
    </row>
    <row r="1049" customFormat="false" ht="15" hidden="false" customHeight="true" outlineLevel="0" collapsed="false">
      <c r="A1049" s="1" t="n">
        <v>1074</v>
      </c>
      <c r="B1049" s="1" t="n">
        <v>223</v>
      </c>
      <c r="C1049" s="1" t="n">
        <v>4</v>
      </c>
      <c r="D1049" s="1" t="s">
        <v>188</v>
      </c>
      <c r="E1049" s="1" t="n">
        <v>2</v>
      </c>
      <c r="F1049" s="1" t="n">
        <v>56.24</v>
      </c>
      <c r="G1049" s="1" t="n">
        <v>0</v>
      </c>
      <c r="H1049" s="1" t="s">
        <v>1336</v>
      </c>
      <c r="I1049" s="1" t="n">
        <v>112.48</v>
      </c>
      <c r="J1049" s="1" t="str">
        <f aca="false">VLOOKUP(B1049,Customers!$A$2:$G$502,6,FALSE())</f>
        <v>Consumer</v>
      </c>
      <c r="K1049" s="1" t="str">
        <f aca="false">VLOOKUP(C1049,Products!$A$2:$E$62,3,FALSE())</f>
        <v>Electronics</v>
      </c>
      <c r="L1049" s="1" t="str">
        <f aca="false">TEXT(D1049,"yyyy-mm")</f>
        <v>2024-04</v>
      </c>
    </row>
    <row r="1050" customFormat="false" ht="15" hidden="false" customHeight="true" outlineLevel="0" collapsed="false">
      <c r="A1050" s="1" t="n">
        <v>1075</v>
      </c>
      <c r="B1050" s="1" t="n">
        <v>307</v>
      </c>
      <c r="C1050" s="1" t="n">
        <v>44</v>
      </c>
      <c r="D1050" s="1" t="s">
        <v>1600</v>
      </c>
      <c r="E1050" s="1" t="n">
        <v>7</v>
      </c>
      <c r="F1050" s="1" t="n">
        <v>508.26</v>
      </c>
      <c r="G1050" s="1" t="n">
        <v>0</v>
      </c>
      <c r="H1050" s="1" t="s">
        <v>1336</v>
      </c>
      <c r="I1050" s="1" t="n">
        <v>3557.82</v>
      </c>
      <c r="J1050" s="1" t="str">
        <f aca="false">VLOOKUP(B1050,Customers!$A$2:$G$502,6,FALSE())</f>
        <v>Corporate</v>
      </c>
      <c r="K1050" s="1" t="str">
        <f aca="false">VLOOKUP(C1050,Products!$A$2:$E$62,3,FALSE())</f>
        <v>Software</v>
      </c>
      <c r="L1050" s="1" t="str">
        <f aca="false">TEXT(D1050,"yyyy-mm")</f>
        <v>2024-01</v>
      </c>
    </row>
    <row r="1051" customFormat="false" ht="15" hidden="false" customHeight="true" outlineLevel="0" collapsed="false">
      <c r="A1051" s="1" t="n">
        <v>1076</v>
      </c>
      <c r="B1051" s="1" t="n">
        <v>137</v>
      </c>
      <c r="C1051" s="1" t="n">
        <v>12</v>
      </c>
      <c r="D1051" s="1" t="s">
        <v>1601</v>
      </c>
      <c r="E1051" s="1" t="n">
        <v>3</v>
      </c>
      <c r="F1051" s="1" t="n">
        <v>179.23</v>
      </c>
      <c r="G1051" s="1" t="n">
        <v>0</v>
      </c>
      <c r="H1051" s="1" t="s">
        <v>1336</v>
      </c>
      <c r="I1051" s="1" t="n">
        <v>537.69</v>
      </c>
      <c r="J1051" s="1" t="str">
        <f aca="false">VLOOKUP(B1051,Customers!$A$2:$G$502,6,FALSE())</f>
        <v>Consumer</v>
      </c>
      <c r="K1051" s="1" t="str">
        <f aca="false">VLOOKUP(C1051,Products!$A$2:$E$62,3,FALSE())</f>
        <v>Electronics</v>
      </c>
      <c r="L1051" s="1" t="str">
        <f aca="false">TEXT(D1051,"yyyy-mm")</f>
        <v>2023-10</v>
      </c>
    </row>
    <row r="1052" customFormat="false" ht="15" hidden="false" customHeight="true" outlineLevel="0" collapsed="false">
      <c r="A1052" s="1" t="n">
        <v>1077</v>
      </c>
      <c r="B1052" s="1" t="n">
        <v>58</v>
      </c>
      <c r="C1052" s="1" t="n">
        <v>23</v>
      </c>
      <c r="D1052" s="1" t="s">
        <v>519</v>
      </c>
      <c r="E1052" s="1" t="n">
        <v>2</v>
      </c>
      <c r="F1052" s="1" t="n">
        <v>188.73</v>
      </c>
      <c r="G1052" s="1" t="n">
        <v>0.1</v>
      </c>
      <c r="H1052" s="1" t="s">
        <v>1336</v>
      </c>
      <c r="I1052" s="1" t="n">
        <v>339.71</v>
      </c>
      <c r="J1052" s="1" t="str">
        <f aca="false">VLOOKUP(B1052,Customers!$A$2:$G$502,6,FALSE())</f>
        <v>Consumer</v>
      </c>
      <c r="K1052" s="1" t="str">
        <f aca="false">VLOOKUP(C1052,Products!$A$2:$E$62,3,FALSE())</f>
        <v>Office Supplies</v>
      </c>
      <c r="L1052" s="1" t="str">
        <f aca="false">TEXT(D1052,"yyyy-mm")</f>
        <v>2023-02</v>
      </c>
    </row>
    <row r="1053" customFormat="false" ht="15" hidden="false" customHeight="true" outlineLevel="0" collapsed="false">
      <c r="A1053" s="1" t="n">
        <v>1078</v>
      </c>
      <c r="B1053" s="1" t="n">
        <v>373</v>
      </c>
      <c r="C1053" s="1" t="n">
        <v>10</v>
      </c>
      <c r="D1053" s="1" t="s">
        <v>1602</v>
      </c>
      <c r="E1053" s="1" t="n">
        <v>7</v>
      </c>
      <c r="F1053" s="1" t="n">
        <v>251.58</v>
      </c>
      <c r="G1053" s="1" t="n">
        <v>0.05</v>
      </c>
      <c r="H1053" s="1" t="s">
        <v>1336</v>
      </c>
      <c r="I1053" s="1" t="n">
        <v>1673.01</v>
      </c>
      <c r="J1053" s="1" t="str">
        <f aca="false">VLOOKUP(B1053,Customers!$A$2:$G$502,6,FALSE())</f>
        <v>Corporate</v>
      </c>
      <c r="K1053" s="1" t="str">
        <f aca="false">VLOOKUP(C1053,Products!$A$2:$E$62,3,FALSE())</f>
        <v>Electronics</v>
      </c>
      <c r="L1053" s="1" t="str">
        <f aca="false">TEXT(D1053,"yyyy-mm")</f>
        <v>2024-10</v>
      </c>
    </row>
    <row r="1054" customFormat="false" ht="15" hidden="false" customHeight="true" outlineLevel="0" collapsed="false">
      <c r="A1054" s="1" t="n">
        <v>1079</v>
      </c>
      <c r="B1054" s="1" t="n">
        <v>125</v>
      </c>
      <c r="C1054" s="1" t="n">
        <v>59</v>
      </c>
      <c r="D1054" s="1" t="s">
        <v>1343</v>
      </c>
      <c r="E1054" s="1" t="n">
        <v>2</v>
      </c>
      <c r="F1054" s="1" t="n">
        <v>438.89</v>
      </c>
      <c r="G1054" s="1" t="n">
        <v>0.1</v>
      </c>
      <c r="H1054" s="1" t="s">
        <v>1336</v>
      </c>
      <c r="I1054" s="1" t="n">
        <v>790</v>
      </c>
      <c r="J1054" s="1" t="str">
        <f aca="false">VLOOKUP(B1054,Customers!$A$2:$G$502,6,FALSE())</f>
        <v>Small Business</v>
      </c>
      <c r="K1054" s="1" t="str">
        <f aca="false">VLOOKUP(C1054,Products!$A$2:$E$62,3,FALSE())</f>
        <v>Furniture</v>
      </c>
      <c r="L1054" s="1" t="str">
        <f aca="false">TEXT(D1054,"yyyy-mm")</f>
        <v>2024-06</v>
      </c>
    </row>
    <row r="1055" customFormat="false" ht="15" hidden="false" customHeight="true" outlineLevel="0" collapsed="false">
      <c r="A1055" s="1" t="n">
        <v>1080</v>
      </c>
      <c r="B1055" s="1" t="n">
        <v>371</v>
      </c>
      <c r="C1055" s="1" t="n">
        <v>41</v>
      </c>
      <c r="D1055" s="1" t="s">
        <v>1505</v>
      </c>
      <c r="E1055" s="1" t="n">
        <v>3</v>
      </c>
      <c r="F1055" s="1" t="n">
        <v>594.54</v>
      </c>
      <c r="G1055" s="1" t="n">
        <v>0.05</v>
      </c>
      <c r="H1055" s="1" t="s">
        <v>1336</v>
      </c>
      <c r="I1055" s="1" t="n">
        <v>1694.44</v>
      </c>
      <c r="J1055" s="1" t="str">
        <f aca="false">VLOOKUP(B1055,Customers!$A$2:$G$502,6,FALSE())</f>
        <v>Unknown</v>
      </c>
      <c r="K1055" s="1" t="str">
        <f aca="false">VLOOKUP(C1055,Products!$A$2:$E$62,3,FALSE())</f>
        <v>Software</v>
      </c>
      <c r="L1055" s="1" t="str">
        <f aca="false">TEXT(D1055,"yyyy-mm")</f>
        <v>2023-04</v>
      </c>
    </row>
    <row r="1056" customFormat="false" ht="15" hidden="false" customHeight="true" outlineLevel="0" collapsed="false">
      <c r="A1056" s="1" t="n">
        <v>1081</v>
      </c>
      <c r="B1056" s="1" t="n">
        <v>155</v>
      </c>
      <c r="C1056" s="1" t="n">
        <v>28</v>
      </c>
      <c r="D1056" s="1" t="s">
        <v>106</v>
      </c>
      <c r="E1056" s="1" t="n">
        <v>7</v>
      </c>
      <c r="F1056" s="1" t="n">
        <v>505.23</v>
      </c>
      <c r="G1056" s="1" t="n">
        <v>0</v>
      </c>
      <c r="H1056" s="1" t="s">
        <v>1336</v>
      </c>
      <c r="I1056" s="1" t="n">
        <v>3536.61</v>
      </c>
      <c r="J1056" s="1" t="str">
        <f aca="false">VLOOKUP(B1056,Customers!$A$2:$G$502,6,FALSE())</f>
        <v>Consumer</v>
      </c>
      <c r="K1056" s="1" t="str">
        <f aca="false">VLOOKUP(C1056,Products!$A$2:$E$62,3,FALSE())</f>
        <v>Office Supplies</v>
      </c>
      <c r="L1056" s="1" t="str">
        <f aca="false">TEXT(D1056,"yyyy-mm")</f>
        <v>2024-02</v>
      </c>
    </row>
    <row r="1057" customFormat="false" ht="15" hidden="false" customHeight="true" outlineLevel="0" collapsed="false">
      <c r="A1057" s="1" t="n">
        <v>1082</v>
      </c>
      <c r="B1057" s="1" t="n">
        <v>41</v>
      </c>
      <c r="C1057" s="1" t="n">
        <v>54</v>
      </c>
      <c r="D1057" s="1" t="s">
        <v>1166</v>
      </c>
      <c r="E1057" s="1" t="n">
        <v>4</v>
      </c>
      <c r="F1057" s="1" t="n">
        <v>312.01</v>
      </c>
      <c r="G1057" s="1" t="n">
        <v>0</v>
      </c>
      <c r="H1057" s="1" t="s">
        <v>1336</v>
      </c>
      <c r="I1057" s="1" t="n">
        <v>1248.04</v>
      </c>
      <c r="J1057" s="1" t="str">
        <f aca="false">VLOOKUP(B1057,Customers!$A$2:$G$502,6,FALSE())</f>
        <v>Corporate</v>
      </c>
      <c r="K1057" s="1" t="str">
        <f aca="false">VLOOKUP(C1057,Products!$A$2:$E$62,3,FALSE())</f>
        <v>Software</v>
      </c>
      <c r="L1057" s="1" t="str">
        <f aca="false">TEXT(D1057,"yyyy-mm")</f>
        <v>2024-03</v>
      </c>
    </row>
    <row r="1058" customFormat="false" ht="15" hidden="false" customHeight="true" outlineLevel="0" collapsed="false">
      <c r="A1058" s="1" t="n">
        <v>1083</v>
      </c>
      <c r="B1058" s="1" t="n">
        <v>277</v>
      </c>
      <c r="C1058" s="1" t="n">
        <v>55</v>
      </c>
      <c r="D1058" s="1" t="s">
        <v>726</v>
      </c>
      <c r="E1058" s="1" t="n">
        <v>1</v>
      </c>
      <c r="F1058" s="1" t="n">
        <v>123.38</v>
      </c>
      <c r="G1058" s="1" t="n">
        <v>0.15</v>
      </c>
      <c r="H1058" s="1" t="s">
        <v>1336</v>
      </c>
      <c r="I1058" s="1" t="n">
        <v>104.87</v>
      </c>
      <c r="J1058" s="1" t="str">
        <f aca="false">VLOOKUP(B1058,Customers!$A$2:$G$502,6,FALSE())</f>
        <v>Corporate</v>
      </c>
      <c r="K1058" s="1" t="str">
        <f aca="false">VLOOKUP(C1058,Products!$A$2:$E$62,3,FALSE())</f>
        <v>Furniture</v>
      </c>
      <c r="L1058" s="1" t="str">
        <f aca="false">TEXT(D1058,"yyyy-mm")</f>
        <v>2023-09</v>
      </c>
    </row>
    <row r="1059" customFormat="false" ht="15" hidden="false" customHeight="true" outlineLevel="0" collapsed="false">
      <c r="A1059" s="1" t="n">
        <v>1084</v>
      </c>
      <c r="B1059" s="1" t="n">
        <v>224</v>
      </c>
      <c r="C1059" s="1" t="n">
        <v>18</v>
      </c>
      <c r="D1059" s="1" t="s">
        <v>1603</v>
      </c>
      <c r="E1059" s="1" t="n">
        <v>5</v>
      </c>
      <c r="F1059" s="1" t="n">
        <v>747.34</v>
      </c>
      <c r="G1059" s="1" t="n">
        <v>0.2</v>
      </c>
      <c r="H1059" s="1" t="s">
        <v>1336</v>
      </c>
      <c r="I1059" s="1" t="n">
        <v>2989.36</v>
      </c>
      <c r="J1059" s="1" t="str">
        <f aca="false">VLOOKUP(B1059,Customers!$A$2:$G$502,6,FALSE())</f>
        <v>Consumer</v>
      </c>
      <c r="K1059" s="1" t="str">
        <f aca="false">VLOOKUP(C1059,Products!$A$2:$E$62,3,FALSE())</f>
        <v>Electronics</v>
      </c>
      <c r="L1059" s="1" t="str">
        <f aca="false">TEXT(D1059,"yyyy-mm")</f>
        <v>2024-12</v>
      </c>
    </row>
    <row r="1060" customFormat="false" ht="15" hidden="false" customHeight="true" outlineLevel="0" collapsed="false">
      <c r="A1060" s="1" t="n">
        <v>1085</v>
      </c>
      <c r="B1060" s="1" t="n">
        <v>93</v>
      </c>
      <c r="C1060" s="1" t="n">
        <v>44</v>
      </c>
      <c r="D1060" s="1" t="s">
        <v>1604</v>
      </c>
      <c r="E1060" s="1" t="n">
        <v>9</v>
      </c>
      <c r="F1060" s="1" t="n">
        <v>508.26</v>
      </c>
      <c r="G1060" s="1" t="n">
        <v>0</v>
      </c>
      <c r="H1060" s="1" t="s">
        <v>1336</v>
      </c>
      <c r="I1060" s="1" t="n">
        <v>4574.34</v>
      </c>
      <c r="J1060" s="1" t="str">
        <f aca="false">VLOOKUP(B1060,Customers!$A$2:$G$502,6,FALSE())</f>
        <v>Consumer</v>
      </c>
      <c r="K1060" s="1" t="str">
        <f aca="false">VLOOKUP(C1060,Products!$A$2:$E$62,3,FALSE())</f>
        <v>Software</v>
      </c>
      <c r="L1060" s="1" t="str">
        <f aca="false">TEXT(D1060,"yyyy-mm")</f>
        <v>2023-10</v>
      </c>
    </row>
    <row r="1061" customFormat="false" ht="15" hidden="false" customHeight="true" outlineLevel="0" collapsed="false">
      <c r="A1061" s="1" t="n">
        <v>1086</v>
      </c>
      <c r="B1061" s="1" t="n">
        <v>141</v>
      </c>
      <c r="C1061" s="1" t="n">
        <v>18</v>
      </c>
      <c r="D1061" s="1" t="s">
        <v>297</v>
      </c>
      <c r="E1061" s="1" t="n">
        <v>8</v>
      </c>
      <c r="F1061" s="1" t="n">
        <v>747.34</v>
      </c>
      <c r="G1061" s="1" t="n">
        <v>0.1</v>
      </c>
      <c r="H1061" s="1" t="s">
        <v>1336</v>
      </c>
      <c r="I1061" s="1" t="n">
        <v>5380.85</v>
      </c>
      <c r="J1061" s="1" t="str">
        <f aca="false">VLOOKUP(B1061,Customers!$A$2:$G$502,6,FALSE())</f>
        <v>Small Business</v>
      </c>
      <c r="K1061" s="1" t="str">
        <f aca="false">VLOOKUP(C1061,Products!$A$2:$E$62,3,FALSE())</f>
        <v>Electronics</v>
      </c>
      <c r="L1061" s="1" t="str">
        <f aca="false">TEXT(D1061,"yyyy-mm")</f>
        <v>2024-04</v>
      </c>
    </row>
    <row r="1062" customFormat="false" ht="15" hidden="false" customHeight="true" outlineLevel="0" collapsed="false">
      <c r="A1062" s="1" t="n">
        <v>1087</v>
      </c>
      <c r="B1062" s="1" t="n">
        <v>364</v>
      </c>
      <c r="C1062" s="1" t="n">
        <v>21</v>
      </c>
      <c r="D1062" s="1" t="s">
        <v>1177</v>
      </c>
      <c r="E1062" s="1" t="n">
        <v>9</v>
      </c>
      <c r="F1062" s="1" t="n">
        <v>84.91</v>
      </c>
      <c r="G1062" s="1" t="n">
        <v>0</v>
      </c>
      <c r="H1062" s="1" t="s">
        <v>1336</v>
      </c>
      <c r="I1062" s="1" t="n">
        <v>764.19</v>
      </c>
      <c r="J1062" s="1" t="str">
        <f aca="false">VLOOKUP(B1062,Customers!$A$2:$G$502,6,FALSE())</f>
        <v>Small Business</v>
      </c>
      <c r="K1062" s="1" t="str">
        <f aca="false">VLOOKUP(C1062,Products!$A$2:$E$62,3,FALSE())</f>
        <v>Office Supplies</v>
      </c>
      <c r="L1062" s="1" t="str">
        <f aca="false">TEXT(D1062,"yyyy-mm")</f>
        <v>2023-08</v>
      </c>
    </row>
    <row r="1063" customFormat="false" ht="15" hidden="false" customHeight="true" outlineLevel="0" collapsed="false">
      <c r="A1063" s="1" t="n">
        <v>1088</v>
      </c>
      <c r="B1063" s="1" t="n">
        <v>216</v>
      </c>
      <c r="C1063" s="1" t="n">
        <v>41</v>
      </c>
      <c r="D1063" s="1" t="s">
        <v>1368</v>
      </c>
      <c r="E1063" s="1" t="n">
        <v>9</v>
      </c>
      <c r="F1063" s="1" t="n">
        <v>594.54</v>
      </c>
      <c r="G1063" s="1" t="n">
        <v>0</v>
      </c>
      <c r="H1063" s="1" t="s">
        <v>1336</v>
      </c>
      <c r="I1063" s="1" t="n">
        <v>5350.86</v>
      </c>
      <c r="J1063" s="1" t="str">
        <f aca="false">VLOOKUP(B1063,Customers!$A$2:$G$502,6,FALSE())</f>
        <v>Consumer</v>
      </c>
      <c r="K1063" s="1" t="str">
        <f aca="false">VLOOKUP(C1063,Products!$A$2:$E$62,3,FALSE())</f>
        <v>Software</v>
      </c>
      <c r="L1063" s="1" t="str">
        <f aca="false">TEXT(D1063,"yyyy-mm")</f>
        <v>2024-09</v>
      </c>
    </row>
    <row r="1064" customFormat="false" ht="15" hidden="false" customHeight="true" outlineLevel="0" collapsed="false">
      <c r="A1064" s="1" t="n">
        <v>1089</v>
      </c>
      <c r="B1064" s="1" t="n">
        <v>164</v>
      </c>
      <c r="C1064" s="1" t="n">
        <v>23</v>
      </c>
      <c r="D1064" s="1" t="s">
        <v>371</v>
      </c>
      <c r="E1064" s="1" t="n">
        <v>7</v>
      </c>
      <c r="F1064" s="1" t="n">
        <v>188.73</v>
      </c>
      <c r="G1064" s="1" t="n">
        <v>0</v>
      </c>
      <c r="H1064" s="1" t="s">
        <v>1336</v>
      </c>
      <c r="I1064" s="1" t="n">
        <v>1321.11</v>
      </c>
      <c r="J1064" s="1" t="str">
        <f aca="false">VLOOKUP(B1064,Customers!$A$2:$G$502,6,FALSE())</f>
        <v>Consumer</v>
      </c>
      <c r="K1064" s="1" t="str">
        <f aca="false">VLOOKUP(C1064,Products!$A$2:$E$62,3,FALSE())</f>
        <v>Office Supplies</v>
      </c>
      <c r="L1064" s="1" t="str">
        <f aca="false">TEXT(D1064,"yyyy-mm")</f>
        <v>2024-03</v>
      </c>
    </row>
    <row r="1065" customFormat="false" ht="15" hidden="false" customHeight="true" outlineLevel="0" collapsed="false">
      <c r="A1065" s="1" t="n">
        <v>1090</v>
      </c>
      <c r="B1065" s="1" t="n">
        <v>345</v>
      </c>
      <c r="C1065" s="1" t="n">
        <v>25</v>
      </c>
      <c r="D1065" s="1" t="s">
        <v>429</v>
      </c>
      <c r="E1065" s="1" t="n">
        <v>4</v>
      </c>
      <c r="F1065" s="1" t="n">
        <v>300.49</v>
      </c>
      <c r="G1065" s="1" t="n">
        <v>0.05</v>
      </c>
      <c r="H1065" s="1" t="s">
        <v>1336</v>
      </c>
      <c r="I1065" s="1" t="n">
        <v>1141.86</v>
      </c>
      <c r="J1065" s="1" t="str">
        <f aca="false">VLOOKUP(B1065,Customers!$A$2:$G$502,6,FALSE())</f>
        <v>Corporate</v>
      </c>
      <c r="K1065" s="1" t="str">
        <f aca="false">VLOOKUP(C1065,Products!$A$2:$E$62,3,FALSE())</f>
        <v>Office Supplies</v>
      </c>
      <c r="L1065" s="1" t="str">
        <f aca="false">TEXT(D1065,"yyyy-mm")</f>
        <v>2023-09</v>
      </c>
    </row>
    <row r="1066" customFormat="false" ht="15" hidden="false" customHeight="true" outlineLevel="0" collapsed="false">
      <c r="A1066" s="1" t="n">
        <v>1091</v>
      </c>
      <c r="B1066" s="1" t="n">
        <v>288</v>
      </c>
      <c r="C1066" s="1" t="n">
        <v>23</v>
      </c>
      <c r="D1066" s="1" t="s">
        <v>1453</v>
      </c>
      <c r="E1066" s="1" t="n">
        <v>5</v>
      </c>
      <c r="F1066" s="1" t="n">
        <v>188.73</v>
      </c>
      <c r="G1066" s="1" t="n">
        <v>0</v>
      </c>
      <c r="H1066" s="1" t="s">
        <v>1336</v>
      </c>
      <c r="I1066" s="1" t="n">
        <v>943.65</v>
      </c>
      <c r="J1066" s="1" t="str">
        <f aca="false">VLOOKUP(B1066,Customers!$A$2:$G$502,6,FALSE())</f>
        <v>Small Business</v>
      </c>
      <c r="K1066" s="1" t="str">
        <f aca="false">VLOOKUP(C1066,Products!$A$2:$E$62,3,FALSE())</f>
        <v>Office Supplies</v>
      </c>
      <c r="L1066" s="1" t="str">
        <f aca="false">TEXT(D1066,"yyyy-mm")</f>
        <v>2023-03</v>
      </c>
    </row>
    <row r="1067" customFormat="false" ht="15" hidden="false" customHeight="true" outlineLevel="0" collapsed="false">
      <c r="A1067" s="1" t="n">
        <v>1092</v>
      </c>
      <c r="B1067" s="1" t="n">
        <v>232</v>
      </c>
      <c r="C1067" s="1" t="n">
        <v>44</v>
      </c>
      <c r="D1067" s="1" t="s">
        <v>552</v>
      </c>
      <c r="E1067" s="1" t="n">
        <v>1</v>
      </c>
      <c r="F1067" s="1" t="n">
        <v>508.26</v>
      </c>
      <c r="G1067" s="1" t="n">
        <v>0</v>
      </c>
      <c r="H1067" s="1" t="s">
        <v>1336</v>
      </c>
      <c r="I1067" s="1" t="n">
        <v>508.26</v>
      </c>
      <c r="J1067" s="1" t="str">
        <f aca="false">VLOOKUP(B1067,Customers!$A$2:$G$502,6,FALSE())</f>
        <v>Corporate</v>
      </c>
      <c r="K1067" s="1" t="str">
        <f aca="false">VLOOKUP(C1067,Products!$A$2:$E$62,3,FALSE())</f>
        <v>Software</v>
      </c>
      <c r="L1067" s="1" t="str">
        <f aca="false">TEXT(D1067,"yyyy-mm")</f>
        <v>2024-04</v>
      </c>
    </row>
    <row r="1068" customFormat="false" ht="15" hidden="false" customHeight="true" outlineLevel="0" collapsed="false">
      <c r="A1068" s="1" t="n">
        <v>1093</v>
      </c>
      <c r="B1068" s="1" t="n">
        <v>213</v>
      </c>
      <c r="C1068" s="1" t="n">
        <v>49</v>
      </c>
      <c r="D1068" s="1" t="s">
        <v>1432</v>
      </c>
      <c r="E1068" s="1" t="n">
        <v>1</v>
      </c>
      <c r="F1068" s="1" t="n">
        <v>325.17</v>
      </c>
      <c r="G1068" s="1" t="n">
        <v>0.2</v>
      </c>
      <c r="H1068" s="1" t="s">
        <v>1370</v>
      </c>
      <c r="I1068" s="1" t="n">
        <v>260.14</v>
      </c>
      <c r="J1068" s="1" t="str">
        <f aca="false">VLOOKUP(B1068,Customers!$A$2:$G$502,6,FALSE())</f>
        <v>Small Business</v>
      </c>
      <c r="K1068" s="1" t="str">
        <f aca="false">VLOOKUP(C1068,Products!$A$2:$E$62,3,FALSE())</f>
        <v>Software</v>
      </c>
      <c r="L1068" s="1" t="str">
        <f aca="false">TEXT(D1068,"yyyy-mm")</f>
        <v>2023-01</v>
      </c>
    </row>
    <row r="1069" customFormat="false" ht="15" hidden="false" customHeight="true" outlineLevel="0" collapsed="false">
      <c r="A1069" s="1" t="n">
        <v>1094</v>
      </c>
      <c r="B1069" s="1" t="n">
        <v>472</v>
      </c>
      <c r="C1069" s="1" t="n">
        <v>35</v>
      </c>
      <c r="D1069" s="1" t="s">
        <v>124</v>
      </c>
      <c r="E1069" s="1" t="n">
        <v>3</v>
      </c>
      <c r="F1069" s="1" t="n">
        <v>75.78</v>
      </c>
      <c r="G1069" s="1" t="n">
        <v>0.05</v>
      </c>
      <c r="H1069" s="1" t="s">
        <v>1336</v>
      </c>
      <c r="I1069" s="1" t="n">
        <v>215.97</v>
      </c>
      <c r="J1069" s="1" t="str">
        <f aca="false">VLOOKUP(B1069,Customers!$A$2:$G$502,6,FALSE())</f>
        <v>Consumer</v>
      </c>
      <c r="K1069" s="1" t="str">
        <f aca="false">VLOOKUP(C1069,Products!$A$2:$E$62,3,FALSE())</f>
        <v>Software</v>
      </c>
      <c r="L1069" s="1" t="str">
        <f aca="false">TEXT(D1069,"yyyy-mm")</f>
        <v>2023-05</v>
      </c>
    </row>
    <row r="1070" customFormat="false" ht="15" hidden="false" customHeight="true" outlineLevel="0" collapsed="false">
      <c r="A1070" s="1" t="n">
        <v>1095</v>
      </c>
      <c r="B1070" s="1" t="n">
        <v>57</v>
      </c>
      <c r="C1070" s="1" t="n">
        <v>37</v>
      </c>
      <c r="D1070" s="1" t="s">
        <v>39</v>
      </c>
      <c r="E1070" s="1" t="n">
        <v>8</v>
      </c>
      <c r="F1070" s="1" t="n">
        <v>13.95</v>
      </c>
      <c r="G1070" s="1" t="n">
        <v>0</v>
      </c>
      <c r="H1070" s="1" t="s">
        <v>1336</v>
      </c>
      <c r="I1070" s="1" t="n">
        <v>111.6</v>
      </c>
      <c r="J1070" s="1" t="str">
        <f aca="false">VLOOKUP(B1070,Customers!$A$2:$G$502,6,FALSE())</f>
        <v>Consumer</v>
      </c>
      <c r="K1070" s="1" t="str">
        <f aca="false">VLOOKUP(C1070,Products!$A$2:$E$62,3,FALSE())</f>
        <v>Software</v>
      </c>
      <c r="L1070" s="1" t="str">
        <f aca="false">TEXT(D1070,"yyyy-mm")</f>
        <v>2023-10</v>
      </c>
    </row>
    <row r="1071" customFormat="false" ht="15" hidden="false" customHeight="true" outlineLevel="0" collapsed="false">
      <c r="A1071" s="1" t="n">
        <v>1096</v>
      </c>
      <c r="B1071" s="1" t="n">
        <v>282</v>
      </c>
      <c r="C1071" s="1" t="n">
        <v>27</v>
      </c>
      <c r="D1071" s="1" t="s">
        <v>810</v>
      </c>
      <c r="E1071" s="1" t="n">
        <v>2</v>
      </c>
      <c r="F1071" s="1" t="n">
        <v>772.58</v>
      </c>
      <c r="G1071" s="1" t="n">
        <v>0.2</v>
      </c>
      <c r="H1071" s="1" t="s">
        <v>1336</v>
      </c>
      <c r="I1071" s="1" t="n">
        <v>1236.13</v>
      </c>
      <c r="J1071" s="1" t="str">
        <f aca="false">VLOOKUP(B1071,Customers!$A$2:$G$502,6,FALSE())</f>
        <v>Corporate</v>
      </c>
      <c r="K1071" s="1" t="str">
        <f aca="false">VLOOKUP(C1071,Products!$A$2:$E$62,3,FALSE())</f>
        <v>Office Supplies</v>
      </c>
      <c r="L1071" s="1" t="str">
        <f aca="false">TEXT(D1071,"yyyy-mm")</f>
        <v>2023-12</v>
      </c>
    </row>
    <row r="1072" customFormat="false" ht="15" hidden="false" customHeight="true" outlineLevel="0" collapsed="false">
      <c r="A1072" s="1" t="n">
        <v>1097</v>
      </c>
      <c r="B1072" s="1" t="n">
        <v>323</v>
      </c>
      <c r="C1072" s="1" t="n">
        <v>7</v>
      </c>
      <c r="D1072" s="1" t="s">
        <v>1522</v>
      </c>
      <c r="E1072" s="1" t="n">
        <v>4</v>
      </c>
      <c r="F1072" s="1" t="n">
        <v>460</v>
      </c>
      <c r="G1072" s="1" t="n">
        <v>0.15</v>
      </c>
      <c r="H1072" s="1" t="s">
        <v>1370</v>
      </c>
      <c r="I1072" s="1" t="n">
        <v>1564</v>
      </c>
      <c r="J1072" s="1" t="str">
        <f aca="false">VLOOKUP(B1072,Customers!$A$2:$G$502,6,FALSE())</f>
        <v>Consumer</v>
      </c>
      <c r="K1072" s="1" t="str">
        <f aca="false">VLOOKUP(C1072,Products!$A$2:$E$62,3,FALSE())</f>
        <v>Electronics</v>
      </c>
      <c r="L1072" s="1" t="str">
        <f aca="false">TEXT(D1072,"yyyy-mm")</f>
        <v>2024-11</v>
      </c>
    </row>
    <row r="1073" customFormat="false" ht="15" hidden="false" customHeight="true" outlineLevel="0" collapsed="false">
      <c r="A1073" s="1" t="n">
        <v>1098</v>
      </c>
      <c r="B1073" s="1" t="n">
        <v>201</v>
      </c>
      <c r="C1073" s="1" t="n">
        <v>15</v>
      </c>
      <c r="D1073" s="1" t="s">
        <v>1605</v>
      </c>
      <c r="E1073" s="1" t="n">
        <v>2</v>
      </c>
      <c r="F1073" s="1" t="n">
        <v>304.95</v>
      </c>
      <c r="G1073" s="1" t="n">
        <v>0.05</v>
      </c>
      <c r="H1073" s="1" t="s">
        <v>1336</v>
      </c>
      <c r="I1073" s="1" t="n">
        <v>579.4</v>
      </c>
      <c r="J1073" s="1" t="str">
        <f aca="false">VLOOKUP(B1073,Customers!$A$2:$G$502,6,FALSE())</f>
        <v>Corporate</v>
      </c>
      <c r="K1073" s="1" t="str">
        <f aca="false">VLOOKUP(C1073,Products!$A$2:$E$62,3,FALSE())</f>
        <v>Electronics</v>
      </c>
      <c r="L1073" s="1" t="str">
        <f aca="false">TEXT(D1073,"yyyy-mm")</f>
        <v>2024-02</v>
      </c>
    </row>
    <row r="1074" customFormat="false" ht="15" hidden="false" customHeight="true" outlineLevel="0" collapsed="false">
      <c r="A1074" s="1" t="n">
        <v>1099</v>
      </c>
      <c r="B1074" s="1" t="n">
        <v>448</v>
      </c>
      <c r="C1074" s="1" t="n">
        <v>12</v>
      </c>
      <c r="D1074" s="1" t="s">
        <v>159</v>
      </c>
      <c r="E1074" s="1" t="n">
        <v>5</v>
      </c>
      <c r="F1074" s="1" t="n">
        <v>179.23</v>
      </c>
      <c r="G1074" s="1" t="n">
        <v>0</v>
      </c>
      <c r="H1074" s="1" t="s">
        <v>1336</v>
      </c>
      <c r="I1074" s="1" t="n">
        <v>896.15</v>
      </c>
      <c r="J1074" s="1" t="str">
        <f aca="false">VLOOKUP(B1074,Customers!$A$2:$G$502,6,FALSE())</f>
        <v>Corporate</v>
      </c>
      <c r="K1074" s="1" t="str">
        <f aca="false">VLOOKUP(C1074,Products!$A$2:$E$62,3,FALSE())</f>
        <v>Electronics</v>
      </c>
      <c r="L1074" s="1" t="str">
        <f aca="false">TEXT(D1074,"yyyy-mm")</f>
        <v>2024-02</v>
      </c>
    </row>
    <row r="1075" customFormat="false" ht="15" hidden="false" customHeight="true" outlineLevel="0" collapsed="false">
      <c r="A1075" s="1" t="n">
        <v>1100</v>
      </c>
      <c r="B1075" s="1" t="n">
        <v>350</v>
      </c>
      <c r="C1075" s="1" t="n">
        <v>59</v>
      </c>
      <c r="D1075" s="1" t="s">
        <v>1450</v>
      </c>
      <c r="E1075" s="1" t="n">
        <v>9</v>
      </c>
      <c r="F1075" s="1" t="n">
        <v>438.89</v>
      </c>
      <c r="G1075" s="1" t="n">
        <v>0.05</v>
      </c>
      <c r="H1075" s="1" t="s">
        <v>1336</v>
      </c>
      <c r="I1075" s="1" t="n">
        <v>3752.51</v>
      </c>
      <c r="J1075" s="1" t="str">
        <f aca="false">VLOOKUP(B1075,Customers!$A$2:$G$502,6,FALSE())</f>
        <v>Consumer</v>
      </c>
      <c r="K1075" s="1" t="str">
        <f aca="false">VLOOKUP(C1075,Products!$A$2:$E$62,3,FALSE())</f>
        <v>Furniture</v>
      </c>
      <c r="L1075" s="1" t="str">
        <f aca="false">TEXT(D1075,"yyyy-mm")</f>
        <v>2023-04</v>
      </c>
    </row>
    <row r="1076" customFormat="false" ht="15" hidden="false" customHeight="true" outlineLevel="0" collapsed="false">
      <c r="A1076" s="1" t="n">
        <v>1101</v>
      </c>
      <c r="B1076" s="1" t="n">
        <v>15</v>
      </c>
      <c r="C1076" s="1" t="n">
        <v>40</v>
      </c>
      <c r="D1076" s="1" t="s">
        <v>1437</v>
      </c>
      <c r="E1076" s="1" t="n">
        <v>1</v>
      </c>
      <c r="F1076" s="1" t="n">
        <v>193.02</v>
      </c>
      <c r="G1076" s="1" t="n">
        <v>0</v>
      </c>
      <c r="H1076" s="1" t="s">
        <v>1336</v>
      </c>
      <c r="I1076" s="1" t="n">
        <v>193.02</v>
      </c>
      <c r="J1076" s="1" t="str">
        <f aca="false">VLOOKUP(B1076,Customers!$A$2:$G$502,6,FALSE())</f>
        <v>Corporate</v>
      </c>
      <c r="K1076" s="1" t="str">
        <f aca="false">VLOOKUP(C1076,Products!$A$2:$E$62,3,FALSE())</f>
        <v>Software</v>
      </c>
      <c r="L1076" s="1" t="str">
        <f aca="false">TEXT(D1076,"yyyy-mm")</f>
        <v>2023-08</v>
      </c>
    </row>
    <row r="1077" customFormat="false" ht="15" hidden="false" customHeight="true" outlineLevel="0" collapsed="false">
      <c r="A1077" s="1" t="n">
        <v>1102</v>
      </c>
      <c r="B1077" s="1" t="n">
        <v>210</v>
      </c>
      <c r="C1077" s="1" t="n">
        <v>2</v>
      </c>
      <c r="D1077" s="1" t="s">
        <v>1606</v>
      </c>
      <c r="E1077" s="1" t="n">
        <v>5</v>
      </c>
      <c r="F1077" s="1" t="n">
        <v>498.15</v>
      </c>
      <c r="G1077" s="1" t="n">
        <v>0.1</v>
      </c>
      <c r="H1077" s="1" t="s">
        <v>1336</v>
      </c>
      <c r="I1077" s="1" t="n">
        <v>2241.68</v>
      </c>
      <c r="J1077" s="1" t="str">
        <f aca="false">VLOOKUP(B1077,Customers!$A$2:$G$502,6,FALSE())</f>
        <v>Corporate</v>
      </c>
      <c r="K1077" s="1" t="str">
        <f aca="false">VLOOKUP(C1077,Products!$A$2:$E$62,3,FALSE())</f>
        <v>Electronics</v>
      </c>
      <c r="L1077" s="1" t="str">
        <f aca="false">TEXT(D1077,"yyyy-mm")</f>
        <v>2023-11</v>
      </c>
    </row>
    <row r="1078" customFormat="false" ht="15" hidden="false" customHeight="true" outlineLevel="0" collapsed="false">
      <c r="A1078" s="1" t="n">
        <v>1103</v>
      </c>
      <c r="B1078" s="1" t="n">
        <v>190</v>
      </c>
      <c r="C1078" s="1" t="n">
        <v>2</v>
      </c>
      <c r="D1078" s="1" t="s">
        <v>1529</v>
      </c>
      <c r="E1078" s="1" t="n">
        <v>9</v>
      </c>
      <c r="F1078" s="1" t="n">
        <v>498.15</v>
      </c>
      <c r="G1078" s="1" t="n">
        <v>0.2</v>
      </c>
      <c r="H1078" s="1" t="s">
        <v>1336</v>
      </c>
      <c r="I1078" s="1" t="n">
        <v>3586.68</v>
      </c>
      <c r="J1078" s="1" t="str">
        <f aca="false">VLOOKUP(B1078,Customers!$A$2:$G$502,6,FALSE())</f>
        <v>Corporate</v>
      </c>
      <c r="K1078" s="1" t="str">
        <f aca="false">VLOOKUP(C1078,Products!$A$2:$E$62,3,FALSE())</f>
        <v>Electronics</v>
      </c>
      <c r="L1078" s="1" t="str">
        <f aca="false">TEXT(D1078,"yyyy-mm")</f>
        <v>2024-09</v>
      </c>
    </row>
    <row r="1079" customFormat="false" ht="15" hidden="false" customHeight="true" outlineLevel="0" collapsed="false">
      <c r="A1079" s="1" t="n">
        <v>1104</v>
      </c>
      <c r="B1079" s="1" t="n">
        <v>83</v>
      </c>
      <c r="C1079" s="1" t="n">
        <v>30</v>
      </c>
      <c r="D1079" s="1" t="s">
        <v>248</v>
      </c>
      <c r="E1079" s="1" t="n">
        <v>1</v>
      </c>
      <c r="F1079" s="1" t="n">
        <v>33.32</v>
      </c>
      <c r="G1079" s="1" t="n">
        <v>0.15</v>
      </c>
      <c r="H1079" s="1" t="s">
        <v>1336</v>
      </c>
      <c r="I1079" s="1" t="n">
        <v>28.32</v>
      </c>
      <c r="J1079" s="1" t="str">
        <f aca="false">VLOOKUP(B1079,Customers!$A$2:$G$502,6,FALSE())</f>
        <v>Corporate</v>
      </c>
      <c r="K1079" s="1" t="str">
        <f aca="false">VLOOKUP(C1079,Products!$A$2:$E$62,3,FALSE())</f>
        <v>Office Supplies</v>
      </c>
      <c r="L1079" s="1" t="str">
        <f aca="false">TEXT(D1079,"yyyy-mm")</f>
        <v>2024-01</v>
      </c>
    </row>
    <row r="1080" customFormat="false" ht="15" hidden="false" customHeight="true" outlineLevel="0" collapsed="false">
      <c r="A1080" s="1" t="n">
        <v>1105</v>
      </c>
      <c r="B1080" s="1" t="n">
        <v>166</v>
      </c>
      <c r="C1080" s="1" t="n">
        <v>9</v>
      </c>
      <c r="D1080" s="1" t="s">
        <v>1601</v>
      </c>
      <c r="E1080" s="1" t="n">
        <v>9</v>
      </c>
      <c r="F1080" s="1" t="n">
        <v>203.1</v>
      </c>
      <c r="G1080" s="1" t="n">
        <v>0</v>
      </c>
      <c r="H1080" s="1" t="s">
        <v>1346</v>
      </c>
      <c r="I1080" s="1" t="n">
        <v>1827.9</v>
      </c>
      <c r="J1080" s="1" t="str">
        <f aca="false">VLOOKUP(B1080,Customers!$A$2:$G$502,6,FALSE())</f>
        <v>Small Business</v>
      </c>
      <c r="K1080" s="1" t="str">
        <f aca="false">VLOOKUP(C1080,Products!$A$2:$E$62,3,FALSE())</f>
        <v>Electronics</v>
      </c>
      <c r="L1080" s="1" t="str">
        <f aca="false">TEXT(D1080,"yyyy-mm")</f>
        <v>2023-10</v>
      </c>
    </row>
    <row r="1081" customFormat="false" ht="15" hidden="false" customHeight="true" outlineLevel="0" collapsed="false">
      <c r="A1081" s="1" t="n">
        <v>1106</v>
      </c>
      <c r="B1081" s="1" t="n">
        <v>309</v>
      </c>
      <c r="C1081" s="1" t="n">
        <v>29</v>
      </c>
      <c r="D1081" s="1" t="s">
        <v>1409</v>
      </c>
      <c r="E1081" s="1" t="n">
        <v>8</v>
      </c>
      <c r="F1081" s="1" t="n">
        <v>54.62</v>
      </c>
      <c r="G1081" s="1" t="n">
        <v>0.2</v>
      </c>
      <c r="H1081" s="1" t="s">
        <v>1336</v>
      </c>
      <c r="I1081" s="1" t="n">
        <v>349.57</v>
      </c>
      <c r="J1081" s="1" t="str">
        <f aca="false">VLOOKUP(B1081,Customers!$A$2:$G$502,6,FALSE())</f>
        <v>Unknown</v>
      </c>
      <c r="K1081" s="1" t="str">
        <f aca="false">VLOOKUP(C1081,Products!$A$2:$E$62,3,FALSE())</f>
        <v>Office Supplies</v>
      </c>
      <c r="L1081" s="1" t="str">
        <f aca="false">TEXT(D1081,"yyyy-mm")</f>
        <v>2023-09</v>
      </c>
    </row>
    <row r="1082" customFormat="false" ht="15" hidden="false" customHeight="true" outlineLevel="0" collapsed="false">
      <c r="A1082" s="1" t="n">
        <v>1107</v>
      </c>
      <c r="B1082" s="1" t="n">
        <v>429</v>
      </c>
      <c r="C1082" s="1" t="n">
        <v>22</v>
      </c>
      <c r="D1082" s="1" t="s">
        <v>1607</v>
      </c>
      <c r="E1082" s="1" t="n">
        <v>4</v>
      </c>
      <c r="F1082" s="1" t="n">
        <v>38.57</v>
      </c>
      <c r="G1082" s="1" t="n">
        <v>0</v>
      </c>
      <c r="H1082" s="1" t="s">
        <v>1336</v>
      </c>
      <c r="I1082" s="1" t="n">
        <v>154.28</v>
      </c>
      <c r="J1082" s="1" t="str">
        <f aca="false">VLOOKUP(B1082,Customers!$A$2:$G$502,6,FALSE())</f>
        <v>Corporate</v>
      </c>
      <c r="K1082" s="1" t="str">
        <f aca="false">VLOOKUP(C1082,Products!$A$2:$E$62,3,FALSE())</f>
        <v>Office Supplies</v>
      </c>
      <c r="L1082" s="1" t="str">
        <f aca="false">TEXT(D1082,"yyyy-mm")</f>
        <v>2023-06</v>
      </c>
    </row>
    <row r="1083" customFormat="false" ht="15" hidden="false" customHeight="true" outlineLevel="0" collapsed="false">
      <c r="A1083" s="1" t="n">
        <v>1108</v>
      </c>
      <c r="B1083" s="1" t="n">
        <v>347</v>
      </c>
      <c r="C1083" s="1" t="n">
        <v>27</v>
      </c>
      <c r="D1083" s="1" t="s">
        <v>907</v>
      </c>
      <c r="E1083" s="1" t="n">
        <v>5</v>
      </c>
      <c r="F1083" s="1" t="n">
        <v>772.58</v>
      </c>
      <c r="G1083" s="1" t="n">
        <v>0.05</v>
      </c>
      <c r="H1083" s="1" t="s">
        <v>1336</v>
      </c>
      <c r="I1083" s="1" t="n">
        <v>3669.76</v>
      </c>
      <c r="J1083" s="1" t="str">
        <f aca="false">VLOOKUP(B1083,Customers!$A$2:$G$502,6,FALSE())</f>
        <v>Small Business</v>
      </c>
      <c r="K1083" s="1" t="str">
        <f aca="false">VLOOKUP(C1083,Products!$A$2:$E$62,3,FALSE())</f>
        <v>Office Supplies</v>
      </c>
      <c r="L1083" s="1" t="str">
        <f aca="false">TEXT(D1083,"yyyy-mm")</f>
        <v>2024-06</v>
      </c>
    </row>
    <row r="1084" customFormat="false" ht="15" hidden="false" customHeight="true" outlineLevel="0" collapsed="false">
      <c r="A1084" s="1" t="n">
        <v>1109</v>
      </c>
      <c r="B1084" s="1" t="n">
        <v>367</v>
      </c>
      <c r="C1084" s="1" t="n">
        <v>35</v>
      </c>
      <c r="D1084" s="1" t="s">
        <v>1519</v>
      </c>
      <c r="E1084" s="1" t="n">
        <v>5</v>
      </c>
      <c r="F1084" s="1" t="n">
        <v>75.78</v>
      </c>
      <c r="G1084" s="1" t="n">
        <v>0.15</v>
      </c>
      <c r="H1084" s="1" t="s">
        <v>1336</v>
      </c>
      <c r="I1084" s="1" t="n">
        <v>322.06</v>
      </c>
      <c r="J1084" s="1" t="str">
        <f aca="false">VLOOKUP(B1084,Customers!$A$2:$G$502,6,FALSE())</f>
        <v>Corporate</v>
      </c>
      <c r="K1084" s="1" t="str">
        <f aca="false">VLOOKUP(C1084,Products!$A$2:$E$62,3,FALSE())</f>
        <v>Software</v>
      </c>
      <c r="L1084" s="1" t="str">
        <f aca="false">TEXT(D1084,"yyyy-mm")</f>
        <v>2023-05</v>
      </c>
    </row>
    <row r="1085" customFormat="false" ht="15" hidden="false" customHeight="true" outlineLevel="0" collapsed="false">
      <c r="A1085" s="1" t="n">
        <v>1110</v>
      </c>
      <c r="B1085" s="1" t="n">
        <v>247</v>
      </c>
      <c r="C1085" s="1" t="n">
        <v>53</v>
      </c>
      <c r="D1085" s="1" t="s">
        <v>1356</v>
      </c>
      <c r="E1085" s="1" t="n">
        <v>6</v>
      </c>
      <c r="F1085" s="1" t="n">
        <v>509.98</v>
      </c>
      <c r="G1085" s="1" t="n">
        <v>0</v>
      </c>
      <c r="H1085" s="1" t="s">
        <v>1336</v>
      </c>
      <c r="I1085" s="1" t="n">
        <v>3059.88</v>
      </c>
      <c r="J1085" s="1" t="str">
        <f aca="false">VLOOKUP(B1085,Customers!$A$2:$G$502,6,FALSE())</f>
        <v>Small Business</v>
      </c>
      <c r="K1085" s="1" t="str">
        <f aca="false">VLOOKUP(C1085,Products!$A$2:$E$62,3,FALSE())</f>
        <v>Software</v>
      </c>
      <c r="L1085" s="1" t="str">
        <f aca="false">TEXT(D1085,"yyyy-mm")</f>
        <v>2023-03</v>
      </c>
    </row>
    <row r="1086" customFormat="false" ht="15" hidden="false" customHeight="true" outlineLevel="0" collapsed="false">
      <c r="A1086" s="1" t="n">
        <v>1111</v>
      </c>
      <c r="B1086" s="1" t="n">
        <v>205</v>
      </c>
      <c r="C1086" s="1" t="n">
        <v>46</v>
      </c>
      <c r="D1086" s="1" t="s">
        <v>1133</v>
      </c>
      <c r="E1086" s="1" t="n">
        <v>7</v>
      </c>
      <c r="F1086" s="1" t="n">
        <v>94.92</v>
      </c>
      <c r="G1086" s="1" t="n">
        <v>0.15</v>
      </c>
      <c r="H1086" s="1" t="s">
        <v>1336</v>
      </c>
      <c r="I1086" s="1" t="n">
        <v>564.77</v>
      </c>
      <c r="J1086" s="1" t="str">
        <f aca="false">VLOOKUP(B1086,Customers!$A$2:$G$502,6,FALSE())</f>
        <v>Corporate</v>
      </c>
      <c r="K1086" s="1" t="str">
        <f aca="false">VLOOKUP(C1086,Products!$A$2:$E$62,3,FALSE())</f>
        <v>Software</v>
      </c>
      <c r="L1086" s="1" t="str">
        <f aca="false">TEXT(D1086,"yyyy-mm")</f>
        <v>2024-06</v>
      </c>
    </row>
    <row r="1087" customFormat="false" ht="15" hidden="false" customHeight="true" outlineLevel="0" collapsed="false">
      <c r="A1087" s="1" t="n">
        <v>1112</v>
      </c>
      <c r="B1087" s="1" t="n">
        <v>135</v>
      </c>
      <c r="C1087" s="1" t="n">
        <v>49</v>
      </c>
      <c r="D1087" s="1" t="s">
        <v>446</v>
      </c>
      <c r="E1087" s="1" t="n">
        <v>8</v>
      </c>
      <c r="F1087" s="1" t="n">
        <v>325.17</v>
      </c>
      <c r="G1087" s="1" t="n">
        <v>0.2</v>
      </c>
      <c r="H1087" s="1" t="s">
        <v>1336</v>
      </c>
      <c r="I1087" s="1" t="n">
        <v>2081.09</v>
      </c>
      <c r="J1087" s="1" t="str">
        <f aca="false">VLOOKUP(B1087,Customers!$A$2:$G$502,6,FALSE())</f>
        <v>Corporate</v>
      </c>
      <c r="K1087" s="1" t="str">
        <f aca="false">VLOOKUP(C1087,Products!$A$2:$E$62,3,FALSE())</f>
        <v>Software</v>
      </c>
      <c r="L1087" s="1" t="str">
        <f aca="false">TEXT(D1087,"yyyy-mm")</f>
        <v>2024-08</v>
      </c>
    </row>
    <row r="1088" customFormat="false" ht="15" hidden="false" customHeight="true" outlineLevel="0" collapsed="false">
      <c r="A1088" s="1" t="n">
        <v>1113</v>
      </c>
      <c r="B1088" s="1" t="n">
        <v>73</v>
      </c>
      <c r="C1088" s="1" t="n">
        <v>59</v>
      </c>
      <c r="D1088" s="1" t="s">
        <v>94</v>
      </c>
      <c r="E1088" s="1" t="n">
        <v>8</v>
      </c>
      <c r="F1088" s="1" t="n">
        <v>438.89</v>
      </c>
      <c r="G1088" s="1" t="n">
        <v>0.2</v>
      </c>
      <c r="H1088" s="1" t="s">
        <v>1336</v>
      </c>
      <c r="I1088" s="1" t="n">
        <v>2808.9</v>
      </c>
      <c r="J1088" s="1" t="str">
        <f aca="false">VLOOKUP(B1088,Customers!$A$2:$G$502,6,FALSE())</f>
        <v>Small Business</v>
      </c>
      <c r="K1088" s="1" t="str">
        <f aca="false">VLOOKUP(C1088,Products!$A$2:$E$62,3,FALSE())</f>
        <v>Furniture</v>
      </c>
      <c r="L1088" s="1" t="str">
        <f aca="false">TEXT(D1088,"yyyy-mm")</f>
        <v>2023-09</v>
      </c>
    </row>
    <row r="1089" customFormat="false" ht="15" hidden="false" customHeight="true" outlineLevel="0" collapsed="false">
      <c r="A1089" s="1" t="n">
        <v>1114</v>
      </c>
      <c r="B1089" s="1" t="n">
        <v>235</v>
      </c>
      <c r="C1089" s="1" t="n">
        <v>58</v>
      </c>
      <c r="D1089" s="1" t="s">
        <v>303</v>
      </c>
      <c r="E1089" s="1" t="n">
        <v>2</v>
      </c>
      <c r="F1089" s="1" t="n">
        <v>515.55</v>
      </c>
      <c r="G1089" s="1" t="n">
        <v>0.05</v>
      </c>
      <c r="H1089" s="1" t="s">
        <v>1336</v>
      </c>
      <c r="I1089" s="1" t="n">
        <v>979.54</v>
      </c>
      <c r="J1089" s="1" t="str">
        <f aca="false">VLOOKUP(B1089,Customers!$A$2:$G$502,6,FALSE())</f>
        <v>Small Business</v>
      </c>
      <c r="K1089" s="1" t="str">
        <f aca="false">VLOOKUP(C1089,Products!$A$2:$E$62,3,FALSE())</f>
        <v>Furniture</v>
      </c>
      <c r="L1089" s="1" t="str">
        <f aca="false">TEXT(D1089,"yyyy-mm")</f>
        <v>2024-12</v>
      </c>
    </row>
    <row r="1090" customFormat="false" ht="15" hidden="false" customHeight="true" outlineLevel="0" collapsed="false">
      <c r="A1090" s="1" t="n">
        <v>1115</v>
      </c>
      <c r="B1090" s="1" t="n">
        <v>170</v>
      </c>
      <c r="C1090" s="1" t="n">
        <v>51</v>
      </c>
      <c r="D1090" s="1" t="s">
        <v>1339</v>
      </c>
      <c r="E1090" s="1" t="n">
        <v>9</v>
      </c>
      <c r="F1090" s="1" t="n">
        <v>30.16</v>
      </c>
      <c r="G1090" s="1" t="n">
        <v>0.15</v>
      </c>
      <c r="H1090" s="1" t="s">
        <v>1336</v>
      </c>
      <c r="I1090" s="1" t="n">
        <v>230.72</v>
      </c>
      <c r="J1090" s="1" t="str">
        <f aca="false">VLOOKUP(B1090,Customers!$A$2:$G$502,6,FALSE())</f>
        <v>Small Business</v>
      </c>
      <c r="K1090" s="1" t="str">
        <f aca="false">VLOOKUP(C1090,Products!$A$2:$E$62,3,FALSE())</f>
        <v>Software</v>
      </c>
      <c r="L1090" s="1" t="str">
        <f aca="false">TEXT(D1090,"yyyy-mm")</f>
        <v>2024-04</v>
      </c>
    </row>
    <row r="1091" customFormat="false" ht="15" hidden="false" customHeight="true" outlineLevel="0" collapsed="false">
      <c r="A1091" s="1" t="n">
        <v>1116</v>
      </c>
      <c r="B1091" s="1" t="n">
        <v>268</v>
      </c>
      <c r="C1091" s="1" t="n">
        <v>19</v>
      </c>
      <c r="D1091" s="1" t="s">
        <v>413</v>
      </c>
      <c r="E1091" s="1" t="n">
        <v>7</v>
      </c>
      <c r="F1091" s="1" t="n">
        <v>163.64</v>
      </c>
      <c r="G1091" s="1" t="n">
        <v>0</v>
      </c>
      <c r="H1091" s="1" t="s">
        <v>1346</v>
      </c>
      <c r="I1091" s="1" t="n">
        <v>1145.48</v>
      </c>
      <c r="J1091" s="1" t="str">
        <f aca="false">VLOOKUP(B1091,Customers!$A$2:$G$502,6,FALSE())</f>
        <v>Small Business</v>
      </c>
      <c r="K1091" s="1" t="str">
        <f aca="false">VLOOKUP(C1091,Products!$A$2:$E$62,3,FALSE())</f>
        <v>Office Supplies</v>
      </c>
      <c r="L1091" s="1" t="str">
        <f aca="false">TEXT(D1091,"yyyy-mm")</f>
        <v>2023-01</v>
      </c>
    </row>
    <row r="1092" customFormat="false" ht="15" hidden="false" customHeight="true" outlineLevel="0" collapsed="false">
      <c r="A1092" s="1" t="n">
        <v>1117</v>
      </c>
      <c r="B1092" s="1" t="n">
        <v>367</v>
      </c>
      <c r="C1092" s="1" t="n">
        <v>11</v>
      </c>
      <c r="D1092" s="1" t="s">
        <v>1583</v>
      </c>
      <c r="E1092" s="1" t="n">
        <v>4</v>
      </c>
      <c r="F1092" s="1" t="n">
        <v>328.39</v>
      </c>
      <c r="G1092" s="1" t="n">
        <v>0.15</v>
      </c>
      <c r="H1092" s="1" t="s">
        <v>1336</v>
      </c>
      <c r="I1092" s="1" t="n">
        <v>1116.53</v>
      </c>
      <c r="J1092" s="1" t="str">
        <f aca="false">VLOOKUP(B1092,Customers!$A$2:$G$502,6,FALSE())</f>
        <v>Corporate</v>
      </c>
      <c r="K1092" s="1" t="str">
        <f aca="false">VLOOKUP(C1092,Products!$A$2:$E$62,3,FALSE())</f>
        <v>Electronics</v>
      </c>
      <c r="L1092" s="1" t="str">
        <f aca="false">TEXT(D1092,"yyyy-mm")</f>
        <v>2024-08</v>
      </c>
    </row>
    <row r="1093" customFormat="false" ht="15" hidden="false" customHeight="true" outlineLevel="0" collapsed="false">
      <c r="A1093" s="1" t="n">
        <v>1118</v>
      </c>
      <c r="B1093" s="1" t="n">
        <v>413</v>
      </c>
      <c r="C1093" s="1" t="n">
        <v>45</v>
      </c>
      <c r="D1093" s="1" t="s">
        <v>591</v>
      </c>
      <c r="E1093" s="1" t="n">
        <v>4</v>
      </c>
      <c r="F1093" s="1" t="n">
        <v>560.01</v>
      </c>
      <c r="G1093" s="1" t="n">
        <v>0</v>
      </c>
      <c r="H1093" s="1" t="s">
        <v>1336</v>
      </c>
      <c r="I1093" s="1" t="n">
        <v>2240.04</v>
      </c>
      <c r="J1093" s="1" t="str">
        <f aca="false">VLOOKUP(B1093,Customers!$A$2:$G$502,6,FALSE())</f>
        <v>Small Business</v>
      </c>
      <c r="K1093" s="1" t="str">
        <f aca="false">VLOOKUP(C1093,Products!$A$2:$E$62,3,FALSE())</f>
        <v>Software</v>
      </c>
      <c r="L1093" s="1" t="str">
        <f aca="false">TEXT(D1093,"yyyy-mm")</f>
        <v>2023-05</v>
      </c>
    </row>
    <row r="1094" customFormat="false" ht="15" hidden="false" customHeight="true" outlineLevel="0" collapsed="false">
      <c r="A1094" s="1" t="n">
        <v>1119</v>
      </c>
      <c r="B1094" s="1" t="n">
        <v>436</v>
      </c>
      <c r="C1094" s="1" t="n">
        <v>14</v>
      </c>
      <c r="D1094" s="1" t="s">
        <v>1429</v>
      </c>
      <c r="E1094" s="1" t="n">
        <v>8</v>
      </c>
      <c r="F1094" s="1" t="n">
        <v>135.27</v>
      </c>
      <c r="G1094" s="1" t="n">
        <v>0</v>
      </c>
      <c r="H1094" s="1" t="s">
        <v>1336</v>
      </c>
      <c r="I1094" s="1" t="n">
        <v>1082.16</v>
      </c>
      <c r="J1094" s="1" t="str">
        <f aca="false">VLOOKUP(B1094,Customers!$A$2:$G$502,6,FALSE())</f>
        <v>Corporate</v>
      </c>
      <c r="K1094" s="1" t="str">
        <f aca="false">VLOOKUP(C1094,Products!$A$2:$E$62,3,FALSE())</f>
        <v>Electronics</v>
      </c>
      <c r="L1094" s="1" t="str">
        <f aca="false">TEXT(D1094,"yyyy-mm")</f>
        <v>2024-08</v>
      </c>
    </row>
    <row r="1095" customFormat="false" ht="15" hidden="false" customHeight="true" outlineLevel="0" collapsed="false">
      <c r="A1095" s="1" t="n">
        <v>1120</v>
      </c>
      <c r="B1095" s="1" t="n">
        <v>446</v>
      </c>
      <c r="C1095" s="1" t="n">
        <v>34</v>
      </c>
      <c r="D1095" s="1" t="s">
        <v>1403</v>
      </c>
      <c r="E1095" s="1" t="n">
        <v>4</v>
      </c>
      <c r="F1095" s="1" t="n">
        <v>116.85</v>
      </c>
      <c r="G1095" s="1" t="n">
        <v>0.05</v>
      </c>
      <c r="H1095" s="1" t="s">
        <v>1336</v>
      </c>
      <c r="I1095" s="1" t="n">
        <v>444.03</v>
      </c>
      <c r="J1095" s="1" t="str">
        <f aca="false">VLOOKUP(B1095,Customers!$A$2:$G$502,6,FALSE())</f>
        <v>Small Business</v>
      </c>
      <c r="K1095" s="1" t="str">
        <f aca="false">VLOOKUP(C1095,Products!$A$2:$E$62,3,FALSE())</f>
        <v>Office Supplies</v>
      </c>
      <c r="L1095" s="1" t="str">
        <f aca="false">TEXT(D1095,"yyyy-mm")</f>
        <v>2024-02</v>
      </c>
    </row>
    <row r="1096" customFormat="false" ht="15" hidden="false" customHeight="true" outlineLevel="0" collapsed="false">
      <c r="A1096" s="1" t="n">
        <v>1121</v>
      </c>
      <c r="B1096" s="1" t="n">
        <v>437</v>
      </c>
      <c r="C1096" s="1" t="n">
        <v>33</v>
      </c>
      <c r="D1096" s="1" t="s">
        <v>1482</v>
      </c>
      <c r="E1096" s="1" t="n">
        <v>6</v>
      </c>
      <c r="F1096" s="1" t="n">
        <v>190.1</v>
      </c>
      <c r="G1096" s="1" t="n">
        <v>0.1</v>
      </c>
      <c r="H1096" s="1" t="s">
        <v>1336</v>
      </c>
      <c r="I1096" s="1" t="n">
        <v>1026.54</v>
      </c>
      <c r="J1096" s="1" t="str">
        <f aca="false">VLOOKUP(B1096,Customers!$A$2:$G$502,6,FALSE())</f>
        <v>Small Business</v>
      </c>
      <c r="K1096" s="1" t="str">
        <f aca="false">VLOOKUP(C1096,Products!$A$2:$E$62,3,FALSE())</f>
        <v>Office Supplies</v>
      </c>
      <c r="L1096" s="1" t="str">
        <f aca="false">TEXT(D1096,"yyyy-mm")</f>
        <v>2023-11</v>
      </c>
    </row>
    <row r="1097" customFormat="false" ht="15" hidden="false" customHeight="true" outlineLevel="0" collapsed="false">
      <c r="A1097" s="1" t="n">
        <v>1122</v>
      </c>
      <c r="B1097" s="1" t="n">
        <v>269</v>
      </c>
      <c r="C1097" s="1" t="n">
        <v>31</v>
      </c>
      <c r="D1097" s="1" t="s">
        <v>289</v>
      </c>
      <c r="E1097" s="1" t="n">
        <v>5</v>
      </c>
      <c r="F1097" s="1" t="n">
        <v>224.86</v>
      </c>
      <c r="G1097" s="1" t="n">
        <v>0.05</v>
      </c>
      <c r="H1097" s="1" t="s">
        <v>1346</v>
      </c>
      <c r="I1097" s="1" t="n">
        <v>1068.08</v>
      </c>
      <c r="J1097" s="1" t="str">
        <f aca="false">VLOOKUP(B1097,Customers!$A$2:$G$502,6,FALSE())</f>
        <v>Corporate</v>
      </c>
      <c r="K1097" s="1" t="str">
        <f aca="false">VLOOKUP(C1097,Products!$A$2:$E$62,3,FALSE())</f>
        <v>Office Supplies</v>
      </c>
      <c r="L1097" s="1" t="str">
        <f aca="false">TEXT(D1097,"yyyy-mm")</f>
        <v>2023-06</v>
      </c>
    </row>
    <row r="1098" customFormat="false" ht="15" hidden="false" customHeight="true" outlineLevel="0" collapsed="false">
      <c r="A1098" s="1" t="n">
        <v>1123</v>
      </c>
      <c r="B1098" s="1" t="n">
        <v>159</v>
      </c>
      <c r="C1098" s="1" t="n">
        <v>14</v>
      </c>
      <c r="D1098" s="1" t="s">
        <v>1437</v>
      </c>
      <c r="E1098" s="1" t="n">
        <v>3</v>
      </c>
      <c r="F1098" s="1" t="n">
        <v>135.27</v>
      </c>
      <c r="G1098" s="1" t="n">
        <v>0</v>
      </c>
      <c r="H1098" s="1" t="s">
        <v>1336</v>
      </c>
      <c r="I1098" s="1" t="n">
        <v>405.81</v>
      </c>
      <c r="J1098" s="1" t="str">
        <f aca="false">VLOOKUP(B1098,Customers!$A$2:$G$502,6,FALSE())</f>
        <v>Corporate</v>
      </c>
      <c r="K1098" s="1" t="str">
        <f aca="false">VLOOKUP(C1098,Products!$A$2:$E$62,3,FALSE())</f>
        <v>Electronics</v>
      </c>
      <c r="L1098" s="1" t="str">
        <f aca="false">TEXT(D1098,"yyyy-mm")</f>
        <v>2023-08</v>
      </c>
    </row>
    <row r="1099" customFormat="false" ht="15" hidden="false" customHeight="true" outlineLevel="0" collapsed="false">
      <c r="A1099" s="1" t="n">
        <v>1124</v>
      </c>
      <c r="B1099" s="1" t="n">
        <v>183</v>
      </c>
      <c r="C1099" s="1" t="n">
        <v>32</v>
      </c>
      <c r="D1099" s="1" t="s">
        <v>1608</v>
      </c>
      <c r="E1099" s="1" t="n">
        <v>2</v>
      </c>
      <c r="F1099" s="1" t="n">
        <v>492.27</v>
      </c>
      <c r="G1099" s="1" t="n">
        <v>0.1</v>
      </c>
      <c r="H1099" s="1" t="s">
        <v>1346</v>
      </c>
      <c r="I1099" s="1" t="n">
        <v>886.09</v>
      </c>
      <c r="J1099" s="1" t="str">
        <f aca="false">VLOOKUP(B1099,Customers!$A$2:$G$502,6,FALSE())</f>
        <v>Corporate</v>
      </c>
      <c r="K1099" s="1" t="str">
        <f aca="false">VLOOKUP(C1099,Products!$A$2:$E$62,3,FALSE())</f>
        <v>Office Supplies</v>
      </c>
      <c r="L1099" s="1" t="str">
        <f aca="false">TEXT(D1099,"yyyy-mm")</f>
        <v>2024-04</v>
      </c>
    </row>
    <row r="1100" customFormat="false" ht="15" hidden="false" customHeight="true" outlineLevel="0" collapsed="false">
      <c r="A1100" s="1" t="n">
        <v>1125</v>
      </c>
      <c r="B1100" s="1" t="n">
        <v>401</v>
      </c>
      <c r="C1100" s="1" t="n">
        <v>51</v>
      </c>
      <c r="D1100" s="1" t="s">
        <v>1343</v>
      </c>
      <c r="E1100" s="1" t="n">
        <v>9</v>
      </c>
      <c r="F1100" s="1" t="n">
        <v>30.16</v>
      </c>
      <c r="G1100" s="1" t="n">
        <v>0</v>
      </c>
      <c r="H1100" s="1" t="s">
        <v>1336</v>
      </c>
      <c r="I1100" s="1" t="n">
        <v>271.44</v>
      </c>
      <c r="J1100" s="1" t="str">
        <f aca="false">VLOOKUP(B1100,Customers!$A$2:$G$502,6,FALSE())</f>
        <v>Consumer</v>
      </c>
      <c r="K1100" s="1" t="str">
        <f aca="false">VLOOKUP(C1100,Products!$A$2:$E$62,3,FALSE())</f>
        <v>Software</v>
      </c>
      <c r="L1100" s="1" t="str">
        <f aca="false">TEXT(D1100,"yyyy-mm")</f>
        <v>2024-06</v>
      </c>
    </row>
    <row r="1101" customFormat="false" ht="15" hidden="false" customHeight="true" outlineLevel="0" collapsed="false">
      <c r="A1101" s="1" t="n">
        <v>1126</v>
      </c>
      <c r="B1101" s="1" t="n">
        <v>488</v>
      </c>
      <c r="C1101" s="1" t="n">
        <v>22</v>
      </c>
      <c r="D1101" s="1" t="s">
        <v>1481</v>
      </c>
      <c r="E1101" s="1" t="n">
        <v>9</v>
      </c>
      <c r="F1101" s="1" t="n">
        <v>38.57</v>
      </c>
      <c r="G1101" s="1" t="n">
        <v>0</v>
      </c>
      <c r="H1101" s="1" t="s">
        <v>1336</v>
      </c>
      <c r="I1101" s="1" t="n">
        <v>347.13</v>
      </c>
      <c r="J1101" s="1" t="str">
        <f aca="false">VLOOKUP(B1101,Customers!$A$2:$G$502,6,FALSE())</f>
        <v>Consumer</v>
      </c>
      <c r="K1101" s="1" t="str">
        <f aca="false">VLOOKUP(C1101,Products!$A$2:$E$62,3,FALSE())</f>
        <v>Office Supplies</v>
      </c>
      <c r="L1101" s="1" t="str">
        <f aca="false">TEXT(D1101,"yyyy-mm")</f>
        <v>2024-06</v>
      </c>
    </row>
    <row r="1102" customFormat="false" ht="15" hidden="false" customHeight="true" outlineLevel="0" collapsed="false">
      <c r="A1102" s="1" t="n">
        <v>1127</v>
      </c>
      <c r="B1102" s="1" t="n">
        <v>41</v>
      </c>
      <c r="C1102" s="1" t="n">
        <v>52</v>
      </c>
      <c r="D1102" s="1" t="s">
        <v>1609</v>
      </c>
      <c r="E1102" s="1" t="n">
        <v>1</v>
      </c>
      <c r="F1102" s="1" t="n">
        <v>207.67</v>
      </c>
      <c r="G1102" s="1" t="n">
        <v>0.05</v>
      </c>
      <c r="H1102" s="1" t="s">
        <v>1336</v>
      </c>
      <c r="I1102" s="1" t="n">
        <v>197.29</v>
      </c>
      <c r="J1102" s="1" t="str">
        <f aca="false">VLOOKUP(B1102,Customers!$A$2:$G$502,6,FALSE())</f>
        <v>Corporate</v>
      </c>
      <c r="K1102" s="1" t="str">
        <f aca="false">VLOOKUP(C1102,Products!$A$2:$E$62,3,FALSE())</f>
        <v>Software</v>
      </c>
      <c r="L1102" s="1" t="str">
        <f aca="false">TEXT(D1102,"yyyy-mm")</f>
        <v>2023-02</v>
      </c>
    </row>
    <row r="1103" customFormat="false" ht="15" hidden="false" customHeight="true" outlineLevel="0" collapsed="false">
      <c r="A1103" s="1" t="n">
        <v>1128</v>
      </c>
      <c r="B1103" s="1" t="n">
        <v>354</v>
      </c>
      <c r="C1103" s="1" t="n">
        <v>60</v>
      </c>
      <c r="D1103" s="1" t="s">
        <v>1610</v>
      </c>
      <c r="E1103" s="1" t="n">
        <v>3</v>
      </c>
      <c r="F1103" s="1" t="n">
        <v>584.98</v>
      </c>
      <c r="G1103" s="1" t="n">
        <v>0.2</v>
      </c>
      <c r="H1103" s="1" t="s">
        <v>1336</v>
      </c>
      <c r="I1103" s="1" t="n">
        <v>1403.95</v>
      </c>
      <c r="J1103" s="1" t="str">
        <f aca="false">VLOOKUP(B1103,Customers!$A$2:$G$502,6,FALSE())</f>
        <v>Consumer</v>
      </c>
      <c r="K1103" s="1" t="str">
        <f aca="false">VLOOKUP(C1103,Products!$A$2:$E$62,3,FALSE())</f>
        <v>Furniture</v>
      </c>
      <c r="L1103" s="1" t="str">
        <f aca="false">TEXT(D1103,"yyyy-mm")</f>
        <v>2024-10</v>
      </c>
    </row>
    <row r="1104" customFormat="false" ht="15" hidden="false" customHeight="true" outlineLevel="0" collapsed="false">
      <c r="A1104" s="1" t="n">
        <v>1129</v>
      </c>
      <c r="B1104" s="1" t="n">
        <v>312</v>
      </c>
      <c r="C1104" s="1" t="n">
        <v>18</v>
      </c>
      <c r="D1104" s="1" t="s">
        <v>1611</v>
      </c>
      <c r="E1104" s="1" t="n">
        <v>8</v>
      </c>
      <c r="F1104" s="1" t="n">
        <v>747.34</v>
      </c>
      <c r="G1104" s="1" t="n">
        <v>0</v>
      </c>
      <c r="H1104" s="1" t="s">
        <v>1336</v>
      </c>
      <c r="I1104" s="1" t="n">
        <v>5978.72</v>
      </c>
      <c r="J1104" s="1" t="str">
        <f aca="false">VLOOKUP(B1104,Customers!$A$2:$G$502,6,FALSE())</f>
        <v>Small Business</v>
      </c>
      <c r="K1104" s="1" t="str">
        <f aca="false">VLOOKUP(C1104,Products!$A$2:$E$62,3,FALSE())</f>
        <v>Electronics</v>
      </c>
      <c r="L1104" s="1" t="str">
        <f aca="false">TEXT(D1104,"yyyy-mm")</f>
        <v>2024-07</v>
      </c>
    </row>
    <row r="1105" customFormat="false" ht="15" hidden="false" customHeight="true" outlineLevel="0" collapsed="false">
      <c r="A1105" s="1" t="n">
        <v>1130</v>
      </c>
      <c r="B1105" s="1" t="n">
        <v>463</v>
      </c>
      <c r="C1105" s="1" t="n">
        <v>9</v>
      </c>
      <c r="D1105" s="1" t="s">
        <v>989</v>
      </c>
      <c r="E1105" s="1" t="n">
        <v>6</v>
      </c>
      <c r="F1105" s="1" t="n">
        <v>203.1</v>
      </c>
      <c r="G1105" s="1" t="n">
        <v>0</v>
      </c>
      <c r="H1105" s="1" t="s">
        <v>1336</v>
      </c>
      <c r="I1105" s="1" t="n">
        <v>1218.6</v>
      </c>
      <c r="J1105" s="1" t="str">
        <f aca="false">VLOOKUP(B1105,Customers!$A$2:$G$502,6,FALSE())</f>
        <v>Consumer</v>
      </c>
      <c r="K1105" s="1" t="str">
        <f aca="false">VLOOKUP(C1105,Products!$A$2:$E$62,3,FALSE())</f>
        <v>Electronics</v>
      </c>
      <c r="L1105" s="1" t="str">
        <f aca="false">TEXT(D1105,"yyyy-mm")</f>
        <v>2024-06</v>
      </c>
    </row>
    <row r="1106" customFormat="false" ht="15" hidden="false" customHeight="true" outlineLevel="0" collapsed="false">
      <c r="A1106" s="1" t="n">
        <v>1131</v>
      </c>
      <c r="B1106" s="1" t="n">
        <v>238</v>
      </c>
      <c r="C1106" s="1" t="n">
        <v>7</v>
      </c>
      <c r="D1106" s="1" t="s">
        <v>662</v>
      </c>
      <c r="E1106" s="1" t="n">
        <v>5</v>
      </c>
      <c r="F1106" s="1" t="n">
        <v>460</v>
      </c>
      <c r="G1106" s="1" t="n">
        <v>0.2</v>
      </c>
      <c r="H1106" s="1" t="s">
        <v>1336</v>
      </c>
      <c r="I1106" s="1" t="n">
        <v>1840</v>
      </c>
      <c r="J1106" s="1" t="str">
        <f aca="false">VLOOKUP(B1106,Customers!$A$2:$G$502,6,FALSE())</f>
        <v>Corporate</v>
      </c>
      <c r="K1106" s="1" t="str">
        <f aca="false">VLOOKUP(C1106,Products!$A$2:$E$62,3,FALSE())</f>
        <v>Electronics</v>
      </c>
      <c r="L1106" s="1" t="str">
        <f aca="false">TEXT(D1106,"yyyy-mm")</f>
        <v>2024-07</v>
      </c>
    </row>
    <row r="1107" customFormat="false" ht="15" hidden="false" customHeight="true" outlineLevel="0" collapsed="false">
      <c r="A1107" s="1" t="n">
        <v>1132</v>
      </c>
      <c r="B1107" s="1" t="n">
        <v>227</v>
      </c>
      <c r="C1107" s="1" t="n">
        <v>6</v>
      </c>
      <c r="D1107" s="1" t="s">
        <v>1446</v>
      </c>
      <c r="E1107" s="1" t="n">
        <v>5</v>
      </c>
      <c r="F1107" s="1" t="n">
        <v>28.51</v>
      </c>
      <c r="G1107" s="1" t="n">
        <v>0</v>
      </c>
      <c r="H1107" s="1" t="s">
        <v>1336</v>
      </c>
      <c r="I1107" s="1" t="n">
        <v>142.55</v>
      </c>
      <c r="J1107" s="1" t="str">
        <f aca="false">VLOOKUP(B1107,Customers!$A$2:$G$502,6,FALSE())</f>
        <v>Consumer</v>
      </c>
      <c r="K1107" s="1" t="str">
        <f aca="false">VLOOKUP(C1107,Products!$A$2:$E$62,3,FALSE())</f>
        <v>Electronics</v>
      </c>
      <c r="L1107" s="1" t="str">
        <f aca="false">TEXT(D1107,"yyyy-mm")</f>
        <v>2024-05</v>
      </c>
    </row>
    <row r="1108" customFormat="false" ht="15" hidden="false" customHeight="true" outlineLevel="0" collapsed="false">
      <c r="A1108" s="1" t="n">
        <v>1133</v>
      </c>
      <c r="B1108" s="1" t="n">
        <v>5</v>
      </c>
      <c r="C1108" s="1" t="n">
        <v>38</v>
      </c>
      <c r="D1108" s="1" t="s">
        <v>399</v>
      </c>
      <c r="E1108" s="1" t="n">
        <v>6</v>
      </c>
      <c r="F1108" s="1" t="n">
        <v>521.63</v>
      </c>
      <c r="G1108" s="1" t="n">
        <v>0.2</v>
      </c>
      <c r="H1108" s="1" t="s">
        <v>1346</v>
      </c>
      <c r="I1108" s="1" t="n">
        <v>2503.82</v>
      </c>
      <c r="J1108" s="1" t="str">
        <f aca="false">VLOOKUP(B1108,Customers!$A$2:$G$502,6,FALSE())</f>
        <v>Small Business</v>
      </c>
      <c r="K1108" s="1" t="str">
        <f aca="false">VLOOKUP(C1108,Products!$A$2:$E$62,3,FALSE())</f>
        <v>Software</v>
      </c>
      <c r="L1108" s="1" t="str">
        <f aca="false">TEXT(D1108,"yyyy-mm")</f>
        <v>2024-03</v>
      </c>
    </row>
    <row r="1109" customFormat="false" ht="15" hidden="false" customHeight="true" outlineLevel="0" collapsed="false">
      <c r="A1109" s="1" t="n">
        <v>1134</v>
      </c>
      <c r="B1109" s="1" t="n">
        <v>302</v>
      </c>
      <c r="C1109" s="1" t="n">
        <v>52</v>
      </c>
      <c r="D1109" s="1" t="s">
        <v>363</v>
      </c>
      <c r="E1109" s="1" t="n">
        <v>7</v>
      </c>
      <c r="F1109" s="1" t="n">
        <v>207.67</v>
      </c>
      <c r="G1109" s="1" t="n">
        <v>0.1</v>
      </c>
      <c r="H1109" s="1" t="s">
        <v>1336</v>
      </c>
      <c r="I1109" s="1" t="n">
        <v>1308.32</v>
      </c>
      <c r="J1109" s="1" t="str">
        <f aca="false">VLOOKUP(B1109,Customers!$A$2:$G$502,6,FALSE())</f>
        <v>Corporate</v>
      </c>
      <c r="K1109" s="1" t="str">
        <f aca="false">VLOOKUP(C1109,Products!$A$2:$E$62,3,FALSE())</f>
        <v>Software</v>
      </c>
      <c r="L1109" s="1" t="str">
        <f aca="false">TEXT(D1109,"yyyy-mm")</f>
        <v>2024-10</v>
      </c>
    </row>
    <row r="1110" customFormat="false" ht="15" hidden="false" customHeight="true" outlineLevel="0" collapsed="false">
      <c r="A1110" s="1" t="n">
        <v>1135</v>
      </c>
      <c r="B1110" s="1" t="n">
        <v>139</v>
      </c>
      <c r="C1110" s="1" t="n">
        <v>32</v>
      </c>
      <c r="D1110" s="1" t="s">
        <v>1612</v>
      </c>
      <c r="E1110" s="1" t="n">
        <v>1</v>
      </c>
      <c r="F1110" s="1" t="n">
        <v>492.27</v>
      </c>
      <c r="G1110" s="1" t="n">
        <v>0</v>
      </c>
      <c r="H1110" s="1" t="s">
        <v>1336</v>
      </c>
      <c r="I1110" s="1" t="n">
        <v>492.27</v>
      </c>
      <c r="J1110" s="1" t="str">
        <f aca="false">VLOOKUP(B1110,Customers!$A$2:$G$502,6,FALSE())</f>
        <v>Consumer</v>
      </c>
      <c r="K1110" s="1" t="str">
        <f aca="false">VLOOKUP(C1110,Products!$A$2:$E$62,3,FALSE())</f>
        <v>Office Supplies</v>
      </c>
      <c r="L1110" s="1" t="str">
        <f aca="false">TEXT(D1110,"yyyy-mm")</f>
        <v>2024-10</v>
      </c>
    </row>
    <row r="1111" customFormat="false" ht="15" hidden="false" customHeight="true" outlineLevel="0" collapsed="false">
      <c r="A1111" s="1" t="n">
        <v>1136</v>
      </c>
      <c r="B1111" s="1" t="n">
        <v>136</v>
      </c>
      <c r="C1111" s="1" t="n">
        <v>56</v>
      </c>
      <c r="D1111" s="1" t="s">
        <v>1613</v>
      </c>
      <c r="E1111" s="1" t="n">
        <v>9</v>
      </c>
      <c r="F1111" s="1" t="n">
        <v>160.64</v>
      </c>
      <c r="G1111" s="1" t="n">
        <v>0</v>
      </c>
      <c r="H1111" s="1" t="s">
        <v>1336</v>
      </c>
      <c r="I1111" s="1" t="n">
        <v>1445.76</v>
      </c>
      <c r="J1111" s="1" t="str">
        <f aca="false">VLOOKUP(B1111,Customers!$A$2:$G$502,6,FALSE())</f>
        <v>Corporate</v>
      </c>
      <c r="K1111" s="1" t="str">
        <f aca="false">VLOOKUP(C1111,Products!$A$2:$E$62,3,FALSE())</f>
        <v>Furniture</v>
      </c>
      <c r="L1111" s="1" t="str">
        <f aca="false">TEXT(D1111,"yyyy-mm")</f>
        <v>2024-06</v>
      </c>
    </row>
    <row r="1112" customFormat="false" ht="15" hidden="false" customHeight="true" outlineLevel="0" collapsed="false">
      <c r="A1112" s="1" t="n">
        <v>1137</v>
      </c>
      <c r="B1112" s="1" t="n">
        <v>58</v>
      </c>
      <c r="C1112" s="1" t="n">
        <v>49</v>
      </c>
      <c r="D1112" s="1" t="s">
        <v>1474</v>
      </c>
      <c r="E1112" s="1" t="n">
        <v>3</v>
      </c>
      <c r="F1112" s="1" t="n">
        <v>325.17</v>
      </c>
      <c r="G1112" s="1" t="n">
        <v>0.05</v>
      </c>
      <c r="H1112" s="1" t="s">
        <v>1336</v>
      </c>
      <c r="I1112" s="1" t="n">
        <v>926.73</v>
      </c>
      <c r="J1112" s="1" t="str">
        <f aca="false">VLOOKUP(B1112,Customers!$A$2:$G$502,6,FALSE())</f>
        <v>Consumer</v>
      </c>
      <c r="K1112" s="1" t="str">
        <f aca="false">VLOOKUP(C1112,Products!$A$2:$E$62,3,FALSE())</f>
        <v>Software</v>
      </c>
      <c r="L1112" s="1" t="str">
        <f aca="false">TEXT(D1112,"yyyy-mm")</f>
        <v>2023-07</v>
      </c>
    </row>
    <row r="1113" customFormat="false" ht="15" hidden="false" customHeight="true" outlineLevel="0" collapsed="false">
      <c r="A1113" s="1" t="n">
        <v>1138</v>
      </c>
      <c r="B1113" s="1" t="n">
        <v>92</v>
      </c>
      <c r="C1113" s="1" t="n">
        <v>5</v>
      </c>
      <c r="D1113" s="1" t="s">
        <v>1495</v>
      </c>
      <c r="E1113" s="1" t="n">
        <v>4</v>
      </c>
      <c r="F1113" s="1" t="n">
        <v>439.06</v>
      </c>
      <c r="G1113" s="1" t="n">
        <v>0.15</v>
      </c>
      <c r="H1113" s="1" t="s">
        <v>1336</v>
      </c>
      <c r="I1113" s="1" t="n">
        <v>1492.8</v>
      </c>
      <c r="J1113" s="1" t="str">
        <f aca="false">VLOOKUP(B1113,Customers!$A$2:$G$502,6,FALSE())</f>
        <v>Corporate</v>
      </c>
      <c r="K1113" s="1" t="str">
        <f aca="false">VLOOKUP(C1113,Products!$A$2:$E$62,3,FALSE())</f>
        <v>Electronics</v>
      </c>
      <c r="L1113" s="1" t="str">
        <f aca="false">TEXT(D1113,"yyyy-mm")</f>
        <v>2024-03</v>
      </c>
    </row>
    <row r="1114" customFormat="false" ht="15" hidden="false" customHeight="true" outlineLevel="0" collapsed="false">
      <c r="A1114" s="1" t="n">
        <v>1139</v>
      </c>
      <c r="B1114" s="1" t="n">
        <v>276</v>
      </c>
      <c r="C1114" s="1" t="n">
        <v>53</v>
      </c>
      <c r="D1114" s="1" t="s">
        <v>1491</v>
      </c>
      <c r="E1114" s="1" t="n">
        <v>1</v>
      </c>
      <c r="F1114" s="1" t="n">
        <v>509.98</v>
      </c>
      <c r="G1114" s="1" t="n">
        <v>0</v>
      </c>
      <c r="H1114" s="1" t="s">
        <v>1336</v>
      </c>
      <c r="I1114" s="1" t="n">
        <v>509.98</v>
      </c>
      <c r="J1114" s="1" t="str">
        <f aca="false">VLOOKUP(B1114,Customers!$A$2:$G$502,6,FALSE())</f>
        <v>Corporate</v>
      </c>
      <c r="K1114" s="1" t="str">
        <f aca="false">VLOOKUP(C1114,Products!$A$2:$E$62,3,FALSE())</f>
        <v>Software</v>
      </c>
      <c r="L1114" s="1" t="str">
        <f aca="false">TEXT(D1114,"yyyy-mm")</f>
        <v>2023-07</v>
      </c>
    </row>
    <row r="1115" customFormat="false" ht="15" hidden="false" customHeight="true" outlineLevel="0" collapsed="false">
      <c r="A1115" s="1" t="n">
        <v>1140</v>
      </c>
      <c r="B1115" s="1" t="n">
        <v>164</v>
      </c>
      <c r="C1115" s="1" t="n">
        <v>50</v>
      </c>
      <c r="D1115" s="1" t="s">
        <v>1428</v>
      </c>
      <c r="E1115" s="1" t="n">
        <v>3</v>
      </c>
      <c r="F1115" s="1" t="n">
        <v>19.73</v>
      </c>
      <c r="G1115" s="1" t="n">
        <v>0.05</v>
      </c>
      <c r="H1115" s="1" t="s">
        <v>1336</v>
      </c>
      <c r="I1115" s="1" t="n">
        <v>56.23</v>
      </c>
      <c r="J1115" s="1" t="str">
        <f aca="false">VLOOKUP(B1115,Customers!$A$2:$G$502,6,FALSE())</f>
        <v>Consumer</v>
      </c>
      <c r="K1115" s="1" t="str">
        <f aca="false">VLOOKUP(C1115,Products!$A$2:$E$62,3,FALSE())</f>
        <v>Software</v>
      </c>
      <c r="L1115" s="1" t="str">
        <f aca="false">TEXT(D1115,"yyyy-mm")</f>
        <v>2024-06</v>
      </c>
    </row>
    <row r="1116" customFormat="false" ht="15" hidden="false" customHeight="true" outlineLevel="0" collapsed="false">
      <c r="A1116" s="1" t="n">
        <v>1141</v>
      </c>
      <c r="B1116" s="1" t="n">
        <v>80</v>
      </c>
      <c r="C1116" s="1" t="n">
        <v>21</v>
      </c>
      <c r="D1116" s="1" t="s">
        <v>1590</v>
      </c>
      <c r="E1116" s="1" t="n">
        <v>2</v>
      </c>
      <c r="F1116" s="1" t="n">
        <v>84.91</v>
      </c>
      <c r="G1116" s="1" t="n">
        <v>0</v>
      </c>
      <c r="H1116" s="1" t="s">
        <v>1336</v>
      </c>
      <c r="I1116" s="1" t="n">
        <v>169.82</v>
      </c>
      <c r="J1116" s="1" t="str">
        <f aca="false">VLOOKUP(B1116,Customers!$A$2:$G$502,6,FALSE())</f>
        <v>Consumer</v>
      </c>
      <c r="K1116" s="1" t="str">
        <f aca="false">VLOOKUP(C1116,Products!$A$2:$E$62,3,FALSE())</f>
        <v>Office Supplies</v>
      </c>
      <c r="L1116" s="1" t="str">
        <f aca="false">TEXT(D1116,"yyyy-mm")</f>
        <v>2023-06</v>
      </c>
    </row>
    <row r="1117" customFormat="false" ht="15" hidden="false" customHeight="true" outlineLevel="0" collapsed="false">
      <c r="A1117" s="1" t="n">
        <v>1142</v>
      </c>
      <c r="B1117" s="1" t="n">
        <v>81</v>
      </c>
      <c r="C1117" s="1" t="n">
        <v>21</v>
      </c>
      <c r="D1117" s="1" t="s">
        <v>799</v>
      </c>
      <c r="E1117" s="1" t="n">
        <v>2</v>
      </c>
      <c r="F1117" s="1" t="n">
        <v>84.91</v>
      </c>
      <c r="G1117" s="1" t="n">
        <v>0.05</v>
      </c>
      <c r="H1117" s="1" t="s">
        <v>1336</v>
      </c>
      <c r="I1117" s="1" t="n">
        <v>161.33</v>
      </c>
      <c r="J1117" s="1" t="str">
        <f aca="false">VLOOKUP(B1117,Customers!$A$2:$G$502,6,FALSE())</f>
        <v>Consumer</v>
      </c>
      <c r="K1117" s="1" t="str">
        <f aca="false">VLOOKUP(C1117,Products!$A$2:$E$62,3,FALSE())</f>
        <v>Office Supplies</v>
      </c>
      <c r="L1117" s="1" t="str">
        <f aca="false">TEXT(D1117,"yyyy-mm")</f>
        <v>2024-06</v>
      </c>
    </row>
    <row r="1118" customFormat="false" ht="15" hidden="false" customHeight="true" outlineLevel="0" collapsed="false">
      <c r="A1118" s="1" t="n">
        <v>1143</v>
      </c>
      <c r="B1118" s="1" t="n">
        <v>478</v>
      </c>
      <c r="C1118" s="1" t="n">
        <v>17</v>
      </c>
      <c r="D1118" s="1" t="s">
        <v>1586</v>
      </c>
      <c r="E1118" s="1" t="n">
        <v>1</v>
      </c>
      <c r="F1118" s="1" t="n">
        <v>65.61</v>
      </c>
      <c r="G1118" s="1" t="n">
        <v>0.2</v>
      </c>
      <c r="H1118" s="1" t="s">
        <v>1336</v>
      </c>
      <c r="I1118" s="1" t="n">
        <v>52.49</v>
      </c>
      <c r="J1118" s="1" t="str">
        <f aca="false">VLOOKUP(B1118,Customers!$A$2:$G$502,6,FALSE())</f>
        <v>Small Business</v>
      </c>
      <c r="K1118" s="1" t="str">
        <f aca="false">VLOOKUP(C1118,Products!$A$2:$E$62,3,FALSE())</f>
        <v>Electronics</v>
      </c>
      <c r="L1118" s="1" t="str">
        <f aca="false">TEXT(D1118,"yyyy-mm")</f>
        <v>2024-04</v>
      </c>
    </row>
    <row r="1119" customFormat="false" ht="15" hidden="false" customHeight="true" outlineLevel="0" collapsed="false">
      <c r="A1119" s="1" t="n">
        <v>1145</v>
      </c>
      <c r="B1119" s="1" t="n">
        <v>482</v>
      </c>
      <c r="C1119" s="1" t="n">
        <v>26</v>
      </c>
      <c r="D1119" s="1" t="s">
        <v>1576</v>
      </c>
      <c r="E1119" s="1" t="n">
        <v>3</v>
      </c>
      <c r="F1119" s="1" t="n">
        <v>733.85</v>
      </c>
      <c r="G1119" s="1" t="n">
        <v>0.05</v>
      </c>
      <c r="H1119" s="1" t="s">
        <v>1336</v>
      </c>
      <c r="I1119" s="1" t="n">
        <v>2091.47</v>
      </c>
      <c r="J1119" s="1" t="str">
        <f aca="false">VLOOKUP(B1119,Customers!$A$2:$G$502,6,FALSE())</f>
        <v>Small Business</v>
      </c>
      <c r="K1119" s="1" t="str">
        <f aca="false">VLOOKUP(C1119,Products!$A$2:$E$62,3,FALSE())</f>
        <v>Office Supplies</v>
      </c>
      <c r="L1119" s="1" t="str">
        <f aca="false">TEXT(D1119,"yyyy-mm")</f>
        <v>2023-02</v>
      </c>
    </row>
    <row r="1120" customFormat="false" ht="15" hidden="false" customHeight="true" outlineLevel="0" collapsed="false">
      <c r="A1120" s="1" t="n">
        <v>1146</v>
      </c>
      <c r="B1120" s="1" t="n">
        <v>10</v>
      </c>
      <c r="C1120" s="1" t="n">
        <v>53</v>
      </c>
      <c r="D1120" s="1" t="s">
        <v>966</v>
      </c>
      <c r="E1120" s="1" t="n">
        <v>3</v>
      </c>
      <c r="F1120" s="1" t="n">
        <v>509.98</v>
      </c>
      <c r="G1120" s="1" t="n">
        <v>0</v>
      </c>
      <c r="H1120" s="1" t="s">
        <v>1336</v>
      </c>
      <c r="I1120" s="1" t="n">
        <v>1529.94</v>
      </c>
      <c r="J1120" s="1" t="str">
        <f aca="false">VLOOKUP(B1120,Customers!$A$2:$G$502,6,FALSE())</f>
        <v>Small Business</v>
      </c>
      <c r="K1120" s="1" t="str">
        <f aca="false">VLOOKUP(C1120,Products!$A$2:$E$62,3,FALSE())</f>
        <v>Software</v>
      </c>
      <c r="L1120" s="1" t="str">
        <f aca="false">TEXT(D1120,"yyyy-mm")</f>
        <v>2024-12</v>
      </c>
    </row>
    <row r="1121" customFormat="false" ht="15" hidden="false" customHeight="true" outlineLevel="0" collapsed="false">
      <c r="A1121" s="1" t="n">
        <v>1147</v>
      </c>
      <c r="B1121" s="1" t="n">
        <v>165</v>
      </c>
      <c r="C1121" s="1" t="n">
        <v>28</v>
      </c>
      <c r="D1121" s="1" t="s">
        <v>1508</v>
      </c>
      <c r="E1121" s="1" t="n">
        <v>6</v>
      </c>
      <c r="F1121" s="1" t="n">
        <v>505.23</v>
      </c>
      <c r="G1121" s="1" t="n">
        <v>0</v>
      </c>
      <c r="H1121" s="1" t="s">
        <v>1336</v>
      </c>
      <c r="I1121" s="1" t="n">
        <v>3031.38</v>
      </c>
      <c r="J1121" s="1" t="str">
        <f aca="false">VLOOKUP(B1121,Customers!$A$2:$G$502,6,FALSE())</f>
        <v>Consumer</v>
      </c>
      <c r="K1121" s="1" t="str">
        <f aca="false">VLOOKUP(C1121,Products!$A$2:$E$62,3,FALSE())</f>
        <v>Office Supplies</v>
      </c>
      <c r="L1121" s="1" t="str">
        <f aca="false">TEXT(D1121,"yyyy-mm")</f>
        <v>2024-01</v>
      </c>
    </row>
    <row r="1122" customFormat="false" ht="15" hidden="false" customHeight="true" outlineLevel="0" collapsed="false">
      <c r="A1122" s="1" t="n">
        <v>1148</v>
      </c>
      <c r="B1122" s="1" t="n">
        <v>226</v>
      </c>
      <c r="C1122" s="1" t="n">
        <v>55</v>
      </c>
      <c r="D1122" s="1" t="s">
        <v>1614</v>
      </c>
      <c r="E1122" s="1" t="n">
        <v>8</v>
      </c>
      <c r="F1122" s="1" t="n">
        <v>123.38</v>
      </c>
      <c r="G1122" s="1" t="n">
        <v>0</v>
      </c>
      <c r="H1122" s="1" t="s">
        <v>1336</v>
      </c>
      <c r="I1122" s="1" t="n">
        <v>987.04</v>
      </c>
      <c r="J1122" s="1" t="str">
        <f aca="false">VLOOKUP(B1122,Customers!$A$2:$G$502,6,FALSE())</f>
        <v>Corporate</v>
      </c>
      <c r="K1122" s="1" t="str">
        <f aca="false">VLOOKUP(C1122,Products!$A$2:$E$62,3,FALSE())</f>
        <v>Furniture</v>
      </c>
      <c r="L1122" s="1" t="str">
        <f aca="false">TEXT(D1122,"yyyy-mm")</f>
        <v>2023-10</v>
      </c>
    </row>
    <row r="1123" customFormat="false" ht="15" hidden="false" customHeight="true" outlineLevel="0" collapsed="false">
      <c r="A1123" s="1" t="n">
        <v>1149</v>
      </c>
      <c r="B1123" s="1" t="n">
        <v>304</v>
      </c>
      <c r="C1123" s="1" t="n">
        <v>31</v>
      </c>
      <c r="D1123" s="1" t="s">
        <v>183</v>
      </c>
      <c r="E1123" s="1" t="n">
        <v>9</v>
      </c>
      <c r="F1123" s="1" t="n">
        <v>224.86</v>
      </c>
      <c r="G1123" s="1" t="n">
        <v>0.2</v>
      </c>
      <c r="H1123" s="1" t="s">
        <v>1336</v>
      </c>
      <c r="I1123" s="1" t="n">
        <v>1618.99</v>
      </c>
      <c r="J1123" s="1" t="str">
        <f aca="false">VLOOKUP(B1123,Customers!$A$2:$G$502,6,FALSE())</f>
        <v>Small Business</v>
      </c>
      <c r="K1123" s="1" t="str">
        <f aca="false">VLOOKUP(C1123,Products!$A$2:$E$62,3,FALSE())</f>
        <v>Office Supplies</v>
      </c>
      <c r="L1123" s="1" t="str">
        <f aca="false">TEXT(D1123,"yyyy-mm")</f>
        <v>2023-02</v>
      </c>
    </row>
    <row r="1124" customFormat="false" ht="15" hidden="false" customHeight="true" outlineLevel="0" collapsed="false">
      <c r="A1124" s="1" t="n">
        <v>1150</v>
      </c>
      <c r="B1124" s="1" t="n">
        <v>144</v>
      </c>
      <c r="C1124" s="1" t="n">
        <v>39</v>
      </c>
      <c r="D1124" s="1" t="s">
        <v>1492</v>
      </c>
      <c r="E1124" s="1" t="n">
        <v>9</v>
      </c>
      <c r="F1124" s="1" t="n">
        <v>400.02</v>
      </c>
      <c r="G1124" s="1" t="n">
        <v>0.05</v>
      </c>
      <c r="H1124" s="1" t="s">
        <v>1336</v>
      </c>
      <c r="I1124" s="1" t="n">
        <v>3420.17</v>
      </c>
      <c r="J1124" s="1" t="str">
        <f aca="false">VLOOKUP(B1124,Customers!$A$2:$G$502,6,FALSE())</f>
        <v>Small Business</v>
      </c>
      <c r="K1124" s="1" t="str">
        <f aca="false">VLOOKUP(C1124,Products!$A$2:$E$62,3,FALSE())</f>
        <v>Software</v>
      </c>
      <c r="L1124" s="1" t="str">
        <f aca="false">TEXT(D1124,"yyyy-mm")</f>
        <v>2024-08</v>
      </c>
    </row>
    <row r="1125" customFormat="false" ht="15" hidden="false" customHeight="true" outlineLevel="0" collapsed="false">
      <c r="A1125" s="1" t="n">
        <v>1151</v>
      </c>
      <c r="B1125" s="1" t="n">
        <v>225</v>
      </c>
      <c r="C1125" s="1" t="n">
        <v>60</v>
      </c>
      <c r="D1125" s="1" t="s">
        <v>1604</v>
      </c>
      <c r="E1125" s="1" t="n">
        <v>4</v>
      </c>
      <c r="F1125" s="1" t="n">
        <v>584.98</v>
      </c>
      <c r="G1125" s="1" t="n">
        <v>0</v>
      </c>
      <c r="H1125" s="1" t="s">
        <v>1336</v>
      </c>
      <c r="I1125" s="1" t="n">
        <v>2339.92</v>
      </c>
      <c r="J1125" s="1" t="str">
        <f aca="false">VLOOKUP(B1125,Customers!$A$2:$G$502,6,FALSE())</f>
        <v>Consumer</v>
      </c>
      <c r="K1125" s="1" t="str">
        <f aca="false">VLOOKUP(C1125,Products!$A$2:$E$62,3,FALSE())</f>
        <v>Furniture</v>
      </c>
      <c r="L1125" s="1" t="str">
        <f aca="false">TEXT(D1125,"yyyy-mm")</f>
        <v>2023-10</v>
      </c>
    </row>
    <row r="1126" customFormat="false" ht="15" hidden="false" customHeight="true" outlineLevel="0" collapsed="false">
      <c r="A1126" s="1" t="n">
        <v>1152</v>
      </c>
      <c r="B1126" s="1" t="n">
        <v>376</v>
      </c>
      <c r="C1126" s="1" t="n">
        <v>27</v>
      </c>
      <c r="D1126" s="1" t="s">
        <v>1553</v>
      </c>
      <c r="E1126" s="1" t="n">
        <v>5</v>
      </c>
      <c r="F1126" s="1" t="n">
        <v>772.58</v>
      </c>
      <c r="G1126" s="1" t="n">
        <v>0.2</v>
      </c>
      <c r="H1126" s="1" t="s">
        <v>1336</v>
      </c>
      <c r="I1126" s="1" t="n">
        <v>3090.32</v>
      </c>
      <c r="J1126" s="1" t="str">
        <f aca="false">VLOOKUP(B1126,Customers!$A$2:$G$502,6,FALSE())</f>
        <v>Consumer</v>
      </c>
      <c r="K1126" s="1" t="str">
        <f aca="false">VLOOKUP(C1126,Products!$A$2:$E$62,3,FALSE())</f>
        <v>Office Supplies</v>
      </c>
      <c r="L1126" s="1" t="str">
        <f aca="false">TEXT(D1126,"yyyy-mm")</f>
        <v>2023-06</v>
      </c>
    </row>
    <row r="1127" customFormat="false" ht="15" hidden="false" customHeight="true" outlineLevel="0" collapsed="false">
      <c r="A1127" s="1" t="n">
        <v>1153</v>
      </c>
      <c r="B1127" s="1" t="n">
        <v>126</v>
      </c>
      <c r="C1127" s="1" t="n">
        <v>21</v>
      </c>
      <c r="D1127" s="1" t="s">
        <v>980</v>
      </c>
      <c r="E1127" s="1" t="n">
        <v>2</v>
      </c>
      <c r="F1127" s="1" t="n">
        <v>84.91</v>
      </c>
      <c r="G1127" s="1" t="n">
        <v>0.1</v>
      </c>
      <c r="H1127" s="1" t="s">
        <v>1336</v>
      </c>
      <c r="I1127" s="1" t="n">
        <v>152.84</v>
      </c>
      <c r="J1127" s="1" t="str">
        <f aca="false">VLOOKUP(B1127,Customers!$A$2:$G$502,6,FALSE())</f>
        <v>Small Business</v>
      </c>
      <c r="K1127" s="1" t="str">
        <f aca="false">VLOOKUP(C1127,Products!$A$2:$E$62,3,FALSE())</f>
        <v>Office Supplies</v>
      </c>
      <c r="L1127" s="1" t="str">
        <f aca="false">TEXT(D1127,"yyyy-mm")</f>
        <v>2024-08</v>
      </c>
    </row>
    <row r="1128" customFormat="false" ht="15" hidden="false" customHeight="true" outlineLevel="0" collapsed="false">
      <c r="A1128" s="1" t="n">
        <v>1154</v>
      </c>
      <c r="B1128" s="1" t="n">
        <v>12</v>
      </c>
      <c r="C1128" s="1" t="n">
        <v>9</v>
      </c>
      <c r="D1128" s="1" t="s">
        <v>449</v>
      </c>
      <c r="E1128" s="1" t="n">
        <v>9</v>
      </c>
      <c r="F1128" s="1" t="n">
        <v>203.1</v>
      </c>
      <c r="G1128" s="1" t="n">
        <v>0.2</v>
      </c>
      <c r="H1128" s="1" t="s">
        <v>1336</v>
      </c>
      <c r="I1128" s="1" t="n">
        <v>1462.32</v>
      </c>
      <c r="J1128" s="1" t="str">
        <f aca="false">VLOOKUP(B1128,Customers!$A$2:$G$502,6,FALSE())</f>
        <v>Small Business</v>
      </c>
      <c r="K1128" s="1" t="str">
        <f aca="false">VLOOKUP(C1128,Products!$A$2:$E$62,3,FALSE())</f>
        <v>Electronics</v>
      </c>
      <c r="L1128" s="1" t="str">
        <f aca="false">TEXT(D1128,"yyyy-mm")</f>
        <v>2023-03</v>
      </c>
    </row>
    <row r="1129" customFormat="false" ht="15" hidden="false" customHeight="true" outlineLevel="0" collapsed="false">
      <c r="A1129" s="1" t="n">
        <v>1155</v>
      </c>
      <c r="B1129" s="1" t="n">
        <v>464</v>
      </c>
      <c r="C1129" s="1" t="n">
        <v>50</v>
      </c>
      <c r="D1129" s="1" t="s">
        <v>664</v>
      </c>
      <c r="E1129" s="1" t="n">
        <v>8</v>
      </c>
      <c r="F1129" s="1" t="n">
        <v>19.73</v>
      </c>
      <c r="G1129" s="1" t="n">
        <v>0.15</v>
      </c>
      <c r="H1129" s="1" t="s">
        <v>1346</v>
      </c>
      <c r="I1129" s="1" t="n">
        <v>134.16</v>
      </c>
      <c r="J1129" s="1" t="str">
        <f aca="false">VLOOKUP(B1129,Customers!$A$2:$G$502,6,FALSE())</f>
        <v>Consumer</v>
      </c>
      <c r="K1129" s="1" t="str">
        <f aca="false">VLOOKUP(C1129,Products!$A$2:$E$62,3,FALSE())</f>
        <v>Software</v>
      </c>
      <c r="L1129" s="1" t="str">
        <f aca="false">TEXT(D1129,"yyyy-mm")</f>
        <v>2024-04</v>
      </c>
    </row>
    <row r="1130" customFormat="false" ht="15" hidden="false" customHeight="true" outlineLevel="0" collapsed="false">
      <c r="A1130" s="1" t="n">
        <v>1156</v>
      </c>
      <c r="B1130" s="1" t="n">
        <v>171</v>
      </c>
      <c r="C1130" s="1" t="n">
        <v>13</v>
      </c>
      <c r="D1130" s="1" t="s">
        <v>739</v>
      </c>
      <c r="E1130" s="1" t="n">
        <v>3</v>
      </c>
      <c r="F1130" s="1" t="n">
        <v>352.54</v>
      </c>
      <c r="G1130" s="1" t="n">
        <v>0.15</v>
      </c>
      <c r="H1130" s="1" t="s">
        <v>1336</v>
      </c>
      <c r="I1130" s="1" t="n">
        <v>898.98</v>
      </c>
      <c r="J1130" s="1" t="str">
        <f aca="false">VLOOKUP(B1130,Customers!$A$2:$G$502,6,FALSE())</f>
        <v>Small Business</v>
      </c>
      <c r="K1130" s="1" t="str">
        <f aca="false">VLOOKUP(C1130,Products!$A$2:$E$62,3,FALSE())</f>
        <v>Electronics</v>
      </c>
      <c r="L1130" s="1" t="str">
        <f aca="false">TEXT(D1130,"yyyy-mm")</f>
        <v>2024-11</v>
      </c>
    </row>
    <row r="1131" customFormat="false" ht="15" hidden="false" customHeight="true" outlineLevel="0" collapsed="false">
      <c r="A1131" s="1" t="n">
        <v>1157</v>
      </c>
      <c r="B1131" s="1" t="n">
        <v>329</v>
      </c>
      <c r="C1131" s="1" t="n">
        <v>27</v>
      </c>
      <c r="D1131" s="1" t="s">
        <v>1390</v>
      </c>
      <c r="E1131" s="1" t="n">
        <v>9</v>
      </c>
      <c r="F1131" s="1" t="n">
        <v>772.58</v>
      </c>
      <c r="G1131" s="1" t="n">
        <v>0.05</v>
      </c>
      <c r="H1131" s="1" t="s">
        <v>1336</v>
      </c>
      <c r="I1131" s="1" t="n">
        <v>6605.56</v>
      </c>
      <c r="J1131" s="1" t="str">
        <f aca="false">VLOOKUP(B1131,Customers!$A$2:$G$502,6,FALSE())</f>
        <v>Consumer</v>
      </c>
      <c r="K1131" s="1" t="str">
        <f aca="false">VLOOKUP(C1131,Products!$A$2:$E$62,3,FALSE())</f>
        <v>Office Supplies</v>
      </c>
      <c r="L1131" s="1" t="str">
        <f aca="false">TEXT(D1131,"yyyy-mm")</f>
        <v>2024-03</v>
      </c>
    </row>
    <row r="1132" customFormat="false" ht="15" hidden="false" customHeight="true" outlineLevel="0" collapsed="false">
      <c r="A1132" s="1" t="n">
        <v>1158</v>
      </c>
      <c r="B1132" s="1" t="n">
        <v>263</v>
      </c>
      <c r="C1132" s="1" t="n">
        <v>24</v>
      </c>
      <c r="D1132" s="1" t="s">
        <v>503</v>
      </c>
      <c r="E1132" s="1" t="n">
        <v>3</v>
      </c>
      <c r="F1132" s="1" t="n">
        <v>207.34</v>
      </c>
      <c r="G1132" s="1" t="n">
        <v>0.1</v>
      </c>
      <c r="H1132" s="1" t="s">
        <v>1336</v>
      </c>
      <c r="I1132" s="1" t="n">
        <v>559.82</v>
      </c>
      <c r="J1132" s="1" t="str">
        <f aca="false">VLOOKUP(B1132,Customers!$A$2:$G$502,6,FALSE())</f>
        <v>Consumer</v>
      </c>
      <c r="K1132" s="1" t="str">
        <f aca="false">VLOOKUP(C1132,Products!$A$2:$E$62,3,FALSE())</f>
        <v>Office Supplies</v>
      </c>
      <c r="L1132" s="1" t="str">
        <f aca="false">TEXT(D1132,"yyyy-mm")</f>
        <v>2023-01</v>
      </c>
    </row>
    <row r="1133" customFormat="false" ht="15" hidden="false" customHeight="true" outlineLevel="0" collapsed="false">
      <c r="A1133" s="1" t="n">
        <v>1159</v>
      </c>
      <c r="B1133" s="1" t="n">
        <v>405</v>
      </c>
      <c r="C1133" s="1" t="n">
        <v>35</v>
      </c>
      <c r="D1133" s="1" t="s">
        <v>1348</v>
      </c>
      <c r="E1133" s="1" t="n">
        <v>9</v>
      </c>
      <c r="F1133" s="1" t="n">
        <v>75.78</v>
      </c>
      <c r="G1133" s="1" t="n">
        <v>0</v>
      </c>
      <c r="H1133" s="1" t="s">
        <v>1336</v>
      </c>
      <c r="I1133" s="1" t="n">
        <v>682.02</v>
      </c>
      <c r="J1133" s="1" t="str">
        <f aca="false">VLOOKUP(B1133,Customers!$A$2:$G$502,6,FALSE())</f>
        <v>Small Business</v>
      </c>
      <c r="K1133" s="1" t="str">
        <f aca="false">VLOOKUP(C1133,Products!$A$2:$E$62,3,FALSE())</f>
        <v>Software</v>
      </c>
      <c r="L1133" s="1" t="str">
        <f aca="false">TEXT(D1133,"yyyy-mm")</f>
        <v>2024-05</v>
      </c>
    </row>
    <row r="1134" customFormat="false" ht="15" hidden="false" customHeight="true" outlineLevel="0" collapsed="false">
      <c r="A1134" s="1" t="n">
        <v>1160</v>
      </c>
      <c r="B1134" s="1" t="n">
        <v>499</v>
      </c>
      <c r="C1134" s="1" t="n">
        <v>36</v>
      </c>
      <c r="D1134" s="1" t="s">
        <v>825</v>
      </c>
      <c r="E1134" s="1" t="n">
        <v>2</v>
      </c>
      <c r="F1134" s="1" t="n">
        <v>424.45</v>
      </c>
      <c r="G1134" s="1" t="n">
        <v>0.1</v>
      </c>
      <c r="H1134" s="1" t="s">
        <v>1336</v>
      </c>
      <c r="I1134" s="1" t="n">
        <v>764.01</v>
      </c>
      <c r="J1134" s="1" t="str">
        <f aca="false">VLOOKUP(B1134,Customers!$A$2:$G$502,6,FALSE())</f>
        <v>Consumer</v>
      </c>
      <c r="K1134" s="1" t="str">
        <f aca="false">VLOOKUP(C1134,Products!$A$2:$E$62,3,FALSE())</f>
        <v>Software</v>
      </c>
      <c r="L1134" s="1" t="str">
        <f aca="false">TEXT(D1134,"yyyy-mm")</f>
        <v>2023-04</v>
      </c>
    </row>
    <row r="1135" customFormat="false" ht="15" hidden="false" customHeight="true" outlineLevel="0" collapsed="false">
      <c r="A1135" s="1" t="n">
        <v>1161</v>
      </c>
      <c r="B1135" s="1" t="n">
        <v>240</v>
      </c>
      <c r="C1135" s="1" t="n">
        <v>40</v>
      </c>
      <c r="D1135" s="1" t="s">
        <v>1499</v>
      </c>
      <c r="E1135" s="1" t="n">
        <v>9</v>
      </c>
      <c r="F1135" s="1" t="n">
        <v>193.02</v>
      </c>
      <c r="G1135" s="1" t="n">
        <v>0</v>
      </c>
      <c r="H1135" s="1" t="s">
        <v>1336</v>
      </c>
      <c r="I1135" s="1" t="n">
        <v>1737.18</v>
      </c>
      <c r="J1135" s="1" t="str">
        <f aca="false">VLOOKUP(B1135,Customers!$A$2:$G$502,6,FALSE())</f>
        <v>Corporate</v>
      </c>
      <c r="K1135" s="1" t="str">
        <f aca="false">VLOOKUP(C1135,Products!$A$2:$E$62,3,FALSE())</f>
        <v>Software</v>
      </c>
      <c r="L1135" s="1" t="str">
        <f aca="false">TEXT(D1135,"yyyy-mm")</f>
        <v>2024-10</v>
      </c>
    </row>
    <row r="1136" customFormat="false" ht="15" hidden="false" customHeight="true" outlineLevel="0" collapsed="false">
      <c r="A1136" s="1" t="n">
        <v>1162</v>
      </c>
      <c r="B1136" s="1" t="n">
        <v>232</v>
      </c>
      <c r="C1136" s="1" t="n">
        <v>57</v>
      </c>
      <c r="D1136" s="1" t="s">
        <v>1553</v>
      </c>
      <c r="E1136" s="1" t="n">
        <v>8</v>
      </c>
      <c r="F1136" s="1" t="n">
        <v>719.76</v>
      </c>
      <c r="G1136" s="1" t="n">
        <v>0.15</v>
      </c>
      <c r="H1136" s="1" t="s">
        <v>1336</v>
      </c>
      <c r="I1136" s="1" t="n">
        <v>4894.37</v>
      </c>
      <c r="J1136" s="1" t="str">
        <f aca="false">VLOOKUP(B1136,Customers!$A$2:$G$502,6,FALSE())</f>
        <v>Corporate</v>
      </c>
      <c r="K1136" s="1" t="str">
        <f aca="false">VLOOKUP(C1136,Products!$A$2:$E$62,3,FALSE())</f>
        <v>Furniture</v>
      </c>
      <c r="L1136" s="1" t="str">
        <f aca="false">TEXT(D1136,"yyyy-mm")</f>
        <v>2023-06</v>
      </c>
    </row>
    <row r="1137" customFormat="false" ht="15" hidden="false" customHeight="true" outlineLevel="0" collapsed="false">
      <c r="A1137" s="1" t="n">
        <v>1163</v>
      </c>
      <c r="B1137" s="1" t="n">
        <v>400</v>
      </c>
      <c r="C1137" s="1" t="n">
        <v>45</v>
      </c>
      <c r="D1137" s="1" t="s">
        <v>1495</v>
      </c>
      <c r="E1137" s="1" t="n">
        <v>9</v>
      </c>
      <c r="F1137" s="1" t="n">
        <v>560.01</v>
      </c>
      <c r="G1137" s="1" t="n">
        <v>0</v>
      </c>
      <c r="H1137" s="1" t="s">
        <v>1336</v>
      </c>
      <c r="I1137" s="1" t="n">
        <v>5040.09</v>
      </c>
      <c r="J1137" s="1" t="str">
        <f aca="false">VLOOKUP(B1137,Customers!$A$2:$G$502,6,FALSE())</f>
        <v>Small Business</v>
      </c>
      <c r="K1137" s="1" t="str">
        <f aca="false">VLOOKUP(C1137,Products!$A$2:$E$62,3,FALSE())</f>
        <v>Software</v>
      </c>
      <c r="L1137" s="1" t="str">
        <f aca="false">TEXT(D1137,"yyyy-mm")</f>
        <v>2024-03</v>
      </c>
    </row>
    <row r="1138" customFormat="false" ht="15" hidden="false" customHeight="true" outlineLevel="0" collapsed="false">
      <c r="A1138" s="1" t="n">
        <v>1164</v>
      </c>
      <c r="B1138" s="1" t="n">
        <v>5</v>
      </c>
      <c r="C1138" s="1" t="n">
        <v>15</v>
      </c>
      <c r="D1138" s="1" t="s">
        <v>949</v>
      </c>
      <c r="E1138" s="1" t="n">
        <v>5</v>
      </c>
      <c r="F1138" s="1" t="n">
        <v>304.95</v>
      </c>
      <c r="G1138" s="1" t="n">
        <v>0.05</v>
      </c>
      <c r="H1138" s="1" t="s">
        <v>1336</v>
      </c>
      <c r="I1138" s="1" t="n">
        <v>1448.51</v>
      </c>
      <c r="J1138" s="1" t="str">
        <f aca="false">VLOOKUP(B1138,Customers!$A$2:$G$502,6,FALSE())</f>
        <v>Small Business</v>
      </c>
      <c r="K1138" s="1" t="str">
        <f aca="false">VLOOKUP(C1138,Products!$A$2:$E$62,3,FALSE())</f>
        <v>Electronics</v>
      </c>
      <c r="L1138" s="1" t="str">
        <f aca="false">TEXT(D1138,"yyyy-mm")</f>
        <v>2023-11</v>
      </c>
    </row>
    <row r="1139" customFormat="false" ht="15" hidden="false" customHeight="true" outlineLevel="0" collapsed="false">
      <c r="A1139" s="1" t="n">
        <v>1165</v>
      </c>
      <c r="B1139" s="1" t="n">
        <v>273</v>
      </c>
      <c r="C1139" s="1" t="n">
        <v>30</v>
      </c>
      <c r="D1139" s="1" t="s">
        <v>1471</v>
      </c>
      <c r="E1139" s="1" t="n">
        <v>2</v>
      </c>
      <c r="F1139" s="1" t="n">
        <v>33.32</v>
      </c>
      <c r="G1139" s="1" t="n">
        <v>0.15</v>
      </c>
      <c r="H1139" s="1" t="s">
        <v>1336</v>
      </c>
      <c r="I1139" s="1" t="n">
        <v>56.64</v>
      </c>
      <c r="J1139" s="1" t="str">
        <f aca="false">VLOOKUP(B1139,Customers!$A$2:$G$502,6,FALSE())</f>
        <v>Corporate</v>
      </c>
      <c r="K1139" s="1" t="str">
        <f aca="false">VLOOKUP(C1139,Products!$A$2:$E$62,3,FALSE())</f>
        <v>Office Supplies</v>
      </c>
      <c r="L1139" s="1" t="str">
        <f aca="false">TEXT(D1139,"yyyy-mm")</f>
        <v>2024-10</v>
      </c>
    </row>
    <row r="1140" customFormat="false" ht="15" hidden="false" customHeight="true" outlineLevel="0" collapsed="false">
      <c r="A1140" s="1" t="n">
        <v>1166</v>
      </c>
      <c r="B1140" s="1" t="n">
        <v>367</v>
      </c>
      <c r="C1140" s="1" t="n">
        <v>56</v>
      </c>
      <c r="D1140" s="1" t="s">
        <v>1477</v>
      </c>
      <c r="E1140" s="1" t="n">
        <v>8</v>
      </c>
      <c r="F1140" s="1" t="n">
        <v>160.64</v>
      </c>
      <c r="G1140" s="1" t="n">
        <v>0</v>
      </c>
      <c r="H1140" s="1" t="s">
        <v>1336</v>
      </c>
      <c r="I1140" s="1" t="n">
        <v>1285.12</v>
      </c>
      <c r="J1140" s="1" t="str">
        <f aca="false">VLOOKUP(B1140,Customers!$A$2:$G$502,6,FALSE())</f>
        <v>Corporate</v>
      </c>
      <c r="K1140" s="1" t="str">
        <f aca="false">VLOOKUP(C1140,Products!$A$2:$E$62,3,FALSE())</f>
        <v>Furniture</v>
      </c>
      <c r="L1140" s="1" t="str">
        <f aca="false">TEXT(D1140,"yyyy-mm")</f>
        <v>2024-08</v>
      </c>
    </row>
    <row r="1141" customFormat="false" ht="15" hidden="false" customHeight="true" outlineLevel="0" collapsed="false">
      <c r="A1141" s="1" t="n">
        <v>1167</v>
      </c>
      <c r="B1141" s="1" t="n">
        <v>274</v>
      </c>
      <c r="C1141" s="1" t="n">
        <v>39</v>
      </c>
      <c r="D1141" s="1" t="s">
        <v>461</v>
      </c>
      <c r="E1141" s="1" t="n">
        <v>6</v>
      </c>
      <c r="F1141" s="1" t="n">
        <v>400.02</v>
      </c>
      <c r="G1141" s="1" t="n">
        <v>0.2</v>
      </c>
      <c r="H1141" s="1" t="s">
        <v>1336</v>
      </c>
      <c r="I1141" s="1" t="n">
        <v>1920.1</v>
      </c>
      <c r="J1141" s="1" t="str">
        <f aca="false">VLOOKUP(B1141,Customers!$A$2:$G$502,6,FALSE())</f>
        <v>Corporate</v>
      </c>
      <c r="K1141" s="1" t="str">
        <f aca="false">VLOOKUP(C1141,Products!$A$2:$E$62,3,FALSE())</f>
        <v>Software</v>
      </c>
      <c r="L1141" s="1" t="str">
        <f aca="false">TEXT(D1141,"yyyy-mm")</f>
        <v>2023-02</v>
      </c>
    </row>
    <row r="1142" customFormat="false" ht="15" hidden="false" customHeight="true" outlineLevel="0" collapsed="false">
      <c r="A1142" s="1" t="n">
        <v>1168</v>
      </c>
      <c r="B1142" s="1" t="n">
        <v>476</v>
      </c>
      <c r="C1142" s="1" t="n">
        <v>15</v>
      </c>
      <c r="D1142" s="1" t="s">
        <v>1454</v>
      </c>
      <c r="E1142" s="1" t="n">
        <v>8</v>
      </c>
      <c r="F1142" s="1" t="n">
        <v>304.95</v>
      </c>
      <c r="G1142" s="1" t="n">
        <v>0</v>
      </c>
      <c r="H1142" s="1" t="s">
        <v>1336</v>
      </c>
      <c r="I1142" s="1" t="n">
        <v>2439.6</v>
      </c>
      <c r="J1142" s="1" t="str">
        <f aca="false">VLOOKUP(B1142,Customers!$A$2:$G$502,6,FALSE())</f>
        <v>Small Business</v>
      </c>
      <c r="K1142" s="1" t="str">
        <f aca="false">VLOOKUP(C1142,Products!$A$2:$E$62,3,FALSE())</f>
        <v>Electronics</v>
      </c>
      <c r="L1142" s="1" t="str">
        <f aca="false">TEXT(D1142,"yyyy-mm")</f>
        <v>2024-11</v>
      </c>
    </row>
    <row r="1143" customFormat="false" ht="15" hidden="false" customHeight="true" outlineLevel="0" collapsed="false">
      <c r="A1143" s="1" t="n">
        <v>1169</v>
      </c>
      <c r="B1143" s="1" t="n">
        <v>471</v>
      </c>
      <c r="C1143" s="1" t="n">
        <v>14</v>
      </c>
      <c r="D1143" s="1" t="s">
        <v>44</v>
      </c>
      <c r="E1143" s="1" t="n">
        <v>5</v>
      </c>
      <c r="F1143" s="1" t="n">
        <v>135.27</v>
      </c>
      <c r="G1143" s="1" t="n">
        <v>0</v>
      </c>
      <c r="H1143" s="1" t="s">
        <v>1336</v>
      </c>
      <c r="I1143" s="1" t="n">
        <v>676.35</v>
      </c>
      <c r="J1143" s="1" t="str">
        <f aca="false">VLOOKUP(B1143,Customers!$A$2:$G$502,6,FALSE())</f>
        <v>Small Business</v>
      </c>
      <c r="K1143" s="1" t="str">
        <f aca="false">VLOOKUP(C1143,Products!$A$2:$E$62,3,FALSE())</f>
        <v>Electronics</v>
      </c>
      <c r="L1143" s="1" t="str">
        <f aca="false">TEXT(D1143,"yyyy-mm")</f>
        <v>2023-12</v>
      </c>
    </row>
    <row r="1144" customFormat="false" ht="15" hidden="false" customHeight="true" outlineLevel="0" collapsed="false">
      <c r="A1144" s="1" t="n">
        <v>1170</v>
      </c>
      <c r="B1144" s="1" t="n">
        <v>193</v>
      </c>
      <c r="C1144" s="1" t="n">
        <v>2</v>
      </c>
      <c r="D1144" s="1" t="s">
        <v>330</v>
      </c>
      <c r="E1144" s="1" t="n">
        <v>2</v>
      </c>
      <c r="F1144" s="1" t="n">
        <v>498.15</v>
      </c>
      <c r="G1144" s="1" t="n">
        <v>0.2</v>
      </c>
      <c r="H1144" s="1" t="s">
        <v>1336</v>
      </c>
      <c r="I1144" s="1" t="n">
        <v>797.04</v>
      </c>
      <c r="J1144" s="1" t="str">
        <f aca="false">VLOOKUP(B1144,Customers!$A$2:$G$502,6,FALSE())</f>
        <v>Consumer</v>
      </c>
      <c r="K1144" s="1" t="str">
        <f aca="false">VLOOKUP(C1144,Products!$A$2:$E$62,3,FALSE())</f>
        <v>Electronics</v>
      </c>
      <c r="L1144" s="1" t="str">
        <f aca="false">TEXT(D1144,"yyyy-mm")</f>
        <v>2024-03</v>
      </c>
    </row>
    <row r="1145" customFormat="false" ht="15" hidden="false" customHeight="true" outlineLevel="0" collapsed="false">
      <c r="A1145" s="1" t="n">
        <v>1171</v>
      </c>
      <c r="B1145" s="1" t="n">
        <v>205</v>
      </c>
      <c r="C1145" s="1" t="n">
        <v>13</v>
      </c>
      <c r="D1145" s="1" t="s">
        <v>1444</v>
      </c>
      <c r="E1145" s="1" t="n">
        <v>6</v>
      </c>
      <c r="F1145" s="1" t="n">
        <v>352.54</v>
      </c>
      <c r="G1145" s="1" t="n">
        <v>0.2</v>
      </c>
      <c r="H1145" s="1" t="s">
        <v>1336</v>
      </c>
      <c r="I1145" s="1" t="n">
        <v>1692.19</v>
      </c>
      <c r="J1145" s="1" t="str">
        <f aca="false">VLOOKUP(B1145,Customers!$A$2:$G$502,6,FALSE())</f>
        <v>Corporate</v>
      </c>
      <c r="K1145" s="1" t="str">
        <f aca="false">VLOOKUP(C1145,Products!$A$2:$E$62,3,FALSE())</f>
        <v>Electronics</v>
      </c>
      <c r="L1145" s="1" t="str">
        <f aca="false">TEXT(D1145,"yyyy-mm")</f>
        <v>2023-07</v>
      </c>
    </row>
    <row r="1146" customFormat="false" ht="15" hidden="false" customHeight="true" outlineLevel="0" collapsed="false">
      <c r="A1146" s="1" t="n">
        <v>1172</v>
      </c>
      <c r="B1146" s="1" t="n">
        <v>468</v>
      </c>
      <c r="C1146" s="1" t="n">
        <v>38</v>
      </c>
      <c r="D1146" s="1" t="s">
        <v>799</v>
      </c>
      <c r="E1146" s="1" t="n">
        <v>5</v>
      </c>
      <c r="F1146" s="1" t="n">
        <v>521.63</v>
      </c>
      <c r="G1146" s="1" t="n">
        <v>0</v>
      </c>
      <c r="H1146" s="1" t="s">
        <v>1336</v>
      </c>
      <c r="I1146" s="1" t="n">
        <v>2608.15</v>
      </c>
      <c r="J1146" s="1" t="str">
        <f aca="false">VLOOKUP(B1146,Customers!$A$2:$G$502,6,FALSE())</f>
        <v>Small Business</v>
      </c>
      <c r="K1146" s="1" t="str">
        <f aca="false">VLOOKUP(C1146,Products!$A$2:$E$62,3,FALSE())</f>
        <v>Software</v>
      </c>
      <c r="L1146" s="1" t="str">
        <f aca="false">TEXT(D1146,"yyyy-mm")</f>
        <v>2024-06</v>
      </c>
    </row>
    <row r="1147" customFormat="false" ht="15" hidden="false" customHeight="true" outlineLevel="0" collapsed="false">
      <c r="A1147" s="1" t="n">
        <v>1173</v>
      </c>
      <c r="B1147" s="1" t="n">
        <v>184</v>
      </c>
      <c r="C1147" s="1" t="n">
        <v>48</v>
      </c>
      <c r="D1147" s="1" t="s">
        <v>617</v>
      </c>
      <c r="E1147" s="1" t="n">
        <v>5</v>
      </c>
      <c r="F1147" s="1" t="n">
        <v>493.53</v>
      </c>
      <c r="G1147" s="1" t="n">
        <v>0.05</v>
      </c>
      <c r="H1147" s="1" t="s">
        <v>1336</v>
      </c>
      <c r="I1147" s="1" t="n">
        <v>2344.27</v>
      </c>
      <c r="J1147" s="1" t="str">
        <f aca="false">VLOOKUP(B1147,Customers!$A$2:$G$502,6,FALSE())</f>
        <v>Corporate</v>
      </c>
      <c r="K1147" s="1" t="str">
        <f aca="false">VLOOKUP(C1147,Products!$A$2:$E$62,3,FALSE())</f>
        <v>Software</v>
      </c>
      <c r="L1147" s="1" t="str">
        <f aca="false">TEXT(D1147,"yyyy-mm")</f>
        <v>2023-11</v>
      </c>
    </row>
    <row r="1148" customFormat="false" ht="15" hidden="false" customHeight="true" outlineLevel="0" collapsed="false">
      <c r="A1148" s="1" t="n">
        <v>1174</v>
      </c>
      <c r="B1148" s="1" t="n">
        <v>131</v>
      </c>
      <c r="C1148" s="1" t="n">
        <v>33</v>
      </c>
      <c r="D1148" s="1" t="s">
        <v>1615</v>
      </c>
      <c r="E1148" s="1" t="n">
        <v>1</v>
      </c>
      <c r="F1148" s="1" t="n">
        <v>190.1</v>
      </c>
      <c r="G1148" s="1" t="n">
        <v>0.05</v>
      </c>
      <c r="H1148" s="1" t="s">
        <v>1336</v>
      </c>
      <c r="I1148" s="1" t="n">
        <v>180.6</v>
      </c>
      <c r="J1148" s="1" t="str">
        <f aca="false">VLOOKUP(B1148,Customers!$A$2:$G$502,6,FALSE())</f>
        <v>Corporate</v>
      </c>
      <c r="K1148" s="1" t="str">
        <f aca="false">VLOOKUP(C1148,Products!$A$2:$E$62,3,FALSE())</f>
        <v>Office Supplies</v>
      </c>
      <c r="L1148" s="1" t="str">
        <f aca="false">TEXT(D1148,"yyyy-mm")</f>
        <v>2023-04</v>
      </c>
    </row>
    <row r="1149" customFormat="false" ht="15" hidden="false" customHeight="true" outlineLevel="0" collapsed="false">
      <c r="A1149" s="1" t="n">
        <v>1175</v>
      </c>
      <c r="B1149" s="1" t="n">
        <v>52</v>
      </c>
      <c r="C1149" s="1" t="n">
        <v>23</v>
      </c>
      <c r="D1149" s="1" t="s">
        <v>1362</v>
      </c>
      <c r="E1149" s="1" t="n">
        <v>2</v>
      </c>
      <c r="F1149" s="1" t="n">
        <v>188.73</v>
      </c>
      <c r="G1149" s="1" t="n">
        <v>0</v>
      </c>
      <c r="H1149" s="1" t="s">
        <v>1336</v>
      </c>
      <c r="I1149" s="1" t="n">
        <v>377.46</v>
      </c>
      <c r="J1149" s="1" t="str">
        <f aca="false">VLOOKUP(B1149,Customers!$A$2:$G$502,6,FALSE())</f>
        <v>Small Business</v>
      </c>
      <c r="K1149" s="1" t="str">
        <f aca="false">VLOOKUP(C1149,Products!$A$2:$E$62,3,FALSE())</f>
        <v>Office Supplies</v>
      </c>
      <c r="L1149" s="1" t="str">
        <f aca="false">TEXT(D1149,"yyyy-mm")</f>
        <v>2024-01</v>
      </c>
    </row>
    <row r="1150" customFormat="false" ht="15" hidden="false" customHeight="true" outlineLevel="0" collapsed="false">
      <c r="A1150" s="1" t="n">
        <v>1176</v>
      </c>
      <c r="B1150" s="1" t="n">
        <v>360</v>
      </c>
      <c r="C1150" s="1" t="n">
        <v>6</v>
      </c>
      <c r="D1150" s="1" t="s">
        <v>1610</v>
      </c>
      <c r="E1150" s="1" t="n">
        <v>8</v>
      </c>
      <c r="F1150" s="1" t="n">
        <v>28.51</v>
      </c>
      <c r="G1150" s="1" t="n">
        <v>0</v>
      </c>
      <c r="H1150" s="1" t="s">
        <v>1336</v>
      </c>
      <c r="I1150" s="1" t="n">
        <v>228.08</v>
      </c>
      <c r="J1150" s="1" t="str">
        <f aca="false">VLOOKUP(B1150,Customers!$A$2:$G$502,6,FALSE())</f>
        <v>Corporate</v>
      </c>
      <c r="K1150" s="1" t="str">
        <f aca="false">VLOOKUP(C1150,Products!$A$2:$E$62,3,FALSE())</f>
        <v>Electronics</v>
      </c>
      <c r="L1150" s="1" t="str">
        <f aca="false">TEXT(D1150,"yyyy-mm")</f>
        <v>2024-10</v>
      </c>
    </row>
    <row r="1151" customFormat="false" ht="15" hidden="false" customHeight="true" outlineLevel="0" collapsed="false">
      <c r="A1151" s="1" t="n">
        <v>1177</v>
      </c>
      <c r="B1151" s="1" t="n">
        <v>374</v>
      </c>
      <c r="C1151" s="1" t="n">
        <v>42</v>
      </c>
      <c r="D1151" s="1" t="s">
        <v>1469</v>
      </c>
      <c r="E1151" s="1" t="n">
        <v>3</v>
      </c>
      <c r="F1151" s="1" t="n">
        <v>174.48</v>
      </c>
      <c r="G1151" s="1" t="n">
        <v>0</v>
      </c>
      <c r="H1151" s="1" t="s">
        <v>1336</v>
      </c>
      <c r="I1151" s="1" t="n">
        <v>523.44</v>
      </c>
      <c r="J1151" s="1" t="str">
        <f aca="false">VLOOKUP(B1151,Customers!$A$2:$G$502,6,FALSE())</f>
        <v>Consumer</v>
      </c>
      <c r="K1151" s="1" t="str">
        <f aca="false">VLOOKUP(C1151,Products!$A$2:$E$62,3,FALSE())</f>
        <v>Software</v>
      </c>
      <c r="L1151" s="1" t="str">
        <f aca="false">TEXT(D1151,"yyyy-mm")</f>
        <v>2023-11</v>
      </c>
    </row>
    <row r="1152" customFormat="false" ht="15" hidden="false" customHeight="true" outlineLevel="0" collapsed="false">
      <c r="A1152" s="1" t="n">
        <v>1178</v>
      </c>
      <c r="B1152" s="1" t="n">
        <v>80</v>
      </c>
      <c r="C1152" s="1" t="n">
        <v>9</v>
      </c>
      <c r="D1152" s="1" t="s">
        <v>1374</v>
      </c>
      <c r="E1152" s="1" t="n">
        <v>3</v>
      </c>
      <c r="F1152" s="1" t="n">
        <v>203.1</v>
      </c>
      <c r="G1152" s="1" t="n">
        <v>0.05</v>
      </c>
      <c r="H1152" s="1" t="s">
        <v>1336</v>
      </c>
      <c r="I1152" s="1" t="n">
        <v>578.83</v>
      </c>
      <c r="J1152" s="1" t="str">
        <f aca="false">VLOOKUP(B1152,Customers!$A$2:$G$502,6,FALSE())</f>
        <v>Consumer</v>
      </c>
      <c r="K1152" s="1" t="str">
        <f aca="false">VLOOKUP(C1152,Products!$A$2:$E$62,3,FALSE())</f>
        <v>Electronics</v>
      </c>
      <c r="L1152" s="1" t="str">
        <f aca="false">TEXT(D1152,"yyyy-mm")</f>
        <v>2024-12</v>
      </c>
    </row>
    <row r="1153" customFormat="false" ht="15" hidden="false" customHeight="true" outlineLevel="0" collapsed="false">
      <c r="A1153" s="1" t="n">
        <v>1179</v>
      </c>
      <c r="B1153" s="1" t="n">
        <v>339</v>
      </c>
      <c r="C1153" s="1" t="n">
        <v>19</v>
      </c>
      <c r="D1153" s="1" t="s">
        <v>1487</v>
      </c>
      <c r="E1153" s="1" t="n">
        <v>8</v>
      </c>
      <c r="F1153" s="1" t="n">
        <v>163.64</v>
      </c>
      <c r="G1153" s="1" t="n">
        <v>0.1</v>
      </c>
      <c r="H1153" s="1" t="s">
        <v>1336</v>
      </c>
      <c r="I1153" s="1" t="n">
        <v>1178.21</v>
      </c>
      <c r="J1153" s="1" t="str">
        <f aca="false">VLOOKUP(B1153,Customers!$A$2:$G$502,6,FALSE())</f>
        <v>Corporate</v>
      </c>
      <c r="K1153" s="1" t="str">
        <f aca="false">VLOOKUP(C1153,Products!$A$2:$E$62,3,FALSE())</f>
        <v>Office Supplies</v>
      </c>
      <c r="L1153" s="1" t="str">
        <f aca="false">TEXT(D1153,"yyyy-mm")</f>
        <v>2024-01</v>
      </c>
    </row>
    <row r="1154" customFormat="false" ht="15" hidden="false" customHeight="true" outlineLevel="0" collapsed="false">
      <c r="A1154" s="1" t="n">
        <v>1180</v>
      </c>
      <c r="B1154" s="1" t="n">
        <v>495</v>
      </c>
      <c r="C1154" s="1" t="n">
        <v>10</v>
      </c>
      <c r="D1154" s="1" t="s">
        <v>432</v>
      </c>
      <c r="E1154" s="1" t="n">
        <v>8</v>
      </c>
      <c r="F1154" s="1" t="n">
        <v>251.58</v>
      </c>
      <c r="G1154" s="1" t="n">
        <v>0</v>
      </c>
      <c r="H1154" s="1" t="s">
        <v>1336</v>
      </c>
      <c r="I1154" s="1" t="n">
        <v>2012.64</v>
      </c>
      <c r="J1154" s="1" t="str">
        <f aca="false">VLOOKUP(B1154,Customers!$A$2:$G$502,6,FALSE())</f>
        <v>Small Business</v>
      </c>
      <c r="K1154" s="1" t="str">
        <f aca="false">VLOOKUP(C1154,Products!$A$2:$E$62,3,FALSE())</f>
        <v>Electronics</v>
      </c>
      <c r="L1154" s="1" t="str">
        <f aca="false">TEXT(D1154,"yyyy-mm")</f>
        <v>2024-11</v>
      </c>
    </row>
    <row r="1155" customFormat="false" ht="15" hidden="false" customHeight="true" outlineLevel="0" collapsed="false">
      <c r="A1155" s="1" t="n">
        <v>1181</v>
      </c>
      <c r="B1155" s="1" t="n">
        <v>105</v>
      </c>
      <c r="C1155" s="1" t="n">
        <v>20</v>
      </c>
      <c r="D1155" s="1" t="s">
        <v>1605</v>
      </c>
      <c r="E1155" s="1" t="n">
        <v>2</v>
      </c>
      <c r="F1155" s="1" t="n">
        <v>426.15</v>
      </c>
      <c r="G1155" s="1" t="n">
        <v>0.15</v>
      </c>
      <c r="H1155" s="1" t="s">
        <v>1336</v>
      </c>
      <c r="I1155" s="1" t="n">
        <v>724.46</v>
      </c>
      <c r="J1155" s="1" t="str">
        <f aca="false">VLOOKUP(B1155,Customers!$A$2:$G$502,6,FALSE())</f>
        <v>Corporate</v>
      </c>
      <c r="K1155" s="1" t="str">
        <f aca="false">VLOOKUP(C1155,Products!$A$2:$E$62,3,FALSE())</f>
        <v>Office Supplies</v>
      </c>
      <c r="L1155" s="1" t="str">
        <f aca="false">TEXT(D1155,"yyyy-mm")</f>
        <v>2024-02</v>
      </c>
    </row>
    <row r="1156" customFormat="false" ht="15" hidden="false" customHeight="true" outlineLevel="0" collapsed="false">
      <c r="A1156" s="1" t="n">
        <v>1182</v>
      </c>
      <c r="B1156" s="1" t="n">
        <v>14</v>
      </c>
      <c r="C1156" s="1" t="n">
        <v>22</v>
      </c>
      <c r="D1156" s="1" t="s">
        <v>1393</v>
      </c>
      <c r="E1156" s="1" t="n">
        <v>8</v>
      </c>
      <c r="F1156" s="1" t="n">
        <v>38.57</v>
      </c>
      <c r="G1156" s="1" t="n">
        <v>0.05</v>
      </c>
      <c r="H1156" s="1" t="s">
        <v>1336</v>
      </c>
      <c r="I1156" s="1" t="n">
        <v>293.13</v>
      </c>
      <c r="J1156" s="1" t="str">
        <f aca="false">VLOOKUP(B1156,Customers!$A$2:$G$502,6,FALSE())</f>
        <v>Small Business</v>
      </c>
      <c r="K1156" s="1" t="str">
        <f aca="false">VLOOKUP(C1156,Products!$A$2:$E$62,3,FALSE())</f>
        <v>Office Supplies</v>
      </c>
      <c r="L1156" s="1" t="str">
        <f aca="false">TEXT(D1156,"yyyy-mm")</f>
        <v>2023-01</v>
      </c>
    </row>
    <row r="1157" customFormat="false" ht="15" hidden="false" customHeight="true" outlineLevel="0" collapsed="false">
      <c r="A1157" s="1" t="n">
        <v>1183</v>
      </c>
      <c r="B1157" s="1" t="n">
        <v>194</v>
      </c>
      <c r="C1157" s="1" t="n">
        <v>49</v>
      </c>
      <c r="D1157" s="1" t="s">
        <v>780</v>
      </c>
      <c r="E1157" s="1" t="n">
        <v>1</v>
      </c>
      <c r="F1157" s="1" t="n">
        <v>325.17</v>
      </c>
      <c r="G1157" s="1" t="n">
        <v>0</v>
      </c>
      <c r="H1157" s="1" t="s">
        <v>1336</v>
      </c>
      <c r="I1157" s="1" t="n">
        <v>325.17</v>
      </c>
      <c r="J1157" s="1" t="str">
        <f aca="false">VLOOKUP(B1157,Customers!$A$2:$G$502,6,FALSE())</f>
        <v>Corporate</v>
      </c>
      <c r="K1157" s="1" t="str">
        <f aca="false">VLOOKUP(C1157,Products!$A$2:$E$62,3,FALSE())</f>
        <v>Software</v>
      </c>
      <c r="L1157" s="1" t="str">
        <f aca="false">TEXT(D1157,"yyyy-mm")</f>
        <v>2024-09</v>
      </c>
    </row>
    <row r="1158" customFormat="false" ht="15" hidden="false" customHeight="true" outlineLevel="0" collapsed="false">
      <c r="A1158" s="1" t="n">
        <v>1184</v>
      </c>
      <c r="B1158" s="1" t="n">
        <v>48</v>
      </c>
      <c r="C1158" s="1" t="n">
        <v>27</v>
      </c>
      <c r="D1158" s="1" t="s">
        <v>1001</v>
      </c>
      <c r="E1158" s="1" t="n">
        <v>6</v>
      </c>
      <c r="F1158" s="1" t="n">
        <v>772.58</v>
      </c>
      <c r="G1158" s="1" t="n">
        <v>0</v>
      </c>
      <c r="H1158" s="1" t="s">
        <v>1370</v>
      </c>
      <c r="I1158" s="1" t="n">
        <v>4635.48</v>
      </c>
      <c r="J1158" s="1" t="str">
        <f aca="false">VLOOKUP(B1158,Customers!$A$2:$G$502,6,FALSE())</f>
        <v>Small Business</v>
      </c>
      <c r="K1158" s="1" t="str">
        <f aca="false">VLOOKUP(C1158,Products!$A$2:$E$62,3,FALSE())</f>
        <v>Office Supplies</v>
      </c>
      <c r="L1158" s="1" t="str">
        <f aca="false">TEXT(D1158,"yyyy-mm")</f>
        <v>2023-03</v>
      </c>
    </row>
    <row r="1159" customFormat="false" ht="15" hidden="false" customHeight="true" outlineLevel="0" collapsed="false">
      <c r="A1159" s="1" t="n">
        <v>1185</v>
      </c>
      <c r="B1159" s="1" t="n">
        <v>226</v>
      </c>
      <c r="C1159" s="1" t="n">
        <v>9</v>
      </c>
      <c r="D1159" s="1" t="s">
        <v>1616</v>
      </c>
      <c r="E1159" s="1" t="n">
        <v>8</v>
      </c>
      <c r="F1159" s="1" t="n">
        <v>203.1</v>
      </c>
      <c r="G1159" s="1" t="n">
        <v>0.2</v>
      </c>
      <c r="H1159" s="1" t="s">
        <v>1336</v>
      </c>
      <c r="I1159" s="1" t="n">
        <v>1299.84</v>
      </c>
      <c r="J1159" s="1" t="str">
        <f aca="false">VLOOKUP(B1159,Customers!$A$2:$G$502,6,FALSE())</f>
        <v>Corporate</v>
      </c>
      <c r="K1159" s="1" t="str">
        <f aca="false">VLOOKUP(C1159,Products!$A$2:$E$62,3,FALSE())</f>
        <v>Electronics</v>
      </c>
      <c r="L1159" s="1" t="str">
        <f aca="false">TEXT(D1159,"yyyy-mm")</f>
        <v>2024-09</v>
      </c>
    </row>
    <row r="1160" customFormat="false" ht="15" hidden="false" customHeight="true" outlineLevel="0" collapsed="false">
      <c r="A1160" s="1" t="n">
        <v>1186</v>
      </c>
      <c r="B1160" s="1" t="n">
        <v>66</v>
      </c>
      <c r="C1160" s="1" t="n">
        <v>21</v>
      </c>
      <c r="D1160" s="1" t="s">
        <v>467</v>
      </c>
      <c r="E1160" s="1" t="n">
        <v>3</v>
      </c>
      <c r="F1160" s="1" t="n">
        <v>84.91</v>
      </c>
      <c r="G1160" s="1" t="n">
        <v>0.1</v>
      </c>
      <c r="H1160" s="1" t="s">
        <v>1336</v>
      </c>
      <c r="I1160" s="1" t="n">
        <v>229.26</v>
      </c>
      <c r="J1160" s="1" t="str">
        <f aca="false">VLOOKUP(B1160,Customers!$A$2:$G$502,6,FALSE())</f>
        <v>Corporate</v>
      </c>
      <c r="K1160" s="1" t="str">
        <f aca="false">VLOOKUP(C1160,Products!$A$2:$E$62,3,FALSE())</f>
        <v>Office Supplies</v>
      </c>
      <c r="L1160" s="1" t="str">
        <f aca="false">TEXT(D1160,"yyyy-mm")</f>
        <v>2024-11</v>
      </c>
    </row>
    <row r="1161" customFormat="false" ht="15" hidden="false" customHeight="true" outlineLevel="0" collapsed="false">
      <c r="A1161" s="1" t="n">
        <v>1187</v>
      </c>
      <c r="B1161" s="1" t="n">
        <v>384</v>
      </c>
      <c r="C1161" s="1" t="n">
        <v>54</v>
      </c>
      <c r="D1161" s="1" t="s">
        <v>1367</v>
      </c>
      <c r="E1161" s="1" t="n">
        <v>8</v>
      </c>
      <c r="F1161" s="1" t="n">
        <v>312.01</v>
      </c>
      <c r="G1161" s="1" t="n">
        <v>0</v>
      </c>
      <c r="H1161" s="1" t="s">
        <v>1336</v>
      </c>
      <c r="I1161" s="1" t="n">
        <v>2496.08</v>
      </c>
      <c r="J1161" s="1" t="str">
        <f aca="false">VLOOKUP(B1161,Customers!$A$2:$G$502,6,FALSE())</f>
        <v>Corporate</v>
      </c>
      <c r="K1161" s="1" t="str">
        <f aca="false">VLOOKUP(C1161,Products!$A$2:$E$62,3,FALSE())</f>
        <v>Software</v>
      </c>
      <c r="L1161" s="1" t="str">
        <f aca="false">TEXT(D1161,"yyyy-mm")</f>
        <v>2024-08</v>
      </c>
    </row>
    <row r="1162" customFormat="false" ht="15" hidden="false" customHeight="true" outlineLevel="0" collapsed="false">
      <c r="A1162" s="1" t="n">
        <v>1188</v>
      </c>
      <c r="B1162" s="1" t="n">
        <v>338</v>
      </c>
      <c r="C1162" s="1" t="n">
        <v>6</v>
      </c>
      <c r="D1162" s="1" t="s">
        <v>1617</v>
      </c>
      <c r="E1162" s="1" t="n">
        <v>1</v>
      </c>
      <c r="F1162" s="1" t="n">
        <v>28.51</v>
      </c>
      <c r="G1162" s="1" t="n">
        <v>0.15</v>
      </c>
      <c r="H1162" s="1" t="s">
        <v>1336</v>
      </c>
      <c r="I1162" s="1" t="n">
        <v>24.23</v>
      </c>
      <c r="J1162" s="1" t="str">
        <f aca="false">VLOOKUP(B1162,Customers!$A$2:$G$502,6,FALSE())</f>
        <v>Corporate</v>
      </c>
      <c r="K1162" s="1" t="str">
        <f aca="false">VLOOKUP(C1162,Products!$A$2:$E$62,3,FALSE())</f>
        <v>Electronics</v>
      </c>
      <c r="L1162" s="1" t="str">
        <f aca="false">TEXT(D1162,"yyyy-mm")</f>
        <v>2023-04</v>
      </c>
    </row>
    <row r="1163" customFormat="false" ht="15" hidden="false" customHeight="true" outlineLevel="0" collapsed="false">
      <c r="A1163" s="1" t="n">
        <v>1189</v>
      </c>
      <c r="B1163" s="1" t="n">
        <v>95</v>
      </c>
      <c r="C1163" s="1" t="n">
        <v>47</v>
      </c>
      <c r="D1163" s="1" t="s">
        <v>719</v>
      </c>
      <c r="E1163" s="1" t="n">
        <v>9</v>
      </c>
      <c r="F1163" s="1" t="n">
        <v>506.19</v>
      </c>
      <c r="G1163" s="1" t="n">
        <v>0</v>
      </c>
      <c r="H1163" s="1" t="s">
        <v>1336</v>
      </c>
      <c r="I1163" s="1" t="n">
        <v>4555.71</v>
      </c>
      <c r="J1163" s="1" t="str">
        <f aca="false">VLOOKUP(B1163,Customers!$A$2:$G$502,6,FALSE())</f>
        <v>Corporate</v>
      </c>
      <c r="K1163" s="1" t="str">
        <f aca="false">VLOOKUP(C1163,Products!$A$2:$E$62,3,FALSE())</f>
        <v>Software</v>
      </c>
      <c r="L1163" s="1" t="str">
        <f aca="false">TEXT(D1163,"yyyy-mm")</f>
        <v>2024-11</v>
      </c>
    </row>
    <row r="1164" customFormat="false" ht="15" hidden="false" customHeight="true" outlineLevel="0" collapsed="false">
      <c r="A1164" s="1" t="n">
        <v>1190</v>
      </c>
      <c r="B1164" s="1" t="n">
        <v>296</v>
      </c>
      <c r="C1164" s="1" t="n">
        <v>57</v>
      </c>
      <c r="D1164" s="1" t="s">
        <v>151</v>
      </c>
      <c r="E1164" s="1" t="n">
        <v>9</v>
      </c>
      <c r="F1164" s="1" t="n">
        <v>719.76</v>
      </c>
      <c r="G1164" s="1" t="n">
        <v>0.2</v>
      </c>
      <c r="H1164" s="1" t="s">
        <v>1346</v>
      </c>
      <c r="I1164" s="1" t="n">
        <v>5182.27</v>
      </c>
      <c r="J1164" s="1" t="str">
        <f aca="false">VLOOKUP(B1164,Customers!$A$2:$G$502,6,FALSE())</f>
        <v>Corporate</v>
      </c>
      <c r="K1164" s="1" t="str">
        <f aca="false">VLOOKUP(C1164,Products!$A$2:$E$62,3,FALSE())</f>
        <v>Furniture</v>
      </c>
      <c r="L1164" s="1" t="str">
        <f aca="false">TEXT(D1164,"yyyy-mm")</f>
        <v>2023-10</v>
      </c>
    </row>
    <row r="1165" customFormat="false" ht="15" hidden="false" customHeight="true" outlineLevel="0" collapsed="false">
      <c r="A1165" s="1" t="n">
        <v>1191</v>
      </c>
      <c r="B1165" s="1" t="n">
        <v>378</v>
      </c>
      <c r="C1165" s="1" t="n">
        <v>60</v>
      </c>
      <c r="D1165" s="1" t="s">
        <v>1516</v>
      </c>
      <c r="E1165" s="1" t="n">
        <v>5</v>
      </c>
      <c r="F1165" s="1" t="n">
        <v>584.98</v>
      </c>
      <c r="G1165" s="1" t="n">
        <v>0.15</v>
      </c>
      <c r="H1165" s="1" t="s">
        <v>1346</v>
      </c>
      <c r="I1165" s="1" t="n">
        <v>2486.16</v>
      </c>
      <c r="J1165" s="1" t="str">
        <f aca="false">VLOOKUP(B1165,Customers!$A$2:$G$502,6,FALSE())</f>
        <v>Small Business</v>
      </c>
      <c r="K1165" s="1" t="str">
        <f aca="false">VLOOKUP(C1165,Products!$A$2:$E$62,3,FALSE())</f>
        <v>Furniture</v>
      </c>
      <c r="L1165" s="1" t="str">
        <f aca="false">TEXT(D1165,"yyyy-mm")</f>
        <v>2023-02</v>
      </c>
    </row>
    <row r="1166" customFormat="false" ht="15" hidden="false" customHeight="true" outlineLevel="0" collapsed="false">
      <c r="A1166" s="1" t="n">
        <v>1192</v>
      </c>
      <c r="B1166" s="1" t="n">
        <v>94</v>
      </c>
      <c r="C1166" s="1" t="n">
        <v>1</v>
      </c>
      <c r="D1166" s="1" t="s">
        <v>56</v>
      </c>
      <c r="E1166" s="1" t="n">
        <v>4</v>
      </c>
      <c r="F1166" s="1" t="n">
        <v>327.32</v>
      </c>
      <c r="G1166" s="1" t="n">
        <v>0.15</v>
      </c>
      <c r="H1166" s="1" t="s">
        <v>1336</v>
      </c>
      <c r="I1166" s="1" t="n">
        <v>1112.89</v>
      </c>
      <c r="J1166" s="1" t="str">
        <f aca="false">VLOOKUP(B1166,Customers!$A$2:$G$502,6,FALSE())</f>
        <v>Small Business</v>
      </c>
      <c r="K1166" s="1" t="str">
        <f aca="false">VLOOKUP(C1166,Products!$A$2:$E$62,3,FALSE())</f>
        <v>Electronics</v>
      </c>
      <c r="L1166" s="1" t="str">
        <f aca="false">TEXT(D1166,"yyyy-mm")</f>
        <v>2023-05</v>
      </c>
    </row>
    <row r="1167" customFormat="false" ht="15" hidden="false" customHeight="true" outlineLevel="0" collapsed="false">
      <c r="A1167" s="1" t="n">
        <v>1193</v>
      </c>
      <c r="B1167" s="1" t="n">
        <v>293</v>
      </c>
      <c r="C1167" s="1" t="n">
        <v>31</v>
      </c>
      <c r="D1167" s="1" t="s">
        <v>314</v>
      </c>
      <c r="E1167" s="1" t="n">
        <v>6</v>
      </c>
      <c r="F1167" s="1" t="n">
        <v>224.86</v>
      </c>
      <c r="G1167" s="1" t="n">
        <v>0.2</v>
      </c>
      <c r="H1167" s="1" t="s">
        <v>1336</v>
      </c>
      <c r="I1167" s="1" t="n">
        <v>1079.33</v>
      </c>
      <c r="J1167" s="1" t="str">
        <f aca="false">VLOOKUP(B1167,Customers!$A$2:$G$502,6,FALSE())</f>
        <v>Small Business</v>
      </c>
      <c r="K1167" s="1" t="str">
        <f aca="false">VLOOKUP(C1167,Products!$A$2:$E$62,3,FALSE())</f>
        <v>Office Supplies</v>
      </c>
      <c r="L1167" s="1" t="str">
        <f aca="false">TEXT(D1167,"yyyy-mm")</f>
        <v>2024-05</v>
      </c>
    </row>
    <row r="1168" customFormat="false" ht="15" hidden="false" customHeight="true" outlineLevel="0" collapsed="false">
      <c r="A1168" s="1" t="n">
        <v>1194</v>
      </c>
      <c r="B1168" s="1" t="n">
        <v>232</v>
      </c>
      <c r="C1168" s="1" t="n">
        <v>14</v>
      </c>
      <c r="D1168" s="1" t="s">
        <v>1618</v>
      </c>
      <c r="E1168" s="1" t="n">
        <v>7</v>
      </c>
      <c r="F1168" s="1" t="n">
        <v>135.27</v>
      </c>
      <c r="G1168" s="1" t="n">
        <v>0.1</v>
      </c>
      <c r="H1168" s="1" t="s">
        <v>1336</v>
      </c>
      <c r="I1168" s="1" t="n">
        <v>852.2</v>
      </c>
      <c r="J1168" s="1" t="str">
        <f aca="false">VLOOKUP(B1168,Customers!$A$2:$G$502,6,FALSE())</f>
        <v>Corporate</v>
      </c>
      <c r="K1168" s="1" t="str">
        <f aca="false">VLOOKUP(C1168,Products!$A$2:$E$62,3,FALSE())</f>
        <v>Electronics</v>
      </c>
      <c r="L1168" s="1" t="str">
        <f aca="false">TEXT(D1168,"yyyy-mm")</f>
        <v>2024-04</v>
      </c>
    </row>
    <row r="1169" customFormat="false" ht="15" hidden="false" customHeight="true" outlineLevel="0" collapsed="false">
      <c r="A1169" s="1" t="n">
        <v>1195</v>
      </c>
      <c r="B1169" s="1" t="n">
        <v>264</v>
      </c>
      <c r="C1169" s="1" t="n">
        <v>60</v>
      </c>
      <c r="D1169" s="1" t="s">
        <v>1619</v>
      </c>
      <c r="E1169" s="1" t="n">
        <v>5</v>
      </c>
      <c r="F1169" s="1" t="n">
        <v>584.98</v>
      </c>
      <c r="G1169" s="1" t="n">
        <v>0</v>
      </c>
      <c r="H1169" s="1" t="s">
        <v>1370</v>
      </c>
      <c r="I1169" s="1" t="n">
        <v>2924.9</v>
      </c>
      <c r="J1169" s="1" t="str">
        <f aca="false">VLOOKUP(B1169,Customers!$A$2:$G$502,6,FALSE())</f>
        <v>Small Business</v>
      </c>
      <c r="K1169" s="1" t="str">
        <f aca="false">VLOOKUP(C1169,Products!$A$2:$E$62,3,FALSE())</f>
        <v>Furniture</v>
      </c>
      <c r="L1169" s="1" t="str">
        <f aca="false">TEXT(D1169,"yyyy-mm")</f>
        <v>2023-12</v>
      </c>
    </row>
    <row r="1170" customFormat="false" ht="15" hidden="false" customHeight="true" outlineLevel="0" collapsed="false">
      <c r="A1170" s="1" t="n">
        <v>1196</v>
      </c>
      <c r="B1170" s="1" t="n">
        <v>396</v>
      </c>
      <c r="C1170" s="1" t="n">
        <v>36</v>
      </c>
      <c r="D1170" s="1" t="s">
        <v>1620</v>
      </c>
      <c r="E1170" s="1" t="n">
        <v>9</v>
      </c>
      <c r="F1170" s="1" t="n">
        <v>424.45</v>
      </c>
      <c r="G1170" s="1" t="n">
        <v>0.15</v>
      </c>
      <c r="H1170" s="1" t="s">
        <v>1336</v>
      </c>
      <c r="I1170" s="1" t="n">
        <v>3247.04</v>
      </c>
      <c r="J1170" s="1" t="str">
        <f aca="false">VLOOKUP(B1170,Customers!$A$2:$G$502,6,FALSE())</f>
        <v>Small Business</v>
      </c>
      <c r="K1170" s="1" t="str">
        <f aca="false">VLOOKUP(C1170,Products!$A$2:$E$62,3,FALSE())</f>
        <v>Software</v>
      </c>
      <c r="L1170" s="1" t="str">
        <f aca="false">TEXT(D1170,"yyyy-mm")</f>
        <v>2024-04</v>
      </c>
    </row>
    <row r="1171" customFormat="false" ht="15" hidden="false" customHeight="true" outlineLevel="0" collapsed="false">
      <c r="A1171" s="1" t="n">
        <v>1197</v>
      </c>
      <c r="B1171" s="1" t="n">
        <v>401</v>
      </c>
      <c r="C1171" s="1" t="n">
        <v>24</v>
      </c>
      <c r="D1171" s="1" t="s">
        <v>1557</v>
      </c>
      <c r="E1171" s="1" t="n">
        <v>3</v>
      </c>
      <c r="F1171" s="1" t="n">
        <v>207.34</v>
      </c>
      <c r="G1171" s="1" t="n">
        <v>0.15</v>
      </c>
      <c r="H1171" s="1" t="s">
        <v>1336</v>
      </c>
      <c r="I1171" s="1" t="n">
        <v>528.72</v>
      </c>
      <c r="J1171" s="1" t="str">
        <f aca="false">VLOOKUP(B1171,Customers!$A$2:$G$502,6,FALSE())</f>
        <v>Consumer</v>
      </c>
      <c r="K1171" s="1" t="str">
        <f aca="false">VLOOKUP(C1171,Products!$A$2:$E$62,3,FALSE())</f>
        <v>Office Supplies</v>
      </c>
      <c r="L1171" s="1" t="str">
        <f aca="false">TEXT(D1171,"yyyy-mm")</f>
        <v>2024-03</v>
      </c>
    </row>
    <row r="1172" customFormat="false" ht="15" hidden="false" customHeight="true" outlineLevel="0" collapsed="false">
      <c r="A1172" s="1" t="n">
        <v>1198</v>
      </c>
      <c r="B1172" s="1" t="n">
        <v>425</v>
      </c>
      <c r="C1172" s="1" t="n">
        <v>8</v>
      </c>
      <c r="D1172" s="1" t="s">
        <v>1519</v>
      </c>
      <c r="E1172" s="1" t="n">
        <v>7</v>
      </c>
      <c r="F1172" s="1" t="n">
        <v>104.4</v>
      </c>
      <c r="G1172" s="1" t="n">
        <v>0.1</v>
      </c>
      <c r="H1172" s="1" t="s">
        <v>1336</v>
      </c>
      <c r="I1172" s="1" t="n">
        <v>657.72</v>
      </c>
      <c r="J1172" s="1" t="str">
        <f aca="false">VLOOKUP(B1172,Customers!$A$2:$G$502,6,FALSE())</f>
        <v>Unknown</v>
      </c>
      <c r="K1172" s="1" t="str">
        <f aca="false">VLOOKUP(C1172,Products!$A$2:$E$62,3,FALSE())</f>
        <v>Electronics</v>
      </c>
      <c r="L1172" s="1" t="str">
        <f aca="false">TEXT(D1172,"yyyy-mm")</f>
        <v>2023-05</v>
      </c>
    </row>
    <row r="1173" customFormat="false" ht="15" hidden="false" customHeight="true" outlineLevel="0" collapsed="false">
      <c r="A1173" s="1" t="n">
        <v>1199</v>
      </c>
      <c r="B1173" s="1" t="n">
        <v>284</v>
      </c>
      <c r="C1173" s="1" t="n">
        <v>6</v>
      </c>
      <c r="D1173" s="1" t="s">
        <v>1226</v>
      </c>
      <c r="E1173" s="1" t="n">
        <v>5</v>
      </c>
      <c r="F1173" s="1" t="n">
        <v>28.51</v>
      </c>
      <c r="G1173" s="1" t="n">
        <v>0</v>
      </c>
      <c r="H1173" s="1" t="s">
        <v>1336</v>
      </c>
      <c r="I1173" s="1" t="n">
        <v>142.55</v>
      </c>
      <c r="J1173" s="1" t="str">
        <f aca="false">VLOOKUP(B1173,Customers!$A$2:$G$502,6,FALSE())</f>
        <v>Consumer</v>
      </c>
      <c r="K1173" s="1" t="str">
        <f aca="false">VLOOKUP(C1173,Products!$A$2:$E$62,3,FALSE())</f>
        <v>Electronics</v>
      </c>
      <c r="L1173" s="1" t="str">
        <f aca="false">TEXT(D1173,"yyyy-mm")</f>
        <v>2024-05</v>
      </c>
    </row>
    <row r="1174" customFormat="false" ht="15" hidden="false" customHeight="true" outlineLevel="0" collapsed="false">
      <c r="A1174" s="1" t="n">
        <v>1200</v>
      </c>
      <c r="B1174" s="1" t="n">
        <v>431</v>
      </c>
      <c r="C1174" s="1" t="n">
        <v>44</v>
      </c>
      <c r="D1174" s="1" t="s">
        <v>1273</v>
      </c>
      <c r="E1174" s="1" t="n">
        <v>7</v>
      </c>
      <c r="F1174" s="1" t="n">
        <v>508.26</v>
      </c>
      <c r="G1174" s="1" t="n">
        <v>0.2</v>
      </c>
      <c r="H1174" s="1" t="s">
        <v>1336</v>
      </c>
      <c r="I1174" s="1" t="n">
        <v>2846.26</v>
      </c>
      <c r="J1174" s="1" t="str">
        <f aca="false">VLOOKUP(B1174,Customers!$A$2:$G$502,6,FALSE())</f>
        <v>Consumer</v>
      </c>
      <c r="K1174" s="1" t="str">
        <f aca="false">VLOOKUP(C1174,Products!$A$2:$E$62,3,FALSE())</f>
        <v>Software</v>
      </c>
      <c r="L1174" s="1" t="str">
        <f aca="false">TEXT(D1174,"yyyy-mm")</f>
        <v>2023-08</v>
      </c>
    </row>
    <row r="1175" customFormat="false" ht="15" hidden="false" customHeight="true" outlineLevel="0" collapsed="false">
      <c r="A1175" s="1" t="n">
        <v>1201</v>
      </c>
      <c r="B1175" s="1" t="n">
        <v>78</v>
      </c>
      <c r="C1175" s="1" t="n">
        <v>37</v>
      </c>
      <c r="D1175" s="1" t="s">
        <v>1428</v>
      </c>
      <c r="E1175" s="1" t="n">
        <v>2</v>
      </c>
      <c r="F1175" s="1" t="n">
        <v>13.95</v>
      </c>
      <c r="G1175" s="1" t="n">
        <v>0.1</v>
      </c>
      <c r="H1175" s="1" t="s">
        <v>1336</v>
      </c>
      <c r="I1175" s="1" t="n">
        <v>25.11</v>
      </c>
      <c r="J1175" s="1" t="str">
        <f aca="false">VLOOKUP(B1175,Customers!$A$2:$G$502,6,FALSE())</f>
        <v>Consumer</v>
      </c>
      <c r="K1175" s="1" t="str">
        <f aca="false">VLOOKUP(C1175,Products!$A$2:$E$62,3,FALSE())</f>
        <v>Software</v>
      </c>
      <c r="L1175" s="1" t="str">
        <f aca="false">TEXT(D1175,"yyyy-mm")</f>
        <v>2024-06</v>
      </c>
    </row>
    <row r="1176" customFormat="false" ht="15" hidden="false" customHeight="true" outlineLevel="0" collapsed="false">
      <c r="A1176" s="1" t="n">
        <v>1202</v>
      </c>
      <c r="B1176" s="1" t="n">
        <v>272</v>
      </c>
      <c r="C1176" s="1" t="n">
        <v>11</v>
      </c>
      <c r="D1176" s="1" t="s">
        <v>1525</v>
      </c>
      <c r="E1176" s="1" t="n">
        <v>4</v>
      </c>
      <c r="F1176" s="1" t="n">
        <v>328.39</v>
      </c>
      <c r="G1176" s="1" t="n">
        <v>0</v>
      </c>
      <c r="H1176" s="1" t="s">
        <v>1336</v>
      </c>
      <c r="I1176" s="1" t="n">
        <v>1313.56</v>
      </c>
      <c r="J1176" s="1" t="str">
        <f aca="false">VLOOKUP(B1176,Customers!$A$2:$G$502,6,FALSE())</f>
        <v>Consumer</v>
      </c>
      <c r="K1176" s="1" t="str">
        <f aca="false">VLOOKUP(C1176,Products!$A$2:$E$62,3,FALSE())</f>
        <v>Electronics</v>
      </c>
      <c r="L1176" s="1" t="str">
        <f aca="false">TEXT(D1176,"yyyy-mm")</f>
        <v>2024-01</v>
      </c>
    </row>
    <row r="1177" customFormat="false" ht="15" hidden="false" customHeight="true" outlineLevel="0" collapsed="false">
      <c r="A1177" s="1" t="n">
        <v>1203</v>
      </c>
      <c r="B1177" s="1" t="n">
        <v>432</v>
      </c>
      <c r="C1177" s="1" t="n">
        <v>60</v>
      </c>
      <c r="D1177" s="1" t="s">
        <v>1553</v>
      </c>
      <c r="E1177" s="1" t="n">
        <v>2</v>
      </c>
      <c r="F1177" s="1" t="n">
        <v>584.98</v>
      </c>
      <c r="G1177" s="1" t="n">
        <v>0.1</v>
      </c>
      <c r="H1177" s="1" t="s">
        <v>1370</v>
      </c>
      <c r="I1177" s="1" t="n">
        <v>1052.96</v>
      </c>
      <c r="J1177" s="1" t="str">
        <f aca="false">VLOOKUP(B1177,Customers!$A$2:$G$502,6,FALSE())</f>
        <v>Consumer</v>
      </c>
      <c r="K1177" s="1" t="str">
        <f aca="false">VLOOKUP(C1177,Products!$A$2:$E$62,3,FALSE())</f>
        <v>Furniture</v>
      </c>
      <c r="L1177" s="1" t="str">
        <f aca="false">TEXT(D1177,"yyyy-mm")</f>
        <v>2023-06</v>
      </c>
    </row>
    <row r="1178" customFormat="false" ht="15" hidden="false" customHeight="true" outlineLevel="0" collapsed="false">
      <c r="A1178" s="1" t="n">
        <v>1204</v>
      </c>
      <c r="B1178" s="1" t="n">
        <v>492</v>
      </c>
      <c r="C1178" s="1" t="n">
        <v>26</v>
      </c>
      <c r="D1178" s="1" t="s">
        <v>1157</v>
      </c>
      <c r="E1178" s="1" t="n">
        <v>7</v>
      </c>
      <c r="F1178" s="1" t="n">
        <v>733.85</v>
      </c>
      <c r="G1178" s="1" t="n">
        <v>0.05</v>
      </c>
      <c r="H1178" s="1" t="s">
        <v>1346</v>
      </c>
      <c r="I1178" s="1" t="n">
        <v>4880.1</v>
      </c>
      <c r="J1178" s="1" t="str">
        <f aca="false">VLOOKUP(B1178,Customers!$A$2:$G$502,6,FALSE())</f>
        <v>Consumer</v>
      </c>
      <c r="K1178" s="1" t="str">
        <f aca="false">VLOOKUP(C1178,Products!$A$2:$E$62,3,FALSE())</f>
        <v>Office Supplies</v>
      </c>
      <c r="L1178" s="1" t="str">
        <f aca="false">TEXT(D1178,"yyyy-mm")</f>
        <v>2023-10</v>
      </c>
    </row>
    <row r="1179" customFormat="false" ht="15" hidden="false" customHeight="true" outlineLevel="0" collapsed="false">
      <c r="A1179" s="1" t="n">
        <v>1205</v>
      </c>
      <c r="B1179" s="1" t="n">
        <v>70</v>
      </c>
      <c r="C1179" s="1" t="n">
        <v>47</v>
      </c>
      <c r="D1179" s="1" t="s">
        <v>689</v>
      </c>
      <c r="E1179" s="1" t="n">
        <v>2</v>
      </c>
      <c r="F1179" s="1" t="n">
        <v>506.19</v>
      </c>
      <c r="G1179" s="1" t="n">
        <v>0</v>
      </c>
      <c r="H1179" s="1" t="s">
        <v>1336</v>
      </c>
      <c r="I1179" s="1" t="n">
        <v>1012.38</v>
      </c>
      <c r="J1179" s="1" t="str">
        <f aca="false">VLOOKUP(B1179,Customers!$A$2:$G$502,6,FALSE())</f>
        <v>Corporate</v>
      </c>
      <c r="K1179" s="1" t="str">
        <f aca="false">VLOOKUP(C1179,Products!$A$2:$E$62,3,FALSE())</f>
        <v>Software</v>
      </c>
      <c r="L1179" s="1" t="str">
        <f aca="false">TEXT(D1179,"yyyy-mm")</f>
        <v>2023-11</v>
      </c>
    </row>
    <row r="1180" customFormat="false" ht="15" hidden="false" customHeight="true" outlineLevel="0" collapsed="false">
      <c r="A1180" s="1" t="n">
        <v>1206</v>
      </c>
      <c r="B1180" s="1" t="n">
        <v>376</v>
      </c>
      <c r="C1180" s="1" t="n">
        <v>40</v>
      </c>
      <c r="D1180" s="1" t="s">
        <v>1371</v>
      </c>
      <c r="E1180" s="1" t="n">
        <v>1</v>
      </c>
      <c r="F1180" s="1" t="n">
        <v>193.02</v>
      </c>
      <c r="G1180" s="1" t="n">
        <v>0</v>
      </c>
      <c r="H1180" s="1" t="s">
        <v>1336</v>
      </c>
      <c r="I1180" s="1" t="n">
        <v>193.02</v>
      </c>
      <c r="J1180" s="1" t="str">
        <f aca="false">VLOOKUP(B1180,Customers!$A$2:$G$502,6,FALSE())</f>
        <v>Consumer</v>
      </c>
      <c r="K1180" s="1" t="str">
        <f aca="false">VLOOKUP(C1180,Products!$A$2:$E$62,3,FALSE())</f>
        <v>Software</v>
      </c>
      <c r="L1180" s="1" t="str">
        <f aca="false">TEXT(D1180,"yyyy-mm")</f>
        <v>2024-08</v>
      </c>
    </row>
    <row r="1181" customFormat="false" ht="15" hidden="false" customHeight="true" outlineLevel="0" collapsed="false">
      <c r="A1181" s="1" t="n">
        <v>1207</v>
      </c>
      <c r="B1181" s="1" t="n">
        <v>392</v>
      </c>
      <c r="C1181" s="1" t="n">
        <v>52</v>
      </c>
      <c r="D1181" s="1" t="s">
        <v>94</v>
      </c>
      <c r="E1181" s="1" t="n">
        <v>9</v>
      </c>
      <c r="F1181" s="1" t="n">
        <v>207.67</v>
      </c>
      <c r="G1181" s="1" t="n">
        <v>0.05</v>
      </c>
      <c r="H1181" s="1" t="s">
        <v>1336</v>
      </c>
      <c r="I1181" s="1" t="n">
        <v>1775.58</v>
      </c>
      <c r="J1181" s="1" t="str">
        <f aca="false">VLOOKUP(B1181,Customers!$A$2:$G$502,6,FALSE())</f>
        <v>Corporate</v>
      </c>
      <c r="K1181" s="1" t="str">
        <f aca="false">VLOOKUP(C1181,Products!$A$2:$E$62,3,FALSE())</f>
        <v>Software</v>
      </c>
      <c r="L1181" s="1" t="str">
        <f aca="false">TEXT(D1181,"yyyy-mm")</f>
        <v>2023-09</v>
      </c>
    </row>
    <row r="1182" customFormat="false" ht="15" hidden="false" customHeight="true" outlineLevel="0" collapsed="false">
      <c r="A1182" s="1" t="n">
        <v>1208</v>
      </c>
      <c r="B1182" s="1" t="n">
        <v>428</v>
      </c>
      <c r="C1182" s="1" t="n">
        <v>23</v>
      </c>
      <c r="D1182" s="1" t="s">
        <v>1470</v>
      </c>
      <c r="E1182" s="1" t="n">
        <v>1</v>
      </c>
      <c r="F1182" s="1" t="n">
        <v>188.73</v>
      </c>
      <c r="G1182" s="1" t="n">
        <v>0</v>
      </c>
      <c r="H1182" s="1" t="s">
        <v>1370</v>
      </c>
      <c r="I1182" s="1" t="n">
        <v>188.73</v>
      </c>
      <c r="J1182" s="1" t="str">
        <f aca="false">VLOOKUP(B1182,Customers!$A$2:$G$502,6,FALSE())</f>
        <v>Corporate</v>
      </c>
      <c r="K1182" s="1" t="str">
        <f aca="false">VLOOKUP(C1182,Products!$A$2:$E$62,3,FALSE())</f>
        <v>Office Supplies</v>
      </c>
      <c r="L1182" s="1" t="str">
        <f aca="false">TEXT(D1182,"yyyy-mm")</f>
        <v>2023-03</v>
      </c>
    </row>
    <row r="1183" customFormat="false" ht="15" hidden="false" customHeight="true" outlineLevel="0" collapsed="false">
      <c r="A1183" s="1" t="n">
        <v>1209</v>
      </c>
      <c r="B1183" s="1" t="n">
        <v>379</v>
      </c>
      <c r="C1183" s="1" t="n">
        <v>38</v>
      </c>
      <c r="D1183" s="1" t="s">
        <v>1388</v>
      </c>
      <c r="E1183" s="1" t="n">
        <v>8</v>
      </c>
      <c r="F1183" s="1" t="n">
        <v>521.63</v>
      </c>
      <c r="G1183" s="1" t="n">
        <v>0</v>
      </c>
      <c r="H1183" s="1" t="s">
        <v>1336</v>
      </c>
      <c r="I1183" s="1" t="n">
        <v>4173.04</v>
      </c>
      <c r="J1183" s="1" t="str">
        <f aca="false">VLOOKUP(B1183,Customers!$A$2:$G$502,6,FALSE())</f>
        <v>Corporate</v>
      </c>
      <c r="K1183" s="1" t="str">
        <f aca="false">VLOOKUP(C1183,Products!$A$2:$E$62,3,FALSE())</f>
        <v>Software</v>
      </c>
      <c r="L1183" s="1" t="str">
        <f aca="false">TEXT(D1183,"yyyy-mm")</f>
        <v>2024-11</v>
      </c>
    </row>
    <row r="1184" customFormat="false" ht="15" hidden="false" customHeight="true" outlineLevel="0" collapsed="false">
      <c r="A1184" s="1" t="n">
        <v>1210</v>
      </c>
      <c r="B1184" s="1" t="n">
        <v>327</v>
      </c>
      <c r="C1184" s="1" t="n">
        <v>8</v>
      </c>
      <c r="D1184" s="1" t="s">
        <v>1621</v>
      </c>
      <c r="E1184" s="1" t="n">
        <v>2</v>
      </c>
      <c r="F1184" s="1" t="n">
        <v>104.4</v>
      </c>
      <c r="G1184" s="1" t="n">
        <v>0</v>
      </c>
      <c r="H1184" s="1" t="s">
        <v>1336</v>
      </c>
      <c r="I1184" s="1" t="n">
        <v>208.8</v>
      </c>
      <c r="J1184" s="1" t="str">
        <f aca="false">VLOOKUP(B1184,Customers!$A$2:$G$502,6,FALSE())</f>
        <v>Consumer</v>
      </c>
      <c r="K1184" s="1" t="str">
        <f aca="false">VLOOKUP(C1184,Products!$A$2:$E$62,3,FALSE())</f>
        <v>Electronics</v>
      </c>
      <c r="L1184" s="1" t="str">
        <f aca="false">TEXT(D1184,"yyyy-mm")</f>
        <v>2024-06</v>
      </c>
    </row>
    <row r="1185" customFormat="false" ht="15" hidden="false" customHeight="true" outlineLevel="0" collapsed="false">
      <c r="A1185" s="1" t="n">
        <v>1211</v>
      </c>
      <c r="B1185" s="1" t="n">
        <v>225</v>
      </c>
      <c r="C1185" s="1" t="n">
        <v>20</v>
      </c>
      <c r="D1185" s="1" t="s">
        <v>1438</v>
      </c>
      <c r="E1185" s="1" t="n">
        <v>8</v>
      </c>
      <c r="F1185" s="1" t="n">
        <v>426.15</v>
      </c>
      <c r="G1185" s="1" t="n">
        <v>0.1</v>
      </c>
      <c r="H1185" s="1" t="s">
        <v>1336</v>
      </c>
      <c r="I1185" s="1" t="n">
        <v>3068.28</v>
      </c>
      <c r="J1185" s="1" t="str">
        <f aca="false">VLOOKUP(B1185,Customers!$A$2:$G$502,6,FALSE())</f>
        <v>Consumer</v>
      </c>
      <c r="K1185" s="1" t="str">
        <f aca="false">VLOOKUP(C1185,Products!$A$2:$E$62,3,FALSE())</f>
        <v>Office Supplies</v>
      </c>
      <c r="L1185" s="1" t="str">
        <f aca="false">TEXT(D1185,"yyyy-mm")</f>
        <v>2023-05</v>
      </c>
    </row>
    <row r="1186" customFormat="false" ht="15" hidden="false" customHeight="true" outlineLevel="0" collapsed="false">
      <c r="A1186" s="1" t="n">
        <v>1212</v>
      </c>
      <c r="B1186" s="1" t="n">
        <v>467</v>
      </c>
      <c r="C1186" s="1" t="n">
        <v>47</v>
      </c>
      <c r="D1186" s="1" t="s">
        <v>1622</v>
      </c>
      <c r="E1186" s="1" t="n">
        <v>3</v>
      </c>
      <c r="F1186" s="1" t="n">
        <v>506.19</v>
      </c>
      <c r="G1186" s="1" t="n">
        <v>0</v>
      </c>
      <c r="H1186" s="1" t="s">
        <v>1370</v>
      </c>
      <c r="I1186" s="1" t="n">
        <v>1518.57</v>
      </c>
      <c r="J1186" s="1" t="str">
        <f aca="false">VLOOKUP(B1186,Customers!$A$2:$G$502,6,FALSE())</f>
        <v>Corporate</v>
      </c>
      <c r="K1186" s="1" t="str">
        <f aca="false">VLOOKUP(C1186,Products!$A$2:$E$62,3,FALSE())</f>
        <v>Software</v>
      </c>
      <c r="L1186" s="1" t="str">
        <f aca="false">TEXT(D1186,"yyyy-mm")</f>
        <v>2023-12</v>
      </c>
    </row>
    <row r="1187" customFormat="false" ht="15" hidden="false" customHeight="true" outlineLevel="0" collapsed="false">
      <c r="A1187" s="1" t="n">
        <v>1213</v>
      </c>
      <c r="B1187" s="1" t="n">
        <v>321</v>
      </c>
      <c r="C1187" s="1" t="n">
        <v>30</v>
      </c>
      <c r="D1187" s="1" t="s">
        <v>1557</v>
      </c>
      <c r="E1187" s="1" t="n">
        <v>6</v>
      </c>
      <c r="F1187" s="1" t="n">
        <v>33.32</v>
      </c>
      <c r="G1187" s="1" t="n">
        <v>0.1</v>
      </c>
      <c r="H1187" s="1" t="s">
        <v>1336</v>
      </c>
      <c r="I1187" s="1" t="n">
        <v>179.93</v>
      </c>
      <c r="J1187" s="1" t="str">
        <f aca="false">VLOOKUP(B1187,Customers!$A$2:$G$502,6,FALSE())</f>
        <v>Small Business</v>
      </c>
      <c r="K1187" s="1" t="str">
        <f aca="false">VLOOKUP(C1187,Products!$A$2:$E$62,3,FALSE())</f>
        <v>Office Supplies</v>
      </c>
      <c r="L1187" s="1" t="str">
        <f aca="false">TEXT(D1187,"yyyy-mm")</f>
        <v>2024-03</v>
      </c>
    </row>
    <row r="1188" customFormat="false" ht="15" hidden="false" customHeight="true" outlineLevel="0" collapsed="false">
      <c r="A1188" s="1" t="n">
        <v>1214</v>
      </c>
      <c r="B1188" s="1" t="n">
        <v>150</v>
      </c>
      <c r="C1188" s="1" t="n">
        <v>15</v>
      </c>
      <c r="D1188" s="1" t="s">
        <v>989</v>
      </c>
      <c r="E1188" s="1" t="n">
        <v>3</v>
      </c>
      <c r="F1188" s="1" t="n">
        <v>304.95</v>
      </c>
      <c r="G1188" s="1" t="n">
        <v>0</v>
      </c>
      <c r="H1188" s="1" t="s">
        <v>1336</v>
      </c>
      <c r="I1188" s="1" t="n">
        <v>914.85</v>
      </c>
      <c r="J1188" s="1" t="str">
        <f aca="false">VLOOKUP(B1188,Customers!$A$2:$G$502,6,FALSE())</f>
        <v>Corporate</v>
      </c>
      <c r="K1188" s="1" t="str">
        <f aca="false">VLOOKUP(C1188,Products!$A$2:$E$62,3,FALSE())</f>
        <v>Electronics</v>
      </c>
      <c r="L1188" s="1" t="str">
        <f aca="false">TEXT(D1188,"yyyy-mm")</f>
        <v>2024-06</v>
      </c>
    </row>
    <row r="1189" customFormat="false" ht="15" hidden="false" customHeight="true" outlineLevel="0" collapsed="false">
      <c r="A1189" s="1" t="n">
        <v>1215</v>
      </c>
      <c r="B1189" s="1" t="n">
        <v>124</v>
      </c>
      <c r="C1189" s="1" t="n">
        <v>56</v>
      </c>
      <c r="D1189" s="1" t="s">
        <v>1522</v>
      </c>
      <c r="E1189" s="1" t="n">
        <v>7</v>
      </c>
      <c r="F1189" s="1" t="n">
        <v>160.64</v>
      </c>
      <c r="G1189" s="1" t="n">
        <v>0.05</v>
      </c>
      <c r="H1189" s="1" t="s">
        <v>1336</v>
      </c>
      <c r="I1189" s="1" t="n">
        <v>1068.26</v>
      </c>
      <c r="J1189" s="1" t="str">
        <f aca="false">VLOOKUP(B1189,Customers!$A$2:$G$502,6,FALSE())</f>
        <v>Small Business</v>
      </c>
      <c r="K1189" s="1" t="str">
        <f aca="false">VLOOKUP(C1189,Products!$A$2:$E$62,3,FALSE())</f>
        <v>Furniture</v>
      </c>
      <c r="L1189" s="1" t="str">
        <f aca="false">TEXT(D1189,"yyyy-mm")</f>
        <v>2024-11</v>
      </c>
    </row>
    <row r="1190" customFormat="false" ht="15" hidden="false" customHeight="true" outlineLevel="0" collapsed="false">
      <c r="A1190" s="1" t="n">
        <v>1216</v>
      </c>
      <c r="B1190" s="1" t="n">
        <v>443</v>
      </c>
      <c r="C1190" s="1" t="n">
        <v>50</v>
      </c>
      <c r="D1190" s="1" t="s">
        <v>1377</v>
      </c>
      <c r="E1190" s="1" t="n">
        <v>9</v>
      </c>
      <c r="F1190" s="1" t="n">
        <v>19.73</v>
      </c>
      <c r="G1190" s="1" t="n">
        <v>0.2</v>
      </c>
      <c r="H1190" s="1" t="s">
        <v>1336</v>
      </c>
      <c r="I1190" s="1" t="n">
        <v>142.06</v>
      </c>
      <c r="J1190" s="1" t="str">
        <f aca="false">VLOOKUP(B1190,Customers!$A$2:$G$502,6,FALSE())</f>
        <v>Consumer</v>
      </c>
      <c r="K1190" s="1" t="str">
        <f aca="false">VLOOKUP(C1190,Products!$A$2:$E$62,3,FALSE())</f>
        <v>Software</v>
      </c>
      <c r="L1190" s="1" t="str">
        <f aca="false">TEXT(D1190,"yyyy-mm")</f>
        <v>2023-10</v>
      </c>
    </row>
    <row r="1191" customFormat="false" ht="15" hidden="false" customHeight="true" outlineLevel="0" collapsed="false">
      <c r="A1191" s="1" t="n">
        <v>1217</v>
      </c>
      <c r="B1191" s="1" t="n">
        <v>215</v>
      </c>
      <c r="C1191" s="1" t="n">
        <v>43</v>
      </c>
      <c r="D1191" s="1" t="s">
        <v>251</v>
      </c>
      <c r="E1191" s="1" t="n">
        <v>2</v>
      </c>
      <c r="F1191" s="1" t="n">
        <v>186.31</v>
      </c>
      <c r="G1191" s="1" t="n">
        <v>0</v>
      </c>
      <c r="H1191" s="1" t="s">
        <v>1336</v>
      </c>
      <c r="I1191" s="1" t="n">
        <v>372.62</v>
      </c>
      <c r="J1191" s="1" t="str">
        <f aca="false">VLOOKUP(B1191,Customers!$A$2:$G$502,6,FALSE())</f>
        <v>Corporate</v>
      </c>
      <c r="K1191" s="1" t="str">
        <f aca="false">VLOOKUP(C1191,Products!$A$2:$E$62,3,FALSE())</f>
        <v>Software</v>
      </c>
      <c r="L1191" s="1" t="str">
        <f aca="false">TEXT(D1191,"yyyy-mm")</f>
        <v>2023-09</v>
      </c>
    </row>
    <row r="1192" customFormat="false" ht="15" hidden="false" customHeight="true" outlineLevel="0" collapsed="false">
      <c r="A1192" s="1" t="n">
        <v>1218</v>
      </c>
      <c r="B1192" s="1" t="n">
        <v>254</v>
      </c>
      <c r="C1192" s="1" t="n">
        <v>15</v>
      </c>
      <c r="D1192" s="1" t="s">
        <v>941</v>
      </c>
      <c r="E1192" s="1" t="n">
        <v>5</v>
      </c>
      <c r="F1192" s="1" t="n">
        <v>304.95</v>
      </c>
      <c r="G1192" s="1" t="n">
        <v>0.05</v>
      </c>
      <c r="H1192" s="1" t="s">
        <v>1336</v>
      </c>
      <c r="I1192" s="1" t="n">
        <v>1448.51</v>
      </c>
      <c r="J1192" s="1" t="str">
        <f aca="false">VLOOKUP(B1192,Customers!$A$2:$G$502,6,FALSE())</f>
        <v>Small Business</v>
      </c>
      <c r="K1192" s="1" t="str">
        <f aca="false">VLOOKUP(C1192,Products!$A$2:$E$62,3,FALSE())</f>
        <v>Electronics</v>
      </c>
      <c r="L1192" s="1" t="str">
        <f aca="false">TEXT(D1192,"yyyy-mm")</f>
        <v>2024-08</v>
      </c>
    </row>
    <row r="1193" customFormat="false" ht="15" hidden="false" customHeight="true" outlineLevel="0" collapsed="false">
      <c r="A1193" s="1" t="n">
        <v>1219</v>
      </c>
      <c r="B1193" s="1" t="n">
        <v>288</v>
      </c>
      <c r="C1193" s="1" t="n">
        <v>39</v>
      </c>
      <c r="D1193" s="1" t="s">
        <v>732</v>
      </c>
      <c r="E1193" s="1" t="n">
        <v>6</v>
      </c>
      <c r="F1193" s="1" t="n">
        <v>400.02</v>
      </c>
      <c r="G1193" s="1" t="n">
        <v>0.05</v>
      </c>
      <c r="H1193" s="1" t="s">
        <v>1336</v>
      </c>
      <c r="I1193" s="1" t="n">
        <v>2280.11</v>
      </c>
      <c r="J1193" s="1" t="str">
        <f aca="false">VLOOKUP(B1193,Customers!$A$2:$G$502,6,FALSE())</f>
        <v>Small Business</v>
      </c>
      <c r="K1193" s="1" t="str">
        <f aca="false">VLOOKUP(C1193,Products!$A$2:$E$62,3,FALSE())</f>
        <v>Software</v>
      </c>
      <c r="L1193" s="1" t="str">
        <f aca="false">TEXT(D1193,"yyyy-mm")</f>
        <v>2024-08</v>
      </c>
    </row>
    <row r="1194" customFormat="false" ht="15" hidden="false" customHeight="true" outlineLevel="0" collapsed="false">
      <c r="A1194" s="1" t="n">
        <v>1220</v>
      </c>
      <c r="B1194" s="1" t="n">
        <v>56</v>
      </c>
      <c r="C1194" s="1" t="n">
        <v>38</v>
      </c>
      <c r="D1194" s="1" t="s">
        <v>1089</v>
      </c>
      <c r="E1194" s="1" t="n">
        <v>4</v>
      </c>
      <c r="F1194" s="1" t="n">
        <v>521.63</v>
      </c>
      <c r="G1194" s="1" t="n">
        <v>0</v>
      </c>
      <c r="H1194" s="1" t="s">
        <v>1336</v>
      </c>
      <c r="I1194" s="1" t="n">
        <v>2086.52</v>
      </c>
      <c r="J1194" s="1" t="str">
        <f aca="false">VLOOKUP(B1194,Customers!$A$2:$G$502,6,FALSE())</f>
        <v>Corporate</v>
      </c>
      <c r="K1194" s="1" t="str">
        <f aca="false">VLOOKUP(C1194,Products!$A$2:$E$62,3,FALSE())</f>
        <v>Software</v>
      </c>
      <c r="L1194" s="1" t="str">
        <f aca="false">TEXT(D1194,"yyyy-mm")</f>
        <v>2024-10</v>
      </c>
    </row>
    <row r="1195" customFormat="false" ht="15" hidden="false" customHeight="true" outlineLevel="0" collapsed="false">
      <c r="A1195" s="1" t="n">
        <v>1221</v>
      </c>
      <c r="B1195" s="1" t="n">
        <v>345</v>
      </c>
      <c r="C1195" s="1" t="n">
        <v>46</v>
      </c>
      <c r="D1195" s="1" t="s">
        <v>1623</v>
      </c>
      <c r="E1195" s="1" t="n">
        <v>4</v>
      </c>
      <c r="F1195" s="1" t="n">
        <v>94.92</v>
      </c>
      <c r="G1195" s="1" t="n">
        <v>0.05</v>
      </c>
      <c r="H1195" s="1" t="s">
        <v>1336</v>
      </c>
      <c r="I1195" s="1" t="n">
        <v>360.7</v>
      </c>
      <c r="J1195" s="1" t="str">
        <f aca="false">VLOOKUP(B1195,Customers!$A$2:$G$502,6,FALSE())</f>
        <v>Corporate</v>
      </c>
      <c r="K1195" s="1" t="str">
        <f aca="false">VLOOKUP(C1195,Products!$A$2:$E$62,3,FALSE())</f>
        <v>Software</v>
      </c>
      <c r="L1195" s="1" t="str">
        <f aca="false">TEXT(D1195,"yyyy-mm")</f>
        <v>2024-09</v>
      </c>
    </row>
    <row r="1196" customFormat="false" ht="15" hidden="false" customHeight="true" outlineLevel="0" collapsed="false">
      <c r="A1196" s="1" t="n">
        <v>1222</v>
      </c>
      <c r="B1196" s="1" t="n">
        <v>226</v>
      </c>
      <c r="C1196" s="1" t="n">
        <v>55</v>
      </c>
      <c r="D1196" s="1" t="s">
        <v>1555</v>
      </c>
      <c r="E1196" s="1" t="n">
        <v>4</v>
      </c>
      <c r="F1196" s="1" t="n">
        <v>123.38</v>
      </c>
      <c r="G1196" s="1" t="n">
        <v>0.1</v>
      </c>
      <c r="H1196" s="1" t="s">
        <v>1336</v>
      </c>
      <c r="I1196" s="1" t="n">
        <v>444.17</v>
      </c>
      <c r="J1196" s="1" t="str">
        <f aca="false">VLOOKUP(B1196,Customers!$A$2:$G$502,6,FALSE())</f>
        <v>Corporate</v>
      </c>
      <c r="K1196" s="1" t="str">
        <f aca="false">VLOOKUP(C1196,Products!$A$2:$E$62,3,FALSE())</f>
        <v>Furniture</v>
      </c>
      <c r="L1196" s="1" t="str">
        <f aca="false">TEXT(D1196,"yyyy-mm")</f>
        <v>2024-04</v>
      </c>
    </row>
    <row r="1197" customFormat="false" ht="15" hidden="false" customHeight="true" outlineLevel="0" collapsed="false">
      <c r="A1197" s="1" t="n">
        <v>1223</v>
      </c>
      <c r="B1197" s="1" t="n">
        <v>382</v>
      </c>
      <c r="C1197" s="1" t="n">
        <v>50</v>
      </c>
      <c r="D1197" s="1" t="s">
        <v>1495</v>
      </c>
      <c r="E1197" s="1" t="n">
        <v>2</v>
      </c>
      <c r="F1197" s="1" t="n">
        <v>19.73</v>
      </c>
      <c r="G1197" s="1" t="n">
        <v>0.15</v>
      </c>
      <c r="H1197" s="1" t="s">
        <v>1346</v>
      </c>
      <c r="I1197" s="1" t="n">
        <v>33.54</v>
      </c>
      <c r="J1197" s="1" t="str">
        <f aca="false">VLOOKUP(B1197,Customers!$A$2:$G$502,6,FALSE())</f>
        <v>Corporate</v>
      </c>
      <c r="K1197" s="1" t="str">
        <f aca="false">VLOOKUP(C1197,Products!$A$2:$E$62,3,FALSE())</f>
        <v>Software</v>
      </c>
      <c r="L1197" s="1" t="str">
        <f aca="false">TEXT(D1197,"yyyy-mm")</f>
        <v>2024-03</v>
      </c>
    </row>
    <row r="1198" customFormat="false" ht="15" hidden="false" customHeight="true" outlineLevel="0" collapsed="false">
      <c r="A1198" s="1" t="n">
        <v>1224</v>
      </c>
      <c r="B1198" s="1" t="n">
        <v>169</v>
      </c>
      <c r="C1198" s="1" t="n">
        <v>7</v>
      </c>
      <c r="D1198" s="1" t="s">
        <v>1375</v>
      </c>
      <c r="E1198" s="1" t="n">
        <v>4</v>
      </c>
      <c r="F1198" s="1" t="n">
        <v>460</v>
      </c>
      <c r="G1198" s="1" t="n">
        <v>0.05</v>
      </c>
      <c r="H1198" s="1" t="s">
        <v>1336</v>
      </c>
      <c r="I1198" s="1" t="n">
        <v>1748</v>
      </c>
      <c r="J1198" s="1" t="str">
        <f aca="false">VLOOKUP(B1198,Customers!$A$2:$G$502,6,FALSE())</f>
        <v>Consumer</v>
      </c>
      <c r="K1198" s="1" t="str">
        <f aca="false">VLOOKUP(C1198,Products!$A$2:$E$62,3,FALSE())</f>
        <v>Electronics</v>
      </c>
      <c r="L1198" s="1" t="str">
        <f aca="false">TEXT(D1198,"yyyy-mm")</f>
        <v>2023-10</v>
      </c>
    </row>
    <row r="1199" customFormat="false" ht="15" hidden="false" customHeight="true" outlineLevel="0" collapsed="false">
      <c r="A1199" s="1" t="n">
        <v>1225</v>
      </c>
      <c r="B1199" s="1" t="n">
        <v>420</v>
      </c>
      <c r="C1199" s="1" t="n">
        <v>44</v>
      </c>
      <c r="D1199" s="1" t="s">
        <v>1402</v>
      </c>
      <c r="E1199" s="1" t="n">
        <v>1</v>
      </c>
      <c r="F1199" s="1" t="n">
        <v>508.26</v>
      </c>
      <c r="G1199" s="1" t="n">
        <v>0</v>
      </c>
      <c r="H1199" s="1" t="s">
        <v>1370</v>
      </c>
      <c r="I1199" s="1" t="n">
        <v>508.26</v>
      </c>
      <c r="J1199" s="1" t="str">
        <f aca="false">VLOOKUP(B1199,Customers!$A$2:$G$502,6,FALSE())</f>
        <v>Small Business</v>
      </c>
      <c r="K1199" s="1" t="str">
        <f aca="false">VLOOKUP(C1199,Products!$A$2:$E$62,3,FALSE())</f>
        <v>Software</v>
      </c>
      <c r="L1199" s="1" t="str">
        <f aca="false">TEXT(D1199,"yyyy-mm")</f>
        <v>2023-12</v>
      </c>
    </row>
    <row r="1200" customFormat="false" ht="15" hidden="false" customHeight="true" outlineLevel="0" collapsed="false">
      <c r="A1200" s="1" t="n">
        <v>1226</v>
      </c>
      <c r="B1200" s="1" t="n">
        <v>235</v>
      </c>
      <c r="C1200" s="1" t="n">
        <v>45</v>
      </c>
      <c r="D1200" s="1" t="s">
        <v>363</v>
      </c>
      <c r="E1200" s="1" t="n">
        <v>6</v>
      </c>
      <c r="F1200" s="1" t="n">
        <v>560.01</v>
      </c>
      <c r="G1200" s="1" t="n">
        <v>0</v>
      </c>
      <c r="H1200" s="1" t="s">
        <v>1336</v>
      </c>
      <c r="I1200" s="1" t="n">
        <v>3360.06</v>
      </c>
      <c r="J1200" s="1" t="str">
        <f aca="false">VLOOKUP(B1200,Customers!$A$2:$G$502,6,FALSE())</f>
        <v>Small Business</v>
      </c>
      <c r="K1200" s="1" t="str">
        <f aca="false">VLOOKUP(C1200,Products!$A$2:$E$62,3,FALSE())</f>
        <v>Software</v>
      </c>
      <c r="L1200" s="1" t="str">
        <f aca="false">TEXT(D1200,"yyyy-mm")</f>
        <v>2024-10</v>
      </c>
    </row>
    <row r="1201" customFormat="false" ht="15" hidden="false" customHeight="true" outlineLevel="0" collapsed="false">
      <c r="A1201" s="1" t="n">
        <v>1227</v>
      </c>
      <c r="B1201" s="1" t="n">
        <v>332</v>
      </c>
      <c r="C1201" s="1" t="n">
        <v>21</v>
      </c>
      <c r="D1201" s="1" t="s">
        <v>106</v>
      </c>
      <c r="E1201" s="1" t="n">
        <v>1</v>
      </c>
      <c r="F1201" s="1" t="n">
        <v>84.91</v>
      </c>
      <c r="G1201" s="1" t="n">
        <v>0.2</v>
      </c>
      <c r="H1201" s="1" t="s">
        <v>1336</v>
      </c>
      <c r="I1201" s="1" t="n">
        <v>67.93</v>
      </c>
      <c r="J1201" s="1" t="str">
        <f aca="false">VLOOKUP(B1201,Customers!$A$2:$G$502,6,FALSE())</f>
        <v>Consumer</v>
      </c>
      <c r="K1201" s="1" t="str">
        <f aca="false">VLOOKUP(C1201,Products!$A$2:$E$62,3,FALSE())</f>
        <v>Office Supplies</v>
      </c>
      <c r="L1201" s="1" t="str">
        <f aca="false">TEXT(D1201,"yyyy-mm")</f>
        <v>2024-02</v>
      </c>
    </row>
    <row r="1202" customFormat="false" ht="15" hidden="false" customHeight="true" outlineLevel="0" collapsed="false">
      <c r="A1202" s="1" t="n">
        <v>1228</v>
      </c>
      <c r="B1202" s="1" t="n">
        <v>171</v>
      </c>
      <c r="C1202" s="1" t="n">
        <v>23</v>
      </c>
      <c r="D1202" s="1" t="s">
        <v>1363</v>
      </c>
      <c r="E1202" s="1" t="n">
        <v>6</v>
      </c>
      <c r="F1202" s="1" t="n">
        <v>188.73</v>
      </c>
      <c r="G1202" s="1" t="n">
        <v>0.1</v>
      </c>
      <c r="H1202" s="1" t="s">
        <v>1336</v>
      </c>
      <c r="I1202" s="1" t="n">
        <v>1019.14</v>
      </c>
      <c r="J1202" s="1" t="str">
        <f aca="false">VLOOKUP(B1202,Customers!$A$2:$G$502,6,FALSE())</f>
        <v>Small Business</v>
      </c>
      <c r="K1202" s="1" t="str">
        <f aca="false">VLOOKUP(C1202,Products!$A$2:$E$62,3,FALSE())</f>
        <v>Office Supplies</v>
      </c>
      <c r="L1202" s="1" t="str">
        <f aca="false">TEXT(D1202,"yyyy-mm")</f>
        <v>2024-09</v>
      </c>
    </row>
    <row r="1203" customFormat="false" ht="15" hidden="false" customHeight="true" outlineLevel="0" collapsed="false">
      <c r="A1203" s="1" t="n">
        <v>1229</v>
      </c>
      <c r="B1203" s="1" t="n">
        <v>52</v>
      </c>
      <c r="C1203" s="1" t="n">
        <v>59</v>
      </c>
      <c r="D1203" s="1" t="s">
        <v>915</v>
      </c>
      <c r="E1203" s="1" t="n">
        <v>1</v>
      </c>
      <c r="F1203" s="1" t="n">
        <v>438.89</v>
      </c>
      <c r="G1203" s="1" t="n">
        <v>0.15</v>
      </c>
      <c r="H1203" s="1" t="s">
        <v>1336</v>
      </c>
      <c r="I1203" s="1" t="n">
        <v>373.06</v>
      </c>
      <c r="J1203" s="1" t="str">
        <f aca="false">VLOOKUP(B1203,Customers!$A$2:$G$502,6,FALSE())</f>
        <v>Small Business</v>
      </c>
      <c r="K1203" s="1" t="str">
        <f aca="false">VLOOKUP(C1203,Products!$A$2:$E$62,3,FALSE())</f>
        <v>Furniture</v>
      </c>
      <c r="L1203" s="1" t="str">
        <f aca="false">TEXT(D1203,"yyyy-mm")</f>
        <v>2023-04</v>
      </c>
    </row>
    <row r="1204" customFormat="false" ht="15" hidden="false" customHeight="true" outlineLevel="0" collapsed="false">
      <c r="A1204" s="1" t="n">
        <v>1230</v>
      </c>
      <c r="B1204" s="1" t="n">
        <v>104</v>
      </c>
      <c r="C1204" s="1" t="n">
        <v>17</v>
      </c>
      <c r="D1204" s="1" t="s">
        <v>881</v>
      </c>
      <c r="E1204" s="1" t="n">
        <v>6</v>
      </c>
      <c r="F1204" s="1" t="n">
        <v>65.61</v>
      </c>
      <c r="G1204" s="1" t="n">
        <v>0.05</v>
      </c>
      <c r="H1204" s="1" t="s">
        <v>1336</v>
      </c>
      <c r="I1204" s="1" t="n">
        <v>373.98</v>
      </c>
      <c r="J1204" s="1" t="str">
        <f aca="false">VLOOKUP(B1204,Customers!$A$2:$G$502,6,FALSE())</f>
        <v>Corporate</v>
      </c>
      <c r="K1204" s="1" t="str">
        <f aca="false">VLOOKUP(C1204,Products!$A$2:$E$62,3,FALSE())</f>
        <v>Electronics</v>
      </c>
      <c r="L1204" s="1" t="str">
        <f aca="false">TEXT(D1204,"yyyy-mm")</f>
        <v>2024-12</v>
      </c>
    </row>
    <row r="1205" customFormat="false" ht="15" hidden="false" customHeight="true" outlineLevel="0" collapsed="false">
      <c r="A1205" s="1" t="n">
        <v>1231</v>
      </c>
      <c r="B1205" s="1" t="n">
        <v>492</v>
      </c>
      <c r="C1205" s="1" t="n">
        <v>11</v>
      </c>
      <c r="D1205" s="1" t="s">
        <v>949</v>
      </c>
      <c r="E1205" s="1" t="n">
        <v>8</v>
      </c>
      <c r="F1205" s="1" t="n">
        <v>328.39</v>
      </c>
      <c r="G1205" s="1" t="n">
        <v>0</v>
      </c>
      <c r="H1205" s="1" t="s">
        <v>1336</v>
      </c>
      <c r="I1205" s="1" t="n">
        <v>2627.12</v>
      </c>
      <c r="J1205" s="1" t="str">
        <f aca="false">VLOOKUP(B1205,Customers!$A$2:$G$502,6,FALSE())</f>
        <v>Consumer</v>
      </c>
      <c r="K1205" s="1" t="str">
        <f aca="false">VLOOKUP(C1205,Products!$A$2:$E$62,3,FALSE())</f>
        <v>Electronics</v>
      </c>
      <c r="L1205" s="1" t="str">
        <f aca="false">TEXT(D1205,"yyyy-mm")</f>
        <v>2023-11</v>
      </c>
    </row>
    <row r="1206" customFormat="false" ht="15" hidden="false" customHeight="true" outlineLevel="0" collapsed="false">
      <c r="A1206" s="1" t="n">
        <v>1232</v>
      </c>
      <c r="B1206" s="1" t="n">
        <v>287</v>
      </c>
      <c r="C1206" s="1" t="n">
        <v>19</v>
      </c>
      <c r="D1206" s="1" t="s">
        <v>1624</v>
      </c>
      <c r="E1206" s="1" t="n">
        <v>2</v>
      </c>
      <c r="F1206" s="1" t="n">
        <v>163.64</v>
      </c>
      <c r="G1206" s="1" t="n">
        <v>0.1</v>
      </c>
      <c r="H1206" s="1" t="s">
        <v>1336</v>
      </c>
      <c r="I1206" s="1" t="n">
        <v>294.55</v>
      </c>
      <c r="J1206" s="1" t="str">
        <f aca="false">VLOOKUP(B1206,Customers!$A$2:$G$502,6,FALSE())</f>
        <v>Corporate</v>
      </c>
      <c r="K1206" s="1" t="str">
        <f aca="false">VLOOKUP(C1206,Products!$A$2:$E$62,3,FALSE())</f>
        <v>Office Supplies</v>
      </c>
      <c r="L1206" s="1" t="str">
        <f aca="false">TEXT(D1206,"yyyy-mm")</f>
        <v>2024-07</v>
      </c>
    </row>
    <row r="1207" customFormat="false" ht="15" hidden="false" customHeight="true" outlineLevel="0" collapsed="false">
      <c r="A1207" s="1" t="n">
        <v>1233</v>
      </c>
      <c r="B1207" s="1" t="n">
        <v>365</v>
      </c>
      <c r="C1207" s="1" t="n">
        <v>39</v>
      </c>
      <c r="D1207" s="1" t="s">
        <v>179</v>
      </c>
      <c r="E1207" s="1" t="n">
        <v>2</v>
      </c>
      <c r="F1207" s="1" t="n">
        <v>400.02</v>
      </c>
      <c r="G1207" s="1" t="n">
        <v>0.05</v>
      </c>
      <c r="H1207" s="1" t="s">
        <v>1336</v>
      </c>
      <c r="I1207" s="1" t="n">
        <v>760.04</v>
      </c>
      <c r="J1207" s="1" t="str">
        <f aca="false">VLOOKUP(B1207,Customers!$A$2:$G$502,6,FALSE())</f>
        <v>Small Business</v>
      </c>
      <c r="K1207" s="1" t="str">
        <f aca="false">VLOOKUP(C1207,Products!$A$2:$E$62,3,FALSE())</f>
        <v>Software</v>
      </c>
      <c r="L1207" s="1" t="str">
        <f aca="false">TEXT(D1207,"yyyy-mm")</f>
        <v>2024-11</v>
      </c>
    </row>
    <row r="1208" customFormat="false" ht="15" hidden="false" customHeight="true" outlineLevel="0" collapsed="false">
      <c r="A1208" s="1" t="n">
        <v>1234</v>
      </c>
      <c r="B1208" s="1" t="n">
        <v>69</v>
      </c>
      <c r="C1208" s="1" t="n">
        <v>59</v>
      </c>
      <c r="D1208" s="1" t="s">
        <v>756</v>
      </c>
      <c r="E1208" s="1" t="n">
        <v>4</v>
      </c>
      <c r="F1208" s="1" t="n">
        <v>438.89</v>
      </c>
      <c r="G1208" s="1" t="n">
        <v>0</v>
      </c>
      <c r="H1208" s="1" t="s">
        <v>1336</v>
      </c>
      <c r="I1208" s="1" t="n">
        <v>1755.56</v>
      </c>
      <c r="J1208" s="1" t="str">
        <f aca="false">VLOOKUP(B1208,Customers!$A$2:$G$502,6,FALSE())</f>
        <v>Corporate</v>
      </c>
      <c r="K1208" s="1" t="str">
        <f aca="false">VLOOKUP(C1208,Products!$A$2:$E$62,3,FALSE())</f>
        <v>Furniture</v>
      </c>
      <c r="L1208" s="1" t="str">
        <f aca="false">TEXT(D1208,"yyyy-mm")</f>
        <v>2024-01</v>
      </c>
    </row>
    <row r="1209" customFormat="false" ht="15" hidden="false" customHeight="true" outlineLevel="0" collapsed="false">
      <c r="A1209" s="1" t="n">
        <v>1235</v>
      </c>
      <c r="B1209" s="1" t="n">
        <v>315</v>
      </c>
      <c r="C1209" s="1" t="n">
        <v>37</v>
      </c>
      <c r="D1209" s="1" t="s">
        <v>874</v>
      </c>
      <c r="E1209" s="1" t="n">
        <v>3</v>
      </c>
      <c r="F1209" s="1" t="n">
        <v>13.95</v>
      </c>
      <c r="G1209" s="1" t="n">
        <v>0</v>
      </c>
      <c r="H1209" s="1" t="s">
        <v>1370</v>
      </c>
      <c r="I1209" s="1" t="n">
        <v>41.85</v>
      </c>
      <c r="J1209" s="1" t="str">
        <f aca="false">VLOOKUP(B1209,Customers!$A$2:$G$502,6,FALSE())</f>
        <v>Consumer</v>
      </c>
      <c r="K1209" s="1" t="str">
        <f aca="false">VLOOKUP(C1209,Products!$A$2:$E$62,3,FALSE())</f>
        <v>Software</v>
      </c>
      <c r="L1209" s="1" t="str">
        <f aca="false">TEXT(D1209,"yyyy-mm")</f>
        <v>2023-03</v>
      </c>
    </row>
    <row r="1210" customFormat="false" ht="15" hidden="false" customHeight="true" outlineLevel="0" collapsed="false">
      <c r="A1210" s="1" t="n">
        <v>1236</v>
      </c>
      <c r="B1210" s="1" t="n">
        <v>342</v>
      </c>
      <c r="C1210" s="1" t="n">
        <v>18</v>
      </c>
      <c r="D1210" s="1" t="s">
        <v>413</v>
      </c>
      <c r="E1210" s="1" t="n">
        <v>4</v>
      </c>
      <c r="F1210" s="1" t="n">
        <v>747.34</v>
      </c>
      <c r="G1210" s="1" t="n">
        <v>0.05</v>
      </c>
      <c r="H1210" s="1" t="s">
        <v>1336</v>
      </c>
      <c r="I1210" s="1" t="n">
        <v>2839.89</v>
      </c>
      <c r="J1210" s="1" t="str">
        <f aca="false">VLOOKUP(B1210,Customers!$A$2:$G$502,6,FALSE())</f>
        <v>Small Business</v>
      </c>
      <c r="K1210" s="1" t="str">
        <f aca="false">VLOOKUP(C1210,Products!$A$2:$E$62,3,FALSE())</f>
        <v>Electronics</v>
      </c>
      <c r="L1210" s="1" t="str">
        <f aca="false">TEXT(D1210,"yyyy-mm")</f>
        <v>2023-01</v>
      </c>
    </row>
    <row r="1211" customFormat="false" ht="15" hidden="false" customHeight="true" outlineLevel="0" collapsed="false">
      <c r="A1211" s="1" t="n">
        <v>1237</v>
      </c>
      <c r="B1211" s="1" t="n">
        <v>226</v>
      </c>
      <c r="C1211" s="1" t="n">
        <v>42</v>
      </c>
      <c r="D1211" s="1" t="s">
        <v>1426</v>
      </c>
      <c r="E1211" s="1" t="n">
        <v>7</v>
      </c>
      <c r="F1211" s="1" t="n">
        <v>174.48</v>
      </c>
      <c r="G1211" s="1" t="n">
        <v>0</v>
      </c>
      <c r="H1211" s="1" t="s">
        <v>1336</v>
      </c>
      <c r="I1211" s="1" t="n">
        <v>1221.36</v>
      </c>
      <c r="J1211" s="1" t="str">
        <f aca="false">VLOOKUP(B1211,Customers!$A$2:$G$502,6,FALSE())</f>
        <v>Corporate</v>
      </c>
      <c r="K1211" s="1" t="str">
        <f aca="false">VLOOKUP(C1211,Products!$A$2:$E$62,3,FALSE())</f>
        <v>Software</v>
      </c>
      <c r="L1211" s="1" t="str">
        <f aca="false">TEXT(D1211,"yyyy-mm")</f>
        <v>2023-08</v>
      </c>
    </row>
    <row r="1212" customFormat="false" ht="15" hidden="false" customHeight="true" outlineLevel="0" collapsed="false">
      <c r="A1212" s="1" t="n">
        <v>1238</v>
      </c>
      <c r="B1212" s="1" t="n">
        <v>430</v>
      </c>
      <c r="C1212" s="1" t="n">
        <v>29</v>
      </c>
      <c r="D1212" s="1" t="s">
        <v>424</v>
      </c>
      <c r="E1212" s="1" t="n">
        <v>1</v>
      </c>
      <c r="F1212" s="1" t="n">
        <v>54.62</v>
      </c>
      <c r="G1212" s="1" t="n">
        <v>0.1</v>
      </c>
      <c r="H1212" s="1" t="s">
        <v>1336</v>
      </c>
      <c r="I1212" s="1" t="n">
        <v>49.16</v>
      </c>
      <c r="J1212" s="1" t="str">
        <f aca="false">VLOOKUP(B1212,Customers!$A$2:$G$502,6,FALSE())</f>
        <v>Corporate</v>
      </c>
      <c r="K1212" s="1" t="str">
        <f aca="false">VLOOKUP(C1212,Products!$A$2:$E$62,3,FALSE())</f>
        <v>Office Supplies</v>
      </c>
      <c r="L1212" s="1" t="str">
        <f aca="false">TEXT(D1212,"yyyy-mm")</f>
        <v>2024-02</v>
      </c>
    </row>
    <row r="1213" customFormat="false" ht="15" hidden="false" customHeight="true" outlineLevel="0" collapsed="false">
      <c r="A1213" s="1" t="n">
        <v>1239</v>
      </c>
      <c r="B1213" s="1" t="n">
        <v>298</v>
      </c>
      <c r="C1213" s="1" t="n">
        <v>26</v>
      </c>
      <c r="D1213" s="1" t="s">
        <v>1484</v>
      </c>
      <c r="E1213" s="1" t="n">
        <v>6</v>
      </c>
      <c r="F1213" s="1" t="n">
        <v>733.85</v>
      </c>
      <c r="G1213" s="1" t="n">
        <v>0.1</v>
      </c>
      <c r="H1213" s="1" t="s">
        <v>1346</v>
      </c>
      <c r="I1213" s="1" t="n">
        <v>3962.79</v>
      </c>
      <c r="J1213" s="1" t="str">
        <f aca="false">VLOOKUP(B1213,Customers!$A$2:$G$502,6,FALSE())</f>
        <v>Consumer</v>
      </c>
      <c r="K1213" s="1" t="str">
        <f aca="false">VLOOKUP(C1213,Products!$A$2:$E$62,3,FALSE())</f>
        <v>Office Supplies</v>
      </c>
      <c r="L1213" s="1" t="str">
        <f aca="false">TEXT(D1213,"yyyy-mm")</f>
        <v>2024-10</v>
      </c>
    </row>
    <row r="1214" customFormat="false" ht="15" hidden="false" customHeight="true" outlineLevel="0" collapsed="false">
      <c r="A1214" s="1" t="n">
        <v>1240</v>
      </c>
      <c r="B1214" s="1" t="n">
        <v>187</v>
      </c>
      <c r="C1214" s="1" t="n">
        <v>52</v>
      </c>
      <c r="D1214" s="1" t="s">
        <v>1467</v>
      </c>
      <c r="E1214" s="1" t="n">
        <v>3</v>
      </c>
      <c r="F1214" s="1" t="n">
        <v>207.67</v>
      </c>
      <c r="G1214" s="1" t="n">
        <v>0.05</v>
      </c>
      <c r="H1214" s="1" t="s">
        <v>1336</v>
      </c>
      <c r="I1214" s="1" t="n">
        <v>591.86</v>
      </c>
      <c r="J1214" s="1" t="str">
        <f aca="false">VLOOKUP(B1214,Customers!$A$2:$G$502,6,FALSE())</f>
        <v>Consumer</v>
      </c>
      <c r="K1214" s="1" t="str">
        <f aca="false">VLOOKUP(C1214,Products!$A$2:$E$62,3,FALSE())</f>
        <v>Software</v>
      </c>
      <c r="L1214" s="1" t="str">
        <f aca="false">TEXT(D1214,"yyyy-mm")</f>
        <v>2023-09</v>
      </c>
    </row>
    <row r="1215" customFormat="false" ht="15" hidden="false" customHeight="true" outlineLevel="0" collapsed="false">
      <c r="A1215" s="1" t="n">
        <v>1241</v>
      </c>
      <c r="B1215" s="1" t="n">
        <v>183</v>
      </c>
      <c r="C1215" s="1" t="n">
        <v>5</v>
      </c>
      <c r="D1215" s="1" t="s">
        <v>651</v>
      </c>
      <c r="E1215" s="1" t="n">
        <v>7</v>
      </c>
      <c r="F1215" s="1" t="n">
        <v>439.06</v>
      </c>
      <c r="G1215" s="1" t="n">
        <v>0</v>
      </c>
      <c r="H1215" s="1" t="s">
        <v>1336</v>
      </c>
      <c r="I1215" s="1" t="n">
        <v>3073.42</v>
      </c>
      <c r="J1215" s="1" t="str">
        <f aca="false">VLOOKUP(B1215,Customers!$A$2:$G$502,6,FALSE())</f>
        <v>Corporate</v>
      </c>
      <c r="K1215" s="1" t="str">
        <f aca="false">VLOOKUP(C1215,Products!$A$2:$E$62,3,FALSE())</f>
        <v>Electronics</v>
      </c>
      <c r="L1215" s="1" t="str">
        <f aca="false">TEXT(D1215,"yyyy-mm")</f>
        <v>2024-12</v>
      </c>
    </row>
    <row r="1216" customFormat="false" ht="15" hidden="false" customHeight="true" outlineLevel="0" collapsed="false">
      <c r="A1216" s="1" t="n">
        <v>1242</v>
      </c>
      <c r="B1216" s="1" t="n">
        <v>297</v>
      </c>
      <c r="C1216" s="1" t="n">
        <v>9</v>
      </c>
      <c r="D1216" s="1" t="s">
        <v>1517</v>
      </c>
      <c r="E1216" s="1" t="n">
        <v>2</v>
      </c>
      <c r="F1216" s="1" t="n">
        <v>203.1</v>
      </c>
      <c r="G1216" s="1" t="n">
        <v>0.2</v>
      </c>
      <c r="H1216" s="1" t="s">
        <v>1370</v>
      </c>
      <c r="I1216" s="1" t="n">
        <v>324.96</v>
      </c>
      <c r="J1216" s="1" t="str">
        <f aca="false">VLOOKUP(B1216,Customers!$A$2:$G$502,6,FALSE())</f>
        <v>Corporate</v>
      </c>
      <c r="K1216" s="1" t="str">
        <f aca="false">VLOOKUP(C1216,Products!$A$2:$E$62,3,FALSE())</f>
        <v>Electronics</v>
      </c>
      <c r="L1216" s="1" t="str">
        <f aca="false">TEXT(D1216,"yyyy-mm")</f>
        <v>2023-04</v>
      </c>
    </row>
    <row r="1217" customFormat="false" ht="15" hidden="false" customHeight="true" outlineLevel="0" collapsed="false">
      <c r="A1217" s="1" t="n">
        <v>1243</v>
      </c>
      <c r="B1217" s="1" t="n">
        <v>424</v>
      </c>
      <c r="C1217" s="1" t="n">
        <v>39</v>
      </c>
      <c r="D1217" s="1" t="s">
        <v>155</v>
      </c>
      <c r="E1217" s="1" t="n">
        <v>2</v>
      </c>
      <c r="F1217" s="1" t="n">
        <v>400.02</v>
      </c>
      <c r="G1217" s="1" t="n">
        <v>0.15</v>
      </c>
      <c r="H1217" s="1" t="s">
        <v>1336</v>
      </c>
      <c r="I1217" s="1" t="n">
        <v>680.03</v>
      </c>
      <c r="J1217" s="1" t="str">
        <f aca="false">VLOOKUP(B1217,Customers!$A$2:$G$502,6,FALSE())</f>
        <v>Small Business</v>
      </c>
      <c r="K1217" s="1" t="str">
        <f aca="false">VLOOKUP(C1217,Products!$A$2:$E$62,3,FALSE())</f>
        <v>Software</v>
      </c>
      <c r="L1217" s="1" t="str">
        <f aca="false">TEXT(D1217,"yyyy-mm")</f>
        <v>2023-08</v>
      </c>
    </row>
    <row r="1218" customFormat="false" ht="15" hidden="false" customHeight="true" outlineLevel="0" collapsed="false">
      <c r="A1218" s="1" t="n">
        <v>1244</v>
      </c>
      <c r="B1218" s="1" t="n">
        <v>115</v>
      </c>
      <c r="C1218" s="1" t="n">
        <v>30</v>
      </c>
      <c r="D1218" s="1" t="s">
        <v>1493</v>
      </c>
      <c r="E1218" s="1" t="n">
        <v>4</v>
      </c>
      <c r="F1218" s="1" t="n">
        <v>33.32</v>
      </c>
      <c r="G1218" s="1" t="n">
        <v>0.1</v>
      </c>
      <c r="H1218" s="1" t="s">
        <v>1336</v>
      </c>
      <c r="I1218" s="1" t="n">
        <v>119.95</v>
      </c>
      <c r="J1218" s="1" t="str">
        <f aca="false">VLOOKUP(B1218,Customers!$A$2:$G$502,6,FALSE())</f>
        <v>Small Business</v>
      </c>
      <c r="K1218" s="1" t="str">
        <f aca="false">VLOOKUP(C1218,Products!$A$2:$E$62,3,FALSE())</f>
        <v>Office Supplies</v>
      </c>
      <c r="L1218" s="1" t="str">
        <f aca="false">TEXT(D1218,"yyyy-mm")</f>
        <v>2023-10</v>
      </c>
    </row>
    <row r="1219" customFormat="false" ht="15" hidden="false" customHeight="true" outlineLevel="0" collapsed="false">
      <c r="A1219" s="1" t="n">
        <v>1245</v>
      </c>
      <c r="B1219" s="1" t="n">
        <v>34</v>
      </c>
      <c r="C1219" s="1" t="n">
        <v>11</v>
      </c>
      <c r="D1219" s="1" t="s">
        <v>924</v>
      </c>
      <c r="E1219" s="1" t="n">
        <v>1</v>
      </c>
      <c r="F1219" s="1" t="n">
        <v>328.39</v>
      </c>
      <c r="G1219" s="1" t="n">
        <v>0.1</v>
      </c>
      <c r="H1219" s="1" t="s">
        <v>1336</v>
      </c>
      <c r="I1219" s="1" t="n">
        <v>295.55</v>
      </c>
      <c r="J1219" s="1" t="str">
        <f aca="false">VLOOKUP(B1219,Customers!$A$2:$G$502,6,FALSE())</f>
        <v>Corporate</v>
      </c>
      <c r="K1219" s="1" t="str">
        <f aca="false">VLOOKUP(C1219,Products!$A$2:$E$62,3,FALSE())</f>
        <v>Electronics</v>
      </c>
      <c r="L1219" s="1" t="str">
        <f aca="false">TEXT(D1219,"yyyy-mm")</f>
        <v>2023-01</v>
      </c>
    </row>
    <row r="1220" customFormat="false" ht="15" hidden="false" customHeight="true" outlineLevel="0" collapsed="false">
      <c r="A1220" s="1" t="n">
        <v>1246</v>
      </c>
      <c r="B1220" s="1" t="n">
        <v>362</v>
      </c>
      <c r="C1220" s="1" t="n">
        <v>10</v>
      </c>
      <c r="D1220" s="1" t="s">
        <v>885</v>
      </c>
      <c r="E1220" s="1" t="n">
        <v>3</v>
      </c>
      <c r="F1220" s="1" t="n">
        <v>251.58</v>
      </c>
      <c r="G1220" s="1" t="n">
        <v>0.15</v>
      </c>
      <c r="H1220" s="1" t="s">
        <v>1336</v>
      </c>
      <c r="I1220" s="1" t="n">
        <v>641.53</v>
      </c>
      <c r="J1220" s="1" t="str">
        <f aca="false">VLOOKUP(B1220,Customers!$A$2:$G$502,6,FALSE())</f>
        <v>Consumer</v>
      </c>
      <c r="K1220" s="1" t="str">
        <f aca="false">VLOOKUP(C1220,Products!$A$2:$E$62,3,FALSE())</f>
        <v>Electronics</v>
      </c>
      <c r="L1220" s="1" t="str">
        <f aca="false">TEXT(D1220,"yyyy-mm")</f>
        <v>2023-03</v>
      </c>
    </row>
    <row r="1221" customFormat="false" ht="15" hidden="false" customHeight="true" outlineLevel="0" collapsed="false">
      <c r="A1221" s="1" t="n">
        <v>1247</v>
      </c>
      <c r="B1221" s="1" t="n">
        <v>460</v>
      </c>
      <c r="C1221" s="1" t="n">
        <v>47</v>
      </c>
      <c r="D1221" s="1" t="s">
        <v>1452</v>
      </c>
      <c r="E1221" s="1" t="n">
        <v>9</v>
      </c>
      <c r="F1221" s="1" t="n">
        <v>506.19</v>
      </c>
      <c r="G1221" s="1" t="n">
        <v>0.15</v>
      </c>
      <c r="H1221" s="1" t="s">
        <v>1336</v>
      </c>
      <c r="I1221" s="1" t="n">
        <v>3872.35</v>
      </c>
      <c r="J1221" s="1" t="str">
        <f aca="false">VLOOKUP(B1221,Customers!$A$2:$G$502,6,FALSE())</f>
        <v>Corporate</v>
      </c>
      <c r="K1221" s="1" t="str">
        <f aca="false">VLOOKUP(C1221,Products!$A$2:$E$62,3,FALSE())</f>
        <v>Software</v>
      </c>
      <c r="L1221" s="1" t="str">
        <f aca="false">TEXT(D1221,"yyyy-mm")</f>
        <v>2023-01</v>
      </c>
    </row>
    <row r="1222" customFormat="false" ht="15" hidden="false" customHeight="true" outlineLevel="0" collapsed="false">
      <c r="A1222" s="1" t="n">
        <v>1248</v>
      </c>
      <c r="B1222" s="1" t="n">
        <v>203</v>
      </c>
      <c r="C1222" s="1" t="n">
        <v>14</v>
      </c>
      <c r="D1222" s="1" t="s">
        <v>277</v>
      </c>
      <c r="E1222" s="1" t="n">
        <v>7</v>
      </c>
      <c r="F1222" s="1" t="n">
        <v>135.27</v>
      </c>
      <c r="G1222" s="1" t="n">
        <v>0.05</v>
      </c>
      <c r="H1222" s="1" t="s">
        <v>1336</v>
      </c>
      <c r="I1222" s="1" t="n">
        <v>899.55</v>
      </c>
      <c r="J1222" s="1" t="str">
        <f aca="false">VLOOKUP(B1222,Customers!$A$2:$G$502,6,FALSE())</f>
        <v>Corporate</v>
      </c>
      <c r="K1222" s="1" t="str">
        <f aca="false">VLOOKUP(C1222,Products!$A$2:$E$62,3,FALSE())</f>
        <v>Electronics</v>
      </c>
      <c r="L1222" s="1" t="str">
        <f aca="false">TEXT(D1222,"yyyy-mm")</f>
        <v>2024-11</v>
      </c>
    </row>
    <row r="1223" customFormat="false" ht="15" hidden="false" customHeight="true" outlineLevel="0" collapsed="false">
      <c r="A1223" s="1" t="n">
        <v>1249</v>
      </c>
      <c r="B1223" s="1" t="n">
        <v>409</v>
      </c>
      <c r="C1223" s="1" t="n">
        <v>57</v>
      </c>
      <c r="D1223" s="1" t="s">
        <v>473</v>
      </c>
      <c r="E1223" s="1" t="n">
        <v>7</v>
      </c>
      <c r="F1223" s="1" t="n">
        <v>719.76</v>
      </c>
      <c r="G1223" s="1" t="n">
        <v>0.05</v>
      </c>
      <c r="H1223" s="1" t="s">
        <v>1336</v>
      </c>
      <c r="I1223" s="1" t="n">
        <v>4786.4</v>
      </c>
      <c r="J1223" s="1" t="str">
        <f aca="false">VLOOKUP(B1223,Customers!$A$2:$G$502,6,FALSE())</f>
        <v>Small Business</v>
      </c>
      <c r="K1223" s="1" t="str">
        <f aca="false">VLOOKUP(C1223,Products!$A$2:$E$62,3,FALSE())</f>
        <v>Furniture</v>
      </c>
      <c r="L1223" s="1" t="str">
        <f aca="false">TEXT(D1223,"yyyy-mm")</f>
        <v>2024-06</v>
      </c>
    </row>
    <row r="1224" customFormat="false" ht="15" hidden="false" customHeight="true" outlineLevel="0" collapsed="false">
      <c r="A1224" s="1" t="n">
        <v>1250</v>
      </c>
      <c r="B1224" s="1" t="n">
        <v>4</v>
      </c>
      <c r="C1224" s="1" t="n">
        <v>40</v>
      </c>
      <c r="D1224" s="1" t="s">
        <v>742</v>
      </c>
      <c r="E1224" s="1" t="n">
        <v>4</v>
      </c>
      <c r="F1224" s="1" t="n">
        <v>193.02</v>
      </c>
      <c r="G1224" s="1" t="n">
        <v>0.15</v>
      </c>
      <c r="H1224" s="1" t="s">
        <v>1336</v>
      </c>
      <c r="I1224" s="1" t="n">
        <v>656.27</v>
      </c>
      <c r="J1224" s="1" t="str">
        <f aca="false">VLOOKUP(B1224,Customers!$A$2:$G$502,6,FALSE())</f>
        <v>Consumer</v>
      </c>
      <c r="K1224" s="1" t="str">
        <f aca="false">VLOOKUP(C1224,Products!$A$2:$E$62,3,FALSE())</f>
        <v>Software</v>
      </c>
      <c r="L1224" s="1" t="str">
        <f aca="false">TEXT(D1224,"yyyy-mm")</f>
        <v>2023-02</v>
      </c>
    </row>
    <row r="1225" customFormat="false" ht="15" hidden="false" customHeight="true" outlineLevel="0" collapsed="false">
      <c r="A1225" s="1" t="n">
        <v>1251</v>
      </c>
      <c r="B1225" s="1" t="n">
        <v>33</v>
      </c>
      <c r="C1225" s="1" t="n">
        <v>34</v>
      </c>
      <c r="D1225" s="1" t="s">
        <v>1556</v>
      </c>
      <c r="E1225" s="1" t="n">
        <v>2</v>
      </c>
      <c r="F1225" s="1" t="n">
        <v>116.85</v>
      </c>
      <c r="G1225" s="1" t="n">
        <v>0.15</v>
      </c>
      <c r="H1225" s="1" t="s">
        <v>1336</v>
      </c>
      <c r="I1225" s="1" t="n">
        <v>198.64</v>
      </c>
      <c r="J1225" s="1" t="str">
        <f aca="false">VLOOKUP(B1225,Customers!$A$2:$G$502,6,FALSE())</f>
        <v>Corporate</v>
      </c>
      <c r="K1225" s="1" t="str">
        <f aca="false">VLOOKUP(C1225,Products!$A$2:$E$62,3,FALSE())</f>
        <v>Office Supplies</v>
      </c>
      <c r="L1225" s="1" t="str">
        <f aca="false">TEXT(D1225,"yyyy-mm")</f>
        <v>2024-02</v>
      </c>
    </row>
    <row r="1226" customFormat="false" ht="15" hidden="false" customHeight="true" outlineLevel="0" collapsed="false">
      <c r="A1226" s="1" t="n">
        <v>1252</v>
      </c>
      <c r="B1226" s="1" t="n">
        <v>92</v>
      </c>
      <c r="C1226" s="1" t="n">
        <v>54</v>
      </c>
      <c r="D1226" s="1" t="s">
        <v>1078</v>
      </c>
      <c r="E1226" s="1" t="n">
        <v>4</v>
      </c>
      <c r="F1226" s="1" t="n">
        <v>312.01</v>
      </c>
      <c r="G1226" s="1" t="n">
        <v>0</v>
      </c>
      <c r="H1226" s="1" t="s">
        <v>1336</v>
      </c>
      <c r="I1226" s="1" t="n">
        <v>1248.04</v>
      </c>
      <c r="J1226" s="1" t="str">
        <f aca="false">VLOOKUP(B1226,Customers!$A$2:$G$502,6,FALSE())</f>
        <v>Corporate</v>
      </c>
      <c r="K1226" s="1" t="str">
        <f aca="false">VLOOKUP(C1226,Products!$A$2:$E$62,3,FALSE())</f>
        <v>Software</v>
      </c>
      <c r="L1226" s="1" t="str">
        <f aca="false">TEXT(D1226,"yyyy-mm")</f>
        <v>2023-07</v>
      </c>
    </row>
    <row r="1227" customFormat="false" ht="15" hidden="false" customHeight="true" outlineLevel="0" collapsed="false">
      <c r="A1227" s="1" t="n">
        <v>1253</v>
      </c>
      <c r="B1227" s="1" t="n">
        <v>485</v>
      </c>
      <c r="C1227" s="1" t="n">
        <v>26</v>
      </c>
      <c r="D1227" s="1" t="s">
        <v>1435</v>
      </c>
      <c r="E1227" s="1" t="n">
        <v>6</v>
      </c>
      <c r="F1227" s="1" t="n">
        <v>733.85</v>
      </c>
      <c r="G1227" s="1" t="n">
        <v>0.15</v>
      </c>
      <c r="H1227" s="1" t="s">
        <v>1370</v>
      </c>
      <c r="I1227" s="1" t="n">
        <v>3742.64</v>
      </c>
      <c r="J1227" s="1" t="str">
        <f aca="false">VLOOKUP(B1227,Customers!$A$2:$G$502,6,FALSE())</f>
        <v>Corporate</v>
      </c>
      <c r="K1227" s="1" t="str">
        <f aca="false">VLOOKUP(C1227,Products!$A$2:$E$62,3,FALSE())</f>
        <v>Office Supplies</v>
      </c>
      <c r="L1227" s="1" t="str">
        <f aca="false">TEXT(D1227,"yyyy-mm")</f>
        <v>2024-08</v>
      </c>
    </row>
    <row r="1228" customFormat="false" ht="15" hidden="false" customHeight="true" outlineLevel="0" collapsed="false">
      <c r="A1228" s="1" t="n">
        <v>1254</v>
      </c>
      <c r="B1228" s="1" t="n">
        <v>71</v>
      </c>
      <c r="C1228" s="1" t="n">
        <v>55</v>
      </c>
      <c r="D1228" s="1" t="s">
        <v>795</v>
      </c>
      <c r="E1228" s="1" t="n">
        <v>3</v>
      </c>
      <c r="F1228" s="1" t="n">
        <v>123.38</v>
      </c>
      <c r="G1228" s="1" t="n">
        <v>0</v>
      </c>
      <c r="H1228" s="1" t="s">
        <v>1336</v>
      </c>
      <c r="I1228" s="1" t="n">
        <v>370.14</v>
      </c>
      <c r="J1228" s="1" t="str">
        <f aca="false">VLOOKUP(B1228,Customers!$A$2:$G$502,6,FALSE())</f>
        <v>Corporate</v>
      </c>
      <c r="K1228" s="1" t="str">
        <f aca="false">VLOOKUP(C1228,Products!$A$2:$E$62,3,FALSE())</f>
        <v>Furniture</v>
      </c>
      <c r="L1228" s="1" t="str">
        <f aca="false">TEXT(D1228,"yyyy-mm")</f>
        <v>2023-12</v>
      </c>
    </row>
    <row r="1229" customFormat="false" ht="15" hidden="false" customHeight="true" outlineLevel="0" collapsed="false">
      <c r="A1229" s="1" t="n">
        <v>1255</v>
      </c>
      <c r="B1229" s="1" t="n">
        <v>256</v>
      </c>
      <c r="C1229" s="1" t="n">
        <v>6</v>
      </c>
      <c r="D1229" s="1" t="s">
        <v>1280</v>
      </c>
      <c r="E1229" s="1" t="n">
        <v>1</v>
      </c>
      <c r="F1229" s="1" t="n">
        <v>28.51</v>
      </c>
      <c r="G1229" s="1" t="n">
        <v>0</v>
      </c>
      <c r="H1229" s="1" t="s">
        <v>1336</v>
      </c>
      <c r="I1229" s="1" t="n">
        <v>28.51</v>
      </c>
      <c r="J1229" s="1" t="str">
        <f aca="false">VLOOKUP(B1229,Customers!$A$2:$G$502,6,FALSE())</f>
        <v>Small Business</v>
      </c>
      <c r="K1229" s="1" t="str">
        <f aca="false">VLOOKUP(C1229,Products!$A$2:$E$62,3,FALSE())</f>
        <v>Electronics</v>
      </c>
      <c r="L1229" s="1" t="str">
        <f aca="false">TEXT(D1229,"yyyy-mm")</f>
        <v>2023-07</v>
      </c>
    </row>
    <row r="1230" customFormat="false" ht="15" hidden="false" customHeight="true" outlineLevel="0" collapsed="false">
      <c r="A1230" s="1" t="n">
        <v>1256</v>
      </c>
      <c r="B1230" s="1" t="n">
        <v>174</v>
      </c>
      <c r="C1230" s="1" t="n">
        <v>29</v>
      </c>
      <c r="D1230" s="1" t="s">
        <v>1352</v>
      </c>
      <c r="E1230" s="1" t="n">
        <v>8</v>
      </c>
      <c r="F1230" s="1" t="n">
        <v>54.62</v>
      </c>
      <c r="G1230" s="1" t="n">
        <v>0.1</v>
      </c>
      <c r="H1230" s="1" t="s">
        <v>1336</v>
      </c>
      <c r="I1230" s="1" t="n">
        <v>393.26</v>
      </c>
      <c r="J1230" s="1" t="str">
        <f aca="false">VLOOKUP(B1230,Customers!$A$2:$G$502,6,FALSE())</f>
        <v>Small Business</v>
      </c>
      <c r="K1230" s="1" t="str">
        <f aca="false">VLOOKUP(C1230,Products!$A$2:$E$62,3,FALSE())</f>
        <v>Office Supplies</v>
      </c>
      <c r="L1230" s="1" t="str">
        <f aca="false">TEXT(D1230,"yyyy-mm")</f>
        <v>2023-04</v>
      </c>
    </row>
    <row r="1231" customFormat="false" ht="15" hidden="false" customHeight="true" outlineLevel="0" collapsed="false">
      <c r="A1231" s="1" t="n">
        <v>1257</v>
      </c>
      <c r="B1231" s="1" t="n">
        <v>350</v>
      </c>
      <c r="C1231" s="1" t="n">
        <v>24</v>
      </c>
      <c r="D1231" s="1" t="s">
        <v>1617</v>
      </c>
      <c r="E1231" s="1" t="n">
        <v>5</v>
      </c>
      <c r="F1231" s="1" t="n">
        <v>207.34</v>
      </c>
      <c r="G1231" s="1" t="n">
        <v>0</v>
      </c>
      <c r="H1231" s="1" t="s">
        <v>1336</v>
      </c>
      <c r="I1231" s="1" t="n">
        <v>1036.7</v>
      </c>
      <c r="J1231" s="1" t="str">
        <f aca="false">VLOOKUP(B1231,Customers!$A$2:$G$502,6,FALSE())</f>
        <v>Consumer</v>
      </c>
      <c r="K1231" s="1" t="str">
        <f aca="false">VLOOKUP(C1231,Products!$A$2:$E$62,3,FALSE())</f>
        <v>Office Supplies</v>
      </c>
      <c r="L1231" s="1" t="str">
        <f aca="false">TEXT(D1231,"yyyy-mm")</f>
        <v>2023-04</v>
      </c>
    </row>
    <row r="1232" customFormat="false" ht="15" hidden="false" customHeight="true" outlineLevel="0" collapsed="false">
      <c r="A1232" s="1" t="n">
        <v>1258</v>
      </c>
      <c r="B1232" s="1" t="n">
        <v>157</v>
      </c>
      <c r="C1232" s="1" t="n">
        <v>2</v>
      </c>
      <c r="D1232" s="1" t="s">
        <v>1583</v>
      </c>
      <c r="E1232" s="1" t="n">
        <v>5</v>
      </c>
      <c r="F1232" s="1" t="n">
        <v>498.15</v>
      </c>
      <c r="G1232" s="1" t="n">
        <v>0.1</v>
      </c>
      <c r="H1232" s="1" t="s">
        <v>1336</v>
      </c>
      <c r="I1232" s="1" t="n">
        <v>2241.68</v>
      </c>
      <c r="J1232" s="1" t="str">
        <f aca="false">VLOOKUP(B1232,Customers!$A$2:$G$502,6,FALSE())</f>
        <v>Corporate</v>
      </c>
      <c r="K1232" s="1" t="str">
        <f aca="false">VLOOKUP(C1232,Products!$A$2:$E$62,3,FALSE())</f>
        <v>Electronics</v>
      </c>
      <c r="L1232" s="1" t="str">
        <f aca="false">TEXT(D1232,"yyyy-mm")</f>
        <v>2024-08</v>
      </c>
    </row>
    <row r="1233" customFormat="false" ht="15" hidden="false" customHeight="true" outlineLevel="0" collapsed="false">
      <c r="A1233" s="1" t="n">
        <v>1259</v>
      </c>
      <c r="B1233" s="1" t="n">
        <v>256</v>
      </c>
      <c r="C1233" s="1" t="n">
        <v>12</v>
      </c>
      <c r="D1233" s="1" t="s">
        <v>1416</v>
      </c>
      <c r="E1233" s="1" t="n">
        <v>4</v>
      </c>
      <c r="F1233" s="1" t="n">
        <v>179.23</v>
      </c>
      <c r="G1233" s="1" t="n">
        <v>0</v>
      </c>
      <c r="H1233" s="1" t="s">
        <v>1370</v>
      </c>
      <c r="I1233" s="1" t="n">
        <v>716.92</v>
      </c>
      <c r="J1233" s="1" t="str">
        <f aca="false">VLOOKUP(B1233,Customers!$A$2:$G$502,6,FALSE())</f>
        <v>Small Business</v>
      </c>
      <c r="K1233" s="1" t="str">
        <f aca="false">VLOOKUP(C1233,Products!$A$2:$E$62,3,FALSE())</f>
        <v>Electronics</v>
      </c>
      <c r="L1233" s="1" t="str">
        <f aca="false">TEXT(D1233,"yyyy-mm")</f>
        <v>2024-07</v>
      </c>
    </row>
    <row r="1234" customFormat="false" ht="15" hidden="false" customHeight="true" outlineLevel="0" collapsed="false">
      <c r="A1234" s="1" t="n">
        <v>1260</v>
      </c>
      <c r="B1234" s="1" t="n">
        <v>192</v>
      </c>
      <c r="C1234" s="1" t="n">
        <v>37</v>
      </c>
      <c r="D1234" s="1" t="s">
        <v>769</v>
      </c>
      <c r="E1234" s="1" t="n">
        <v>6</v>
      </c>
      <c r="F1234" s="1" t="n">
        <v>13.95</v>
      </c>
      <c r="G1234" s="1" t="n">
        <v>0.05</v>
      </c>
      <c r="H1234" s="1" t="s">
        <v>1336</v>
      </c>
      <c r="I1234" s="1" t="n">
        <v>79.51</v>
      </c>
      <c r="J1234" s="1" t="str">
        <f aca="false">VLOOKUP(B1234,Customers!$A$2:$G$502,6,FALSE())</f>
        <v>Corporate</v>
      </c>
      <c r="K1234" s="1" t="str">
        <f aca="false">VLOOKUP(C1234,Products!$A$2:$E$62,3,FALSE())</f>
        <v>Software</v>
      </c>
      <c r="L1234" s="1" t="str">
        <f aca="false">TEXT(D1234,"yyyy-mm")</f>
        <v>2023-07</v>
      </c>
    </row>
    <row r="1235" customFormat="false" ht="15" hidden="false" customHeight="true" outlineLevel="0" collapsed="false">
      <c r="A1235" s="1" t="n">
        <v>1261</v>
      </c>
      <c r="B1235" s="1" t="n">
        <v>420</v>
      </c>
      <c r="C1235" s="1" t="n">
        <v>29</v>
      </c>
      <c r="D1235" s="1" t="s">
        <v>1625</v>
      </c>
      <c r="E1235" s="1" t="n">
        <v>3</v>
      </c>
      <c r="F1235" s="1" t="n">
        <v>54.62</v>
      </c>
      <c r="G1235" s="1" t="n">
        <v>0.1</v>
      </c>
      <c r="H1235" s="1" t="s">
        <v>1336</v>
      </c>
      <c r="I1235" s="1" t="n">
        <v>147.47</v>
      </c>
      <c r="J1235" s="1" t="str">
        <f aca="false">VLOOKUP(B1235,Customers!$A$2:$G$502,6,FALSE())</f>
        <v>Small Business</v>
      </c>
      <c r="K1235" s="1" t="str">
        <f aca="false">VLOOKUP(C1235,Products!$A$2:$E$62,3,FALSE())</f>
        <v>Office Supplies</v>
      </c>
      <c r="L1235" s="1" t="str">
        <f aca="false">TEXT(D1235,"yyyy-mm")</f>
        <v>2023-02</v>
      </c>
    </row>
    <row r="1236" customFormat="false" ht="15" hidden="false" customHeight="true" outlineLevel="0" collapsed="false">
      <c r="A1236" s="1" t="n">
        <v>1262</v>
      </c>
      <c r="B1236" s="1" t="n">
        <v>414</v>
      </c>
      <c r="C1236" s="1" t="n">
        <v>60</v>
      </c>
      <c r="D1236" s="1" t="s">
        <v>226</v>
      </c>
      <c r="E1236" s="1" t="n">
        <v>9</v>
      </c>
      <c r="F1236" s="1" t="n">
        <v>584.98</v>
      </c>
      <c r="G1236" s="1" t="n">
        <v>0</v>
      </c>
      <c r="H1236" s="1" t="s">
        <v>1336</v>
      </c>
      <c r="I1236" s="1" t="n">
        <v>5264.82</v>
      </c>
      <c r="J1236" s="1" t="str">
        <f aca="false">VLOOKUP(B1236,Customers!$A$2:$G$502,6,FALSE())</f>
        <v>Consumer</v>
      </c>
      <c r="K1236" s="1" t="str">
        <f aca="false">VLOOKUP(C1236,Products!$A$2:$E$62,3,FALSE())</f>
        <v>Furniture</v>
      </c>
      <c r="L1236" s="1" t="str">
        <f aca="false">TEXT(D1236,"yyyy-mm")</f>
        <v>2023-11</v>
      </c>
    </row>
    <row r="1237" customFormat="false" ht="15" hidden="false" customHeight="true" outlineLevel="0" collapsed="false">
      <c r="A1237" s="1" t="n">
        <v>1263</v>
      </c>
      <c r="B1237" s="1" t="n">
        <v>52</v>
      </c>
      <c r="C1237" s="1" t="n">
        <v>32</v>
      </c>
      <c r="D1237" s="1" t="s">
        <v>1485</v>
      </c>
      <c r="E1237" s="1" t="n">
        <v>5</v>
      </c>
      <c r="F1237" s="1" t="n">
        <v>492.27</v>
      </c>
      <c r="G1237" s="1" t="n">
        <v>0.1</v>
      </c>
      <c r="H1237" s="1" t="s">
        <v>1336</v>
      </c>
      <c r="I1237" s="1" t="n">
        <v>2215.22</v>
      </c>
      <c r="J1237" s="1" t="str">
        <f aca="false">VLOOKUP(B1237,Customers!$A$2:$G$502,6,FALSE())</f>
        <v>Small Business</v>
      </c>
      <c r="K1237" s="1" t="str">
        <f aca="false">VLOOKUP(C1237,Products!$A$2:$E$62,3,FALSE())</f>
        <v>Office Supplies</v>
      </c>
      <c r="L1237" s="1" t="str">
        <f aca="false">TEXT(D1237,"yyyy-mm")</f>
        <v>2023-07</v>
      </c>
    </row>
    <row r="1238" customFormat="false" ht="15" hidden="false" customHeight="true" outlineLevel="0" collapsed="false">
      <c r="A1238" s="1" t="n">
        <v>1264</v>
      </c>
      <c r="B1238" s="1" t="n">
        <v>338</v>
      </c>
      <c r="C1238" s="1" t="n">
        <v>36</v>
      </c>
      <c r="D1238" s="1" t="s">
        <v>750</v>
      </c>
      <c r="E1238" s="1" t="n">
        <v>3</v>
      </c>
      <c r="F1238" s="1" t="n">
        <v>424.45</v>
      </c>
      <c r="G1238" s="1" t="n">
        <v>0.2</v>
      </c>
      <c r="H1238" s="1" t="s">
        <v>1336</v>
      </c>
      <c r="I1238" s="1" t="n">
        <v>1018.68</v>
      </c>
      <c r="J1238" s="1" t="str">
        <f aca="false">VLOOKUP(B1238,Customers!$A$2:$G$502,6,FALSE())</f>
        <v>Corporate</v>
      </c>
      <c r="K1238" s="1" t="str">
        <f aca="false">VLOOKUP(C1238,Products!$A$2:$E$62,3,FALSE())</f>
        <v>Software</v>
      </c>
      <c r="L1238" s="1" t="str">
        <f aca="false">TEXT(D1238,"yyyy-mm")</f>
        <v>2024-02</v>
      </c>
    </row>
    <row r="1239" customFormat="false" ht="15" hidden="false" customHeight="true" outlineLevel="0" collapsed="false">
      <c r="A1239" s="1" t="n">
        <v>1265</v>
      </c>
      <c r="B1239" s="1" t="n">
        <v>188</v>
      </c>
      <c r="C1239" s="1" t="n">
        <v>10</v>
      </c>
      <c r="D1239" s="1" t="s">
        <v>626</v>
      </c>
      <c r="E1239" s="1" t="n">
        <v>1</v>
      </c>
      <c r="F1239" s="1" t="n">
        <v>251.58</v>
      </c>
      <c r="G1239" s="1" t="n">
        <v>0.2</v>
      </c>
      <c r="H1239" s="1" t="s">
        <v>1336</v>
      </c>
      <c r="I1239" s="1" t="n">
        <v>201.26</v>
      </c>
      <c r="J1239" s="1" t="str">
        <f aca="false">VLOOKUP(B1239,Customers!$A$2:$G$502,6,FALSE())</f>
        <v>Small Business</v>
      </c>
      <c r="K1239" s="1" t="str">
        <f aca="false">VLOOKUP(C1239,Products!$A$2:$E$62,3,FALSE())</f>
        <v>Electronics</v>
      </c>
      <c r="L1239" s="1" t="str">
        <f aca="false">TEXT(D1239,"yyyy-mm")</f>
        <v>2023-09</v>
      </c>
    </row>
    <row r="1240" customFormat="false" ht="15" hidden="false" customHeight="true" outlineLevel="0" collapsed="false">
      <c r="A1240" s="1" t="n">
        <v>1266</v>
      </c>
      <c r="B1240" s="1" t="n">
        <v>472</v>
      </c>
      <c r="C1240" s="1" t="n">
        <v>31</v>
      </c>
      <c r="D1240" s="1" t="s">
        <v>719</v>
      </c>
      <c r="E1240" s="1" t="n">
        <v>6</v>
      </c>
      <c r="F1240" s="1" t="n">
        <v>224.86</v>
      </c>
      <c r="G1240" s="1" t="n">
        <v>0.15</v>
      </c>
      <c r="H1240" s="1" t="s">
        <v>1336</v>
      </c>
      <c r="I1240" s="1" t="n">
        <v>1146.79</v>
      </c>
      <c r="J1240" s="1" t="str">
        <f aca="false">VLOOKUP(B1240,Customers!$A$2:$G$502,6,FALSE())</f>
        <v>Consumer</v>
      </c>
      <c r="K1240" s="1" t="str">
        <f aca="false">VLOOKUP(C1240,Products!$A$2:$E$62,3,FALSE())</f>
        <v>Office Supplies</v>
      </c>
      <c r="L1240" s="1" t="str">
        <f aca="false">TEXT(D1240,"yyyy-mm")</f>
        <v>2024-11</v>
      </c>
    </row>
    <row r="1241" customFormat="false" ht="15" hidden="false" customHeight="true" outlineLevel="0" collapsed="false">
      <c r="A1241" s="1" t="n">
        <v>1267</v>
      </c>
      <c r="B1241" s="1" t="n">
        <v>336</v>
      </c>
      <c r="C1241" s="1" t="n">
        <v>21</v>
      </c>
      <c r="D1241" s="1" t="s">
        <v>1626</v>
      </c>
      <c r="E1241" s="1" t="n">
        <v>2</v>
      </c>
      <c r="F1241" s="1" t="n">
        <v>84.91</v>
      </c>
      <c r="G1241" s="1" t="n">
        <v>0.1</v>
      </c>
      <c r="H1241" s="1" t="s">
        <v>1336</v>
      </c>
      <c r="I1241" s="1" t="n">
        <v>152.84</v>
      </c>
      <c r="J1241" s="1" t="str">
        <f aca="false">VLOOKUP(B1241,Customers!$A$2:$G$502,6,FALSE())</f>
        <v>Consumer</v>
      </c>
      <c r="K1241" s="1" t="str">
        <f aca="false">VLOOKUP(C1241,Products!$A$2:$E$62,3,FALSE())</f>
        <v>Office Supplies</v>
      </c>
      <c r="L1241" s="1" t="str">
        <f aca="false">TEXT(D1241,"yyyy-mm")</f>
        <v>2024-06</v>
      </c>
    </row>
    <row r="1242" customFormat="false" ht="15" hidden="false" customHeight="true" outlineLevel="0" collapsed="false">
      <c r="A1242" s="1" t="n">
        <v>1268</v>
      </c>
      <c r="B1242" s="1" t="n">
        <v>103</v>
      </c>
      <c r="C1242" s="1" t="n">
        <v>19</v>
      </c>
      <c r="D1242" s="1" t="s">
        <v>1627</v>
      </c>
      <c r="E1242" s="1" t="n">
        <v>3</v>
      </c>
      <c r="F1242" s="1" t="n">
        <v>163.64</v>
      </c>
      <c r="G1242" s="1" t="n">
        <v>0</v>
      </c>
      <c r="H1242" s="1" t="s">
        <v>1336</v>
      </c>
      <c r="I1242" s="1" t="n">
        <v>490.92</v>
      </c>
      <c r="J1242" s="1" t="str">
        <f aca="false">VLOOKUP(B1242,Customers!$A$2:$G$502,6,FALSE())</f>
        <v>Small Business</v>
      </c>
      <c r="K1242" s="1" t="str">
        <f aca="false">VLOOKUP(C1242,Products!$A$2:$E$62,3,FALSE())</f>
        <v>Office Supplies</v>
      </c>
      <c r="L1242" s="1" t="str">
        <f aca="false">TEXT(D1242,"yyyy-mm")</f>
        <v>2023-11</v>
      </c>
    </row>
    <row r="1243" customFormat="false" ht="15" hidden="false" customHeight="true" outlineLevel="0" collapsed="false">
      <c r="A1243" s="1" t="n">
        <v>1269</v>
      </c>
      <c r="B1243" s="1" t="n">
        <v>223</v>
      </c>
      <c r="C1243" s="1" t="n">
        <v>25</v>
      </c>
      <c r="D1243" s="1" t="s">
        <v>874</v>
      </c>
      <c r="E1243" s="1" t="n">
        <v>1</v>
      </c>
      <c r="F1243" s="1" t="n">
        <v>300.49</v>
      </c>
      <c r="G1243" s="1" t="n">
        <v>0.05</v>
      </c>
      <c r="H1243" s="1" t="s">
        <v>1336</v>
      </c>
      <c r="I1243" s="1" t="n">
        <v>285.47</v>
      </c>
      <c r="J1243" s="1" t="str">
        <f aca="false">VLOOKUP(B1243,Customers!$A$2:$G$502,6,FALSE())</f>
        <v>Consumer</v>
      </c>
      <c r="K1243" s="1" t="str">
        <f aca="false">VLOOKUP(C1243,Products!$A$2:$E$62,3,FALSE())</f>
        <v>Office Supplies</v>
      </c>
      <c r="L1243" s="1" t="str">
        <f aca="false">TEXT(D1243,"yyyy-mm")</f>
        <v>2023-03</v>
      </c>
    </row>
    <row r="1244" customFormat="false" ht="15" hidden="false" customHeight="true" outlineLevel="0" collapsed="false">
      <c r="A1244" s="1" t="n">
        <v>1270</v>
      </c>
      <c r="B1244" s="1" t="n">
        <v>157</v>
      </c>
      <c r="C1244" s="1" t="n">
        <v>32</v>
      </c>
      <c r="D1244" s="1" t="s">
        <v>632</v>
      </c>
      <c r="E1244" s="1" t="n">
        <v>9</v>
      </c>
      <c r="F1244" s="1" t="n">
        <v>492.27</v>
      </c>
      <c r="G1244" s="1" t="n">
        <v>0.2</v>
      </c>
      <c r="H1244" s="1" t="s">
        <v>1336</v>
      </c>
      <c r="I1244" s="1" t="n">
        <v>3544.34</v>
      </c>
      <c r="J1244" s="1" t="str">
        <f aca="false">VLOOKUP(B1244,Customers!$A$2:$G$502,6,FALSE())</f>
        <v>Corporate</v>
      </c>
      <c r="K1244" s="1" t="str">
        <f aca="false">VLOOKUP(C1244,Products!$A$2:$E$62,3,FALSE())</f>
        <v>Office Supplies</v>
      </c>
      <c r="L1244" s="1" t="str">
        <f aca="false">TEXT(D1244,"yyyy-mm")</f>
        <v>2023-10</v>
      </c>
    </row>
    <row r="1245" customFormat="false" ht="15" hidden="false" customHeight="true" outlineLevel="0" collapsed="false">
      <c r="A1245" s="1" t="n">
        <v>1271</v>
      </c>
      <c r="B1245" s="1" t="n">
        <v>46</v>
      </c>
      <c r="C1245" s="1" t="n">
        <v>20</v>
      </c>
      <c r="D1245" s="1" t="s">
        <v>737</v>
      </c>
      <c r="E1245" s="1" t="n">
        <v>8</v>
      </c>
      <c r="F1245" s="1" t="n">
        <v>426.15</v>
      </c>
      <c r="G1245" s="1" t="n">
        <v>0.15</v>
      </c>
      <c r="H1245" s="1" t="s">
        <v>1346</v>
      </c>
      <c r="I1245" s="1" t="n">
        <v>2897.82</v>
      </c>
      <c r="J1245" s="1" t="str">
        <f aca="false">VLOOKUP(B1245,Customers!$A$2:$G$502,6,FALSE())</f>
        <v>Consumer</v>
      </c>
      <c r="K1245" s="1" t="str">
        <f aca="false">VLOOKUP(C1245,Products!$A$2:$E$62,3,FALSE())</f>
        <v>Office Supplies</v>
      </c>
      <c r="L1245" s="1" t="str">
        <f aca="false">TEXT(D1245,"yyyy-mm")</f>
        <v>2024-08</v>
      </c>
    </row>
    <row r="1246" customFormat="false" ht="15" hidden="false" customHeight="true" outlineLevel="0" collapsed="false">
      <c r="A1246" s="1" t="n">
        <v>1272</v>
      </c>
      <c r="B1246" s="1" t="n">
        <v>274</v>
      </c>
      <c r="C1246" s="1" t="n">
        <v>2</v>
      </c>
      <c r="D1246" s="1" t="s">
        <v>1569</v>
      </c>
      <c r="E1246" s="1" t="n">
        <v>2</v>
      </c>
      <c r="F1246" s="1" t="n">
        <v>498.15</v>
      </c>
      <c r="G1246" s="1" t="n">
        <v>0</v>
      </c>
      <c r="H1246" s="1" t="s">
        <v>1336</v>
      </c>
      <c r="I1246" s="1" t="n">
        <v>996.3</v>
      </c>
      <c r="J1246" s="1" t="str">
        <f aca="false">VLOOKUP(B1246,Customers!$A$2:$G$502,6,FALSE())</f>
        <v>Corporate</v>
      </c>
      <c r="K1246" s="1" t="str">
        <f aca="false">VLOOKUP(C1246,Products!$A$2:$E$62,3,FALSE())</f>
        <v>Electronics</v>
      </c>
      <c r="L1246" s="1" t="str">
        <f aca="false">TEXT(D1246,"yyyy-mm")</f>
        <v>2023-02</v>
      </c>
    </row>
    <row r="1247" customFormat="false" ht="15" hidden="false" customHeight="true" outlineLevel="0" collapsed="false">
      <c r="A1247" s="1" t="n">
        <v>1273</v>
      </c>
      <c r="B1247" s="1" t="n">
        <v>351</v>
      </c>
      <c r="C1247" s="1" t="n">
        <v>56</v>
      </c>
      <c r="D1247" s="1" t="s">
        <v>1354</v>
      </c>
      <c r="E1247" s="1" t="n">
        <v>8</v>
      </c>
      <c r="F1247" s="1" t="n">
        <v>160.64</v>
      </c>
      <c r="G1247" s="1" t="n">
        <v>0.15</v>
      </c>
      <c r="H1247" s="1" t="s">
        <v>1336</v>
      </c>
      <c r="I1247" s="1" t="n">
        <v>1092.35</v>
      </c>
      <c r="J1247" s="1" t="str">
        <f aca="false">VLOOKUP(B1247,Customers!$A$2:$G$502,6,FALSE())</f>
        <v>Small Business</v>
      </c>
      <c r="K1247" s="1" t="str">
        <f aca="false">VLOOKUP(C1247,Products!$A$2:$E$62,3,FALSE())</f>
        <v>Furniture</v>
      </c>
      <c r="L1247" s="1" t="str">
        <f aca="false">TEXT(D1247,"yyyy-mm")</f>
        <v>2024-03</v>
      </c>
    </row>
    <row r="1248" customFormat="false" ht="15" hidden="false" customHeight="true" outlineLevel="0" collapsed="false">
      <c r="A1248" s="1" t="n">
        <v>1274</v>
      </c>
      <c r="B1248" s="1" t="n">
        <v>23</v>
      </c>
      <c r="C1248" s="1" t="n">
        <v>59</v>
      </c>
      <c r="D1248" s="1" t="s">
        <v>929</v>
      </c>
      <c r="E1248" s="1" t="n">
        <v>9</v>
      </c>
      <c r="F1248" s="1" t="n">
        <v>438.89</v>
      </c>
      <c r="G1248" s="1" t="n">
        <v>0</v>
      </c>
      <c r="H1248" s="1" t="s">
        <v>1336</v>
      </c>
      <c r="I1248" s="1" t="n">
        <v>3950.01</v>
      </c>
      <c r="J1248" s="1" t="str">
        <f aca="false">VLOOKUP(B1248,Customers!$A$2:$G$502,6,FALSE())</f>
        <v>Corporate</v>
      </c>
      <c r="K1248" s="1" t="str">
        <f aca="false">VLOOKUP(C1248,Products!$A$2:$E$62,3,FALSE())</f>
        <v>Furniture</v>
      </c>
      <c r="L1248" s="1" t="str">
        <f aca="false">TEXT(D1248,"yyyy-mm")</f>
        <v>2023-08</v>
      </c>
    </row>
    <row r="1249" customFormat="false" ht="15" hidden="false" customHeight="true" outlineLevel="0" collapsed="false">
      <c r="A1249" s="1" t="n">
        <v>1275</v>
      </c>
      <c r="B1249" s="1" t="n">
        <v>366</v>
      </c>
      <c r="C1249" s="1" t="n">
        <v>14</v>
      </c>
      <c r="D1249" s="1" t="s">
        <v>1575</v>
      </c>
      <c r="E1249" s="1" t="n">
        <v>1</v>
      </c>
      <c r="F1249" s="1" t="n">
        <v>135.27</v>
      </c>
      <c r="G1249" s="1" t="n">
        <v>0</v>
      </c>
      <c r="H1249" s="1" t="s">
        <v>1336</v>
      </c>
      <c r="I1249" s="1" t="n">
        <v>135.27</v>
      </c>
      <c r="J1249" s="1" t="str">
        <f aca="false">VLOOKUP(B1249,Customers!$A$2:$G$502,6,FALSE())</f>
        <v>Corporate</v>
      </c>
      <c r="K1249" s="1" t="str">
        <f aca="false">VLOOKUP(C1249,Products!$A$2:$E$62,3,FALSE())</f>
        <v>Electronics</v>
      </c>
      <c r="L1249" s="1" t="str">
        <f aca="false">TEXT(D1249,"yyyy-mm")</f>
        <v>2024-05</v>
      </c>
    </row>
    <row r="1250" customFormat="false" ht="15" hidden="false" customHeight="true" outlineLevel="0" collapsed="false">
      <c r="A1250" s="1" t="n">
        <v>1276</v>
      </c>
      <c r="B1250" s="1" t="n">
        <v>461</v>
      </c>
      <c r="C1250" s="1" t="n">
        <v>45</v>
      </c>
      <c r="D1250" s="1" t="s">
        <v>1596</v>
      </c>
      <c r="E1250" s="1" t="n">
        <v>5</v>
      </c>
      <c r="F1250" s="1" t="n">
        <v>560.01</v>
      </c>
      <c r="G1250" s="1" t="n">
        <v>0</v>
      </c>
      <c r="H1250" s="1" t="s">
        <v>1336</v>
      </c>
      <c r="I1250" s="1" t="n">
        <v>2800.05</v>
      </c>
      <c r="J1250" s="1" t="str">
        <f aca="false">VLOOKUP(B1250,Customers!$A$2:$G$502,6,FALSE())</f>
        <v>Corporate</v>
      </c>
      <c r="K1250" s="1" t="str">
        <f aca="false">VLOOKUP(C1250,Products!$A$2:$E$62,3,FALSE())</f>
        <v>Software</v>
      </c>
      <c r="L1250" s="1" t="str">
        <f aca="false">TEXT(D1250,"yyyy-mm")</f>
        <v>2023-04</v>
      </c>
    </row>
    <row r="1251" customFormat="false" ht="15" hidden="false" customHeight="true" outlineLevel="0" collapsed="false">
      <c r="A1251" s="1" t="n">
        <v>1277</v>
      </c>
      <c r="B1251" s="1" t="n">
        <v>91</v>
      </c>
      <c r="C1251" s="1" t="n">
        <v>25</v>
      </c>
      <c r="D1251" s="1" t="s">
        <v>155</v>
      </c>
      <c r="E1251" s="1" t="n">
        <v>8</v>
      </c>
      <c r="F1251" s="1" t="n">
        <v>300.49</v>
      </c>
      <c r="G1251" s="1" t="n">
        <v>0</v>
      </c>
      <c r="H1251" s="1" t="s">
        <v>1346</v>
      </c>
      <c r="I1251" s="1" t="n">
        <v>2403.92</v>
      </c>
      <c r="J1251" s="1" t="str">
        <f aca="false">VLOOKUP(B1251,Customers!$A$2:$G$502,6,FALSE())</f>
        <v>Consumer</v>
      </c>
      <c r="K1251" s="1" t="str">
        <f aca="false">VLOOKUP(C1251,Products!$A$2:$E$62,3,FALSE())</f>
        <v>Office Supplies</v>
      </c>
      <c r="L1251" s="1" t="str">
        <f aca="false">TEXT(D1251,"yyyy-mm")</f>
        <v>2023-08</v>
      </c>
    </row>
    <row r="1252" customFormat="false" ht="15" hidden="false" customHeight="true" outlineLevel="0" collapsed="false">
      <c r="A1252" s="1" t="n">
        <v>1278</v>
      </c>
      <c r="B1252" s="1" t="n">
        <v>319</v>
      </c>
      <c r="C1252" s="1" t="n">
        <v>43</v>
      </c>
      <c r="D1252" s="1" t="s">
        <v>1628</v>
      </c>
      <c r="E1252" s="1" t="n">
        <v>2</v>
      </c>
      <c r="F1252" s="1" t="n">
        <v>186.31</v>
      </c>
      <c r="G1252" s="1" t="n">
        <v>0.05</v>
      </c>
      <c r="H1252" s="1" t="s">
        <v>1336</v>
      </c>
      <c r="I1252" s="1" t="n">
        <v>353.99</v>
      </c>
      <c r="J1252" s="1" t="str">
        <f aca="false">VLOOKUP(B1252,Customers!$A$2:$G$502,6,FALSE())</f>
        <v>Corporate</v>
      </c>
      <c r="K1252" s="1" t="str">
        <f aca="false">VLOOKUP(C1252,Products!$A$2:$E$62,3,FALSE())</f>
        <v>Software</v>
      </c>
      <c r="L1252" s="1" t="str">
        <f aca="false">TEXT(D1252,"yyyy-mm")</f>
        <v>2023-09</v>
      </c>
    </row>
    <row r="1253" customFormat="false" ht="15" hidden="false" customHeight="true" outlineLevel="0" collapsed="false">
      <c r="A1253" s="1" t="n">
        <v>1279</v>
      </c>
      <c r="B1253" s="1" t="n">
        <v>482</v>
      </c>
      <c r="C1253" s="1" t="n">
        <v>57</v>
      </c>
      <c r="D1253" s="1" t="s">
        <v>1471</v>
      </c>
      <c r="E1253" s="1" t="n">
        <v>4</v>
      </c>
      <c r="F1253" s="1" t="n">
        <v>719.76</v>
      </c>
      <c r="G1253" s="1" t="n">
        <v>0</v>
      </c>
      <c r="H1253" s="1" t="s">
        <v>1346</v>
      </c>
      <c r="I1253" s="1" t="n">
        <v>2879.04</v>
      </c>
      <c r="J1253" s="1" t="str">
        <f aca="false">VLOOKUP(B1253,Customers!$A$2:$G$502,6,FALSE())</f>
        <v>Small Business</v>
      </c>
      <c r="K1253" s="1" t="str">
        <f aca="false">VLOOKUP(C1253,Products!$A$2:$E$62,3,FALSE())</f>
        <v>Furniture</v>
      </c>
      <c r="L1253" s="1" t="str">
        <f aca="false">TEXT(D1253,"yyyy-mm")</f>
        <v>2024-10</v>
      </c>
    </row>
    <row r="1254" customFormat="false" ht="15" hidden="false" customHeight="true" outlineLevel="0" collapsed="false">
      <c r="A1254" s="1" t="n">
        <v>1280</v>
      </c>
      <c r="B1254" s="1" t="n">
        <v>194</v>
      </c>
      <c r="C1254" s="1" t="n">
        <v>18</v>
      </c>
      <c r="D1254" s="1" t="s">
        <v>581</v>
      </c>
      <c r="E1254" s="1" t="n">
        <v>7</v>
      </c>
      <c r="F1254" s="1" t="n">
        <v>747.34</v>
      </c>
      <c r="G1254" s="1" t="n">
        <v>0</v>
      </c>
      <c r="H1254" s="1" t="s">
        <v>1336</v>
      </c>
      <c r="I1254" s="1" t="n">
        <v>5231.38</v>
      </c>
      <c r="J1254" s="1" t="str">
        <f aca="false">VLOOKUP(B1254,Customers!$A$2:$G$502,6,FALSE())</f>
        <v>Corporate</v>
      </c>
      <c r="K1254" s="1" t="str">
        <f aca="false">VLOOKUP(C1254,Products!$A$2:$E$62,3,FALSE())</f>
        <v>Electronics</v>
      </c>
      <c r="L1254" s="1" t="str">
        <f aca="false">TEXT(D1254,"yyyy-mm")</f>
        <v>2023-07</v>
      </c>
    </row>
    <row r="1255" customFormat="false" ht="15" hidden="false" customHeight="true" outlineLevel="0" collapsed="false">
      <c r="A1255" s="1" t="n">
        <v>1281</v>
      </c>
      <c r="B1255" s="1" t="n">
        <v>22</v>
      </c>
      <c r="C1255" s="1" t="n">
        <v>45</v>
      </c>
      <c r="D1255" s="1" t="s">
        <v>671</v>
      </c>
      <c r="E1255" s="1" t="n">
        <v>3</v>
      </c>
      <c r="F1255" s="1" t="n">
        <v>560.01</v>
      </c>
      <c r="G1255" s="1" t="n">
        <v>0</v>
      </c>
      <c r="H1255" s="1" t="s">
        <v>1336</v>
      </c>
      <c r="I1255" s="1" t="n">
        <v>1680.03</v>
      </c>
      <c r="J1255" s="1" t="str">
        <f aca="false">VLOOKUP(B1255,Customers!$A$2:$G$502,6,FALSE())</f>
        <v>Consumer</v>
      </c>
      <c r="K1255" s="1" t="str">
        <f aca="false">VLOOKUP(C1255,Products!$A$2:$E$62,3,FALSE())</f>
        <v>Software</v>
      </c>
      <c r="L1255" s="1" t="str">
        <f aca="false">TEXT(D1255,"yyyy-mm")</f>
        <v>2024-04</v>
      </c>
    </row>
    <row r="1256" customFormat="false" ht="15" hidden="false" customHeight="true" outlineLevel="0" collapsed="false">
      <c r="A1256" s="1" t="n">
        <v>1282</v>
      </c>
      <c r="B1256" s="1" t="n">
        <v>462</v>
      </c>
      <c r="C1256" s="1" t="n">
        <v>51</v>
      </c>
      <c r="D1256" s="1" t="s">
        <v>1488</v>
      </c>
      <c r="E1256" s="1" t="n">
        <v>5</v>
      </c>
      <c r="F1256" s="1" t="n">
        <v>30.16</v>
      </c>
      <c r="G1256" s="1" t="n">
        <v>0</v>
      </c>
      <c r="H1256" s="1" t="s">
        <v>1336</v>
      </c>
      <c r="I1256" s="1" t="n">
        <v>150.8</v>
      </c>
      <c r="J1256" s="1" t="str">
        <f aca="false">VLOOKUP(B1256,Customers!$A$2:$G$502,6,FALSE())</f>
        <v>Small Business</v>
      </c>
      <c r="K1256" s="1" t="str">
        <f aca="false">VLOOKUP(C1256,Products!$A$2:$E$62,3,FALSE())</f>
        <v>Software</v>
      </c>
      <c r="L1256" s="1" t="str">
        <f aca="false">TEXT(D1256,"yyyy-mm")</f>
        <v>2024-05</v>
      </c>
    </row>
    <row r="1257" customFormat="false" ht="15" hidden="false" customHeight="true" outlineLevel="0" collapsed="false">
      <c r="A1257" s="1" t="n">
        <v>1283</v>
      </c>
      <c r="B1257" s="1" t="n">
        <v>349</v>
      </c>
      <c r="C1257" s="1" t="n">
        <v>46</v>
      </c>
      <c r="D1257" s="1" t="s">
        <v>1374</v>
      </c>
      <c r="E1257" s="1" t="n">
        <v>8</v>
      </c>
      <c r="F1257" s="1" t="n">
        <v>94.92</v>
      </c>
      <c r="G1257" s="1" t="n">
        <v>0.05</v>
      </c>
      <c r="H1257" s="1" t="s">
        <v>1336</v>
      </c>
      <c r="I1257" s="1" t="n">
        <v>721.39</v>
      </c>
      <c r="J1257" s="1" t="str">
        <f aca="false">VLOOKUP(B1257,Customers!$A$2:$G$502,6,FALSE())</f>
        <v>Consumer</v>
      </c>
      <c r="K1257" s="1" t="str">
        <f aca="false">VLOOKUP(C1257,Products!$A$2:$E$62,3,FALSE())</f>
        <v>Software</v>
      </c>
      <c r="L1257" s="1" t="str">
        <f aca="false">TEXT(D1257,"yyyy-mm")</f>
        <v>2024-12</v>
      </c>
    </row>
    <row r="1258" customFormat="false" ht="15" hidden="false" customHeight="true" outlineLevel="0" collapsed="false">
      <c r="A1258" s="1" t="n">
        <v>1284</v>
      </c>
      <c r="B1258" s="1" t="n">
        <v>390</v>
      </c>
      <c r="C1258" s="1" t="n">
        <v>8</v>
      </c>
      <c r="D1258" s="1" t="s">
        <v>1629</v>
      </c>
      <c r="E1258" s="1" t="n">
        <v>3</v>
      </c>
      <c r="F1258" s="1" t="n">
        <v>104.4</v>
      </c>
      <c r="G1258" s="1" t="n">
        <v>0.2</v>
      </c>
      <c r="H1258" s="1" t="s">
        <v>1346</v>
      </c>
      <c r="I1258" s="1" t="n">
        <v>250.56</v>
      </c>
      <c r="J1258" s="1" t="str">
        <f aca="false">VLOOKUP(B1258,Customers!$A$2:$G$502,6,FALSE())</f>
        <v>Small Business</v>
      </c>
      <c r="K1258" s="1" t="str">
        <f aca="false">VLOOKUP(C1258,Products!$A$2:$E$62,3,FALSE())</f>
        <v>Electronics</v>
      </c>
      <c r="L1258" s="1" t="str">
        <f aca="false">TEXT(D1258,"yyyy-mm")</f>
        <v>2024-02</v>
      </c>
    </row>
    <row r="1259" customFormat="false" ht="15" hidden="false" customHeight="true" outlineLevel="0" collapsed="false">
      <c r="A1259" s="1" t="n">
        <v>1285</v>
      </c>
      <c r="B1259" s="1" t="n">
        <v>103</v>
      </c>
      <c r="C1259" s="1" t="n">
        <v>9</v>
      </c>
      <c r="D1259" s="1" t="s">
        <v>1500</v>
      </c>
      <c r="E1259" s="1" t="n">
        <v>4</v>
      </c>
      <c r="F1259" s="1" t="n">
        <v>203.1</v>
      </c>
      <c r="G1259" s="1" t="n">
        <v>0</v>
      </c>
      <c r="H1259" s="1" t="s">
        <v>1336</v>
      </c>
      <c r="I1259" s="1" t="n">
        <v>812.4</v>
      </c>
      <c r="J1259" s="1" t="str">
        <f aca="false">VLOOKUP(B1259,Customers!$A$2:$G$502,6,FALSE())</f>
        <v>Small Business</v>
      </c>
      <c r="K1259" s="1" t="str">
        <f aca="false">VLOOKUP(C1259,Products!$A$2:$E$62,3,FALSE())</f>
        <v>Electronics</v>
      </c>
      <c r="L1259" s="1" t="str">
        <f aca="false">TEXT(D1259,"yyyy-mm")</f>
        <v>2024-06</v>
      </c>
    </row>
    <row r="1260" customFormat="false" ht="15" hidden="false" customHeight="true" outlineLevel="0" collapsed="false">
      <c r="A1260" s="1" t="n">
        <v>1286</v>
      </c>
      <c r="B1260" s="1" t="n">
        <v>95</v>
      </c>
      <c r="C1260" s="1" t="n">
        <v>6</v>
      </c>
      <c r="D1260" s="1" t="s">
        <v>952</v>
      </c>
      <c r="E1260" s="1" t="n">
        <v>9</v>
      </c>
      <c r="F1260" s="1" t="n">
        <v>28.51</v>
      </c>
      <c r="G1260" s="1" t="n">
        <v>0.2</v>
      </c>
      <c r="H1260" s="1" t="s">
        <v>1336</v>
      </c>
      <c r="I1260" s="1" t="n">
        <v>205.27</v>
      </c>
      <c r="J1260" s="1" t="str">
        <f aca="false">VLOOKUP(B1260,Customers!$A$2:$G$502,6,FALSE())</f>
        <v>Corporate</v>
      </c>
      <c r="K1260" s="1" t="str">
        <f aca="false">VLOOKUP(C1260,Products!$A$2:$E$62,3,FALSE())</f>
        <v>Electronics</v>
      </c>
      <c r="L1260" s="1" t="str">
        <f aca="false">TEXT(D1260,"yyyy-mm")</f>
        <v>2024-12</v>
      </c>
    </row>
    <row r="1261" customFormat="false" ht="15" hidden="false" customHeight="true" outlineLevel="0" collapsed="false">
      <c r="A1261" s="1" t="n">
        <v>1287</v>
      </c>
      <c r="B1261" s="1" t="n">
        <v>227</v>
      </c>
      <c r="C1261" s="1" t="n">
        <v>39</v>
      </c>
      <c r="D1261" s="1" t="s">
        <v>1630</v>
      </c>
      <c r="E1261" s="1" t="n">
        <v>7</v>
      </c>
      <c r="F1261" s="1" t="n">
        <v>400.02</v>
      </c>
      <c r="G1261" s="1" t="n">
        <v>0.15</v>
      </c>
      <c r="H1261" s="1" t="s">
        <v>1346</v>
      </c>
      <c r="I1261" s="1" t="n">
        <v>2380.12</v>
      </c>
      <c r="J1261" s="1" t="str">
        <f aca="false">VLOOKUP(B1261,Customers!$A$2:$G$502,6,FALSE())</f>
        <v>Consumer</v>
      </c>
      <c r="K1261" s="1" t="str">
        <f aca="false">VLOOKUP(C1261,Products!$A$2:$E$62,3,FALSE())</f>
        <v>Software</v>
      </c>
      <c r="L1261" s="1" t="str">
        <f aca="false">TEXT(D1261,"yyyy-mm")</f>
        <v>2023-02</v>
      </c>
    </row>
    <row r="1262" customFormat="false" ht="15" hidden="false" customHeight="true" outlineLevel="0" collapsed="false">
      <c r="A1262" s="1" t="n">
        <v>1288</v>
      </c>
      <c r="B1262" s="1" t="n">
        <v>163</v>
      </c>
      <c r="C1262" s="1" t="n">
        <v>3</v>
      </c>
      <c r="D1262" s="1" t="s">
        <v>870</v>
      </c>
      <c r="E1262" s="1" t="n">
        <v>1</v>
      </c>
      <c r="F1262" s="1" t="n">
        <v>89.39</v>
      </c>
      <c r="G1262" s="1" t="n">
        <v>0</v>
      </c>
      <c r="H1262" s="1" t="s">
        <v>1370</v>
      </c>
      <c r="I1262" s="1" t="n">
        <v>89.39</v>
      </c>
      <c r="J1262" s="1" t="str">
        <f aca="false">VLOOKUP(B1262,Customers!$A$2:$G$502,6,FALSE())</f>
        <v>Small Business</v>
      </c>
      <c r="K1262" s="1" t="str">
        <f aca="false">VLOOKUP(C1262,Products!$A$2:$E$62,3,FALSE())</f>
        <v>Electronics</v>
      </c>
      <c r="L1262" s="1" t="str">
        <f aca="false">TEXT(D1262,"yyyy-mm")</f>
        <v>2024-08</v>
      </c>
    </row>
    <row r="1263" customFormat="false" ht="15" hidden="false" customHeight="true" outlineLevel="0" collapsed="false">
      <c r="A1263" s="1" t="n">
        <v>1289</v>
      </c>
      <c r="B1263" s="1" t="n">
        <v>180</v>
      </c>
      <c r="C1263" s="1" t="n">
        <v>30</v>
      </c>
      <c r="D1263" s="1" t="s">
        <v>1578</v>
      </c>
      <c r="E1263" s="1" t="n">
        <v>4</v>
      </c>
      <c r="F1263" s="1" t="n">
        <v>33.32</v>
      </c>
      <c r="G1263" s="1" t="n">
        <v>0.15</v>
      </c>
      <c r="H1263" s="1" t="s">
        <v>1336</v>
      </c>
      <c r="I1263" s="1" t="n">
        <v>113.29</v>
      </c>
      <c r="J1263" s="1" t="str">
        <f aca="false">VLOOKUP(B1263,Customers!$A$2:$G$502,6,FALSE())</f>
        <v>Consumer</v>
      </c>
      <c r="K1263" s="1" t="str">
        <f aca="false">VLOOKUP(C1263,Products!$A$2:$E$62,3,FALSE())</f>
        <v>Office Supplies</v>
      </c>
      <c r="L1263" s="1" t="str">
        <f aca="false">TEXT(D1263,"yyyy-mm")</f>
        <v>2023-07</v>
      </c>
    </row>
    <row r="1264" customFormat="false" ht="15" hidden="false" customHeight="true" outlineLevel="0" collapsed="false">
      <c r="A1264" s="1" t="n">
        <v>1290</v>
      </c>
      <c r="B1264" s="1" t="n">
        <v>116</v>
      </c>
      <c r="C1264" s="1" t="n">
        <v>12</v>
      </c>
      <c r="D1264" s="1" t="s">
        <v>1484</v>
      </c>
      <c r="E1264" s="1" t="n">
        <v>4</v>
      </c>
      <c r="F1264" s="1" t="n">
        <v>179.23</v>
      </c>
      <c r="G1264" s="1" t="n">
        <v>0</v>
      </c>
      <c r="H1264" s="1" t="s">
        <v>1336</v>
      </c>
      <c r="I1264" s="1" t="n">
        <v>716.92</v>
      </c>
      <c r="J1264" s="1" t="str">
        <f aca="false">VLOOKUP(B1264,Customers!$A$2:$G$502,6,FALSE())</f>
        <v>Corporate</v>
      </c>
      <c r="K1264" s="1" t="str">
        <f aca="false">VLOOKUP(C1264,Products!$A$2:$E$62,3,FALSE())</f>
        <v>Electronics</v>
      </c>
      <c r="L1264" s="1" t="str">
        <f aca="false">TEXT(D1264,"yyyy-mm")</f>
        <v>2024-10</v>
      </c>
    </row>
    <row r="1265" customFormat="false" ht="15" hidden="false" customHeight="true" outlineLevel="0" collapsed="false">
      <c r="A1265" s="1" t="n">
        <v>1291</v>
      </c>
      <c r="B1265" s="1" t="n">
        <v>432</v>
      </c>
      <c r="C1265" s="1" t="n">
        <v>16</v>
      </c>
      <c r="D1265" s="1" t="s">
        <v>1212</v>
      </c>
      <c r="E1265" s="1" t="n">
        <v>9</v>
      </c>
      <c r="F1265" s="1" t="n">
        <v>330.91</v>
      </c>
      <c r="G1265" s="1" t="n">
        <v>0.1</v>
      </c>
      <c r="H1265" s="1" t="s">
        <v>1336</v>
      </c>
      <c r="I1265" s="1" t="n">
        <v>2680.37</v>
      </c>
      <c r="J1265" s="1" t="str">
        <f aca="false">VLOOKUP(B1265,Customers!$A$2:$G$502,6,FALSE())</f>
        <v>Consumer</v>
      </c>
      <c r="K1265" s="1" t="str">
        <f aca="false">VLOOKUP(C1265,Products!$A$2:$E$62,3,FALSE())</f>
        <v>Electronics</v>
      </c>
      <c r="L1265" s="1" t="str">
        <f aca="false">TEXT(D1265,"yyyy-mm")</f>
        <v>2024-09</v>
      </c>
    </row>
    <row r="1266" customFormat="false" ht="15" hidden="false" customHeight="true" outlineLevel="0" collapsed="false">
      <c r="A1266" s="1" t="n">
        <v>1292</v>
      </c>
      <c r="B1266" s="1" t="n">
        <v>58</v>
      </c>
      <c r="C1266" s="1" t="n">
        <v>44</v>
      </c>
      <c r="D1266" s="1" t="s">
        <v>1631</v>
      </c>
      <c r="E1266" s="1" t="n">
        <v>6</v>
      </c>
      <c r="F1266" s="1" t="n">
        <v>508.26</v>
      </c>
      <c r="G1266" s="1" t="n">
        <v>0.05</v>
      </c>
      <c r="H1266" s="1" t="s">
        <v>1336</v>
      </c>
      <c r="I1266" s="1" t="n">
        <v>2897.08</v>
      </c>
      <c r="J1266" s="1" t="str">
        <f aca="false">VLOOKUP(B1266,Customers!$A$2:$G$502,6,FALSE())</f>
        <v>Consumer</v>
      </c>
      <c r="K1266" s="1" t="str">
        <f aca="false">VLOOKUP(C1266,Products!$A$2:$E$62,3,FALSE())</f>
        <v>Software</v>
      </c>
      <c r="L1266" s="1" t="str">
        <f aca="false">TEXT(D1266,"yyyy-mm")</f>
        <v>2023-03</v>
      </c>
    </row>
    <row r="1267" customFormat="false" ht="15" hidden="false" customHeight="true" outlineLevel="0" collapsed="false">
      <c r="A1267" s="1" t="n">
        <v>1294</v>
      </c>
      <c r="B1267" s="1" t="n">
        <v>30</v>
      </c>
      <c r="C1267" s="1" t="n">
        <v>53</v>
      </c>
      <c r="D1267" s="1" t="s">
        <v>1424</v>
      </c>
      <c r="E1267" s="1" t="n">
        <v>6</v>
      </c>
      <c r="F1267" s="1" t="n">
        <v>509.98</v>
      </c>
      <c r="G1267" s="1" t="n">
        <v>0.2</v>
      </c>
      <c r="H1267" s="1" t="s">
        <v>1336</v>
      </c>
      <c r="I1267" s="1" t="n">
        <v>2447.9</v>
      </c>
      <c r="J1267" s="1" t="str">
        <f aca="false">VLOOKUP(B1267,Customers!$A$2:$G$502,6,FALSE())</f>
        <v>Unknown</v>
      </c>
      <c r="K1267" s="1" t="str">
        <f aca="false">VLOOKUP(C1267,Products!$A$2:$E$62,3,FALSE())</f>
        <v>Software</v>
      </c>
      <c r="L1267" s="1" t="str">
        <f aca="false">TEXT(D1267,"yyyy-mm")</f>
        <v>2024-02</v>
      </c>
    </row>
    <row r="1268" customFormat="false" ht="15" hidden="false" customHeight="true" outlineLevel="0" collapsed="false">
      <c r="A1268" s="1" t="n">
        <v>1295</v>
      </c>
      <c r="B1268" s="1" t="n">
        <v>280</v>
      </c>
      <c r="C1268" s="1" t="n">
        <v>5</v>
      </c>
      <c r="D1268" s="1" t="s">
        <v>220</v>
      </c>
      <c r="E1268" s="1" t="n">
        <v>6</v>
      </c>
      <c r="F1268" s="1" t="n">
        <v>439.06</v>
      </c>
      <c r="G1268" s="1" t="n">
        <v>0.15</v>
      </c>
      <c r="H1268" s="1" t="s">
        <v>1336</v>
      </c>
      <c r="I1268" s="1" t="n">
        <v>2239.21</v>
      </c>
      <c r="J1268" s="1" t="str">
        <f aca="false">VLOOKUP(B1268,Customers!$A$2:$G$502,6,FALSE())</f>
        <v>Consumer</v>
      </c>
      <c r="K1268" s="1" t="str">
        <f aca="false">VLOOKUP(C1268,Products!$A$2:$E$62,3,FALSE())</f>
        <v>Electronics</v>
      </c>
      <c r="L1268" s="1" t="str">
        <f aca="false">TEXT(D1268,"yyyy-mm")</f>
        <v>2023-01</v>
      </c>
    </row>
    <row r="1269" customFormat="false" ht="15" hidden="false" customHeight="true" outlineLevel="0" collapsed="false">
      <c r="A1269" s="1" t="n">
        <v>1296</v>
      </c>
      <c r="B1269" s="1" t="n">
        <v>352</v>
      </c>
      <c r="C1269" s="1" t="n">
        <v>40</v>
      </c>
      <c r="D1269" s="1" t="s">
        <v>1424</v>
      </c>
      <c r="E1269" s="1" t="n">
        <v>5</v>
      </c>
      <c r="F1269" s="1" t="n">
        <v>193.02</v>
      </c>
      <c r="G1269" s="1" t="n">
        <v>0.05</v>
      </c>
      <c r="H1269" s="1" t="s">
        <v>1346</v>
      </c>
      <c r="I1269" s="1" t="n">
        <v>916.84</v>
      </c>
      <c r="J1269" s="1" t="str">
        <f aca="false">VLOOKUP(B1269,Customers!$A$2:$G$502,6,FALSE())</f>
        <v>Corporate</v>
      </c>
      <c r="K1269" s="1" t="str">
        <f aca="false">VLOOKUP(C1269,Products!$A$2:$E$62,3,FALSE())</f>
        <v>Software</v>
      </c>
      <c r="L1269" s="1" t="str">
        <f aca="false">TEXT(D1269,"yyyy-mm")</f>
        <v>2024-02</v>
      </c>
    </row>
    <row r="1270" customFormat="false" ht="15" hidden="false" customHeight="true" outlineLevel="0" collapsed="false">
      <c r="A1270" s="1" t="n">
        <v>1297</v>
      </c>
      <c r="B1270" s="1" t="n">
        <v>326</v>
      </c>
      <c r="C1270" s="1" t="n">
        <v>30</v>
      </c>
      <c r="D1270" s="1" t="s">
        <v>623</v>
      </c>
      <c r="E1270" s="1" t="n">
        <v>5</v>
      </c>
      <c r="F1270" s="1" t="n">
        <v>33.32</v>
      </c>
      <c r="G1270" s="1" t="n">
        <v>0</v>
      </c>
      <c r="H1270" s="1" t="s">
        <v>1336</v>
      </c>
      <c r="I1270" s="1" t="n">
        <v>166.6</v>
      </c>
      <c r="J1270" s="1" t="str">
        <f aca="false">VLOOKUP(B1270,Customers!$A$2:$G$502,6,FALSE())</f>
        <v>Corporate</v>
      </c>
      <c r="K1270" s="1" t="str">
        <f aca="false">VLOOKUP(C1270,Products!$A$2:$E$62,3,FALSE())</f>
        <v>Office Supplies</v>
      </c>
      <c r="L1270" s="1" t="str">
        <f aca="false">TEXT(D1270,"yyyy-mm")</f>
        <v>2024-05</v>
      </c>
    </row>
    <row r="1271" customFormat="false" ht="15" hidden="false" customHeight="true" outlineLevel="0" collapsed="false">
      <c r="A1271" s="1" t="n">
        <v>1298</v>
      </c>
      <c r="B1271" s="1" t="n">
        <v>375</v>
      </c>
      <c r="C1271" s="1" t="n">
        <v>12</v>
      </c>
      <c r="D1271" s="1" t="s">
        <v>935</v>
      </c>
      <c r="E1271" s="1" t="n">
        <v>2</v>
      </c>
      <c r="F1271" s="1" t="n">
        <v>179.23</v>
      </c>
      <c r="G1271" s="1" t="n">
        <v>0</v>
      </c>
      <c r="H1271" s="1" t="s">
        <v>1346</v>
      </c>
      <c r="I1271" s="1" t="n">
        <v>358.46</v>
      </c>
      <c r="J1271" s="1" t="str">
        <f aca="false">VLOOKUP(B1271,Customers!$A$2:$G$502,6,FALSE())</f>
        <v>Consumer</v>
      </c>
      <c r="K1271" s="1" t="str">
        <f aca="false">VLOOKUP(C1271,Products!$A$2:$E$62,3,FALSE())</f>
        <v>Electronics</v>
      </c>
      <c r="L1271" s="1" t="str">
        <f aca="false">TEXT(D1271,"yyyy-mm")</f>
        <v>2024-02</v>
      </c>
    </row>
    <row r="1272" customFormat="false" ht="15" hidden="false" customHeight="true" outlineLevel="0" collapsed="false">
      <c r="A1272" s="1" t="n">
        <v>1299</v>
      </c>
      <c r="B1272" s="1" t="n">
        <v>74</v>
      </c>
      <c r="C1272" s="1" t="n">
        <v>3</v>
      </c>
      <c r="D1272" s="1" t="s">
        <v>1608</v>
      </c>
      <c r="E1272" s="1" t="n">
        <v>8</v>
      </c>
      <c r="F1272" s="1" t="n">
        <v>89.39</v>
      </c>
      <c r="G1272" s="1" t="n">
        <v>0.05</v>
      </c>
      <c r="H1272" s="1" t="s">
        <v>1336</v>
      </c>
      <c r="I1272" s="1" t="n">
        <v>679.36</v>
      </c>
      <c r="J1272" s="1" t="str">
        <f aca="false">VLOOKUP(B1272,Customers!$A$2:$G$502,6,FALSE())</f>
        <v>Consumer</v>
      </c>
      <c r="K1272" s="1" t="str">
        <f aca="false">VLOOKUP(C1272,Products!$A$2:$E$62,3,FALSE())</f>
        <v>Electronics</v>
      </c>
      <c r="L1272" s="1" t="str">
        <f aca="false">TEXT(D1272,"yyyy-mm")</f>
        <v>2024-04</v>
      </c>
    </row>
    <row r="1273" customFormat="false" ht="15" hidden="false" customHeight="true" outlineLevel="0" collapsed="false">
      <c r="A1273" s="1" t="n">
        <v>1300</v>
      </c>
      <c r="B1273" s="1" t="n">
        <v>431</v>
      </c>
      <c r="C1273" s="1" t="n">
        <v>41</v>
      </c>
      <c r="D1273" s="1" t="s">
        <v>1433</v>
      </c>
      <c r="E1273" s="1" t="n">
        <v>8</v>
      </c>
      <c r="F1273" s="1" t="n">
        <v>594.54</v>
      </c>
      <c r="G1273" s="1" t="n">
        <v>0</v>
      </c>
      <c r="H1273" s="1" t="s">
        <v>1370</v>
      </c>
      <c r="I1273" s="1" t="n">
        <v>4756.32</v>
      </c>
      <c r="J1273" s="1" t="str">
        <f aca="false">VLOOKUP(B1273,Customers!$A$2:$G$502,6,FALSE())</f>
        <v>Consumer</v>
      </c>
      <c r="K1273" s="1" t="str">
        <f aca="false">VLOOKUP(C1273,Products!$A$2:$E$62,3,FALSE())</f>
        <v>Software</v>
      </c>
      <c r="L1273" s="1" t="str">
        <f aca="false">TEXT(D1273,"yyyy-mm")</f>
        <v>2023-12</v>
      </c>
    </row>
    <row r="1274" customFormat="false" ht="15" hidden="false" customHeight="true" outlineLevel="0" collapsed="false">
      <c r="A1274" s="1" t="n">
        <v>1301</v>
      </c>
      <c r="B1274" s="1" t="n">
        <v>228</v>
      </c>
      <c r="C1274" s="1" t="n">
        <v>25</v>
      </c>
      <c r="D1274" s="1" t="s">
        <v>1632</v>
      </c>
      <c r="E1274" s="1" t="n">
        <v>1</v>
      </c>
      <c r="F1274" s="1" t="n">
        <v>300.49</v>
      </c>
      <c r="G1274" s="1" t="n">
        <v>0</v>
      </c>
      <c r="H1274" s="1" t="s">
        <v>1336</v>
      </c>
      <c r="I1274" s="1" t="n">
        <v>300.49</v>
      </c>
      <c r="J1274" s="1" t="str">
        <f aca="false">VLOOKUP(B1274,Customers!$A$2:$G$502,6,FALSE())</f>
        <v>Small Business</v>
      </c>
      <c r="K1274" s="1" t="str">
        <f aca="false">VLOOKUP(C1274,Products!$A$2:$E$62,3,FALSE())</f>
        <v>Office Supplies</v>
      </c>
      <c r="L1274" s="1" t="str">
        <f aca="false">TEXT(D1274,"yyyy-mm")</f>
        <v>2024-04</v>
      </c>
    </row>
    <row r="1275" customFormat="false" ht="15" hidden="false" customHeight="true" outlineLevel="0" collapsed="false">
      <c r="A1275" s="1" t="n">
        <v>1302</v>
      </c>
      <c r="B1275" s="1" t="n">
        <v>126</v>
      </c>
      <c r="C1275" s="1" t="n">
        <v>14</v>
      </c>
      <c r="D1275" s="1" t="s">
        <v>1013</v>
      </c>
      <c r="E1275" s="1" t="n">
        <v>8</v>
      </c>
      <c r="F1275" s="1" t="n">
        <v>135.27</v>
      </c>
      <c r="G1275" s="1" t="n">
        <v>0</v>
      </c>
      <c r="H1275" s="1" t="s">
        <v>1336</v>
      </c>
      <c r="I1275" s="1" t="n">
        <v>1082.16</v>
      </c>
      <c r="J1275" s="1" t="str">
        <f aca="false">VLOOKUP(B1275,Customers!$A$2:$G$502,6,FALSE())</f>
        <v>Small Business</v>
      </c>
      <c r="K1275" s="1" t="str">
        <f aca="false">VLOOKUP(C1275,Products!$A$2:$E$62,3,FALSE())</f>
        <v>Electronics</v>
      </c>
      <c r="L1275" s="1" t="str">
        <f aca="false">TEXT(D1275,"yyyy-mm")</f>
        <v>2024-12</v>
      </c>
    </row>
    <row r="1276" customFormat="false" ht="15" hidden="false" customHeight="true" outlineLevel="0" collapsed="false">
      <c r="A1276" s="1" t="n">
        <v>1303</v>
      </c>
      <c r="B1276" s="1" t="n">
        <v>187</v>
      </c>
      <c r="C1276" s="1" t="n">
        <v>58</v>
      </c>
      <c r="D1276" s="1" t="s">
        <v>1632</v>
      </c>
      <c r="E1276" s="1" t="n">
        <v>5</v>
      </c>
      <c r="F1276" s="1" t="n">
        <v>515.55</v>
      </c>
      <c r="G1276" s="1" t="n">
        <v>0.1</v>
      </c>
      <c r="H1276" s="1" t="s">
        <v>1336</v>
      </c>
      <c r="I1276" s="1" t="n">
        <v>2319.98</v>
      </c>
      <c r="J1276" s="1" t="str">
        <f aca="false">VLOOKUP(B1276,Customers!$A$2:$G$502,6,FALSE())</f>
        <v>Consumer</v>
      </c>
      <c r="K1276" s="1" t="str">
        <f aca="false">VLOOKUP(C1276,Products!$A$2:$E$62,3,FALSE())</f>
        <v>Furniture</v>
      </c>
      <c r="L1276" s="1" t="str">
        <f aca="false">TEXT(D1276,"yyyy-mm")</f>
        <v>2024-04</v>
      </c>
    </row>
    <row r="1277" customFormat="false" ht="15" hidden="false" customHeight="true" outlineLevel="0" collapsed="false">
      <c r="A1277" s="1" t="n">
        <v>1304</v>
      </c>
      <c r="B1277" s="1" t="n">
        <v>202</v>
      </c>
      <c r="C1277" s="1" t="n">
        <v>10</v>
      </c>
      <c r="D1277" s="1" t="s">
        <v>1448</v>
      </c>
      <c r="E1277" s="1" t="n">
        <v>2</v>
      </c>
      <c r="F1277" s="1" t="n">
        <v>251.58</v>
      </c>
      <c r="G1277" s="1" t="n">
        <v>0</v>
      </c>
      <c r="H1277" s="1" t="s">
        <v>1336</v>
      </c>
      <c r="I1277" s="1" t="n">
        <v>503.16</v>
      </c>
      <c r="J1277" s="1" t="str">
        <f aca="false">VLOOKUP(B1277,Customers!$A$2:$G$502,6,FALSE())</f>
        <v>Corporate</v>
      </c>
      <c r="K1277" s="1" t="str">
        <f aca="false">VLOOKUP(C1277,Products!$A$2:$E$62,3,FALSE())</f>
        <v>Electronics</v>
      </c>
      <c r="L1277" s="1" t="str">
        <f aca="false">TEXT(D1277,"yyyy-mm")</f>
        <v>2024-04</v>
      </c>
    </row>
    <row r="1278" customFormat="false" ht="15" hidden="false" customHeight="true" outlineLevel="0" collapsed="false">
      <c r="A1278" s="1" t="n">
        <v>1305</v>
      </c>
      <c r="B1278" s="1" t="n">
        <v>446</v>
      </c>
      <c r="C1278" s="1" t="n">
        <v>40</v>
      </c>
      <c r="D1278" s="1" t="s">
        <v>1097</v>
      </c>
      <c r="E1278" s="1" t="n">
        <v>2</v>
      </c>
      <c r="F1278" s="1" t="n">
        <v>193.02</v>
      </c>
      <c r="G1278" s="1" t="n">
        <v>0</v>
      </c>
      <c r="H1278" s="1" t="s">
        <v>1336</v>
      </c>
      <c r="I1278" s="1" t="n">
        <v>386.04</v>
      </c>
      <c r="J1278" s="1" t="str">
        <f aca="false">VLOOKUP(B1278,Customers!$A$2:$G$502,6,FALSE())</f>
        <v>Small Business</v>
      </c>
      <c r="K1278" s="1" t="str">
        <f aca="false">VLOOKUP(C1278,Products!$A$2:$E$62,3,FALSE())</f>
        <v>Software</v>
      </c>
      <c r="L1278" s="1" t="str">
        <f aca="false">TEXT(D1278,"yyyy-mm")</f>
        <v>2024-02</v>
      </c>
    </row>
    <row r="1279" customFormat="false" ht="15" hidden="false" customHeight="true" outlineLevel="0" collapsed="false">
      <c r="A1279" s="1" t="n">
        <v>1306</v>
      </c>
      <c r="B1279" s="1" t="n">
        <v>480</v>
      </c>
      <c r="C1279" s="1" t="n">
        <v>34</v>
      </c>
      <c r="D1279" s="1" t="s">
        <v>1495</v>
      </c>
      <c r="E1279" s="1" t="n">
        <v>6</v>
      </c>
      <c r="F1279" s="1" t="n">
        <v>116.85</v>
      </c>
      <c r="G1279" s="1" t="n">
        <v>0</v>
      </c>
      <c r="H1279" s="1" t="s">
        <v>1370</v>
      </c>
      <c r="I1279" s="1" t="n">
        <v>701.1</v>
      </c>
      <c r="J1279" s="1" t="str">
        <f aca="false">VLOOKUP(B1279,Customers!$A$2:$G$502,6,FALSE())</f>
        <v>Unknown</v>
      </c>
      <c r="K1279" s="1" t="str">
        <f aca="false">VLOOKUP(C1279,Products!$A$2:$E$62,3,FALSE())</f>
        <v>Office Supplies</v>
      </c>
      <c r="L1279" s="1" t="str">
        <f aca="false">TEXT(D1279,"yyyy-mm")</f>
        <v>2024-03</v>
      </c>
    </row>
    <row r="1280" customFormat="false" ht="15" hidden="false" customHeight="true" outlineLevel="0" collapsed="false">
      <c r="A1280" s="1" t="n">
        <v>1307</v>
      </c>
      <c r="B1280" s="1" t="n">
        <v>89</v>
      </c>
      <c r="C1280" s="1" t="n">
        <v>18</v>
      </c>
      <c r="D1280" s="1" t="s">
        <v>856</v>
      </c>
      <c r="E1280" s="1" t="n">
        <v>9</v>
      </c>
      <c r="F1280" s="1" t="n">
        <v>747.34</v>
      </c>
      <c r="G1280" s="1" t="n">
        <v>0.1</v>
      </c>
      <c r="H1280" s="1" t="s">
        <v>1336</v>
      </c>
      <c r="I1280" s="1" t="n">
        <v>6053.45</v>
      </c>
      <c r="J1280" s="1" t="str">
        <f aca="false">VLOOKUP(B1280,Customers!$A$2:$G$502,6,FALSE())</f>
        <v>Small Business</v>
      </c>
      <c r="K1280" s="1" t="str">
        <f aca="false">VLOOKUP(C1280,Products!$A$2:$E$62,3,FALSE())</f>
        <v>Electronics</v>
      </c>
      <c r="L1280" s="1" t="str">
        <f aca="false">TEXT(D1280,"yyyy-mm")</f>
        <v>2024-11</v>
      </c>
    </row>
    <row r="1281" customFormat="false" ht="15" hidden="false" customHeight="true" outlineLevel="0" collapsed="false">
      <c r="A1281" s="1" t="n">
        <v>1308</v>
      </c>
      <c r="B1281" s="1" t="n">
        <v>78</v>
      </c>
      <c r="C1281" s="1" t="n">
        <v>27</v>
      </c>
      <c r="D1281" s="1" t="s">
        <v>617</v>
      </c>
      <c r="E1281" s="1" t="n">
        <v>1</v>
      </c>
      <c r="F1281" s="1" t="n">
        <v>772.58</v>
      </c>
      <c r="G1281" s="1" t="n">
        <v>0.05</v>
      </c>
      <c r="H1281" s="1" t="s">
        <v>1336</v>
      </c>
      <c r="I1281" s="1" t="n">
        <v>733.95</v>
      </c>
      <c r="J1281" s="1" t="str">
        <f aca="false">VLOOKUP(B1281,Customers!$A$2:$G$502,6,FALSE())</f>
        <v>Consumer</v>
      </c>
      <c r="K1281" s="1" t="str">
        <f aca="false">VLOOKUP(C1281,Products!$A$2:$E$62,3,FALSE())</f>
        <v>Office Supplies</v>
      </c>
      <c r="L1281" s="1" t="str">
        <f aca="false">TEXT(D1281,"yyyy-mm")</f>
        <v>2023-11</v>
      </c>
    </row>
    <row r="1282" customFormat="false" ht="15" hidden="false" customHeight="true" outlineLevel="0" collapsed="false">
      <c r="A1282" s="1" t="n">
        <v>1309</v>
      </c>
      <c r="B1282" s="1" t="n">
        <v>313</v>
      </c>
      <c r="C1282" s="1" t="n">
        <v>60</v>
      </c>
      <c r="D1282" s="1" t="s">
        <v>1382</v>
      </c>
      <c r="E1282" s="1" t="n">
        <v>6</v>
      </c>
      <c r="F1282" s="1" t="n">
        <v>584.98</v>
      </c>
      <c r="G1282" s="1" t="n">
        <v>0.1</v>
      </c>
      <c r="H1282" s="1" t="s">
        <v>1336</v>
      </c>
      <c r="I1282" s="1" t="n">
        <v>3158.89</v>
      </c>
      <c r="J1282" s="1" t="str">
        <f aca="false">VLOOKUP(B1282,Customers!$A$2:$G$502,6,FALSE())</f>
        <v>Consumer</v>
      </c>
      <c r="K1282" s="1" t="str">
        <f aca="false">VLOOKUP(C1282,Products!$A$2:$E$62,3,FALSE())</f>
        <v>Furniture</v>
      </c>
      <c r="L1282" s="1" t="str">
        <f aca="false">TEXT(D1282,"yyyy-mm")</f>
        <v>2024-09</v>
      </c>
    </row>
    <row r="1283" customFormat="false" ht="15" hidden="false" customHeight="true" outlineLevel="0" collapsed="false">
      <c r="A1283" s="1" t="n">
        <v>1310</v>
      </c>
      <c r="B1283" s="1" t="n">
        <v>44</v>
      </c>
      <c r="C1283" s="1" t="n">
        <v>2</v>
      </c>
      <c r="D1283" s="1" t="s">
        <v>586</v>
      </c>
      <c r="E1283" s="1" t="n">
        <v>9</v>
      </c>
      <c r="F1283" s="1" t="n">
        <v>498.15</v>
      </c>
      <c r="G1283" s="1" t="n">
        <v>0.2</v>
      </c>
      <c r="H1283" s="1" t="s">
        <v>1336</v>
      </c>
      <c r="I1283" s="1" t="n">
        <v>3586.68</v>
      </c>
      <c r="J1283" s="1" t="str">
        <f aca="false">VLOOKUP(B1283,Customers!$A$2:$G$502,6,FALSE())</f>
        <v>Consumer</v>
      </c>
      <c r="K1283" s="1" t="str">
        <f aca="false">VLOOKUP(C1283,Products!$A$2:$E$62,3,FALSE())</f>
        <v>Electronics</v>
      </c>
      <c r="L1283" s="1" t="str">
        <f aca="false">TEXT(D1283,"yyyy-mm")</f>
        <v>2023-01</v>
      </c>
    </row>
    <row r="1284" customFormat="false" ht="15" hidden="false" customHeight="true" outlineLevel="0" collapsed="false">
      <c r="A1284" s="1" t="n">
        <v>1311</v>
      </c>
      <c r="B1284" s="1" t="n">
        <v>183</v>
      </c>
      <c r="C1284" s="1" t="n">
        <v>13</v>
      </c>
      <c r="D1284" s="1" t="s">
        <v>792</v>
      </c>
      <c r="E1284" s="1" t="n">
        <v>8</v>
      </c>
      <c r="F1284" s="1" t="n">
        <v>352.54</v>
      </c>
      <c r="G1284" s="1" t="n">
        <v>0</v>
      </c>
      <c r="H1284" s="1" t="s">
        <v>1336</v>
      </c>
      <c r="I1284" s="1" t="n">
        <v>2820.32</v>
      </c>
      <c r="J1284" s="1" t="str">
        <f aca="false">VLOOKUP(B1284,Customers!$A$2:$G$502,6,FALSE())</f>
        <v>Corporate</v>
      </c>
      <c r="K1284" s="1" t="str">
        <f aca="false">VLOOKUP(C1284,Products!$A$2:$E$62,3,FALSE())</f>
        <v>Electronics</v>
      </c>
      <c r="L1284" s="1" t="str">
        <f aca="false">TEXT(D1284,"yyyy-mm")</f>
        <v>2023-06</v>
      </c>
    </row>
    <row r="1285" customFormat="false" ht="15" hidden="false" customHeight="true" outlineLevel="0" collapsed="false">
      <c r="A1285" s="1" t="n">
        <v>1312</v>
      </c>
      <c r="B1285" s="1" t="n">
        <v>464</v>
      </c>
      <c r="C1285" s="1" t="n">
        <v>54</v>
      </c>
      <c r="D1285" s="1" t="s">
        <v>680</v>
      </c>
      <c r="E1285" s="1" t="n">
        <v>6</v>
      </c>
      <c r="F1285" s="1" t="n">
        <v>312.01</v>
      </c>
      <c r="G1285" s="1" t="n">
        <v>0.05</v>
      </c>
      <c r="H1285" s="1" t="s">
        <v>1336</v>
      </c>
      <c r="I1285" s="1" t="n">
        <v>1778.46</v>
      </c>
      <c r="J1285" s="1" t="str">
        <f aca="false">VLOOKUP(B1285,Customers!$A$2:$G$502,6,FALSE())</f>
        <v>Consumer</v>
      </c>
      <c r="K1285" s="1" t="str">
        <f aca="false">VLOOKUP(C1285,Products!$A$2:$E$62,3,FALSE())</f>
        <v>Software</v>
      </c>
      <c r="L1285" s="1" t="str">
        <f aca="false">TEXT(D1285,"yyyy-mm")</f>
        <v>2024-04</v>
      </c>
    </row>
    <row r="1286" customFormat="false" ht="15" hidden="false" customHeight="true" outlineLevel="0" collapsed="false">
      <c r="A1286" s="1" t="n">
        <v>1313</v>
      </c>
      <c r="B1286" s="1" t="n">
        <v>82</v>
      </c>
      <c r="C1286" s="1" t="n">
        <v>58</v>
      </c>
      <c r="D1286" s="1" t="s">
        <v>1553</v>
      </c>
      <c r="E1286" s="1" t="n">
        <v>3</v>
      </c>
      <c r="F1286" s="1" t="n">
        <v>515.55</v>
      </c>
      <c r="G1286" s="1" t="n">
        <v>0</v>
      </c>
      <c r="H1286" s="1" t="s">
        <v>1336</v>
      </c>
      <c r="I1286" s="1" t="n">
        <v>1546.65</v>
      </c>
      <c r="J1286" s="1" t="str">
        <f aca="false">VLOOKUP(B1286,Customers!$A$2:$G$502,6,FALSE())</f>
        <v>Consumer</v>
      </c>
      <c r="K1286" s="1" t="str">
        <f aca="false">VLOOKUP(C1286,Products!$A$2:$E$62,3,FALSE())</f>
        <v>Furniture</v>
      </c>
      <c r="L1286" s="1" t="str">
        <f aca="false">TEXT(D1286,"yyyy-mm")</f>
        <v>2023-06</v>
      </c>
    </row>
    <row r="1287" customFormat="false" ht="15" hidden="false" customHeight="true" outlineLevel="0" collapsed="false">
      <c r="A1287" s="1" t="n">
        <v>1314</v>
      </c>
      <c r="B1287" s="1" t="n">
        <v>283</v>
      </c>
      <c r="C1287" s="1" t="n">
        <v>41</v>
      </c>
      <c r="D1287" s="1" t="s">
        <v>1633</v>
      </c>
      <c r="E1287" s="1" t="n">
        <v>8</v>
      </c>
      <c r="F1287" s="1" t="n">
        <v>594.54</v>
      </c>
      <c r="G1287" s="1" t="n">
        <v>0.15</v>
      </c>
      <c r="H1287" s="1" t="s">
        <v>1370</v>
      </c>
      <c r="I1287" s="1" t="n">
        <v>4042.87</v>
      </c>
      <c r="J1287" s="1" t="str">
        <f aca="false">VLOOKUP(B1287,Customers!$A$2:$G$502,6,FALSE())</f>
        <v>Small Business</v>
      </c>
      <c r="K1287" s="1" t="str">
        <f aca="false">VLOOKUP(C1287,Products!$A$2:$E$62,3,FALSE())</f>
        <v>Software</v>
      </c>
      <c r="L1287" s="1" t="str">
        <f aca="false">TEXT(D1287,"yyyy-mm")</f>
        <v>2024-04</v>
      </c>
    </row>
    <row r="1288" customFormat="false" ht="15" hidden="false" customHeight="true" outlineLevel="0" collapsed="false">
      <c r="A1288" s="1" t="n">
        <v>1315</v>
      </c>
      <c r="B1288" s="1" t="n">
        <v>340</v>
      </c>
      <c r="C1288" s="1" t="n">
        <v>10</v>
      </c>
      <c r="D1288" s="1" t="s">
        <v>371</v>
      </c>
      <c r="E1288" s="1" t="n">
        <v>9</v>
      </c>
      <c r="F1288" s="1" t="n">
        <v>251.58</v>
      </c>
      <c r="G1288" s="1" t="n">
        <v>0</v>
      </c>
      <c r="H1288" s="1" t="s">
        <v>1336</v>
      </c>
      <c r="I1288" s="1" t="n">
        <v>2264.22</v>
      </c>
      <c r="J1288" s="1" t="str">
        <f aca="false">VLOOKUP(B1288,Customers!$A$2:$G$502,6,FALSE())</f>
        <v>Consumer</v>
      </c>
      <c r="K1288" s="1" t="str">
        <f aca="false">VLOOKUP(C1288,Products!$A$2:$E$62,3,FALSE())</f>
        <v>Electronics</v>
      </c>
      <c r="L1288" s="1" t="str">
        <f aca="false">TEXT(D1288,"yyyy-mm")</f>
        <v>2024-03</v>
      </c>
    </row>
    <row r="1289" customFormat="false" ht="15" hidden="false" customHeight="true" outlineLevel="0" collapsed="false">
      <c r="A1289" s="1" t="n">
        <v>1316</v>
      </c>
      <c r="B1289" s="1" t="n">
        <v>88</v>
      </c>
      <c r="C1289" s="1" t="n">
        <v>50</v>
      </c>
      <c r="D1289" s="1" t="s">
        <v>220</v>
      </c>
      <c r="E1289" s="1" t="n">
        <v>1</v>
      </c>
      <c r="F1289" s="1" t="n">
        <v>19.73</v>
      </c>
      <c r="G1289" s="1" t="n">
        <v>0.1</v>
      </c>
      <c r="H1289" s="1" t="s">
        <v>1336</v>
      </c>
      <c r="I1289" s="1" t="n">
        <v>17.76</v>
      </c>
      <c r="J1289" s="1" t="str">
        <f aca="false">VLOOKUP(B1289,Customers!$A$2:$G$502,6,FALSE())</f>
        <v>Corporate</v>
      </c>
      <c r="K1289" s="1" t="str">
        <f aca="false">VLOOKUP(C1289,Products!$A$2:$E$62,3,FALSE())</f>
        <v>Software</v>
      </c>
      <c r="L1289" s="1" t="str">
        <f aca="false">TEXT(D1289,"yyyy-mm")</f>
        <v>2023-01</v>
      </c>
    </row>
    <row r="1290" customFormat="false" ht="15" hidden="false" customHeight="true" outlineLevel="0" collapsed="false">
      <c r="A1290" s="1" t="n">
        <v>1317</v>
      </c>
      <c r="B1290" s="1" t="n">
        <v>94</v>
      </c>
      <c r="C1290" s="1" t="n">
        <v>29</v>
      </c>
      <c r="D1290" s="1" t="s">
        <v>220</v>
      </c>
      <c r="E1290" s="1" t="n">
        <v>9</v>
      </c>
      <c r="F1290" s="1" t="n">
        <v>54.62</v>
      </c>
      <c r="G1290" s="1" t="n">
        <v>0.05</v>
      </c>
      <c r="H1290" s="1" t="s">
        <v>1370</v>
      </c>
      <c r="I1290" s="1" t="n">
        <v>467</v>
      </c>
      <c r="J1290" s="1" t="str">
        <f aca="false">VLOOKUP(B1290,Customers!$A$2:$G$502,6,FALSE())</f>
        <v>Small Business</v>
      </c>
      <c r="K1290" s="1" t="str">
        <f aca="false">VLOOKUP(C1290,Products!$A$2:$E$62,3,FALSE())</f>
        <v>Office Supplies</v>
      </c>
      <c r="L1290" s="1" t="str">
        <f aca="false">TEXT(D1290,"yyyy-mm")</f>
        <v>2023-01</v>
      </c>
    </row>
    <row r="1291" customFormat="false" ht="15" hidden="false" customHeight="true" outlineLevel="0" collapsed="false">
      <c r="A1291" s="1" t="n">
        <v>1318</v>
      </c>
      <c r="B1291" s="1" t="n">
        <v>454</v>
      </c>
      <c r="C1291" s="1" t="n">
        <v>24</v>
      </c>
      <c r="D1291" s="1" t="s">
        <v>117</v>
      </c>
      <c r="E1291" s="1" t="n">
        <v>6</v>
      </c>
      <c r="F1291" s="1" t="n">
        <v>207.34</v>
      </c>
      <c r="G1291" s="1" t="n">
        <v>0</v>
      </c>
      <c r="H1291" s="1" t="s">
        <v>1336</v>
      </c>
      <c r="I1291" s="1" t="n">
        <v>1244.04</v>
      </c>
      <c r="J1291" s="1" t="str">
        <f aca="false">VLOOKUP(B1291,Customers!$A$2:$G$502,6,FALSE())</f>
        <v>Consumer</v>
      </c>
      <c r="K1291" s="1" t="str">
        <f aca="false">VLOOKUP(C1291,Products!$A$2:$E$62,3,FALSE())</f>
        <v>Office Supplies</v>
      </c>
      <c r="L1291" s="1" t="str">
        <f aca="false">TEXT(D1291,"yyyy-mm")</f>
        <v>2023-03</v>
      </c>
    </row>
    <row r="1292" customFormat="false" ht="15" hidden="false" customHeight="true" outlineLevel="0" collapsed="false">
      <c r="A1292" s="1" t="n">
        <v>1319</v>
      </c>
      <c r="B1292" s="1" t="n">
        <v>479</v>
      </c>
      <c r="C1292" s="1" t="n">
        <v>51</v>
      </c>
      <c r="D1292" s="1" t="s">
        <v>432</v>
      </c>
      <c r="E1292" s="1" t="n">
        <v>6</v>
      </c>
      <c r="F1292" s="1" t="n">
        <v>30.16</v>
      </c>
      <c r="G1292" s="1" t="n">
        <v>0</v>
      </c>
      <c r="H1292" s="1" t="s">
        <v>1370</v>
      </c>
      <c r="I1292" s="1" t="n">
        <v>180.96</v>
      </c>
      <c r="J1292" s="1" t="str">
        <f aca="false">VLOOKUP(B1292,Customers!$A$2:$G$502,6,FALSE())</f>
        <v>Small Business</v>
      </c>
      <c r="K1292" s="1" t="str">
        <f aca="false">VLOOKUP(C1292,Products!$A$2:$E$62,3,FALSE())</f>
        <v>Software</v>
      </c>
      <c r="L1292" s="1" t="str">
        <f aca="false">TEXT(D1292,"yyyy-mm")</f>
        <v>2024-11</v>
      </c>
    </row>
    <row r="1293" customFormat="false" ht="15" hidden="false" customHeight="true" outlineLevel="0" collapsed="false">
      <c r="A1293" s="1" t="n">
        <v>1320</v>
      </c>
      <c r="B1293" s="1" t="n">
        <v>43</v>
      </c>
      <c r="C1293" s="1" t="n">
        <v>23</v>
      </c>
      <c r="D1293" s="1" t="s">
        <v>1616</v>
      </c>
      <c r="E1293" s="1" t="n">
        <v>4</v>
      </c>
      <c r="F1293" s="1" t="n">
        <v>188.73</v>
      </c>
      <c r="G1293" s="1" t="n">
        <v>0.2</v>
      </c>
      <c r="H1293" s="1" t="s">
        <v>1336</v>
      </c>
      <c r="I1293" s="1" t="n">
        <v>603.94</v>
      </c>
      <c r="J1293" s="1" t="str">
        <f aca="false">VLOOKUP(B1293,Customers!$A$2:$G$502,6,FALSE())</f>
        <v>Small Business</v>
      </c>
      <c r="K1293" s="1" t="str">
        <f aca="false">VLOOKUP(C1293,Products!$A$2:$E$62,3,FALSE())</f>
        <v>Office Supplies</v>
      </c>
      <c r="L1293" s="1" t="str">
        <f aca="false">TEXT(D1293,"yyyy-mm")</f>
        <v>2024-09</v>
      </c>
    </row>
    <row r="1294" customFormat="false" ht="15" hidden="false" customHeight="true" outlineLevel="0" collapsed="false">
      <c r="A1294" s="1" t="n">
        <v>1321</v>
      </c>
      <c r="B1294" s="1" t="n">
        <v>187</v>
      </c>
      <c r="C1294" s="1" t="n">
        <v>55</v>
      </c>
      <c r="D1294" s="1" t="s">
        <v>1542</v>
      </c>
      <c r="E1294" s="1" t="n">
        <v>1</v>
      </c>
      <c r="F1294" s="1" t="n">
        <v>123.38</v>
      </c>
      <c r="G1294" s="1" t="n">
        <v>0</v>
      </c>
      <c r="H1294" s="1" t="s">
        <v>1336</v>
      </c>
      <c r="I1294" s="1" t="n">
        <v>123.38</v>
      </c>
      <c r="J1294" s="1" t="str">
        <f aca="false">VLOOKUP(B1294,Customers!$A$2:$G$502,6,FALSE())</f>
        <v>Consumer</v>
      </c>
      <c r="K1294" s="1" t="str">
        <f aca="false">VLOOKUP(C1294,Products!$A$2:$E$62,3,FALSE())</f>
        <v>Furniture</v>
      </c>
      <c r="L1294" s="1" t="str">
        <f aca="false">TEXT(D1294,"yyyy-mm")</f>
        <v>2023-09</v>
      </c>
    </row>
    <row r="1295" customFormat="false" ht="15" hidden="false" customHeight="true" outlineLevel="0" collapsed="false">
      <c r="A1295" s="1" t="n">
        <v>1322</v>
      </c>
      <c r="B1295" s="1" t="n">
        <v>164</v>
      </c>
      <c r="C1295" s="1" t="n">
        <v>58</v>
      </c>
      <c r="D1295" s="1" t="s">
        <v>887</v>
      </c>
      <c r="E1295" s="1" t="n">
        <v>8</v>
      </c>
      <c r="F1295" s="1" t="n">
        <v>515.55</v>
      </c>
      <c r="G1295" s="1" t="n">
        <v>0</v>
      </c>
      <c r="H1295" s="1" t="s">
        <v>1336</v>
      </c>
      <c r="I1295" s="1" t="n">
        <v>4124.4</v>
      </c>
      <c r="J1295" s="1" t="str">
        <f aca="false">VLOOKUP(B1295,Customers!$A$2:$G$502,6,FALSE())</f>
        <v>Consumer</v>
      </c>
      <c r="K1295" s="1" t="str">
        <f aca="false">VLOOKUP(C1295,Products!$A$2:$E$62,3,FALSE())</f>
        <v>Furniture</v>
      </c>
      <c r="L1295" s="1" t="str">
        <f aca="false">TEXT(D1295,"yyyy-mm")</f>
        <v>2023-06</v>
      </c>
    </row>
    <row r="1296" customFormat="false" ht="15" hidden="false" customHeight="true" outlineLevel="0" collapsed="false">
      <c r="A1296" s="1" t="n">
        <v>1323</v>
      </c>
      <c r="B1296" s="1" t="n">
        <v>173</v>
      </c>
      <c r="C1296" s="1" t="n">
        <v>3</v>
      </c>
      <c r="D1296" s="1" t="s">
        <v>1397</v>
      </c>
      <c r="E1296" s="1" t="n">
        <v>2</v>
      </c>
      <c r="F1296" s="1" t="n">
        <v>89.39</v>
      </c>
      <c r="G1296" s="1" t="n">
        <v>0.15</v>
      </c>
      <c r="H1296" s="1" t="s">
        <v>1370</v>
      </c>
      <c r="I1296" s="1" t="n">
        <v>151.96</v>
      </c>
      <c r="J1296" s="1" t="str">
        <f aca="false">VLOOKUP(B1296,Customers!$A$2:$G$502,6,FALSE())</f>
        <v>Consumer</v>
      </c>
      <c r="K1296" s="1" t="str">
        <f aca="false">VLOOKUP(C1296,Products!$A$2:$E$62,3,FALSE())</f>
        <v>Electronics</v>
      </c>
      <c r="L1296" s="1" t="str">
        <f aca="false">TEXT(D1296,"yyyy-mm")</f>
        <v>2023-10</v>
      </c>
    </row>
    <row r="1297" customFormat="false" ht="15" hidden="false" customHeight="true" outlineLevel="0" collapsed="false">
      <c r="A1297" s="1" t="n">
        <v>1324</v>
      </c>
      <c r="B1297" s="1" t="n">
        <v>17</v>
      </c>
      <c r="C1297" s="1" t="n">
        <v>9</v>
      </c>
      <c r="D1297" s="1" t="s">
        <v>1546</v>
      </c>
      <c r="E1297" s="1" t="n">
        <v>1</v>
      </c>
      <c r="F1297" s="1" t="n">
        <v>203.1</v>
      </c>
      <c r="G1297" s="1" t="n">
        <v>0</v>
      </c>
      <c r="H1297" s="1" t="s">
        <v>1336</v>
      </c>
      <c r="I1297" s="1" t="n">
        <v>203.1</v>
      </c>
      <c r="J1297" s="1" t="str">
        <f aca="false">VLOOKUP(B1297,Customers!$A$2:$G$502,6,FALSE())</f>
        <v>Small Business</v>
      </c>
      <c r="K1297" s="1" t="str">
        <f aca="false">VLOOKUP(C1297,Products!$A$2:$E$62,3,FALSE())</f>
        <v>Electronics</v>
      </c>
      <c r="L1297" s="1" t="str">
        <f aca="false">TEXT(D1297,"yyyy-mm")</f>
        <v>2024-10</v>
      </c>
    </row>
    <row r="1298" customFormat="false" ht="15" hidden="false" customHeight="true" outlineLevel="0" collapsed="false">
      <c r="A1298" s="1" t="n">
        <v>1325</v>
      </c>
      <c r="B1298" s="1" t="n">
        <v>195</v>
      </c>
      <c r="C1298" s="1" t="n">
        <v>25</v>
      </c>
      <c r="D1298" s="1" t="s">
        <v>328</v>
      </c>
      <c r="E1298" s="1" t="n">
        <v>2</v>
      </c>
      <c r="F1298" s="1" t="n">
        <v>300.49</v>
      </c>
      <c r="G1298" s="1" t="n">
        <v>0.15</v>
      </c>
      <c r="H1298" s="1" t="s">
        <v>1336</v>
      </c>
      <c r="I1298" s="1" t="n">
        <v>510.83</v>
      </c>
      <c r="J1298" s="1" t="str">
        <f aca="false">VLOOKUP(B1298,Customers!$A$2:$G$502,6,FALSE())</f>
        <v>Corporate</v>
      </c>
      <c r="K1298" s="1" t="str">
        <f aca="false">VLOOKUP(C1298,Products!$A$2:$E$62,3,FALSE())</f>
        <v>Office Supplies</v>
      </c>
      <c r="L1298" s="1" t="str">
        <f aca="false">TEXT(D1298,"yyyy-mm")</f>
        <v>2023-02</v>
      </c>
    </row>
    <row r="1299" customFormat="false" ht="15" hidden="false" customHeight="true" outlineLevel="0" collapsed="false">
      <c r="A1299" s="1" t="n">
        <v>1326</v>
      </c>
      <c r="B1299" s="1" t="n">
        <v>438</v>
      </c>
      <c r="C1299" s="1" t="n">
        <v>51</v>
      </c>
      <c r="D1299" s="1" t="s">
        <v>1404</v>
      </c>
      <c r="E1299" s="1" t="n">
        <v>1</v>
      </c>
      <c r="F1299" s="1" t="n">
        <v>30.16</v>
      </c>
      <c r="G1299" s="1" t="n">
        <v>0.05</v>
      </c>
      <c r="H1299" s="1" t="s">
        <v>1336</v>
      </c>
      <c r="I1299" s="1" t="n">
        <v>28.65</v>
      </c>
      <c r="J1299" s="1" t="str">
        <f aca="false">VLOOKUP(B1299,Customers!$A$2:$G$502,6,FALSE())</f>
        <v>Consumer</v>
      </c>
      <c r="K1299" s="1" t="str">
        <f aca="false">VLOOKUP(C1299,Products!$A$2:$E$62,3,FALSE())</f>
        <v>Software</v>
      </c>
      <c r="L1299" s="1" t="str">
        <f aca="false">TEXT(D1299,"yyyy-mm")</f>
        <v>2024-03</v>
      </c>
    </row>
    <row r="1300" customFormat="false" ht="15" hidden="false" customHeight="true" outlineLevel="0" collapsed="false">
      <c r="A1300" s="1" t="n">
        <v>1327</v>
      </c>
      <c r="B1300" s="1" t="n">
        <v>99</v>
      </c>
      <c r="C1300" s="1" t="n">
        <v>32</v>
      </c>
      <c r="D1300" s="1" t="s">
        <v>1349</v>
      </c>
      <c r="E1300" s="1" t="n">
        <v>1</v>
      </c>
      <c r="F1300" s="1" t="n">
        <v>492.27</v>
      </c>
      <c r="G1300" s="1" t="n">
        <v>0</v>
      </c>
      <c r="H1300" s="1" t="s">
        <v>1336</v>
      </c>
      <c r="I1300" s="1" t="n">
        <v>492.27</v>
      </c>
      <c r="J1300" s="1" t="str">
        <f aca="false">VLOOKUP(B1300,Customers!$A$2:$G$502,6,FALSE())</f>
        <v>Small Business</v>
      </c>
      <c r="K1300" s="1" t="str">
        <f aca="false">VLOOKUP(C1300,Products!$A$2:$E$62,3,FALSE())</f>
        <v>Office Supplies</v>
      </c>
      <c r="L1300" s="1" t="str">
        <f aca="false">TEXT(D1300,"yyyy-mm")</f>
        <v>2023-10</v>
      </c>
    </row>
    <row r="1301" customFormat="false" ht="15" hidden="false" customHeight="true" outlineLevel="0" collapsed="false">
      <c r="A1301" s="1" t="n">
        <v>1328</v>
      </c>
      <c r="B1301" s="1" t="n">
        <v>468</v>
      </c>
      <c r="C1301" s="1" t="n">
        <v>21</v>
      </c>
      <c r="D1301" s="1" t="s">
        <v>599</v>
      </c>
      <c r="E1301" s="1" t="n">
        <v>9</v>
      </c>
      <c r="F1301" s="1" t="n">
        <v>84.91</v>
      </c>
      <c r="G1301" s="1" t="n">
        <v>0</v>
      </c>
      <c r="H1301" s="1" t="s">
        <v>1336</v>
      </c>
      <c r="I1301" s="1" t="n">
        <v>764.19</v>
      </c>
      <c r="J1301" s="1" t="str">
        <f aca="false">VLOOKUP(B1301,Customers!$A$2:$G$502,6,FALSE())</f>
        <v>Small Business</v>
      </c>
      <c r="K1301" s="1" t="str">
        <f aca="false">VLOOKUP(C1301,Products!$A$2:$E$62,3,FALSE())</f>
        <v>Office Supplies</v>
      </c>
      <c r="L1301" s="1" t="str">
        <f aca="false">TEXT(D1301,"yyyy-mm")</f>
        <v>2024-06</v>
      </c>
    </row>
    <row r="1302" customFormat="false" ht="15" hidden="false" customHeight="true" outlineLevel="0" collapsed="false">
      <c r="A1302" s="1" t="n">
        <v>1329</v>
      </c>
      <c r="B1302" s="1" t="n">
        <v>91</v>
      </c>
      <c r="C1302" s="1" t="n">
        <v>24</v>
      </c>
      <c r="D1302" s="1" t="s">
        <v>1631</v>
      </c>
      <c r="E1302" s="1" t="n">
        <v>1</v>
      </c>
      <c r="F1302" s="1" t="n">
        <v>207.34</v>
      </c>
      <c r="G1302" s="1" t="n">
        <v>0</v>
      </c>
      <c r="H1302" s="1" t="s">
        <v>1336</v>
      </c>
      <c r="I1302" s="1" t="n">
        <v>207.34</v>
      </c>
      <c r="J1302" s="1" t="str">
        <f aca="false">VLOOKUP(B1302,Customers!$A$2:$G$502,6,FALSE())</f>
        <v>Consumer</v>
      </c>
      <c r="K1302" s="1" t="str">
        <f aca="false">VLOOKUP(C1302,Products!$A$2:$E$62,3,FALSE())</f>
        <v>Office Supplies</v>
      </c>
      <c r="L1302" s="1" t="str">
        <f aca="false">TEXT(D1302,"yyyy-mm")</f>
        <v>2023-03</v>
      </c>
    </row>
    <row r="1303" customFormat="false" ht="15" hidden="false" customHeight="true" outlineLevel="0" collapsed="false">
      <c r="A1303" s="1" t="n">
        <v>1330</v>
      </c>
      <c r="B1303" s="1" t="n">
        <v>371</v>
      </c>
      <c r="C1303" s="1" t="n">
        <v>1</v>
      </c>
      <c r="D1303" s="1" t="s">
        <v>1622</v>
      </c>
      <c r="E1303" s="1" t="n">
        <v>4</v>
      </c>
      <c r="F1303" s="1" t="n">
        <v>327.32</v>
      </c>
      <c r="G1303" s="1" t="n">
        <v>0.2</v>
      </c>
      <c r="H1303" s="1" t="s">
        <v>1346</v>
      </c>
      <c r="I1303" s="1" t="n">
        <v>1047.42</v>
      </c>
      <c r="J1303" s="1" t="str">
        <f aca="false">VLOOKUP(B1303,Customers!$A$2:$G$502,6,FALSE())</f>
        <v>Unknown</v>
      </c>
      <c r="K1303" s="1" t="str">
        <f aca="false">VLOOKUP(C1303,Products!$A$2:$E$62,3,FALSE())</f>
        <v>Electronics</v>
      </c>
      <c r="L1303" s="1" t="str">
        <f aca="false">TEXT(D1303,"yyyy-mm")</f>
        <v>2023-12</v>
      </c>
    </row>
    <row r="1304" customFormat="false" ht="15" hidden="false" customHeight="true" outlineLevel="0" collapsed="false">
      <c r="A1304" s="1" t="n">
        <v>1331</v>
      </c>
      <c r="B1304" s="1" t="n">
        <v>497</v>
      </c>
      <c r="C1304" s="1" t="n">
        <v>30</v>
      </c>
      <c r="D1304" s="1" t="s">
        <v>1612</v>
      </c>
      <c r="E1304" s="1" t="n">
        <v>6</v>
      </c>
      <c r="F1304" s="1" t="n">
        <v>33.32</v>
      </c>
      <c r="G1304" s="1" t="n">
        <v>0.2</v>
      </c>
      <c r="H1304" s="1" t="s">
        <v>1336</v>
      </c>
      <c r="I1304" s="1" t="n">
        <v>159.94</v>
      </c>
      <c r="J1304" s="1" t="str">
        <f aca="false">VLOOKUP(B1304,Customers!$A$2:$G$502,6,FALSE())</f>
        <v>Consumer</v>
      </c>
      <c r="K1304" s="1" t="str">
        <f aca="false">VLOOKUP(C1304,Products!$A$2:$E$62,3,FALSE())</f>
        <v>Office Supplies</v>
      </c>
      <c r="L1304" s="1" t="str">
        <f aca="false">TEXT(D1304,"yyyy-mm")</f>
        <v>2024-10</v>
      </c>
    </row>
    <row r="1305" customFormat="false" ht="15" hidden="false" customHeight="true" outlineLevel="0" collapsed="false">
      <c r="A1305" s="1" t="n">
        <v>1332</v>
      </c>
      <c r="B1305" s="1" t="n">
        <v>72</v>
      </c>
      <c r="C1305" s="1" t="n">
        <v>13</v>
      </c>
      <c r="D1305" s="1" t="s">
        <v>1498</v>
      </c>
      <c r="E1305" s="1" t="n">
        <v>7</v>
      </c>
      <c r="F1305" s="1" t="n">
        <v>352.54</v>
      </c>
      <c r="G1305" s="1" t="n">
        <v>0</v>
      </c>
      <c r="H1305" s="1" t="s">
        <v>1336</v>
      </c>
      <c r="I1305" s="1" t="n">
        <v>2467.78</v>
      </c>
      <c r="J1305" s="1" t="str">
        <f aca="false">VLOOKUP(B1305,Customers!$A$2:$G$502,6,FALSE())</f>
        <v>Corporate</v>
      </c>
      <c r="K1305" s="1" t="str">
        <f aca="false">VLOOKUP(C1305,Products!$A$2:$E$62,3,FALSE())</f>
        <v>Electronics</v>
      </c>
      <c r="L1305" s="1" t="str">
        <f aca="false">TEXT(D1305,"yyyy-mm")</f>
        <v>2023-03</v>
      </c>
    </row>
    <row r="1306" customFormat="false" ht="15" hidden="false" customHeight="true" outlineLevel="0" collapsed="false">
      <c r="A1306" s="1" t="n">
        <v>1333</v>
      </c>
      <c r="B1306" s="1" t="n">
        <v>120</v>
      </c>
      <c r="C1306" s="1" t="n">
        <v>14</v>
      </c>
      <c r="D1306" s="1" t="s">
        <v>1634</v>
      </c>
      <c r="E1306" s="1" t="n">
        <v>2</v>
      </c>
      <c r="F1306" s="1" t="n">
        <v>135.27</v>
      </c>
      <c r="G1306" s="1" t="n">
        <v>0.15</v>
      </c>
      <c r="H1306" s="1" t="s">
        <v>1336</v>
      </c>
      <c r="I1306" s="1" t="n">
        <v>229.96</v>
      </c>
      <c r="J1306" s="1" t="str">
        <f aca="false">VLOOKUP(B1306,Customers!$A$2:$G$502,6,FALSE())</f>
        <v>Consumer</v>
      </c>
      <c r="K1306" s="1" t="str">
        <f aca="false">VLOOKUP(C1306,Products!$A$2:$E$62,3,FALSE())</f>
        <v>Electronics</v>
      </c>
      <c r="L1306" s="1" t="str">
        <f aca="false">TEXT(D1306,"yyyy-mm")</f>
        <v>2023-02</v>
      </c>
    </row>
    <row r="1307" customFormat="false" ht="15" hidden="false" customHeight="true" outlineLevel="0" collapsed="false">
      <c r="A1307" s="1" t="n">
        <v>1334</v>
      </c>
      <c r="B1307" s="1" t="n">
        <v>102</v>
      </c>
      <c r="C1307" s="1" t="n">
        <v>46</v>
      </c>
      <c r="D1307" s="1" t="s">
        <v>1575</v>
      </c>
      <c r="E1307" s="1" t="n">
        <v>6</v>
      </c>
      <c r="F1307" s="1" t="n">
        <v>94.92</v>
      </c>
      <c r="G1307" s="1" t="n">
        <v>0.1</v>
      </c>
      <c r="H1307" s="1" t="s">
        <v>1336</v>
      </c>
      <c r="I1307" s="1" t="n">
        <v>512.57</v>
      </c>
      <c r="J1307" s="1" t="str">
        <f aca="false">VLOOKUP(B1307,Customers!$A$2:$G$502,6,FALSE())</f>
        <v>Consumer</v>
      </c>
      <c r="K1307" s="1" t="str">
        <f aca="false">VLOOKUP(C1307,Products!$A$2:$E$62,3,FALSE())</f>
        <v>Software</v>
      </c>
      <c r="L1307" s="1" t="str">
        <f aca="false">TEXT(D1307,"yyyy-mm")</f>
        <v>2024-05</v>
      </c>
    </row>
    <row r="1308" customFormat="false" ht="15" hidden="false" customHeight="true" outlineLevel="0" collapsed="false">
      <c r="A1308" s="1" t="n">
        <v>1335</v>
      </c>
      <c r="B1308" s="1" t="n">
        <v>441</v>
      </c>
      <c r="C1308" s="1" t="n">
        <v>4</v>
      </c>
      <c r="D1308" s="1" t="s">
        <v>191</v>
      </c>
      <c r="E1308" s="1" t="n">
        <v>7</v>
      </c>
      <c r="F1308" s="1" t="n">
        <v>56.24</v>
      </c>
      <c r="G1308" s="1" t="n">
        <v>0</v>
      </c>
      <c r="H1308" s="1" t="s">
        <v>1336</v>
      </c>
      <c r="I1308" s="1" t="n">
        <v>393.68</v>
      </c>
      <c r="J1308" s="1" t="str">
        <f aca="false">VLOOKUP(B1308,Customers!$A$2:$G$502,6,FALSE())</f>
        <v>Corporate</v>
      </c>
      <c r="K1308" s="1" t="str">
        <f aca="false">VLOOKUP(C1308,Products!$A$2:$E$62,3,FALSE())</f>
        <v>Electronics</v>
      </c>
      <c r="L1308" s="1" t="str">
        <f aca="false">TEXT(D1308,"yyyy-mm")</f>
        <v>2024-03</v>
      </c>
    </row>
    <row r="1309" customFormat="false" ht="15" hidden="false" customHeight="true" outlineLevel="0" collapsed="false">
      <c r="A1309" s="1" t="n">
        <v>1336</v>
      </c>
      <c r="B1309" s="1" t="n">
        <v>450</v>
      </c>
      <c r="C1309" s="1" t="n">
        <v>35</v>
      </c>
      <c r="D1309" s="1" t="s">
        <v>435</v>
      </c>
      <c r="E1309" s="1" t="n">
        <v>2</v>
      </c>
      <c r="F1309" s="1" t="n">
        <v>75.78</v>
      </c>
      <c r="G1309" s="1" t="n">
        <v>0</v>
      </c>
      <c r="H1309" s="1" t="s">
        <v>1336</v>
      </c>
      <c r="I1309" s="1" t="n">
        <v>151.56</v>
      </c>
      <c r="J1309" s="1" t="str">
        <f aca="false">VLOOKUP(B1309,Customers!$A$2:$G$502,6,FALSE())</f>
        <v>Consumer</v>
      </c>
      <c r="K1309" s="1" t="str">
        <f aca="false">VLOOKUP(C1309,Products!$A$2:$E$62,3,FALSE())</f>
        <v>Software</v>
      </c>
      <c r="L1309" s="1" t="str">
        <f aca="false">TEXT(D1309,"yyyy-mm")</f>
        <v>2024-08</v>
      </c>
    </row>
    <row r="1310" customFormat="false" ht="15" hidden="false" customHeight="true" outlineLevel="0" collapsed="false">
      <c r="A1310" s="1" t="n">
        <v>1337</v>
      </c>
      <c r="B1310" s="1" t="n">
        <v>165</v>
      </c>
      <c r="C1310" s="1" t="n">
        <v>49</v>
      </c>
      <c r="D1310" s="1" t="s">
        <v>155</v>
      </c>
      <c r="E1310" s="1" t="n">
        <v>2</v>
      </c>
      <c r="F1310" s="1" t="n">
        <v>325.17</v>
      </c>
      <c r="G1310" s="1" t="n">
        <v>0</v>
      </c>
      <c r="H1310" s="1" t="s">
        <v>1336</v>
      </c>
      <c r="I1310" s="1" t="n">
        <v>650.34</v>
      </c>
      <c r="J1310" s="1" t="str">
        <f aca="false">VLOOKUP(B1310,Customers!$A$2:$G$502,6,FALSE())</f>
        <v>Consumer</v>
      </c>
      <c r="K1310" s="1" t="str">
        <f aca="false">VLOOKUP(C1310,Products!$A$2:$E$62,3,FALSE())</f>
        <v>Software</v>
      </c>
      <c r="L1310" s="1" t="str">
        <f aca="false">TEXT(D1310,"yyyy-mm")</f>
        <v>2023-08</v>
      </c>
    </row>
    <row r="1311" customFormat="false" ht="15" hidden="false" customHeight="true" outlineLevel="0" collapsed="false">
      <c r="A1311" s="1" t="n">
        <v>1339</v>
      </c>
      <c r="B1311" s="1" t="n">
        <v>456</v>
      </c>
      <c r="C1311" s="1" t="n">
        <v>44</v>
      </c>
      <c r="D1311" s="1" t="s">
        <v>251</v>
      </c>
      <c r="E1311" s="1" t="n">
        <v>1</v>
      </c>
      <c r="F1311" s="1" t="n">
        <v>508.26</v>
      </c>
      <c r="G1311" s="1" t="n">
        <v>0</v>
      </c>
      <c r="H1311" s="1" t="s">
        <v>1336</v>
      </c>
      <c r="I1311" s="1" t="n">
        <v>508.26</v>
      </c>
      <c r="J1311" s="1" t="str">
        <f aca="false">VLOOKUP(B1311,Customers!$A$2:$G$502,6,FALSE())</f>
        <v>Consumer</v>
      </c>
      <c r="K1311" s="1" t="str">
        <f aca="false">VLOOKUP(C1311,Products!$A$2:$E$62,3,FALSE())</f>
        <v>Software</v>
      </c>
      <c r="L1311" s="1" t="str">
        <f aca="false">TEXT(D1311,"yyyy-mm")</f>
        <v>2023-09</v>
      </c>
    </row>
    <row r="1312" customFormat="false" ht="15" hidden="false" customHeight="true" outlineLevel="0" collapsed="false">
      <c r="A1312" s="1" t="n">
        <v>1340</v>
      </c>
      <c r="B1312" s="1" t="n">
        <v>376</v>
      </c>
      <c r="C1312" s="1" t="n">
        <v>4</v>
      </c>
      <c r="D1312" s="1" t="s">
        <v>336</v>
      </c>
      <c r="E1312" s="1" t="n">
        <v>8</v>
      </c>
      <c r="F1312" s="1" t="n">
        <v>56.24</v>
      </c>
      <c r="G1312" s="1" t="n">
        <v>0.2</v>
      </c>
      <c r="H1312" s="1" t="s">
        <v>1336</v>
      </c>
      <c r="I1312" s="1" t="n">
        <v>359.94</v>
      </c>
      <c r="J1312" s="1" t="str">
        <f aca="false">VLOOKUP(B1312,Customers!$A$2:$G$502,6,FALSE())</f>
        <v>Consumer</v>
      </c>
      <c r="K1312" s="1" t="str">
        <f aca="false">VLOOKUP(C1312,Products!$A$2:$E$62,3,FALSE())</f>
        <v>Electronics</v>
      </c>
      <c r="L1312" s="1" t="str">
        <f aca="false">TEXT(D1312,"yyyy-mm")</f>
        <v>2024-09</v>
      </c>
    </row>
    <row r="1313" customFormat="false" ht="15" hidden="false" customHeight="true" outlineLevel="0" collapsed="false">
      <c r="A1313" s="1" t="n">
        <v>1341</v>
      </c>
      <c r="B1313" s="1" t="n">
        <v>7</v>
      </c>
      <c r="C1313" s="1" t="n">
        <v>48</v>
      </c>
      <c r="D1313" s="1" t="s">
        <v>1364</v>
      </c>
      <c r="E1313" s="1" t="n">
        <v>3</v>
      </c>
      <c r="F1313" s="1" t="n">
        <v>493.53</v>
      </c>
      <c r="G1313" s="1" t="n">
        <v>0</v>
      </c>
      <c r="H1313" s="1" t="s">
        <v>1336</v>
      </c>
      <c r="I1313" s="1" t="n">
        <v>1480.59</v>
      </c>
      <c r="J1313" s="1" t="str">
        <f aca="false">VLOOKUP(B1313,Customers!$A$2:$G$502,6,FALSE())</f>
        <v>Small Business</v>
      </c>
      <c r="K1313" s="1" t="str">
        <f aca="false">VLOOKUP(C1313,Products!$A$2:$E$62,3,FALSE())</f>
        <v>Software</v>
      </c>
      <c r="L1313" s="1" t="str">
        <f aca="false">TEXT(D1313,"yyyy-mm")</f>
        <v>2024-11</v>
      </c>
    </row>
    <row r="1314" customFormat="false" ht="15" hidden="false" customHeight="true" outlineLevel="0" collapsed="false">
      <c r="A1314" s="1" t="n">
        <v>1342</v>
      </c>
      <c r="B1314" s="1" t="n">
        <v>311</v>
      </c>
      <c r="C1314" s="1" t="n">
        <v>44</v>
      </c>
      <c r="D1314" s="1" t="s">
        <v>1001</v>
      </c>
      <c r="E1314" s="1" t="n">
        <v>6</v>
      </c>
      <c r="F1314" s="1" t="n">
        <v>508.26</v>
      </c>
      <c r="G1314" s="1" t="n">
        <v>0.1</v>
      </c>
      <c r="H1314" s="1" t="s">
        <v>1336</v>
      </c>
      <c r="I1314" s="1" t="n">
        <v>2744.6</v>
      </c>
      <c r="J1314" s="1" t="str">
        <f aca="false">VLOOKUP(B1314,Customers!$A$2:$G$502,6,FALSE())</f>
        <v>Consumer</v>
      </c>
      <c r="K1314" s="1" t="str">
        <f aca="false">VLOOKUP(C1314,Products!$A$2:$E$62,3,FALSE())</f>
        <v>Software</v>
      </c>
      <c r="L1314" s="1" t="str">
        <f aca="false">TEXT(D1314,"yyyy-mm")</f>
        <v>2023-03</v>
      </c>
    </row>
    <row r="1315" customFormat="false" ht="15" hidden="false" customHeight="true" outlineLevel="0" collapsed="false">
      <c r="A1315" s="1" t="n">
        <v>1343</v>
      </c>
      <c r="B1315" s="1" t="n">
        <v>246</v>
      </c>
      <c r="C1315" s="1" t="n">
        <v>24</v>
      </c>
      <c r="D1315" s="1" t="s">
        <v>1466</v>
      </c>
      <c r="E1315" s="1" t="n">
        <v>9</v>
      </c>
      <c r="F1315" s="1" t="n">
        <v>207.34</v>
      </c>
      <c r="G1315" s="1" t="n">
        <v>0</v>
      </c>
      <c r="H1315" s="1" t="s">
        <v>1336</v>
      </c>
      <c r="I1315" s="1" t="n">
        <v>1866.06</v>
      </c>
      <c r="J1315" s="1" t="str">
        <f aca="false">VLOOKUP(B1315,Customers!$A$2:$G$502,6,FALSE())</f>
        <v>Small Business</v>
      </c>
      <c r="K1315" s="1" t="str">
        <f aca="false">VLOOKUP(C1315,Products!$A$2:$E$62,3,FALSE())</f>
        <v>Office Supplies</v>
      </c>
      <c r="L1315" s="1" t="str">
        <f aca="false">TEXT(D1315,"yyyy-mm")</f>
        <v>2024-05</v>
      </c>
    </row>
    <row r="1316" customFormat="false" ht="15" hidden="false" customHeight="true" outlineLevel="0" collapsed="false">
      <c r="A1316" s="1" t="n">
        <v>1344</v>
      </c>
      <c r="B1316" s="1" t="n">
        <v>301</v>
      </c>
      <c r="C1316" s="1" t="n">
        <v>11</v>
      </c>
      <c r="D1316" s="1" t="s">
        <v>1355</v>
      </c>
      <c r="E1316" s="1" t="n">
        <v>6</v>
      </c>
      <c r="F1316" s="1" t="n">
        <v>328.39</v>
      </c>
      <c r="G1316" s="1" t="n">
        <v>0.15</v>
      </c>
      <c r="H1316" s="1" t="s">
        <v>1336</v>
      </c>
      <c r="I1316" s="1" t="n">
        <v>1674.79</v>
      </c>
      <c r="J1316" s="1" t="str">
        <f aca="false">VLOOKUP(B1316,Customers!$A$2:$G$502,6,FALSE())</f>
        <v>Corporate</v>
      </c>
      <c r="K1316" s="1" t="str">
        <f aca="false">VLOOKUP(C1316,Products!$A$2:$E$62,3,FALSE())</f>
        <v>Electronics</v>
      </c>
      <c r="L1316" s="1" t="str">
        <f aca="false">TEXT(D1316,"yyyy-mm")</f>
        <v>2023-02</v>
      </c>
    </row>
    <row r="1317" customFormat="false" ht="15" hidden="false" customHeight="true" outlineLevel="0" collapsed="false">
      <c r="A1317" s="1" t="n">
        <v>1345</v>
      </c>
      <c r="B1317" s="1" t="n">
        <v>434</v>
      </c>
      <c r="C1317" s="1" t="n">
        <v>26</v>
      </c>
      <c r="D1317" s="1" t="s">
        <v>1632</v>
      </c>
      <c r="E1317" s="1" t="n">
        <v>9</v>
      </c>
      <c r="F1317" s="1" t="n">
        <v>733.85</v>
      </c>
      <c r="G1317" s="1" t="n">
        <v>0.2</v>
      </c>
      <c r="H1317" s="1" t="s">
        <v>1346</v>
      </c>
      <c r="I1317" s="1" t="n">
        <v>5283.72</v>
      </c>
      <c r="J1317" s="1" t="str">
        <f aca="false">VLOOKUP(B1317,Customers!$A$2:$G$502,6,FALSE())</f>
        <v>Consumer</v>
      </c>
      <c r="K1317" s="1" t="str">
        <f aca="false">VLOOKUP(C1317,Products!$A$2:$E$62,3,FALSE())</f>
        <v>Office Supplies</v>
      </c>
      <c r="L1317" s="1" t="str">
        <f aca="false">TEXT(D1317,"yyyy-mm")</f>
        <v>2024-04</v>
      </c>
    </row>
    <row r="1318" customFormat="false" ht="15" hidden="false" customHeight="true" outlineLevel="0" collapsed="false">
      <c r="A1318" s="1" t="n">
        <v>1346</v>
      </c>
      <c r="B1318" s="1" t="n">
        <v>215</v>
      </c>
      <c r="C1318" s="1" t="n">
        <v>2</v>
      </c>
      <c r="D1318" s="1" t="s">
        <v>1528</v>
      </c>
      <c r="E1318" s="1" t="n">
        <v>7</v>
      </c>
      <c r="F1318" s="1" t="n">
        <v>498.15</v>
      </c>
      <c r="G1318" s="1" t="n">
        <v>0.2</v>
      </c>
      <c r="H1318" s="1" t="s">
        <v>1336</v>
      </c>
      <c r="I1318" s="1" t="n">
        <v>2789.64</v>
      </c>
      <c r="J1318" s="1" t="str">
        <f aca="false">VLOOKUP(B1318,Customers!$A$2:$G$502,6,FALSE())</f>
        <v>Corporate</v>
      </c>
      <c r="K1318" s="1" t="str">
        <f aca="false">VLOOKUP(C1318,Products!$A$2:$E$62,3,FALSE())</f>
        <v>Electronics</v>
      </c>
      <c r="L1318" s="1" t="str">
        <f aca="false">TEXT(D1318,"yyyy-mm")</f>
        <v>2023-05</v>
      </c>
    </row>
    <row r="1319" customFormat="false" ht="15" hidden="false" customHeight="true" outlineLevel="0" collapsed="false">
      <c r="A1319" s="1" t="n">
        <v>1348</v>
      </c>
      <c r="B1319" s="1" t="n">
        <v>242</v>
      </c>
      <c r="C1319" s="1" t="n">
        <v>10</v>
      </c>
      <c r="D1319" s="1" t="s">
        <v>1581</v>
      </c>
      <c r="E1319" s="1" t="n">
        <v>2</v>
      </c>
      <c r="F1319" s="1" t="n">
        <v>251.58</v>
      </c>
      <c r="G1319" s="1" t="n">
        <v>0</v>
      </c>
      <c r="H1319" s="1" t="s">
        <v>1336</v>
      </c>
      <c r="I1319" s="1" t="n">
        <v>503.16</v>
      </c>
      <c r="J1319" s="1" t="str">
        <f aca="false">VLOOKUP(B1319,Customers!$A$2:$G$502,6,FALSE())</f>
        <v>Corporate</v>
      </c>
      <c r="K1319" s="1" t="str">
        <f aca="false">VLOOKUP(C1319,Products!$A$2:$E$62,3,FALSE())</f>
        <v>Electronics</v>
      </c>
      <c r="L1319" s="1" t="str">
        <f aca="false">TEXT(D1319,"yyyy-mm")</f>
        <v>2023-10</v>
      </c>
    </row>
    <row r="1320" customFormat="false" ht="15" hidden="false" customHeight="true" outlineLevel="0" collapsed="false">
      <c r="A1320" s="1" t="n">
        <v>1349</v>
      </c>
      <c r="B1320" s="1" t="n">
        <v>438</v>
      </c>
      <c r="C1320" s="1" t="n">
        <v>36</v>
      </c>
      <c r="D1320" s="1" t="s">
        <v>24</v>
      </c>
      <c r="E1320" s="1" t="n">
        <v>8</v>
      </c>
      <c r="F1320" s="1" t="n">
        <v>424.45</v>
      </c>
      <c r="G1320" s="1" t="n">
        <v>0</v>
      </c>
      <c r="H1320" s="1" t="s">
        <v>1336</v>
      </c>
      <c r="I1320" s="1" t="n">
        <v>3395.6</v>
      </c>
      <c r="J1320" s="1" t="str">
        <f aca="false">VLOOKUP(B1320,Customers!$A$2:$G$502,6,FALSE())</f>
        <v>Consumer</v>
      </c>
      <c r="K1320" s="1" t="str">
        <f aca="false">VLOOKUP(C1320,Products!$A$2:$E$62,3,FALSE())</f>
        <v>Software</v>
      </c>
      <c r="L1320" s="1" t="str">
        <f aca="false">TEXT(D1320,"yyyy-mm")</f>
        <v>2023-10</v>
      </c>
    </row>
    <row r="1321" customFormat="false" ht="15" hidden="false" customHeight="true" outlineLevel="0" collapsed="false">
      <c r="A1321" s="1" t="n">
        <v>1350</v>
      </c>
      <c r="B1321" s="1" t="n">
        <v>437</v>
      </c>
      <c r="C1321" s="1" t="n">
        <v>11</v>
      </c>
      <c r="D1321" s="1" t="s">
        <v>1036</v>
      </c>
      <c r="E1321" s="1" t="n">
        <v>8</v>
      </c>
      <c r="F1321" s="1" t="n">
        <v>328.39</v>
      </c>
      <c r="G1321" s="1" t="n">
        <v>0.15</v>
      </c>
      <c r="H1321" s="1" t="s">
        <v>1336</v>
      </c>
      <c r="I1321" s="1" t="n">
        <v>2233.05</v>
      </c>
      <c r="J1321" s="1" t="str">
        <f aca="false">VLOOKUP(B1321,Customers!$A$2:$G$502,6,FALSE())</f>
        <v>Small Business</v>
      </c>
      <c r="K1321" s="1" t="str">
        <f aca="false">VLOOKUP(C1321,Products!$A$2:$E$62,3,FALSE())</f>
        <v>Electronics</v>
      </c>
      <c r="L1321" s="1" t="str">
        <f aca="false">TEXT(D1321,"yyyy-mm")</f>
        <v>2024-05</v>
      </c>
    </row>
    <row r="1322" customFormat="false" ht="15" hidden="false" customHeight="true" outlineLevel="0" collapsed="false">
      <c r="A1322" s="1" t="n">
        <v>1351</v>
      </c>
      <c r="B1322" s="1" t="n">
        <v>245</v>
      </c>
      <c r="C1322" s="1" t="n">
        <v>39</v>
      </c>
      <c r="D1322" s="1" t="s">
        <v>39</v>
      </c>
      <c r="E1322" s="1" t="n">
        <v>2</v>
      </c>
      <c r="F1322" s="1" t="n">
        <v>400.02</v>
      </c>
      <c r="G1322" s="1" t="n">
        <v>0</v>
      </c>
      <c r="H1322" s="1" t="s">
        <v>1336</v>
      </c>
      <c r="I1322" s="1" t="n">
        <v>800.04</v>
      </c>
      <c r="J1322" s="1" t="str">
        <f aca="false">VLOOKUP(B1322,Customers!$A$2:$G$502,6,FALSE())</f>
        <v>Consumer</v>
      </c>
      <c r="K1322" s="1" t="str">
        <f aca="false">VLOOKUP(C1322,Products!$A$2:$E$62,3,FALSE())</f>
        <v>Software</v>
      </c>
      <c r="L1322" s="1" t="str">
        <f aca="false">TEXT(D1322,"yyyy-mm")</f>
        <v>2023-10</v>
      </c>
    </row>
    <row r="1323" customFormat="false" ht="15" hidden="false" customHeight="true" outlineLevel="0" collapsed="false">
      <c r="A1323" s="1" t="n">
        <v>1352</v>
      </c>
      <c r="B1323" s="1" t="n">
        <v>7</v>
      </c>
      <c r="C1323" s="1" t="n">
        <v>20</v>
      </c>
      <c r="D1323" s="1" t="s">
        <v>1612</v>
      </c>
      <c r="E1323" s="1" t="n">
        <v>4</v>
      </c>
      <c r="F1323" s="1" t="n">
        <v>426.15</v>
      </c>
      <c r="G1323" s="1" t="n">
        <v>0</v>
      </c>
      <c r="H1323" s="1" t="s">
        <v>1336</v>
      </c>
      <c r="I1323" s="1" t="n">
        <v>1704.6</v>
      </c>
      <c r="J1323" s="1" t="str">
        <f aca="false">VLOOKUP(B1323,Customers!$A$2:$G$502,6,FALSE())</f>
        <v>Small Business</v>
      </c>
      <c r="K1323" s="1" t="str">
        <f aca="false">VLOOKUP(C1323,Products!$A$2:$E$62,3,FALSE())</f>
        <v>Office Supplies</v>
      </c>
      <c r="L1323" s="1" t="str">
        <f aca="false">TEXT(D1323,"yyyy-mm")</f>
        <v>2024-10</v>
      </c>
    </row>
    <row r="1324" customFormat="false" ht="15" hidden="false" customHeight="true" outlineLevel="0" collapsed="false">
      <c r="A1324" s="1" t="n">
        <v>1353</v>
      </c>
      <c r="B1324" s="1" t="n">
        <v>307</v>
      </c>
      <c r="C1324" s="1" t="n">
        <v>9</v>
      </c>
      <c r="D1324" s="1" t="s">
        <v>539</v>
      </c>
      <c r="E1324" s="1" t="n">
        <v>7</v>
      </c>
      <c r="F1324" s="1" t="n">
        <v>203.1</v>
      </c>
      <c r="G1324" s="1" t="n">
        <v>0</v>
      </c>
      <c r="H1324" s="1" t="s">
        <v>1336</v>
      </c>
      <c r="I1324" s="1" t="n">
        <v>1421.7</v>
      </c>
      <c r="J1324" s="1" t="str">
        <f aca="false">VLOOKUP(B1324,Customers!$A$2:$G$502,6,FALSE())</f>
        <v>Corporate</v>
      </c>
      <c r="K1324" s="1" t="str">
        <f aca="false">VLOOKUP(C1324,Products!$A$2:$E$62,3,FALSE())</f>
        <v>Electronics</v>
      </c>
      <c r="L1324" s="1" t="str">
        <f aca="false">TEXT(D1324,"yyyy-mm")</f>
        <v>2024-06</v>
      </c>
    </row>
    <row r="1325" customFormat="false" ht="15" hidden="false" customHeight="true" outlineLevel="0" collapsed="false">
      <c r="A1325" s="1" t="n">
        <v>1354</v>
      </c>
      <c r="B1325" s="1" t="n">
        <v>290</v>
      </c>
      <c r="C1325" s="1" t="n">
        <v>31</v>
      </c>
      <c r="D1325" s="1" t="s">
        <v>1635</v>
      </c>
      <c r="E1325" s="1" t="n">
        <v>4</v>
      </c>
      <c r="F1325" s="1" t="n">
        <v>224.86</v>
      </c>
      <c r="G1325" s="1" t="n">
        <v>0</v>
      </c>
      <c r="H1325" s="1" t="s">
        <v>1336</v>
      </c>
      <c r="I1325" s="1" t="n">
        <v>899.44</v>
      </c>
      <c r="J1325" s="1" t="str">
        <f aca="false">VLOOKUP(B1325,Customers!$A$2:$G$502,6,FALSE())</f>
        <v>Consumer</v>
      </c>
      <c r="K1325" s="1" t="str">
        <f aca="false">VLOOKUP(C1325,Products!$A$2:$E$62,3,FALSE())</f>
        <v>Office Supplies</v>
      </c>
      <c r="L1325" s="1" t="str">
        <f aca="false">TEXT(D1325,"yyyy-mm")</f>
        <v>2023-03</v>
      </c>
    </row>
    <row r="1326" customFormat="false" ht="15" hidden="false" customHeight="true" outlineLevel="0" collapsed="false">
      <c r="A1326" s="1" t="n">
        <v>1355</v>
      </c>
      <c r="B1326" s="1" t="n">
        <v>120</v>
      </c>
      <c r="C1326" s="1" t="n">
        <v>59</v>
      </c>
      <c r="D1326" s="1" t="s">
        <v>813</v>
      </c>
      <c r="E1326" s="1" t="n">
        <v>4</v>
      </c>
      <c r="F1326" s="1" t="n">
        <v>438.89</v>
      </c>
      <c r="G1326" s="1" t="n">
        <v>0.15</v>
      </c>
      <c r="H1326" s="1" t="s">
        <v>1346</v>
      </c>
      <c r="I1326" s="1" t="n">
        <v>1492.23</v>
      </c>
      <c r="J1326" s="1" t="str">
        <f aca="false">VLOOKUP(B1326,Customers!$A$2:$G$502,6,FALSE())</f>
        <v>Consumer</v>
      </c>
      <c r="K1326" s="1" t="str">
        <f aca="false">VLOOKUP(C1326,Products!$A$2:$E$62,3,FALSE())</f>
        <v>Furniture</v>
      </c>
      <c r="L1326" s="1" t="str">
        <f aca="false">TEXT(D1326,"yyyy-mm")</f>
        <v>2023-11</v>
      </c>
    </row>
    <row r="1327" customFormat="false" ht="15" hidden="false" customHeight="true" outlineLevel="0" collapsed="false">
      <c r="A1327" s="1" t="n">
        <v>1356</v>
      </c>
      <c r="B1327" s="1" t="n">
        <v>296</v>
      </c>
      <c r="C1327" s="1" t="n">
        <v>51</v>
      </c>
      <c r="D1327" s="1" t="s">
        <v>1504</v>
      </c>
      <c r="E1327" s="1" t="n">
        <v>6</v>
      </c>
      <c r="F1327" s="1" t="n">
        <v>30.16</v>
      </c>
      <c r="G1327" s="1" t="n">
        <v>0.15</v>
      </c>
      <c r="H1327" s="1" t="s">
        <v>1336</v>
      </c>
      <c r="I1327" s="1" t="n">
        <v>153.82</v>
      </c>
      <c r="J1327" s="1" t="str">
        <f aca="false">VLOOKUP(B1327,Customers!$A$2:$G$502,6,FALSE())</f>
        <v>Corporate</v>
      </c>
      <c r="K1327" s="1" t="str">
        <f aca="false">VLOOKUP(C1327,Products!$A$2:$E$62,3,FALSE())</f>
        <v>Software</v>
      </c>
      <c r="L1327" s="1" t="str">
        <f aca="false">TEXT(D1327,"yyyy-mm")</f>
        <v>2023-12</v>
      </c>
    </row>
    <row r="1328" customFormat="false" ht="15" hidden="false" customHeight="true" outlineLevel="0" collapsed="false">
      <c r="A1328" s="1" t="n">
        <v>1357</v>
      </c>
      <c r="B1328" s="1" t="n">
        <v>498</v>
      </c>
      <c r="C1328" s="1" t="n">
        <v>59</v>
      </c>
      <c r="D1328" s="1" t="s">
        <v>1537</v>
      </c>
      <c r="E1328" s="1" t="n">
        <v>6</v>
      </c>
      <c r="F1328" s="1" t="n">
        <v>438.89</v>
      </c>
      <c r="G1328" s="1" t="n">
        <v>0.15</v>
      </c>
      <c r="H1328" s="1" t="s">
        <v>1336</v>
      </c>
      <c r="I1328" s="1" t="n">
        <v>2238.34</v>
      </c>
      <c r="J1328" s="1" t="str">
        <f aca="false">VLOOKUP(B1328,Customers!$A$2:$G$502,6,FALSE())</f>
        <v>Corporate</v>
      </c>
      <c r="K1328" s="1" t="str">
        <f aca="false">VLOOKUP(C1328,Products!$A$2:$E$62,3,FALSE())</f>
        <v>Furniture</v>
      </c>
      <c r="L1328" s="1" t="str">
        <f aca="false">TEXT(D1328,"yyyy-mm")</f>
        <v>2023-08</v>
      </c>
    </row>
    <row r="1329" customFormat="false" ht="15" hidden="false" customHeight="true" outlineLevel="0" collapsed="false">
      <c r="A1329" s="1" t="n">
        <v>1358</v>
      </c>
      <c r="B1329" s="1" t="n">
        <v>241</v>
      </c>
      <c r="C1329" s="1" t="n">
        <v>57</v>
      </c>
      <c r="D1329" s="1" t="s">
        <v>499</v>
      </c>
      <c r="E1329" s="1" t="n">
        <v>3</v>
      </c>
      <c r="F1329" s="1" t="n">
        <v>719.76</v>
      </c>
      <c r="G1329" s="1" t="n">
        <v>0</v>
      </c>
      <c r="H1329" s="1" t="s">
        <v>1336</v>
      </c>
      <c r="I1329" s="1" t="n">
        <v>2159.28</v>
      </c>
      <c r="J1329" s="1" t="str">
        <f aca="false">VLOOKUP(B1329,Customers!$A$2:$G$502,6,FALSE())</f>
        <v>Small Business</v>
      </c>
      <c r="K1329" s="1" t="str">
        <f aca="false">VLOOKUP(C1329,Products!$A$2:$E$62,3,FALSE())</f>
        <v>Furniture</v>
      </c>
      <c r="L1329" s="1" t="str">
        <f aca="false">TEXT(D1329,"yyyy-mm")</f>
        <v>2023-01</v>
      </c>
    </row>
    <row r="1330" customFormat="false" ht="15" hidden="false" customHeight="true" outlineLevel="0" collapsed="false">
      <c r="A1330" s="1" t="n">
        <v>1359</v>
      </c>
      <c r="B1330" s="1" t="n">
        <v>42</v>
      </c>
      <c r="C1330" s="1" t="n">
        <v>34</v>
      </c>
      <c r="D1330" s="1" t="s">
        <v>1147</v>
      </c>
      <c r="E1330" s="1" t="n">
        <v>9</v>
      </c>
      <c r="F1330" s="1" t="n">
        <v>116.85</v>
      </c>
      <c r="G1330" s="1" t="n">
        <v>0.05</v>
      </c>
      <c r="H1330" s="1" t="s">
        <v>1336</v>
      </c>
      <c r="I1330" s="1" t="n">
        <v>999.07</v>
      </c>
      <c r="J1330" s="1" t="str">
        <f aca="false">VLOOKUP(B1330,Customers!$A$2:$G$502,6,FALSE())</f>
        <v>Small Business</v>
      </c>
      <c r="K1330" s="1" t="str">
        <f aca="false">VLOOKUP(C1330,Products!$A$2:$E$62,3,FALSE())</f>
        <v>Office Supplies</v>
      </c>
      <c r="L1330" s="1" t="str">
        <f aca="false">TEXT(D1330,"yyyy-mm")</f>
        <v>2024-05</v>
      </c>
    </row>
    <row r="1331" customFormat="false" ht="15" hidden="false" customHeight="true" outlineLevel="0" collapsed="false">
      <c r="A1331" s="1" t="n">
        <v>1360</v>
      </c>
      <c r="B1331" s="1" t="n">
        <v>231</v>
      </c>
      <c r="C1331" s="1" t="n">
        <v>25</v>
      </c>
      <c r="D1331" s="1" t="s">
        <v>1485</v>
      </c>
      <c r="E1331" s="1" t="n">
        <v>2</v>
      </c>
      <c r="F1331" s="1" t="n">
        <v>300.49</v>
      </c>
      <c r="G1331" s="1" t="n">
        <v>0.2</v>
      </c>
      <c r="H1331" s="1" t="s">
        <v>1336</v>
      </c>
      <c r="I1331" s="1" t="n">
        <v>480.78</v>
      </c>
      <c r="J1331" s="1" t="str">
        <f aca="false">VLOOKUP(B1331,Customers!$A$2:$G$502,6,FALSE())</f>
        <v>Consumer</v>
      </c>
      <c r="K1331" s="1" t="str">
        <f aca="false">VLOOKUP(C1331,Products!$A$2:$E$62,3,FALSE())</f>
        <v>Office Supplies</v>
      </c>
      <c r="L1331" s="1" t="str">
        <f aca="false">TEXT(D1331,"yyyy-mm")</f>
        <v>2023-07</v>
      </c>
    </row>
    <row r="1332" customFormat="false" ht="15" hidden="false" customHeight="true" outlineLevel="0" collapsed="false">
      <c r="A1332" s="1" t="n">
        <v>1361</v>
      </c>
      <c r="B1332" s="1" t="n">
        <v>243</v>
      </c>
      <c r="C1332" s="1" t="n">
        <v>16</v>
      </c>
      <c r="D1332" s="1" t="s">
        <v>1636</v>
      </c>
      <c r="E1332" s="1" t="n">
        <v>6</v>
      </c>
      <c r="F1332" s="1" t="n">
        <v>330.91</v>
      </c>
      <c r="G1332" s="1" t="n">
        <v>0.15</v>
      </c>
      <c r="H1332" s="1" t="s">
        <v>1336</v>
      </c>
      <c r="I1332" s="1" t="n">
        <v>1687.64</v>
      </c>
      <c r="J1332" s="1" t="str">
        <f aca="false">VLOOKUP(B1332,Customers!$A$2:$G$502,6,FALSE())</f>
        <v>Small Business</v>
      </c>
      <c r="K1332" s="1" t="str">
        <f aca="false">VLOOKUP(C1332,Products!$A$2:$E$62,3,FALSE())</f>
        <v>Electronics</v>
      </c>
      <c r="L1332" s="1" t="str">
        <f aca="false">TEXT(D1332,"yyyy-mm")</f>
        <v>2023-08</v>
      </c>
    </row>
    <row r="1333" customFormat="false" ht="15" hidden="false" customHeight="true" outlineLevel="0" collapsed="false">
      <c r="A1333" s="1" t="n">
        <v>1362</v>
      </c>
      <c r="B1333" s="1" t="n">
        <v>402</v>
      </c>
      <c r="C1333" s="1" t="n">
        <v>18</v>
      </c>
      <c r="D1333" s="1" t="s">
        <v>1637</v>
      </c>
      <c r="E1333" s="1" t="n">
        <v>7</v>
      </c>
      <c r="F1333" s="1" t="n">
        <v>747.34</v>
      </c>
      <c r="G1333" s="1" t="n">
        <v>0.05</v>
      </c>
      <c r="H1333" s="1" t="s">
        <v>1370</v>
      </c>
      <c r="I1333" s="1" t="n">
        <v>4969.81</v>
      </c>
      <c r="J1333" s="1" t="str">
        <f aca="false">VLOOKUP(B1333,Customers!$A$2:$G$502,6,FALSE())</f>
        <v>Unknown</v>
      </c>
      <c r="K1333" s="1" t="str">
        <f aca="false">VLOOKUP(C1333,Products!$A$2:$E$62,3,FALSE())</f>
        <v>Electronics</v>
      </c>
      <c r="L1333" s="1" t="str">
        <f aca="false">TEXT(D1333,"yyyy-mm")</f>
        <v>2023-11</v>
      </c>
    </row>
    <row r="1334" customFormat="false" ht="15" hidden="false" customHeight="true" outlineLevel="0" collapsed="false">
      <c r="A1334" s="1" t="n">
        <v>1363</v>
      </c>
      <c r="B1334" s="1" t="n">
        <v>331</v>
      </c>
      <c r="C1334" s="1" t="n">
        <v>13</v>
      </c>
      <c r="D1334" s="1" t="s">
        <v>479</v>
      </c>
      <c r="E1334" s="1" t="n">
        <v>9</v>
      </c>
      <c r="F1334" s="1" t="n">
        <v>352.54</v>
      </c>
      <c r="G1334" s="1" t="n">
        <v>0.1</v>
      </c>
      <c r="H1334" s="1" t="s">
        <v>1336</v>
      </c>
      <c r="I1334" s="1" t="n">
        <v>2855.57</v>
      </c>
      <c r="J1334" s="1" t="str">
        <f aca="false">VLOOKUP(B1334,Customers!$A$2:$G$502,6,FALSE())</f>
        <v>Consumer</v>
      </c>
      <c r="K1334" s="1" t="str">
        <f aca="false">VLOOKUP(C1334,Products!$A$2:$E$62,3,FALSE())</f>
        <v>Electronics</v>
      </c>
      <c r="L1334" s="1" t="str">
        <f aca="false">TEXT(D1334,"yyyy-mm")</f>
        <v>2024-09</v>
      </c>
    </row>
    <row r="1335" customFormat="false" ht="15" hidden="false" customHeight="true" outlineLevel="0" collapsed="false">
      <c r="A1335" s="1" t="n">
        <v>1365</v>
      </c>
      <c r="B1335" s="1" t="n">
        <v>134</v>
      </c>
      <c r="C1335" s="1" t="n">
        <v>14</v>
      </c>
      <c r="D1335" s="1" t="s">
        <v>1638</v>
      </c>
      <c r="E1335" s="1" t="n">
        <v>3</v>
      </c>
      <c r="F1335" s="1" t="n">
        <v>135.27</v>
      </c>
      <c r="G1335" s="1" t="n">
        <v>0</v>
      </c>
      <c r="H1335" s="1" t="s">
        <v>1336</v>
      </c>
      <c r="I1335" s="1" t="n">
        <v>405.81</v>
      </c>
      <c r="J1335" s="1" t="str">
        <f aca="false">VLOOKUP(B1335,Customers!$A$2:$G$502,6,FALSE())</f>
        <v>Corporate</v>
      </c>
      <c r="K1335" s="1" t="str">
        <f aca="false">VLOOKUP(C1335,Products!$A$2:$E$62,3,FALSE())</f>
        <v>Electronics</v>
      </c>
      <c r="L1335" s="1" t="str">
        <f aca="false">TEXT(D1335,"yyyy-mm")</f>
        <v>2023-05</v>
      </c>
    </row>
    <row r="1336" customFormat="false" ht="15" hidden="false" customHeight="true" outlineLevel="0" collapsed="false">
      <c r="A1336" s="1" t="n">
        <v>1366</v>
      </c>
      <c r="B1336" s="1" t="n">
        <v>239</v>
      </c>
      <c r="C1336" s="1" t="n">
        <v>50</v>
      </c>
      <c r="D1336" s="1" t="s">
        <v>1468</v>
      </c>
      <c r="E1336" s="1" t="n">
        <v>7</v>
      </c>
      <c r="F1336" s="1" t="n">
        <v>19.73</v>
      </c>
      <c r="G1336" s="1" t="n">
        <v>0.05</v>
      </c>
      <c r="H1336" s="1" t="s">
        <v>1336</v>
      </c>
      <c r="I1336" s="1" t="n">
        <v>131.2</v>
      </c>
      <c r="J1336" s="1" t="str">
        <f aca="false">VLOOKUP(B1336,Customers!$A$2:$G$502,6,FALSE())</f>
        <v>Corporate</v>
      </c>
      <c r="K1336" s="1" t="str">
        <f aca="false">VLOOKUP(C1336,Products!$A$2:$E$62,3,FALSE())</f>
        <v>Software</v>
      </c>
      <c r="L1336" s="1" t="str">
        <f aca="false">TEXT(D1336,"yyyy-mm")</f>
        <v>2023-06</v>
      </c>
    </row>
    <row r="1337" customFormat="false" ht="15" hidden="false" customHeight="true" outlineLevel="0" collapsed="false">
      <c r="A1337" s="1" t="n">
        <v>1367</v>
      </c>
      <c r="B1337" s="1" t="n">
        <v>56</v>
      </c>
      <c r="C1337" s="1" t="n">
        <v>60</v>
      </c>
      <c r="D1337" s="1" t="s">
        <v>1614</v>
      </c>
      <c r="E1337" s="1" t="n">
        <v>4</v>
      </c>
      <c r="F1337" s="1" t="n">
        <v>584.98</v>
      </c>
      <c r="G1337" s="1" t="n">
        <v>0.05</v>
      </c>
      <c r="H1337" s="1" t="s">
        <v>1336</v>
      </c>
      <c r="I1337" s="1" t="n">
        <v>2222.92</v>
      </c>
      <c r="J1337" s="1" t="str">
        <f aca="false">VLOOKUP(B1337,Customers!$A$2:$G$502,6,FALSE())</f>
        <v>Corporate</v>
      </c>
      <c r="K1337" s="1" t="str">
        <f aca="false">VLOOKUP(C1337,Products!$A$2:$E$62,3,FALSE())</f>
        <v>Furniture</v>
      </c>
      <c r="L1337" s="1" t="str">
        <f aca="false">TEXT(D1337,"yyyy-mm")</f>
        <v>2023-10</v>
      </c>
    </row>
    <row r="1338" customFormat="false" ht="15" hidden="false" customHeight="true" outlineLevel="0" collapsed="false">
      <c r="A1338" s="1" t="n">
        <v>1368</v>
      </c>
      <c r="B1338" s="1" t="n">
        <v>66</v>
      </c>
      <c r="C1338" s="1" t="n">
        <v>21</v>
      </c>
      <c r="D1338" s="1" t="s">
        <v>1549</v>
      </c>
      <c r="E1338" s="1" t="n">
        <v>8</v>
      </c>
      <c r="F1338" s="1" t="n">
        <v>84.91</v>
      </c>
      <c r="G1338" s="1" t="n">
        <v>0</v>
      </c>
      <c r="H1338" s="1" t="s">
        <v>1336</v>
      </c>
      <c r="I1338" s="1" t="n">
        <v>679.28</v>
      </c>
      <c r="J1338" s="1" t="str">
        <f aca="false">VLOOKUP(B1338,Customers!$A$2:$G$502,6,FALSE())</f>
        <v>Corporate</v>
      </c>
      <c r="K1338" s="1" t="str">
        <f aca="false">VLOOKUP(C1338,Products!$A$2:$E$62,3,FALSE())</f>
        <v>Office Supplies</v>
      </c>
      <c r="L1338" s="1" t="str">
        <f aca="false">TEXT(D1338,"yyyy-mm")</f>
        <v>2023-01</v>
      </c>
    </row>
    <row r="1339" customFormat="false" ht="15" hidden="false" customHeight="true" outlineLevel="0" collapsed="false">
      <c r="A1339" s="1" t="n">
        <v>1369</v>
      </c>
      <c r="B1339" s="1" t="n">
        <v>426</v>
      </c>
      <c r="C1339" s="1" t="n">
        <v>47</v>
      </c>
      <c r="D1339" s="1" t="s">
        <v>841</v>
      </c>
      <c r="E1339" s="1" t="n">
        <v>7</v>
      </c>
      <c r="F1339" s="1" t="n">
        <v>506.19</v>
      </c>
      <c r="G1339" s="1" t="n">
        <v>0.1</v>
      </c>
      <c r="H1339" s="1" t="s">
        <v>1336</v>
      </c>
      <c r="I1339" s="1" t="n">
        <v>3189</v>
      </c>
      <c r="J1339" s="1" t="str">
        <f aca="false">VLOOKUP(B1339,Customers!$A$2:$G$502,6,FALSE())</f>
        <v>Consumer</v>
      </c>
      <c r="K1339" s="1" t="str">
        <f aca="false">VLOOKUP(C1339,Products!$A$2:$E$62,3,FALSE())</f>
        <v>Software</v>
      </c>
      <c r="L1339" s="1" t="str">
        <f aca="false">TEXT(D1339,"yyyy-mm")</f>
        <v>2024-01</v>
      </c>
    </row>
    <row r="1340" customFormat="false" ht="15" hidden="false" customHeight="true" outlineLevel="0" collapsed="false">
      <c r="A1340" s="1" t="n">
        <v>1370</v>
      </c>
      <c r="B1340" s="1" t="n">
        <v>314</v>
      </c>
      <c r="C1340" s="1" t="n">
        <v>54</v>
      </c>
      <c r="D1340" s="1" t="s">
        <v>1516</v>
      </c>
      <c r="E1340" s="1" t="n">
        <v>5</v>
      </c>
      <c r="F1340" s="1" t="n">
        <v>312.01</v>
      </c>
      <c r="G1340" s="1" t="n">
        <v>0.15</v>
      </c>
      <c r="H1340" s="1" t="s">
        <v>1336</v>
      </c>
      <c r="I1340" s="1" t="n">
        <v>1326.04</v>
      </c>
      <c r="J1340" s="1" t="str">
        <f aca="false">VLOOKUP(B1340,Customers!$A$2:$G$502,6,FALSE())</f>
        <v>Small Business</v>
      </c>
      <c r="K1340" s="1" t="str">
        <f aca="false">VLOOKUP(C1340,Products!$A$2:$E$62,3,FALSE())</f>
        <v>Software</v>
      </c>
      <c r="L1340" s="1" t="str">
        <f aca="false">TEXT(D1340,"yyyy-mm")</f>
        <v>2023-02</v>
      </c>
    </row>
    <row r="1341" customFormat="false" ht="15" hidden="false" customHeight="true" outlineLevel="0" collapsed="false">
      <c r="A1341" s="1" t="n">
        <v>1371</v>
      </c>
      <c r="B1341" s="1" t="n">
        <v>29</v>
      </c>
      <c r="C1341" s="1" t="n">
        <v>47</v>
      </c>
      <c r="D1341" s="1" t="s">
        <v>1400</v>
      </c>
      <c r="E1341" s="1" t="n">
        <v>7</v>
      </c>
      <c r="F1341" s="1" t="n">
        <v>506.19</v>
      </c>
      <c r="G1341" s="1" t="n">
        <v>0</v>
      </c>
      <c r="H1341" s="1" t="s">
        <v>1336</v>
      </c>
      <c r="I1341" s="1" t="n">
        <v>3543.33</v>
      </c>
      <c r="J1341" s="1" t="str">
        <f aca="false">VLOOKUP(B1341,Customers!$A$2:$G$502,6,FALSE())</f>
        <v>Small Business</v>
      </c>
      <c r="K1341" s="1" t="str">
        <f aca="false">VLOOKUP(C1341,Products!$A$2:$E$62,3,FALSE())</f>
        <v>Software</v>
      </c>
      <c r="L1341" s="1" t="str">
        <f aca="false">TEXT(D1341,"yyyy-mm")</f>
        <v>2024-12</v>
      </c>
    </row>
    <row r="1342" customFormat="false" ht="15" hidden="false" customHeight="true" outlineLevel="0" collapsed="false">
      <c r="A1342" s="1" t="n">
        <v>1372</v>
      </c>
      <c r="B1342" s="1" t="n">
        <v>84</v>
      </c>
      <c r="C1342" s="1" t="n">
        <v>46</v>
      </c>
      <c r="D1342" s="1" t="s">
        <v>1267</v>
      </c>
      <c r="E1342" s="1" t="n">
        <v>3</v>
      </c>
      <c r="F1342" s="1" t="n">
        <v>94.92</v>
      </c>
      <c r="G1342" s="1" t="n">
        <v>0</v>
      </c>
      <c r="H1342" s="1" t="s">
        <v>1336</v>
      </c>
      <c r="I1342" s="1" t="n">
        <v>284.76</v>
      </c>
      <c r="J1342" s="1" t="str">
        <f aca="false">VLOOKUP(B1342,Customers!$A$2:$G$502,6,FALSE())</f>
        <v>Corporate</v>
      </c>
      <c r="K1342" s="1" t="str">
        <f aca="false">VLOOKUP(C1342,Products!$A$2:$E$62,3,FALSE())</f>
        <v>Software</v>
      </c>
      <c r="L1342" s="1" t="str">
        <f aca="false">TEXT(D1342,"yyyy-mm")</f>
        <v>2023-08</v>
      </c>
    </row>
    <row r="1343" customFormat="false" ht="15" hidden="false" customHeight="true" outlineLevel="0" collapsed="false">
      <c r="A1343" s="1" t="n">
        <v>1373</v>
      </c>
      <c r="B1343" s="1" t="n">
        <v>385</v>
      </c>
      <c r="C1343" s="1" t="n">
        <v>5</v>
      </c>
      <c r="D1343" s="1" t="s">
        <v>1271</v>
      </c>
      <c r="E1343" s="1" t="n">
        <v>2</v>
      </c>
      <c r="F1343" s="1" t="n">
        <v>439.06</v>
      </c>
      <c r="G1343" s="1" t="n">
        <v>0.05</v>
      </c>
      <c r="H1343" s="1" t="s">
        <v>1336</v>
      </c>
      <c r="I1343" s="1" t="n">
        <v>834.21</v>
      </c>
      <c r="J1343" s="1" t="str">
        <f aca="false">VLOOKUP(B1343,Customers!$A$2:$G$502,6,FALSE())</f>
        <v>Small Business</v>
      </c>
      <c r="K1343" s="1" t="str">
        <f aca="false">VLOOKUP(C1343,Products!$A$2:$E$62,3,FALSE())</f>
        <v>Electronics</v>
      </c>
      <c r="L1343" s="1" t="str">
        <f aca="false">TEXT(D1343,"yyyy-mm")</f>
        <v>2024-05</v>
      </c>
    </row>
    <row r="1344" customFormat="false" ht="15" hidden="false" customHeight="true" outlineLevel="0" collapsed="false">
      <c r="A1344" s="1" t="n">
        <v>1374</v>
      </c>
      <c r="B1344" s="1" t="n">
        <v>80</v>
      </c>
      <c r="C1344" s="1" t="n">
        <v>36</v>
      </c>
      <c r="D1344" s="1" t="s">
        <v>1419</v>
      </c>
      <c r="E1344" s="1" t="n">
        <v>6</v>
      </c>
      <c r="F1344" s="1" t="n">
        <v>424.45</v>
      </c>
      <c r="G1344" s="1" t="n">
        <v>0.2</v>
      </c>
      <c r="H1344" s="1" t="s">
        <v>1336</v>
      </c>
      <c r="I1344" s="1" t="n">
        <v>2037.36</v>
      </c>
      <c r="J1344" s="1" t="str">
        <f aca="false">VLOOKUP(B1344,Customers!$A$2:$G$502,6,FALSE())</f>
        <v>Consumer</v>
      </c>
      <c r="K1344" s="1" t="str">
        <f aca="false">VLOOKUP(C1344,Products!$A$2:$E$62,3,FALSE())</f>
        <v>Software</v>
      </c>
      <c r="L1344" s="1" t="str">
        <f aca="false">TEXT(D1344,"yyyy-mm")</f>
        <v>2023-04</v>
      </c>
    </row>
    <row r="1345" customFormat="false" ht="15" hidden="false" customHeight="true" outlineLevel="0" collapsed="false">
      <c r="A1345" s="1" t="n">
        <v>1375</v>
      </c>
      <c r="B1345" s="1" t="n">
        <v>117</v>
      </c>
      <c r="C1345" s="1" t="n">
        <v>16</v>
      </c>
      <c r="D1345" s="1" t="s">
        <v>1609</v>
      </c>
      <c r="E1345" s="1" t="n">
        <v>2</v>
      </c>
      <c r="F1345" s="1" t="n">
        <v>330.91</v>
      </c>
      <c r="G1345" s="1" t="n">
        <v>0.15</v>
      </c>
      <c r="H1345" s="1" t="s">
        <v>1336</v>
      </c>
      <c r="I1345" s="1" t="n">
        <v>562.55</v>
      </c>
      <c r="J1345" s="1" t="str">
        <f aca="false">VLOOKUP(B1345,Customers!$A$2:$G$502,6,FALSE())</f>
        <v>Small Business</v>
      </c>
      <c r="K1345" s="1" t="str">
        <f aca="false">VLOOKUP(C1345,Products!$A$2:$E$62,3,FALSE())</f>
        <v>Electronics</v>
      </c>
      <c r="L1345" s="1" t="str">
        <f aca="false">TEXT(D1345,"yyyy-mm")</f>
        <v>2023-02</v>
      </c>
    </row>
    <row r="1346" customFormat="false" ht="15" hidden="false" customHeight="true" outlineLevel="0" collapsed="false">
      <c r="A1346" s="1" t="n">
        <v>1376</v>
      </c>
      <c r="B1346" s="1" t="n">
        <v>246</v>
      </c>
      <c r="C1346" s="1" t="n">
        <v>3</v>
      </c>
      <c r="D1346" s="1" t="s">
        <v>1355</v>
      </c>
      <c r="E1346" s="1" t="n">
        <v>3</v>
      </c>
      <c r="F1346" s="1" t="n">
        <v>89.39</v>
      </c>
      <c r="G1346" s="1" t="n">
        <v>0</v>
      </c>
      <c r="H1346" s="1" t="s">
        <v>1336</v>
      </c>
      <c r="I1346" s="1" t="n">
        <v>268.17</v>
      </c>
      <c r="J1346" s="1" t="str">
        <f aca="false">VLOOKUP(B1346,Customers!$A$2:$G$502,6,FALSE())</f>
        <v>Small Business</v>
      </c>
      <c r="K1346" s="1" t="str">
        <f aca="false">VLOOKUP(C1346,Products!$A$2:$E$62,3,FALSE())</f>
        <v>Electronics</v>
      </c>
      <c r="L1346" s="1" t="str">
        <f aca="false">TEXT(D1346,"yyyy-mm")</f>
        <v>2023-02</v>
      </c>
    </row>
    <row r="1347" customFormat="false" ht="15" hidden="false" customHeight="true" outlineLevel="0" collapsed="false">
      <c r="A1347" s="1" t="n">
        <v>1377</v>
      </c>
      <c r="B1347" s="1" t="n">
        <v>164</v>
      </c>
      <c r="C1347" s="1" t="n">
        <v>21</v>
      </c>
      <c r="D1347" s="1" t="s">
        <v>1424</v>
      </c>
      <c r="E1347" s="1" t="n">
        <v>6</v>
      </c>
      <c r="F1347" s="1" t="n">
        <v>84.91</v>
      </c>
      <c r="G1347" s="1" t="n">
        <v>0.2</v>
      </c>
      <c r="H1347" s="1" t="s">
        <v>1336</v>
      </c>
      <c r="I1347" s="1" t="n">
        <v>407.57</v>
      </c>
      <c r="J1347" s="1" t="str">
        <f aca="false">VLOOKUP(B1347,Customers!$A$2:$G$502,6,FALSE())</f>
        <v>Consumer</v>
      </c>
      <c r="K1347" s="1" t="str">
        <f aca="false">VLOOKUP(C1347,Products!$A$2:$E$62,3,FALSE())</f>
        <v>Office Supplies</v>
      </c>
      <c r="L1347" s="1" t="str">
        <f aca="false">TEXT(D1347,"yyyy-mm")</f>
        <v>2024-02</v>
      </c>
    </row>
    <row r="1348" customFormat="false" ht="15" hidden="false" customHeight="true" outlineLevel="0" collapsed="false">
      <c r="A1348" s="1" t="n">
        <v>1378</v>
      </c>
      <c r="B1348" s="1" t="n">
        <v>13</v>
      </c>
      <c r="C1348" s="1" t="n">
        <v>43</v>
      </c>
      <c r="D1348" s="1" t="s">
        <v>109</v>
      </c>
      <c r="E1348" s="1" t="n">
        <v>5</v>
      </c>
      <c r="F1348" s="1" t="n">
        <v>186.31</v>
      </c>
      <c r="G1348" s="1" t="n">
        <v>0.05</v>
      </c>
      <c r="H1348" s="1" t="s">
        <v>1336</v>
      </c>
      <c r="I1348" s="1" t="n">
        <v>884.97</v>
      </c>
      <c r="J1348" s="1" t="str">
        <f aca="false">VLOOKUP(B1348,Customers!$A$2:$G$502,6,FALSE())</f>
        <v>Corporate</v>
      </c>
      <c r="K1348" s="1" t="str">
        <f aca="false">VLOOKUP(C1348,Products!$A$2:$E$62,3,FALSE())</f>
        <v>Software</v>
      </c>
      <c r="L1348" s="1" t="str">
        <f aca="false">TEXT(D1348,"yyyy-mm")</f>
        <v>2024-12</v>
      </c>
    </row>
    <row r="1349" customFormat="false" ht="15" hidden="false" customHeight="true" outlineLevel="0" collapsed="false">
      <c r="A1349" s="1" t="n">
        <v>1379</v>
      </c>
      <c r="B1349" s="1" t="n">
        <v>299</v>
      </c>
      <c r="C1349" s="1" t="n">
        <v>32</v>
      </c>
      <c r="D1349" s="1" t="s">
        <v>1559</v>
      </c>
      <c r="E1349" s="1" t="n">
        <v>8</v>
      </c>
      <c r="F1349" s="1" t="n">
        <v>492.27</v>
      </c>
      <c r="G1349" s="1" t="n">
        <v>0</v>
      </c>
      <c r="H1349" s="1" t="s">
        <v>1336</v>
      </c>
      <c r="I1349" s="1" t="n">
        <v>3938.16</v>
      </c>
      <c r="J1349" s="1" t="str">
        <f aca="false">VLOOKUP(B1349,Customers!$A$2:$G$502,6,FALSE())</f>
        <v>Small Business</v>
      </c>
      <c r="K1349" s="1" t="str">
        <f aca="false">VLOOKUP(C1349,Products!$A$2:$E$62,3,FALSE())</f>
        <v>Office Supplies</v>
      </c>
      <c r="L1349" s="1" t="str">
        <f aca="false">TEXT(D1349,"yyyy-mm")</f>
        <v>2023-01</v>
      </c>
    </row>
    <row r="1350" customFormat="false" ht="15" hidden="false" customHeight="true" outlineLevel="0" collapsed="false">
      <c r="A1350" s="1" t="n">
        <v>1380</v>
      </c>
      <c r="B1350" s="1" t="n">
        <v>85</v>
      </c>
      <c r="C1350" s="1" t="n">
        <v>26</v>
      </c>
      <c r="D1350" s="1" t="s">
        <v>1392</v>
      </c>
      <c r="E1350" s="1" t="n">
        <v>9</v>
      </c>
      <c r="F1350" s="1" t="n">
        <v>733.85</v>
      </c>
      <c r="G1350" s="1" t="n">
        <v>0</v>
      </c>
      <c r="H1350" s="1" t="s">
        <v>1336</v>
      </c>
      <c r="I1350" s="1" t="n">
        <v>6604.65</v>
      </c>
      <c r="J1350" s="1" t="str">
        <f aca="false">VLOOKUP(B1350,Customers!$A$2:$G$502,6,FALSE())</f>
        <v>Consumer</v>
      </c>
      <c r="K1350" s="1" t="str">
        <f aca="false">VLOOKUP(C1350,Products!$A$2:$E$62,3,FALSE())</f>
        <v>Office Supplies</v>
      </c>
      <c r="L1350" s="1" t="str">
        <f aca="false">TEXT(D1350,"yyyy-mm")</f>
        <v>2023-08</v>
      </c>
    </row>
    <row r="1351" customFormat="false" ht="15" hidden="false" customHeight="true" outlineLevel="0" collapsed="false">
      <c r="A1351" s="1" t="n">
        <v>1381</v>
      </c>
      <c r="B1351" s="1" t="n">
        <v>285</v>
      </c>
      <c r="C1351" s="1" t="n">
        <v>24</v>
      </c>
      <c r="D1351" s="1" t="s">
        <v>1133</v>
      </c>
      <c r="E1351" s="1" t="n">
        <v>3</v>
      </c>
      <c r="F1351" s="1" t="n">
        <v>207.34</v>
      </c>
      <c r="G1351" s="1" t="n">
        <v>0.05</v>
      </c>
      <c r="H1351" s="1" t="s">
        <v>1336</v>
      </c>
      <c r="I1351" s="1" t="n">
        <v>590.92</v>
      </c>
      <c r="J1351" s="1" t="str">
        <f aca="false">VLOOKUP(B1351,Customers!$A$2:$G$502,6,FALSE())</f>
        <v>Consumer</v>
      </c>
      <c r="K1351" s="1" t="str">
        <f aca="false">VLOOKUP(C1351,Products!$A$2:$E$62,3,FALSE())</f>
        <v>Office Supplies</v>
      </c>
      <c r="L1351" s="1" t="str">
        <f aca="false">TEXT(D1351,"yyyy-mm")</f>
        <v>2024-06</v>
      </c>
    </row>
    <row r="1352" customFormat="false" ht="15" hidden="false" customHeight="true" outlineLevel="0" collapsed="false">
      <c r="A1352" s="1" t="n">
        <v>1382</v>
      </c>
      <c r="B1352" s="1" t="n">
        <v>168</v>
      </c>
      <c r="C1352" s="1" t="n">
        <v>58</v>
      </c>
      <c r="D1352" s="1" t="s">
        <v>1577</v>
      </c>
      <c r="E1352" s="1" t="n">
        <v>3</v>
      </c>
      <c r="F1352" s="1" t="n">
        <v>515.55</v>
      </c>
      <c r="G1352" s="1" t="n">
        <v>0</v>
      </c>
      <c r="H1352" s="1" t="s">
        <v>1336</v>
      </c>
      <c r="I1352" s="1" t="n">
        <v>1546.65</v>
      </c>
      <c r="J1352" s="1" t="str">
        <f aca="false">VLOOKUP(B1352,Customers!$A$2:$G$502,6,FALSE())</f>
        <v>Consumer</v>
      </c>
      <c r="K1352" s="1" t="str">
        <f aca="false">VLOOKUP(C1352,Products!$A$2:$E$62,3,FALSE())</f>
        <v>Furniture</v>
      </c>
      <c r="L1352" s="1" t="str">
        <f aca="false">TEXT(D1352,"yyyy-mm")</f>
        <v>2023-09</v>
      </c>
    </row>
    <row r="1353" customFormat="false" ht="15" hidden="false" customHeight="true" outlineLevel="0" collapsed="false">
      <c r="A1353" s="1" t="n">
        <v>1383</v>
      </c>
      <c r="B1353" s="1" t="n">
        <v>334</v>
      </c>
      <c r="C1353" s="1" t="n">
        <v>43</v>
      </c>
      <c r="D1353" s="1" t="s">
        <v>1564</v>
      </c>
      <c r="E1353" s="1" t="n">
        <v>3</v>
      </c>
      <c r="F1353" s="1" t="n">
        <v>186.31</v>
      </c>
      <c r="G1353" s="1" t="n">
        <v>0.2</v>
      </c>
      <c r="H1353" s="1" t="s">
        <v>1336</v>
      </c>
      <c r="I1353" s="1" t="n">
        <v>447.14</v>
      </c>
      <c r="J1353" s="1" t="str">
        <f aca="false">VLOOKUP(B1353,Customers!$A$2:$G$502,6,FALSE())</f>
        <v>Unknown</v>
      </c>
      <c r="K1353" s="1" t="str">
        <f aca="false">VLOOKUP(C1353,Products!$A$2:$E$62,3,FALSE())</f>
        <v>Software</v>
      </c>
      <c r="L1353" s="1" t="str">
        <f aca="false">TEXT(D1353,"yyyy-mm")</f>
        <v>2024-06</v>
      </c>
    </row>
    <row r="1354" customFormat="false" ht="15" hidden="false" customHeight="true" outlineLevel="0" collapsed="false">
      <c r="A1354" s="1" t="n">
        <v>1384</v>
      </c>
      <c r="B1354" s="1" t="n">
        <v>381</v>
      </c>
      <c r="C1354" s="1" t="n">
        <v>60</v>
      </c>
      <c r="D1354" s="1" t="s">
        <v>1444</v>
      </c>
      <c r="E1354" s="1" t="n">
        <v>6</v>
      </c>
      <c r="F1354" s="1" t="n">
        <v>584.98</v>
      </c>
      <c r="G1354" s="1" t="n">
        <v>0</v>
      </c>
      <c r="H1354" s="1" t="s">
        <v>1336</v>
      </c>
      <c r="I1354" s="1" t="n">
        <v>3509.88</v>
      </c>
      <c r="J1354" s="1" t="str">
        <f aca="false">VLOOKUP(B1354,Customers!$A$2:$G$502,6,FALSE())</f>
        <v>Corporate</v>
      </c>
      <c r="K1354" s="1" t="str">
        <f aca="false">VLOOKUP(C1354,Products!$A$2:$E$62,3,FALSE())</f>
        <v>Furniture</v>
      </c>
      <c r="L1354" s="1" t="str">
        <f aca="false">TEXT(D1354,"yyyy-mm")</f>
        <v>2023-07</v>
      </c>
    </row>
    <row r="1355" customFormat="false" ht="15" hidden="false" customHeight="true" outlineLevel="0" collapsed="false">
      <c r="A1355" s="1" t="n">
        <v>1385</v>
      </c>
      <c r="B1355" s="1" t="n">
        <v>110</v>
      </c>
      <c r="C1355" s="1" t="n">
        <v>57</v>
      </c>
      <c r="D1355" s="1" t="s">
        <v>1502</v>
      </c>
      <c r="E1355" s="1" t="n">
        <v>1</v>
      </c>
      <c r="F1355" s="1" t="n">
        <v>719.76</v>
      </c>
      <c r="G1355" s="1" t="n">
        <v>0.2</v>
      </c>
      <c r="H1355" s="1" t="s">
        <v>1336</v>
      </c>
      <c r="I1355" s="1" t="n">
        <v>575.81</v>
      </c>
      <c r="J1355" s="1" t="str">
        <f aca="false">VLOOKUP(B1355,Customers!$A$2:$G$502,6,FALSE())</f>
        <v>Corporate</v>
      </c>
      <c r="K1355" s="1" t="str">
        <f aca="false">VLOOKUP(C1355,Products!$A$2:$E$62,3,FALSE())</f>
        <v>Furniture</v>
      </c>
      <c r="L1355" s="1" t="str">
        <f aca="false">TEXT(D1355,"yyyy-mm")</f>
        <v>2024-08</v>
      </c>
    </row>
    <row r="1356" customFormat="false" ht="15" hidden="false" customHeight="true" outlineLevel="0" collapsed="false">
      <c r="A1356" s="1" t="n">
        <v>1386</v>
      </c>
      <c r="B1356" s="1" t="n">
        <v>456</v>
      </c>
      <c r="C1356" s="1" t="n">
        <v>57</v>
      </c>
      <c r="D1356" s="1" t="s">
        <v>1542</v>
      </c>
      <c r="E1356" s="1" t="n">
        <v>7</v>
      </c>
      <c r="F1356" s="1" t="n">
        <v>719.76</v>
      </c>
      <c r="G1356" s="1" t="n">
        <v>0</v>
      </c>
      <c r="H1356" s="1" t="s">
        <v>1336</v>
      </c>
      <c r="I1356" s="1" t="n">
        <v>5038.32</v>
      </c>
      <c r="J1356" s="1" t="str">
        <f aca="false">VLOOKUP(B1356,Customers!$A$2:$G$502,6,FALSE())</f>
        <v>Consumer</v>
      </c>
      <c r="K1356" s="1" t="str">
        <f aca="false">VLOOKUP(C1356,Products!$A$2:$E$62,3,FALSE())</f>
        <v>Furniture</v>
      </c>
      <c r="L1356" s="1" t="str">
        <f aca="false">TEXT(D1356,"yyyy-mm")</f>
        <v>2023-09</v>
      </c>
    </row>
    <row r="1357" customFormat="false" ht="15" hidden="false" customHeight="true" outlineLevel="0" collapsed="false">
      <c r="A1357" s="1" t="n">
        <v>1387</v>
      </c>
      <c r="B1357" s="1" t="n">
        <v>171</v>
      </c>
      <c r="C1357" s="1" t="n">
        <v>14</v>
      </c>
      <c r="D1357" s="1" t="s">
        <v>1466</v>
      </c>
      <c r="E1357" s="1" t="n">
        <v>1</v>
      </c>
      <c r="F1357" s="1" t="n">
        <v>135.27</v>
      </c>
      <c r="G1357" s="1" t="n">
        <v>0.15</v>
      </c>
      <c r="H1357" s="1" t="s">
        <v>1336</v>
      </c>
      <c r="I1357" s="1" t="n">
        <v>114.98</v>
      </c>
      <c r="J1357" s="1" t="str">
        <f aca="false">VLOOKUP(B1357,Customers!$A$2:$G$502,6,FALSE())</f>
        <v>Small Business</v>
      </c>
      <c r="K1357" s="1" t="str">
        <f aca="false">VLOOKUP(C1357,Products!$A$2:$E$62,3,FALSE())</f>
        <v>Electronics</v>
      </c>
      <c r="L1357" s="1" t="str">
        <f aca="false">TEXT(D1357,"yyyy-mm")</f>
        <v>2024-05</v>
      </c>
    </row>
    <row r="1358" customFormat="false" ht="15" hidden="false" customHeight="true" outlineLevel="0" collapsed="false">
      <c r="A1358" s="1" t="n">
        <v>1388</v>
      </c>
      <c r="B1358" s="1" t="n">
        <v>85</v>
      </c>
      <c r="C1358" s="1" t="n">
        <v>59</v>
      </c>
      <c r="D1358" s="1" t="s">
        <v>1348</v>
      </c>
      <c r="E1358" s="1" t="n">
        <v>5</v>
      </c>
      <c r="F1358" s="1" t="n">
        <v>438.89</v>
      </c>
      <c r="G1358" s="1" t="n">
        <v>0.05</v>
      </c>
      <c r="H1358" s="1" t="s">
        <v>1336</v>
      </c>
      <c r="I1358" s="1" t="n">
        <v>2084.73</v>
      </c>
      <c r="J1358" s="1" t="str">
        <f aca="false">VLOOKUP(B1358,Customers!$A$2:$G$502,6,FALSE())</f>
        <v>Consumer</v>
      </c>
      <c r="K1358" s="1" t="str">
        <f aca="false">VLOOKUP(C1358,Products!$A$2:$E$62,3,FALSE())</f>
        <v>Furniture</v>
      </c>
      <c r="L1358" s="1" t="str">
        <f aca="false">TEXT(D1358,"yyyy-mm")</f>
        <v>2024-05</v>
      </c>
    </row>
    <row r="1359" customFormat="false" ht="15" hidden="false" customHeight="true" outlineLevel="0" collapsed="false">
      <c r="A1359" s="1" t="n">
        <v>1389</v>
      </c>
      <c r="B1359" s="1" t="n">
        <v>128</v>
      </c>
      <c r="C1359" s="1" t="n">
        <v>5</v>
      </c>
      <c r="D1359" s="1" t="s">
        <v>1363</v>
      </c>
      <c r="E1359" s="1" t="n">
        <v>8</v>
      </c>
      <c r="F1359" s="1" t="n">
        <v>439.06</v>
      </c>
      <c r="G1359" s="1" t="n">
        <v>0</v>
      </c>
      <c r="H1359" s="1" t="s">
        <v>1346</v>
      </c>
      <c r="I1359" s="1" t="n">
        <v>3512.48</v>
      </c>
      <c r="J1359" s="1" t="str">
        <f aca="false">VLOOKUP(B1359,Customers!$A$2:$G$502,6,FALSE())</f>
        <v>Consumer</v>
      </c>
      <c r="K1359" s="1" t="str">
        <f aca="false">VLOOKUP(C1359,Products!$A$2:$E$62,3,FALSE())</f>
        <v>Electronics</v>
      </c>
      <c r="L1359" s="1" t="str">
        <f aca="false">TEXT(D1359,"yyyy-mm")</f>
        <v>2024-09</v>
      </c>
    </row>
    <row r="1360" customFormat="false" ht="15" hidden="false" customHeight="true" outlineLevel="0" collapsed="false">
      <c r="A1360" s="1" t="n">
        <v>1390</v>
      </c>
      <c r="B1360" s="1" t="n">
        <v>485</v>
      </c>
      <c r="C1360" s="1" t="n">
        <v>18</v>
      </c>
      <c r="D1360" s="1" t="s">
        <v>1494</v>
      </c>
      <c r="E1360" s="1" t="n">
        <v>4</v>
      </c>
      <c r="F1360" s="1" t="n">
        <v>747.34</v>
      </c>
      <c r="G1360" s="1" t="n">
        <v>0</v>
      </c>
      <c r="H1360" s="1" t="s">
        <v>1336</v>
      </c>
      <c r="I1360" s="1" t="n">
        <v>2989.36</v>
      </c>
      <c r="J1360" s="1" t="str">
        <f aca="false">VLOOKUP(B1360,Customers!$A$2:$G$502,6,FALSE())</f>
        <v>Corporate</v>
      </c>
      <c r="K1360" s="1" t="str">
        <f aca="false">VLOOKUP(C1360,Products!$A$2:$E$62,3,FALSE())</f>
        <v>Electronics</v>
      </c>
      <c r="L1360" s="1" t="str">
        <f aca="false">TEXT(D1360,"yyyy-mm")</f>
        <v>2023-01</v>
      </c>
    </row>
    <row r="1361" customFormat="false" ht="15" hidden="false" customHeight="true" outlineLevel="0" collapsed="false">
      <c r="A1361" s="1" t="n">
        <v>1391</v>
      </c>
      <c r="B1361" s="1" t="n">
        <v>189</v>
      </c>
      <c r="C1361" s="1" t="n">
        <v>14</v>
      </c>
      <c r="D1361" s="1" t="s">
        <v>245</v>
      </c>
      <c r="E1361" s="1" t="n">
        <v>5</v>
      </c>
      <c r="F1361" s="1" t="n">
        <v>135.27</v>
      </c>
      <c r="G1361" s="1" t="n">
        <v>0</v>
      </c>
      <c r="H1361" s="1" t="s">
        <v>1370</v>
      </c>
      <c r="I1361" s="1" t="n">
        <v>676.35</v>
      </c>
      <c r="J1361" s="1" t="str">
        <f aca="false">VLOOKUP(B1361,Customers!$A$2:$G$502,6,FALSE())</f>
        <v>Small Business</v>
      </c>
      <c r="K1361" s="1" t="str">
        <f aca="false">VLOOKUP(C1361,Products!$A$2:$E$62,3,FALSE())</f>
        <v>Electronics</v>
      </c>
      <c r="L1361" s="1" t="str">
        <f aca="false">TEXT(D1361,"yyyy-mm")</f>
        <v>2024-10</v>
      </c>
    </row>
    <row r="1362" customFormat="false" ht="15" hidden="false" customHeight="true" outlineLevel="0" collapsed="false">
      <c r="A1362" s="1" t="n">
        <v>1392</v>
      </c>
      <c r="B1362" s="1" t="n">
        <v>335</v>
      </c>
      <c r="C1362" s="1" t="n">
        <v>2</v>
      </c>
      <c r="D1362" s="1" t="s">
        <v>269</v>
      </c>
      <c r="E1362" s="1" t="n">
        <v>4</v>
      </c>
      <c r="F1362" s="1" t="n">
        <v>498.15</v>
      </c>
      <c r="G1362" s="1" t="n">
        <v>0.2</v>
      </c>
      <c r="H1362" s="1" t="s">
        <v>1336</v>
      </c>
      <c r="I1362" s="1" t="n">
        <v>1594.08</v>
      </c>
      <c r="J1362" s="1" t="str">
        <f aca="false">VLOOKUP(B1362,Customers!$A$2:$G$502,6,FALSE())</f>
        <v>Small Business</v>
      </c>
      <c r="K1362" s="1" t="str">
        <f aca="false">VLOOKUP(C1362,Products!$A$2:$E$62,3,FALSE())</f>
        <v>Electronics</v>
      </c>
      <c r="L1362" s="1" t="str">
        <f aca="false">TEXT(D1362,"yyyy-mm")</f>
        <v>2023-11</v>
      </c>
    </row>
    <row r="1363" customFormat="false" ht="15" hidden="false" customHeight="true" outlineLevel="0" collapsed="false">
      <c r="A1363" s="1" t="n">
        <v>1393</v>
      </c>
      <c r="B1363" s="1" t="n">
        <v>478</v>
      </c>
      <c r="C1363" s="1" t="n">
        <v>57</v>
      </c>
      <c r="D1363" s="1" t="s">
        <v>1639</v>
      </c>
      <c r="E1363" s="1" t="n">
        <v>4</v>
      </c>
      <c r="F1363" s="1" t="n">
        <v>719.76</v>
      </c>
      <c r="G1363" s="1" t="n">
        <v>0</v>
      </c>
      <c r="H1363" s="1" t="s">
        <v>1346</v>
      </c>
      <c r="I1363" s="1" t="n">
        <v>2879.04</v>
      </c>
      <c r="J1363" s="1" t="str">
        <f aca="false">VLOOKUP(B1363,Customers!$A$2:$G$502,6,FALSE())</f>
        <v>Small Business</v>
      </c>
      <c r="K1363" s="1" t="str">
        <f aca="false">VLOOKUP(C1363,Products!$A$2:$E$62,3,FALSE())</f>
        <v>Furniture</v>
      </c>
      <c r="L1363" s="1" t="str">
        <f aca="false">TEXT(D1363,"yyyy-mm")</f>
        <v>2023-07</v>
      </c>
    </row>
    <row r="1364" customFormat="false" ht="15" hidden="false" customHeight="true" outlineLevel="0" collapsed="false">
      <c r="A1364" s="1" t="n">
        <v>1394</v>
      </c>
      <c r="B1364" s="1" t="n">
        <v>477</v>
      </c>
      <c r="C1364" s="1" t="n">
        <v>60</v>
      </c>
      <c r="D1364" s="1" t="s">
        <v>1446</v>
      </c>
      <c r="E1364" s="1" t="n">
        <v>8</v>
      </c>
      <c r="F1364" s="1" t="n">
        <v>584.98</v>
      </c>
      <c r="G1364" s="1" t="n">
        <v>0</v>
      </c>
      <c r="H1364" s="1" t="s">
        <v>1336</v>
      </c>
      <c r="I1364" s="1" t="n">
        <v>4679.84</v>
      </c>
      <c r="J1364" s="1" t="str">
        <f aca="false">VLOOKUP(B1364,Customers!$A$2:$G$502,6,FALSE())</f>
        <v>Corporate</v>
      </c>
      <c r="K1364" s="1" t="str">
        <f aca="false">VLOOKUP(C1364,Products!$A$2:$E$62,3,FALSE())</f>
        <v>Furniture</v>
      </c>
      <c r="L1364" s="1" t="str">
        <f aca="false">TEXT(D1364,"yyyy-mm")</f>
        <v>2024-05</v>
      </c>
    </row>
    <row r="1365" customFormat="false" ht="15" hidden="false" customHeight="true" outlineLevel="0" collapsed="false">
      <c r="A1365" s="1" t="n">
        <v>1395</v>
      </c>
      <c r="B1365" s="1" t="n">
        <v>297</v>
      </c>
      <c r="C1365" s="1" t="n">
        <v>45</v>
      </c>
      <c r="D1365" s="1" t="s">
        <v>1640</v>
      </c>
      <c r="E1365" s="1" t="n">
        <v>2</v>
      </c>
      <c r="F1365" s="1" t="n">
        <v>560.01</v>
      </c>
      <c r="G1365" s="1" t="n">
        <v>0</v>
      </c>
      <c r="H1365" s="1" t="s">
        <v>1336</v>
      </c>
      <c r="I1365" s="1" t="n">
        <v>1120.02</v>
      </c>
      <c r="J1365" s="1" t="str">
        <f aca="false">VLOOKUP(B1365,Customers!$A$2:$G$502,6,FALSE())</f>
        <v>Corporate</v>
      </c>
      <c r="K1365" s="1" t="str">
        <f aca="false">VLOOKUP(C1365,Products!$A$2:$E$62,3,FALSE())</f>
        <v>Software</v>
      </c>
      <c r="L1365" s="1" t="str">
        <f aca="false">TEXT(D1365,"yyyy-mm")</f>
        <v>2024-07</v>
      </c>
    </row>
    <row r="1366" customFormat="false" ht="15" hidden="false" customHeight="true" outlineLevel="0" collapsed="false">
      <c r="A1366" s="1" t="n">
        <v>1396</v>
      </c>
      <c r="B1366" s="1" t="n">
        <v>79</v>
      </c>
      <c r="C1366" s="1" t="n">
        <v>14</v>
      </c>
      <c r="D1366" s="1" t="s">
        <v>1631</v>
      </c>
      <c r="E1366" s="1" t="n">
        <v>1</v>
      </c>
      <c r="F1366" s="1" t="n">
        <v>135.27</v>
      </c>
      <c r="G1366" s="1" t="n">
        <v>0.05</v>
      </c>
      <c r="H1366" s="1" t="s">
        <v>1336</v>
      </c>
      <c r="I1366" s="1" t="n">
        <v>128.51</v>
      </c>
      <c r="J1366" s="1" t="str">
        <f aca="false">VLOOKUP(B1366,Customers!$A$2:$G$502,6,FALSE())</f>
        <v>Small Business</v>
      </c>
      <c r="K1366" s="1" t="str">
        <f aca="false">VLOOKUP(C1366,Products!$A$2:$E$62,3,FALSE())</f>
        <v>Electronics</v>
      </c>
      <c r="L1366" s="1" t="str">
        <f aca="false">TEXT(D1366,"yyyy-mm")</f>
        <v>2023-03</v>
      </c>
    </row>
    <row r="1367" customFormat="false" ht="15" hidden="false" customHeight="true" outlineLevel="0" collapsed="false">
      <c r="A1367" s="1" t="n">
        <v>1397</v>
      </c>
      <c r="B1367" s="1" t="n">
        <v>212</v>
      </c>
      <c r="C1367" s="1" t="n">
        <v>12</v>
      </c>
      <c r="D1367" s="1" t="s">
        <v>1136</v>
      </c>
      <c r="E1367" s="1" t="n">
        <v>3</v>
      </c>
      <c r="F1367" s="1" t="n">
        <v>179.23</v>
      </c>
      <c r="G1367" s="1" t="n">
        <v>0.1</v>
      </c>
      <c r="H1367" s="1" t="s">
        <v>1346</v>
      </c>
      <c r="I1367" s="1" t="n">
        <v>483.92</v>
      </c>
      <c r="J1367" s="1" t="str">
        <f aca="false">VLOOKUP(B1367,Customers!$A$2:$G$502,6,FALSE())</f>
        <v>Consumer</v>
      </c>
      <c r="K1367" s="1" t="str">
        <f aca="false">VLOOKUP(C1367,Products!$A$2:$E$62,3,FALSE())</f>
        <v>Electronics</v>
      </c>
      <c r="L1367" s="1" t="str">
        <f aca="false">TEXT(D1367,"yyyy-mm")</f>
        <v>2023-01</v>
      </c>
    </row>
    <row r="1368" customFormat="false" ht="15" hidden="false" customHeight="true" outlineLevel="0" collapsed="false">
      <c r="A1368" s="1" t="n">
        <v>1398</v>
      </c>
      <c r="B1368" s="1" t="n">
        <v>364</v>
      </c>
      <c r="C1368" s="1" t="n">
        <v>19</v>
      </c>
      <c r="D1368" s="1" t="s">
        <v>623</v>
      </c>
      <c r="E1368" s="1" t="n">
        <v>9</v>
      </c>
      <c r="F1368" s="1" t="n">
        <v>163.64</v>
      </c>
      <c r="G1368" s="1" t="n">
        <v>0</v>
      </c>
      <c r="H1368" s="1" t="s">
        <v>1336</v>
      </c>
      <c r="I1368" s="1" t="n">
        <v>1472.76</v>
      </c>
      <c r="J1368" s="1" t="str">
        <f aca="false">VLOOKUP(B1368,Customers!$A$2:$G$502,6,FALSE())</f>
        <v>Small Business</v>
      </c>
      <c r="K1368" s="1" t="str">
        <f aca="false">VLOOKUP(C1368,Products!$A$2:$E$62,3,FALSE())</f>
        <v>Office Supplies</v>
      </c>
      <c r="L1368" s="1" t="str">
        <f aca="false">TEXT(D1368,"yyyy-mm")</f>
        <v>2024-05</v>
      </c>
    </row>
    <row r="1369" customFormat="false" ht="15" hidden="false" customHeight="true" outlineLevel="0" collapsed="false">
      <c r="A1369" s="1" t="n">
        <v>1399</v>
      </c>
      <c r="B1369" s="1" t="n">
        <v>121</v>
      </c>
      <c r="C1369" s="1" t="n">
        <v>45</v>
      </c>
      <c r="D1369" s="1" t="s">
        <v>1641</v>
      </c>
      <c r="E1369" s="1" t="n">
        <v>4</v>
      </c>
      <c r="F1369" s="1" t="n">
        <v>560.01</v>
      </c>
      <c r="G1369" s="1" t="n">
        <v>0.2</v>
      </c>
      <c r="H1369" s="1" t="s">
        <v>1336</v>
      </c>
      <c r="I1369" s="1" t="n">
        <v>1792.03</v>
      </c>
      <c r="J1369" s="1" t="str">
        <f aca="false">VLOOKUP(B1369,Customers!$A$2:$G$502,6,FALSE())</f>
        <v>Consumer</v>
      </c>
      <c r="K1369" s="1" t="str">
        <f aca="false">VLOOKUP(C1369,Products!$A$2:$E$62,3,FALSE())</f>
        <v>Software</v>
      </c>
      <c r="L1369" s="1" t="str">
        <f aca="false">TEXT(D1369,"yyyy-mm")</f>
        <v>2024-04</v>
      </c>
    </row>
    <row r="1370" customFormat="false" ht="15" hidden="false" customHeight="true" outlineLevel="0" collapsed="false">
      <c r="A1370" s="1" t="n">
        <v>1400</v>
      </c>
      <c r="B1370" s="1" t="n">
        <v>223</v>
      </c>
      <c r="C1370" s="1" t="n">
        <v>36</v>
      </c>
      <c r="D1370" s="1" t="s">
        <v>1642</v>
      </c>
      <c r="E1370" s="1" t="n">
        <v>5</v>
      </c>
      <c r="F1370" s="1" t="n">
        <v>424.45</v>
      </c>
      <c r="G1370" s="1" t="n">
        <v>0.05</v>
      </c>
      <c r="H1370" s="1" t="s">
        <v>1336</v>
      </c>
      <c r="I1370" s="1" t="n">
        <v>2016.14</v>
      </c>
      <c r="J1370" s="1" t="str">
        <f aca="false">VLOOKUP(B1370,Customers!$A$2:$G$502,6,FALSE())</f>
        <v>Consumer</v>
      </c>
      <c r="K1370" s="1" t="str">
        <f aca="false">VLOOKUP(C1370,Products!$A$2:$E$62,3,FALSE())</f>
        <v>Software</v>
      </c>
      <c r="L1370" s="1" t="str">
        <f aca="false">TEXT(D1370,"yyyy-mm")</f>
        <v>2024-12</v>
      </c>
    </row>
    <row r="1371" customFormat="false" ht="15" hidden="false" customHeight="true" outlineLevel="0" collapsed="false">
      <c r="A1371" s="1" t="n">
        <v>1401</v>
      </c>
      <c r="B1371" s="1" t="n">
        <v>46</v>
      </c>
      <c r="C1371" s="1" t="n">
        <v>39</v>
      </c>
      <c r="D1371" s="1" t="s">
        <v>1643</v>
      </c>
      <c r="E1371" s="1" t="n">
        <v>2</v>
      </c>
      <c r="F1371" s="1" t="n">
        <v>400.02</v>
      </c>
      <c r="G1371" s="1" t="n">
        <v>0.05</v>
      </c>
      <c r="H1371" s="1" t="s">
        <v>1336</v>
      </c>
      <c r="I1371" s="1" t="n">
        <v>760.04</v>
      </c>
      <c r="J1371" s="1" t="str">
        <f aca="false">VLOOKUP(B1371,Customers!$A$2:$G$502,6,FALSE())</f>
        <v>Consumer</v>
      </c>
      <c r="K1371" s="1" t="str">
        <f aca="false">VLOOKUP(C1371,Products!$A$2:$E$62,3,FALSE())</f>
        <v>Software</v>
      </c>
      <c r="L1371" s="1" t="str">
        <f aca="false">TEXT(D1371,"yyyy-mm")</f>
        <v>2024-01</v>
      </c>
    </row>
    <row r="1372" customFormat="false" ht="15" hidden="false" customHeight="true" outlineLevel="0" collapsed="false">
      <c r="A1372" s="1" t="n">
        <v>1402</v>
      </c>
      <c r="B1372" s="1" t="n">
        <v>372</v>
      </c>
      <c r="C1372" s="1" t="n">
        <v>36</v>
      </c>
      <c r="D1372" s="1" t="s">
        <v>1154</v>
      </c>
      <c r="E1372" s="1" t="n">
        <v>4</v>
      </c>
      <c r="F1372" s="1" t="n">
        <v>424.45</v>
      </c>
      <c r="G1372" s="1" t="n">
        <v>0</v>
      </c>
      <c r="H1372" s="1" t="s">
        <v>1336</v>
      </c>
      <c r="I1372" s="1" t="n">
        <v>1697.8</v>
      </c>
      <c r="J1372" s="1" t="str">
        <f aca="false">VLOOKUP(B1372,Customers!$A$2:$G$502,6,FALSE())</f>
        <v>Corporate</v>
      </c>
      <c r="K1372" s="1" t="str">
        <f aca="false">VLOOKUP(C1372,Products!$A$2:$E$62,3,FALSE())</f>
        <v>Software</v>
      </c>
      <c r="L1372" s="1" t="str">
        <f aca="false">TEXT(D1372,"yyyy-mm")</f>
        <v>2024-07</v>
      </c>
    </row>
    <row r="1373" customFormat="false" ht="15" hidden="false" customHeight="true" outlineLevel="0" collapsed="false">
      <c r="A1373" s="1" t="n">
        <v>1403</v>
      </c>
      <c r="B1373" s="1" t="n">
        <v>191</v>
      </c>
      <c r="C1373" s="1" t="n">
        <v>30</v>
      </c>
      <c r="D1373" s="1" t="s">
        <v>1512</v>
      </c>
      <c r="E1373" s="1" t="n">
        <v>2</v>
      </c>
      <c r="F1373" s="1" t="n">
        <v>33.32</v>
      </c>
      <c r="G1373" s="1" t="n">
        <v>0.2</v>
      </c>
      <c r="H1373" s="1" t="s">
        <v>1336</v>
      </c>
      <c r="I1373" s="1" t="n">
        <v>53.31</v>
      </c>
      <c r="J1373" s="1" t="str">
        <f aca="false">VLOOKUP(B1373,Customers!$A$2:$G$502,6,FALSE())</f>
        <v>Corporate</v>
      </c>
      <c r="K1373" s="1" t="str">
        <f aca="false">VLOOKUP(C1373,Products!$A$2:$E$62,3,FALSE())</f>
        <v>Office Supplies</v>
      </c>
      <c r="L1373" s="1" t="str">
        <f aca="false">TEXT(D1373,"yyyy-mm")</f>
        <v>2023-12</v>
      </c>
    </row>
    <row r="1374" customFormat="false" ht="15" hidden="false" customHeight="true" outlineLevel="0" collapsed="false">
      <c r="A1374" s="1" t="n">
        <v>1404</v>
      </c>
      <c r="B1374" s="1" t="n">
        <v>278</v>
      </c>
      <c r="C1374" s="1" t="n">
        <v>27</v>
      </c>
      <c r="D1374" s="1" t="s">
        <v>1069</v>
      </c>
      <c r="E1374" s="1" t="n">
        <v>2</v>
      </c>
      <c r="F1374" s="1" t="n">
        <v>772.58</v>
      </c>
      <c r="G1374" s="1" t="n">
        <v>0.05</v>
      </c>
      <c r="H1374" s="1" t="s">
        <v>1336</v>
      </c>
      <c r="I1374" s="1" t="n">
        <v>1467.9</v>
      </c>
      <c r="J1374" s="1" t="str">
        <f aca="false">VLOOKUP(B1374,Customers!$A$2:$G$502,6,FALSE())</f>
        <v>Consumer</v>
      </c>
      <c r="K1374" s="1" t="str">
        <f aca="false">VLOOKUP(C1374,Products!$A$2:$E$62,3,FALSE())</f>
        <v>Office Supplies</v>
      </c>
      <c r="L1374" s="1" t="str">
        <f aca="false">TEXT(D1374,"yyyy-mm")</f>
        <v>2024-01</v>
      </c>
    </row>
    <row r="1375" customFormat="false" ht="15" hidden="false" customHeight="true" outlineLevel="0" collapsed="false">
      <c r="A1375" s="1" t="n">
        <v>1405</v>
      </c>
      <c r="B1375" s="1" t="n">
        <v>331</v>
      </c>
      <c r="C1375" s="1" t="n">
        <v>30</v>
      </c>
      <c r="D1375" s="1" t="s">
        <v>1339</v>
      </c>
      <c r="E1375" s="1" t="n">
        <v>4</v>
      </c>
      <c r="F1375" s="1" t="n">
        <v>33.32</v>
      </c>
      <c r="G1375" s="1" t="n">
        <v>0.2</v>
      </c>
      <c r="H1375" s="1" t="s">
        <v>1336</v>
      </c>
      <c r="I1375" s="1" t="n">
        <v>106.62</v>
      </c>
      <c r="J1375" s="1" t="str">
        <f aca="false">VLOOKUP(B1375,Customers!$A$2:$G$502,6,FALSE())</f>
        <v>Consumer</v>
      </c>
      <c r="K1375" s="1" t="str">
        <f aca="false">VLOOKUP(C1375,Products!$A$2:$E$62,3,FALSE())</f>
        <v>Office Supplies</v>
      </c>
      <c r="L1375" s="1" t="str">
        <f aca="false">TEXT(D1375,"yyyy-mm")</f>
        <v>2024-04</v>
      </c>
    </row>
    <row r="1376" customFormat="false" ht="15" hidden="false" customHeight="true" outlineLevel="0" collapsed="false">
      <c r="A1376" s="1" t="n">
        <v>1406</v>
      </c>
      <c r="B1376" s="1" t="n">
        <v>471</v>
      </c>
      <c r="C1376" s="1" t="n">
        <v>56</v>
      </c>
      <c r="D1376" s="1" t="s">
        <v>272</v>
      </c>
      <c r="E1376" s="1" t="n">
        <v>6</v>
      </c>
      <c r="F1376" s="1" t="n">
        <v>160.64</v>
      </c>
      <c r="G1376" s="1" t="n">
        <v>0</v>
      </c>
      <c r="H1376" s="1" t="s">
        <v>1336</v>
      </c>
      <c r="I1376" s="1" t="n">
        <v>963.84</v>
      </c>
      <c r="J1376" s="1" t="str">
        <f aca="false">VLOOKUP(B1376,Customers!$A$2:$G$502,6,FALSE())</f>
        <v>Small Business</v>
      </c>
      <c r="K1376" s="1" t="str">
        <f aca="false">VLOOKUP(C1376,Products!$A$2:$E$62,3,FALSE())</f>
        <v>Furniture</v>
      </c>
      <c r="L1376" s="1" t="str">
        <f aca="false">TEXT(D1376,"yyyy-mm")</f>
        <v>2024-10</v>
      </c>
    </row>
    <row r="1377" customFormat="false" ht="15" hidden="false" customHeight="true" outlineLevel="0" collapsed="false">
      <c r="A1377" s="1" t="n">
        <v>1407</v>
      </c>
      <c r="B1377" s="1" t="n">
        <v>409</v>
      </c>
      <c r="C1377" s="1" t="n">
        <v>37</v>
      </c>
      <c r="D1377" s="1" t="s">
        <v>1528</v>
      </c>
      <c r="E1377" s="1" t="n">
        <v>7</v>
      </c>
      <c r="F1377" s="1" t="n">
        <v>13.95</v>
      </c>
      <c r="G1377" s="1" t="n">
        <v>0.2</v>
      </c>
      <c r="H1377" s="1" t="s">
        <v>1336</v>
      </c>
      <c r="I1377" s="1" t="n">
        <v>78.12</v>
      </c>
      <c r="J1377" s="1" t="str">
        <f aca="false">VLOOKUP(B1377,Customers!$A$2:$G$502,6,FALSE())</f>
        <v>Small Business</v>
      </c>
      <c r="K1377" s="1" t="str">
        <f aca="false">VLOOKUP(C1377,Products!$A$2:$E$62,3,FALSE())</f>
        <v>Software</v>
      </c>
      <c r="L1377" s="1" t="str">
        <f aca="false">TEXT(D1377,"yyyy-mm")</f>
        <v>2023-05</v>
      </c>
    </row>
    <row r="1378" customFormat="false" ht="15" hidden="false" customHeight="true" outlineLevel="0" collapsed="false">
      <c r="A1378" s="1" t="n">
        <v>1408</v>
      </c>
      <c r="B1378" s="1" t="n">
        <v>451</v>
      </c>
      <c r="C1378" s="1" t="n">
        <v>8</v>
      </c>
      <c r="D1378" s="1" t="s">
        <v>458</v>
      </c>
      <c r="E1378" s="1" t="n">
        <v>3</v>
      </c>
      <c r="F1378" s="1" t="n">
        <v>104.4</v>
      </c>
      <c r="G1378" s="1" t="n">
        <v>0</v>
      </c>
      <c r="H1378" s="1" t="s">
        <v>1336</v>
      </c>
      <c r="I1378" s="1" t="n">
        <v>313.2</v>
      </c>
      <c r="J1378" s="1" t="str">
        <f aca="false">VLOOKUP(B1378,Customers!$A$2:$G$502,6,FALSE())</f>
        <v>Corporate</v>
      </c>
      <c r="K1378" s="1" t="str">
        <f aca="false">VLOOKUP(C1378,Products!$A$2:$E$62,3,FALSE())</f>
        <v>Electronics</v>
      </c>
      <c r="L1378" s="1" t="str">
        <f aca="false">TEXT(D1378,"yyyy-mm")</f>
        <v>2024-05</v>
      </c>
    </row>
    <row r="1379" customFormat="false" ht="15" hidden="false" customHeight="true" outlineLevel="0" collapsed="false">
      <c r="A1379" s="1" t="n">
        <v>1409</v>
      </c>
      <c r="B1379" s="1" t="n">
        <v>341</v>
      </c>
      <c r="C1379" s="1" t="n">
        <v>11</v>
      </c>
      <c r="D1379" s="1" t="s">
        <v>1644</v>
      </c>
      <c r="E1379" s="1" t="n">
        <v>3</v>
      </c>
      <c r="F1379" s="1" t="n">
        <v>328.39</v>
      </c>
      <c r="G1379" s="1" t="n">
        <v>0.15</v>
      </c>
      <c r="H1379" s="1" t="s">
        <v>1336</v>
      </c>
      <c r="I1379" s="1" t="n">
        <v>837.39</v>
      </c>
      <c r="J1379" s="1" t="str">
        <f aca="false">VLOOKUP(B1379,Customers!$A$2:$G$502,6,FALSE())</f>
        <v>Small Business</v>
      </c>
      <c r="K1379" s="1" t="str">
        <f aca="false">VLOOKUP(C1379,Products!$A$2:$E$62,3,FALSE())</f>
        <v>Electronics</v>
      </c>
      <c r="L1379" s="1" t="str">
        <f aca="false">TEXT(D1379,"yyyy-mm")</f>
        <v>2023-08</v>
      </c>
    </row>
    <row r="1380" customFormat="false" ht="15" hidden="false" customHeight="true" outlineLevel="0" collapsed="false">
      <c r="A1380" s="1" t="n">
        <v>1410</v>
      </c>
      <c r="B1380" s="1" t="n">
        <v>409</v>
      </c>
      <c r="C1380" s="1" t="n">
        <v>24</v>
      </c>
      <c r="D1380" s="1" t="s">
        <v>1340</v>
      </c>
      <c r="E1380" s="1" t="n">
        <v>6</v>
      </c>
      <c r="F1380" s="1" t="n">
        <v>207.34</v>
      </c>
      <c r="G1380" s="1" t="n">
        <v>0.05</v>
      </c>
      <c r="H1380" s="1" t="s">
        <v>1336</v>
      </c>
      <c r="I1380" s="1" t="n">
        <v>1181.84</v>
      </c>
      <c r="J1380" s="1" t="str">
        <f aca="false">VLOOKUP(B1380,Customers!$A$2:$G$502,6,FALSE())</f>
        <v>Small Business</v>
      </c>
      <c r="K1380" s="1" t="str">
        <f aca="false">VLOOKUP(C1380,Products!$A$2:$E$62,3,FALSE())</f>
        <v>Office Supplies</v>
      </c>
      <c r="L1380" s="1" t="str">
        <f aca="false">TEXT(D1380,"yyyy-mm")</f>
        <v>2024-07</v>
      </c>
    </row>
    <row r="1381" customFormat="false" ht="15" hidden="false" customHeight="true" outlineLevel="0" collapsed="false">
      <c r="A1381" s="1" t="n">
        <v>1411</v>
      </c>
      <c r="B1381" s="1" t="n">
        <v>209</v>
      </c>
      <c r="C1381" s="1" t="n">
        <v>45</v>
      </c>
      <c r="D1381" s="1" t="s">
        <v>913</v>
      </c>
      <c r="E1381" s="1" t="n">
        <v>3</v>
      </c>
      <c r="F1381" s="1" t="n">
        <v>560.01</v>
      </c>
      <c r="G1381" s="1" t="n">
        <v>0</v>
      </c>
      <c r="H1381" s="1" t="s">
        <v>1336</v>
      </c>
      <c r="I1381" s="1" t="n">
        <v>1680.03</v>
      </c>
      <c r="J1381" s="1" t="str">
        <f aca="false">VLOOKUP(B1381,Customers!$A$2:$G$502,6,FALSE())</f>
        <v>Small Business</v>
      </c>
      <c r="K1381" s="1" t="str">
        <f aca="false">VLOOKUP(C1381,Products!$A$2:$E$62,3,FALSE())</f>
        <v>Software</v>
      </c>
      <c r="L1381" s="1" t="str">
        <f aca="false">TEXT(D1381,"yyyy-mm")</f>
        <v>2023-04</v>
      </c>
    </row>
    <row r="1382" customFormat="false" ht="15" hidden="false" customHeight="true" outlineLevel="0" collapsed="false">
      <c r="A1382" s="1" t="n">
        <v>1412</v>
      </c>
      <c r="B1382" s="1" t="n">
        <v>97</v>
      </c>
      <c r="C1382" s="1" t="n">
        <v>46</v>
      </c>
      <c r="D1382" s="1" t="s">
        <v>1494</v>
      </c>
      <c r="E1382" s="1" t="n">
        <v>2</v>
      </c>
      <c r="F1382" s="1" t="n">
        <v>94.92</v>
      </c>
      <c r="G1382" s="1" t="n">
        <v>0.2</v>
      </c>
      <c r="H1382" s="1" t="s">
        <v>1370</v>
      </c>
      <c r="I1382" s="1" t="n">
        <v>151.87</v>
      </c>
      <c r="J1382" s="1" t="str">
        <f aca="false">VLOOKUP(B1382,Customers!$A$2:$G$502,6,FALSE())</f>
        <v>Corporate</v>
      </c>
      <c r="K1382" s="1" t="str">
        <f aca="false">VLOOKUP(C1382,Products!$A$2:$E$62,3,FALSE())</f>
        <v>Software</v>
      </c>
      <c r="L1382" s="1" t="str">
        <f aca="false">TEXT(D1382,"yyyy-mm")</f>
        <v>2023-01</v>
      </c>
    </row>
    <row r="1383" customFormat="false" ht="15" hidden="false" customHeight="true" outlineLevel="0" collapsed="false">
      <c r="A1383" s="1" t="n">
        <v>1413</v>
      </c>
      <c r="B1383" s="1" t="n">
        <v>356</v>
      </c>
      <c r="C1383" s="1" t="n">
        <v>20</v>
      </c>
      <c r="D1383" s="1" t="s">
        <v>1409</v>
      </c>
      <c r="E1383" s="1" t="n">
        <v>8</v>
      </c>
      <c r="F1383" s="1" t="n">
        <v>426.15</v>
      </c>
      <c r="G1383" s="1" t="n">
        <v>0.2</v>
      </c>
      <c r="H1383" s="1" t="s">
        <v>1336</v>
      </c>
      <c r="I1383" s="1" t="n">
        <v>2727.36</v>
      </c>
      <c r="J1383" s="1" t="str">
        <f aca="false">VLOOKUP(B1383,Customers!$A$2:$G$502,6,FALSE())</f>
        <v>Consumer</v>
      </c>
      <c r="K1383" s="1" t="str">
        <f aca="false">VLOOKUP(C1383,Products!$A$2:$E$62,3,FALSE())</f>
        <v>Office Supplies</v>
      </c>
      <c r="L1383" s="1" t="str">
        <f aca="false">TEXT(D1383,"yyyy-mm")</f>
        <v>2023-09</v>
      </c>
    </row>
    <row r="1384" customFormat="false" ht="15" hidden="false" customHeight="true" outlineLevel="0" collapsed="false">
      <c r="A1384" s="1" t="n">
        <v>1414</v>
      </c>
      <c r="B1384" s="1" t="n">
        <v>418</v>
      </c>
      <c r="C1384" s="1" t="n">
        <v>13</v>
      </c>
      <c r="D1384" s="1" t="s">
        <v>1645</v>
      </c>
      <c r="E1384" s="1" t="n">
        <v>5</v>
      </c>
      <c r="F1384" s="1" t="n">
        <v>352.54</v>
      </c>
      <c r="G1384" s="1" t="n">
        <v>0</v>
      </c>
      <c r="H1384" s="1" t="s">
        <v>1336</v>
      </c>
      <c r="I1384" s="1" t="n">
        <v>1762.7</v>
      </c>
      <c r="J1384" s="1" t="str">
        <f aca="false">VLOOKUP(B1384,Customers!$A$2:$G$502,6,FALSE())</f>
        <v>Corporate</v>
      </c>
      <c r="K1384" s="1" t="str">
        <f aca="false">VLOOKUP(C1384,Products!$A$2:$E$62,3,FALSE())</f>
        <v>Electronics</v>
      </c>
      <c r="L1384" s="1" t="str">
        <f aca="false">TEXT(D1384,"yyyy-mm")</f>
        <v>2023-01</v>
      </c>
    </row>
    <row r="1385" customFormat="false" ht="15" hidden="false" customHeight="true" outlineLevel="0" collapsed="false">
      <c r="A1385" s="1" t="n">
        <v>1415</v>
      </c>
      <c r="B1385" s="1" t="n">
        <v>37</v>
      </c>
      <c r="C1385" s="1" t="n">
        <v>5</v>
      </c>
      <c r="D1385" s="1" t="s">
        <v>1443</v>
      </c>
      <c r="E1385" s="1" t="n">
        <v>1</v>
      </c>
      <c r="F1385" s="1" t="n">
        <v>439.06</v>
      </c>
      <c r="G1385" s="1" t="n">
        <v>0.05</v>
      </c>
      <c r="H1385" s="1" t="s">
        <v>1370</v>
      </c>
      <c r="I1385" s="1" t="n">
        <v>417.11</v>
      </c>
      <c r="J1385" s="1" t="str">
        <f aca="false">VLOOKUP(B1385,Customers!$A$2:$G$502,6,FALSE())</f>
        <v>Corporate</v>
      </c>
      <c r="K1385" s="1" t="str">
        <f aca="false">VLOOKUP(C1385,Products!$A$2:$E$62,3,FALSE())</f>
        <v>Electronics</v>
      </c>
      <c r="L1385" s="1" t="str">
        <f aca="false">TEXT(D1385,"yyyy-mm")</f>
        <v>2023-09</v>
      </c>
    </row>
    <row r="1386" customFormat="false" ht="15" hidden="false" customHeight="true" outlineLevel="0" collapsed="false">
      <c r="A1386" s="1" t="n">
        <v>1416</v>
      </c>
      <c r="B1386" s="1" t="n">
        <v>358</v>
      </c>
      <c r="C1386" s="1" t="n">
        <v>39</v>
      </c>
      <c r="D1386" s="1" t="s">
        <v>689</v>
      </c>
      <c r="E1386" s="1" t="n">
        <v>3</v>
      </c>
      <c r="F1386" s="1" t="n">
        <v>400.02</v>
      </c>
      <c r="G1386" s="1" t="n">
        <v>0</v>
      </c>
      <c r="H1386" s="1" t="s">
        <v>1336</v>
      </c>
      <c r="I1386" s="1" t="n">
        <v>1200.06</v>
      </c>
      <c r="J1386" s="1" t="str">
        <f aca="false">VLOOKUP(B1386,Customers!$A$2:$G$502,6,FALSE())</f>
        <v>Corporate</v>
      </c>
      <c r="K1386" s="1" t="str">
        <f aca="false">VLOOKUP(C1386,Products!$A$2:$E$62,3,FALSE())</f>
        <v>Software</v>
      </c>
      <c r="L1386" s="1" t="str">
        <f aca="false">TEXT(D1386,"yyyy-mm")</f>
        <v>2023-11</v>
      </c>
    </row>
    <row r="1387" customFormat="false" ht="15" hidden="false" customHeight="true" outlineLevel="0" collapsed="false">
      <c r="A1387" s="1" t="n">
        <v>1417</v>
      </c>
      <c r="B1387" s="1" t="n">
        <v>245</v>
      </c>
      <c r="C1387" s="1" t="n">
        <v>41</v>
      </c>
      <c r="D1387" s="1" t="s">
        <v>530</v>
      </c>
      <c r="E1387" s="1" t="n">
        <v>8</v>
      </c>
      <c r="F1387" s="1" t="n">
        <v>594.54</v>
      </c>
      <c r="G1387" s="1" t="n">
        <v>0.1</v>
      </c>
      <c r="H1387" s="1" t="s">
        <v>1336</v>
      </c>
      <c r="I1387" s="1" t="n">
        <v>4280.69</v>
      </c>
      <c r="J1387" s="1" t="str">
        <f aca="false">VLOOKUP(B1387,Customers!$A$2:$G$502,6,FALSE())</f>
        <v>Consumer</v>
      </c>
      <c r="K1387" s="1" t="str">
        <f aca="false">VLOOKUP(C1387,Products!$A$2:$E$62,3,FALSE())</f>
        <v>Software</v>
      </c>
      <c r="L1387" s="1" t="str">
        <f aca="false">TEXT(D1387,"yyyy-mm")</f>
        <v>2024-09</v>
      </c>
    </row>
    <row r="1388" customFormat="false" ht="15" hidden="false" customHeight="true" outlineLevel="0" collapsed="false">
      <c r="A1388" s="1" t="n">
        <v>1418</v>
      </c>
      <c r="B1388" s="1" t="n">
        <v>16</v>
      </c>
      <c r="C1388" s="1" t="n">
        <v>17</v>
      </c>
      <c r="D1388" s="1" t="s">
        <v>606</v>
      </c>
      <c r="E1388" s="1" t="n">
        <v>4</v>
      </c>
      <c r="F1388" s="1" t="n">
        <v>65.61</v>
      </c>
      <c r="G1388" s="1" t="n">
        <v>0.05</v>
      </c>
      <c r="H1388" s="1" t="s">
        <v>1336</v>
      </c>
      <c r="I1388" s="1" t="n">
        <v>249.32</v>
      </c>
      <c r="J1388" s="1" t="str">
        <f aca="false">VLOOKUP(B1388,Customers!$A$2:$G$502,6,FALSE())</f>
        <v>Small Business</v>
      </c>
      <c r="K1388" s="1" t="str">
        <f aca="false">VLOOKUP(C1388,Products!$A$2:$E$62,3,FALSE())</f>
        <v>Electronics</v>
      </c>
      <c r="L1388" s="1" t="str">
        <f aca="false">TEXT(D1388,"yyyy-mm")</f>
        <v>2024-12</v>
      </c>
    </row>
    <row r="1389" customFormat="false" ht="15" hidden="false" customHeight="true" outlineLevel="0" collapsed="false">
      <c r="A1389" s="1" t="n">
        <v>1419</v>
      </c>
      <c r="B1389" s="1" t="n">
        <v>353</v>
      </c>
      <c r="C1389" s="1" t="n">
        <v>38</v>
      </c>
      <c r="D1389" s="1" t="s">
        <v>348</v>
      </c>
      <c r="E1389" s="1" t="n">
        <v>7</v>
      </c>
      <c r="F1389" s="1" t="n">
        <v>521.63</v>
      </c>
      <c r="G1389" s="1" t="n">
        <v>0</v>
      </c>
      <c r="H1389" s="1" t="s">
        <v>1370</v>
      </c>
      <c r="I1389" s="1" t="n">
        <v>3651.41</v>
      </c>
      <c r="J1389" s="1" t="str">
        <f aca="false">VLOOKUP(B1389,Customers!$A$2:$G$502,6,FALSE())</f>
        <v>Corporate</v>
      </c>
      <c r="K1389" s="1" t="str">
        <f aca="false">VLOOKUP(C1389,Products!$A$2:$E$62,3,FALSE())</f>
        <v>Software</v>
      </c>
      <c r="L1389" s="1" t="str">
        <f aca="false">TEXT(D1389,"yyyy-mm")</f>
        <v>2024-09</v>
      </c>
    </row>
    <row r="1390" customFormat="false" ht="15" hidden="false" customHeight="true" outlineLevel="0" collapsed="false">
      <c r="A1390" s="1" t="n">
        <v>1420</v>
      </c>
      <c r="B1390" s="1" t="n">
        <v>493</v>
      </c>
      <c r="C1390" s="1" t="n">
        <v>32</v>
      </c>
      <c r="D1390" s="1" t="s">
        <v>1411</v>
      </c>
      <c r="E1390" s="1" t="n">
        <v>2</v>
      </c>
      <c r="F1390" s="1" t="n">
        <v>492.27</v>
      </c>
      <c r="G1390" s="1" t="n">
        <v>0.05</v>
      </c>
      <c r="H1390" s="1" t="s">
        <v>1336</v>
      </c>
      <c r="I1390" s="1" t="n">
        <v>935.31</v>
      </c>
      <c r="J1390" s="1" t="str">
        <f aca="false">VLOOKUP(B1390,Customers!$A$2:$G$502,6,FALSE())</f>
        <v>Corporate</v>
      </c>
      <c r="K1390" s="1" t="str">
        <f aca="false">VLOOKUP(C1390,Products!$A$2:$E$62,3,FALSE())</f>
        <v>Office Supplies</v>
      </c>
      <c r="L1390" s="1" t="str">
        <f aca="false">TEXT(D1390,"yyyy-mm")</f>
        <v>2023-03</v>
      </c>
    </row>
    <row r="1391" customFormat="false" ht="15" hidden="false" customHeight="true" outlineLevel="0" collapsed="false">
      <c r="A1391" s="1" t="n">
        <v>1421</v>
      </c>
      <c r="B1391" s="1" t="n">
        <v>324</v>
      </c>
      <c r="C1391" s="1" t="n">
        <v>60</v>
      </c>
      <c r="D1391" s="1" t="s">
        <v>1352</v>
      </c>
      <c r="E1391" s="1" t="n">
        <v>7</v>
      </c>
      <c r="F1391" s="1" t="n">
        <v>584.98</v>
      </c>
      <c r="G1391" s="1" t="n">
        <v>0.05</v>
      </c>
      <c r="H1391" s="1" t="s">
        <v>1336</v>
      </c>
      <c r="I1391" s="1" t="n">
        <v>3890.12</v>
      </c>
      <c r="J1391" s="1" t="str">
        <f aca="false">VLOOKUP(B1391,Customers!$A$2:$G$502,6,FALSE())</f>
        <v>Consumer</v>
      </c>
      <c r="K1391" s="1" t="str">
        <f aca="false">VLOOKUP(C1391,Products!$A$2:$E$62,3,FALSE())</f>
        <v>Furniture</v>
      </c>
      <c r="L1391" s="1" t="str">
        <f aca="false">TEXT(D1391,"yyyy-mm")</f>
        <v>2023-04</v>
      </c>
    </row>
    <row r="1392" customFormat="false" ht="15" hidden="false" customHeight="true" outlineLevel="0" collapsed="false">
      <c r="A1392" s="1" t="n">
        <v>1422</v>
      </c>
      <c r="B1392" s="1" t="n">
        <v>166</v>
      </c>
      <c r="C1392" s="1" t="n">
        <v>20</v>
      </c>
      <c r="D1392" s="1" t="s">
        <v>1611</v>
      </c>
      <c r="E1392" s="1" t="n">
        <v>5</v>
      </c>
      <c r="F1392" s="1" t="n">
        <v>426.15</v>
      </c>
      <c r="G1392" s="1" t="n">
        <v>0.2</v>
      </c>
      <c r="H1392" s="1" t="s">
        <v>1336</v>
      </c>
      <c r="I1392" s="1" t="n">
        <v>1704.6</v>
      </c>
      <c r="J1392" s="1" t="str">
        <f aca="false">VLOOKUP(B1392,Customers!$A$2:$G$502,6,FALSE())</f>
        <v>Small Business</v>
      </c>
      <c r="K1392" s="1" t="str">
        <f aca="false">VLOOKUP(C1392,Products!$A$2:$E$62,3,FALSE())</f>
        <v>Office Supplies</v>
      </c>
      <c r="L1392" s="1" t="str">
        <f aca="false">TEXT(D1392,"yyyy-mm")</f>
        <v>2024-07</v>
      </c>
    </row>
    <row r="1393" customFormat="false" ht="15" hidden="false" customHeight="true" outlineLevel="0" collapsed="false">
      <c r="A1393" s="1" t="n">
        <v>1423</v>
      </c>
      <c r="B1393" s="1" t="n">
        <v>351</v>
      </c>
      <c r="C1393" s="1" t="n">
        <v>9</v>
      </c>
      <c r="D1393" s="1" t="s">
        <v>1502</v>
      </c>
      <c r="E1393" s="1" t="n">
        <v>5</v>
      </c>
      <c r="F1393" s="1" t="n">
        <v>203.1</v>
      </c>
      <c r="G1393" s="1" t="n">
        <v>0.2</v>
      </c>
      <c r="H1393" s="1" t="s">
        <v>1336</v>
      </c>
      <c r="I1393" s="1" t="n">
        <v>812.4</v>
      </c>
      <c r="J1393" s="1" t="str">
        <f aca="false">VLOOKUP(B1393,Customers!$A$2:$G$502,6,FALSE())</f>
        <v>Small Business</v>
      </c>
      <c r="K1393" s="1" t="str">
        <f aca="false">VLOOKUP(C1393,Products!$A$2:$E$62,3,FALSE())</f>
        <v>Electronics</v>
      </c>
      <c r="L1393" s="1" t="str">
        <f aca="false">TEXT(D1393,"yyyy-mm")</f>
        <v>2024-08</v>
      </c>
    </row>
    <row r="1394" customFormat="false" ht="15" hidden="false" customHeight="true" outlineLevel="0" collapsed="false">
      <c r="A1394" s="1" t="n">
        <v>1424</v>
      </c>
      <c r="B1394" s="1" t="n">
        <v>93</v>
      </c>
      <c r="C1394" s="1" t="n">
        <v>30</v>
      </c>
      <c r="D1394" s="1" t="s">
        <v>1389</v>
      </c>
      <c r="E1394" s="1" t="n">
        <v>6</v>
      </c>
      <c r="F1394" s="1" t="n">
        <v>33.32</v>
      </c>
      <c r="G1394" s="1" t="n">
        <v>0.15</v>
      </c>
      <c r="H1394" s="1" t="s">
        <v>1336</v>
      </c>
      <c r="I1394" s="1" t="n">
        <v>169.93</v>
      </c>
      <c r="J1394" s="1" t="str">
        <f aca="false">VLOOKUP(B1394,Customers!$A$2:$G$502,6,FALSE())</f>
        <v>Consumer</v>
      </c>
      <c r="K1394" s="1" t="str">
        <f aca="false">VLOOKUP(C1394,Products!$A$2:$E$62,3,FALSE())</f>
        <v>Office Supplies</v>
      </c>
      <c r="L1394" s="1" t="str">
        <f aca="false">TEXT(D1394,"yyyy-mm")</f>
        <v>2023-10</v>
      </c>
    </row>
    <row r="1395" customFormat="false" ht="15" hidden="false" customHeight="true" outlineLevel="0" collapsed="false">
      <c r="A1395" s="1" t="n">
        <v>1425</v>
      </c>
      <c r="B1395" s="1" t="n">
        <v>130</v>
      </c>
      <c r="C1395" s="1" t="n">
        <v>38</v>
      </c>
      <c r="D1395" s="1" t="s">
        <v>1532</v>
      </c>
      <c r="E1395" s="1" t="n">
        <v>9</v>
      </c>
      <c r="F1395" s="1" t="n">
        <v>521.63</v>
      </c>
      <c r="G1395" s="1" t="n">
        <v>0.15</v>
      </c>
      <c r="H1395" s="1" t="s">
        <v>1336</v>
      </c>
      <c r="I1395" s="1" t="n">
        <v>3990.47</v>
      </c>
      <c r="J1395" s="1" t="str">
        <f aca="false">VLOOKUP(B1395,Customers!$A$2:$G$502,6,FALSE())</f>
        <v>Consumer</v>
      </c>
      <c r="K1395" s="1" t="str">
        <f aca="false">VLOOKUP(C1395,Products!$A$2:$E$62,3,FALSE())</f>
        <v>Software</v>
      </c>
      <c r="L1395" s="1" t="str">
        <f aca="false">TEXT(D1395,"yyyy-mm")</f>
        <v>2023-05</v>
      </c>
    </row>
    <row r="1396" customFormat="false" ht="15" hidden="false" customHeight="true" outlineLevel="0" collapsed="false">
      <c r="A1396" s="1" t="n">
        <v>1426</v>
      </c>
      <c r="B1396" s="1" t="n">
        <v>21</v>
      </c>
      <c r="C1396" s="1" t="n">
        <v>19</v>
      </c>
      <c r="D1396" s="1" t="s">
        <v>1529</v>
      </c>
      <c r="E1396" s="1" t="n">
        <v>6</v>
      </c>
      <c r="F1396" s="1" t="n">
        <v>163.64</v>
      </c>
      <c r="G1396" s="1" t="n">
        <v>0</v>
      </c>
      <c r="H1396" s="1" t="s">
        <v>1336</v>
      </c>
      <c r="I1396" s="1" t="n">
        <v>981.84</v>
      </c>
      <c r="J1396" s="1" t="str">
        <f aca="false">VLOOKUP(B1396,Customers!$A$2:$G$502,6,FALSE())</f>
        <v>Corporate</v>
      </c>
      <c r="K1396" s="1" t="str">
        <f aca="false">VLOOKUP(C1396,Products!$A$2:$E$62,3,FALSE())</f>
        <v>Office Supplies</v>
      </c>
      <c r="L1396" s="1" t="str">
        <f aca="false">TEXT(D1396,"yyyy-mm")</f>
        <v>2024-09</v>
      </c>
    </row>
    <row r="1397" customFormat="false" ht="15" hidden="false" customHeight="true" outlineLevel="0" collapsed="false">
      <c r="A1397" s="1" t="n">
        <v>1427</v>
      </c>
      <c r="B1397" s="1" t="n">
        <v>247</v>
      </c>
      <c r="C1397" s="1" t="n">
        <v>32</v>
      </c>
      <c r="D1397" s="1" t="s">
        <v>1646</v>
      </c>
      <c r="E1397" s="1" t="n">
        <v>8</v>
      </c>
      <c r="F1397" s="1" t="n">
        <v>492.27</v>
      </c>
      <c r="G1397" s="1" t="n">
        <v>0</v>
      </c>
      <c r="H1397" s="1" t="s">
        <v>1336</v>
      </c>
      <c r="I1397" s="1" t="n">
        <v>3938.16</v>
      </c>
      <c r="J1397" s="1" t="str">
        <f aca="false">VLOOKUP(B1397,Customers!$A$2:$G$502,6,FALSE())</f>
        <v>Small Business</v>
      </c>
      <c r="K1397" s="1" t="str">
        <f aca="false">VLOOKUP(C1397,Products!$A$2:$E$62,3,FALSE())</f>
        <v>Office Supplies</v>
      </c>
      <c r="L1397" s="1" t="str">
        <f aca="false">TEXT(D1397,"yyyy-mm")</f>
        <v>2023-09</v>
      </c>
    </row>
    <row r="1398" customFormat="false" ht="15" hidden="false" customHeight="true" outlineLevel="0" collapsed="false">
      <c r="A1398" s="1" t="n">
        <v>1428</v>
      </c>
      <c r="B1398" s="1" t="n">
        <v>193</v>
      </c>
      <c r="C1398" s="1" t="n">
        <v>3</v>
      </c>
      <c r="D1398" s="1" t="s">
        <v>1366</v>
      </c>
      <c r="E1398" s="1" t="n">
        <v>7</v>
      </c>
      <c r="F1398" s="1" t="n">
        <v>89.39</v>
      </c>
      <c r="G1398" s="1" t="n">
        <v>0</v>
      </c>
      <c r="H1398" s="1" t="s">
        <v>1336</v>
      </c>
      <c r="I1398" s="1" t="n">
        <v>625.73</v>
      </c>
      <c r="J1398" s="1" t="str">
        <f aca="false">VLOOKUP(B1398,Customers!$A$2:$G$502,6,FALSE())</f>
        <v>Consumer</v>
      </c>
      <c r="K1398" s="1" t="str">
        <f aca="false">VLOOKUP(C1398,Products!$A$2:$E$62,3,FALSE())</f>
        <v>Electronics</v>
      </c>
      <c r="L1398" s="1" t="str">
        <f aca="false">TEXT(D1398,"yyyy-mm")</f>
        <v>2023-11</v>
      </c>
    </row>
    <row r="1399" customFormat="false" ht="15" hidden="false" customHeight="true" outlineLevel="0" collapsed="false">
      <c r="A1399" s="1" t="n">
        <v>1429</v>
      </c>
      <c r="B1399" s="1" t="n">
        <v>366</v>
      </c>
      <c r="C1399" s="1" t="n">
        <v>29</v>
      </c>
      <c r="D1399" s="1" t="s">
        <v>606</v>
      </c>
      <c r="E1399" s="1" t="n">
        <v>9</v>
      </c>
      <c r="F1399" s="1" t="n">
        <v>54.62</v>
      </c>
      <c r="G1399" s="1" t="n">
        <v>0</v>
      </c>
      <c r="H1399" s="1" t="s">
        <v>1336</v>
      </c>
      <c r="I1399" s="1" t="n">
        <v>491.58</v>
      </c>
      <c r="J1399" s="1" t="str">
        <f aca="false">VLOOKUP(B1399,Customers!$A$2:$G$502,6,FALSE())</f>
        <v>Corporate</v>
      </c>
      <c r="K1399" s="1" t="str">
        <f aca="false">VLOOKUP(C1399,Products!$A$2:$E$62,3,FALSE())</f>
        <v>Office Supplies</v>
      </c>
      <c r="L1399" s="1" t="str">
        <f aca="false">TEXT(D1399,"yyyy-mm")</f>
        <v>2024-12</v>
      </c>
    </row>
    <row r="1400" customFormat="false" ht="15" hidden="false" customHeight="true" outlineLevel="0" collapsed="false">
      <c r="A1400" s="1" t="n">
        <v>1430</v>
      </c>
      <c r="B1400" s="1" t="n">
        <v>289</v>
      </c>
      <c r="C1400" s="1" t="n">
        <v>2</v>
      </c>
      <c r="D1400" s="1" t="s">
        <v>130</v>
      </c>
      <c r="E1400" s="1" t="n">
        <v>4</v>
      </c>
      <c r="F1400" s="1" t="n">
        <v>498.15</v>
      </c>
      <c r="G1400" s="1" t="n">
        <v>0</v>
      </c>
      <c r="H1400" s="1" t="s">
        <v>1336</v>
      </c>
      <c r="I1400" s="1" t="n">
        <v>1992.6</v>
      </c>
      <c r="J1400" s="1" t="str">
        <f aca="false">VLOOKUP(B1400,Customers!$A$2:$G$502,6,FALSE())</f>
        <v>Consumer</v>
      </c>
      <c r="K1400" s="1" t="str">
        <f aca="false">VLOOKUP(C1400,Products!$A$2:$E$62,3,FALSE())</f>
        <v>Electronics</v>
      </c>
      <c r="L1400" s="1" t="str">
        <f aca="false">TEXT(D1400,"yyyy-mm")</f>
        <v>2024-03</v>
      </c>
    </row>
    <row r="1401" customFormat="false" ht="15" hidden="false" customHeight="true" outlineLevel="0" collapsed="false">
      <c r="A1401" s="1" t="n">
        <v>1431</v>
      </c>
      <c r="B1401" s="1" t="n">
        <v>356</v>
      </c>
      <c r="C1401" s="1" t="n">
        <v>24</v>
      </c>
      <c r="D1401" s="1" t="s">
        <v>363</v>
      </c>
      <c r="E1401" s="1" t="n">
        <v>2</v>
      </c>
      <c r="F1401" s="1" t="n">
        <v>207.34</v>
      </c>
      <c r="G1401" s="1" t="n">
        <v>0.1</v>
      </c>
      <c r="H1401" s="1" t="s">
        <v>1336</v>
      </c>
      <c r="I1401" s="1" t="n">
        <v>373.21</v>
      </c>
      <c r="J1401" s="1" t="str">
        <f aca="false">VLOOKUP(B1401,Customers!$A$2:$G$502,6,FALSE())</f>
        <v>Consumer</v>
      </c>
      <c r="K1401" s="1" t="str">
        <f aca="false">VLOOKUP(C1401,Products!$A$2:$E$62,3,FALSE())</f>
        <v>Office Supplies</v>
      </c>
      <c r="L1401" s="1" t="str">
        <f aca="false">TEXT(D1401,"yyyy-mm")</f>
        <v>2024-10</v>
      </c>
    </row>
    <row r="1402" customFormat="false" ht="15" hidden="false" customHeight="true" outlineLevel="0" collapsed="false">
      <c r="A1402" s="1" t="n">
        <v>1432</v>
      </c>
      <c r="B1402" s="1" t="n">
        <v>217</v>
      </c>
      <c r="C1402" s="1" t="n">
        <v>5</v>
      </c>
      <c r="D1402" s="1" t="s">
        <v>1631</v>
      </c>
      <c r="E1402" s="1" t="n">
        <v>7</v>
      </c>
      <c r="F1402" s="1" t="n">
        <v>439.06</v>
      </c>
      <c r="G1402" s="1" t="n">
        <v>0</v>
      </c>
      <c r="H1402" s="1" t="s">
        <v>1336</v>
      </c>
      <c r="I1402" s="1" t="n">
        <v>3073.42</v>
      </c>
      <c r="J1402" s="1" t="str">
        <f aca="false">VLOOKUP(B1402,Customers!$A$2:$G$502,6,FALSE())</f>
        <v>Consumer</v>
      </c>
      <c r="K1402" s="1" t="str">
        <f aca="false">VLOOKUP(C1402,Products!$A$2:$E$62,3,FALSE())</f>
        <v>Electronics</v>
      </c>
      <c r="L1402" s="1" t="str">
        <f aca="false">TEXT(D1402,"yyyy-mm")</f>
        <v>2023-03</v>
      </c>
    </row>
    <row r="1403" customFormat="false" ht="15" hidden="false" customHeight="true" outlineLevel="0" collapsed="false">
      <c r="A1403" s="1" t="n">
        <v>1433</v>
      </c>
      <c r="B1403" s="1" t="n">
        <v>471</v>
      </c>
      <c r="C1403" s="1" t="n">
        <v>16</v>
      </c>
      <c r="D1403" s="1" t="s">
        <v>496</v>
      </c>
      <c r="E1403" s="1" t="n">
        <v>6</v>
      </c>
      <c r="F1403" s="1" t="n">
        <v>330.91</v>
      </c>
      <c r="G1403" s="1" t="n">
        <v>0</v>
      </c>
      <c r="H1403" s="1" t="s">
        <v>1336</v>
      </c>
      <c r="I1403" s="1" t="n">
        <v>1985.46</v>
      </c>
      <c r="J1403" s="1" t="str">
        <f aca="false">VLOOKUP(B1403,Customers!$A$2:$G$502,6,FALSE())</f>
        <v>Small Business</v>
      </c>
      <c r="K1403" s="1" t="str">
        <f aca="false">VLOOKUP(C1403,Products!$A$2:$E$62,3,FALSE())</f>
        <v>Electronics</v>
      </c>
      <c r="L1403" s="1" t="str">
        <f aca="false">TEXT(D1403,"yyyy-mm")</f>
        <v>2023-05</v>
      </c>
    </row>
    <row r="1404" customFormat="false" ht="15" hidden="false" customHeight="true" outlineLevel="0" collapsed="false">
      <c r="A1404" s="1" t="n">
        <v>1434</v>
      </c>
      <c r="B1404" s="1" t="n">
        <v>338</v>
      </c>
      <c r="C1404" s="1" t="n">
        <v>35</v>
      </c>
      <c r="D1404" s="1" t="s">
        <v>1103</v>
      </c>
      <c r="E1404" s="1" t="n">
        <v>1</v>
      </c>
      <c r="F1404" s="1" t="n">
        <v>75.78</v>
      </c>
      <c r="G1404" s="1" t="n">
        <v>0.1</v>
      </c>
      <c r="H1404" s="1" t="s">
        <v>1336</v>
      </c>
      <c r="I1404" s="1" t="n">
        <v>68.2</v>
      </c>
      <c r="J1404" s="1" t="str">
        <f aca="false">VLOOKUP(B1404,Customers!$A$2:$G$502,6,FALSE())</f>
        <v>Corporate</v>
      </c>
      <c r="K1404" s="1" t="str">
        <f aca="false">VLOOKUP(C1404,Products!$A$2:$E$62,3,FALSE())</f>
        <v>Software</v>
      </c>
      <c r="L1404" s="1" t="str">
        <f aca="false">TEXT(D1404,"yyyy-mm")</f>
        <v>2024-01</v>
      </c>
    </row>
    <row r="1405" customFormat="false" ht="15" hidden="false" customHeight="true" outlineLevel="0" collapsed="false">
      <c r="A1405" s="1" t="n">
        <v>1435</v>
      </c>
      <c r="B1405" s="1" t="n">
        <v>212</v>
      </c>
      <c r="C1405" s="1" t="n">
        <v>8</v>
      </c>
      <c r="D1405" s="1" t="s">
        <v>1624</v>
      </c>
      <c r="E1405" s="1" t="n">
        <v>9</v>
      </c>
      <c r="F1405" s="1" t="n">
        <v>104.4</v>
      </c>
      <c r="G1405" s="1" t="n">
        <v>0</v>
      </c>
      <c r="H1405" s="1" t="s">
        <v>1336</v>
      </c>
      <c r="I1405" s="1" t="n">
        <v>939.6</v>
      </c>
      <c r="J1405" s="1" t="str">
        <f aca="false">VLOOKUP(B1405,Customers!$A$2:$G$502,6,FALSE())</f>
        <v>Consumer</v>
      </c>
      <c r="K1405" s="1" t="str">
        <f aca="false">VLOOKUP(C1405,Products!$A$2:$E$62,3,FALSE())</f>
        <v>Electronics</v>
      </c>
      <c r="L1405" s="1" t="str">
        <f aca="false">TEXT(D1405,"yyyy-mm")</f>
        <v>2024-07</v>
      </c>
    </row>
    <row r="1406" customFormat="false" ht="15" hidden="false" customHeight="true" outlineLevel="0" collapsed="false">
      <c r="A1406" s="1" t="n">
        <v>1436</v>
      </c>
      <c r="B1406" s="1" t="n">
        <v>6</v>
      </c>
      <c r="C1406" s="1" t="n">
        <v>24</v>
      </c>
      <c r="D1406" s="1" t="s">
        <v>1356</v>
      </c>
      <c r="E1406" s="1" t="n">
        <v>9</v>
      </c>
      <c r="F1406" s="1" t="n">
        <v>207.34</v>
      </c>
      <c r="G1406" s="1" t="n">
        <v>0.1</v>
      </c>
      <c r="H1406" s="1" t="s">
        <v>1336</v>
      </c>
      <c r="I1406" s="1" t="n">
        <v>1679.45</v>
      </c>
      <c r="J1406" s="1" t="str">
        <f aca="false">VLOOKUP(B1406,Customers!$A$2:$G$502,6,FALSE())</f>
        <v>Corporate</v>
      </c>
      <c r="K1406" s="1" t="str">
        <f aca="false">VLOOKUP(C1406,Products!$A$2:$E$62,3,FALSE())</f>
        <v>Office Supplies</v>
      </c>
      <c r="L1406" s="1" t="str">
        <f aca="false">TEXT(D1406,"yyyy-mm")</f>
        <v>2023-03</v>
      </c>
    </row>
    <row r="1407" customFormat="false" ht="15" hidden="false" customHeight="true" outlineLevel="0" collapsed="false">
      <c r="A1407" s="1" t="n">
        <v>1437</v>
      </c>
      <c r="B1407" s="1" t="n">
        <v>5</v>
      </c>
      <c r="C1407" s="1" t="n">
        <v>20</v>
      </c>
      <c r="D1407" s="1" t="s">
        <v>496</v>
      </c>
      <c r="E1407" s="1" t="n">
        <v>2</v>
      </c>
      <c r="F1407" s="1" t="n">
        <v>426.15</v>
      </c>
      <c r="G1407" s="1" t="n">
        <v>0</v>
      </c>
      <c r="H1407" s="1" t="s">
        <v>1346</v>
      </c>
      <c r="I1407" s="1" t="n">
        <v>852.3</v>
      </c>
      <c r="J1407" s="1" t="str">
        <f aca="false">VLOOKUP(B1407,Customers!$A$2:$G$502,6,FALSE())</f>
        <v>Small Business</v>
      </c>
      <c r="K1407" s="1" t="str">
        <f aca="false">VLOOKUP(C1407,Products!$A$2:$E$62,3,FALSE())</f>
        <v>Office Supplies</v>
      </c>
      <c r="L1407" s="1" t="str">
        <f aca="false">TEXT(D1407,"yyyy-mm")</f>
        <v>2023-05</v>
      </c>
    </row>
    <row r="1408" customFormat="false" ht="15" hidden="false" customHeight="true" outlineLevel="0" collapsed="false">
      <c r="A1408" s="1" t="n">
        <v>1438</v>
      </c>
      <c r="B1408" s="1" t="n">
        <v>244</v>
      </c>
      <c r="C1408" s="1" t="n">
        <v>31</v>
      </c>
      <c r="D1408" s="1" t="s">
        <v>623</v>
      </c>
      <c r="E1408" s="1" t="n">
        <v>3</v>
      </c>
      <c r="F1408" s="1" t="n">
        <v>224.86</v>
      </c>
      <c r="G1408" s="1" t="n">
        <v>0</v>
      </c>
      <c r="H1408" s="1" t="s">
        <v>1336</v>
      </c>
      <c r="I1408" s="1" t="n">
        <v>674.58</v>
      </c>
      <c r="J1408" s="1" t="str">
        <f aca="false">VLOOKUP(B1408,Customers!$A$2:$G$502,6,FALSE())</f>
        <v>Small Business</v>
      </c>
      <c r="K1408" s="1" t="str">
        <f aca="false">VLOOKUP(C1408,Products!$A$2:$E$62,3,FALSE())</f>
        <v>Office Supplies</v>
      </c>
      <c r="L1408" s="1" t="str">
        <f aca="false">TEXT(D1408,"yyyy-mm")</f>
        <v>2024-05</v>
      </c>
    </row>
    <row r="1409" customFormat="false" ht="15" hidden="false" customHeight="true" outlineLevel="0" collapsed="false">
      <c r="A1409" s="1" t="n">
        <v>1439</v>
      </c>
      <c r="B1409" s="1" t="n">
        <v>412</v>
      </c>
      <c r="C1409" s="1" t="n">
        <v>5</v>
      </c>
      <c r="D1409" s="1" t="s">
        <v>1503</v>
      </c>
      <c r="E1409" s="1" t="n">
        <v>5</v>
      </c>
      <c r="F1409" s="1" t="n">
        <v>439.06</v>
      </c>
      <c r="G1409" s="1" t="n">
        <v>0.15</v>
      </c>
      <c r="H1409" s="1" t="s">
        <v>1336</v>
      </c>
      <c r="I1409" s="1" t="n">
        <v>1866</v>
      </c>
      <c r="J1409" s="1" t="str">
        <f aca="false">VLOOKUP(B1409,Customers!$A$2:$G$502,6,FALSE())</f>
        <v>Corporate</v>
      </c>
      <c r="K1409" s="1" t="str">
        <f aca="false">VLOOKUP(C1409,Products!$A$2:$E$62,3,FALSE())</f>
        <v>Electronics</v>
      </c>
      <c r="L1409" s="1" t="str">
        <f aca="false">TEXT(D1409,"yyyy-mm")</f>
        <v>2023-05</v>
      </c>
    </row>
    <row r="1410" customFormat="false" ht="15" hidden="false" customHeight="true" outlineLevel="0" collapsed="false">
      <c r="A1410" s="1" t="n">
        <v>1440</v>
      </c>
      <c r="B1410" s="1" t="n">
        <v>263</v>
      </c>
      <c r="C1410" s="1" t="n">
        <v>5</v>
      </c>
      <c r="D1410" s="1" t="s">
        <v>732</v>
      </c>
      <c r="E1410" s="1" t="n">
        <v>5</v>
      </c>
      <c r="F1410" s="1" t="n">
        <v>439.06</v>
      </c>
      <c r="G1410" s="1" t="n">
        <v>0</v>
      </c>
      <c r="H1410" s="1" t="s">
        <v>1336</v>
      </c>
      <c r="I1410" s="1" t="n">
        <v>2195.3</v>
      </c>
      <c r="J1410" s="1" t="str">
        <f aca="false">VLOOKUP(B1410,Customers!$A$2:$G$502,6,FALSE())</f>
        <v>Consumer</v>
      </c>
      <c r="K1410" s="1" t="str">
        <f aca="false">VLOOKUP(C1410,Products!$A$2:$E$62,3,FALSE())</f>
        <v>Electronics</v>
      </c>
      <c r="L1410" s="1" t="str">
        <f aca="false">TEXT(D1410,"yyyy-mm")</f>
        <v>2024-08</v>
      </c>
    </row>
    <row r="1411" customFormat="false" ht="15" hidden="false" customHeight="true" outlineLevel="0" collapsed="false">
      <c r="A1411" s="1" t="n">
        <v>1441</v>
      </c>
      <c r="B1411" s="1" t="n">
        <v>116</v>
      </c>
      <c r="C1411" s="1" t="n">
        <v>53</v>
      </c>
      <c r="D1411" s="1" t="s">
        <v>807</v>
      </c>
      <c r="E1411" s="1" t="n">
        <v>1</v>
      </c>
      <c r="F1411" s="1" t="n">
        <v>509.98</v>
      </c>
      <c r="G1411" s="1" t="n">
        <v>0.05</v>
      </c>
      <c r="H1411" s="1" t="s">
        <v>1336</v>
      </c>
      <c r="I1411" s="1" t="n">
        <v>484.48</v>
      </c>
      <c r="J1411" s="1" t="str">
        <f aca="false">VLOOKUP(B1411,Customers!$A$2:$G$502,6,FALSE())</f>
        <v>Corporate</v>
      </c>
      <c r="K1411" s="1" t="str">
        <f aca="false">VLOOKUP(C1411,Products!$A$2:$E$62,3,FALSE())</f>
        <v>Software</v>
      </c>
      <c r="L1411" s="1" t="str">
        <f aca="false">TEXT(D1411,"yyyy-mm")</f>
        <v>2023-09</v>
      </c>
    </row>
    <row r="1412" customFormat="false" ht="15" hidden="false" customHeight="true" outlineLevel="0" collapsed="false">
      <c r="A1412" s="1" t="n">
        <v>1442</v>
      </c>
      <c r="B1412" s="1" t="n">
        <v>15</v>
      </c>
      <c r="C1412" s="1" t="n">
        <v>13</v>
      </c>
      <c r="D1412" s="1" t="s">
        <v>1567</v>
      </c>
      <c r="E1412" s="1" t="n">
        <v>8</v>
      </c>
      <c r="F1412" s="1" t="n">
        <v>352.54</v>
      </c>
      <c r="G1412" s="1" t="n">
        <v>0.15</v>
      </c>
      <c r="H1412" s="1" t="s">
        <v>1346</v>
      </c>
      <c r="I1412" s="1" t="n">
        <v>2397.27</v>
      </c>
      <c r="J1412" s="1" t="str">
        <f aca="false">VLOOKUP(B1412,Customers!$A$2:$G$502,6,FALSE())</f>
        <v>Corporate</v>
      </c>
      <c r="K1412" s="1" t="str">
        <f aca="false">VLOOKUP(C1412,Products!$A$2:$E$62,3,FALSE())</f>
        <v>Electronics</v>
      </c>
      <c r="L1412" s="1" t="str">
        <f aca="false">TEXT(D1412,"yyyy-mm")</f>
        <v>2024-11</v>
      </c>
    </row>
    <row r="1413" customFormat="false" ht="15" hidden="false" customHeight="true" outlineLevel="0" collapsed="false">
      <c r="A1413" s="1" t="n">
        <v>1443</v>
      </c>
      <c r="B1413" s="1" t="n">
        <v>384</v>
      </c>
      <c r="C1413" s="1" t="n">
        <v>59</v>
      </c>
      <c r="D1413" s="1" t="s">
        <v>1425</v>
      </c>
      <c r="E1413" s="1" t="n">
        <v>8</v>
      </c>
      <c r="F1413" s="1" t="n">
        <v>438.89</v>
      </c>
      <c r="G1413" s="1" t="n">
        <v>0.05</v>
      </c>
      <c r="H1413" s="1" t="s">
        <v>1336</v>
      </c>
      <c r="I1413" s="1" t="n">
        <v>3335.56</v>
      </c>
      <c r="J1413" s="1" t="str">
        <f aca="false">VLOOKUP(B1413,Customers!$A$2:$G$502,6,FALSE())</f>
        <v>Corporate</v>
      </c>
      <c r="K1413" s="1" t="str">
        <f aca="false">VLOOKUP(C1413,Products!$A$2:$E$62,3,FALSE())</f>
        <v>Furniture</v>
      </c>
      <c r="L1413" s="1" t="str">
        <f aca="false">TEXT(D1413,"yyyy-mm")</f>
        <v>2023-05</v>
      </c>
    </row>
    <row r="1414" customFormat="false" ht="15" hidden="false" customHeight="true" outlineLevel="0" collapsed="false">
      <c r="A1414" s="1" t="n">
        <v>1444</v>
      </c>
      <c r="B1414" s="1" t="n">
        <v>387</v>
      </c>
      <c r="C1414" s="1" t="n">
        <v>41</v>
      </c>
      <c r="D1414" s="1" t="s">
        <v>572</v>
      </c>
      <c r="E1414" s="1" t="n">
        <v>4</v>
      </c>
      <c r="F1414" s="1" t="n">
        <v>594.54</v>
      </c>
      <c r="G1414" s="1" t="n">
        <v>0</v>
      </c>
      <c r="H1414" s="1" t="s">
        <v>1336</v>
      </c>
      <c r="I1414" s="1" t="n">
        <v>2378.16</v>
      </c>
      <c r="J1414" s="1" t="str">
        <f aca="false">VLOOKUP(B1414,Customers!$A$2:$G$502,6,FALSE())</f>
        <v>Corporate</v>
      </c>
      <c r="K1414" s="1" t="str">
        <f aca="false">VLOOKUP(C1414,Products!$A$2:$E$62,3,FALSE())</f>
        <v>Software</v>
      </c>
      <c r="L1414" s="1" t="str">
        <f aca="false">TEXT(D1414,"yyyy-mm")</f>
        <v>2023-06</v>
      </c>
    </row>
    <row r="1415" customFormat="false" ht="15" hidden="false" customHeight="true" outlineLevel="0" collapsed="false">
      <c r="A1415" s="1" t="n">
        <v>1445</v>
      </c>
      <c r="B1415" s="1" t="n">
        <v>16</v>
      </c>
      <c r="C1415" s="1" t="n">
        <v>27</v>
      </c>
      <c r="D1415" s="1" t="s">
        <v>1001</v>
      </c>
      <c r="E1415" s="1" t="n">
        <v>7</v>
      </c>
      <c r="F1415" s="1" t="n">
        <v>772.58</v>
      </c>
      <c r="G1415" s="1" t="n">
        <v>0.1</v>
      </c>
      <c r="H1415" s="1" t="s">
        <v>1336</v>
      </c>
      <c r="I1415" s="1" t="n">
        <v>4867.25</v>
      </c>
      <c r="J1415" s="1" t="str">
        <f aca="false">VLOOKUP(B1415,Customers!$A$2:$G$502,6,FALSE())</f>
        <v>Small Business</v>
      </c>
      <c r="K1415" s="1" t="str">
        <f aca="false">VLOOKUP(C1415,Products!$A$2:$E$62,3,FALSE())</f>
        <v>Office Supplies</v>
      </c>
      <c r="L1415" s="1" t="str">
        <f aca="false">TEXT(D1415,"yyyy-mm")</f>
        <v>2023-03</v>
      </c>
    </row>
    <row r="1416" customFormat="false" ht="15" hidden="false" customHeight="true" outlineLevel="0" collapsed="false">
      <c r="A1416" s="1" t="n">
        <v>1446</v>
      </c>
      <c r="B1416" s="1" t="n">
        <v>190</v>
      </c>
      <c r="C1416" s="1" t="n">
        <v>18</v>
      </c>
      <c r="D1416" s="1" t="s">
        <v>1461</v>
      </c>
      <c r="E1416" s="1" t="n">
        <v>3</v>
      </c>
      <c r="F1416" s="1" t="n">
        <v>747.34</v>
      </c>
      <c r="G1416" s="1" t="n">
        <v>0</v>
      </c>
      <c r="H1416" s="1" t="s">
        <v>1336</v>
      </c>
      <c r="I1416" s="1" t="n">
        <v>2242.02</v>
      </c>
      <c r="J1416" s="1" t="str">
        <f aca="false">VLOOKUP(B1416,Customers!$A$2:$G$502,6,FALSE())</f>
        <v>Corporate</v>
      </c>
      <c r="K1416" s="1" t="str">
        <f aca="false">VLOOKUP(C1416,Products!$A$2:$E$62,3,FALSE())</f>
        <v>Electronics</v>
      </c>
      <c r="L1416" s="1" t="str">
        <f aca="false">TEXT(D1416,"yyyy-mm")</f>
        <v>2024-02</v>
      </c>
    </row>
    <row r="1417" customFormat="false" ht="15" hidden="false" customHeight="true" outlineLevel="0" collapsed="false">
      <c r="A1417" s="1" t="n">
        <v>1447</v>
      </c>
      <c r="B1417" s="1" t="n">
        <v>275</v>
      </c>
      <c r="C1417" s="1" t="n">
        <v>39</v>
      </c>
      <c r="D1417" s="1" t="s">
        <v>1518</v>
      </c>
      <c r="E1417" s="1" t="n">
        <v>6</v>
      </c>
      <c r="F1417" s="1" t="n">
        <v>400.02</v>
      </c>
      <c r="G1417" s="1" t="n">
        <v>0</v>
      </c>
      <c r="H1417" s="1" t="s">
        <v>1336</v>
      </c>
      <c r="I1417" s="1" t="n">
        <v>2400.12</v>
      </c>
      <c r="J1417" s="1" t="str">
        <f aca="false">VLOOKUP(B1417,Customers!$A$2:$G$502,6,FALSE())</f>
        <v>Consumer</v>
      </c>
      <c r="K1417" s="1" t="str">
        <f aca="false">VLOOKUP(C1417,Products!$A$2:$E$62,3,FALSE())</f>
        <v>Software</v>
      </c>
      <c r="L1417" s="1" t="str">
        <f aca="false">TEXT(D1417,"yyyy-mm")</f>
        <v>2023-12</v>
      </c>
    </row>
    <row r="1418" customFormat="false" ht="15" hidden="false" customHeight="true" outlineLevel="0" collapsed="false">
      <c r="A1418" s="1" t="n">
        <v>1448</v>
      </c>
      <c r="B1418" s="1" t="n">
        <v>430</v>
      </c>
      <c r="C1418" s="1" t="n">
        <v>45</v>
      </c>
      <c r="D1418" s="1" t="s">
        <v>1050</v>
      </c>
      <c r="E1418" s="1" t="n">
        <v>9</v>
      </c>
      <c r="F1418" s="1" t="n">
        <v>560.01</v>
      </c>
      <c r="G1418" s="1" t="n">
        <v>0.15</v>
      </c>
      <c r="H1418" s="1" t="s">
        <v>1336</v>
      </c>
      <c r="I1418" s="1" t="n">
        <v>4284.08</v>
      </c>
      <c r="J1418" s="1" t="str">
        <f aca="false">VLOOKUP(B1418,Customers!$A$2:$G$502,6,FALSE())</f>
        <v>Corporate</v>
      </c>
      <c r="K1418" s="1" t="str">
        <f aca="false">VLOOKUP(C1418,Products!$A$2:$E$62,3,FALSE())</f>
        <v>Software</v>
      </c>
      <c r="L1418" s="1" t="str">
        <f aca="false">TEXT(D1418,"yyyy-mm")</f>
        <v>2024-08</v>
      </c>
    </row>
    <row r="1419" customFormat="false" ht="15" hidden="false" customHeight="true" outlineLevel="0" collapsed="false">
      <c r="A1419" s="1" t="n">
        <v>1449</v>
      </c>
      <c r="B1419" s="1" t="n">
        <v>71</v>
      </c>
      <c r="C1419" s="1" t="n">
        <v>31</v>
      </c>
      <c r="D1419" s="1" t="s">
        <v>1619</v>
      </c>
      <c r="E1419" s="1" t="n">
        <v>1</v>
      </c>
      <c r="F1419" s="1" t="n">
        <v>224.86</v>
      </c>
      <c r="G1419" s="1" t="n">
        <v>0</v>
      </c>
      <c r="H1419" s="1" t="s">
        <v>1336</v>
      </c>
      <c r="I1419" s="1" t="n">
        <v>224.86</v>
      </c>
      <c r="J1419" s="1" t="str">
        <f aca="false">VLOOKUP(B1419,Customers!$A$2:$G$502,6,FALSE())</f>
        <v>Corporate</v>
      </c>
      <c r="K1419" s="1" t="str">
        <f aca="false">VLOOKUP(C1419,Products!$A$2:$E$62,3,FALSE())</f>
        <v>Office Supplies</v>
      </c>
      <c r="L1419" s="1" t="str">
        <f aca="false">TEXT(D1419,"yyyy-mm")</f>
        <v>2023-12</v>
      </c>
    </row>
    <row r="1420" customFormat="false" ht="15" hidden="false" customHeight="true" outlineLevel="0" collapsed="false">
      <c r="A1420" s="1" t="n">
        <v>1450</v>
      </c>
      <c r="B1420" s="1" t="n">
        <v>33</v>
      </c>
      <c r="C1420" s="1" t="n">
        <v>17</v>
      </c>
      <c r="D1420" s="1" t="s">
        <v>1216</v>
      </c>
      <c r="E1420" s="1" t="n">
        <v>5</v>
      </c>
      <c r="F1420" s="1" t="n">
        <v>65.61</v>
      </c>
      <c r="G1420" s="1" t="n">
        <v>0</v>
      </c>
      <c r="H1420" s="1" t="s">
        <v>1346</v>
      </c>
      <c r="I1420" s="1" t="n">
        <v>328.05</v>
      </c>
      <c r="J1420" s="1" t="str">
        <f aca="false">VLOOKUP(B1420,Customers!$A$2:$G$502,6,FALSE())</f>
        <v>Corporate</v>
      </c>
      <c r="K1420" s="1" t="str">
        <f aca="false">VLOOKUP(C1420,Products!$A$2:$E$62,3,FALSE())</f>
        <v>Electronics</v>
      </c>
      <c r="L1420" s="1" t="str">
        <f aca="false">TEXT(D1420,"yyyy-mm")</f>
        <v>2024-10</v>
      </c>
    </row>
    <row r="1421" customFormat="false" ht="15" hidden="false" customHeight="true" outlineLevel="0" collapsed="false">
      <c r="A1421" s="1" t="n">
        <v>1451</v>
      </c>
      <c r="B1421" s="1" t="n">
        <v>475</v>
      </c>
      <c r="C1421" s="1" t="n">
        <v>58</v>
      </c>
      <c r="D1421" s="1" t="s">
        <v>1469</v>
      </c>
      <c r="E1421" s="1" t="n">
        <v>4</v>
      </c>
      <c r="F1421" s="1" t="n">
        <v>515.55</v>
      </c>
      <c r="G1421" s="1" t="n">
        <v>0</v>
      </c>
      <c r="H1421" s="1" t="s">
        <v>1336</v>
      </c>
      <c r="I1421" s="1" t="n">
        <v>2062.2</v>
      </c>
      <c r="J1421" s="1" t="str">
        <f aca="false">VLOOKUP(B1421,Customers!$A$2:$G$502,6,FALSE())</f>
        <v>Small Business</v>
      </c>
      <c r="K1421" s="1" t="str">
        <f aca="false">VLOOKUP(C1421,Products!$A$2:$E$62,3,FALSE())</f>
        <v>Furniture</v>
      </c>
      <c r="L1421" s="1" t="str">
        <f aca="false">TEXT(D1421,"yyyy-mm")</f>
        <v>2023-11</v>
      </c>
    </row>
    <row r="1422" customFormat="false" ht="15" hidden="false" customHeight="true" outlineLevel="0" collapsed="false">
      <c r="A1422" s="1" t="n">
        <v>1452</v>
      </c>
      <c r="B1422" s="1" t="n">
        <v>266</v>
      </c>
      <c r="C1422" s="1" t="n">
        <v>44</v>
      </c>
      <c r="D1422" s="1" t="s">
        <v>1381</v>
      </c>
      <c r="E1422" s="1" t="n">
        <v>8</v>
      </c>
      <c r="F1422" s="1" t="n">
        <v>508.26</v>
      </c>
      <c r="G1422" s="1" t="n">
        <v>0</v>
      </c>
      <c r="H1422" s="1" t="s">
        <v>1336</v>
      </c>
      <c r="I1422" s="1" t="n">
        <v>4066.08</v>
      </c>
      <c r="J1422" s="1" t="str">
        <f aca="false">VLOOKUP(B1422,Customers!$A$2:$G$502,6,FALSE())</f>
        <v>Corporate</v>
      </c>
      <c r="K1422" s="1" t="str">
        <f aca="false">VLOOKUP(C1422,Products!$A$2:$E$62,3,FALSE())</f>
        <v>Software</v>
      </c>
      <c r="L1422" s="1" t="str">
        <f aca="false">TEXT(D1422,"yyyy-mm")</f>
        <v>2024-02</v>
      </c>
    </row>
    <row r="1423" customFormat="false" ht="15" hidden="false" customHeight="true" outlineLevel="0" collapsed="false">
      <c r="A1423" s="1" t="n">
        <v>1453</v>
      </c>
      <c r="B1423" s="1" t="n">
        <v>456</v>
      </c>
      <c r="C1423" s="1" t="n">
        <v>51</v>
      </c>
      <c r="D1423" s="1" t="s">
        <v>1528</v>
      </c>
      <c r="E1423" s="1" t="n">
        <v>1</v>
      </c>
      <c r="F1423" s="1" t="n">
        <v>30.16</v>
      </c>
      <c r="G1423" s="1" t="n">
        <v>0.2</v>
      </c>
      <c r="H1423" s="1" t="s">
        <v>1336</v>
      </c>
      <c r="I1423" s="1" t="n">
        <v>24.13</v>
      </c>
      <c r="J1423" s="1" t="str">
        <f aca="false">VLOOKUP(B1423,Customers!$A$2:$G$502,6,FALSE())</f>
        <v>Consumer</v>
      </c>
      <c r="K1423" s="1" t="str">
        <f aca="false">VLOOKUP(C1423,Products!$A$2:$E$62,3,FALSE())</f>
        <v>Software</v>
      </c>
      <c r="L1423" s="1" t="str">
        <f aca="false">TEXT(D1423,"yyyy-mm")</f>
        <v>2023-05</v>
      </c>
    </row>
    <row r="1424" customFormat="false" ht="15" hidden="false" customHeight="true" outlineLevel="0" collapsed="false">
      <c r="A1424" s="1" t="n">
        <v>1454</v>
      </c>
      <c r="B1424" s="1" t="n">
        <v>278</v>
      </c>
      <c r="C1424" s="1" t="n">
        <v>36</v>
      </c>
      <c r="D1424" s="1" t="s">
        <v>1627</v>
      </c>
      <c r="E1424" s="1" t="n">
        <v>9</v>
      </c>
      <c r="F1424" s="1" t="n">
        <v>424.45</v>
      </c>
      <c r="G1424" s="1" t="n">
        <v>0</v>
      </c>
      <c r="H1424" s="1" t="s">
        <v>1336</v>
      </c>
      <c r="I1424" s="1" t="n">
        <v>3820.05</v>
      </c>
      <c r="J1424" s="1" t="str">
        <f aca="false">VLOOKUP(B1424,Customers!$A$2:$G$502,6,FALSE())</f>
        <v>Consumer</v>
      </c>
      <c r="K1424" s="1" t="str">
        <f aca="false">VLOOKUP(C1424,Products!$A$2:$E$62,3,FALSE())</f>
        <v>Software</v>
      </c>
      <c r="L1424" s="1" t="str">
        <f aca="false">TEXT(D1424,"yyyy-mm")</f>
        <v>2023-11</v>
      </c>
    </row>
    <row r="1425" customFormat="false" ht="15" hidden="false" customHeight="true" outlineLevel="0" collapsed="false">
      <c r="A1425" s="1" t="n">
        <v>1455</v>
      </c>
      <c r="B1425" s="1" t="n">
        <v>449</v>
      </c>
      <c r="C1425" s="1" t="n">
        <v>19</v>
      </c>
      <c r="D1425" s="1" t="s">
        <v>360</v>
      </c>
      <c r="E1425" s="1" t="n">
        <v>6</v>
      </c>
      <c r="F1425" s="1" t="n">
        <v>163.64</v>
      </c>
      <c r="G1425" s="1" t="n">
        <v>0</v>
      </c>
      <c r="H1425" s="1" t="s">
        <v>1336</v>
      </c>
      <c r="I1425" s="1" t="n">
        <v>981.84</v>
      </c>
      <c r="J1425" s="1" t="str">
        <f aca="false">VLOOKUP(B1425,Customers!$A$2:$G$502,6,FALSE())</f>
        <v>Corporate</v>
      </c>
      <c r="K1425" s="1" t="str">
        <f aca="false">VLOOKUP(C1425,Products!$A$2:$E$62,3,FALSE())</f>
        <v>Office Supplies</v>
      </c>
      <c r="L1425" s="1" t="str">
        <f aca="false">TEXT(D1425,"yyyy-mm")</f>
        <v>2024-10</v>
      </c>
    </row>
    <row r="1426" customFormat="false" ht="15" hidden="false" customHeight="true" outlineLevel="0" collapsed="false">
      <c r="A1426" s="1" t="n">
        <v>1456</v>
      </c>
      <c r="B1426" s="1" t="n">
        <v>332</v>
      </c>
      <c r="C1426" s="1" t="n">
        <v>52</v>
      </c>
      <c r="D1426" s="1" t="s">
        <v>1647</v>
      </c>
      <c r="E1426" s="1" t="n">
        <v>4</v>
      </c>
      <c r="F1426" s="1" t="n">
        <v>207.67</v>
      </c>
      <c r="G1426" s="1" t="n">
        <v>0</v>
      </c>
      <c r="H1426" s="1" t="s">
        <v>1336</v>
      </c>
      <c r="I1426" s="1" t="n">
        <v>830.68</v>
      </c>
      <c r="J1426" s="1" t="str">
        <f aca="false">VLOOKUP(B1426,Customers!$A$2:$G$502,6,FALSE())</f>
        <v>Consumer</v>
      </c>
      <c r="K1426" s="1" t="str">
        <f aca="false">VLOOKUP(C1426,Products!$A$2:$E$62,3,FALSE())</f>
        <v>Software</v>
      </c>
      <c r="L1426" s="1" t="str">
        <f aca="false">TEXT(D1426,"yyyy-mm")</f>
        <v>2024-05</v>
      </c>
    </row>
    <row r="1427" customFormat="false" ht="15" hidden="false" customHeight="true" outlineLevel="0" collapsed="false">
      <c r="A1427" s="1" t="n">
        <v>1457</v>
      </c>
      <c r="B1427" s="1" t="n">
        <v>276</v>
      </c>
      <c r="C1427" s="1" t="n">
        <v>22</v>
      </c>
      <c r="D1427" s="1" t="s">
        <v>1503</v>
      </c>
      <c r="E1427" s="1" t="n">
        <v>9</v>
      </c>
      <c r="F1427" s="1" t="n">
        <v>38.57</v>
      </c>
      <c r="G1427" s="1" t="n">
        <v>0</v>
      </c>
      <c r="H1427" s="1" t="s">
        <v>1336</v>
      </c>
      <c r="I1427" s="1" t="n">
        <v>347.13</v>
      </c>
      <c r="J1427" s="1" t="str">
        <f aca="false">VLOOKUP(B1427,Customers!$A$2:$G$502,6,FALSE())</f>
        <v>Corporate</v>
      </c>
      <c r="K1427" s="1" t="str">
        <f aca="false">VLOOKUP(C1427,Products!$A$2:$E$62,3,FALSE())</f>
        <v>Office Supplies</v>
      </c>
      <c r="L1427" s="1" t="str">
        <f aca="false">TEXT(D1427,"yyyy-mm")</f>
        <v>2023-05</v>
      </c>
    </row>
    <row r="1428" customFormat="false" ht="15" hidden="false" customHeight="true" outlineLevel="0" collapsed="false">
      <c r="A1428" s="1" t="n">
        <v>1458</v>
      </c>
      <c r="B1428" s="1" t="n">
        <v>202</v>
      </c>
      <c r="C1428" s="1" t="n">
        <v>1</v>
      </c>
      <c r="D1428" s="1" t="s">
        <v>986</v>
      </c>
      <c r="E1428" s="1" t="n">
        <v>5</v>
      </c>
      <c r="F1428" s="1" t="n">
        <v>327.32</v>
      </c>
      <c r="G1428" s="1" t="n">
        <v>0</v>
      </c>
      <c r="H1428" s="1" t="s">
        <v>1336</v>
      </c>
      <c r="I1428" s="1" t="n">
        <v>1636.6</v>
      </c>
      <c r="J1428" s="1" t="str">
        <f aca="false">VLOOKUP(B1428,Customers!$A$2:$G$502,6,FALSE())</f>
        <v>Corporate</v>
      </c>
      <c r="K1428" s="1" t="str">
        <f aca="false">VLOOKUP(C1428,Products!$A$2:$E$62,3,FALSE())</f>
        <v>Electronics</v>
      </c>
      <c r="L1428" s="1" t="str">
        <f aca="false">TEXT(D1428,"yyyy-mm")</f>
        <v>2023-03</v>
      </c>
    </row>
    <row r="1429" customFormat="false" ht="15" hidden="false" customHeight="true" outlineLevel="0" collapsed="false">
      <c r="A1429" s="1" t="n">
        <v>1459</v>
      </c>
      <c r="B1429" s="1" t="n">
        <v>282</v>
      </c>
      <c r="C1429" s="1" t="n">
        <v>38</v>
      </c>
      <c r="D1429" s="1" t="s">
        <v>254</v>
      </c>
      <c r="E1429" s="1" t="n">
        <v>5</v>
      </c>
      <c r="F1429" s="1" t="n">
        <v>521.63</v>
      </c>
      <c r="G1429" s="1" t="n">
        <v>0.1</v>
      </c>
      <c r="H1429" s="1" t="s">
        <v>1336</v>
      </c>
      <c r="I1429" s="1" t="n">
        <v>2347.34</v>
      </c>
      <c r="J1429" s="1" t="str">
        <f aca="false">VLOOKUP(B1429,Customers!$A$2:$G$502,6,FALSE())</f>
        <v>Corporate</v>
      </c>
      <c r="K1429" s="1" t="str">
        <f aca="false">VLOOKUP(C1429,Products!$A$2:$E$62,3,FALSE())</f>
        <v>Software</v>
      </c>
      <c r="L1429" s="1" t="str">
        <f aca="false">TEXT(D1429,"yyyy-mm")</f>
        <v>2023-10</v>
      </c>
    </row>
    <row r="1430" customFormat="false" ht="15" hidden="false" customHeight="true" outlineLevel="0" collapsed="false">
      <c r="A1430" s="1" t="n">
        <v>1460</v>
      </c>
      <c r="B1430" s="1" t="n">
        <v>251</v>
      </c>
      <c r="C1430" s="1" t="n">
        <v>39</v>
      </c>
      <c r="D1430" s="1" t="s">
        <v>960</v>
      </c>
      <c r="E1430" s="1" t="n">
        <v>5</v>
      </c>
      <c r="F1430" s="1" t="n">
        <v>400.02</v>
      </c>
      <c r="G1430" s="1" t="n">
        <v>0.05</v>
      </c>
      <c r="H1430" s="1" t="s">
        <v>1336</v>
      </c>
      <c r="I1430" s="1" t="n">
        <v>1900.09</v>
      </c>
      <c r="J1430" s="1" t="str">
        <f aca="false">VLOOKUP(B1430,Customers!$A$2:$G$502,6,FALSE())</f>
        <v>Small Business</v>
      </c>
      <c r="K1430" s="1" t="str">
        <f aca="false">VLOOKUP(C1430,Products!$A$2:$E$62,3,FALSE())</f>
        <v>Software</v>
      </c>
      <c r="L1430" s="1" t="str">
        <f aca="false">TEXT(D1430,"yyyy-mm")</f>
        <v>2023-04</v>
      </c>
    </row>
    <row r="1431" customFormat="false" ht="15" hidden="false" customHeight="true" outlineLevel="0" collapsed="false">
      <c r="A1431" s="1" t="n">
        <v>1461</v>
      </c>
      <c r="B1431" s="1" t="n">
        <v>390</v>
      </c>
      <c r="C1431" s="1" t="n">
        <v>52</v>
      </c>
      <c r="D1431" s="1" t="s">
        <v>1552</v>
      </c>
      <c r="E1431" s="1" t="n">
        <v>1</v>
      </c>
      <c r="F1431" s="1" t="n">
        <v>207.67</v>
      </c>
      <c r="G1431" s="1" t="n">
        <v>0</v>
      </c>
      <c r="H1431" s="1" t="s">
        <v>1336</v>
      </c>
      <c r="I1431" s="1" t="n">
        <v>207.67</v>
      </c>
      <c r="J1431" s="1" t="str">
        <f aca="false">VLOOKUP(B1431,Customers!$A$2:$G$502,6,FALSE())</f>
        <v>Small Business</v>
      </c>
      <c r="K1431" s="1" t="str">
        <f aca="false">VLOOKUP(C1431,Products!$A$2:$E$62,3,FALSE())</f>
        <v>Software</v>
      </c>
      <c r="L1431" s="1" t="str">
        <f aca="false">TEXT(D1431,"yyyy-mm")</f>
        <v>2023-02</v>
      </c>
    </row>
    <row r="1432" customFormat="false" ht="15" hidden="false" customHeight="true" outlineLevel="0" collapsed="false">
      <c r="A1432" s="1" t="n">
        <v>1463</v>
      </c>
      <c r="B1432" s="1" t="n">
        <v>173</v>
      </c>
      <c r="C1432" s="1" t="n">
        <v>40</v>
      </c>
      <c r="D1432" s="1" t="s">
        <v>254</v>
      </c>
      <c r="E1432" s="1" t="n">
        <v>8</v>
      </c>
      <c r="F1432" s="1" t="n">
        <v>193.02</v>
      </c>
      <c r="G1432" s="1" t="n">
        <v>0</v>
      </c>
      <c r="H1432" s="1" t="s">
        <v>1336</v>
      </c>
      <c r="I1432" s="1" t="n">
        <v>1544.16</v>
      </c>
      <c r="J1432" s="1" t="str">
        <f aca="false">VLOOKUP(B1432,Customers!$A$2:$G$502,6,FALSE())</f>
        <v>Consumer</v>
      </c>
      <c r="K1432" s="1" t="str">
        <f aca="false">VLOOKUP(C1432,Products!$A$2:$E$62,3,FALSE())</f>
        <v>Software</v>
      </c>
      <c r="L1432" s="1" t="str">
        <f aca="false">TEXT(D1432,"yyyy-mm")</f>
        <v>2023-10</v>
      </c>
    </row>
    <row r="1433" customFormat="false" ht="15" hidden="false" customHeight="true" outlineLevel="0" collapsed="false">
      <c r="A1433" s="1" t="n">
        <v>1464</v>
      </c>
      <c r="B1433" s="1" t="n">
        <v>137</v>
      </c>
      <c r="C1433" s="1" t="n">
        <v>60</v>
      </c>
      <c r="D1433" s="1" t="s">
        <v>1611</v>
      </c>
      <c r="E1433" s="1" t="n">
        <v>8</v>
      </c>
      <c r="F1433" s="1" t="n">
        <v>584.98</v>
      </c>
      <c r="G1433" s="1" t="n">
        <v>0</v>
      </c>
      <c r="H1433" s="1" t="s">
        <v>1336</v>
      </c>
      <c r="I1433" s="1" t="n">
        <v>4679.84</v>
      </c>
      <c r="J1433" s="1" t="str">
        <f aca="false">VLOOKUP(B1433,Customers!$A$2:$G$502,6,FALSE())</f>
        <v>Consumer</v>
      </c>
      <c r="K1433" s="1" t="str">
        <f aca="false">VLOOKUP(C1433,Products!$A$2:$E$62,3,FALSE())</f>
        <v>Furniture</v>
      </c>
      <c r="L1433" s="1" t="str">
        <f aca="false">TEXT(D1433,"yyyy-mm")</f>
        <v>2024-07</v>
      </c>
    </row>
    <row r="1434" customFormat="false" ht="15" hidden="false" customHeight="true" outlineLevel="0" collapsed="false">
      <c r="A1434" s="1" t="n">
        <v>1465</v>
      </c>
      <c r="B1434" s="1" t="n">
        <v>113</v>
      </c>
      <c r="C1434" s="1" t="n">
        <v>11</v>
      </c>
      <c r="D1434" s="1" t="s">
        <v>648</v>
      </c>
      <c r="E1434" s="1" t="n">
        <v>6</v>
      </c>
      <c r="F1434" s="1" t="n">
        <v>328.39</v>
      </c>
      <c r="G1434" s="1" t="n">
        <v>0</v>
      </c>
      <c r="H1434" s="1" t="s">
        <v>1336</v>
      </c>
      <c r="I1434" s="1" t="n">
        <v>1970.34</v>
      </c>
      <c r="J1434" s="1" t="str">
        <f aca="false">VLOOKUP(B1434,Customers!$A$2:$G$502,6,FALSE())</f>
        <v>Small Business</v>
      </c>
      <c r="K1434" s="1" t="str">
        <f aca="false">VLOOKUP(C1434,Products!$A$2:$E$62,3,FALSE())</f>
        <v>Electronics</v>
      </c>
      <c r="L1434" s="1" t="str">
        <f aca="false">TEXT(D1434,"yyyy-mm")</f>
        <v>2024-01</v>
      </c>
    </row>
    <row r="1435" customFormat="false" ht="15" hidden="false" customHeight="true" outlineLevel="0" collapsed="false">
      <c r="A1435" s="1" t="n">
        <v>1466</v>
      </c>
      <c r="B1435" s="1" t="n">
        <v>315</v>
      </c>
      <c r="C1435" s="1" t="n">
        <v>18</v>
      </c>
      <c r="D1435" s="1" t="s">
        <v>1648</v>
      </c>
      <c r="E1435" s="1" t="n">
        <v>4</v>
      </c>
      <c r="F1435" s="1" t="n">
        <v>747.34</v>
      </c>
      <c r="G1435" s="1" t="n">
        <v>0</v>
      </c>
      <c r="H1435" s="1" t="s">
        <v>1336</v>
      </c>
      <c r="I1435" s="1" t="n">
        <v>2989.36</v>
      </c>
      <c r="J1435" s="1" t="str">
        <f aca="false">VLOOKUP(B1435,Customers!$A$2:$G$502,6,FALSE())</f>
        <v>Consumer</v>
      </c>
      <c r="K1435" s="1" t="str">
        <f aca="false">VLOOKUP(C1435,Products!$A$2:$E$62,3,FALSE())</f>
        <v>Electronics</v>
      </c>
      <c r="L1435" s="1" t="str">
        <f aca="false">TEXT(D1435,"yyyy-mm")</f>
        <v>2024-05</v>
      </c>
    </row>
    <row r="1436" customFormat="false" ht="15" hidden="false" customHeight="true" outlineLevel="0" collapsed="false">
      <c r="A1436" s="1" t="n">
        <v>1467</v>
      </c>
      <c r="B1436" s="1" t="n">
        <v>85</v>
      </c>
      <c r="C1436" s="1" t="n">
        <v>58</v>
      </c>
      <c r="D1436" s="1" t="s">
        <v>1460</v>
      </c>
      <c r="E1436" s="1" t="n">
        <v>2</v>
      </c>
      <c r="F1436" s="1" t="n">
        <v>515.55</v>
      </c>
      <c r="G1436" s="1" t="n">
        <v>0</v>
      </c>
      <c r="H1436" s="1" t="s">
        <v>1336</v>
      </c>
      <c r="I1436" s="1" t="n">
        <v>1031.1</v>
      </c>
      <c r="J1436" s="1" t="str">
        <f aca="false">VLOOKUP(B1436,Customers!$A$2:$G$502,6,FALSE())</f>
        <v>Consumer</v>
      </c>
      <c r="K1436" s="1" t="str">
        <f aca="false">VLOOKUP(C1436,Products!$A$2:$E$62,3,FALSE())</f>
        <v>Furniture</v>
      </c>
      <c r="L1436" s="1" t="str">
        <f aca="false">TEXT(D1436,"yyyy-mm")</f>
        <v>2023-06</v>
      </c>
    </row>
    <row r="1437" customFormat="false" ht="15" hidden="false" customHeight="true" outlineLevel="0" collapsed="false">
      <c r="A1437" s="1" t="n">
        <v>1468</v>
      </c>
      <c r="B1437" s="1" t="n">
        <v>441</v>
      </c>
      <c r="C1437" s="1" t="n">
        <v>39</v>
      </c>
      <c r="D1437" s="1" t="s">
        <v>1649</v>
      </c>
      <c r="E1437" s="1" t="n">
        <v>2</v>
      </c>
      <c r="F1437" s="1" t="n">
        <v>400.02</v>
      </c>
      <c r="G1437" s="1" t="n">
        <v>0.05</v>
      </c>
      <c r="H1437" s="1" t="s">
        <v>1336</v>
      </c>
      <c r="I1437" s="1" t="n">
        <v>760.04</v>
      </c>
      <c r="J1437" s="1" t="str">
        <f aca="false">VLOOKUP(B1437,Customers!$A$2:$G$502,6,FALSE())</f>
        <v>Corporate</v>
      </c>
      <c r="K1437" s="1" t="str">
        <f aca="false">VLOOKUP(C1437,Products!$A$2:$E$62,3,FALSE())</f>
        <v>Software</v>
      </c>
      <c r="L1437" s="1" t="str">
        <f aca="false">TEXT(D1437,"yyyy-mm")</f>
        <v>2024-01</v>
      </c>
    </row>
    <row r="1438" customFormat="false" ht="15" hidden="false" customHeight="true" outlineLevel="0" collapsed="false">
      <c r="A1438" s="1" t="n">
        <v>1469</v>
      </c>
      <c r="B1438" s="1" t="n">
        <v>227</v>
      </c>
      <c r="C1438" s="1" t="n">
        <v>10</v>
      </c>
      <c r="D1438" s="1" t="s">
        <v>1584</v>
      </c>
      <c r="E1438" s="1" t="n">
        <v>9</v>
      </c>
      <c r="F1438" s="1" t="n">
        <v>251.58</v>
      </c>
      <c r="G1438" s="1" t="n">
        <v>0.2</v>
      </c>
      <c r="H1438" s="1" t="s">
        <v>1336</v>
      </c>
      <c r="I1438" s="1" t="n">
        <v>1811.38</v>
      </c>
      <c r="J1438" s="1" t="str">
        <f aca="false">VLOOKUP(B1438,Customers!$A$2:$G$502,6,FALSE())</f>
        <v>Consumer</v>
      </c>
      <c r="K1438" s="1" t="str">
        <f aca="false">VLOOKUP(C1438,Products!$A$2:$E$62,3,FALSE())</f>
        <v>Electronics</v>
      </c>
      <c r="L1438" s="1" t="str">
        <f aca="false">TEXT(D1438,"yyyy-mm")</f>
        <v>2024-01</v>
      </c>
    </row>
    <row r="1439" customFormat="false" ht="15" hidden="false" customHeight="true" outlineLevel="0" collapsed="false">
      <c r="A1439" s="1" t="n">
        <v>1470</v>
      </c>
      <c r="B1439" s="1" t="n">
        <v>452</v>
      </c>
      <c r="C1439" s="1" t="n">
        <v>44</v>
      </c>
      <c r="D1439" s="1" t="s">
        <v>1348</v>
      </c>
      <c r="E1439" s="1" t="n">
        <v>5</v>
      </c>
      <c r="F1439" s="1" t="n">
        <v>508.26</v>
      </c>
      <c r="G1439" s="1" t="n">
        <v>0.05</v>
      </c>
      <c r="H1439" s="1" t="s">
        <v>1336</v>
      </c>
      <c r="I1439" s="1" t="n">
        <v>2414.24</v>
      </c>
      <c r="J1439" s="1" t="str">
        <f aca="false">VLOOKUP(B1439,Customers!$A$2:$G$502,6,FALSE())</f>
        <v>Consumer</v>
      </c>
      <c r="K1439" s="1" t="str">
        <f aca="false">VLOOKUP(C1439,Products!$A$2:$E$62,3,FALSE())</f>
        <v>Software</v>
      </c>
      <c r="L1439" s="1" t="str">
        <f aca="false">TEXT(D1439,"yyyy-mm")</f>
        <v>2024-05</v>
      </c>
    </row>
    <row r="1440" customFormat="false" ht="15" hidden="false" customHeight="true" outlineLevel="0" collapsed="false">
      <c r="A1440" s="1" t="n">
        <v>1471</v>
      </c>
      <c r="B1440" s="1" t="n">
        <v>316</v>
      </c>
      <c r="C1440" s="1" t="n">
        <v>25</v>
      </c>
      <c r="D1440" s="1" t="s">
        <v>1442</v>
      </c>
      <c r="E1440" s="1" t="n">
        <v>4</v>
      </c>
      <c r="F1440" s="1" t="n">
        <v>300.49</v>
      </c>
      <c r="G1440" s="1" t="n">
        <v>0.1</v>
      </c>
      <c r="H1440" s="1" t="s">
        <v>1336</v>
      </c>
      <c r="I1440" s="1" t="n">
        <v>1081.76</v>
      </c>
      <c r="J1440" s="1" t="str">
        <f aca="false">VLOOKUP(B1440,Customers!$A$2:$G$502,6,FALSE())</f>
        <v>Small Business</v>
      </c>
      <c r="K1440" s="1" t="str">
        <f aca="false">VLOOKUP(C1440,Products!$A$2:$E$62,3,FALSE())</f>
        <v>Office Supplies</v>
      </c>
      <c r="L1440" s="1" t="str">
        <f aca="false">TEXT(D1440,"yyyy-mm")</f>
        <v>2024-03</v>
      </c>
    </row>
    <row r="1441" customFormat="false" ht="15" hidden="false" customHeight="true" outlineLevel="0" collapsed="false">
      <c r="A1441" s="1" t="n">
        <v>1472</v>
      </c>
      <c r="B1441" s="1" t="n">
        <v>350</v>
      </c>
      <c r="C1441" s="1" t="n">
        <v>25</v>
      </c>
      <c r="D1441" s="1" t="s">
        <v>1418</v>
      </c>
      <c r="E1441" s="1" t="n">
        <v>1</v>
      </c>
      <c r="F1441" s="1" t="n">
        <v>300.49</v>
      </c>
      <c r="G1441" s="1" t="n">
        <v>0.2</v>
      </c>
      <c r="H1441" s="1" t="s">
        <v>1336</v>
      </c>
      <c r="I1441" s="1" t="n">
        <v>240.39</v>
      </c>
      <c r="J1441" s="1" t="str">
        <f aca="false">VLOOKUP(B1441,Customers!$A$2:$G$502,6,FALSE())</f>
        <v>Consumer</v>
      </c>
      <c r="K1441" s="1" t="str">
        <f aca="false">VLOOKUP(C1441,Products!$A$2:$E$62,3,FALSE())</f>
        <v>Office Supplies</v>
      </c>
      <c r="L1441" s="1" t="str">
        <f aca="false">TEXT(D1441,"yyyy-mm")</f>
        <v>2023-06</v>
      </c>
    </row>
    <row r="1442" customFormat="false" ht="15" hidden="false" customHeight="true" outlineLevel="0" collapsed="false">
      <c r="A1442" s="1" t="n">
        <v>1473</v>
      </c>
      <c r="B1442" s="1" t="n">
        <v>367</v>
      </c>
      <c r="C1442" s="1" t="n">
        <v>19</v>
      </c>
      <c r="D1442" s="1" t="s">
        <v>1650</v>
      </c>
      <c r="E1442" s="1" t="n">
        <v>7</v>
      </c>
      <c r="F1442" s="1" t="n">
        <v>163.64</v>
      </c>
      <c r="G1442" s="1" t="n">
        <v>0</v>
      </c>
      <c r="H1442" s="1" t="s">
        <v>1336</v>
      </c>
      <c r="I1442" s="1" t="n">
        <v>1145.48</v>
      </c>
      <c r="J1442" s="1" t="str">
        <f aca="false">VLOOKUP(B1442,Customers!$A$2:$G$502,6,FALSE())</f>
        <v>Corporate</v>
      </c>
      <c r="K1442" s="1" t="str">
        <f aca="false">VLOOKUP(C1442,Products!$A$2:$E$62,3,FALSE())</f>
        <v>Office Supplies</v>
      </c>
      <c r="L1442" s="1" t="str">
        <f aca="false">TEXT(D1442,"yyyy-mm")</f>
        <v>2023-08</v>
      </c>
    </row>
    <row r="1443" customFormat="false" ht="15" hidden="false" customHeight="true" outlineLevel="0" collapsed="false">
      <c r="A1443" s="1" t="n">
        <v>1474</v>
      </c>
      <c r="B1443" s="1" t="n">
        <v>125</v>
      </c>
      <c r="C1443" s="1" t="n">
        <v>42</v>
      </c>
      <c r="D1443" s="1" t="s">
        <v>1342</v>
      </c>
      <c r="E1443" s="1" t="n">
        <v>3</v>
      </c>
      <c r="F1443" s="1" t="n">
        <v>174.48</v>
      </c>
      <c r="G1443" s="1" t="n">
        <v>0</v>
      </c>
      <c r="H1443" s="1" t="s">
        <v>1336</v>
      </c>
      <c r="I1443" s="1" t="n">
        <v>523.44</v>
      </c>
      <c r="J1443" s="1" t="str">
        <f aca="false">VLOOKUP(B1443,Customers!$A$2:$G$502,6,FALSE())</f>
        <v>Small Business</v>
      </c>
      <c r="K1443" s="1" t="str">
        <f aca="false">VLOOKUP(C1443,Products!$A$2:$E$62,3,FALSE())</f>
        <v>Software</v>
      </c>
      <c r="L1443" s="1" t="str">
        <f aca="false">TEXT(D1443,"yyyy-mm")</f>
        <v>2024-12</v>
      </c>
    </row>
    <row r="1444" customFormat="false" ht="15" hidden="false" customHeight="true" outlineLevel="0" collapsed="false">
      <c r="A1444" s="1" t="n">
        <v>1475</v>
      </c>
      <c r="B1444" s="1" t="n">
        <v>196</v>
      </c>
      <c r="C1444" s="1" t="n">
        <v>2</v>
      </c>
      <c r="D1444" s="1" t="s">
        <v>1147</v>
      </c>
      <c r="E1444" s="1" t="n">
        <v>6</v>
      </c>
      <c r="F1444" s="1" t="n">
        <v>498.15</v>
      </c>
      <c r="G1444" s="1" t="n">
        <v>0.05</v>
      </c>
      <c r="H1444" s="1" t="s">
        <v>1336</v>
      </c>
      <c r="I1444" s="1" t="n">
        <v>2839.45</v>
      </c>
      <c r="J1444" s="1" t="str">
        <f aca="false">VLOOKUP(B1444,Customers!$A$2:$G$502,6,FALSE())</f>
        <v>Corporate</v>
      </c>
      <c r="K1444" s="1" t="str">
        <f aca="false">VLOOKUP(C1444,Products!$A$2:$E$62,3,FALSE())</f>
        <v>Electronics</v>
      </c>
      <c r="L1444" s="1" t="str">
        <f aca="false">TEXT(D1444,"yyyy-mm")</f>
        <v>2024-05</v>
      </c>
    </row>
    <row r="1445" customFormat="false" ht="15" hidden="false" customHeight="true" outlineLevel="0" collapsed="false">
      <c r="A1445" s="1" t="n">
        <v>1476</v>
      </c>
      <c r="B1445" s="1" t="n">
        <v>118</v>
      </c>
      <c r="C1445" s="1" t="n">
        <v>18</v>
      </c>
      <c r="D1445" s="1" t="s">
        <v>1360</v>
      </c>
      <c r="E1445" s="1" t="n">
        <v>5</v>
      </c>
      <c r="F1445" s="1" t="n">
        <v>747.34</v>
      </c>
      <c r="G1445" s="1" t="n">
        <v>0</v>
      </c>
      <c r="H1445" s="1" t="s">
        <v>1336</v>
      </c>
      <c r="I1445" s="1" t="n">
        <v>3736.7</v>
      </c>
      <c r="J1445" s="1" t="str">
        <f aca="false">VLOOKUP(B1445,Customers!$A$2:$G$502,6,FALSE())</f>
        <v>Small Business</v>
      </c>
      <c r="K1445" s="1" t="str">
        <f aca="false">VLOOKUP(C1445,Products!$A$2:$E$62,3,FALSE())</f>
        <v>Electronics</v>
      </c>
      <c r="L1445" s="1" t="str">
        <f aca="false">TEXT(D1445,"yyyy-mm")</f>
        <v>2024-01</v>
      </c>
    </row>
    <row r="1446" customFormat="false" ht="15" hidden="false" customHeight="true" outlineLevel="0" collapsed="false">
      <c r="A1446" s="1" t="n">
        <v>1477</v>
      </c>
      <c r="B1446" s="1" t="n">
        <v>307</v>
      </c>
      <c r="C1446" s="1" t="n">
        <v>34</v>
      </c>
      <c r="D1446" s="1" t="s">
        <v>710</v>
      </c>
      <c r="E1446" s="1" t="n">
        <v>5</v>
      </c>
      <c r="F1446" s="1" t="n">
        <v>116.85</v>
      </c>
      <c r="G1446" s="1" t="n">
        <v>0.2</v>
      </c>
      <c r="H1446" s="1" t="s">
        <v>1336</v>
      </c>
      <c r="I1446" s="1" t="n">
        <v>467.4</v>
      </c>
      <c r="J1446" s="1" t="str">
        <f aca="false">VLOOKUP(B1446,Customers!$A$2:$G$502,6,FALSE())</f>
        <v>Corporate</v>
      </c>
      <c r="K1446" s="1" t="str">
        <f aca="false">VLOOKUP(C1446,Products!$A$2:$E$62,3,FALSE())</f>
        <v>Office Supplies</v>
      </c>
      <c r="L1446" s="1" t="str">
        <f aca="false">TEXT(D1446,"yyyy-mm")</f>
        <v>2023-07</v>
      </c>
    </row>
    <row r="1447" customFormat="false" ht="15" hidden="false" customHeight="true" outlineLevel="0" collapsed="false">
      <c r="A1447" s="1" t="n">
        <v>1478</v>
      </c>
      <c r="B1447" s="1" t="n">
        <v>363</v>
      </c>
      <c r="C1447" s="1" t="n">
        <v>59</v>
      </c>
      <c r="D1447" s="1" t="s">
        <v>1353</v>
      </c>
      <c r="E1447" s="1" t="n">
        <v>5</v>
      </c>
      <c r="F1447" s="1" t="n">
        <v>438.89</v>
      </c>
      <c r="G1447" s="1" t="n">
        <v>0</v>
      </c>
      <c r="H1447" s="1" t="s">
        <v>1336</v>
      </c>
      <c r="I1447" s="1" t="n">
        <v>2194.45</v>
      </c>
      <c r="J1447" s="1" t="str">
        <f aca="false">VLOOKUP(B1447,Customers!$A$2:$G$502,6,FALSE())</f>
        <v>Small Business</v>
      </c>
      <c r="K1447" s="1" t="str">
        <f aca="false">VLOOKUP(C1447,Products!$A$2:$E$62,3,FALSE())</f>
        <v>Furniture</v>
      </c>
      <c r="L1447" s="1" t="str">
        <f aca="false">TEXT(D1447,"yyyy-mm")</f>
        <v>2023-06</v>
      </c>
    </row>
    <row r="1448" customFormat="false" ht="15" hidden="false" customHeight="true" outlineLevel="0" collapsed="false">
      <c r="A1448" s="1" t="n">
        <v>1479</v>
      </c>
      <c r="B1448" s="1" t="n">
        <v>131</v>
      </c>
      <c r="C1448" s="1" t="n">
        <v>29</v>
      </c>
      <c r="D1448" s="1" t="s">
        <v>1651</v>
      </c>
      <c r="E1448" s="1" t="n">
        <v>1</v>
      </c>
      <c r="F1448" s="1" t="n">
        <v>54.62</v>
      </c>
      <c r="G1448" s="1" t="n">
        <v>0</v>
      </c>
      <c r="H1448" s="1" t="s">
        <v>1336</v>
      </c>
      <c r="I1448" s="1" t="n">
        <v>54.62</v>
      </c>
      <c r="J1448" s="1" t="str">
        <f aca="false">VLOOKUP(B1448,Customers!$A$2:$G$502,6,FALSE())</f>
        <v>Corporate</v>
      </c>
      <c r="K1448" s="1" t="str">
        <f aca="false">VLOOKUP(C1448,Products!$A$2:$E$62,3,FALSE())</f>
        <v>Office Supplies</v>
      </c>
      <c r="L1448" s="1" t="str">
        <f aca="false">TEXT(D1448,"yyyy-mm")</f>
        <v>2023-06</v>
      </c>
    </row>
    <row r="1449" customFormat="false" ht="15" hidden="false" customHeight="true" outlineLevel="0" collapsed="false">
      <c r="A1449" s="1" t="n">
        <v>1480</v>
      </c>
      <c r="B1449" s="1" t="n">
        <v>210</v>
      </c>
      <c r="C1449" s="1" t="n">
        <v>20</v>
      </c>
      <c r="D1449" s="1" t="s">
        <v>887</v>
      </c>
      <c r="E1449" s="1" t="n">
        <v>1</v>
      </c>
      <c r="F1449" s="1" t="n">
        <v>426.15</v>
      </c>
      <c r="G1449" s="1" t="n">
        <v>0.1</v>
      </c>
      <c r="H1449" s="1" t="s">
        <v>1336</v>
      </c>
      <c r="I1449" s="1" t="n">
        <v>383.54</v>
      </c>
      <c r="J1449" s="1" t="str">
        <f aca="false">VLOOKUP(B1449,Customers!$A$2:$G$502,6,FALSE())</f>
        <v>Corporate</v>
      </c>
      <c r="K1449" s="1" t="str">
        <f aca="false">VLOOKUP(C1449,Products!$A$2:$E$62,3,FALSE())</f>
        <v>Office Supplies</v>
      </c>
      <c r="L1449" s="1" t="str">
        <f aca="false">TEXT(D1449,"yyyy-mm")</f>
        <v>2023-06</v>
      </c>
    </row>
    <row r="1450" customFormat="false" ht="15" hidden="false" customHeight="true" outlineLevel="0" collapsed="false">
      <c r="A1450" s="1" t="n">
        <v>1481</v>
      </c>
      <c r="B1450" s="1" t="n">
        <v>401</v>
      </c>
      <c r="C1450" s="1" t="n">
        <v>51</v>
      </c>
      <c r="D1450" s="1" t="s">
        <v>1421</v>
      </c>
      <c r="E1450" s="1" t="n">
        <v>3</v>
      </c>
      <c r="F1450" s="1" t="n">
        <v>30.16</v>
      </c>
      <c r="G1450" s="1" t="n">
        <v>0</v>
      </c>
      <c r="H1450" s="1" t="s">
        <v>1336</v>
      </c>
      <c r="I1450" s="1" t="n">
        <v>90.48</v>
      </c>
      <c r="J1450" s="1" t="str">
        <f aca="false">VLOOKUP(B1450,Customers!$A$2:$G$502,6,FALSE())</f>
        <v>Consumer</v>
      </c>
      <c r="K1450" s="1" t="str">
        <f aca="false">VLOOKUP(C1450,Products!$A$2:$E$62,3,FALSE())</f>
        <v>Software</v>
      </c>
      <c r="L1450" s="1" t="str">
        <f aca="false">TEXT(D1450,"yyyy-mm")</f>
        <v>2023-06</v>
      </c>
    </row>
    <row r="1451" customFormat="false" ht="15" hidden="false" customHeight="true" outlineLevel="0" collapsed="false">
      <c r="A1451" s="1" t="n">
        <v>1482</v>
      </c>
      <c r="B1451" s="1" t="n">
        <v>414</v>
      </c>
      <c r="C1451" s="1" t="n">
        <v>13</v>
      </c>
      <c r="D1451" s="1" t="s">
        <v>1616</v>
      </c>
      <c r="E1451" s="1" t="n">
        <v>4</v>
      </c>
      <c r="F1451" s="1" t="n">
        <v>352.54</v>
      </c>
      <c r="G1451" s="1" t="n">
        <v>0.15</v>
      </c>
      <c r="H1451" s="1" t="s">
        <v>1336</v>
      </c>
      <c r="I1451" s="1" t="n">
        <v>1198.64</v>
      </c>
      <c r="J1451" s="1" t="str">
        <f aca="false">VLOOKUP(B1451,Customers!$A$2:$G$502,6,FALSE())</f>
        <v>Consumer</v>
      </c>
      <c r="K1451" s="1" t="str">
        <f aca="false">VLOOKUP(C1451,Products!$A$2:$E$62,3,FALSE())</f>
        <v>Electronics</v>
      </c>
      <c r="L1451" s="1" t="str">
        <f aca="false">TEXT(D1451,"yyyy-mm")</f>
        <v>2024-09</v>
      </c>
    </row>
    <row r="1452" customFormat="false" ht="15" hidden="false" customHeight="true" outlineLevel="0" collapsed="false">
      <c r="A1452" s="1" t="n">
        <v>1483</v>
      </c>
      <c r="B1452" s="1" t="n">
        <v>274</v>
      </c>
      <c r="C1452" s="1" t="n">
        <v>8</v>
      </c>
      <c r="D1452" s="1" t="s">
        <v>297</v>
      </c>
      <c r="E1452" s="1" t="n">
        <v>5</v>
      </c>
      <c r="F1452" s="1" t="n">
        <v>104.4</v>
      </c>
      <c r="G1452" s="1" t="n">
        <v>0.1</v>
      </c>
      <c r="H1452" s="1" t="s">
        <v>1336</v>
      </c>
      <c r="I1452" s="1" t="n">
        <v>469.8</v>
      </c>
      <c r="J1452" s="1" t="str">
        <f aca="false">VLOOKUP(B1452,Customers!$A$2:$G$502,6,FALSE())</f>
        <v>Corporate</v>
      </c>
      <c r="K1452" s="1" t="str">
        <f aca="false">VLOOKUP(C1452,Products!$A$2:$E$62,3,FALSE())</f>
        <v>Electronics</v>
      </c>
      <c r="L1452" s="1" t="str">
        <f aca="false">TEXT(D1452,"yyyy-mm")</f>
        <v>2024-04</v>
      </c>
    </row>
    <row r="1453" customFormat="false" ht="15" hidden="false" customHeight="true" outlineLevel="0" collapsed="false">
      <c r="A1453" s="1" t="n">
        <v>1484</v>
      </c>
      <c r="B1453" s="1" t="n">
        <v>126</v>
      </c>
      <c r="C1453" s="1" t="n">
        <v>51</v>
      </c>
      <c r="D1453" s="1" t="s">
        <v>586</v>
      </c>
      <c r="E1453" s="1" t="n">
        <v>2</v>
      </c>
      <c r="F1453" s="1" t="n">
        <v>30.16</v>
      </c>
      <c r="G1453" s="1" t="n">
        <v>0</v>
      </c>
      <c r="H1453" s="1" t="s">
        <v>1336</v>
      </c>
      <c r="I1453" s="1" t="n">
        <v>60.32</v>
      </c>
      <c r="J1453" s="1" t="str">
        <f aca="false">VLOOKUP(B1453,Customers!$A$2:$G$502,6,FALSE())</f>
        <v>Small Business</v>
      </c>
      <c r="K1453" s="1" t="str">
        <f aca="false">VLOOKUP(C1453,Products!$A$2:$E$62,3,FALSE())</f>
        <v>Software</v>
      </c>
      <c r="L1453" s="1" t="str">
        <f aca="false">TEXT(D1453,"yyyy-mm")</f>
        <v>2023-01</v>
      </c>
    </row>
    <row r="1454" customFormat="false" ht="15" hidden="false" customHeight="true" outlineLevel="0" collapsed="false">
      <c r="A1454" s="1" t="n">
        <v>1485</v>
      </c>
      <c r="B1454" s="1" t="n">
        <v>259</v>
      </c>
      <c r="C1454" s="1" t="n">
        <v>58</v>
      </c>
      <c r="D1454" s="1" t="s">
        <v>1527</v>
      </c>
      <c r="E1454" s="1" t="n">
        <v>8</v>
      </c>
      <c r="F1454" s="1" t="n">
        <v>515.55</v>
      </c>
      <c r="G1454" s="1" t="n">
        <v>0.05</v>
      </c>
      <c r="H1454" s="1" t="s">
        <v>1336</v>
      </c>
      <c r="I1454" s="1" t="n">
        <v>3918.18</v>
      </c>
      <c r="J1454" s="1" t="str">
        <f aca="false">VLOOKUP(B1454,Customers!$A$2:$G$502,6,FALSE())</f>
        <v>Consumer</v>
      </c>
      <c r="K1454" s="1" t="str">
        <f aca="false">VLOOKUP(C1454,Products!$A$2:$E$62,3,FALSE())</f>
        <v>Furniture</v>
      </c>
      <c r="L1454" s="1" t="str">
        <f aca="false">TEXT(D1454,"yyyy-mm")</f>
        <v>2023-02</v>
      </c>
    </row>
    <row r="1455" customFormat="false" ht="15" hidden="false" customHeight="true" outlineLevel="0" collapsed="false">
      <c r="A1455" s="1" t="n">
        <v>1486</v>
      </c>
      <c r="B1455" s="1" t="n">
        <v>442</v>
      </c>
      <c r="C1455" s="1" t="n">
        <v>39</v>
      </c>
      <c r="D1455" s="1" t="s">
        <v>1643</v>
      </c>
      <c r="E1455" s="1" t="n">
        <v>2</v>
      </c>
      <c r="F1455" s="1" t="n">
        <v>400.02</v>
      </c>
      <c r="G1455" s="1" t="n">
        <v>0.1</v>
      </c>
      <c r="H1455" s="1" t="s">
        <v>1336</v>
      </c>
      <c r="I1455" s="1" t="n">
        <v>720.04</v>
      </c>
      <c r="J1455" s="1" t="str">
        <f aca="false">VLOOKUP(B1455,Customers!$A$2:$G$502,6,FALSE())</f>
        <v>Small Business</v>
      </c>
      <c r="K1455" s="1" t="str">
        <f aca="false">VLOOKUP(C1455,Products!$A$2:$E$62,3,FALSE())</f>
        <v>Software</v>
      </c>
      <c r="L1455" s="1" t="str">
        <f aca="false">TEXT(D1455,"yyyy-mm")</f>
        <v>2024-01</v>
      </c>
    </row>
    <row r="1456" customFormat="false" ht="15" hidden="false" customHeight="true" outlineLevel="0" collapsed="false">
      <c r="A1456" s="1" t="n">
        <v>1487</v>
      </c>
      <c r="B1456" s="1" t="n">
        <v>366</v>
      </c>
      <c r="C1456" s="1" t="n">
        <v>16</v>
      </c>
      <c r="D1456" s="1" t="s">
        <v>73</v>
      </c>
      <c r="E1456" s="1" t="n">
        <v>9</v>
      </c>
      <c r="F1456" s="1" t="n">
        <v>330.91</v>
      </c>
      <c r="G1456" s="1" t="n">
        <v>0.15</v>
      </c>
      <c r="H1456" s="1" t="s">
        <v>1336</v>
      </c>
      <c r="I1456" s="1" t="n">
        <v>2531.46</v>
      </c>
      <c r="J1456" s="1" t="str">
        <f aca="false">VLOOKUP(B1456,Customers!$A$2:$G$502,6,FALSE())</f>
        <v>Corporate</v>
      </c>
      <c r="K1456" s="1" t="str">
        <f aca="false">VLOOKUP(C1456,Products!$A$2:$E$62,3,FALSE())</f>
        <v>Electronics</v>
      </c>
      <c r="L1456" s="1" t="str">
        <f aca="false">TEXT(D1456,"yyyy-mm")</f>
        <v>2023-06</v>
      </c>
    </row>
    <row r="1457" customFormat="false" ht="15" hidden="false" customHeight="true" outlineLevel="0" collapsed="false">
      <c r="A1457" s="1" t="n">
        <v>1488</v>
      </c>
      <c r="B1457" s="1" t="n">
        <v>148</v>
      </c>
      <c r="C1457" s="1" t="n">
        <v>30</v>
      </c>
      <c r="D1457" s="1" t="s">
        <v>1652</v>
      </c>
      <c r="E1457" s="1" t="n">
        <v>2</v>
      </c>
      <c r="F1457" s="1" t="n">
        <v>33.32</v>
      </c>
      <c r="G1457" s="1" t="n">
        <v>0.2</v>
      </c>
      <c r="H1457" s="1" t="s">
        <v>1336</v>
      </c>
      <c r="I1457" s="1" t="n">
        <v>53.31</v>
      </c>
      <c r="J1457" s="1" t="str">
        <f aca="false">VLOOKUP(B1457,Customers!$A$2:$G$502,6,FALSE())</f>
        <v>Corporate</v>
      </c>
      <c r="K1457" s="1" t="str">
        <f aca="false">VLOOKUP(C1457,Products!$A$2:$E$62,3,FALSE())</f>
        <v>Office Supplies</v>
      </c>
      <c r="L1457" s="1" t="str">
        <f aca="false">TEXT(D1457,"yyyy-mm")</f>
        <v>2024-06</v>
      </c>
    </row>
    <row r="1458" customFormat="false" ht="15" hidden="false" customHeight="true" outlineLevel="0" collapsed="false">
      <c r="A1458" s="1" t="n">
        <v>1489</v>
      </c>
      <c r="B1458" s="1" t="n">
        <v>456</v>
      </c>
      <c r="C1458" s="1" t="n">
        <v>34</v>
      </c>
      <c r="D1458" s="1" t="s">
        <v>1144</v>
      </c>
      <c r="E1458" s="1" t="n">
        <v>9</v>
      </c>
      <c r="F1458" s="1" t="n">
        <v>116.85</v>
      </c>
      <c r="G1458" s="1" t="n">
        <v>0.15</v>
      </c>
      <c r="H1458" s="1" t="s">
        <v>1370</v>
      </c>
      <c r="I1458" s="1" t="n">
        <v>893.9</v>
      </c>
      <c r="J1458" s="1" t="str">
        <f aca="false">VLOOKUP(B1458,Customers!$A$2:$G$502,6,FALSE())</f>
        <v>Consumer</v>
      </c>
      <c r="K1458" s="1" t="str">
        <f aca="false">VLOOKUP(C1458,Products!$A$2:$E$62,3,FALSE())</f>
        <v>Office Supplies</v>
      </c>
      <c r="L1458" s="1" t="str">
        <f aca="false">TEXT(D1458,"yyyy-mm")</f>
        <v>2024-04</v>
      </c>
    </row>
    <row r="1459" customFormat="false" ht="15" hidden="false" customHeight="true" outlineLevel="0" collapsed="false">
      <c r="A1459" s="1" t="n">
        <v>1490</v>
      </c>
      <c r="B1459" s="1" t="n">
        <v>384</v>
      </c>
      <c r="C1459" s="1" t="n">
        <v>26</v>
      </c>
      <c r="D1459" s="1" t="s">
        <v>251</v>
      </c>
      <c r="E1459" s="1" t="n">
        <v>7</v>
      </c>
      <c r="F1459" s="1" t="n">
        <v>733.85</v>
      </c>
      <c r="G1459" s="1" t="n">
        <v>0.1</v>
      </c>
      <c r="H1459" s="1" t="s">
        <v>1346</v>
      </c>
      <c r="I1459" s="1" t="n">
        <v>4623.26</v>
      </c>
      <c r="J1459" s="1" t="str">
        <f aca="false">VLOOKUP(B1459,Customers!$A$2:$G$502,6,FALSE())</f>
        <v>Corporate</v>
      </c>
      <c r="K1459" s="1" t="str">
        <f aca="false">VLOOKUP(C1459,Products!$A$2:$E$62,3,FALSE())</f>
        <v>Office Supplies</v>
      </c>
      <c r="L1459" s="1" t="str">
        <f aca="false">TEXT(D1459,"yyyy-mm")</f>
        <v>2023-09</v>
      </c>
    </row>
    <row r="1460" customFormat="false" ht="15" hidden="false" customHeight="true" outlineLevel="0" collapsed="false">
      <c r="A1460" s="1" t="n">
        <v>1491</v>
      </c>
      <c r="B1460" s="1" t="n">
        <v>19</v>
      </c>
      <c r="C1460" s="1" t="n">
        <v>14</v>
      </c>
      <c r="D1460" s="1" t="s">
        <v>127</v>
      </c>
      <c r="E1460" s="1" t="n">
        <v>8</v>
      </c>
      <c r="F1460" s="1" t="n">
        <v>135.27</v>
      </c>
      <c r="G1460" s="1" t="n">
        <v>0.1</v>
      </c>
      <c r="H1460" s="1" t="s">
        <v>1370</v>
      </c>
      <c r="I1460" s="1" t="n">
        <v>973.94</v>
      </c>
      <c r="J1460" s="1" t="str">
        <f aca="false">VLOOKUP(B1460,Customers!$A$2:$G$502,6,FALSE())</f>
        <v>Consumer</v>
      </c>
      <c r="K1460" s="1" t="str">
        <f aca="false">VLOOKUP(C1460,Products!$A$2:$E$62,3,FALSE())</f>
        <v>Electronics</v>
      </c>
      <c r="L1460" s="1" t="str">
        <f aca="false">TEXT(D1460,"yyyy-mm")</f>
        <v>2023-03</v>
      </c>
    </row>
    <row r="1461" customFormat="false" ht="15" hidden="false" customHeight="true" outlineLevel="0" collapsed="false">
      <c r="A1461" s="1" t="n">
        <v>1492</v>
      </c>
      <c r="B1461" s="1" t="n">
        <v>196</v>
      </c>
      <c r="C1461" s="1" t="n">
        <v>25</v>
      </c>
      <c r="D1461" s="1" t="s">
        <v>761</v>
      </c>
      <c r="E1461" s="1" t="n">
        <v>2</v>
      </c>
      <c r="F1461" s="1" t="n">
        <v>300.49</v>
      </c>
      <c r="G1461" s="1" t="n">
        <v>0</v>
      </c>
      <c r="H1461" s="1" t="s">
        <v>1336</v>
      </c>
      <c r="I1461" s="1" t="n">
        <v>600.98</v>
      </c>
      <c r="J1461" s="1" t="str">
        <f aca="false">VLOOKUP(B1461,Customers!$A$2:$G$502,6,FALSE())</f>
        <v>Corporate</v>
      </c>
      <c r="K1461" s="1" t="str">
        <f aca="false">VLOOKUP(C1461,Products!$A$2:$E$62,3,FALSE())</f>
        <v>Office Supplies</v>
      </c>
      <c r="L1461" s="1" t="str">
        <f aca="false">TEXT(D1461,"yyyy-mm")</f>
        <v>2023-11</v>
      </c>
    </row>
    <row r="1462" customFormat="false" ht="15" hidden="false" customHeight="true" outlineLevel="0" collapsed="false">
      <c r="A1462" s="1" t="n">
        <v>1493</v>
      </c>
      <c r="B1462" s="1" t="n">
        <v>397</v>
      </c>
      <c r="C1462" s="1" t="n">
        <v>41</v>
      </c>
      <c r="D1462" s="1" t="s">
        <v>1447</v>
      </c>
      <c r="E1462" s="1" t="n">
        <v>7</v>
      </c>
      <c r="F1462" s="1" t="n">
        <v>594.54</v>
      </c>
      <c r="G1462" s="1" t="n">
        <v>0.05</v>
      </c>
      <c r="H1462" s="1" t="s">
        <v>1336</v>
      </c>
      <c r="I1462" s="1" t="n">
        <v>3953.69</v>
      </c>
      <c r="J1462" s="1" t="str">
        <f aca="false">VLOOKUP(B1462,Customers!$A$2:$G$502,6,FALSE())</f>
        <v>Consumer</v>
      </c>
      <c r="K1462" s="1" t="str">
        <f aca="false">VLOOKUP(C1462,Products!$A$2:$E$62,3,FALSE())</f>
        <v>Software</v>
      </c>
      <c r="L1462" s="1" t="str">
        <f aca="false">TEXT(D1462,"yyyy-mm")</f>
        <v>2023-05</v>
      </c>
    </row>
    <row r="1463" customFormat="false" ht="15" hidden="false" customHeight="true" outlineLevel="0" collapsed="false">
      <c r="A1463" s="1" t="n">
        <v>1494</v>
      </c>
      <c r="B1463" s="1" t="n">
        <v>155</v>
      </c>
      <c r="C1463" s="1" t="n">
        <v>26</v>
      </c>
      <c r="D1463" s="1" t="s">
        <v>12</v>
      </c>
      <c r="E1463" s="1" t="n">
        <v>6</v>
      </c>
      <c r="F1463" s="1" t="n">
        <v>733.85</v>
      </c>
      <c r="G1463" s="1" t="n">
        <v>0</v>
      </c>
      <c r="H1463" s="1" t="s">
        <v>1336</v>
      </c>
      <c r="I1463" s="1" t="n">
        <v>4403.1</v>
      </c>
      <c r="J1463" s="1" t="str">
        <f aca="false">VLOOKUP(B1463,Customers!$A$2:$G$502,6,FALSE())</f>
        <v>Consumer</v>
      </c>
      <c r="K1463" s="1" t="str">
        <f aca="false">VLOOKUP(C1463,Products!$A$2:$E$62,3,FALSE())</f>
        <v>Office Supplies</v>
      </c>
      <c r="L1463" s="1" t="str">
        <f aca="false">TEXT(D1463,"yyyy-mm")</f>
        <v>2023-09</v>
      </c>
    </row>
    <row r="1464" customFormat="false" ht="15" hidden="false" customHeight="true" outlineLevel="0" collapsed="false">
      <c r="A1464" s="1" t="n">
        <v>1495</v>
      </c>
      <c r="B1464" s="1" t="n">
        <v>239</v>
      </c>
      <c r="C1464" s="1" t="n">
        <v>46</v>
      </c>
      <c r="D1464" s="1" t="s">
        <v>176</v>
      </c>
      <c r="E1464" s="1" t="n">
        <v>4</v>
      </c>
      <c r="F1464" s="1" t="n">
        <v>94.92</v>
      </c>
      <c r="G1464" s="1" t="n">
        <v>0</v>
      </c>
      <c r="H1464" s="1" t="s">
        <v>1346</v>
      </c>
      <c r="I1464" s="1" t="n">
        <v>379.68</v>
      </c>
      <c r="J1464" s="1" t="str">
        <f aca="false">VLOOKUP(B1464,Customers!$A$2:$G$502,6,FALSE())</f>
        <v>Corporate</v>
      </c>
      <c r="K1464" s="1" t="str">
        <f aca="false">VLOOKUP(C1464,Products!$A$2:$E$62,3,FALSE())</f>
        <v>Software</v>
      </c>
      <c r="L1464" s="1" t="str">
        <f aca="false">TEXT(D1464,"yyyy-mm")</f>
        <v>2024-04</v>
      </c>
    </row>
    <row r="1465" customFormat="false" ht="15" hidden="false" customHeight="true" outlineLevel="0" collapsed="false">
      <c r="A1465" s="1" t="n">
        <v>1496</v>
      </c>
      <c r="B1465" s="1" t="n">
        <v>486</v>
      </c>
      <c r="C1465" s="1" t="n">
        <v>10</v>
      </c>
      <c r="D1465" s="1" t="s">
        <v>1249</v>
      </c>
      <c r="E1465" s="1" t="n">
        <v>7</v>
      </c>
      <c r="F1465" s="1" t="n">
        <v>251.58</v>
      </c>
      <c r="G1465" s="1" t="n">
        <v>0</v>
      </c>
      <c r="H1465" s="1" t="s">
        <v>1336</v>
      </c>
      <c r="I1465" s="1" t="n">
        <v>1761.06</v>
      </c>
      <c r="J1465" s="1" t="str">
        <f aca="false">VLOOKUP(B1465,Customers!$A$2:$G$502,6,FALSE())</f>
        <v>Corporate</v>
      </c>
      <c r="K1465" s="1" t="str">
        <f aca="false">VLOOKUP(C1465,Products!$A$2:$E$62,3,FALSE())</f>
        <v>Electronics</v>
      </c>
      <c r="L1465" s="1" t="str">
        <f aca="false">TEXT(D1465,"yyyy-mm")</f>
        <v>2024-10</v>
      </c>
    </row>
    <row r="1466" customFormat="false" ht="15" hidden="false" customHeight="true" outlineLevel="0" collapsed="false">
      <c r="A1466" s="1" t="n">
        <v>1497</v>
      </c>
      <c r="B1466" s="1" t="n">
        <v>335</v>
      </c>
      <c r="C1466" s="1" t="n">
        <v>56</v>
      </c>
      <c r="D1466" s="1" t="s">
        <v>1166</v>
      </c>
      <c r="E1466" s="1" t="n">
        <v>4</v>
      </c>
      <c r="F1466" s="1" t="n">
        <v>160.64</v>
      </c>
      <c r="G1466" s="1" t="n">
        <v>0</v>
      </c>
      <c r="H1466" s="1" t="s">
        <v>1336</v>
      </c>
      <c r="I1466" s="1" t="n">
        <v>642.56</v>
      </c>
      <c r="J1466" s="1" t="str">
        <f aca="false">VLOOKUP(B1466,Customers!$A$2:$G$502,6,FALSE())</f>
        <v>Small Business</v>
      </c>
      <c r="K1466" s="1" t="str">
        <f aca="false">VLOOKUP(C1466,Products!$A$2:$E$62,3,FALSE())</f>
        <v>Furniture</v>
      </c>
      <c r="L1466" s="1" t="str">
        <f aca="false">TEXT(D1466,"yyyy-mm")</f>
        <v>2024-03</v>
      </c>
    </row>
    <row r="1467" customFormat="false" ht="15" hidden="false" customHeight="true" outlineLevel="0" collapsed="false">
      <c r="A1467" s="1" t="n">
        <v>1498</v>
      </c>
      <c r="B1467" s="1" t="n">
        <v>479</v>
      </c>
      <c r="C1467" s="1" t="n">
        <v>56</v>
      </c>
      <c r="D1467" s="1" t="s">
        <v>623</v>
      </c>
      <c r="E1467" s="1" t="n">
        <v>2</v>
      </c>
      <c r="F1467" s="1" t="n">
        <v>160.64</v>
      </c>
      <c r="G1467" s="1" t="n">
        <v>0</v>
      </c>
      <c r="H1467" s="1" t="s">
        <v>1336</v>
      </c>
      <c r="I1467" s="1" t="n">
        <v>321.28</v>
      </c>
      <c r="J1467" s="1" t="str">
        <f aca="false">VLOOKUP(B1467,Customers!$A$2:$G$502,6,FALSE())</f>
        <v>Small Business</v>
      </c>
      <c r="K1467" s="1" t="str">
        <f aca="false">VLOOKUP(C1467,Products!$A$2:$E$62,3,FALSE())</f>
        <v>Furniture</v>
      </c>
      <c r="L1467" s="1" t="str">
        <f aca="false">TEXT(D1467,"yyyy-mm")</f>
        <v>2024-05</v>
      </c>
    </row>
    <row r="1468" customFormat="false" ht="15" hidden="false" customHeight="true" outlineLevel="0" collapsed="false">
      <c r="A1468" s="1" t="n">
        <v>1499</v>
      </c>
      <c r="B1468" s="1" t="n">
        <v>52</v>
      </c>
      <c r="C1468" s="1" t="n">
        <v>10</v>
      </c>
      <c r="D1468" s="1" t="s">
        <v>489</v>
      </c>
      <c r="E1468" s="1" t="n">
        <v>7</v>
      </c>
      <c r="F1468" s="1" t="n">
        <v>251.58</v>
      </c>
      <c r="G1468" s="1" t="n">
        <v>0.1</v>
      </c>
      <c r="H1468" s="1" t="s">
        <v>1336</v>
      </c>
      <c r="I1468" s="1" t="n">
        <v>1584.95</v>
      </c>
      <c r="J1468" s="1" t="str">
        <f aca="false">VLOOKUP(B1468,Customers!$A$2:$G$502,6,FALSE())</f>
        <v>Small Business</v>
      </c>
      <c r="K1468" s="1" t="str">
        <f aca="false">VLOOKUP(C1468,Products!$A$2:$E$62,3,FALSE())</f>
        <v>Electronics</v>
      </c>
      <c r="L1468" s="1" t="str">
        <f aca="false">TEXT(D1468,"yyyy-mm")</f>
        <v>2024-12</v>
      </c>
    </row>
    <row r="1469" customFormat="false" ht="15" hidden="false" customHeight="true" outlineLevel="0" collapsed="false">
      <c r="A1469" s="1" t="n">
        <v>1500</v>
      </c>
      <c r="B1469" s="1" t="n">
        <v>13</v>
      </c>
      <c r="C1469" s="1" t="n">
        <v>29</v>
      </c>
      <c r="D1469" s="1" t="s">
        <v>1605</v>
      </c>
      <c r="E1469" s="1" t="n">
        <v>8</v>
      </c>
      <c r="F1469" s="1" t="n">
        <v>54.62</v>
      </c>
      <c r="G1469" s="1" t="n">
        <v>0</v>
      </c>
      <c r="H1469" s="1" t="s">
        <v>1336</v>
      </c>
      <c r="I1469" s="1" t="n">
        <v>436.96</v>
      </c>
      <c r="J1469" s="1" t="str">
        <f aca="false">VLOOKUP(B1469,Customers!$A$2:$G$502,6,FALSE())</f>
        <v>Corporate</v>
      </c>
      <c r="K1469" s="1" t="str">
        <f aca="false">VLOOKUP(C1469,Products!$A$2:$E$62,3,FALSE())</f>
        <v>Office Supplies</v>
      </c>
      <c r="L1469" s="1" t="str">
        <f aca="false">TEXT(D1469,"yyyy-mm")</f>
        <v>2024-02</v>
      </c>
    </row>
    <row r="1470" customFormat="false" ht="15" hidden="false" customHeight="true" outlineLevel="0" collapsed="false">
      <c r="A1470" s="1" t="n">
        <v>1501</v>
      </c>
      <c r="B1470" s="1" t="n">
        <v>27</v>
      </c>
      <c r="C1470" s="1" t="n">
        <v>52</v>
      </c>
      <c r="D1470" s="1" t="s">
        <v>1560</v>
      </c>
      <c r="E1470" s="1" t="n">
        <v>2</v>
      </c>
      <c r="F1470" s="1" t="n">
        <v>207.67</v>
      </c>
      <c r="G1470" s="1" t="n">
        <v>0.1</v>
      </c>
      <c r="H1470" s="1" t="s">
        <v>1336</v>
      </c>
      <c r="I1470" s="1" t="n">
        <v>373.81</v>
      </c>
      <c r="J1470" s="1" t="str">
        <f aca="false">VLOOKUP(B1470,Customers!$A$2:$G$502,6,FALSE())</f>
        <v>Small Business</v>
      </c>
      <c r="K1470" s="1" t="str">
        <f aca="false">VLOOKUP(C1470,Products!$A$2:$E$62,3,FALSE())</f>
        <v>Software</v>
      </c>
      <c r="L1470" s="1" t="str">
        <f aca="false">TEXT(D1470,"yyyy-mm")</f>
        <v>2024-06</v>
      </c>
    </row>
    <row r="1471" customFormat="false" ht="15" hidden="false" customHeight="true" outlineLevel="0" collapsed="false">
      <c r="A1471" s="1" t="n">
        <v>1502</v>
      </c>
      <c r="B1471" s="1" t="n">
        <v>19</v>
      </c>
      <c r="C1471" s="1" t="n">
        <v>43</v>
      </c>
      <c r="D1471" s="1" t="s">
        <v>1340</v>
      </c>
      <c r="E1471" s="1" t="n">
        <v>5</v>
      </c>
      <c r="F1471" s="1" t="n">
        <v>186.31</v>
      </c>
      <c r="G1471" s="1" t="n">
        <v>0.15</v>
      </c>
      <c r="H1471" s="1" t="s">
        <v>1336</v>
      </c>
      <c r="I1471" s="1" t="n">
        <v>791.82</v>
      </c>
      <c r="J1471" s="1" t="str">
        <f aca="false">VLOOKUP(B1471,Customers!$A$2:$G$502,6,FALSE())</f>
        <v>Consumer</v>
      </c>
      <c r="K1471" s="1" t="str">
        <f aca="false">VLOOKUP(C1471,Products!$A$2:$E$62,3,FALSE())</f>
        <v>Software</v>
      </c>
      <c r="L1471" s="1" t="str">
        <f aca="false">TEXT(D1471,"yyyy-mm")</f>
        <v>2024-07</v>
      </c>
    </row>
    <row r="1472" customFormat="false" ht="15" hidden="false" customHeight="true" outlineLevel="0" collapsed="false">
      <c r="A1472" s="1" t="n">
        <v>1503</v>
      </c>
      <c r="B1472" s="1" t="n">
        <v>423</v>
      </c>
      <c r="C1472" s="1" t="n">
        <v>25</v>
      </c>
      <c r="D1472" s="1" t="s">
        <v>1092</v>
      </c>
      <c r="E1472" s="1" t="n">
        <v>1</v>
      </c>
      <c r="F1472" s="1" t="n">
        <v>300.49</v>
      </c>
      <c r="G1472" s="1" t="n">
        <v>0.15</v>
      </c>
      <c r="H1472" s="1" t="s">
        <v>1336</v>
      </c>
      <c r="I1472" s="1" t="n">
        <v>255.42</v>
      </c>
      <c r="J1472" s="1" t="str">
        <f aca="false">VLOOKUP(B1472,Customers!$A$2:$G$502,6,FALSE())</f>
        <v>Small Business</v>
      </c>
      <c r="K1472" s="1" t="str">
        <f aca="false">VLOOKUP(C1472,Products!$A$2:$E$62,3,FALSE())</f>
        <v>Office Supplies</v>
      </c>
      <c r="L1472" s="1" t="str">
        <f aca="false">TEXT(D1472,"yyyy-mm")</f>
        <v>2023-12</v>
      </c>
    </row>
    <row r="1473" customFormat="false" ht="15" hidden="false" customHeight="true" outlineLevel="0" collapsed="false">
      <c r="A1473" s="1" t="n">
        <v>1504</v>
      </c>
      <c r="B1473" s="1" t="n">
        <v>391</v>
      </c>
      <c r="C1473" s="1" t="n">
        <v>59</v>
      </c>
      <c r="D1473" s="1" t="s">
        <v>1574</v>
      </c>
      <c r="E1473" s="1" t="n">
        <v>7</v>
      </c>
      <c r="F1473" s="1" t="n">
        <v>438.89</v>
      </c>
      <c r="G1473" s="1" t="n">
        <v>0</v>
      </c>
      <c r="H1473" s="1" t="s">
        <v>1336</v>
      </c>
      <c r="I1473" s="1" t="n">
        <v>3072.23</v>
      </c>
      <c r="J1473" s="1" t="str">
        <f aca="false">VLOOKUP(B1473,Customers!$A$2:$G$502,6,FALSE())</f>
        <v>Small Business</v>
      </c>
      <c r="K1473" s="1" t="str">
        <f aca="false">VLOOKUP(C1473,Products!$A$2:$E$62,3,FALSE())</f>
        <v>Furniture</v>
      </c>
      <c r="L1473" s="1" t="str">
        <f aca="false">TEXT(D1473,"yyyy-mm")</f>
        <v>2023-07</v>
      </c>
    </row>
    <row r="1474" customFormat="false" ht="15" hidden="false" customHeight="true" outlineLevel="0" collapsed="false">
      <c r="A1474" s="1" t="n">
        <v>1505</v>
      </c>
      <c r="B1474" s="1" t="n">
        <v>7</v>
      </c>
      <c r="C1474" s="1" t="n">
        <v>9</v>
      </c>
      <c r="D1474" s="1" t="s">
        <v>1030</v>
      </c>
      <c r="E1474" s="1" t="n">
        <v>8</v>
      </c>
      <c r="F1474" s="1" t="n">
        <v>203.1</v>
      </c>
      <c r="G1474" s="1" t="n">
        <v>0.05</v>
      </c>
      <c r="H1474" s="1" t="s">
        <v>1336</v>
      </c>
      <c r="I1474" s="1" t="n">
        <v>1543.56</v>
      </c>
      <c r="J1474" s="1" t="str">
        <f aca="false">VLOOKUP(B1474,Customers!$A$2:$G$502,6,FALSE())</f>
        <v>Small Business</v>
      </c>
      <c r="K1474" s="1" t="str">
        <f aca="false">VLOOKUP(C1474,Products!$A$2:$E$62,3,FALSE())</f>
        <v>Electronics</v>
      </c>
      <c r="L1474" s="1" t="str">
        <f aca="false">TEXT(D1474,"yyyy-mm")</f>
        <v>2023-07</v>
      </c>
    </row>
    <row r="1475" customFormat="false" ht="15" hidden="false" customHeight="true" outlineLevel="0" collapsed="false">
      <c r="A1475" s="1" t="n">
        <v>1506</v>
      </c>
      <c r="B1475" s="1" t="n">
        <v>281</v>
      </c>
      <c r="C1475" s="1" t="n">
        <v>37</v>
      </c>
      <c r="D1475" s="1" t="s">
        <v>429</v>
      </c>
      <c r="E1475" s="1" t="n">
        <v>6</v>
      </c>
      <c r="F1475" s="1" t="n">
        <v>13.95</v>
      </c>
      <c r="G1475" s="1" t="n">
        <v>0</v>
      </c>
      <c r="H1475" s="1" t="s">
        <v>1336</v>
      </c>
      <c r="I1475" s="1" t="n">
        <v>83.7</v>
      </c>
      <c r="J1475" s="1" t="str">
        <f aca="false">VLOOKUP(B1475,Customers!$A$2:$G$502,6,FALSE())</f>
        <v>Corporate</v>
      </c>
      <c r="K1475" s="1" t="str">
        <f aca="false">VLOOKUP(C1475,Products!$A$2:$E$62,3,FALSE())</f>
        <v>Software</v>
      </c>
      <c r="L1475" s="1" t="str">
        <f aca="false">TEXT(D1475,"yyyy-mm")</f>
        <v>2023-09</v>
      </c>
    </row>
    <row r="1476" customFormat="false" ht="15" hidden="false" customHeight="true" outlineLevel="0" collapsed="false">
      <c r="A1476" s="1" t="n">
        <v>1507</v>
      </c>
      <c r="B1476" s="1" t="n">
        <v>248</v>
      </c>
      <c r="C1476" s="1" t="n">
        <v>51</v>
      </c>
      <c r="D1476" s="1" t="s">
        <v>1001</v>
      </c>
      <c r="E1476" s="1" t="n">
        <v>5</v>
      </c>
      <c r="F1476" s="1" t="n">
        <v>30.16</v>
      </c>
      <c r="G1476" s="1" t="n">
        <v>0</v>
      </c>
      <c r="H1476" s="1" t="s">
        <v>1336</v>
      </c>
      <c r="I1476" s="1" t="n">
        <v>150.8</v>
      </c>
      <c r="J1476" s="1" t="str">
        <f aca="false">VLOOKUP(B1476,Customers!$A$2:$G$502,6,FALSE())</f>
        <v>Small Business</v>
      </c>
      <c r="K1476" s="1" t="str">
        <f aca="false">VLOOKUP(C1476,Products!$A$2:$E$62,3,FALSE())</f>
        <v>Software</v>
      </c>
      <c r="L1476" s="1" t="str">
        <f aca="false">TEXT(D1476,"yyyy-mm")</f>
        <v>2023-03</v>
      </c>
    </row>
    <row r="1477" customFormat="false" ht="15" hidden="false" customHeight="true" outlineLevel="0" collapsed="false">
      <c r="A1477" s="1" t="n">
        <v>1508</v>
      </c>
      <c r="B1477" s="1" t="n">
        <v>41</v>
      </c>
      <c r="C1477" s="1" t="n">
        <v>43</v>
      </c>
      <c r="D1477" s="1" t="s">
        <v>1608</v>
      </c>
      <c r="E1477" s="1" t="n">
        <v>6</v>
      </c>
      <c r="F1477" s="1" t="n">
        <v>186.31</v>
      </c>
      <c r="G1477" s="1" t="n">
        <v>0.2</v>
      </c>
      <c r="H1477" s="1" t="s">
        <v>1346</v>
      </c>
      <c r="I1477" s="1" t="n">
        <v>894.29</v>
      </c>
      <c r="J1477" s="1" t="str">
        <f aca="false">VLOOKUP(B1477,Customers!$A$2:$G$502,6,FALSE())</f>
        <v>Corporate</v>
      </c>
      <c r="K1477" s="1" t="str">
        <f aca="false">VLOOKUP(C1477,Products!$A$2:$E$62,3,FALSE())</f>
        <v>Software</v>
      </c>
      <c r="L1477" s="1" t="str">
        <f aca="false">TEXT(D1477,"yyyy-mm")</f>
        <v>2024-04</v>
      </c>
    </row>
    <row r="1478" customFormat="false" ht="15" hidden="false" customHeight="true" outlineLevel="0" collapsed="false">
      <c r="A1478" s="1" t="n">
        <v>1509</v>
      </c>
      <c r="B1478" s="1" t="n">
        <v>490</v>
      </c>
      <c r="C1478" s="1" t="n">
        <v>17</v>
      </c>
      <c r="D1478" s="1" t="s">
        <v>1477</v>
      </c>
      <c r="E1478" s="1" t="n">
        <v>2</v>
      </c>
      <c r="F1478" s="1" t="n">
        <v>65.61</v>
      </c>
      <c r="G1478" s="1" t="n">
        <v>0.1</v>
      </c>
      <c r="H1478" s="1" t="s">
        <v>1336</v>
      </c>
      <c r="I1478" s="1" t="n">
        <v>118.1</v>
      </c>
      <c r="J1478" s="1" t="str">
        <f aca="false">VLOOKUP(B1478,Customers!$A$2:$G$502,6,FALSE())</f>
        <v>Consumer</v>
      </c>
      <c r="K1478" s="1" t="str">
        <f aca="false">VLOOKUP(C1478,Products!$A$2:$E$62,3,FALSE())</f>
        <v>Electronics</v>
      </c>
      <c r="L1478" s="1" t="str">
        <f aca="false">TEXT(D1478,"yyyy-mm")</f>
        <v>2024-08</v>
      </c>
    </row>
    <row r="1479" customFormat="false" ht="15" hidden="false" customHeight="true" outlineLevel="0" collapsed="false">
      <c r="A1479" s="1" t="n">
        <v>1510</v>
      </c>
      <c r="B1479" s="1" t="n">
        <v>168</v>
      </c>
      <c r="C1479" s="1" t="n">
        <v>34</v>
      </c>
      <c r="D1479" s="1" t="s">
        <v>1341</v>
      </c>
      <c r="E1479" s="1" t="n">
        <v>1</v>
      </c>
      <c r="F1479" s="1" t="n">
        <v>116.85</v>
      </c>
      <c r="G1479" s="1" t="n">
        <v>0.15</v>
      </c>
      <c r="H1479" s="1" t="s">
        <v>1336</v>
      </c>
      <c r="I1479" s="1" t="n">
        <v>99.32</v>
      </c>
      <c r="J1479" s="1" t="str">
        <f aca="false">VLOOKUP(B1479,Customers!$A$2:$G$502,6,FALSE())</f>
        <v>Consumer</v>
      </c>
      <c r="K1479" s="1" t="str">
        <f aca="false">VLOOKUP(C1479,Products!$A$2:$E$62,3,FALSE())</f>
        <v>Office Supplies</v>
      </c>
      <c r="L1479" s="1" t="str">
        <f aca="false">TEXT(D1479,"yyyy-mm")</f>
        <v>2023-06</v>
      </c>
    </row>
    <row r="1480" customFormat="false" ht="15" hidden="false" customHeight="true" outlineLevel="0" collapsed="false">
      <c r="A1480" s="1" t="n">
        <v>1511</v>
      </c>
      <c r="B1480" s="1" t="n">
        <v>305</v>
      </c>
      <c r="C1480" s="1" t="n">
        <v>50</v>
      </c>
      <c r="D1480" s="1" t="s">
        <v>1489</v>
      </c>
      <c r="E1480" s="1" t="n">
        <v>7</v>
      </c>
      <c r="F1480" s="1" t="n">
        <v>19.73</v>
      </c>
      <c r="G1480" s="1" t="n">
        <v>0</v>
      </c>
      <c r="H1480" s="1" t="s">
        <v>1336</v>
      </c>
      <c r="I1480" s="1" t="n">
        <v>138.11</v>
      </c>
      <c r="J1480" s="1" t="str">
        <f aca="false">VLOOKUP(B1480,Customers!$A$2:$G$502,6,FALSE())</f>
        <v>Consumer</v>
      </c>
      <c r="K1480" s="1" t="str">
        <f aca="false">VLOOKUP(C1480,Products!$A$2:$E$62,3,FALSE())</f>
        <v>Software</v>
      </c>
      <c r="L1480" s="1" t="str">
        <f aca="false">TEXT(D1480,"yyyy-mm")</f>
        <v>2023-09</v>
      </c>
    </row>
    <row r="1481" customFormat="false" ht="15" hidden="false" customHeight="true" outlineLevel="0" collapsed="false">
      <c r="A1481" s="1" t="n">
        <v>1512</v>
      </c>
      <c r="B1481" s="1" t="n">
        <v>154</v>
      </c>
      <c r="C1481" s="1" t="n">
        <v>32</v>
      </c>
      <c r="D1481" s="1" t="s">
        <v>1571</v>
      </c>
      <c r="E1481" s="1" t="n">
        <v>7</v>
      </c>
      <c r="F1481" s="1" t="n">
        <v>492.27</v>
      </c>
      <c r="G1481" s="1" t="n">
        <v>0</v>
      </c>
      <c r="H1481" s="1" t="s">
        <v>1370</v>
      </c>
      <c r="I1481" s="1" t="n">
        <v>3445.89</v>
      </c>
      <c r="J1481" s="1" t="str">
        <f aca="false">VLOOKUP(B1481,Customers!$A$2:$G$502,6,FALSE())</f>
        <v>Small Business</v>
      </c>
      <c r="K1481" s="1" t="str">
        <f aca="false">VLOOKUP(C1481,Products!$A$2:$E$62,3,FALSE())</f>
        <v>Office Supplies</v>
      </c>
      <c r="L1481" s="1" t="str">
        <f aca="false">TEXT(D1481,"yyyy-mm")</f>
        <v>2024-02</v>
      </c>
    </row>
    <row r="1482" customFormat="false" ht="15" hidden="false" customHeight="true" outlineLevel="0" collapsed="false">
      <c r="A1482" s="1" t="n">
        <v>1513</v>
      </c>
      <c r="B1482" s="1" t="n">
        <v>76</v>
      </c>
      <c r="C1482" s="1" t="n">
        <v>36</v>
      </c>
      <c r="D1482" s="1" t="s">
        <v>1636</v>
      </c>
      <c r="E1482" s="1" t="n">
        <v>2</v>
      </c>
      <c r="F1482" s="1" t="n">
        <v>424.45</v>
      </c>
      <c r="G1482" s="1" t="n">
        <v>0.2</v>
      </c>
      <c r="H1482" s="1" t="s">
        <v>1336</v>
      </c>
      <c r="I1482" s="1" t="n">
        <v>679.12</v>
      </c>
      <c r="J1482" s="1" t="str">
        <f aca="false">VLOOKUP(B1482,Customers!$A$2:$G$502,6,FALSE())</f>
        <v>Consumer</v>
      </c>
      <c r="K1482" s="1" t="str">
        <f aca="false">VLOOKUP(C1482,Products!$A$2:$E$62,3,FALSE())</f>
        <v>Software</v>
      </c>
      <c r="L1482" s="1" t="str">
        <f aca="false">TEXT(D1482,"yyyy-mm")</f>
        <v>2023-08</v>
      </c>
    </row>
    <row r="1483" customFormat="false" ht="15" hidden="false" customHeight="true" outlineLevel="0" collapsed="false">
      <c r="A1483" s="1" t="n">
        <v>1514</v>
      </c>
      <c r="B1483" s="1" t="n">
        <v>475</v>
      </c>
      <c r="C1483" s="1" t="n">
        <v>7</v>
      </c>
      <c r="D1483" s="1" t="s">
        <v>1342</v>
      </c>
      <c r="E1483" s="1" t="n">
        <v>2</v>
      </c>
      <c r="F1483" s="1" t="n">
        <v>460</v>
      </c>
      <c r="G1483" s="1" t="n">
        <v>0.1</v>
      </c>
      <c r="H1483" s="1" t="s">
        <v>1336</v>
      </c>
      <c r="I1483" s="1" t="n">
        <v>828</v>
      </c>
      <c r="J1483" s="1" t="str">
        <f aca="false">VLOOKUP(B1483,Customers!$A$2:$G$502,6,FALSE())</f>
        <v>Small Business</v>
      </c>
      <c r="K1483" s="1" t="str">
        <f aca="false">VLOOKUP(C1483,Products!$A$2:$E$62,3,FALSE())</f>
        <v>Electronics</v>
      </c>
      <c r="L1483" s="1" t="str">
        <f aca="false">TEXT(D1483,"yyyy-mm")</f>
        <v>2024-12</v>
      </c>
    </row>
    <row r="1484" customFormat="false" ht="15" hidden="false" customHeight="true" outlineLevel="0" collapsed="false">
      <c r="A1484" s="1" t="n">
        <v>1515</v>
      </c>
      <c r="B1484" s="1" t="n">
        <v>154</v>
      </c>
      <c r="C1484" s="1" t="n">
        <v>6</v>
      </c>
      <c r="D1484" s="1" t="s">
        <v>94</v>
      </c>
      <c r="E1484" s="1" t="n">
        <v>1</v>
      </c>
      <c r="F1484" s="1" t="n">
        <v>28.51</v>
      </c>
      <c r="G1484" s="1" t="n">
        <v>0</v>
      </c>
      <c r="H1484" s="1" t="s">
        <v>1336</v>
      </c>
      <c r="I1484" s="1" t="n">
        <v>28.51</v>
      </c>
      <c r="J1484" s="1" t="str">
        <f aca="false">VLOOKUP(B1484,Customers!$A$2:$G$502,6,FALSE())</f>
        <v>Small Business</v>
      </c>
      <c r="K1484" s="1" t="str">
        <f aca="false">VLOOKUP(C1484,Products!$A$2:$E$62,3,FALSE())</f>
        <v>Electronics</v>
      </c>
      <c r="L1484" s="1" t="str">
        <f aca="false">TEXT(D1484,"yyyy-mm")</f>
        <v>2023-09</v>
      </c>
    </row>
    <row r="1485" customFormat="false" ht="15" hidden="false" customHeight="true" outlineLevel="0" collapsed="false">
      <c r="A1485" s="1" t="n">
        <v>1516</v>
      </c>
      <c r="B1485" s="1" t="n">
        <v>475</v>
      </c>
      <c r="C1485" s="1" t="n">
        <v>57</v>
      </c>
      <c r="D1485" s="1" t="s">
        <v>1527</v>
      </c>
      <c r="E1485" s="1" t="n">
        <v>8</v>
      </c>
      <c r="F1485" s="1" t="n">
        <v>719.76</v>
      </c>
      <c r="G1485" s="1" t="n">
        <v>0.05</v>
      </c>
      <c r="H1485" s="1" t="s">
        <v>1336</v>
      </c>
      <c r="I1485" s="1" t="n">
        <v>5470.18</v>
      </c>
      <c r="J1485" s="1" t="str">
        <f aca="false">VLOOKUP(B1485,Customers!$A$2:$G$502,6,FALSE())</f>
        <v>Small Business</v>
      </c>
      <c r="K1485" s="1" t="str">
        <f aca="false">VLOOKUP(C1485,Products!$A$2:$E$62,3,FALSE())</f>
        <v>Furniture</v>
      </c>
      <c r="L1485" s="1" t="str">
        <f aca="false">TEXT(D1485,"yyyy-mm")</f>
        <v>2023-02</v>
      </c>
    </row>
    <row r="1486" customFormat="false" ht="15" hidden="false" customHeight="true" outlineLevel="0" collapsed="false">
      <c r="A1486" s="1" t="n">
        <v>1517</v>
      </c>
      <c r="B1486" s="1" t="n">
        <v>171</v>
      </c>
      <c r="C1486" s="1" t="n">
        <v>24</v>
      </c>
      <c r="D1486" s="1" t="s">
        <v>673</v>
      </c>
      <c r="E1486" s="1" t="n">
        <v>8</v>
      </c>
      <c r="F1486" s="1" t="n">
        <v>207.34</v>
      </c>
      <c r="G1486" s="1" t="n">
        <v>0</v>
      </c>
      <c r="H1486" s="1" t="s">
        <v>1336</v>
      </c>
      <c r="I1486" s="1" t="n">
        <v>1658.72</v>
      </c>
      <c r="J1486" s="1" t="str">
        <f aca="false">VLOOKUP(B1486,Customers!$A$2:$G$502,6,FALSE())</f>
        <v>Small Business</v>
      </c>
      <c r="K1486" s="1" t="str">
        <f aca="false">VLOOKUP(C1486,Products!$A$2:$E$62,3,FALSE())</f>
        <v>Office Supplies</v>
      </c>
      <c r="L1486" s="1" t="str">
        <f aca="false">TEXT(D1486,"yyyy-mm")</f>
        <v>2023-05</v>
      </c>
    </row>
    <row r="1487" customFormat="false" ht="15" hidden="false" customHeight="true" outlineLevel="0" collapsed="false">
      <c r="A1487" s="1" t="n">
        <v>1518</v>
      </c>
      <c r="B1487" s="1" t="n">
        <v>302</v>
      </c>
      <c r="C1487" s="1" t="n">
        <v>14</v>
      </c>
      <c r="D1487" s="1" t="s">
        <v>1403</v>
      </c>
      <c r="E1487" s="1" t="n">
        <v>1</v>
      </c>
      <c r="F1487" s="1" t="n">
        <v>135.27</v>
      </c>
      <c r="G1487" s="1" t="n">
        <v>0.05</v>
      </c>
      <c r="H1487" s="1" t="s">
        <v>1336</v>
      </c>
      <c r="I1487" s="1" t="n">
        <v>128.51</v>
      </c>
      <c r="J1487" s="1" t="str">
        <f aca="false">VLOOKUP(B1487,Customers!$A$2:$G$502,6,FALSE())</f>
        <v>Corporate</v>
      </c>
      <c r="K1487" s="1" t="str">
        <f aca="false">VLOOKUP(C1487,Products!$A$2:$E$62,3,FALSE())</f>
        <v>Electronics</v>
      </c>
      <c r="L1487" s="1" t="str">
        <f aca="false">TEXT(D1487,"yyyy-mm")</f>
        <v>2024-02</v>
      </c>
    </row>
    <row r="1488" customFormat="false" ht="15" hidden="false" customHeight="true" outlineLevel="0" collapsed="false">
      <c r="A1488" s="1" t="n">
        <v>1519</v>
      </c>
      <c r="B1488" s="1" t="n">
        <v>82</v>
      </c>
      <c r="C1488" s="1" t="n">
        <v>39</v>
      </c>
      <c r="D1488" s="1" t="s">
        <v>1518</v>
      </c>
      <c r="E1488" s="1" t="n">
        <v>8</v>
      </c>
      <c r="F1488" s="1" t="n">
        <v>400.02</v>
      </c>
      <c r="G1488" s="1" t="n">
        <v>0.1</v>
      </c>
      <c r="H1488" s="1" t="s">
        <v>1336</v>
      </c>
      <c r="I1488" s="1" t="n">
        <v>2880.14</v>
      </c>
      <c r="J1488" s="1" t="str">
        <f aca="false">VLOOKUP(B1488,Customers!$A$2:$G$502,6,FALSE())</f>
        <v>Consumer</v>
      </c>
      <c r="K1488" s="1" t="str">
        <f aca="false">VLOOKUP(C1488,Products!$A$2:$E$62,3,FALSE())</f>
        <v>Software</v>
      </c>
      <c r="L1488" s="1" t="str">
        <f aca="false">TEXT(D1488,"yyyy-mm")</f>
        <v>2023-12</v>
      </c>
    </row>
    <row r="1489" customFormat="false" ht="15" hidden="false" customHeight="true" outlineLevel="0" collapsed="false">
      <c r="A1489" s="1" t="n">
        <v>1520</v>
      </c>
      <c r="B1489" s="1" t="n">
        <v>5</v>
      </c>
      <c r="C1489" s="1" t="n">
        <v>10</v>
      </c>
      <c r="D1489" s="1" t="s">
        <v>1154</v>
      </c>
      <c r="E1489" s="1" t="n">
        <v>9</v>
      </c>
      <c r="F1489" s="1" t="n">
        <v>251.58</v>
      </c>
      <c r="G1489" s="1" t="n">
        <v>0.05</v>
      </c>
      <c r="H1489" s="1" t="s">
        <v>1336</v>
      </c>
      <c r="I1489" s="1" t="n">
        <v>2151.01</v>
      </c>
      <c r="J1489" s="1" t="str">
        <f aca="false">VLOOKUP(B1489,Customers!$A$2:$G$502,6,FALSE())</f>
        <v>Small Business</v>
      </c>
      <c r="K1489" s="1" t="str">
        <f aca="false">VLOOKUP(C1489,Products!$A$2:$E$62,3,FALSE())</f>
        <v>Electronics</v>
      </c>
      <c r="L1489" s="1" t="str">
        <f aca="false">TEXT(D1489,"yyyy-mm")</f>
        <v>2024-07</v>
      </c>
    </row>
    <row r="1490" customFormat="false" ht="15" hidden="false" customHeight="true" outlineLevel="0" collapsed="false">
      <c r="A1490" s="1" t="n">
        <v>1521</v>
      </c>
      <c r="B1490" s="1" t="n">
        <v>332</v>
      </c>
      <c r="C1490" s="1" t="n">
        <v>10</v>
      </c>
      <c r="D1490" s="1" t="s">
        <v>408</v>
      </c>
      <c r="E1490" s="1" t="n">
        <v>4</v>
      </c>
      <c r="F1490" s="1" t="n">
        <v>251.58</v>
      </c>
      <c r="G1490" s="1" t="n">
        <v>0</v>
      </c>
      <c r="H1490" s="1" t="s">
        <v>1336</v>
      </c>
      <c r="I1490" s="1" t="n">
        <v>1006.32</v>
      </c>
      <c r="J1490" s="1" t="str">
        <f aca="false">VLOOKUP(B1490,Customers!$A$2:$G$502,6,FALSE())</f>
        <v>Consumer</v>
      </c>
      <c r="K1490" s="1" t="str">
        <f aca="false">VLOOKUP(C1490,Products!$A$2:$E$62,3,FALSE())</f>
        <v>Electronics</v>
      </c>
      <c r="L1490" s="1" t="str">
        <f aca="false">TEXT(D1490,"yyyy-mm")</f>
        <v>2023-02</v>
      </c>
    </row>
    <row r="1491" customFormat="false" ht="15" hidden="false" customHeight="true" outlineLevel="0" collapsed="false">
      <c r="A1491" s="1" t="n">
        <v>1522</v>
      </c>
      <c r="B1491" s="1" t="n">
        <v>348</v>
      </c>
      <c r="C1491" s="1" t="n">
        <v>44</v>
      </c>
      <c r="D1491" s="1" t="s">
        <v>1653</v>
      </c>
      <c r="E1491" s="1" t="n">
        <v>1</v>
      </c>
      <c r="F1491" s="1" t="n">
        <v>508.26</v>
      </c>
      <c r="G1491" s="1" t="n">
        <v>0</v>
      </c>
      <c r="H1491" s="1" t="s">
        <v>1336</v>
      </c>
      <c r="I1491" s="1" t="n">
        <v>508.26</v>
      </c>
      <c r="J1491" s="1" t="str">
        <f aca="false">VLOOKUP(B1491,Customers!$A$2:$G$502,6,FALSE())</f>
        <v>Consumer</v>
      </c>
      <c r="K1491" s="1" t="str">
        <f aca="false">VLOOKUP(C1491,Products!$A$2:$E$62,3,FALSE())</f>
        <v>Software</v>
      </c>
      <c r="L1491" s="1" t="str">
        <f aca="false">TEXT(D1491,"yyyy-mm")</f>
        <v>2024-12</v>
      </c>
    </row>
    <row r="1492" customFormat="false" ht="15" hidden="false" customHeight="true" outlineLevel="0" collapsed="false">
      <c r="A1492" s="1" t="n">
        <v>1523</v>
      </c>
      <c r="B1492" s="1" t="n">
        <v>52</v>
      </c>
      <c r="C1492" s="1" t="n">
        <v>3</v>
      </c>
      <c r="D1492" s="1" t="s">
        <v>1654</v>
      </c>
      <c r="E1492" s="1" t="n">
        <v>1</v>
      </c>
      <c r="F1492" s="1" t="n">
        <v>89.39</v>
      </c>
      <c r="G1492" s="1" t="n">
        <v>0</v>
      </c>
      <c r="H1492" s="1" t="s">
        <v>1370</v>
      </c>
      <c r="I1492" s="1" t="n">
        <v>89.39</v>
      </c>
      <c r="J1492" s="1" t="str">
        <f aca="false">VLOOKUP(B1492,Customers!$A$2:$G$502,6,FALSE())</f>
        <v>Small Business</v>
      </c>
      <c r="K1492" s="1" t="str">
        <f aca="false">VLOOKUP(C1492,Products!$A$2:$E$62,3,FALSE())</f>
        <v>Electronics</v>
      </c>
      <c r="L1492" s="1" t="str">
        <f aca="false">TEXT(D1492,"yyyy-mm")</f>
        <v>2024-08</v>
      </c>
    </row>
    <row r="1493" customFormat="false" ht="15" hidden="false" customHeight="true" outlineLevel="0" collapsed="false">
      <c r="A1493" s="1" t="n">
        <v>1524</v>
      </c>
      <c r="B1493" s="1" t="n">
        <v>88</v>
      </c>
      <c r="C1493" s="1" t="n">
        <v>58</v>
      </c>
      <c r="D1493" s="1" t="s">
        <v>1510</v>
      </c>
      <c r="E1493" s="1" t="n">
        <v>3</v>
      </c>
      <c r="F1493" s="1" t="n">
        <v>515.55</v>
      </c>
      <c r="G1493" s="1" t="n">
        <v>0.2</v>
      </c>
      <c r="H1493" s="1" t="s">
        <v>1370</v>
      </c>
      <c r="I1493" s="1" t="n">
        <v>1237.32</v>
      </c>
      <c r="J1493" s="1" t="str">
        <f aca="false">VLOOKUP(B1493,Customers!$A$2:$G$502,6,FALSE())</f>
        <v>Corporate</v>
      </c>
      <c r="K1493" s="1" t="str">
        <f aca="false">VLOOKUP(C1493,Products!$A$2:$E$62,3,FALSE())</f>
        <v>Furniture</v>
      </c>
      <c r="L1493" s="1" t="str">
        <f aca="false">TEXT(D1493,"yyyy-mm")</f>
        <v>2024-02</v>
      </c>
    </row>
    <row r="1494" customFormat="false" ht="15" hidden="false" customHeight="true" outlineLevel="0" collapsed="false">
      <c r="A1494" s="1" t="n">
        <v>1525</v>
      </c>
      <c r="B1494" s="1" t="n">
        <v>270</v>
      </c>
      <c r="C1494" s="1" t="n">
        <v>5</v>
      </c>
      <c r="D1494" s="1" t="s">
        <v>1382</v>
      </c>
      <c r="E1494" s="1" t="n">
        <v>5</v>
      </c>
      <c r="F1494" s="1" t="n">
        <v>439.06</v>
      </c>
      <c r="G1494" s="1" t="n">
        <v>0</v>
      </c>
      <c r="H1494" s="1" t="s">
        <v>1336</v>
      </c>
      <c r="I1494" s="1" t="n">
        <v>2195.3</v>
      </c>
      <c r="J1494" s="1" t="str">
        <f aca="false">VLOOKUP(B1494,Customers!$A$2:$G$502,6,FALSE())</f>
        <v>Small Business</v>
      </c>
      <c r="K1494" s="1" t="str">
        <f aca="false">VLOOKUP(C1494,Products!$A$2:$E$62,3,FALSE())</f>
        <v>Electronics</v>
      </c>
      <c r="L1494" s="1" t="str">
        <f aca="false">TEXT(D1494,"yyyy-mm")</f>
        <v>2024-09</v>
      </c>
    </row>
    <row r="1495" customFormat="false" ht="15" hidden="false" customHeight="true" outlineLevel="0" collapsed="false">
      <c r="A1495" s="1" t="n">
        <v>1526</v>
      </c>
      <c r="B1495" s="1" t="n">
        <v>398</v>
      </c>
      <c r="C1495" s="1" t="n">
        <v>45</v>
      </c>
      <c r="D1495" s="1" t="s">
        <v>645</v>
      </c>
      <c r="E1495" s="1" t="n">
        <v>5</v>
      </c>
      <c r="F1495" s="1" t="n">
        <v>560.01</v>
      </c>
      <c r="G1495" s="1" t="n">
        <v>0</v>
      </c>
      <c r="H1495" s="1" t="s">
        <v>1336</v>
      </c>
      <c r="I1495" s="1" t="n">
        <v>2800.05</v>
      </c>
      <c r="J1495" s="1" t="str">
        <f aca="false">VLOOKUP(B1495,Customers!$A$2:$G$502,6,FALSE())</f>
        <v>Small Business</v>
      </c>
      <c r="K1495" s="1" t="str">
        <f aca="false">VLOOKUP(C1495,Products!$A$2:$E$62,3,FALSE())</f>
        <v>Software</v>
      </c>
      <c r="L1495" s="1" t="str">
        <f aca="false">TEXT(D1495,"yyyy-mm")</f>
        <v>2024-06</v>
      </c>
    </row>
    <row r="1496" customFormat="false" ht="15" hidden="false" customHeight="true" outlineLevel="0" collapsed="false">
      <c r="A1496" s="1" t="n">
        <v>1527</v>
      </c>
      <c r="B1496" s="1" t="n">
        <v>174</v>
      </c>
      <c r="C1496" s="1" t="n">
        <v>43</v>
      </c>
      <c r="D1496" s="1" t="s">
        <v>148</v>
      </c>
      <c r="E1496" s="1" t="n">
        <v>9</v>
      </c>
      <c r="F1496" s="1" t="n">
        <v>186.31</v>
      </c>
      <c r="G1496" s="1" t="n">
        <v>0.15</v>
      </c>
      <c r="H1496" s="1" t="s">
        <v>1336</v>
      </c>
      <c r="I1496" s="1" t="n">
        <v>1425.27</v>
      </c>
      <c r="J1496" s="1" t="str">
        <f aca="false">VLOOKUP(B1496,Customers!$A$2:$G$502,6,FALSE())</f>
        <v>Small Business</v>
      </c>
      <c r="K1496" s="1" t="str">
        <f aca="false">VLOOKUP(C1496,Products!$A$2:$E$62,3,FALSE())</f>
        <v>Software</v>
      </c>
      <c r="L1496" s="1" t="str">
        <f aca="false">TEXT(D1496,"yyyy-mm")</f>
        <v>2023-06</v>
      </c>
    </row>
    <row r="1497" customFormat="false" ht="15" hidden="false" customHeight="true" outlineLevel="0" collapsed="false">
      <c r="A1497" s="1" t="n">
        <v>1528</v>
      </c>
      <c r="B1497" s="1" t="n">
        <v>335</v>
      </c>
      <c r="C1497" s="1" t="n">
        <v>46</v>
      </c>
      <c r="D1497" s="1" t="s">
        <v>106</v>
      </c>
      <c r="E1497" s="1" t="n">
        <v>2</v>
      </c>
      <c r="F1497" s="1" t="n">
        <v>94.92</v>
      </c>
      <c r="G1497" s="1" t="n">
        <v>0.05</v>
      </c>
      <c r="H1497" s="1" t="s">
        <v>1336</v>
      </c>
      <c r="I1497" s="1" t="n">
        <v>180.35</v>
      </c>
      <c r="J1497" s="1" t="str">
        <f aca="false">VLOOKUP(B1497,Customers!$A$2:$G$502,6,FALSE())</f>
        <v>Small Business</v>
      </c>
      <c r="K1497" s="1" t="str">
        <f aca="false">VLOOKUP(C1497,Products!$A$2:$E$62,3,FALSE())</f>
        <v>Software</v>
      </c>
      <c r="L1497" s="1" t="str">
        <f aca="false">TEXT(D1497,"yyyy-mm")</f>
        <v>2024-02</v>
      </c>
    </row>
    <row r="1498" customFormat="false" ht="15" hidden="false" customHeight="true" outlineLevel="0" collapsed="false">
      <c r="A1498" s="1" t="n">
        <v>1529</v>
      </c>
      <c r="B1498" s="1" t="n">
        <v>168</v>
      </c>
      <c r="C1498" s="1" t="n">
        <v>14</v>
      </c>
      <c r="D1498" s="1" t="s">
        <v>1365</v>
      </c>
      <c r="E1498" s="1" t="n">
        <v>2</v>
      </c>
      <c r="F1498" s="1" t="n">
        <v>135.27</v>
      </c>
      <c r="G1498" s="1" t="n">
        <v>0.05</v>
      </c>
      <c r="H1498" s="1" t="s">
        <v>1336</v>
      </c>
      <c r="I1498" s="1" t="n">
        <v>257.01</v>
      </c>
      <c r="J1498" s="1" t="str">
        <f aca="false">VLOOKUP(B1498,Customers!$A$2:$G$502,6,FALSE())</f>
        <v>Consumer</v>
      </c>
      <c r="K1498" s="1" t="str">
        <f aca="false">VLOOKUP(C1498,Products!$A$2:$E$62,3,FALSE())</f>
        <v>Electronics</v>
      </c>
      <c r="L1498" s="1" t="str">
        <f aca="false">TEXT(D1498,"yyyy-mm")</f>
        <v>2023-09</v>
      </c>
    </row>
    <row r="1499" customFormat="false" ht="15" hidden="false" customHeight="true" outlineLevel="0" collapsed="false">
      <c r="A1499" s="1" t="n">
        <v>1530</v>
      </c>
      <c r="B1499" s="1" t="n">
        <v>61</v>
      </c>
      <c r="C1499" s="1" t="n">
        <v>10</v>
      </c>
      <c r="D1499" s="1" t="s">
        <v>960</v>
      </c>
      <c r="E1499" s="1" t="n">
        <v>6</v>
      </c>
      <c r="F1499" s="1" t="n">
        <v>251.58</v>
      </c>
      <c r="G1499" s="1" t="n">
        <v>0.05</v>
      </c>
      <c r="H1499" s="1" t="s">
        <v>1336</v>
      </c>
      <c r="I1499" s="1" t="n">
        <v>1434.01</v>
      </c>
      <c r="J1499" s="1" t="str">
        <f aca="false">VLOOKUP(B1499,Customers!$A$2:$G$502,6,FALSE())</f>
        <v>Small Business</v>
      </c>
      <c r="K1499" s="1" t="str">
        <f aca="false">VLOOKUP(C1499,Products!$A$2:$E$62,3,FALSE())</f>
        <v>Electronics</v>
      </c>
      <c r="L1499" s="1" t="str">
        <f aca="false">TEXT(D1499,"yyyy-mm")</f>
        <v>2023-04</v>
      </c>
    </row>
    <row r="1500" customFormat="false" ht="15" hidden="false" customHeight="true" outlineLevel="0" collapsed="false">
      <c r="A1500" s="1" t="n">
        <v>1531</v>
      </c>
      <c r="B1500" s="1" t="n">
        <v>164</v>
      </c>
      <c r="C1500" s="1" t="n">
        <v>38</v>
      </c>
      <c r="D1500" s="1" t="s">
        <v>1655</v>
      </c>
      <c r="E1500" s="1" t="n">
        <v>9</v>
      </c>
      <c r="F1500" s="1" t="n">
        <v>521.63</v>
      </c>
      <c r="G1500" s="1" t="n">
        <v>0.15</v>
      </c>
      <c r="H1500" s="1" t="s">
        <v>1336</v>
      </c>
      <c r="I1500" s="1" t="n">
        <v>3990.47</v>
      </c>
      <c r="J1500" s="1" t="str">
        <f aca="false">VLOOKUP(B1500,Customers!$A$2:$G$502,6,FALSE())</f>
        <v>Consumer</v>
      </c>
      <c r="K1500" s="1" t="str">
        <f aca="false">VLOOKUP(C1500,Products!$A$2:$E$62,3,FALSE())</f>
        <v>Software</v>
      </c>
      <c r="L1500" s="1" t="str">
        <f aca="false">TEXT(D1500,"yyyy-mm")</f>
        <v>2023-09</v>
      </c>
    </row>
    <row r="1501" customFormat="false" ht="15" hidden="false" customHeight="true" outlineLevel="0" collapsed="false">
      <c r="A1501" s="1" t="n">
        <v>1532</v>
      </c>
      <c r="B1501" s="1" t="n">
        <v>344</v>
      </c>
      <c r="C1501" s="1" t="n">
        <v>36</v>
      </c>
      <c r="D1501" s="1" t="s">
        <v>737</v>
      </c>
      <c r="E1501" s="1" t="n">
        <v>1</v>
      </c>
      <c r="F1501" s="1" t="n">
        <v>424.45</v>
      </c>
      <c r="G1501" s="1" t="n">
        <v>0</v>
      </c>
      <c r="H1501" s="1" t="s">
        <v>1346</v>
      </c>
      <c r="I1501" s="1" t="n">
        <v>424.45</v>
      </c>
      <c r="J1501" s="1" t="str">
        <f aca="false">VLOOKUP(B1501,Customers!$A$2:$G$502,6,FALSE())</f>
        <v>Small Business</v>
      </c>
      <c r="K1501" s="1" t="str">
        <f aca="false">VLOOKUP(C1501,Products!$A$2:$E$62,3,FALSE())</f>
        <v>Software</v>
      </c>
      <c r="L1501" s="1" t="str">
        <f aca="false">TEXT(D1501,"yyyy-mm")</f>
        <v>2024-08</v>
      </c>
    </row>
    <row r="1502" customFormat="false" ht="15" hidden="false" customHeight="true" outlineLevel="0" collapsed="false">
      <c r="A1502" s="1" t="n">
        <v>1533</v>
      </c>
      <c r="B1502" s="1" t="n">
        <v>81</v>
      </c>
      <c r="C1502" s="1" t="n">
        <v>26</v>
      </c>
      <c r="D1502" s="1" t="s">
        <v>614</v>
      </c>
      <c r="E1502" s="1" t="n">
        <v>9</v>
      </c>
      <c r="F1502" s="1" t="n">
        <v>733.85</v>
      </c>
      <c r="G1502" s="1" t="n">
        <v>0</v>
      </c>
      <c r="H1502" s="1" t="s">
        <v>1336</v>
      </c>
      <c r="I1502" s="1" t="n">
        <v>6604.65</v>
      </c>
      <c r="J1502" s="1" t="str">
        <f aca="false">VLOOKUP(B1502,Customers!$A$2:$G$502,6,FALSE())</f>
        <v>Consumer</v>
      </c>
      <c r="K1502" s="1" t="str">
        <f aca="false">VLOOKUP(C1502,Products!$A$2:$E$62,3,FALSE())</f>
        <v>Office Supplies</v>
      </c>
      <c r="L1502" s="1" t="str">
        <f aca="false">TEXT(D1502,"yyyy-mm")</f>
        <v>2023-07</v>
      </c>
    </row>
    <row r="1503" customFormat="false" ht="15" hidden="false" customHeight="true" outlineLevel="0" collapsed="false">
      <c r="A1503" s="1" t="n">
        <v>1534</v>
      </c>
      <c r="B1503" s="1" t="n">
        <v>96</v>
      </c>
      <c r="C1503" s="1" t="n">
        <v>53</v>
      </c>
      <c r="D1503" s="1" t="s">
        <v>1414</v>
      </c>
      <c r="E1503" s="1" t="n">
        <v>9</v>
      </c>
      <c r="F1503" s="1" t="n">
        <v>509.98</v>
      </c>
      <c r="G1503" s="1" t="n">
        <v>0.05</v>
      </c>
      <c r="H1503" s="1" t="s">
        <v>1336</v>
      </c>
      <c r="I1503" s="1" t="n">
        <v>4360.33</v>
      </c>
      <c r="J1503" s="1" t="str">
        <f aca="false">VLOOKUP(B1503,Customers!$A$2:$G$502,6,FALSE())</f>
        <v>Corporate</v>
      </c>
      <c r="K1503" s="1" t="str">
        <f aca="false">VLOOKUP(C1503,Products!$A$2:$E$62,3,FALSE())</f>
        <v>Software</v>
      </c>
      <c r="L1503" s="1" t="str">
        <f aca="false">TEXT(D1503,"yyyy-mm")</f>
        <v>2024-05</v>
      </c>
    </row>
    <row r="1504" customFormat="false" ht="15" hidden="false" customHeight="true" outlineLevel="0" collapsed="false">
      <c r="A1504" s="1" t="n">
        <v>1535</v>
      </c>
      <c r="B1504" s="1" t="n">
        <v>69</v>
      </c>
      <c r="C1504" s="1" t="n">
        <v>53</v>
      </c>
      <c r="D1504" s="1" t="s">
        <v>1518</v>
      </c>
      <c r="E1504" s="1" t="n">
        <v>9</v>
      </c>
      <c r="F1504" s="1" t="n">
        <v>509.98</v>
      </c>
      <c r="G1504" s="1" t="n">
        <v>0.15</v>
      </c>
      <c r="H1504" s="1" t="s">
        <v>1370</v>
      </c>
      <c r="I1504" s="1" t="n">
        <v>3901.35</v>
      </c>
      <c r="J1504" s="1" t="str">
        <f aca="false">VLOOKUP(B1504,Customers!$A$2:$G$502,6,FALSE())</f>
        <v>Corporate</v>
      </c>
      <c r="K1504" s="1" t="str">
        <f aca="false">VLOOKUP(C1504,Products!$A$2:$E$62,3,FALSE())</f>
        <v>Software</v>
      </c>
      <c r="L1504" s="1" t="str">
        <f aca="false">TEXT(D1504,"yyyy-mm")</f>
        <v>2023-12</v>
      </c>
    </row>
    <row r="1505" customFormat="false" ht="15" hidden="false" customHeight="true" outlineLevel="0" collapsed="false">
      <c r="A1505" s="1" t="n">
        <v>1536</v>
      </c>
      <c r="B1505" s="1" t="n">
        <v>291</v>
      </c>
      <c r="C1505" s="1" t="n">
        <v>56</v>
      </c>
      <c r="D1505" s="1" t="s">
        <v>1653</v>
      </c>
      <c r="E1505" s="1" t="n">
        <v>5</v>
      </c>
      <c r="F1505" s="1" t="n">
        <v>160.64</v>
      </c>
      <c r="G1505" s="1" t="n">
        <v>0</v>
      </c>
      <c r="H1505" s="1" t="s">
        <v>1336</v>
      </c>
      <c r="I1505" s="1" t="n">
        <v>803.2</v>
      </c>
      <c r="J1505" s="1" t="str">
        <f aca="false">VLOOKUP(B1505,Customers!$A$2:$G$502,6,FALSE())</f>
        <v>Consumer</v>
      </c>
      <c r="K1505" s="1" t="str">
        <f aca="false">VLOOKUP(C1505,Products!$A$2:$E$62,3,FALSE())</f>
        <v>Furniture</v>
      </c>
      <c r="L1505" s="1" t="str">
        <f aca="false">TEXT(D1505,"yyyy-mm")</f>
        <v>2024-12</v>
      </c>
    </row>
    <row r="1506" customFormat="false" ht="15" hidden="false" customHeight="true" outlineLevel="0" collapsed="false">
      <c r="A1506" s="1" t="n">
        <v>1537</v>
      </c>
      <c r="B1506" s="1" t="n">
        <v>250</v>
      </c>
      <c r="C1506" s="1" t="n">
        <v>57</v>
      </c>
      <c r="D1506" s="1" t="s">
        <v>1422</v>
      </c>
      <c r="E1506" s="1" t="n">
        <v>9</v>
      </c>
      <c r="F1506" s="1" t="n">
        <v>719.76</v>
      </c>
      <c r="G1506" s="1" t="n">
        <v>0</v>
      </c>
      <c r="H1506" s="1" t="s">
        <v>1336</v>
      </c>
      <c r="I1506" s="1" t="n">
        <v>6477.84</v>
      </c>
      <c r="J1506" s="1" t="str">
        <f aca="false">VLOOKUP(B1506,Customers!$A$2:$G$502,6,FALSE())</f>
        <v>Consumer</v>
      </c>
      <c r="K1506" s="1" t="str">
        <f aca="false">VLOOKUP(C1506,Products!$A$2:$E$62,3,FALSE())</f>
        <v>Furniture</v>
      </c>
      <c r="L1506" s="1" t="str">
        <f aca="false">TEXT(D1506,"yyyy-mm")</f>
        <v>2023-12</v>
      </c>
    </row>
    <row r="1507" customFormat="false" ht="15" hidden="false" customHeight="true" outlineLevel="0" collapsed="false">
      <c r="A1507" s="1" t="n">
        <v>1538</v>
      </c>
      <c r="B1507" s="1" t="n">
        <v>143</v>
      </c>
      <c r="C1507" s="1" t="n">
        <v>59</v>
      </c>
      <c r="D1507" s="1" t="s">
        <v>1380</v>
      </c>
      <c r="E1507" s="1" t="n">
        <v>4</v>
      </c>
      <c r="F1507" s="1" t="n">
        <v>438.89</v>
      </c>
      <c r="G1507" s="1" t="n">
        <v>0</v>
      </c>
      <c r="H1507" s="1" t="s">
        <v>1336</v>
      </c>
      <c r="I1507" s="1" t="n">
        <v>1755.56</v>
      </c>
      <c r="J1507" s="1" t="str">
        <f aca="false">VLOOKUP(B1507,Customers!$A$2:$G$502,6,FALSE())</f>
        <v>Small Business</v>
      </c>
      <c r="K1507" s="1" t="str">
        <f aca="false">VLOOKUP(C1507,Products!$A$2:$E$62,3,FALSE())</f>
        <v>Furniture</v>
      </c>
      <c r="L1507" s="1" t="str">
        <f aca="false">TEXT(D1507,"yyyy-mm")</f>
        <v>2023-07</v>
      </c>
    </row>
    <row r="1508" customFormat="false" ht="15" hidden="false" customHeight="true" outlineLevel="0" collapsed="false">
      <c r="A1508" s="1" t="n">
        <v>1539</v>
      </c>
      <c r="B1508" s="1" t="n">
        <v>176</v>
      </c>
      <c r="C1508" s="1" t="n">
        <v>52</v>
      </c>
      <c r="D1508" s="1" t="s">
        <v>530</v>
      </c>
      <c r="E1508" s="1" t="n">
        <v>2</v>
      </c>
      <c r="F1508" s="1" t="n">
        <v>207.67</v>
      </c>
      <c r="G1508" s="1" t="n">
        <v>0</v>
      </c>
      <c r="H1508" s="1" t="s">
        <v>1336</v>
      </c>
      <c r="I1508" s="1" t="n">
        <v>415.34</v>
      </c>
      <c r="J1508" s="1" t="str">
        <f aca="false">VLOOKUP(B1508,Customers!$A$2:$G$502,6,FALSE())</f>
        <v>Corporate</v>
      </c>
      <c r="K1508" s="1" t="str">
        <f aca="false">VLOOKUP(C1508,Products!$A$2:$E$62,3,FALSE())</f>
        <v>Software</v>
      </c>
      <c r="L1508" s="1" t="str">
        <f aca="false">TEXT(D1508,"yyyy-mm")</f>
        <v>2024-09</v>
      </c>
    </row>
    <row r="1509" customFormat="false" ht="15" hidden="false" customHeight="true" outlineLevel="0" collapsed="false">
      <c r="A1509" s="1" t="n">
        <v>1540</v>
      </c>
      <c r="B1509" s="1" t="n">
        <v>104</v>
      </c>
      <c r="C1509" s="1" t="n">
        <v>14</v>
      </c>
      <c r="D1509" s="1" t="s">
        <v>1468</v>
      </c>
      <c r="E1509" s="1" t="n">
        <v>6</v>
      </c>
      <c r="F1509" s="1" t="n">
        <v>135.27</v>
      </c>
      <c r="G1509" s="1" t="n">
        <v>0</v>
      </c>
      <c r="H1509" s="1" t="s">
        <v>1336</v>
      </c>
      <c r="I1509" s="1" t="n">
        <v>811.62</v>
      </c>
      <c r="J1509" s="1" t="str">
        <f aca="false">VLOOKUP(B1509,Customers!$A$2:$G$502,6,FALSE())</f>
        <v>Corporate</v>
      </c>
      <c r="K1509" s="1" t="str">
        <f aca="false">VLOOKUP(C1509,Products!$A$2:$E$62,3,FALSE())</f>
        <v>Electronics</v>
      </c>
      <c r="L1509" s="1" t="str">
        <f aca="false">TEXT(D1509,"yyyy-mm")</f>
        <v>2023-06</v>
      </c>
    </row>
    <row r="1510" customFormat="false" ht="15" hidden="false" customHeight="true" outlineLevel="0" collapsed="false">
      <c r="A1510" s="1" t="n">
        <v>1541</v>
      </c>
      <c r="B1510" s="1" t="n">
        <v>201</v>
      </c>
      <c r="C1510" s="1" t="n">
        <v>57</v>
      </c>
      <c r="D1510" s="1" t="s">
        <v>1652</v>
      </c>
      <c r="E1510" s="1" t="n">
        <v>4</v>
      </c>
      <c r="F1510" s="1" t="n">
        <v>719.76</v>
      </c>
      <c r="G1510" s="1" t="n">
        <v>0.1</v>
      </c>
      <c r="H1510" s="1" t="s">
        <v>1336</v>
      </c>
      <c r="I1510" s="1" t="n">
        <v>2591.14</v>
      </c>
      <c r="J1510" s="1" t="str">
        <f aca="false">VLOOKUP(B1510,Customers!$A$2:$G$502,6,FALSE())</f>
        <v>Corporate</v>
      </c>
      <c r="K1510" s="1" t="str">
        <f aca="false">VLOOKUP(C1510,Products!$A$2:$E$62,3,FALSE())</f>
        <v>Furniture</v>
      </c>
      <c r="L1510" s="1" t="str">
        <f aca="false">TEXT(D1510,"yyyy-mm")</f>
        <v>2024-06</v>
      </c>
    </row>
    <row r="1511" customFormat="false" ht="15" hidden="false" customHeight="true" outlineLevel="0" collapsed="false">
      <c r="A1511" s="1" t="n">
        <v>1542</v>
      </c>
      <c r="B1511" s="1" t="n">
        <v>410</v>
      </c>
      <c r="C1511" s="1" t="n">
        <v>3</v>
      </c>
      <c r="D1511" s="1" t="s">
        <v>1202</v>
      </c>
      <c r="E1511" s="1" t="n">
        <v>6</v>
      </c>
      <c r="F1511" s="1" t="n">
        <v>89.39</v>
      </c>
      <c r="G1511" s="1" t="n">
        <v>0.15</v>
      </c>
      <c r="H1511" s="1" t="s">
        <v>1336</v>
      </c>
      <c r="I1511" s="1" t="n">
        <v>455.89</v>
      </c>
      <c r="J1511" s="1" t="str">
        <f aca="false">VLOOKUP(B1511,Customers!$A$2:$G$502,6,FALSE())</f>
        <v>Consumer</v>
      </c>
      <c r="K1511" s="1" t="str">
        <f aca="false">VLOOKUP(C1511,Products!$A$2:$E$62,3,FALSE())</f>
        <v>Electronics</v>
      </c>
      <c r="L1511" s="1" t="str">
        <f aca="false">TEXT(D1511,"yyyy-mm")</f>
        <v>2024-04</v>
      </c>
    </row>
    <row r="1512" customFormat="false" ht="15" hidden="false" customHeight="true" outlineLevel="0" collapsed="false">
      <c r="A1512" s="1" t="n">
        <v>1543</v>
      </c>
      <c r="B1512" s="1" t="n">
        <v>146</v>
      </c>
      <c r="C1512" s="1" t="n">
        <v>22</v>
      </c>
      <c r="D1512" s="1" t="s">
        <v>1376</v>
      </c>
      <c r="E1512" s="1" t="n">
        <v>3</v>
      </c>
      <c r="F1512" s="1" t="n">
        <v>38.57</v>
      </c>
      <c r="G1512" s="1" t="n">
        <v>0.05</v>
      </c>
      <c r="H1512" s="1" t="s">
        <v>1336</v>
      </c>
      <c r="I1512" s="1" t="n">
        <v>109.92</v>
      </c>
      <c r="J1512" s="1" t="str">
        <f aca="false">VLOOKUP(B1512,Customers!$A$2:$G$502,6,FALSE())</f>
        <v>Consumer</v>
      </c>
      <c r="K1512" s="1" t="str">
        <f aca="false">VLOOKUP(C1512,Products!$A$2:$E$62,3,FALSE())</f>
        <v>Office Supplies</v>
      </c>
      <c r="L1512" s="1" t="str">
        <f aca="false">TEXT(D1512,"yyyy-mm")</f>
        <v>2023-01</v>
      </c>
    </row>
    <row r="1513" customFormat="false" ht="15" hidden="false" customHeight="true" outlineLevel="0" collapsed="false">
      <c r="A1513" s="1" t="n">
        <v>1544</v>
      </c>
      <c r="B1513" s="1" t="n">
        <v>214</v>
      </c>
      <c r="C1513" s="1" t="n">
        <v>60</v>
      </c>
      <c r="D1513" s="1" t="s">
        <v>1632</v>
      </c>
      <c r="E1513" s="1" t="n">
        <v>6</v>
      </c>
      <c r="F1513" s="1" t="n">
        <v>584.98</v>
      </c>
      <c r="G1513" s="1" t="n">
        <v>0.1</v>
      </c>
      <c r="H1513" s="1" t="s">
        <v>1336</v>
      </c>
      <c r="I1513" s="1" t="n">
        <v>3158.89</v>
      </c>
      <c r="J1513" s="1" t="str">
        <f aca="false">VLOOKUP(B1513,Customers!$A$2:$G$502,6,FALSE())</f>
        <v>Corporate</v>
      </c>
      <c r="K1513" s="1" t="str">
        <f aca="false">VLOOKUP(C1513,Products!$A$2:$E$62,3,FALSE())</f>
        <v>Furniture</v>
      </c>
      <c r="L1513" s="1" t="str">
        <f aca="false">TEXT(D1513,"yyyy-mm")</f>
        <v>2024-04</v>
      </c>
    </row>
    <row r="1514" customFormat="false" ht="15" hidden="false" customHeight="true" outlineLevel="0" collapsed="false">
      <c r="A1514" s="1" t="n">
        <v>1545</v>
      </c>
      <c r="B1514" s="1" t="n">
        <v>136</v>
      </c>
      <c r="C1514" s="1" t="n">
        <v>20</v>
      </c>
      <c r="D1514" s="1" t="s">
        <v>103</v>
      </c>
      <c r="E1514" s="1" t="n">
        <v>2</v>
      </c>
      <c r="F1514" s="1" t="n">
        <v>426.15</v>
      </c>
      <c r="G1514" s="1" t="n">
        <v>0.2</v>
      </c>
      <c r="H1514" s="1" t="s">
        <v>1336</v>
      </c>
      <c r="I1514" s="1" t="n">
        <v>681.84</v>
      </c>
      <c r="J1514" s="1" t="str">
        <f aca="false">VLOOKUP(B1514,Customers!$A$2:$G$502,6,FALSE())</f>
        <v>Corporate</v>
      </c>
      <c r="K1514" s="1" t="str">
        <f aca="false">VLOOKUP(C1514,Products!$A$2:$E$62,3,FALSE())</f>
        <v>Office Supplies</v>
      </c>
      <c r="L1514" s="1" t="str">
        <f aca="false">TEXT(D1514,"yyyy-mm")</f>
        <v>2024-10</v>
      </c>
    </row>
    <row r="1515" customFormat="false" ht="15" hidden="false" customHeight="true" outlineLevel="0" collapsed="false">
      <c r="A1515" s="1" t="n">
        <v>1546</v>
      </c>
      <c r="B1515" s="1" t="n">
        <v>136</v>
      </c>
      <c r="C1515" s="1" t="n">
        <v>1</v>
      </c>
      <c r="D1515" s="1" t="s">
        <v>1428</v>
      </c>
      <c r="E1515" s="1" t="n">
        <v>2</v>
      </c>
      <c r="F1515" s="1" t="n">
        <v>327.32</v>
      </c>
      <c r="G1515" s="1" t="n">
        <v>0</v>
      </c>
      <c r="H1515" s="1" t="s">
        <v>1336</v>
      </c>
      <c r="I1515" s="1" t="n">
        <v>654.64</v>
      </c>
      <c r="J1515" s="1" t="str">
        <f aca="false">VLOOKUP(B1515,Customers!$A$2:$G$502,6,FALSE())</f>
        <v>Corporate</v>
      </c>
      <c r="K1515" s="1" t="str">
        <f aca="false">VLOOKUP(C1515,Products!$A$2:$E$62,3,FALSE())</f>
        <v>Electronics</v>
      </c>
      <c r="L1515" s="1" t="str">
        <f aca="false">TEXT(D1515,"yyyy-mm")</f>
        <v>2024-06</v>
      </c>
    </row>
    <row r="1516" customFormat="false" ht="15" hidden="false" customHeight="true" outlineLevel="0" collapsed="false">
      <c r="A1516" s="1" t="n">
        <v>1547</v>
      </c>
      <c r="B1516" s="1" t="n">
        <v>221</v>
      </c>
      <c r="C1516" s="1" t="n">
        <v>4</v>
      </c>
      <c r="D1516" s="1" t="s">
        <v>1191</v>
      </c>
      <c r="E1516" s="1" t="n">
        <v>9</v>
      </c>
      <c r="F1516" s="1" t="n">
        <v>56.24</v>
      </c>
      <c r="G1516" s="1" t="n">
        <v>0.2</v>
      </c>
      <c r="H1516" s="1" t="s">
        <v>1336</v>
      </c>
      <c r="I1516" s="1" t="n">
        <v>404.93</v>
      </c>
      <c r="J1516" s="1" t="str">
        <f aca="false">VLOOKUP(B1516,Customers!$A$2:$G$502,6,FALSE())</f>
        <v>Consumer</v>
      </c>
      <c r="K1516" s="1" t="str">
        <f aca="false">VLOOKUP(C1516,Products!$A$2:$E$62,3,FALSE())</f>
        <v>Electronics</v>
      </c>
      <c r="L1516" s="1" t="str">
        <f aca="false">TEXT(D1516,"yyyy-mm")</f>
        <v>2023-03</v>
      </c>
    </row>
    <row r="1517" customFormat="false" ht="15" hidden="false" customHeight="true" outlineLevel="0" collapsed="false">
      <c r="A1517" s="1" t="n">
        <v>1548</v>
      </c>
      <c r="B1517" s="1" t="n">
        <v>9</v>
      </c>
      <c r="C1517" s="1" t="n">
        <v>33</v>
      </c>
      <c r="D1517" s="1" t="s">
        <v>1249</v>
      </c>
      <c r="E1517" s="1" t="n">
        <v>7</v>
      </c>
      <c r="F1517" s="1" t="n">
        <v>190.1</v>
      </c>
      <c r="G1517" s="1" t="n">
        <v>0.2</v>
      </c>
      <c r="H1517" s="1" t="s">
        <v>1336</v>
      </c>
      <c r="I1517" s="1" t="n">
        <v>1064.56</v>
      </c>
      <c r="J1517" s="1" t="str">
        <f aca="false">VLOOKUP(B1517,Customers!$A$2:$G$502,6,FALSE())</f>
        <v>Small Business</v>
      </c>
      <c r="K1517" s="1" t="str">
        <f aca="false">VLOOKUP(C1517,Products!$A$2:$E$62,3,FALSE())</f>
        <v>Office Supplies</v>
      </c>
      <c r="L1517" s="1" t="str">
        <f aca="false">TEXT(D1517,"yyyy-mm")</f>
        <v>2024-10</v>
      </c>
    </row>
    <row r="1518" customFormat="false" ht="15" hidden="false" customHeight="true" outlineLevel="0" collapsed="false">
      <c r="A1518" s="1" t="n">
        <v>1549</v>
      </c>
      <c r="B1518" s="1" t="n">
        <v>110</v>
      </c>
      <c r="C1518" s="1" t="n">
        <v>35</v>
      </c>
      <c r="D1518" s="1" t="s">
        <v>277</v>
      </c>
      <c r="E1518" s="1" t="n">
        <v>3</v>
      </c>
      <c r="F1518" s="1" t="n">
        <v>75.78</v>
      </c>
      <c r="G1518" s="1" t="n">
        <v>0.1</v>
      </c>
      <c r="H1518" s="1" t="s">
        <v>1336</v>
      </c>
      <c r="I1518" s="1" t="n">
        <v>204.61</v>
      </c>
      <c r="J1518" s="1" t="str">
        <f aca="false">VLOOKUP(B1518,Customers!$A$2:$G$502,6,FALSE())</f>
        <v>Corporate</v>
      </c>
      <c r="K1518" s="1" t="str">
        <f aca="false">VLOOKUP(C1518,Products!$A$2:$E$62,3,FALSE())</f>
        <v>Software</v>
      </c>
      <c r="L1518" s="1" t="str">
        <f aca="false">TEXT(D1518,"yyyy-mm")</f>
        <v>2024-11</v>
      </c>
    </row>
    <row r="1519" customFormat="false" ht="15" hidden="false" customHeight="true" outlineLevel="0" collapsed="false">
      <c r="A1519" s="1" t="n">
        <v>1550</v>
      </c>
      <c r="B1519" s="1" t="n">
        <v>288</v>
      </c>
      <c r="C1519" s="1" t="n">
        <v>47</v>
      </c>
      <c r="D1519" s="1" t="s">
        <v>325</v>
      </c>
      <c r="E1519" s="1" t="n">
        <v>1</v>
      </c>
      <c r="F1519" s="1" t="n">
        <v>506.19</v>
      </c>
      <c r="G1519" s="1" t="n">
        <v>0</v>
      </c>
      <c r="H1519" s="1" t="s">
        <v>1336</v>
      </c>
      <c r="I1519" s="1" t="n">
        <v>506.19</v>
      </c>
      <c r="J1519" s="1" t="str">
        <f aca="false">VLOOKUP(B1519,Customers!$A$2:$G$502,6,FALSE())</f>
        <v>Small Business</v>
      </c>
      <c r="K1519" s="1" t="str">
        <f aca="false">VLOOKUP(C1519,Products!$A$2:$E$62,3,FALSE())</f>
        <v>Software</v>
      </c>
      <c r="L1519" s="1" t="str">
        <f aca="false">TEXT(D1519,"yyyy-mm")</f>
        <v>2023-12</v>
      </c>
    </row>
    <row r="1520" customFormat="false" ht="15" hidden="false" customHeight="true" outlineLevel="0" collapsed="false">
      <c r="A1520" s="1" t="n">
        <v>1551</v>
      </c>
      <c r="B1520" s="1" t="n">
        <v>332</v>
      </c>
      <c r="C1520" s="1" t="n">
        <v>16</v>
      </c>
      <c r="D1520" s="1" t="s">
        <v>1656</v>
      </c>
      <c r="E1520" s="1" t="n">
        <v>8</v>
      </c>
      <c r="F1520" s="1" t="n">
        <v>330.91</v>
      </c>
      <c r="G1520" s="1" t="n">
        <v>0</v>
      </c>
      <c r="H1520" s="1" t="s">
        <v>1336</v>
      </c>
      <c r="I1520" s="1" t="n">
        <v>2647.28</v>
      </c>
      <c r="J1520" s="1" t="str">
        <f aca="false">VLOOKUP(B1520,Customers!$A$2:$G$502,6,FALSE())</f>
        <v>Consumer</v>
      </c>
      <c r="K1520" s="1" t="str">
        <f aca="false">VLOOKUP(C1520,Products!$A$2:$E$62,3,FALSE())</f>
        <v>Electronics</v>
      </c>
      <c r="L1520" s="1" t="str">
        <f aca="false">TEXT(D1520,"yyyy-mm")</f>
        <v>2024-05</v>
      </c>
    </row>
    <row r="1521" customFormat="false" ht="15" hidden="false" customHeight="true" outlineLevel="0" collapsed="false">
      <c r="A1521" s="1" t="n">
        <v>1552</v>
      </c>
      <c r="B1521" s="1" t="n">
        <v>150</v>
      </c>
      <c r="C1521" s="1" t="n">
        <v>43</v>
      </c>
      <c r="D1521" s="1" t="s">
        <v>1259</v>
      </c>
      <c r="E1521" s="1" t="n">
        <v>6</v>
      </c>
      <c r="F1521" s="1" t="n">
        <v>186.31</v>
      </c>
      <c r="G1521" s="1" t="n">
        <v>0.05</v>
      </c>
      <c r="H1521" s="1" t="s">
        <v>1336</v>
      </c>
      <c r="I1521" s="1" t="n">
        <v>1061.97</v>
      </c>
      <c r="J1521" s="1" t="str">
        <f aca="false">VLOOKUP(B1521,Customers!$A$2:$G$502,6,FALSE())</f>
        <v>Corporate</v>
      </c>
      <c r="K1521" s="1" t="str">
        <f aca="false">VLOOKUP(C1521,Products!$A$2:$E$62,3,FALSE())</f>
        <v>Software</v>
      </c>
      <c r="L1521" s="1" t="str">
        <f aca="false">TEXT(D1521,"yyyy-mm")</f>
        <v>2023-09</v>
      </c>
    </row>
    <row r="1522" customFormat="false" ht="15" hidden="false" customHeight="true" outlineLevel="0" collapsed="false">
      <c r="A1522" s="1" t="n">
        <v>1553</v>
      </c>
      <c r="B1522" s="1" t="n">
        <v>392</v>
      </c>
      <c r="C1522" s="1" t="n">
        <v>60</v>
      </c>
      <c r="D1522" s="1" t="s">
        <v>1521</v>
      </c>
      <c r="E1522" s="1" t="n">
        <v>7</v>
      </c>
      <c r="F1522" s="1" t="n">
        <v>584.98</v>
      </c>
      <c r="G1522" s="1" t="n">
        <v>0</v>
      </c>
      <c r="H1522" s="1" t="s">
        <v>1370</v>
      </c>
      <c r="I1522" s="1" t="n">
        <v>4094.86</v>
      </c>
      <c r="J1522" s="1" t="str">
        <f aca="false">VLOOKUP(B1522,Customers!$A$2:$G$502,6,FALSE())</f>
        <v>Corporate</v>
      </c>
      <c r="K1522" s="1" t="str">
        <f aca="false">VLOOKUP(C1522,Products!$A$2:$E$62,3,FALSE())</f>
        <v>Furniture</v>
      </c>
      <c r="L1522" s="1" t="str">
        <f aca="false">TEXT(D1522,"yyyy-mm")</f>
        <v>2023-10</v>
      </c>
    </row>
    <row r="1523" customFormat="false" ht="15" hidden="false" customHeight="true" outlineLevel="0" collapsed="false">
      <c r="A1523" s="1" t="n">
        <v>1554</v>
      </c>
      <c r="B1523" s="1" t="n">
        <v>80</v>
      </c>
      <c r="C1523" s="1" t="n">
        <v>56</v>
      </c>
      <c r="D1523" s="1" t="s">
        <v>501</v>
      </c>
      <c r="E1523" s="1" t="n">
        <v>9</v>
      </c>
      <c r="F1523" s="1" t="n">
        <v>160.64</v>
      </c>
      <c r="G1523" s="1" t="n">
        <v>0.2</v>
      </c>
      <c r="H1523" s="1" t="s">
        <v>1346</v>
      </c>
      <c r="I1523" s="1" t="n">
        <v>1156.61</v>
      </c>
      <c r="J1523" s="1" t="str">
        <f aca="false">VLOOKUP(B1523,Customers!$A$2:$G$502,6,FALSE())</f>
        <v>Consumer</v>
      </c>
      <c r="K1523" s="1" t="str">
        <f aca="false">VLOOKUP(C1523,Products!$A$2:$E$62,3,FALSE())</f>
        <v>Furniture</v>
      </c>
      <c r="L1523" s="1" t="str">
        <f aca="false">TEXT(D1523,"yyyy-mm")</f>
        <v>2023-05</v>
      </c>
    </row>
    <row r="1524" customFormat="false" ht="15" hidden="false" customHeight="true" outlineLevel="0" collapsed="false">
      <c r="A1524" s="1" t="n">
        <v>1555</v>
      </c>
      <c r="B1524" s="1" t="n">
        <v>389</v>
      </c>
      <c r="C1524" s="1" t="n">
        <v>18</v>
      </c>
      <c r="D1524" s="1" t="s">
        <v>257</v>
      </c>
      <c r="E1524" s="1" t="n">
        <v>5</v>
      </c>
      <c r="F1524" s="1" t="n">
        <v>747.34</v>
      </c>
      <c r="G1524" s="1" t="n">
        <v>0</v>
      </c>
      <c r="H1524" s="1" t="s">
        <v>1336</v>
      </c>
      <c r="I1524" s="1" t="n">
        <v>3736.7</v>
      </c>
      <c r="J1524" s="1" t="str">
        <f aca="false">VLOOKUP(B1524,Customers!$A$2:$G$502,6,FALSE())</f>
        <v>Corporate</v>
      </c>
      <c r="K1524" s="1" t="str">
        <f aca="false">VLOOKUP(C1524,Products!$A$2:$E$62,3,FALSE())</f>
        <v>Electronics</v>
      </c>
      <c r="L1524" s="1" t="str">
        <f aca="false">TEXT(D1524,"yyyy-mm")</f>
        <v>2023-07</v>
      </c>
    </row>
    <row r="1525" customFormat="false" ht="15" hidden="false" customHeight="true" outlineLevel="0" collapsed="false">
      <c r="A1525" s="1" t="n">
        <v>1556</v>
      </c>
      <c r="B1525" s="1" t="n">
        <v>274</v>
      </c>
      <c r="C1525" s="1" t="n">
        <v>30</v>
      </c>
      <c r="D1525" s="1" t="s">
        <v>1133</v>
      </c>
      <c r="E1525" s="1" t="n">
        <v>1</v>
      </c>
      <c r="F1525" s="1" t="n">
        <v>33.32</v>
      </c>
      <c r="G1525" s="1" t="n">
        <v>0</v>
      </c>
      <c r="H1525" s="1" t="s">
        <v>1336</v>
      </c>
      <c r="I1525" s="1" t="n">
        <v>33.32</v>
      </c>
      <c r="J1525" s="1" t="str">
        <f aca="false">VLOOKUP(B1525,Customers!$A$2:$G$502,6,FALSE())</f>
        <v>Corporate</v>
      </c>
      <c r="K1525" s="1" t="str">
        <f aca="false">VLOOKUP(C1525,Products!$A$2:$E$62,3,FALSE())</f>
        <v>Office Supplies</v>
      </c>
      <c r="L1525" s="1" t="str">
        <f aca="false">TEXT(D1525,"yyyy-mm")</f>
        <v>2024-06</v>
      </c>
    </row>
    <row r="1526" customFormat="false" ht="15" hidden="false" customHeight="true" outlineLevel="0" collapsed="false">
      <c r="A1526" s="1" t="n">
        <v>1558</v>
      </c>
      <c r="B1526" s="1" t="n">
        <v>468</v>
      </c>
      <c r="C1526" s="1" t="n">
        <v>40</v>
      </c>
      <c r="D1526" s="1" t="s">
        <v>1411</v>
      </c>
      <c r="E1526" s="1" t="n">
        <v>5</v>
      </c>
      <c r="F1526" s="1" t="n">
        <v>193.02</v>
      </c>
      <c r="G1526" s="1" t="n">
        <v>0</v>
      </c>
      <c r="H1526" s="1" t="s">
        <v>1336</v>
      </c>
      <c r="I1526" s="1" t="n">
        <v>965.1</v>
      </c>
      <c r="J1526" s="1" t="str">
        <f aca="false">VLOOKUP(B1526,Customers!$A$2:$G$502,6,FALSE())</f>
        <v>Small Business</v>
      </c>
      <c r="K1526" s="1" t="str">
        <f aca="false">VLOOKUP(C1526,Products!$A$2:$E$62,3,FALSE())</f>
        <v>Software</v>
      </c>
      <c r="L1526" s="1" t="str">
        <f aca="false">TEXT(D1526,"yyyy-mm")</f>
        <v>2023-03</v>
      </c>
    </row>
    <row r="1527" customFormat="false" ht="15" hidden="false" customHeight="true" outlineLevel="0" collapsed="false">
      <c r="A1527" s="1" t="n">
        <v>1559</v>
      </c>
      <c r="B1527" s="1" t="n">
        <v>100</v>
      </c>
      <c r="C1527" s="1" t="n">
        <v>31</v>
      </c>
      <c r="D1527" s="1" t="s">
        <v>1612</v>
      </c>
      <c r="E1527" s="1" t="n">
        <v>3</v>
      </c>
      <c r="F1527" s="1" t="n">
        <v>224.86</v>
      </c>
      <c r="G1527" s="1" t="n">
        <v>0</v>
      </c>
      <c r="H1527" s="1" t="s">
        <v>1336</v>
      </c>
      <c r="I1527" s="1" t="n">
        <v>674.58</v>
      </c>
      <c r="J1527" s="1" t="str">
        <f aca="false">VLOOKUP(B1527,Customers!$A$2:$G$502,6,FALSE())</f>
        <v>Consumer</v>
      </c>
      <c r="K1527" s="1" t="str">
        <f aca="false">VLOOKUP(C1527,Products!$A$2:$E$62,3,FALSE())</f>
        <v>Office Supplies</v>
      </c>
      <c r="L1527" s="1" t="str">
        <f aca="false">TEXT(D1527,"yyyy-mm")</f>
        <v>2024-10</v>
      </c>
    </row>
    <row r="1528" customFormat="false" ht="15" hidden="false" customHeight="true" outlineLevel="0" collapsed="false">
      <c r="A1528" s="1" t="n">
        <v>1560</v>
      </c>
      <c r="B1528" s="1" t="n">
        <v>414</v>
      </c>
      <c r="C1528" s="1" t="n">
        <v>33</v>
      </c>
      <c r="D1528" s="1" t="s">
        <v>1486</v>
      </c>
      <c r="E1528" s="1" t="n">
        <v>9</v>
      </c>
      <c r="F1528" s="1" t="n">
        <v>190.1</v>
      </c>
      <c r="G1528" s="1" t="n">
        <v>0</v>
      </c>
      <c r="H1528" s="1" t="s">
        <v>1336</v>
      </c>
      <c r="I1528" s="1" t="n">
        <v>1710.9</v>
      </c>
      <c r="J1528" s="1" t="str">
        <f aca="false">VLOOKUP(B1528,Customers!$A$2:$G$502,6,FALSE())</f>
        <v>Consumer</v>
      </c>
      <c r="K1528" s="1" t="str">
        <f aca="false">VLOOKUP(C1528,Products!$A$2:$E$62,3,FALSE())</f>
        <v>Office Supplies</v>
      </c>
      <c r="L1528" s="1" t="str">
        <f aca="false">TEXT(D1528,"yyyy-mm")</f>
        <v>2024-02</v>
      </c>
    </row>
    <row r="1529" customFormat="false" ht="15" hidden="false" customHeight="true" outlineLevel="0" collapsed="false">
      <c r="A1529" s="1" t="n">
        <v>1561</v>
      </c>
      <c r="B1529" s="1" t="n">
        <v>358</v>
      </c>
      <c r="C1529" s="1" t="n">
        <v>5</v>
      </c>
      <c r="D1529" s="1" t="s">
        <v>1644</v>
      </c>
      <c r="E1529" s="1" t="n">
        <v>1</v>
      </c>
      <c r="F1529" s="1" t="n">
        <v>439.06</v>
      </c>
      <c r="G1529" s="1" t="n">
        <v>0.2</v>
      </c>
      <c r="H1529" s="1" t="s">
        <v>1336</v>
      </c>
      <c r="I1529" s="1" t="n">
        <v>351.25</v>
      </c>
      <c r="J1529" s="1" t="str">
        <f aca="false">VLOOKUP(B1529,Customers!$A$2:$G$502,6,FALSE())</f>
        <v>Corporate</v>
      </c>
      <c r="K1529" s="1" t="str">
        <f aca="false">VLOOKUP(C1529,Products!$A$2:$E$62,3,FALSE())</f>
        <v>Electronics</v>
      </c>
      <c r="L1529" s="1" t="str">
        <f aca="false">TEXT(D1529,"yyyy-mm")</f>
        <v>2023-08</v>
      </c>
    </row>
    <row r="1530" customFormat="false" ht="15" hidden="false" customHeight="true" outlineLevel="0" collapsed="false">
      <c r="A1530" s="1" t="n">
        <v>1563</v>
      </c>
      <c r="B1530" s="1" t="n">
        <v>182</v>
      </c>
      <c r="C1530" s="1" t="n">
        <v>2</v>
      </c>
      <c r="D1530" s="1" t="s">
        <v>1522</v>
      </c>
      <c r="E1530" s="1" t="n">
        <v>1</v>
      </c>
      <c r="F1530" s="1" t="n">
        <v>498.15</v>
      </c>
      <c r="G1530" s="1" t="n">
        <v>0</v>
      </c>
      <c r="H1530" s="1" t="s">
        <v>1336</v>
      </c>
      <c r="I1530" s="1" t="n">
        <v>498.15</v>
      </c>
      <c r="J1530" s="1" t="str">
        <f aca="false">VLOOKUP(B1530,Customers!$A$2:$G$502,6,FALSE())</f>
        <v>Unknown</v>
      </c>
      <c r="K1530" s="1" t="str">
        <f aca="false">VLOOKUP(C1530,Products!$A$2:$E$62,3,FALSE())</f>
        <v>Electronics</v>
      </c>
      <c r="L1530" s="1" t="str">
        <f aca="false">TEXT(D1530,"yyyy-mm")</f>
        <v>2024-11</v>
      </c>
    </row>
    <row r="1531" customFormat="false" ht="15" hidden="false" customHeight="true" outlineLevel="0" collapsed="false">
      <c r="A1531" s="1" t="n">
        <v>1564</v>
      </c>
      <c r="B1531" s="1" t="n">
        <v>442</v>
      </c>
      <c r="C1531" s="1" t="n">
        <v>30</v>
      </c>
      <c r="D1531" s="1" t="s">
        <v>1372</v>
      </c>
      <c r="E1531" s="1" t="n">
        <v>3</v>
      </c>
      <c r="F1531" s="1" t="n">
        <v>33.32</v>
      </c>
      <c r="G1531" s="1" t="n">
        <v>0</v>
      </c>
      <c r="H1531" s="1" t="s">
        <v>1336</v>
      </c>
      <c r="I1531" s="1" t="n">
        <v>99.96</v>
      </c>
      <c r="J1531" s="1" t="str">
        <f aca="false">VLOOKUP(B1531,Customers!$A$2:$G$502,6,FALSE())</f>
        <v>Small Business</v>
      </c>
      <c r="K1531" s="1" t="str">
        <f aca="false">VLOOKUP(C1531,Products!$A$2:$E$62,3,FALSE())</f>
        <v>Office Supplies</v>
      </c>
      <c r="L1531" s="1" t="str">
        <f aca="false">TEXT(D1531,"yyyy-mm")</f>
        <v>2023-03</v>
      </c>
    </row>
    <row r="1532" customFormat="false" ht="15" hidden="false" customHeight="true" outlineLevel="0" collapsed="false">
      <c r="A1532" s="1" t="n">
        <v>1565</v>
      </c>
      <c r="B1532" s="1" t="n">
        <v>70</v>
      </c>
      <c r="C1532" s="1" t="n">
        <v>31</v>
      </c>
      <c r="D1532" s="1" t="s">
        <v>185</v>
      </c>
      <c r="E1532" s="1" t="n">
        <v>6</v>
      </c>
      <c r="F1532" s="1" t="n">
        <v>224.86</v>
      </c>
      <c r="G1532" s="1" t="n">
        <v>0.1</v>
      </c>
      <c r="H1532" s="1" t="s">
        <v>1370</v>
      </c>
      <c r="I1532" s="1" t="n">
        <v>1214.24</v>
      </c>
      <c r="J1532" s="1" t="str">
        <f aca="false">VLOOKUP(B1532,Customers!$A$2:$G$502,6,FALSE())</f>
        <v>Corporate</v>
      </c>
      <c r="K1532" s="1" t="str">
        <f aca="false">VLOOKUP(C1532,Products!$A$2:$E$62,3,FALSE())</f>
        <v>Office Supplies</v>
      </c>
      <c r="L1532" s="1" t="str">
        <f aca="false">TEXT(D1532,"yyyy-mm")</f>
        <v>2024-05</v>
      </c>
    </row>
    <row r="1533" customFormat="false" ht="15" hidden="false" customHeight="true" outlineLevel="0" collapsed="false">
      <c r="A1533" s="1" t="n">
        <v>1566</v>
      </c>
      <c r="B1533" s="1" t="n">
        <v>17</v>
      </c>
      <c r="C1533" s="1" t="n">
        <v>51</v>
      </c>
      <c r="D1533" s="1" t="s">
        <v>360</v>
      </c>
      <c r="E1533" s="1" t="n">
        <v>3</v>
      </c>
      <c r="F1533" s="1" t="n">
        <v>30.16</v>
      </c>
      <c r="G1533" s="1" t="n">
        <v>0</v>
      </c>
      <c r="H1533" s="1" t="s">
        <v>1336</v>
      </c>
      <c r="I1533" s="1" t="n">
        <v>90.48</v>
      </c>
      <c r="J1533" s="1" t="str">
        <f aca="false">VLOOKUP(B1533,Customers!$A$2:$G$502,6,FALSE())</f>
        <v>Small Business</v>
      </c>
      <c r="K1533" s="1" t="str">
        <f aca="false">VLOOKUP(C1533,Products!$A$2:$E$62,3,FALSE())</f>
        <v>Software</v>
      </c>
      <c r="L1533" s="1" t="str">
        <f aca="false">TEXT(D1533,"yyyy-mm")</f>
        <v>2024-10</v>
      </c>
    </row>
    <row r="1534" customFormat="false" ht="15" hidden="false" customHeight="true" outlineLevel="0" collapsed="false">
      <c r="A1534" s="1" t="n">
        <v>1567</v>
      </c>
      <c r="B1534" s="1" t="n">
        <v>55</v>
      </c>
      <c r="C1534" s="1" t="n">
        <v>4</v>
      </c>
      <c r="D1534" s="1" t="s">
        <v>689</v>
      </c>
      <c r="E1534" s="1" t="n">
        <v>8</v>
      </c>
      <c r="F1534" s="1" t="n">
        <v>56.24</v>
      </c>
      <c r="G1534" s="1" t="n">
        <v>0.15</v>
      </c>
      <c r="H1534" s="1" t="s">
        <v>1370</v>
      </c>
      <c r="I1534" s="1" t="n">
        <v>382.43</v>
      </c>
      <c r="J1534" s="1" t="str">
        <f aca="false">VLOOKUP(B1534,Customers!$A$2:$G$502,6,FALSE())</f>
        <v>Consumer</v>
      </c>
      <c r="K1534" s="1" t="str">
        <f aca="false">VLOOKUP(C1534,Products!$A$2:$E$62,3,FALSE())</f>
        <v>Electronics</v>
      </c>
      <c r="L1534" s="1" t="str">
        <f aca="false">TEXT(D1534,"yyyy-mm")</f>
        <v>2023-11</v>
      </c>
    </row>
    <row r="1535" customFormat="false" ht="15" hidden="false" customHeight="true" outlineLevel="0" collapsed="false">
      <c r="A1535" s="1" t="n">
        <v>1568</v>
      </c>
      <c r="B1535" s="1" t="n">
        <v>79</v>
      </c>
      <c r="C1535" s="1" t="n">
        <v>18</v>
      </c>
      <c r="D1535" s="1" t="s">
        <v>1657</v>
      </c>
      <c r="E1535" s="1" t="n">
        <v>2</v>
      </c>
      <c r="F1535" s="1" t="n">
        <v>747.34</v>
      </c>
      <c r="G1535" s="1" t="n">
        <v>0.2</v>
      </c>
      <c r="H1535" s="1" t="s">
        <v>1336</v>
      </c>
      <c r="I1535" s="1" t="n">
        <v>1195.74</v>
      </c>
      <c r="J1535" s="1" t="str">
        <f aca="false">VLOOKUP(B1535,Customers!$A$2:$G$502,6,FALSE())</f>
        <v>Small Business</v>
      </c>
      <c r="K1535" s="1" t="str">
        <f aca="false">VLOOKUP(C1535,Products!$A$2:$E$62,3,FALSE())</f>
        <v>Electronics</v>
      </c>
      <c r="L1535" s="1" t="str">
        <f aca="false">TEXT(D1535,"yyyy-mm")</f>
        <v>2023-12</v>
      </c>
    </row>
    <row r="1536" customFormat="false" ht="15" hidden="false" customHeight="true" outlineLevel="0" collapsed="false">
      <c r="A1536" s="1" t="n">
        <v>1569</v>
      </c>
      <c r="B1536" s="1" t="n">
        <v>158</v>
      </c>
      <c r="C1536" s="1" t="n">
        <v>48</v>
      </c>
      <c r="D1536" s="1" t="s">
        <v>689</v>
      </c>
      <c r="E1536" s="1" t="n">
        <v>9</v>
      </c>
      <c r="F1536" s="1" t="n">
        <v>493.53</v>
      </c>
      <c r="G1536" s="1" t="n">
        <v>0.05</v>
      </c>
      <c r="H1536" s="1" t="s">
        <v>1336</v>
      </c>
      <c r="I1536" s="1" t="n">
        <v>4219.68</v>
      </c>
      <c r="J1536" s="1" t="str">
        <f aca="false">VLOOKUP(B1536,Customers!$A$2:$G$502,6,FALSE())</f>
        <v>Small Business</v>
      </c>
      <c r="K1536" s="1" t="str">
        <f aca="false">VLOOKUP(C1536,Products!$A$2:$E$62,3,FALSE())</f>
        <v>Software</v>
      </c>
      <c r="L1536" s="1" t="str">
        <f aca="false">TEXT(D1536,"yyyy-mm")</f>
        <v>2023-11</v>
      </c>
    </row>
    <row r="1537" customFormat="false" ht="15" hidden="false" customHeight="true" outlineLevel="0" collapsed="false">
      <c r="A1537" s="1" t="n">
        <v>1570</v>
      </c>
      <c r="B1537" s="1" t="n">
        <v>446</v>
      </c>
      <c r="C1537" s="1" t="n">
        <v>9</v>
      </c>
      <c r="D1537" s="1" t="s">
        <v>1589</v>
      </c>
      <c r="E1537" s="1" t="n">
        <v>3</v>
      </c>
      <c r="F1537" s="1" t="n">
        <v>203.1</v>
      </c>
      <c r="G1537" s="1" t="n">
        <v>0.1</v>
      </c>
      <c r="H1537" s="1" t="s">
        <v>1336</v>
      </c>
      <c r="I1537" s="1" t="n">
        <v>548.37</v>
      </c>
      <c r="J1537" s="1" t="str">
        <f aca="false">VLOOKUP(B1537,Customers!$A$2:$G$502,6,FALSE())</f>
        <v>Small Business</v>
      </c>
      <c r="K1537" s="1" t="str">
        <f aca="false">VLOOKUP(C1537,Products!$A$2:$E$62,3,FALSE())</f>
        <v>Electronics</v>
      </c>
      <c r="L1537" s="1" t="str">
        <f aca="false">TEXT(D1537,"yyyy-mm")</f>
        <v>2024-06</v>
      </c>
    </row>
    <row r="1538" customFormat="false" ht="15" hidden="false" customHeight="true" outlineLevel="0" collapsed="false">
      <c r="A1538" s="1" t="n">
        <v>1571</v>
      </c>
      <c r="B1538" s="1" t="n">
        <v>394</v>
      </c>
      <c r="C1538" s="1" t="n">
        <v>22</v>
      </c>
      <c r="D1538" s="1" t="s">
        <v>1536</v>
      </c>
      <c r="E1538" s="1" t="n">
        <v>5</v>
      </c>
      <c r="F1538" s="1" t="n">
        <v>38.57</v>
      </c>
      <c r="G1538" s="1" t="n">
        <v>0</v>
      </c>
      <c r="H1538" s="1" t="s">
        <v>1336</v>
      </c>
      <c r="I1538" s="1" t="n">
        <v>192.85</v>
      </c>
      <c r="J1538" s="1" t="str">
        <f aca="false">VLOOKUP(B1538,Customers!$A$2:$G$502,6,FALSE())</f>
        <v>Corporate</v>
      </c>
      <c r="K1538" s="1" t="str">
        <f aca="false">VLOOKUP(C1538,Products!$A$2:$E$62,3,FALSE())</f>
        <v>Office Supplies</v>
      </c>
      <c r="L1538" s="1" t="str">
        <f aca="false">TEXT(D1538,"yyyy-mm")</f>
        <v>2023-11</v>
      </c>
    </row>
    <row r="1539" customFormat="false" ht="15" hidden="false" customHeight="true" outlineLevel="0" collapsed="false">
      <c r="A1539" s="1" t="n">
        <v>1572</v>
      </c>
      <c r="B1539" s="1" t="n">
        <v>142</v>
      </c>
      <c r="C1539" s="1" t="n">
        <v>20</v>
      </c>
      <c r="D1539" s="1" t="s">
        <v>295</v>
      </c>
      <c r="E1539" s="1" t="n">
        <v>8</v>
      </c>
      <c r="F1539" s="1" t="n">
        <v>426.15</v>
      </c>
      <c r="G1539" s="1" t="n">
        <v>0.2</v>
      </c>
      <c r="H1539" s="1" t="s">
        <v>1336</v>
      </c>
      <c r="I1539" s="1" t="n">
        <v>2727.36</v>
      </c>
      <c r="J1539" s="1" t="str">
        <f aca="false">VLOOKUP(B1539,Customers!$A$2:$G$502,6,FALSE())</f>
        <v>Small Business</v>
      </c>
      <c r="K1539" s="1" t="str">
        <f aca="false">VLOOKUP(C1539,Products!$A$2:$E$62,3,FALSE())</f>
        <v>Office Supplies</v>
      </c>
      <c r="L1539" s="1" t="str">
        <f aca="false">TEXT(D1539,"yyyy-mm")</f>
        <v>2024-07</v>
      </c>
    </row>
    <row r="1540" customFormat="false" ht="15" hidden="false" customHeight="true" outlineLevel="0" collapsed="false">
      <c r="A1540" s="1" t="n">
        <v>1573</v>
      </c>
      <c r="B1540" s="1" t="n">
        <v>296</v>
      </c>
      <c r="C1540" s="1" t="n">
        <v>56</v>
      </c>
      <c r="D1540" s="1" t="s">
        <v>1456</v>
      </c>
      <c r="E1540" s="1" t="n">
        <v>2</v>
      </c>
      <c r="F1540" s="1" t="n">
        <v>160.64</v>
      </c>
      <c r="G1540" s="1" t="n">
        <v>0.1</v>
      </c>
      <c r="H1540" s="1" t="s">
        <v>1336</v>
      </c>
      <c r="I1540" s="1" t="n">
        <v>289.15</v>
      </c>
      <c r="J1540" s="1" t="str">
        <f aca="false">VLOOKUP(B1540,Customers!$A$2:$G$502,6,FALSE())</f>
        <v>Corporate</v>
      </c>
      <c r="K1540" s="1" t="str">
        <f aca="false">VLOOKUP(C1540,Products!$A$2:$E$62,3,FALSE())</f>
        <v>Furniture</v>
      </c>
      <c r="L1540" s="1" t="str">
        <f aca="false">TEXT(D1540,"yyyy-mm")</f>
        <v>2024-12</v>
      </c>
    </row>
    <row r="1541" customFormat="false" ht="15" hidden="false" customHeight="true" outlineLevel="0" collapsed="false">
      <c r="A1541" s="1" t="n">
        <v>1574</v>
      </c>
      <c r="B1541" s="1" t="n">
        <v>386</v>
      </c>
      <c r="C1541" s="1" t="n">
        <v>60</v>
      </c>
      <c r="D1541" s="1" t="s">
        <v>1658</v>
      </c>
      <c r="E1541" s="1" t="n">
        <v>6</v>
      </c>
      <c r="F1541" s="1" t="n">
        <v>584.98</v>
      </c>
      <c r="G1541" s="1" t="n">
        <v>0</v>
      </c>
      <c r="H1541" s="1" t="s">
        <v>1346</v>
      </c>
      <c r="I1541" s="1" t="n">
        <v>3509.88</v>
      </c>
      <c r="J1541" s="1" t="str">
        <f aca="false">VLOOKUP(B1541,Customers!$A$2:$G$502,6,FALSE())</f>
        <v>Consumer</v>
      </c>
      <c r="K1541" s="1" t="str">
        <f aca="false">VLOOKUP(C1541,Products!$A$2:$E$62,3,FALSE())</f>
        <v>Furniture</v>
      </c>
      <c r="L1541" s="1" t="str">
        <f aca="false">TEXT(D1541,"yyyy-mm")</f>
        <v>2023-02</v>
      </c>
    </row>
    <row r="1542" customFormat="false" ht="15" hidden="false" customHeight="true" outlineLevel="0" collapsed="false">
      <c r="A1542" s="1" t="n">
        <v>1575</v>
      </c>
      <c r="B1542" s="1" t="n">
        <v>27</v>
      </c>
      <c r="C1542" s="1" t="n">
        <v>9</v>
      </c>
      <c r="D1542" s="1" t="s">
        <v>117</v>
      </c>
      <c r="E1542" s="1" t="n">
        <v>5</v>
      </c>
      <c r="F1542" s="1" t="n">
        <v>203.1</v>
      </c>
      <c r="G1542" s="1" t="n">
        <v>0</v>
      </c>
      <c r="H1542" s="1" t="s">
        <v>1370</v>
      </c>
      <c r="I1542" s="1" t="n">
        <v>1015.5</v>
      </c>
      <c r="J1542" s="1" t="str">
        <f aca="false">VLOOKUP(B1542,Customers!$A$2:$G$502,6,FALSE())</f>
        <v>Small Business</v>
      </c>
      <c r="K1542" s="1" t="str">
        <f aca="false">VLOOKUP(C1542,Products!$A$2:$E$62,3,FALSE())</f>
        <v>Electronics</v>
      </c>
      <c r="L1542" s="1" t="str">
        <f aca="false">TEXT(D1542,"yyyy-mm")</f>
        <v>2023-03</v>
      </c>
    </row>
    <row r="1543" customFormat="false" ht="15" hidden="false" customHeight="true" outlineLevel="0" collapsed="false">
      <c r="A1543" s="1" t="n">
        <v>1576</v>
      </c>
      <c r="B1543" s="1" t="n">
        <v>241</v>
      </c>
      <c r="C1543" s="1" t="n">
        <v>52</v>
      </c>
      <c r="D1543" s="1" t="s">
        <v>1362</v>
      </c>
      <c r="E1543" s="1" t="n">
        <v>9</v>
      </c>
      <c r="F1543" s="1" t="n">
        <v>207.67</v>
      </c>
      <c r="G1543" s="1" t="n">
        <v>0.05</v>
      </c>
      <c r="H1543" s="1" t="s">
        <v>1336</v>
      </c>
      <c r="I1543" s="1" t="n">
        <v>1775.58</v>
      </c>
      <c r="J1543" s="1" t="str">
        <f aca="false">VLOOKUP(B1543,Customers!$A$2:$G$502,6,FALSE())</f>
        <v>Small Business</v>
      </c>
      <c r="K1543" s="1" t="str">
        <f aca="false">VLOOKUP(C1543,Products!$A$2:$E$62,3,FALSE())</f>
        <v>Software</v>
      </c>
      <c r="L1543" s="1" t="str">
        <f aca="false">TEXT(D1543,"yyyy-mm")</f>
        <v>2024-01</v>
      </c>
    </row>
    <row r="1544" customFormat="false" ht="15" hidden="false" customHeight="true" outlineLevel="0" collapsed="false">
      <c r="A1544" s="1" t="n">
        <v>1577</v>
      </c>
      <c r="B1544" s="1" t="n">
        <v>407</v>
      </c>
      <c r="C1544" s="1" t="n">
        <v>16</v>
      </c>
      <c r="D1544" s="1" t="s">
        <v>1498</v>
      </c>
      <c r="E1544" s="1" t="n">
        <v>5</v>
      </c>
      <c r="F1544" s="1" t="n">
        <v>330.91</v>
      </c>
      <c r="G1544" s="1" t="n">
        <v>0</v>
      </c>
      <c r="H1544" s="1" t="s">
        <v>1336</v>
      </c>
      <c r="I1544" s="1" t="n">
        <v>1654.55</v>
      </c>
      <c r="J1544" s="1" t="str">
        <f aca="false">VLOOKUP(B1544,Customers!$A$2:$G$502,6,FALSE())</f>
        <v>Consumer</v>
      </c>
      <c r="K1544" s="1" t="str">
        <f aca="false">VLOOKUP(C1544,Products!$A$2:$E$62,3,FALSE())</f>
        <v>Electronics</v>
      </c>
      <c r="L1544" s="1" t="str">
        <f aca="false">TEXT(D1544,"yyyy-mm")</f>
        <v>2023-03</v>
      </c>
    </row>
    <row r="1545" customFormat="false" ht="15" hidden="false" customHeight="true" outlineLevel="0" collapsed="false">
      <c r="A1545" s="1" t="n">
        <v>1578</v>
      </c>
      <c r="B1545" s="1" t="n">
        <v>323</v>
      </c>
      <c r="C1545" s="1" t="n">
        <v>52</v>
      </c>
      <c r="D1545" s="1" t="s">
        <v>1549</v>
      </c>
      <c r="E1545" s="1" t="n">
        <v>2</v>
      </c>
      <c r="F1545" s="1" t="n">
        <v>207.67</v>
      </c>
      <c r="G1545" s="1" t="n">
        <v>0.05</v>
      </c>
      <c r="H1545" s="1" t="s">
        <v>1336</v>
      </c>
      <c r="I1545" s="1" t="n">
        <v>394.57</v>
      </c>
      <c r="J1545" s="1" t="str">
        <f aca="false">VLOOKUP(B1545,Customers!$A$2:$G$502,6,FALSE())</f>
        <v>Consumer</v>
      </c>
      <c r="K1545" s="1" t="str">
        <f aca="false">VLOOKUP(C1545,Products!$A$2:$E$62,3,FALSE())</f>
        <v>Software</v>
      </c>
      <c r="L1545" s="1" t="str">
        <f aca="false">TEXT(D1545,"yyyy-mm")</f>
        <v>2023-01</v>
      </c>
    </row>
    <row r="1546" customFormat="false" ht="15" hidden="false" customHeight="true" outlineLevel="0" collapsed="false">
      <c r="A1546" s="1" t="n">
        <v>1579</v>
      </c>
      <c r="B1546" s="1" t="n">
        <v>443</v>
      </c>
      <c r="C1546" s="1" t="n">
        <v>44</v>
      </c>
      <c r="D1546" s="1" t="s">
        <v>599</v>
      </c>
      <c r="E1546" s="1" t="n">
        <v>5</v>
      </c>
      <c r="F1546" s="1" t="n">
        <v>508.26</v>
      </c>
      <c r="G1546" s="1" t="n">
        <v>0</v>
      </c>
      <c r="H1546" s="1" t="s">
        <v>1370</v>
      </c>
      <c r="I1546" s="1" t="n">
        <v>2541.3</v>
      </c>
      <c r="J1546" s="1" t="str">
        <f aca="false">VLOOKUP(B1546,Customers!$A$2:$G$502,6,FALSE())</f>
        <v>Consumer</v>
      </c>
      <c r="K1546" s="1" t="str">
        <f aca="false">VLOOKUP(C1546,Products!$A$2:$E$62,3,FALSE())</f>
        <v>Software</v>
      </c>
      <c r="L1546" s="1" t="str">
        <f aca="false">TEXT(D1546,"yyyy-mm")</f>
        <v>2024-06</v>
      </c>
    </row>
    <row r="1547" customFormat="false" ht="15" hidden="false" customHeight="true" outlineLevel="0" collapsed="false">
      <c r="A1547" s="1" t="n">
        <v>1580</v>
      </c>
      <c r="B1547" s="1" t="n">
        <v>407</v>
      </c>
      <c r="C1547" s="1" t="n">
        <v>47</v>
      </c>
      <c r="D1547" s="1" t="s">
        <v>998</v>
      </c>
      <c r="E1547" s="1" t="n">
        <v>4</v>
      </c>
      <c r="F1547" s="1" t="n">
        <v>506.19</v>
      </c>
      <c r="G1547" s="1" t="n">
        <v>0.05</v>
      </c>
      <c r="H1547" s="1" t="s">
        <v>1336</v>
      </c>
      <c r="I1547" s="1" t="n">
        <v>1923.52</v>
      </c>
      <c r="J1547" s="1" t="str">
        <f aca="false">VLOOKUP(B1547,Customers!$A$2:$G$502,6,FALSE())</f>
        <v>Consumer</v>
      </c>
      <c r="K1547" s="1" t="str">
        <f aca="false">VLOOKUP(C1547,Products!$A$2:$E$62,3,FALSE())</f>
        <v>Software</v>
      </c>
      <c r="L1547" s="1" t="str">
        <f aca="false">TEXT(D1547,"yyyy-mm")</f>
        <v>2023-07</v>
      </c>
    </row>
    <row r="1548" customFormat="false" ht="15" hidden="false" customHeight="true" outlineLevel="0" collapsed="false">
      <c r="A1548" s="1" t="n">
        <v>1581</v>
      </c>
      <c r="B1548" s="1" t="n">
        <v>99</v>
      </c>
      <c r="C1548" s="1" t="n">
        <v>53</v>
      </c>
      <c r="D1548" s="1" t="s">
        <v>1490</v>
      </c>
      <c r="E1548" s="1" t="n">
        <v>7</v>
      </c>
      <c r="F1548" s="1" t="n">
        <v>509.98</v>
      </c>
      <c r="G1548" s="1" t="n">
        <v>0</v>
      </c>
      <c r="H1548" s="1" t="s">
        <v>1336</v>
      </c>
      <c r="I1548" s="1" t="n">
        <v>3569.86</v>
      </c>
      <c r="J1548" s="1" t="str">
        <f aca="false">VLOOKUP(B1548,Customers!$A$2:$G$502,6,FALSE())</f>
        <v>Small Business</v>
      </c>
      <c r="K1548" s="1" t="str">
        <f aca="false">VLOOKUP(C1548,Products!$A$2:$E$62,3,FALSE())</f>
        <v>Software</v>
      </c>
      <c r="L1548" s="1" t="str">
        <f aca="false">TEXT(D1548,"yyyy-mm")</f>
        <v>2024-06</v>
      </c>
    </row>
    <row r="1549" customFormat="false" ht="15" hidden="false" customHeight="true" outlineLevel="0" collapsed="false">
      <c r="A1549" s="1" t="n">
        <v>1582</v>
      </c>
      <c r="B1549" s="1" t="n">
        <v>148</v>
      </c>
      <c r="C1549" s="1" t="n">
        <v>18</v>
      </c>
      <c r="D1549" s="1" t="s">
        <v>1646</v>
      </c>
      <c r="E1549" s="1" t="n">
        <v>6</v>
      </c>
      <c r="F1549" s="1" t="n">
        <v>747.34</v>
      </c>
      <c r="G1549" s="1" t="n">
        <v>0.1</v>
      </c>
      <c r="H1549" s="1" t="s">
        <v>1336</v>
      </c>
      <c r="I1549" s="1" t="n">
        <v>4035.64</v>
      </c>
      <c r="J1549" s="1" t="str">
        <f aca="false">VLOOKUP(B1549,Customers!$A$2:$G$502,6,FALSE())</f>
        <v>Corporate</v>
      </c>
      <c r="K1549" s="1" t="str">
        <f aca="false">VLOOKUP(C1549,Products!$A$2:$E$62,3,FALSE())</f>
        <v>Electronics</v>
      </c>
      <c r="L1549" s="1" t="str">
        <f aca="false">TEXT(D1549,"yyyy-mm")</f>
        <v>2023-09</v>
      </c>
    </row>
    <row r="1550" customFormat="false" ht="15" hidden="false" customHeight="true" outlineLevel="0" collapsed="false">
      <c r="A1550" s="1" t="n">
        <v>1583</v>
      </c>
      <c r="B1550" s="1" t="n">
        <v>255</v>
      </c>
      <c r="C1550" s="1" t="n">
        <v>1</v>
      </c>
      <c r="D1550" s="1" t="s">
        <v>356</v>
      </c>
      <c r="E1550" s="1" t="n">
        <v>2</v>
      </c>
      <c r="F1550" s="1" t="n">
        <v>327.32</v>
      </c>
      <c r="G1550" s="1" t="n">
        <v>0.05</v>
      </c>
      <c r="H1550" s="1" t="s">
        <v>1336</v>
      </c>
      <c r="I1550" s="1" t="n">
        <v>621.91</v>
      </c>
      <c r="J1550" s="1" t="str">
        <f aca="false">VLOOKUP(B1550,Customers!$A$2:$G$502,6,FALSE())</f>
        <v>Corporate</v>
      </c>
      <c r="K1550" s="1" t="str">
        <f aca="false">VLOOKUP(C1550,Products!$A$2:$E$62,3,FALSE())</f>
        <v>Electronics</v>
      </c>
      <c r="L1550" s="1" t="str">
        <f aca="false">TEXT(D1550,"yyyy-mm")</f>
        <v>2023-04</v>
      </c>
    </row>
    <row r="1551" customFormat="false" ht="15" hidden="false" customHeight="true" outlineLevel="0" collapsed="false">
      <c r="A1551" s="1" t="n">
        <v>1584</v>
      </c>
      <c r="B1551" s="1" t="n">
        <v>417</v>
      </c>
      <c r="C1551" s="1" t="n">
        <v>42</v>
      </c>
      <c r="D1551" s="1" t="s">
        <v>455</v>
      </c>
      <c r="E1551" s="1" t="n">
        <v>5</v>
      </c>
      <c r="F1551" s="1" t="n">
        <v>174.48</v>
      </c>
      <c r="G1551" s="1" t="n">
        <v>0</v>
      </c>
      <c r="H1551" s="1" t="s">
        <v>1370</v>
      </c>
      <c r="I1551" s="1" t="n">
        <v>872.4</v>
      </c>
      <c r="J1551" s="1" t="str">
        <f aca="false">VLOOKUP(B1551,Customers!$A$2:$G$502,6,FALSE())</f>
        <v>Consumer</v>
      </c>
      <c r="K1551" s="1" t="str">
        <f aca="false">VLOOKUP(C1551,Products!$A$2:$E$62,3,FALSE())</f>
        <v>Software</v>
      </c>
      <c r="L1551" s="1" t="str">
        <f aca="false">TEXT(D1551,"yyyy-mm")</f>
        <v>2024-08</v>
      </c>
    </row>
    <row r="1552" customFormat="false" ht="15" hidden="false" customHeight="true" outlineLevel="0" collapsed="false">
      <c r="A1552" s="1" t="n">
        <v>1585</v>
      </c>
      <c r="B1552" s="1" t="n">
        <v>128</v>
      </c>
      <c r="C1552" s="1" t="n">
        <v>48</v>
      </c>
      <c r="D1552" s="1" t="s">
        <v>183</v>
      </c>
      <c r="E1552" s="1" t="n">
        <v>7</v>
      </c>
      <c r="F1552" s="1" t="n">
        <v>493.53</v>
      </c>
      <c r="G1552" s="1" t="n">
        <v>0.15</v>
      </c>
      <c r="H1552" s="1" t="s">
        <v>1336</v>
      </c>
      <c r="I1552" s="1" t="n">
        <v>2936.5</v>
      </c>
      <c r="J1552" s="1" t="str">
        <f aca="false">VLOOKUP(B1552,Customers!$A$2:$G$502,6,FALSE())</f>
        <v>Consumer</v>
      </c>
      <c r="K1552" s="1" t="str">
        <f aca="false">VLOOKUP(C1552,Products!$A$2:$E$62,3,FALSE())</f>
        <v>Software</v>
      </c>
      <c r="L1552" s="1" t="str">
        <f aca="false">TEXT(D1552,"yyyy-mm")</f>
        <v>2023-02</v>
      </c>
    </row>
    <row r="1553" customFormat="false" ht="15" hidden="false" customHeight="true" outlineLevel="0" collapsed="false">
      <c r="A1553" s="1" t="n">
        <v>1586</v>
      </c>
      <c r="B1553" s="1" t="n">
        <v>58</v>
      </c>
      <c r="C1553" s="1" t="n">
        <v>37</v>
      </c>
      <c r="D1553" s="1" t="s">
        <v>1659</v>
      </c>
      <c r="E1553" s="1" t="n">
        <v>7</v>
      </c>
      <c r="F1553" s="1" t="n">
        <v>13.95</v>
      </c>
      <c r="G1553" s="1" t="n">
        <v>0.15</v>
      </c>
      <c r="H1553" s="1" t="s">
        <v>1336</v>
      </c>
      <c r="I1553" s="1" t="n">
        <v>83</v>
      </c>
      <c r="J1553" s="1" t="str">
        <f aca="false">VLOOKUP(B1553,Customers!$A$2:$G$502,6,FALSE())</f>
        <v>Consumer</v>
      </c>
      <c r="K1553" s="1" t="str">
        <f aca="false">VLOOKUP(C1553,Products!$A$2:$E$62,3,FALSE())</f>
        <v>Software</v>
      </c>
      <c r="L1553" s="1" t="str">
        <f aca="false">TEXT(D1553,"yyyy-mm")</f>
        <v>2023-01</v>
      </c>
    </row>
    <row r="1554" customFormat="false" ht="15" hidden="false" customHeight="true" outlineLevel="0" collapsed="false">
      <c r="A1554" s="1" t="n">
        <v>1587</v>
      </c>
      <c r="B1554" s="1" t="n">
        <v>175</v>
      </c>
      <c r="C1554" s="1" t="n">
        <v>14</v>
      </c>
      <c r="D1554" s="1" t="s">
        <v>680</v>
      </c>
      <c r="E1554" s="1" t="n">
        <v>5</v>
      </c>
      <c r="F1554" s="1" t="n">
        <v>135.27</v>
      </c>
      <c r="G1554" s="1" t="n">
        <v>0</v>
      </c>
      <c r="H1554" s="1" t="s">
        <v>1336</v>
      </c>
      <c r="I1554" s="1" t="n">
        <v>676.35</v>
      </c>
      <c r="J1554" s="1" t="str">
        <f aca="false">VLOOKUP(B1554,Customers!$A$2:$G$502,6,FALSE())</f>
        <v>Consumer</v>
      </c>
      <c r="K1554" s="1" t="str">
        <f aca="false">VLOOKUP(C1554,Products!$A$2:$E$62,3,FALSE())</f>
        <v>Electronics</v>
      </c>
      <c r="L1554" s="1" t="str">
        <f aca="false">TEXT(D1554,"yyyy-mm")</f>
        <v>2024-04</v>
      </c>
    </row>
    <row r="1555" customFormat="false" ht="15" hidden="false" customHeight="true" outlineLevel="0" collapsed="false">
      <c r="A1555" s="1" t="n">
        <v>1588</v>
      </c>
      <c r="B1555" s="1" t="n">
        <v>211</v>
      </c>
      <c r="C1555" s="1" t="n">
        <v>25</v>
      </c>
      <c r="D1555" s="1" t="s">
        <v>719</v>
      </c>
      <c r="E1555" s="1" t="n">
        <v>9</v>
      </c>
      <c r="F1555" s="1" t="n">
        <v>300.49</v>
      </c>
      <c r="G1555" s="1" t="n">
        <v>0.1</v>
      </c>
      <c r="H1555" s="1" t="s">
        <v>1336</v>
      </c>
      <c r="I1555" s="1" t="n">
        <v>2433.97</v>
      </c>
      <c r="J1555" s="1" t="str">
        <f aca="false">VLOOKUP(B1555,Customers!$A$2:$G$502,6,FALSE())</f>
        <v>Consumer</v>
      </c>
      <c r="K1555" s="1" t="str">
        <f aca="false">VLOOKUP(C1555,Products!$A$2:$E$62,3,FALSE())</f>
        <v>Office Supplies</v>
      </c>
      <c r="L1555" s="1" t="str">
        <f aca="false">TEXT(D1555,"yyyy-mm")</f>
        <v>2024-11</v>
      </c>
    </row>
    <row r="1556" customFormat="false" ht="15" hidden="false" customHeight="true" outlineLevel="0" collapsed="false">
      <c r="A1556" s="1" t="n">
        <v>1589</v>
      </c>
      <c r="B1556" s="1" t="n">
        <v>106</v>
      </c>
      <c r="C1556" s="1" t="n">
        <v>25</v>
      </c>
      <c r="D1556" s="1" t="s">
        <v>1433</v>
      </c>
      <c r="E1556" s="1" t="n">
        <v>4</v>
      </c>
      <c r="F1556" s="1" t="n">
        <v>300.49</v>
      </c>
      <c r="G1556" s="1" t="n">
        <v>0</v>
      </c>
      <c r="H1556" s="1" t="s">
        <v>1336</v>
      </c>
      <c r="I1556" s="1" t="n">
        <v>1201.96</v>
      </c>
      <c r="J1556" s="1" t="str">
        <f aca="false">VLOOKUP(B1556,Customers!$A$2:$G$502,6,FALSE())</f>
        <v>Small Business</v>
      </c>
      <c r="K1556" s="1" t="str">
        <f aca="false">VLOOKUP(C1556,Products!$A$2:$E$62,3,FALSE())</f>
        <v>Office Supplies</v>
      </c>
      <c r="L1556" s="1" t="str">
        <f aca="false">TEXT(D1556,"yyyy-mm")</f>
        <v>2023-12</v>
      </c>
    </row>
    <row r="1557" customFormat="false" ht="15" hidden="false" customHeight="true" outlineLevel="0" collapsed="false">
      <c r="A1557" s="1" t="n">
        <v>1590</v>
      </c>
      <c r="B1557" s="1" t="n">
        <v>486</v>
      </c>
      <c r="C1557" s="1" t="n">
        <v>18</v>
      </c>
      <c r="D1557" s="1" t="s">
        <v>522</v>
      </c>
      <c r="E1557" s="1" t="n">
        <v>3</v>
      </c>
      <c r="F1557" s="1" t="n">
        <v>747.34</v>
      </c>
      <c r="G1557" s="1" t="n">
        <v>0</v>
      </c>
      <c r="H1557" s="1" t="s">
        <v>1336</v>
      </c>
      <c r="I1557" s="1" t="n">
        <v>2242.02</v>
      </c>
      <c r="J1557" s="1" t="str">
        <f aca="false">VLOOKUP(B1557,Customers!$A$2:$G$502,6,FALSE())</f>
        <v>Corporate</v>
      </c>
      <c r="K1557" s="1" t="str">
        <f aca="false">VLOOKUP(C1557,Products!$A$2:$E$62,3,FALSE())</f>
        <v>Electronics</v>
      </c>
      <c r="L1557" s="1" t="str">
        <f aca="false">TEXT(D1557,"yyyy-mm")</f>
        <v>2024-03</v>
      </c>
    </row>
    <row r="1558" customFormat="false" ht="15" hidden="false" customHeight="true" outlineLevel="0" collapsed="false">
      <c r="A1558" s="1" t="n">
        <v>1591</v>
      </c>
      <c r="B1558" s="1" t="n">
        <v>427</v>
      </c>
      <c r="C1558" s="1" t="n">
        <v>4</v>
      </c>
      <c r="D1558" s="1" t="s">
        <v>1262</v>
      </c>
      <c r="E1558" s="1" t="n">
        <v>4</v>
      </c>
      <c r="F1558" s="1" t="n">
        <v>56.24</v>
      </c>
      <c r="G1558" s="1" t="n">
        <v>0.1</v>
      </c>
      <c r="H1558" s="1" t="s">
        <v>1336</v>
      </c>
      <c r="I1558" s="1" t="n">
        <v>202.46</v>
      </c>
      <c r="J1558" s="1" t="str">
        <f aca="false">VLOOKUP(B1558,Customers!$A$2:$G$502,6,FALSE())</f>
        <v>Small Business</v>
      </c>
      <c r="K1558" s="1" t="str">
        <f aca="false">VLOOKUP(C1558,Products!$A$2:$E$62,3,FALSE())</f>
        <v>Electronics</v>
      </c>
      <c r="L1558" s="1" t="str">
        <f aca="false">TEXT(D1558,"yyyy-mm")</f>
        <v>2024-04</v>
      </c>
    </row>
    <row r="1559" customFormat="false" ht="15" hidden="false" customHeight="true" outlineLevel="0" collapsed="false">
      <c r="A1559" s="1" t="n">
        <v>1592</v>
      </c>
      <c r="B1559" s="1" t="n">
        <v>144</v>
      </c>
      <c r="C1559" s="1" t="n">
        <v>12</v>
      </c>
      <c r="D1559" s="1" t="s">
        <v>1557</v>
      </c>
      <c r="E1559" s="1" t="n">
        <v>5</v>
      </c>
      <c r="F1559" s="1" t="n">
        <v>179.23</v>
      </c>
      <c r="G1559" s="1" t="n">
        <v>0.2</v>
      </c>
      <c r="H1559" s="1" t="s">
        <v>1336</v>
      </c>
      <c r="I1559" s="1" t="n">
        <v>716.92</v>
      </c>
      <c r="J1559" s="1" t="str">
        <f aca="false">VLOOKUP(B1559,Customers!$A$2:$G$502,6,FALSE())</f>
        <v>Small Business</v>
      </c>
      <c r="K1559" s="1" t="str">
        <f aca="false">VLOOKUP(C1559,Products!$A$2:$E$62,3,FALSE())</f>
        <v>Electronics</v>
      </c>
      <c r="L1559" s="1" t="str">
        <f aca="false">TEXT(D1559,"yyyy-mm")</f>
        <v>2024-03</v>
      </c>
    </row>
    <row r="1560" customFormat="false" ht="15" hidden="false" customHeight="true" outlineLevel="0" collapsed="false">
      <c r="A1560" s="1" t="n">
        <v>1593</v>
      </c>
      <c r="B1560" s="1" t="n">
        <v>179</v>
      </c>
      <c r="C1560" s="1" t="n">
        <v>20</v>
      </c>
      <c r="D1560" s="1" t="s">
        <v>1066</v>
      </c>
      <c r="E1560" s="1" t="n">
        <v>6</v>
      </c>
      <c r="F1560" s="1" t="n">
        <v>426.15</v>
      </c>
      <c r="G1560" s="1" t="n">
        <v>0</v>
      </c>
      <c r="H1560" s="1" t="s">
        <v>1336</v>
      </c>
      <c r="I1560" s="1" t="n">
        <v>2556.9</v>
      </c>
      <c r="J1560" s="1" t="str">
        <f aca="false">VLOOKUP(B1560,Customers!$A$2:$G$502,6,FALSE())</f>
        <v>Small Business</v>
      </c>
      <c r="K1560" s="1" t="str">
        <f aca="false">VLOOKUP(C1560,Products!$A$2:$E$62,3,FALSE())</f>
        <v>Office Supplies</v>
      </c>
      <c r="L1560" s="1" t="str">
        <f aca="false">TEXT(D1560,"yyyy-mm")</f>
        <v>2024-10</v>
      </c>
    </row>
    <row r="1561" customFormat="false" ht="15" hidden="false" customHeight="true" outlineLevel="0" collapsed="false">
      <c r="A1561" s="1" t="n">
        <v>1594</v>
      </c>
      <c r="B1561" s="1" t="n">
        <v>200</v>
      </c>
      <c r="C1561" s="1" t="n">
        <v>18</v>
      </c>
      <c r="D1561" s="1" t="s">
        <v>1660</v>
      </c>
      <c r="E1561" s="1" t="n">
        <v>3</v>
      </c>
      <c r="F1561" s="1" t="n">
        <v>747.34</v>
      </c>
      <c r="G1561" s="1" t="n">
        <v>0</v>
      </c>
      <c r="H1561" s="1" t="s">
        <v>1336</v>
      </c>
      <c r="I1561" s="1" t="n">
        <v>2242.02</v>
      </c>
      <c r="J1561" s="1" t="str">
        <f aca="false">VLOOKUP(B1561,Customers!$A$2:$G$502,6,FALSE())</f>
        <v>Small Business</v>
      </c>
      <c r="K1561" s="1" t="str">
        <f aca="false">VLOOKUP(C1561,Products!$A$2:$E$62,3,FALSE())</f>
        <v>Electronics</v>
      </c>
      <c r="L1561" s="1" t="str">
        <f aca="false">TEXT(D1561,"yyyy-mm")</f>
        <v>2023-06</v>
      </c>
    </row>
    <row r="1562" customFormat="false" ht="15" hidden="false" customHeight="true" outlineLevel="0" collapsed="false">
      <c r="A1562" s="1" t="n">
        <v>1595</v>
      </c>
      <c r="B1562" s="1" t="n">
        <v>249</v>
      </c>
      <c r="C1562" s="1" t="n">
        <v>25</v>
      </c>
      <c r="D1562" s="1" t="s">
        <v>59</v>
      </c>
      <c r="E1562" s="1" t="n">
        <v>2</v>
      </c>
      <c r="F1562" s="1" t="n">
        <v>300.49</v>
      </c>
      <c r="G1562" s="1" t="n">
        <v>0.1</v>
      </c>
      <c r="H1562" s="1" t="s">
        <v>1336</v>
      </c>
      <c r="I1562" s="1" t="n">
        <v>540.88</v>
      </c>
      <c r="J1562" s="1" t="str">
        <f aca="false">VLOOKUP(B1562,Customers!$A$2:$G$502,6,FALSE())</f>
        <v>Consumer</v>
      </c>
      <c r="K1562" s="1" t="str">
        <f aca="false">VLOOKUP(C1562,Products!$A$2:$E$62,3,FALSE())</f>
        <v>Office Supplies</v>
      </c>
      <c r="L1562" s="1" t="str">
        <f aca="false">TEXT(D1562,"yyyy-mm")</f>
        <v>2023-08</v>
      </c>
    </row>
    <row r="1563" customFormat="false" ht="15" hidden="false" customHeight="true" outlineLevel="0" collapsed="false">
      <c r="A1563" s="1" t="n">
        <v>1596</v>
      </c>
      <c r="B1563" s="1" t="n">
        <v>268</v>
      </c>
      <c r="C1563" s="1" t="n">
        <v>17</v>
      </c>
      <c r="D1563" s="1" t="s">
        <v>84</v>
      </c>
      <c r="E1563" s="1" t="n">
        <v>4</v>
      </c>
      <c r="F1563" s="1" t="n">
        <v>65.61</v>
      </c>
      <c r="G1563" s="1" t="n">
        <v>0</v>
      </c>
      <c r="H1563" s="1" t="s">
        <v>1336</v>
      </c>
      <c r="I1563" s="1" t="n">
        <v>262.44</v>
      </c>
      <c r="J1563" s="1" t="str">
        <f aca="false">VLOOKUP(B1563,Customers!$A$2:$G$502,6,FALSE())</f>
        <v>Small Business</v>
      </c>
      <c r="K1563" s="1" t="str">
        <f aca="false">VLOOKUP(C1563,Products!$A$2:$E$62,3,FALSE())</f>
        <v>Electronics</v>
      </c>
      <c r="L1563" s="1" t="str">
        <f aca="false">TEXT(D1563,"yyyy-mm")</f>
        <v>2024-12</v>
      </c>
    </row>
    <row r="1564" customFormat="false" ht="15" hidden="false" customHeight="true" outlineLevel="0" collapsed="false">
      <c r="A1564" s="1" t="n">
        <v>1597</v>
      </c>
      <c r="B1564" s="1" t="n">
        <v>11</v>
      </c>
      <c r="C1564" s="1" t="n">
        <v>5</v>
      </c>
      <c r="D1564" s="1" t="s">
        <v>1462</v>
      </c>
      <c r="E1564" s="1" t="n">
        <v>5</v>
      </c>
      <c r="F1564" s="1" t="n">
        <v>439.06</v>
      </c>
      <c r="G1564" s="1" t="n">
        <v>0</v>
      </c>
      <c r="H1564" s="1" t="s">
        <v>1336</v>
      </c>
      <c r="I1564" s="1" t="n">
        <v>2195.3</v>
      </c>
      <c r="J1564" s="1" t="str">
        <f aca="false">VLOOKUP(B1564,Customers!$A$2:$G$502,6,FALSE())</f>
        <v>Consumer</v>
      </c>
      <c r="K1564" s="1" t="str">
        <f aca="false">VLOOKUP(C1564,Products!$A$2:$E$62,3,FALSE())</f>
        <v>Electronics</v>
      </c>
      <c r="L1564" s="1" t="str">
        <f aca="false">TEXT(D1564,"yyyy-mm")</f>
        <v>2024-08</v>
      </c>
    </row>
    <row r="1565" customFormat="false" ht="15" hidden="false" customHeight="true" outlineLevel="0" collapsed="false">
      <c r="A1565" s="1" t="n">
        <v>1598</v>
      </c>
      <c r="B1565" s="1" t="n">
        <v>343</v>
      </c>
      <c r="C1565" s="1" t="n">
        <v>60</v>
      </c>
      <c r="D1565" s="1" t="s">
        <v>243</v>
      </c>
      <c r="E1565" s="1" t="n">
        <v>4</v>
      </c>
      <c r="F1565" s="1" t="n">
        <v>584.98</v>
      </c>
      <c r="G1565" s="1" t="n">
        <v>0.2</v>
      </c>
      <c r="H1565" s="1" t="s">
        <v>1336</v>
      </c>
      <c r="I1565" s="1" t="n">
        <v>1871.94</v>
      </c>
      <c r="J1565" s="1" t="str">
        <f aca="false">VLOOKUP(B1565,Customers!$A$2:$G$502,6,FALSE())</f>
        <v>Unknown</v>
      </c>
      <c r="K1565" s="1" t="str">
        <f aca="false">VLOOKUP(C1565,Products!$A$2:$E$62,3,FALSE())</f>
        <v>Furniture</v>
      </c>
      <c r="L1565" s="1" t="str">
        <f aca="false">TEXT(D1565,"yyyy-mm")</f>
        <v>2024-07</v>
      </c>
    </row>
    <row r="1566" customFormat="false" ht="15" hidden="false" customHeight="true" outlineLevel="0" collapsed="false">
      <c r="A1566" s="1" t="n">
        <v>1599</v>
      </c>
      <c r="B1566" s="1" t="n">
        <v>255</v>
      </c>
      <c r="C1566" s="1" t="n">
        <v>34</v>
      </c>
      <c r="D1566" s="1" t="s">
        <v>1543</v>
      </c>
      <c r="E1566" s="1" t="n">
        <v>3</v>
      </c>
      <c r="F1566" s="1" t="n">
        <v>116.85</v>
      </c>
      <c r="G1566" s="1" t="n">
        <v>0</v>
      </c>
      <c r="H1566" s="1" t="s">
        <v>1370</v>
      </c>
      <c r="I1566" s="1" t="n">
        <v>350.55</v>
      </c>
      <c r="J1566" s="1" t="str">
        <f aca="false">VLOOKUP(B1566,Customers!$A$2:$G$502,6,FALSE())</f>
        <v>Corporate</v>
      </c>
      <c r="K1566" s="1" t="str">
        <f aca="false">VLOOKUP(C1566,Products!$A$2:$E$62,3,FALSE())</f>
        <v>Office Supplies</v>
      </c>
      <c r="L1566" s="1" t="str">
        <f aca="false">TEXT(D1566,"yyyy-mm")</f>
        <v>2023-01</v>
      </c>
    </row>
    <row r="1567" customFormat="false" ht="15" hidden="false" customHeight="true" outlineLevel="0" collapsed="false">
      <c r="A1567" s="1" t="n">
        <v>1600</v>
      </c>
      <c r="B1567" s="1" t="n">
        <v>291</v>
      </c>
      <c r="C1567" s="1" t="n">
        <v>22</v>
      </c>
      <c r="D1567" s="1" t="s">
        <v>955</v>
      </c>
      <c r="E1567" s="1" t="n">
        <v>8</v>
      </c>
      <c r="F1567" s="1" t="n">
        <v>38.57</v>
      </c>
      <c r="G1567" s="1" t="n">
        <v>0.05</v>
      </c>
      <c r="H1567" s="1" t="s">
        <v>1336</v>
      </c>
      <c r="I1567" s="1" t="n">
        <v>293.13</v>
      </c>
      <c r="J1567" s="1" t="str">
        <f aca="false">VLOOKUP(B1567,Customers!$A$2:$G$502,6,FALSE())</f>
        <v>Consumer</v>
      </c>
      <c r="K1567" s="1" t="str">
        <f aca="false">VLOOKUP(C1567,Products!$A$2:$E$62,3,FALSE())</f>
        <v>Office Supplies</v>
      </c>
      <c r="L1567" s="1" t="str">
        <f aca="false">TEXT(D1567,"yyyy-mm")</f>
        <v>2023-01</v>
      </c>
    </row>
    <row r="1568" customFormat="false" ht="15" hidden="false" customHeight="true" outlineLevel="0" collapsed="false">
      <c r="A1568" s="1" t="n">
        <v>1601</v>
      </c>
      <c r="B1568" s="1" t="n">
        <v>129</v>
      </c>
      <c r="C1568" s="1" t="n">
        <v>45</v>
      </c>
      <c r="D1568" s="1" t="s">
        <v>283</v>
      </c>
      <c r="E1568" s="1" t="n">
        <v>4</v>
      </c>
      <c r="F1568" s="1" t="n">
        <v>560.01</v>
      </c>
      <c r="G1568" s="1" t="n">
        <v>0.1</v>
      </c>
      <c r="H1568" s="1" t="s">
        <v>1336</v>
      </c>
      <c r="I1568" s="1" t="n">
        <v>2016.04</v>
      </c>
      <c r="J1568" s="1" t="str">
        <f aca="false">VLOOKUP(B1568,Customers!$A$2:$G$502,6,FALSE())</f>
        <v>Corporate</v>
      </c>
      <c r="K1568" s="1" t="str">
        <f aca="false">VLOOKUP(C1568,Products!$A$2:$E$62,3,FALSE())</f>
        <v>Software</v>
      </c>
      <c r="L1568" s="1" t="str">
        <f aca="false">TEXT(D1568,"yyyy-mm")</f>
        <v>2023-10</v>
      </c>
    </row>
    <row r="1569" customFormat="false" ht="15" hidden="false" customHeight="true" outlineLevel="0" collapsed="false">
      <c r="A1569" s="1" t="n">
        <v>1602</v>
      </c>
      <c r="B1569" s="1" t="n">
        <v>289</v>
      </c>
      <c r="C1569" s="1" t="n">
        <v>23</v>
      </c>
      <c r="D1569" s="1" t="s">
        <v>1517</v>
      </c>
      <c r="E1569" s="1" t="n">
        <v>2</v>
      </c>
      <c r="F1569" s="1" t="n">
        <v>188.73</v>
      </c>
      <c r="G1569" s="1" t="n">
        <v>0.05</v>
      </c>
      <c r="H1569" s="1" t="s">
        <v>1336</v>
      </c>
      <c r="I1569" s="1" t="n">
        <v>358.59</v>
      </c>
      <c r="J1569" s="1" t="str">
        <f aca="false">VLOOKUP(B1569,Customers!$A$2:$G$502,6,FALSE())</f>
        <v>Consumer</v>
      </c>
      <c r="K1569" s="1" t="str">
        <f aca="false">VLOOKUP(C1569,Products!$A$2:$E$62,3,FALSE())</f>
        <v>Office Supplies</v>
      </c>
      <c r="L1569" s="1" t="str">
        <f aca="false">TEXT(D1569,"yyyy-mm")</f>
        <v>2023-04</v>
      </c>
    </row>
    <row r="1570" customFormat="false" ht="15" hidden="false" customHeight="true" outlineLevel="0" collapsed="false">
      <c r="A1570" s="1" t="n">
        <v>1603</v>
      </c>
      <c r="B1570" s="1" t="n">
        <v>173</v>
      </c>
      <c r="C1570" s="1" t="n">
        <v>23</v>
      </c>
      <c r="D1570" s="1" t="s">
        <v>1423</v>
      </c>
      <c r="E1570" s="1" t="n">
        <v>2</v>
      </c>
      <c r="F1570" s="1" t="n">
        <v>188.73</v>
      </c>
      <c r="G1570" s="1" t="n">
        <v>0.2</v>
      </c>
      <c r="H1570" s="1" t="s">
        <v>1336</v>
      </c>
      <c r="I1570" s="1" t="n">
        <v>301.97</v>
      </c>
      <c r="J1570" s="1" t="str">
        <f aca="false">VLOOKUP(B1570,Customers!$A$2:$G$502,6,FALSE())</f>
        <v>Consumer</v>
      </c>
      <c r="K1570" s="1" t="str">
        <f aca="false">VLOOKUP(C1570,Products!$A$2:$E$62,3,FALSE())</f>
        <v>Office Supplies</v>
      </c>
      <c r="L1570" s="1" t="str">
        <f aca="false">TEXT(D1570,"yyyy-mm")</f>
        <v>2024-04</v>
      </c>
    </row>
    <row r="1571" customFormat="false" ht="15" hidden="false" customHeight="true" outlineLevel="0" collapsed="false">
      <c r="A1571" s="1" t="n">
        <v>1604</v>
      </c>
      <c r="B1571" s="1" t="n">
        <v>9</v>
      </c>
      <c r="C1571" s="1" t="n">
        <v>45</v>
      </c>
      <c r="D1571" s="1" t="s">
        <v>1441</v>
      </c>
      <c r="E1571" s="1" t="n">
        <v>1</v>
      </c>
      <c r="F1571" s="1" t="n">
        <v>560.01</v>
      </c>
      <c r="G1571" s="1" t="n">
        <v>0</v>
      </c>
      <c r="H1571" s="1" t="s">
        <v>1336</v>
      </c>
      <c r="I1571" s="1" t="n">
        <v>560.01</v>
      </c>
      <c r="J1571" s="1" t="str">
        <f aca="false">VLOOKUP(B1571,Customers!$A$2:$G$502,6,FALSE())</f>
        <v>Small Business</v>
      </c>
      <c r="K1571" s="1" t="str">
        <f aca="false">VLOOKUP(C1571,Products!$A$2:$E$62,3,FALSE())</f>
        <v>Software</v>
      </c>
      <c r="L1571" s="1" t="str">
        <f aca="false">TEXT(D1571,"yyyy-mm")</f>
        <v>2023-03</v>
      </c>
    </row>
    <row r="1572" customFormat="false" ht="15" hidden="false" customHeight="true" outlineLevel="0" collapsed="false">
      <c r="A1572" s="1" t="n">
        <v>1605</v>
      </c>
      <c r="B1572" s="1" t="n">
        <v>240</v>
      </c>
      <c r="C1572" s="1" t="n">
        <v>27</v>
      </c>
      <c r="D1572" s="1" t="s">
        <v>846</v>
      </c>
      <c r="E1572" s="1" t="n">
        <v>4</v>
      </c>
      <c r="F1572" s="1" t="n">
        <v>772.58</v>
      </c>
      <c r="G1572" s="1" t="n">
        <v>0.15</v>
      </c>
      <c r="H1572" s="1" t="s">
        <v>1336</v>
      </c>
      <c r="I1572" s="1" t="n">
        <v>2626.77</v>
      </c>
      <c r="J1572" s="1" t="str">
        <f aca="false">VLOOKUP(B1572,Customers!$A$2:$G$502,6,FALSE())</f>
        <v>Corporate</v>
      </c>
      <c r="K1572" s="1" t="str">
        <f aca="false">VLOOKUP(C1572,Products!$A$2:$E$62,3,FALSE())</f>
        <v>Office Supplies</v>
      </c>
      <c r="L1572" s="1" t="str">
        <f aca="false">TEXT(D1572,"yyyy-mm")</f>
        <v>2024-07</v>
      </c>
    </row>
    <row r="1573" customFormat="false" ht="15" hidden="false" customHeight="true" outlineLevel="0" collapsed="false">
      <c r="A1573" s="1" t="n">
        <v>1606</v>
      </c>
      <c r="B1573" s="1" t="n">
        <v>70</v>
      </c>
      <c r="C1573" s="1" t="n">
        <v>15</v>
      </c>
      <c r="D1573" s="1" t="s">
        <v>929</v>
      </c>
      <c r="E1573" s="1" t="n">
        <v>9</v>
      </c>
      <c r="F1573" s="1" t="n">
        <v>304.95</v>
      </c>
      <c r="G1573" s="1" t="n">
        <v>0</v>
      </c>
      <c r="H1573" s="1" t="s">
        <v>1336</v>
      </c>
      <c r="I1573" s="1" t="n">
        <v>2744.55</v>
      </c>
      <c r="J1573" s="1" t="str">
        <f aca="false">VLOOKUP(B1573,Customers!$A$2:$G$502,6,FALSE())</f>
        <v>Corporate</v>
      </c>
      <c r="K1573" s="1" t="str">
        <f aca="false">VLOOKUP(C1573,Products!$A$2:$E$62,3,FALSE())</f>
        <v>Electronics</v>
      </c>
      <c r="L1573" s="1" t="str">
        <f aca="false">TEXT(D1573,"yyyy-mm")</f>
        <v>2023-08</v>
      </c>
    </row>
    <row r="1574" customFormat="false" ht="15" hidden="false" customHeight="true" outlineLevel="0" collapsed="false">
      <c r="A1574" s="1" t="n">
        <v>1607</v>
      </c>
      <c r="B1574" s="1" t="n">
        <v>62</v>
      </c>
      <c r="C1574" s="1" t="n">
        <v>18</v>
      </c>
      <c r="D1574" s="1" t="s">
        <v>1089</v>
      </c>
      <c r="E1574" s="1" t="n">
        <v>7</v>
      </c>
      <c r="F1574" s="1" t="n">
        <v>747.34</v>
      </c>
      <c r="G1574" s="1" t="n">
        <v>0.1</v>
      </c>
      <c r="H1574" s="1" t="s">
        <v>1346</v>
      </c>
      <c r="I1574" s="1" t="n">
        <v>4708.24</v>
      </c>
      <c r="J1574" s="1" t="str">
        <f aca="false">VLOOKUP(B1574,Customers!$A$2:$G$502,6,FALSE())</f>
        <v>Consumer</v>
      </c>
      <c r="K1574" s="1" t="str">
        <f aca="false">VLOOKUP(C1574,Products!$A$2:$E$62,3,FALSE())</f>
        <v>Electronics</v>
      </c>
      <c r="L1574" s="1" t="str">
        <f aca="false">TEXT(D1574,"yyyy-mm")</f>
        <v>2024-10</v>
      </c>
    </row>
    <row r="1575" customFormat="false" ht="15" hidden="false" customHeight="true" outlineLevel="0" collapsed="false">
      <c r="A1575" s="1" t="n">
        <v>1608</v>
      </c>
      <c r="B1575" s="1" t="n">
        <v>314</v>
      </c>
      <c r="C1575" s="1" t="n">
        <v>8</v>
      </c>
      <c r="D1575" s="1" t="s">
        <v>852</v>
      </c>
      <c r="E1575" s="1" t="n">
        <v>7</v>
      </c>
      <c r="F1575" s="1" t="n">
        <v>104.4</v>
      </c>
      <c r="G1575" s="1" t="n">
        <v>0.2</v>
      </c>
      <c r="H1575" s="1" t="s">
        <v>1336</v>
      </c>
      <c r="I1575" s="1" t="n">
        <v>584.64</v>
      </c>
      <c r="J1575" s="1" t="str">
        <f aca="false">VLOOKUP(B1575,Customers!$A$2:$G$502,6,FALSE())</f>
        <v>Small Business</v>
      </c>
      <c r="K1575" s="1" t="str">
        <f aca="false">VLOOKUP(C1575,Products!$A$2:$E$62,3,FALSE())</f>
        <v>Electronics</v>
      </c>
      <c r="L1575" s="1" t="str">
        <f aca="false">TEXT(D1575,"yyyy-mm")</f>
        <v>2023-04</v>
      </c>
    </row>
    <row r="1576" customFormat="false" ht="15" hidden="false" customHeight="true" outlineLevel="0" collapsed="false">
      <c r="A1576" s="1" t="n">
        <v>1609</v>
      </c>
      <c r="B1576" s="1" t="n">
        <v>124</v>
      </c>
      <c r="C1576" s="1" t="n">
        <v>3</v>
      </c>
      <c r="D1576" s="1" t="s">
        <v>1446</v>
      </c>
      <c r="E1576" s="1" t="n">
        <v>7</v>
      </c>
      <c r="F1576" s="1" t="n">
        <v>89.39</v>
      </c>
      <c r="G1576" s="1" t="n">
        <v>0.15</v>
      </c>
      <c r="H1576" s="1" t="s">
        <v>1336</v>
      </c>
      <c r="I1576" s="1" t="n">
        <v>531.87</v>
      </c>
      <c r="J1576" s="1" t="str">
        <f aca="false">VLOOKUP(B1576,Customers!$A$2:$G$502,6,FALSE())</f>
        <v>Small Business</v>
      </c>
      <c r="K1576" s="1" t="str">
        <f aca="false">VLOOKUP(C1576,Products!$A$2:$E$62,3,FALSE())</f>
        <v>Electronics</v>
      </c>
      <c r="L1576" s="1" t="str">
        <f aca="false">TEXT(D1576,"yyyy-mm")</f>
        <v>2024-05</v>
      </c>
    </row>
    <row r="1577" customFormat="false" ht="15" hidden="false" customHeight="true" outlineLevel="0" collapsed="false">
      <c r="A1577" s="1" t="n">
        <v>1610</v>
      </c>
      <c r="B1577" s="1" t="n">
        <v>475</v>
      </c>
      <c r="C1577" s="1" t="n">
        <v>54</v>
      </c>
      <c r="D1577" s="1" t="s">
        <v>1038</v>
      </c>
      <c r="E1577" s="1" t="n">
        <v>8</v>
      </c>
      <c r="F1577" s="1" t="n">
        <v>312.01</v>
      </c>
      <c r="G1577" s="1" t="n">
        <v>0.2</v>
      </c>
      <c r="H1577" s="1" t="s">
        <v>1370</v>
      </c>
      <c r="I1577" s="1" t="n">
        <v>1996.86</v>
      </c>
      <c r="J1577" s="1" t="str">
        <f aca="false">VLOOKUP(B1577,Customers!$A$2:$G$502,6,FALSE())</f>
        <v>Small Business</v>
      </c>
      <c r="K1577" s="1" t="str">
        <f aca="false">VLOOKUP(C1577,Products!$A$2:$E$62,3,FALSE())</f>
        <v>Software</v>
      </c>
      <c r="L1577" s="1" t="str">
        <f aca="false">TEXT(D1577,"yyyy-mm")</f>
        <v>2024-05</v>
      </c>
    </row>
    <row r="1578" customFormat="false" ht="15" hidden="false" customHeight="true" outlineLevel="0" collapsed="false">
      <c r="A1578" s="1" t="n">
        <v>1611</v>
      </c>
      <c r="B1578" s="1" t="n">
        <v>258</v>
      </c>
      <c r="C1578" s="1" t="n">
        <v>38</v>
      </c>
      <c r="D1578" s="1" t="s">
        <v>1537</v>
      </c>
      <c r="E1578" s="1" t="n">
        <v>1</v>
      </c>
      <c r="F1578" s="1" t="n">
        <v>521.63</v>
      </c>
      <c r="G1578" s="1" t="n">
        <v>0.1</v>
      </c>
      <c r="H1578" s="1" t="s">
        <v>1336</v>
      </c>
      <c r="I1578" s="1" t="n">
        <v>469.47</v>
      </c>
      <c r="J1578" s="1" t="str">
        <f aca="false">VLOOKUP(B1578,Customers!$A$2:$G$502,6,FALSE())</f>
        <v>Small Business</v>
      </c>
      <c r="K1578" s="1" t="str">
        <f aca="false">VLOOKUP(C1578,Products!$A$2:$E$62,3,FALSE())</f>
        <v>Software</v>
      </c>
      <c r="L1578" s="1" t="str">
        <f aca="false">TEXT(D1578,"yyyy-mm")</f>
        <v>2023-08</v>
      </c>
    </row>
    <row r="1579" customFormat="false" ht="15" hidden="false" customHeight="true" outlineLevel="0" collapsed="false">
      <c r="A1579" s="1" t="n">
        <v>1612</v>
      </c>
      <c r="B1579" s="1" t="n">
        <v>232</v>
      </c>
      <c r="C1579" s="1" t="n">
        <v>36</v>
      </c>
      <c r="D1579" s="1" t="s">
        <v>202</v>
      </c>
      <c r="E1579" s="1" t="n">
        <v>8</v>
      </c>
      <c r="F1579" s="1" t="n">
        <v>424.45</v>
      </c>
      <c r="G1579" s="1" t="n">
        <v>0</v>
      </c>
      <c r="H1579" s="1" t="s">
        <v>1336</v>
      </c>
      <c r="I1579" s="1" t="n">
        <v>3395.6</v>
      </c>
      <c r="J1579" s="1" t="str">
        <f aca="false">VLOOKUP(B1579,Customers!$A$2:$G$502,6,FALSE())</f>
        <v>Corporate</v>
      </c>
      <c r="K1579" s="1" t="str">
        <f aca="false">VLOOKUP(C1579,Products!$A$2:$E$62,3,FALSE())</f>
        <v>Software</v>
      </c>
      <c r="L1579" s="1" t="str">
        <f aca="false">TEXT(D1579,"yyyy-mm")</f>
        <v>2024-12</v>
      </c>
    </row>
    <row r="1580" customFormat="false" ht="15" hidden="false" customHeight="true" outlineLevel="0" collapsed="false">
      <c r="A1580" s="1" t="n">
        <v>1613</v>
      </c>
      <c r="B1580" s="1" t="n">
        <v>141</v>
      </c>
      <c r="C1580" s="1" t="n">
        <v>13</v>
      </c>
      <c r="D1580" s="1" t="s">
        <v>1599</v>
      </c>
      <c r="E1580" s="1" t="n">
        <v>4</v>
      </c>
      <c r="F1580" s="1" t="n">
        <v>352.54</v>
      </c>
      <c r="G1580" s="1" t="n">
        <v>0.2</v>
      </c>
      <c r="H1580" s="1" t="s">
        <v>1336</v>
      </c>
      <c r="I1580" s="1" t="n">
        <v>1128.13</v>
      </c>
      <c r="J1580" s="1" t="str">
        <f aca="false">VLOOKUP(B1580,Customers!$A$2:$G$502,6,FALSE())</f>
        <v>Small Business</v>
      </c>
      <c r="K1580" s="1" t="str">
        <f aca="false">VLOOKUP(C1580,Products!$A$2:$E$62,3,FALSE())</f>
        <v>Electronics</v>
      </c>
      <c r="L1580" s="1" t="str">
        <f aca="false">TEXT(D1580,"yyyy-mm")</f>
        <v>2023-06</v>
      </c>
    </row>
    <row r="1581" customFormat="false" ht="15" hidden="false" customHeight="true" outlineLevel="0" collapsed="false">
      <c r="A1581" s="1" t="n">
        <v>1614</v>
      </c>
      <c r="B1581" s="1" t="n">
        <v>108</v>
      </c>
      <c r="C1581" s="1" t="n">
        <v>13</v>
      </c>
      <c r="D1581" s="1" t="s">
        <v>1465</v>
      </c>
      <c r="E1581" s="1" t="n">
        <v>4</v>
      </c>
      <c r="F1581" s="1" t="n">
        <v>352.54</v>
      </c>
      <c r="G1581" s="1" t="n">
        <v>0</v>
      </c>
      <c r="H1581" s="1" t="s">
        <v>1336</v>
      </c>
      <c r="I1581" s="1" t="n">
        <v>1410.16</v>
      </c>
      <c r="J1581" s="1" t="str">
        <f aca="false">VLOOKUP(B1581,Customers!$A$2:$G$502,6,FALSE())</f>
        <v>Consumer</v>
      </c>
      <c r="K1581" s="1" t="str">
        <f aca="false">VLOOKUP(C1581,Products!$A$2:$E$62,3,FALSE())</f>
        <v>Electronics</v>
      </c>
      <c r="L1581" s="1" t="str">
        <f aca="false">TEXT(D1581,"yyyy-mm")</f>
        <v>2023-05</v>
      </c>
    </row>
    <row r="1582" customFormat="false" ht="15" hidden="false" customHeight="true" outlineLevel="0" collapsed="false">
      <c r="A1582" s="1" t="n">
        <v>1615</v>
      </c>
      <c r="B1582" s="1" t="n">
        <v>61</v>
      </c>
      <c r="C1582" s="1" t="n">
        <v>47</v>
      </c>
      <c r="D1582" s="1" t="s">
        <v>1639</v>
      </c>
      <c r="E1582" s="1" t="n">
        <v>4</v>
      </c>
      <c r="F1582" s="1" t="n">
        <v>506.19</v>
      </c>
      <c r="G1582" s="1" t="n">
        <v>0</v>
      </c>
      <c r="H1582" s="1" t="s">
        <v>1336</v>
      </c>
      <c r="I1582" s="1" t="n">
        <v>2024.76</v>
      </c>
      <c r="J1582" s="1" t="str">
        <f aca="false">VLOOKUP(B1582,Customers!$A$2:$G$502,6,FALSE())</f>
        <v>Small Business</v>
      </c>
      <c r="K1582" s="1" t="str">
        <f aca="false">VLOOKUP(C1582,Products!$A$2:$E$62,3,FALSE())</f>
        <v>Software</v>
      </c>
      <c r="L1582" s="1" t="str">
        <f aca="false">TEXT(D1582,"yyyy-mm")</f>
        <v>2023-07</v>
      </c>
    </row>
    <row r="1583" customFormat="false" ht="15" hidden="false" customHeight="true" outlineLevel="0" collapsed="false">
      <c r="A1583" s="1" t="n">
        <v>1616</v>
      </c>
      <c r="B1583" s="1" t="n">
        <v>79</v>
      </c>
      <c r="C1583" s="1" t="n">
        <v>45</v>
      </c>
      <c r="D1583" s="1" t="s">
        <v>1635</v>
      </c>
      <c r="E1583" s="1" t="n">
        <v>6</v>
      </c>
      <c r="F1583" s="1" t="n">
        <v>560.01</v>
      </c>
      <c r="G1583" s="1" t="n">
        <v>0</v>
      </c>
      <c r="H1583" s="1" t="s">
        <v>1346</v>
      </c>
      <c r="I1583" s="1" t="n">
        <v>3360.06</v>
      </c>
      <c r="J1583" s="1" t="str">
        <f aca="false">VLOOKUP(B1583,Customers!$A$2:$G$502,6,FALSE())</f>
        <v>Small Business</v>
      </c>
      <c r="K1583" s="1" t="str">
        <f aca="false">VLOOKUP(C1583,Products!$A$2:$E$62,3,FALSE())</f>
        <v>Software</v>
      </c>
      <c r="L1583" s="1" t="str">
        <f aca="false">TEXT(D1583,"yyyy-mm")</f>
        <v>2023-03</v>
      </c>
    </row>
    <row r="1584" customFormat="false" ht="15" hidden="false" customHeight="true" outlineLevel="0" collapsed="false">
      <c r="A1584" s="1" t="n">
        <v>1617</v>
      </c>
      <c r="B1584" s="1" t="n">
        <v>273</v>
      </c>
      <c r="C1584" s="1" t="n">
        <v>12</v>
      </c>
      <c r="D1584" s="1" t="s">
        <v>229</v>
      </c>
      <c r="E1584" s="1" t="n">
        <v>7</v>
      </c>
      <c r="F1584" s="1" t="n">
        <v>179.23</v>
      </c>
      <c r="G1584" s="1" t="n">
        <v>0.2</v>
      </c>
      <c r="H1584" s="1" t="s">
        <v>1346</v>
      </c>
      <c r="I1584" s="1" t="n">
        <v>1003.69</v>
      </c>
      <c r="J1584" s="1" t="str">
        <f aca="false">VLOOKUP(B1584,Customers!$A$2:$G$502,6,FALSE())</f>
        <v>Corporate</v>
      </c>
      <c r="K1584" s="1" t="str">
        <f aca="false">VLOOKUP(C1584,Products!$A$2:$E$62,3,FALSE())</f>
        <v>Electronics</v>
      </c>
      <c r="L1584" s="1" t="str">
        <f aca="false">TEXT(D1584,"yyyy-mm")</f>
        <v>2024-12</v>
      </c>
    </row>
    <row r="1585" customFormat="false" ht="15" hidden="false" customHeight="true" outlineLevel="0" collapsed="false">
      <c r="A1585" s="1" t="n">
        <v>1618</v>
      </c>
      <c r="B1585" s="1" t="n">
        <v>79</v>
      </c>
      <c r="C1585" s="1" t="n">
        <v>27</v>
      </c>
      <c r="D1585" s="1" t="s">
        <v>1188</v>
      </c>
      <c r="E1585" s="1" t="n">
        <v>6</v>
      </c>
      <c r="F1585" s="1" t="n">
        <v>772.58</v>
      </c>
      <c r="G1585" s="1" t="n">
        <v>0.05</v>
      </c>
      <c r="H1585" s="1" t="s">
        <v>1336</v>
      </c>
      <c r="I1585" s="1" t="n">
        <v>4403.71</v>
      </c>
      <c r="J1585" s="1" t="str">
        <f aca="false">VLOOKUP(B1585,Customers!$A$2:$G$502,6,FALSE())</f>
        <v>Small Business</v>
      </c>
      <c r="K1585" s="1" t="str">
        <f aca="false">VLOOKUP(C1585,Products!$A$2:$E$62,3,FALSE())</f>
        <v>Office Supplies</v>
      </c>
      <c r="L1585" s="1" t="str">
        <f aca="false">TEXT(D1585,"yyyy-mm")</f>
        <v>2023-04</v>
      </c>
    </row>
    <row r="1586" customFormat="false" ht="15" hidden="false" customHeight="true" outlineLevel="0" collapsed="false">
      <c r="A1586" s="1" t="n">
        <v>1619</v>
      </c>
      <c r="B1586" s="1" t="n">
        <v>285</v>
      </c>
      <c r="C1586" s="1" t="n">
        <v>57</v>
      </c>
      <c r="D1586" s="1" t="s">
        <v>739</v>
      </c>
      <c r="E1586" s="1" t="n">
        <v>1</v>
      </c>
      <c r="F1586" s="1" t="n">
        <v>719.76</v>
      </c>
      <c r="G1586" s="1" t="n">
        <v>0.1</v>
      </c>
      <c r="H1586" s="1" t="s">
        <v>1370</v>
      </c>
      <c r="I1586" s="1" t="n">
        <v>647.78</v>
      </c>
      <c r="J1586" s="1" t="str">
        <f aca="false">VLOOKUP(B1586,Customers!$A$2:$G$502,6,FALSE())</f>
        <v>Consumer</v>
      </c>
      <c r="K1586" s="1" t="str">
        <f aca="false">VLOOKUP(C1586,Products!$A$2:$E$62,3,FALSE())</f>
        <v>Furniture</v>
      </c>
      <c r="L1586" s="1" t="str">
        <f aca="false">TEXT(D1586,"yyyy-mm")</f>
        <v>2024-11</v>
      </c>
    </row>
    <row r="1587" customFormat="false" ht="15" hidden="false" customHeight="true" outlineLevel="0" collapsed="false">
      <c r="A1587" s="1" t="n">
        <v>1620</v>
      </c>
      <c r="B1587" s="1" t="n">
        <v>169</v>
      </c>
      <c r="C1587" s="1" t="n">
        <v>57</v>
      </c>
      <c r="D1587" s="1" t="s">
        <v>919</v>
      </c>
      <c r="E1587" s="1" t="n">
        <v>8</v>
      </c>
      <c r="F1587" s="1" t="n">
        <v>719.76</v>
      </c>
      <c r="G1587" s="1" t="n">
        <v>0</v>
      </c>
      <c r="H1587" s="1" t="s">
        <v>1336</v>
      </c>
      <c r="I1587" s="1" t="n">
        <v>5758.08</v>
      </c>
      <c r="J1587" s="1" t="str">
        <f aca="false">VLOOKUP(B1587,Customers!$A$2:$G$502,6,FALSE())</f>
        <v>Consumer</v>
      </c>
      <c r="K1587" s="1" t="str">
        <f aca="false">VLOOKUP(C1587,Products!$A$2:$E$62,3,FALSE())</f>
        <v>Furniture</v>
      </c>
      <c r="L1587" s="1" t="str">
        <f aca="false">TEXT(D1587,"yyyy-mm")</f>
        <v>2024-04</v>
      </c>
    </row>
    <row r="1588" customFormat="false" ht="15" hidden="false" customHeight="true" outlineLevel="0" collapsed="false">
      <c r="A1588" s="1" t="n">
        <v>1621</v>
      </c>
      <c r="B1588" s="1" t="n">
        <v>230</v>
      </c>
      <c r="C1588" s="1" t="n">
        <v>28</v>
      </c>
      <c r="D1588" s="1" t="s">
        <v>1599</v>
      </c>
      <c r="E1588" s="1" t="n">
        <v>7</v>
      </c>
      <c r="F1588" s="1" t="n">
        <v>505.23</v>
      </c>
      <c r="G1588" s="1" t="n">
        <v>0.1</v>
      </c>
      <c r="H1588" s="1" t="s">
        <v>1336</v>
      </c>
      <c r="I1588" s="1" t="n">
        <v>3182.95</v>
      </c>
      <c r="J1588" s="1" t="str">
        <f aca="false">VLOOKUP(B1588,Customers!$A$2:$G$502,6,FALSE())</f>
        <v>Corporate</v>
      </c>
      <c r="K1588" s="1" t="str">
        <f aca="false">VLOOKUP(C1588,Products!$A$2:$E$62,3,FALSE())</f>
        <v>Office Supplies</v>
      </c>
      <c r="L1588" s="1" t="str">
        <f aca="false">TEXT(D1588,"yyyy-mm")</f>
        <v>2023-06</v>
      </c>
    </row>
    <row r="1589" customFormat="false" ht="15" hidden="false" customHeight="true" outlineLevel="0" collapsed="false">
      <c r="A1589" s="1" t="n">
        <v>1622</v>
      </c>
      <c r="B1589" s="1" t="n">
        <v>475</v>
      </c>
      <c r="C1589" s="1" t="n">
        <v>47</v>
      </c>
      <c r="D1589" s="1" t="s">
        <v>220</v>
      </c>
      <c r="E1589" s="1" t="n">
        <v>6</v>
      </c>
      <c r="F1589" s="1" t="n">
        <v>506.19</v>
      </c>
      <c r="G1589" s="1" t="n">
        <v>0</v>
      </c>
      <c r="H1589" s="1" t="s">
        <v>1336</v>
      </c>
      <c r="I1589" s="1" t="n">
        <v>3037.14</v>
      </c>
      <c r="J1589" s="1" t="str">
        <f aca="false">VLOOKUP(B1589,Customers!$A$2:$G$502,6,FALSE())</f>
        <v>Small Business</v>
      </c>
      <c r="K1589" s="1" t="str">
        <f aca="false">VLOOKUP(C1589,Products!$A$2:$E$62,3,FALSE())</f>
        <v>Software</v>
      </c>
      <c r="L1589" s="1" t="str">
        <f aca="false">TEXT(D1589,"yyyy-mm")</f>
        <v>2023-01</v>
      </c>
    </row>
    <row r="1590" customFormat="false" ht="15" hidden="false" customHeight="true" outlineLevel="0" collapsed="false">
      <c r="A1590" s="1" t="n">
        <v>1623</v>
      </c>
      <c r="B1590" s="1" t="n">
        <v>448</v>
      </c>
      <c r="C1590" s="1" t="n">
        <v>38</v>
      </c>
      <c r="D1590" s="1" t="s">
        <v>365</v>
      </c>
      <c r="E1590" s="1" t="n">
        <v>6</v>
      </c>
      <c r="F1590" s="1" t="n">
        <v>521.63</v>
      </c>
      <c r="G1590" s="1" t="n">
        <v>0.2</v>
      </c>
      <c r="H1590" s="1" t="s">
        <v>1336</v>
      </c>
      <c r="I1590" s="1" t="n">
        <v>2503.82</v>
      </c>
      <c r="J1590" s="1" t="str">
        <f aca="false">VLOOKUP(B1590,Customers!$A$2:$G$502,6,FALSE())</f>
        <v>Corporate</v>
      </c>
      <c r="K1590" s="1" t="str">
        <f aca="false">VLOOKUP(C1590,Products!$A$2:$E$62,3,FALSE())</f>
        <v>Software</v>
      </c>
      <c r="L1590" s="1" t="str">
        <f aca="false">TEXT(D1590,"yyyy-mm")</f>
        <v>2023-04</v>
      </c>
    </row>
    <row r="1591" customFormat="false" ht="15" hidden="false" customHeight="true" outlineLevel="0" collapsed="false">
      <c r="A1591" s="1" t="n">
        <v>1624</v>
      </c>
      <c r="B1591" s="1" t="n">
        <v>487</v>
      </c>
      <c r="C1591" s="1" t="n">
        <v>55</v>
      </c>
      <c r="D1591" s="1" t="s">
        <v>825</v>
      </c>
      <c r="E1591" s="1" t="n">
        <v>5</v>
      </c>
      <c r="F1591" s="1" t="n">
        <v>123.38</v>
      </c>
      <c r="G1591" s="1" t="n">
        <v>0.1</v>
      </c>
      <c r="H1591" s="1" t="s">
        <v>1336</v>
      </c>
      <c r="I1591" s="1" t="n">
        <v>555.21</v>
      </c>
      <c r="J1591" s="1" t="str">
        <f aca="false">VLOOKUP(B1591,Customers!$A$2:$G$502,6,FALSE())</f>
        <v>Small Business</v>
      </c>
      <c r="K1591" s="1" t="str">
        <f aca="false">VLOOKUP(C1591,Products!$A$2:$E$62,3,FALSE())</f>
        <v>Furniture</v>
      </c>
      <c r="L1591" s="1" t="str">
        <f aca="false">TEXT(D1591,"yyyy-mm")</f>
        <v>2023-04</v>
      </c>
    </row>
    <row r="1592" customFormat="false" ht="15" hidden="false" customHeight="true" outlineLevel="0" collapsed="false">
      <c r="A1592" s="1" t="n">
        <v>1625</v>
      </c>
      <c r="B1592" s="1" t="n">
        <v>70</v>
      </c>
      <c r="C1592" s="1" t="n">
        <v>4</v>
      </c>
      <c r="D1592" s="1" t="s">
        <v>1500</v>
      </c>
      <c r="E1592" s="1" t="n">
        <v>6</v>
      </c>
      <c r="F1592" s="1" t="n">
        <v>56.24</v>
      </c>
      <c r="G1592" s="1" t="n">
        <v>0</v>
      </c>
      <c r="H1592" s="1" t="s">
        <v>1336</v>
      </c>
      <c r="I1592" s="1" t="n">
        <v>337.44</v>
      </c>
      <c r="J1592" s="1" t="str">
        <f aca="false">VLOOKUP(B1592,Customers!$A$2:$G$502,6,FALSE())</f>
        <v>Corporate</v>
      </c>
      <c r="K1592" s="1" t="str">
        <f aca="false">VLOOKUP(C1592,Products!$A$2:$E$62,3,FALSE())</f>
        <v>Electronics</v>
      </c>
      <c r="L1592" s="1" t="str">
        <f aca="false">TEXT(D1592,"yyyy-mm")</f>
        <v>2024-06</v>
      </c>
    </row>
    <row r="1593" customFormat="false" ht="15" hidden="false" customHeight="true" outlineLevel="0" collapsed="false">
      <c r="A1593" s="1" t="n">
        <v>1626</v>
      </c>
      <c r="B1593" s="1" t="n">
        <v>261</v>
      </c>
      <c r="C1593" s="1" t="n">
        <v>55</v>
      </c>
      <c r="D1593" s="1" t="s">
        <v>1565</v>
      </c>
      <c r="E1593" s="1" t="n">
        <v>9</v>
      </c>
      <c r="F1593" s="1" t="n">
        <v>123.38</v>
      </c>
      <c r="G1593" s="1" t="n">
        <v>0.1</v>
      </c>
      <c r="H1593" s="1" t="s">
        <v>1346</v>
      </c>
      <c r="I1593" s="1" t="n">
        <v>999.38</v>
      </c>
      <c r="J1593" s="1" t="str">
        <f aca="false">VLOOKUP(B1593,Customers!$A$2:$G$502,6,FALSE())</f>
        <v>Consumer</v>
      </c>
      <c r="K1593" s="1" t="str">
        <f aca="false">VLOOKUP(C1593,Products!$A$2:$E$62,3,FALSE())</f>
        <v>Furniture</v>
      </c>
      <c r="L1593" s="1" t="str">
        <f aca="false">TEXT(D1593,"yyyy-mm")</f>
        <v>2024-09</v>
      </c>
    </row>
    <row r="1594" customFormat="false" ht="15" hidden="false" customHeight="true" outlineLevel="0" collapsed="false">
      <c r="A1594" s="1" t="n">
        <v>1627</v>
      </c>
      <c r="B1594" s="1" t="n">
        <v>276</v>
      </c>
      <c r="C1594" s="1" t="n">
        <v>6</v>
      </c>
      <c r="D1594" s="1" t="s">
        <v>1413</v>
      </c>
      <c r="E1594" s="1" t="n">
        <v>9</v>
      </c>
      <c r="F1594" s="1" t="n">
        <v>28.51</v>
      </c>
      <c r="G1594" s="1" t="n">
        <v>0</v>
      </c>
      <c r="H1594" s="1" t="s">
        <v>1336</v>
      </c>
      <c r="I1594" s="1" t="n">
        <v>256.59</v>
      </c>
      <c r="J1594" s="1" t="str">
        <f aca="false">VLOOKUP(B1594,Customers!$A$2:$G$502,6,FALSE())</f>
        <v>Corporate</v>
      </c>
      <c r="K1594" s="1" t="str">
        <f aca="false">VLOOKUP(C1594,Products!$A$2:$E$62,3,FALSE())</f>
        <v>Electronics</v>
      </c>
      <c r="L1594" s="1" t="str">
        <f aca="false">TEXT(D1594,"yyyy-mm")</f>
        <v>2023-09</v>
      </c>
    </row>
    <row r="1595" customFormat="false" ht="15" hidden="false" customHeight="true" outlineLevel="0" collapsed="false">
      <c r="A1595" s="1" t="n">
        <v>1628</v>
      </c>
      <c r="B1595" s="1" t="n">
        <v>436</v>
      </c>
      <c r="C1595" s="1" t="n">
        <v>54</v>
      </c>
      <c r="D1595" s="1" t="s">
        <v>1444</v>
      </c>
      <c r="E1595" s="1" t="n">
        <v>8</v>
      </c>
      <c r="F1595" s="1" t="n">
        <v>312.01</v>
      </c>
      <c r="G1595" s="1" t="n">
        <v>0</v>
      </c>
      <c r="H1595" s="1" t="s">
        <v>1336</v>
      </c>
      <c r="I1595" s="1" t="n">
        <v>2496.08</v>
      </c>
      <c r="J1595" s="1" t="str">
        <f aca="false">VLOOKUP(B1595,Customers!$A$2:$G$502,6,FALSE())</f>
        <v>Corporate</v>
      </c>
      <c r="K1595" s="1" t="str">
        <f aca="false">VLOOKUP(C1595,Products!$A$2:$E$62,3,FALSE())</f>
        <v>Software</v>
      </c>
      <c r="L1595" s="1" t="str">
        <f aca="false">TEXT(D1595,"yyyy-mm")</f>
        <v>2023-07</v>
      </c>
    </row>
    <row r="1596" customFormat="false" ht="15" hidden="false" customHeight="true" outlineLevel="0" collapsed="false">
      <c r="A1596" s="1" t="n">
        <v>1629</v>
      </c>
      <c r="B1596" s="1" t="n">
        <v>320</v>
      </c>
      <c r="C1596" s="1" t="n">
        <v>29</v>
      </c>
      <c r="D1596" s="1" t="s">
        <v>1337</v>
      </c>
      <c r="E1596" s="1" t="n">
        <v>9</v>
      </c>
      <c r="F1596" s="1" t="n">
        <v>54.62</v>
      </c>
      <c r="G1596" s="1" t="n">
        <v>0.05</v>
      </c>
      <c r="H1596" s="1" t="s">
        <v>1336</v>
      </c>
      <c r="I1596" s="1" t="n">
        <v>467</v>
      </c>
      <c r="J1596" s="1" t="str">
        <f aca="false">VLOOKUP(B1596,Customers!$A$2:$G$502,6,FALSE())</f>
        <v>Corporate</v>
      </c>
      <c r="K1596" s="1" t="str">
        <f aca="false">VLOOKUP(C1596,Products!$A$2:$E$62,3,FALSE())</f>
        <v>Office Supplies</v>
      </c>
      <c r="L1596" s="1" t="str">
        <f aca="false">TEXT(D1596,"yyyy-mm")</f>
        <v>2023-03</v>
      </c>
    </row>
    <row r="1597" customFormat="false" ht="15" hidden="false" customHeight="true" outlineLevel="0" collapsed="false">
      <c r="A1597" s="1" t="n">
        <v>1630</v>
      </c>
      <c r="B1597" s="1" t="n">
        <v>85</v>
      </c>
      <c r="C1597" s="1" t="n">
        <v>44</v>
      </c>
      <c r="D1597" s="1" t="s">
        <v>374</v>
      </c>
      <c r="E1597" s="1" t="n">
        <v>8</v>
      </c>
      <c r="F1597" s="1" t="n">
        <v>508.26</v>
      </c>
      <c r="G1597" s="1" t="n">
        <v>0</v>
      </c>
      <c r="H1597" s="1" t="s">
        <v>1336</v>
      </c>
      <c r="I1597" s="1" t="n">
        <v>4066.08</v>
      </c>
      <c r="J1597" s="1" t="str">
        <f aca="false">VLOOKUP(B1597,Customers!$A$2:$G$502,6,FALSE())</f>
        <v>Consumer</v>
      </c>
      <c r="K1597" s="1" t="str">
        <f aca="false">VLOOKUP(C1597,Products!$A$2:$E$62,3,FALSE())</f>
        <v>Software</v>
      </c>
      <c r="L1597" s="1" t="str">
        <f aca="false">TEXT(D1597,"yyyy-mm")</f>
        <v>2023-10</v>
      </c>
    </row>
    <row r="1598" customFormat="false" ht="15" hidden="false" customHeight="true" outlineLevel="0" collapsed="false">
      <c r="A1598" s="1" t="n">
        <v>1631</v>
      </c>
      <c r="B1598" s="1" t="n">
        <v>341</v>
      </c>
      <c r="C1598" s="1" t="n">
        <v>45</v>
      </c>
      <c r="D1598" s="1" t="s">
        <v>1645</v>
      </c>
      <c r="E1598" s="1" t="n">
        <v>8</v>
      </c>
      <c r="F1598" s="1" t="n">
        <v>560.01</v>
      </c>
      <c r="G1598" s="1" t="n">
        <v>0.2</v>
      </c>
      <c r="H1598" s="1" t="s">
        <v>1336</v>
      </c>
      <c r="I1598" s="1" t="n">
        <v>3584.06</v>
      </c>
      <c r="J1598" s="1" t="str">
        <f aca="false">VLOOKUP(B1598,Customers!$A$2:$G$502,6,FALSE())</f>
        <v>Small Business</v>
      </c>
      <c r="K1598" s="1" t="str">
        <f aca="false">VLOOKUP(C1598,Products!$A$2:$E$62,3,FALSE())</f>
        <v>Software</v>
      </c>
      <c r="L1598" s="1" t="str">
        <f aca="false">TEXT(D1598,"yyyy-mm")</f>
        <v>2023-01</v>
      </c>
    </row>
    <row r="1599" customFormat="false" ht="15" hidden="false" customHeight="true" outlineLevel="0" collapsed="false">
      <c r="A1599" s="1" t="n">
        <v>1632</v>
      </c>
      <c r="B1599" s="1" t="n">
        <v>414</v>
      </c>
      <c r="C1599" s="1" t="n">
        <v>41</v>
      </c>
      <c r="D1599" s="1" t="s">
        <v>1027</v>
      </c>
      <c r="E1599" s="1" t="n">
        <v>1</v>
      </c>
      <c r="F1599" s="1" t="n">
        <v>594.54</v>
      </c>
      <c r="G1599" s="1" t="n">
        <v>0</v>
      </c>
      <c r="H1599" s="1" t="s">
        <v>1336</v>
      </c>
      <c r="I1599" s="1" t="n">
        <v>594.54</v>
      </c>
      <c r="J1599" s="1" t="str">
        <f aca="false">VLOOKUP(B1599,Customers!$A$2:$G$502,6,FALSE())</f>
        <v>Consumer</v>
      </c>
      <c r="K1599" s="1" t="str">
        <f aca="false">VLOOKUP(C1599,Products!$A$2:$E$62,3,FALSE())</f>
        <v>Software</v>
      </c>
      <c r="L1599" s="1" t="str">
        <f aca="false">TEXT(D1599,"yyyy-mm")</f>
        <v>2024-08</v>
      </c>
    </row>
    <row r="1600" customFormat="false" ht="15" hidden="false" customHeight="true" outlineLevel="0" collapsed="false">
      <c r="A1600" s="1" t="n">
        <v>1633</v>
      </c>
      <c r="B1600" s="1" t="n">
        <v>402</v>
      </c>
      <c r="C1600" s="1" t="n">
        <v>58</v>
      </c>
      <c r="D1600" s="1" t="s">
        <v>205</v>
      </c>
      <c r="E1600" s="1" t="n">
        <v>5</v>
      </c>
      <c r="F1600" s="1" t="n">
        <v>515.55</v>
      </c>
      <c r="G1600" s="1" t="n">
        <v>0.15</v>
      </c>
      <c r="H1600" s="1" t="s">
        <v>1336</v>
      </c>
      <c r="I1600" s="1" t="n">
        <v>2191.09</v>
      </c>
      <c r="J1600" s="1" t="str">
        <f aca="false">VLOOKUP(B1600,Customers!$A$2:$G$502,6,FALSE())</f>
        <v>Unknown</v>
      </c>
      <c r="K1600" s="1" t="str">
        <f aca="false">VLOOKUP(C1600,Products!$A$2:$E$62,3,FALSE())</f>
        <v>Furniture</v>
      </c>
      <c r="L1600" s="1" t="str">
        <f aca="false">TEXT(D1600,"yyyy-mm")</f>
        <v>2024-07</v>
      </c>
    </row>
    <row r="1601" customFormat="false" ht="15" hidden="false" customHeight="true" outlineLevel="0" collapsed="false">
      <c r="A1601" s="1" t="n">
        <v>1634</v>
      </c>
      <c r="B1601" s="1" t="n">
        <v>369</v>
      </c>
      <c r="C1601" s="1" t="n">
        <v>10</v>
      </c>
      <c r="D1601" s="1" t="s">
        <v>1433</v>
      </c>
      <c r="E1601" s="1" t="n">
        <v>4</v>
      </c>
      <c r="F1601" s="1" t="n">
        <v>251.58</v>
      </c>
      <c r="G1601" s="1" t="n">
        <v>0</v>
      </c>
      <c r="H1601" s="1" t="s">
        <v>1336</v>
      </c>
      <c r="I1601" s="1" t="n">
        <v>1006.32</v>
      </c>
      <c r="J1601" s="1" t="str">
        <f aca="false">VLOOKUP(B1601,Customers!$A$2:$G$502,6,FALSE())</f>
        <v>Corporate</v>
      </c>
      <c r="K1601" s="1" t="str">
        <f aca="false">VLOOKUP(C1601,Products!$A$2:$E$62,3,FALSE())</f>
        <v>Electronics</v>
      </c>
      <c r="L1601" s="1" t="str">
        <f aca="false">TEXT(D1601,"yyyy-mm")</f>
        <v>2023-12</v>
      </c>
    </row>
    <row r="1602" customFormat="false" ht="15" hidden="false" customHeight="true" outlineLevel="0" collapsed="false">
      <c r="A1602" s="1" t="n">
        <v>1635</v>
      </c>
      <c r="B1602" s="1" t="n">
        <v>386</v>
      </c>
      <c r="C1602" s="1" t="n">
        <v>19</v>
      </c>
      <c r="D1602" s="1" t="s">
        <v>1496</v>
      </c>
      <c r="E1602" s="1" t="n">
        <v>2</v>
      </c>
      <c r="F1602" s="1" t="n">
        <v>163.64</v>
      </c>
      <c r="G1602" s="1" t="n">
        <v>0</v>
      </c>
      <c r="H1602" s="1" t="s">
        <v>1336</v>
      </c>
      <c r="I1602" s="1" t="n">
        <v>327.28</v>
      </c>
      <c r="J1602" s="1" t="str">
        <f aca="false">VLOOKUP(B1602,Customers!$A$2:$G$502,6,FALSE())</f>
        <v>Consumer</v>
      </c>
      <c r="K1602" s="1" t="str">
        <f aca="false">VLOOKUP(C1602,Products!$A$2:$E$62,3,FALSE())</f>
        <v>Office Supplies</v>
      </c>
      <c r="L1602" s="1" t="str">
        <f aca="false">TEXT(D1602,"yyyy-mm")</f>
        <v>2023-09</v>
      </c>
    </row>
    <row r="1603" customFormat="false" ht="15" hidden="false" customHeight="true" outlineLevel="0" collapsed="false">
      <c r="A1603" s="1" t="n">
        <v>1636</v>
      </c>
      <c r="B1603" s="1" t="n">
        <v>245</v>
      </c>
      <c r="C1603" s="1" t="n">
        <v>19</v>
      </c>
      <c r="D1603" s="1" t="s">
        <v>1147</v>
      </c>
      <c r="E1603" s="1" t="n">
        <v>8</v>
      </c>
      <c r="F1603" s="1" t="n">
        <v>163.64</v>
      </c>
      <c r="G1603" s="1" t="n">
        <v>0.1</v>
      </c>
      <c r="H1603" s="1" t="s">
        <v>1346</v>
      </c>
      <c r="I1603" s="1" t="n">
        <v>1178.21</v>
      </c>
      <c r="J1603" s="1" t="str">
        <f aca="false">VLOOKUP(B1603,Customers!$A$2:$G$502,6,FALSE())</f>
        <v>Consumer</v>
      </c>
      <c r="K1603" s="1" t="str">
        <f aca="false">VLOOKUP(C1603,Products!$A$2:$E$62,3,FALSE())</f>
        <v>Office Supplies</v>
      </c>
      <c r="L1603" s="1" t="str">
        <f aca="false">TEXT(D1603,"yyyy-mm")</f>
        <v>2024-05</v>
      </c>
    </row>
    <row r="1604" customFormat="false" ht="15" hidden="false" customHeight="true" outlineLevel="0" collapsed="false">
      <c r="A1604" s="1" t="n">
        <v>1637</v>
      </c>
      <c r="B1604" s="1" t="n">
        <v>257</v>
      </c>
      <c r="C1604" s="1" t="n">
        <v>40</v>
      </c>
      <c r="D1604" s="1" t="s">
        <v>1355</v>
      </c>
      <c r="E1604" s="1" t="n">
        <v>3</v>
      </c>
      <c r="F1604" s="1" t="n">
        <v>193.02</v>
      </c>
      <c r="G1604" s="1" t="n">
        <v>0</v>
      </c>
      <c r="H1604" s="1" t="s">
        <v>1336</v>
      </c>
      <c r="I1604" s="1" t="n">
        <v>579.06</v>
      </c>
      <c r="J1604" s="1" t="str">
        <f aca="false">VLOOKUP(B1604,Customers!$A$2:$G$502,6,FALSE())</f>
        <v>Small Business</v>
      </c>
      <c r="K1604" s="1" t="str">
        <f aca="false">VLOOKUP(C1604,Products!$A$2:$E$62,3,FALSE())</f>
        <v>Software</v>
      </c>
      <c r="L1604" s="1" t="str">
        <f aca="false">TEXT(D1604,"yyyy-mm")</f>
        <v>2023-02</v>
      </c>
    </row>
    <row r="1605" customFormat="false" ht="15" hidden="false" customHeight="true" outlineLevel="0" collapsed="false">
      <c r="A1605" s="1" t="n">
        <v>1638</v>
      </c>
      <c r="B1605" s="1" t="n">
        <v>307</v>
      </c>
      <c r="C1605" s="1" t="n">
        <v>4</v>
      </c>
      <c r="D1605" s="1" t="s">
        <v>1659</v>
      </c>
      <c r="E1605" s="1" t="n">
        <v>4</v>
      </c>
      <c r="F1605" s="1" t="n">
        <v>56.24</v>
      </c>
      <c r="G1605" s="1" t="n">
        <v>0.15</v>
      </c>
      <c r="H1605" s="1" t="s">
        <v>1336</v>
      </c>
      <c r="I1605" s="1" t="n">
        <v>191.22</v>
      </c>
      <c r="J1605" s="1" t="str">
        <f aca="false">VLOOKUP(B1605,Customers!$A$2:$G$502,6,FALSE())</f>
        <v>Corporate</v>
      </c>
      <c r="K1605" s="1" t="str">
        <f aca="false">VLOOKUP(C1605,Products!$A$2:$E$62,3,FALSE())</f>
        <v>Electronics</v>
      </c>
      <c r="L1605" s="1" t="str">
        <f aca="false">TEXT(D1605,"yyyy-mm")</f>
        <v>2023-01</v>
      </c>
    </row>
    <row r="1606" customFormat="false" ht="15" hidden="false" customHeight="true" outlineLevel="0" collapsed="false">
      <c r="A1606" s="1" t="n">
        <v>1639</v>
      </c>
      <c r="B1606" s="1" t="n">
        <v>186</v>
      </c>
      <c r="C1606" s="1" t="n">
        <v>47</v>
      </c>
      <c r="D1606" s="1" t="s">
        <v>799</v>
      </c>
      <c r="E1606" s="1" t="n">
        <v>7</v>
      </c>
      <c r="F1606" s="1" t="n">
        <v>506.19</v>
      </c>
      <c r="G1606" s="1" t="n">
        <v>0</v>
      </c>
      <c r="H1606" s="1" t="s">
        <v>1336</v>
      </c>
      <c r="I1606" s="1" t="n">
        <v>3543.33</v>
      </c>
      <c r="J1606" s="1" t="str">
        <f aca="false">VLOOKUP(B1606,Customers!$A$2:$G$502,6,FALSE())</f>
        <v>Small Business</v>
      </c>
      <c r="K1606" s="1" t="str">
        <f aca="false">VLOOKUP(C1606,Products!$A$2:$E$62,3,FALSE())</f>
        <v>Software</v>
      </c>
      <c r="L1606" s="1" t="str">
        <f aca="false">TEXT(D1606,"yyyy-mm")</f>
        <v>2024-06</v>
      </c>
    </row>
    <row r="1607" customFormat="false" ht="15" hidden="false" customHeight="true" outlineLevel="0" collapsed="false">
      <c r="A1607" s="1" t="n">
        <v>1640</v>
      </c>
      <c r="B1607" s="1" t="n">
        <v>77</v>
      </c>
      <c r="C1607" s="1" t="n">
        <v>52</v>
      </c>
      <c r="D1607" s="1" t="s">
        <v>1493</v>
      </c>
      <c r="E1607" s="1" t="n">
        <v>9</v>
      </c>
      <c r="F1607" s="1" t="n">
        <v>207.67</v>
      </c>
      <c r="G1607" s="1" t="n">
        <v>0.1</v>
      </c>
      <c r="H1607" s="1" t="s">
        <v>1336</v>
      </c>
      <c r="I1607" s="1" t="n">
        <v>1682.13</v>
      </c>
      <c r="J1607" s="1" t="str">
        <f aca="false">VLOOKUP(B1607,Customers!$A$2:$G$502,6,FALSE())</f>
        <v>Consumer</v>
      </c>
      <c r="K1607" s="1" t="str">
        <f aca="false">VLOOKUP(C1607,Products!$A$2:$E$62,3,FALSE())</f>
        <v>Software</v>
      </c>
      <c r="L1607" s="1" t="str">
        <f aca="false">TEXT(D1607,"yyyy-mm")</f>
        <v>2023-10</v>
      </c>
    </row>
    <row r="1608" customFormat="false" ht="15" hidden="false" customHeight="true" outlineLevel="0" collapsed="false">
      <c r="A1608" s="1" t="n">
        <v>1641</v>
      </c>
      <c r="B1608" s="1" t="n">
        <v>421</v>
      </c>
      <c r="C1608" s="1" t="n">
        <v>11</v>
      </c>
      <c r="D1608" s="1" t="s">
        <v>1477</v>
      </c>
      <c r="E1608" s="1" t="n">
        <v>2</v>
      </c>
      <c r="F1608" s="1" t="n">
        <v>328.39</v>
      </c>
      <c r="G1608" s="1" t="n">
        <v>0.05</v>
      </c>
      <c r="H1608" s="1" t="s">
        <v>1336</v>
      </c>
      <c r="I1608" s="1" t="n">
        <v>623.94</v>
      </c>
      <c r="J1608" s="1" t="str">
        <f aca="false">VLOOKUP(B1608,Customers!$A$2:$G$502,6,FALSE())</f>
        <v>Corporate</v>
      </c>
      <c r="K1608" s="1" t="str">
        <f aca="false">VLOOKUP(C1608,Products!$A$2:$E$62,3,FALSE())</f>
        <v>Electronics</v>
      </c>
      <c r="L1608" s="1" t="str">
        <f aca="false">TEXT(D1608,"yyyy-mm")</f>
        <v>2024-08</v>
      </c>
    </row>
    <row r="1609" customFormat="false" ht="15" hidden="false" customHeight="true" outlineLevel="0" collapsed="false">
      <c r="A1609" s="1" t="n">
        <v>1642</v>
      </c>
      <c r="B1609" s="1" t="n">
        <v>209</v>
      </c>
      <c r="C1609" s="1" t="n">
        <v>14</v>
      </c>
      <c r="D1609" s="1" t="s">
        <v>1365</v>
      </c>
      <c r="E1609" s="1" t="n">
        <v>3</v>
      </c>
      <c r="F1609" s="1" t="n">
        <v>135.27</v>
      </c>
      <c r="G1609" s="1" t="n">
        <v>0.05</v>
      </c>
      <c r="H1609" s="1" t="s">
        <v>1336</v>
      </c>
      <c r="I1609" s="1" t="n">
        <v>385.52</v>
      </c>
      <c r="J1609" s="1" t="str">
        <f aca="false">VLOOKUP(B1609,Customers!$A$2:$G$502,6,FALSE())</f>
        <v>Small Business</v>
      </c>
      <c r="K1609" s="1" t="str">
        <f aca="false">VLOOKUP(C1609,Products!$A$2:$E$62,3,FALSE())</f>
        <v>Electronics</v>
      </c>
      <c r="L1609" s="1" t="str">
        <f aca="false">TEXT(D1609,"yyyy-mm")</f>
        <v>2023-09</v>
      </c>
    </row>
    <row r="1610" customFormat="false" ht="15" hidden="false" customHeight="true" outlineLevel="0" collapsed="false">
      <c r="A1610" s="1" t="n">
        <v>1643</v>
      </c>
      <c r="B1610" s="1" t="n">
        <v>9</v>
      </c>
      <c r="C1610" s="1" t="n">
        <v>50</v>
      </c>
      <c r="D1610" s="1" t="s">
        <v>1546</v>
      </c>
      <c r="E1610" s="1" t="n">
        <v>4</v>
      </c>
      <c r="F1610" s="1" t="n">
        <v>19.73</v>
      </c>
      <c r="G1610" s="1" t="n">
        <v>0.2</v>
      </c>
      <c r="H1610" s="1" t="s">
        <v>1336</v>
      </c>
      <c r="I1610" s="1" t="n">
        <v>63.14</v>
      </c>
      <c r="J1610" s="1" t="str">
        <f aca="false">VLOOKUP(B1610,Customers!$A$2:$G$502,6,FALSE())</f>
        <v>Small Business</v>
      </c>
      <c r="K1610" s="1" t="str">
        <f aca="false">VLOOKUP(C1610,Products!$A$2:$E$62,3,FALSE())</f>
        <v>Software</v>
      </c>
      <c r="L1610" s="1" t="str">
        <f aca="false">TEXT(D1610,"yyyy-mm")</f>
        <v>2024-10</v>
      </c>
    </row>
    <row r="1611" customFormat="false" ht="15" hidden="false" customHeight="true" outlineLevel="0" collapsed="false">
      <c r="A1611" s="1" t="n">
        <v>1644</v>
      </c>
      <c r="B1611" s="1" t="n">
        <v>34</v>
      </c>
      <c r="C1611" s="1" t="n">
        <v>4</v>
      </c>
      <c r="D1611" s="1" t="s">
        <v>238</v>
      </c>
      <c r="E1611" s="1" t="n">
        <v>1</v>
      </c>
      <c r="F1611" s="1" t="n">
        <v>56.24</v>
      </c>
      <c r="G1611" s="1" t="n">
        <v>0.2</v>
      </c>
      <c r="H1611" s="1" t="s">
        <v>1336</v>
      </c>
      <c r="I1611" s="1" t="n">
        <v>44.99</v>
      </c>
      <c r="J1611" s="1" t="str">
        <f aca="false">VLOOKUP(B1611,Customers!$A$2:$G$502,6,FALSE())</f>
        <v>Corporate</v>
      </c>
      <c r="K1611" s="1" t="str">
        <f aca="false">VLOOKUP(C1611,Products!$A$2:$E$62,3,FALSE())</f>
        <v>Electronics</v>
      </c>
      <c r="L1611" s="1" t="str">
        <f aca="false">TEXT(D1611,"yyyy-mm")</f>
        <v>2023-10</v>
      </c>
    </row>
    <row r="1612" customFormat="false" ht="15" hidden="false" customHeight="true" outlineLevel="0" collapsed="false">
      <c r="A1612" s="1" t="n">
        <v>1645</v>
      </c>
      <c r="B1612" s="1" t="n">
        <v>64</v>
      </c>
      <c r="C1612" s="1" t="n">
        <v>57</v>
      </c>
      <c r="D1612" s="1" t="s">
        <v>243</v>
      </c>
      <c r="E1612" s="1" t="n">
        <v>7</v>
      </c>
      <c r="F1612" s="1" t="n">
        <v>719.76</v>
      </c>
      <c r="G1612" s="1" t="n">
        <v>0.1</v>
      </c>
      <c r="H1612" s="1" t="s">
        <v>1336</v>
      </c>
      <c r="I1612" s="1" t="n">
        <v>4534.49</v>
      </c>
      <c r="J1612" s="1" t="str">
        <f aca="false">VLOOKUP(B1612,Customers!$A$2:$G$502,6,FALSE())</f>
        <v>Consumer</v>
      </c>
      <c r="K1612" s="1" t="str">
        <f aca="false">VLOOKUP(C1612,Products!$A$2:$E$62,3,FALSE())</f>
        <v>Furniture</v>
      </c>
      <c r="L1612" s="1" t="str">
        <f aca="false">TEXT(D1612,"yyyy-mm")</f>
        <v>2024-07</v>
      </c>
    </row>
    <row r="1613" customFormat="false" ht="15" hidden="false" customHeight="true" outlineLevel="0" collapsed="false">
      <c r="A1613" s="1" t="n">
        <v>1646</v>
      </c>
      <c r="B1613" s="1" t="n">
        <v>330</v>
      </c>
      <c r="C1613" s="1" t="n">
        <v>12</v>
      </c>
      <c r="D1613" s="1" t="s">
        <v>1410</v>
      </c>
      <c r="E1613" s="1" t="n">
        <v>2</v>
      </c>
      <c r="F1613" s="1" t="n">
        <v>179.23</v>
      </c>
      <c r="G1613" s="1" t="n">
        <v>0.05</v>
      </c>
      <c r="H1613" s="1" t="s">
        <v>1336</v>
      </c>
      <c r="I1613" s="1" t="n">
        <v>340.54</v>
      </c>
      <c r="J1613" s="1" t="str">
        <f aca="false">VLOOKUP(B1613,Customers!$A$2:$G$502,6,FALSE())</f>
        <v>Corporate</v>
      </c>
      <c r="K1613" s="1" t="str">
        <f aca="false">VLOOKUP(C1613,Products!$A$2:$E$62,3,FALSE())</f>
        <v>Electronics</v>
      </c>
      <c r="L1613" s="1" t="str">
        <f aca="false">TEXT(D1613,"yyyy-mm")</f>
        <v>2024-07</v>
      </c>
    </row>
    <row r="1614" customFormat="false" ht="15" hidden="false" customHeight="true" outlineLevel="0" collapsed="false">
      <c r="A1614" s="1" t="n">
        <v>1647</v>
      </c>
      <c r="B1614" s="1" t="n">
        <v>392</v>
      </c>
      <c r="C1614" s="1" t="n">
        <v>13</v>
      </c>
      <c r="D1614" s="1" t="s">
        <v>1652</v>
      </c>
      <c r="E1614" s="1" t="n">
        <v>5</v>
      </c>
      <c r="F1614" s="1" t="n">
        <v>352.54</v>
      </c>
      <c r="G1614" s="1" t="n">
        <v>0.15</v>
      </c>
      <c r="H1614" s="1" t="s">
        <v>1336</v>
      </c>
      <c r="I1614" s="1" t="n">
        <v>1498.3</v>
      </c>
      <c r="J1614" s="1" t="str">
        <f aca="false">VLOOKUP(B1614,Customers!$A$2:$G$502,6,FALSE())</f>
        <v>Corporate</v>
      </c>
      <c r="K1614" s="1" t="str">
        <f aca="false">VLOOKUP(C1614,Products!$A$2:$E$62,3,FALSE())</f>
        <v>Electronics</v>
      </c>
      <c r="L1614" s="1" t="str">
        <f aca="false">TEXT(D1614,"yyyy-mm")</f>
        <v>2024-06</v>
      </c>
    </row>
    <row r="1615" customFormat="false" ht="15" hidden="false" customHeight="true" outlineLevel="0" collapsed="false">
      <c r="A1615" s="1" t="n">
        <v>1648</v>
      </c>
      <c r="B1615" s="1" t="n">
        <v>357</v>
      </c>
      <c r="C1615" s="1" t="n">
        <v>26</v>
      </c>
      <c r="D1615" s="1" t="s">
        <v>1661</v>
      </c>
      <c r="E1615" s="1" t="n">
        <v>1</v>
      </c>
      <c r="F1615" s="1" t="n">
        <v>733.85</v>
      </c>
      <c r="G1615" s="1" t="n">
        <v>0.15</v>
      </c>
      <c r="H1615" s="1" t="s">
        <v>1336</v>
      </c>
      <c r="I1615" s="1" t="n">
        <v>623.77</v>
      </c>
      <c r="J1615" s="1" t="str">
        <f aca="false">VLOOKUP(B1615,Customers!$A$2:$G$502,6,FALSE())</f>
        <v>Consumer</v>
      </c>
      <c r="K1615" s="1" t="str">
        <f aca="false">VLOOKUP(C1615,Products!$A$2:$E$62,3,FALSE())</f>
        <v>Office Supplies</v>
      </c>
      <c r="L1615" s="1" t="str">
        <f aca="false">TEXT(D1615,"yyyy-mm")</f>
        <v>2024-09</v>
      </c>
    </row>
    <row r="1616" customFormat="false" ht="15" hidden="false" customHeight="true" outlineLevel="0" collapsed="false">
      <c r="A1616" s="1" t="n">
        <v>1649</v>
      </c>
      <c r="B1616" s="1" t="n">
        <v>375</v>
      </c>
      <c r="C1616" s="1" t="n">
        <v>20</v>
      </c>
      <c r="D1616" s="1" t="s">
        <v>1662</v>
      </c>
      <c r="E1616" s="1" t="n">
        <v>3</v>
      </c>
      <c r="F1616" s="1" t="n">
        <v>426.15</v>
      </c>
      <c r="G1616" s="1" t="n">
        <v>0</v>
      </c>
      <c r="H1616" s="1" t="s">
        <v>1336</v>
      </c>
      <c r="I1616" s="1" t="n">
        <v>1278.45</v>
      </c>
      <c r="J1616" s="1" t="str">
        <f aca="false">VLOOKUP(B1616,Customers!$A$2:$G$502,6,FALSE())</f>
        <v>Consumer</v>
      </c>
      <c r="K1616" s="1" t="str">
        <f aca="false">VLOOKUP(C1616,Products!$A$2:$E$62,3,FALSE())</f>
        <v>Office Supplies</v>
      </c>
      <c r="L1616" s="1" t="str">
        <f aca="false">TEXT(D1616,"yyyy-mm")</f>
        <v>2024-02</v>
      </c>
    </row>
    <row r="1617" customFormat="false" ht="15" hidden="false" customHeight="true" outlineLevel="0" collapsed="false">
      <c r="A1617" s="1" t="n">
        <v>1650</v>
      </c>
      <c r="B1617" s="1" t="n">
        <v>189</v>
      </c>
      <c r="C1617" s="1" t="n">
        <v>47</v>
      </c>
      <c r="D1617" s="1" t="s">
        <v>1652</v>
      </c>
      <c r="E1617" s="1" t="n">
        <v>2</v>
      </c>
      <c r="F1617" s="1" t="n">
        <v>506.19</v>
      </c>
      <c r="G1617" s="1" t="n">
        <v>0.05</v>
      </c>
      <c r="H1617" s="1" t="s">
        <v>1336</v>
      </c>
      <c r="I1617" s="1" t="n">
        <v>961.76</v>
      </c>
      <c r="J1617" s="1" t="str">
        <f aca="false">VLOOKUP(B1617,Customers!$A$2:$G$502,6,FALSE())</f>
        <v>Small Business</v>
      </c>
      <c r="K1617" s="1" t="str">
        <f aca="false">VLOOKUP(C1617,Products!$A$2:$E$62,3,FALSE())</f>
        <v>Software</v>
      </c>
      <c r="L1617" s="1" t="str">
        <f aca="false">TEXT(D1617,"yyyy-mm")</f>
        <v>2024-06</v>
      </c>
    </row>
    <row r="1618" customFormat="false" ht="15" hidden="false" customHeight="true" outlineLevel="0" collapsed="false">
      <c r="A1618" s="1" t="n">
        <v>1651</v>
      </c>
      <c r="B1618" s="1" t="n">
        <v>448</v>
      </c>
      <c r="C1618" s="1" t="n">
        <v>3</v>
      </c>
      <c r="D1618" s="1" t="s">
        <v>508</v>
      </c>
      <c r="E1618" s="1" t="n">
        <v>1</v>
      </c>
      <c r="F1618" s="1" t="n">
        <v>89.39</v>
      </c>
      <c r="G1618" s="1" t="n">
        <v>0</v>
      </c>
      <c r="H1618" s="1" t="s">
        <v>1370</v>
      </c>
      <c r="I1618" s="1" t="n">
        <v>89.39</v>
      </c>
      <c r="J1618" s="1" t="str">
        <f aca="false">VLOOKUP(B1618,Customers!$A$2:$G$502,6,FALSE())</f>
        <v>Corporate</v>
      </c>
      <c r="K1618" s="1" t="str">
        <f aca="false">VLOOKUP(C1618,Products!$A$2:$E$62,3,FALSE())</f>
        <v>Electronics</v>
      </c>
      <c r="L1618" s="1" t="str">
        <f aca="false">TEXT(D1618,"yyyy-mm")</f>
        <v>2024-02</v>
      </c>
    </row>
    <row r="1619" customFormat="false" ht="15" hidden="false" customHeight="true" outlineLevel="0" collapsed="false">
      <c r="A1619" s="1" t="n">
        <v>1652</v>
      </c>
      <c r="B1619" s="1" t="n">
        <v>192</v>
      </c>
      <c r="C1619" s="1" t="n">
        <v>49</v>
      </c>
      <c r="D1619" s="1" t="s">
        <v>1196</v>
      </c>
      <c r="E1619" s="1" t="n">
        <v>7</v>
      </c>
      <c r="F1619" s="1" t="n">
        <v>325.17</v>
      </c>
      <c r="G1619" s="1" t="n">
        <v>0.2</v>
      </c>
      <c r="H1619" s="1" t="s">
        <v>1336</v>
      </c>
      <c r="I1619" s="1" t="n">
        <v>1820.95</v>
      </c>
      <c r="J1619" s="1" t="str">
        <f aca="false">VLOOKUP(B1619,Customers!$A$2:$G$502,6,FALSE())</f>
        <v>Corporate</v>
      </c>
      <c r="K1619" s="1" t="str">
        <f aca="false">VLOOKUP(C1619,Products!$A$2:$E$62,3,FALSE())</f>
        <v>Software</v>
      </c>
      <c r="L1619" s="1" t="str">
        <f aca="false">TEXT(D1619,"yyyy-mm")</f>
        <v>2023-10</v>
      </c>
    </row>
    <row r="1620" customFormat="false" ht="15" hidden="false" customHeight="true" outlineLevel="0" collapsed="false">
      <c r="A1620" s="1" t="n">
        <v>1653</v>
      </c>
      <c r="B1620" s="1" t="n">
        <v>189</v>
      </c>
      <c r="C1620" s="1" t="n">
        <v>22</v>
      </c>
      <c r="D1620" s="1" t="s">
        <v>1351</v>
      </c>
      <c r="E1620" s="1" t="n">
        <v>5</v>
      </c>
      <c r="F1620" s="1" t="n">
        <v>38.57</v>
      </c>
      <c r="G1620" s="1" t="n">
        <v>0.15</v>
      </c>
      <c r="H1620" s="1" t="s">
        <v>1336</v>
      </c>
      <c r="I1620" s="1" t="n">
        <v>163.92</v>
      </c>
      <c r="J1620" s="1" t="str">
        <f aca="false">VLOOKUP(B1620,Customers!$A$2:$G$502,6,FALSE())</f>
        <v>Small Business</v>
      </c>
      <c r="K1620" s="1" t="str">
        <f aca="false">VLOOKUP(C1620,Products!$A$2:$E$62,3,FALSE())</f>
        <v>Office Supplies</v>
      </c>
      <c r="L1620" s="1" t="str">
        <f aca="false">TEXT(D1620,"yyyy-mm")</f>
        <v>2024-07</v>
      </c>
    </row>
    <row r="1621" customFormat="false" ht="15" hidden="false" customHeight="true" outlineLevel="0" collapsed="false">
      <c r="A1621" s="1" t="n">
        <v>1654</v>
      </c>
      <c r="B1621" s="1" t="n">
        <v>343</v>
      </c>
      <c r="C1621" s="1" t="n">
        <v>6</v>
      </c>
      <c r="D1621" s="1" t="s">
        <v>1448</v>
      </c>
      <c r="E1621" s="1" t="n">
        <v>1</v>
      </c>
      <c r="F1621" s="1" t="n">
        <v>28.51</v>
      </c>
      <c r="G1621" s="1" t="n">
        <v>0.05</v>
      </c>
      <c r="H1621" s="1" t="s">
        <v>1336</v>
      </c>
      <c r="I1621" s="1" t="n">
        <v>27.08</v>
      </c>
      <c r="J1621" s="1" t="str">
        <f aca="false">VLOOKUP(B1621,Customers!$A$2:$G$502,6,FALSE())</f>
        <v>Unknown</v>
      </c>
      <c r="K1621" s="1" t="str">
        <f aca="false">VLOOKUP(C1621,Products!$A$2:$E$62,3,FALSE())</f>
        <v>Electronics</v>
      </c>
      <c r="L1621" s="1" t="str">
        <f aca="false">TEXT(D1621,"yyyy-mm")</f>
        <v>2024-04</v>
      </c>
    </row>
    <row r="1622" customFormat="false" ht="15" hidden="false" customHeight="true" outlineLevel="0" collapsed="false">
      <c r="A1622" s="1" t="n">
        <v>1655</v>
      </c>
      <c r="B1622" s="1" t="n">
        <v>492</v>
      </c>
      <c r="C1622" s="1" t="n">
        <v>53</v>
      </c>
      <c r="D1622" s="1" t="s">
        <v>1428</v>
      </c>
      <c r="E1622" s="1" t="n">
        <v>6</v>
      </c>
      <c r="F1622" s="1" t="n">
        <v>509.98</v>
      </c>
      <c r="G1622" s="1" t="n">
        <v>0.1</v>
      </c>
      <c r="H1622" s="1" t="s">
        <v>1346</v>
      </c>
      <c r="I1622" s="1" t="n">
        <v>2753.89</v>
      </c>
      <c r="J1622" s="1" t="str">
        <f aca="false">VLOOKUP(B1622,Customers!$A$2:$G$502,6,FALSE())</f>
        <v>Consumer</v>
      </c>
      <c r="K1622" s="1" t="str">
        <f aca="false">VLOOKUP(C1622,Products!$A$2:$E$62,3,FALSE())</f>
        <v>Software</v>
      </c>
      <c r="L1622" s="1" t="str">
        <f aca="false">TEXT(D1622,"yyyy-mm")</f>
        <v>2024-06</v>
      </c>
    </row>
    <row r="1623" customFormat="false" ht="15" hidden="false" customHeight="true" outlineLevel="0" collapsed="false">
      <c r="A1623" s="1" t="n">
        <v>1656</v>
      </c>
      <c r="B1623" s="1" t="n">
        <v>124</v>
      </c>
      <c r="C1623" s="1" t="n">
        <v>36</v>
      </c>
      <c r="D1623" s="1" t="s">
        <v>1342</v>
      </c>
      <c r="E1623" s="1" t="n">
        <v>5</v>
      </c>
      <c r="F1623" s="1" t="n">
        <v>424.45</v>
      </c>
      <c r="G1623" s="1" t="n">
        <v>0.1</v>
      </c>
      <c r="H1623" s="1" t="s">
        <v>1336</v>
      </c>
      <c r="I1623" s="1" t="n">
        <v>1910.02</v>
      </c>
      <c r="J1623" s="1" t="str">
        <f aca="false">VLOOKUP(B1623,Customers!$A$2:$G$502,6,FALSE())</f>
        <v>Small Business</v>
      </c>
      <c r="K1623" s="1" t="str">
        <f aca="false">VLOOKUP(C1623,Products!$A$2:$E$62,3,FALSE())</f>
        <v>Software</v>
      </c>
      <c r="L1623" s="1" t="str">
        <f aca="false">TEXT(D1623,"yyyy-mm")</f>
        <v>2024-12</v>
      </c>
    </row>
    <row r="1624" customFormat="false" ht="15" hidden="false" customHeight="true" outlineLevel="0" collapsed="false">
      <c r="A1624" s="1" t="n">
        <v>1657</v>
      </c>
      <c r="B1624" s="1" t="n">
        <v>69</v>
      </c>
      <c r="C1624" s="1" t="n">
        <v>30</v>
      </c>
      <c r="D1624" s="1" t="s">
        <v>1524</v>
      </c>
      <c r="E1624" s="1" t="n">
        <v>3</v>
      </c>
      <c r="F1624" s="1" t="n">
        <v>33.32</v>
      </c>
      <c r="G1624" s="1" t="n">
        <v>0.2</v>
      </c>
      <c r="H1624" s="1" t="s">
        <v>1336</v>
      </c>
      <c r="I1624" s="1" t="n">
        <v>79.97</v>
      </c>
      <c r="J1624" s="1" t="str">
        <f aca="false">VLOOKUP(B1624,Customers!$A$2:$G$502,6,FALSE())</f>
        <v>Corporate</v>
      </c>
      <c r="K1624" s="1" t="str">
        <f aca="false">VLOOKUP(C1624,Products!$A$2:$E$62,3,FALSE())</f>
        <v>Office Supplies</v>
      </c>
      <c r="L1624" s="1" t="str">
        <f aca="false">TEXT(D1624,"yyyy-mm")</f>
        <v>2024-09</v>
      </c>
    </row>
    <row r="1625" customFormat="false" ht="15" hidden="false" customHeight="true" outlineLevel="0" collapsed="false">
      <c r="A1625" s="1" t="n">
        <v>1658</v>
      </c>
      <c r="B1625" s="1" t="n">
        <v>328</v>
      </c>
      <c r="C1625" s="1" t="n">
        <v>4</v>
      </c>
      <c r="D1625" s="1" t="s">
        <v>274</v>
      </c>
      <c r="E1625" s="1" t="n">
        <v>7</v>
      </c>
      <c r="F1625" s="1" t="n">
        <v>56.24</v>
      </c>
      <c r="G1625" s="1" t="n">
        <v>0</v>
      </c>
      <c r="H1625" s="1" t="s">
        <v>1336</v>
      </c>
      <c r="I1625" s="1" t="n">
        <v>393.68</v>
      </c>
      <c r="J1625" s="1" t="str">
        <f aca="false">VLOOKUP(B1625,Customers!$A$2:$G$502,6,FALSE())</f>
        <v>Consumer</v>
      </c>
      <c r="K1625" s="1" t="str">
        <f aca="false">VLOOKUP(C1625,Products!$A$2:$E$62,3,FALSE())</f>
        <v>Electronics</v>
      </c>
      <c r="L1625" s="1" t="str">
        <f aca="false">TEXT(D1625,"yyyy-mm")</f>
        <v>2023-10</v>
      </c>
    </row>
    <row r="1626" customFormat="false" ht="15" hidden="false" customHeight="true" outlineLevel="0" collapsed="false">
      <c r="A1626" s="1" t="n">
        <v>1659</v>
      </c>
      <c r="B1626" s="1" t="n">
        <v>100</v>
      </c>
      <c r="C1626" s="1" t="n">
        <v>54</v>
      </c>
      <c r="D1626" s="1" t="s">
        <v>659</v>
      </c>
      <c r="E1626" s="1" t="n">
        <v>9</v>
      </c>
      <c r="F1626" s="1" t="n">
        <v>312.01</v>
      </c>
      <c r="G1626" s="1" t="n">
        <v>0</v>
      </c>
      <c r="H1626" s="1" t="s">
        <v>1336</v>
      </c>
      <c r="I1626" s="1" t="n">
        <v>2808.09</v>
      </c>
      <c r="J1626" s="1" t="str">
        <f aca="false">VLOOKUP(B1626,Customers!$A$2:$G$502,6,FALSE())</f>
        <v>Consumer</v>
      </c>
      <c r="K1626" s="1" t="str">
        <f aca="false">VLOOKUP(C1626,Products!$A$2:$E$62,3,FALSE())</f>
        <v>Software</v>
      </c>
      <c r="L1626" s="1" t="str">
        <f aca="false">TEXT(D1626,"yyyy-mm")</f>
        <v>2024-06</v>
      </c>
    </row>
    <row r="1627" customFormat="false" ht="15" hidden="false" customHeight="true" outlineLevel="0" collapsed="false">
      <c r="A1627" s="1" t="n">
        <v>1660</v>
      </c>
      <c r="B1627" s="1" t="n">
        <v>414</v>
      </c>
      <c r="C1627" s="1" t="n">
        <v>10</v>
      </c>
      <c r="D1627" s="1" t="s">
        <v>29</v>
      </c>
      <c r="E1627" s="1" t="n">
        <v>9</v>
      </c>
      <c r="F1627" s="1" t="n">
        <v>251.58</v>
      </c>
      <c r="G1627" s="1" t="n">
        <v>0</v>
      </c>
      <c r="H1627" s="1" t="s">
        <v>1336</v>
      </c>
      <c r="I1627" s="1" t="n">
        <v>2264.22</v>
      </c>
      <c r="J1627" s="1" t="str">
        <f aca="false">VLOOKUP(B1627,Customers!$A$2:$G$502,6,FALSE())</f>
        <v>Consumer</v>
      </c>
      <c r="K1627" s="1" t="str">
        <f aca="false">VLOOKUP(C1627,Products!$A$2:$E$62,3,FALSE())</f>
        <v>Electronics</v>
      </c>
      <c r="L1627" s="1" t="str">
        <f aca="false">TEXT(D1627,"yyyy-mm")</f>
        <v>2023-04</v>
      </c>
    </row>
    <row r="1628" customFormat="false" ht="15" hidden="false" customHeight="true" outlineLevel="0" collapsed="false">
      <c r="A1628" s="1" t="n">
        <v>1661</v>
      </c>
      <c r="B1628" s="1" t="n">
        <v>404</v>
      </c>
      <c r="C1628" s="1" t="n">
        <v>8</v>
      </c>
      <c r="D1628" s="1" t="s">
        <v>1558</v>
      </c>
      <c r="E1628" s="1" t="n">
        <v>9</v>
      </c>
      <c r="F1628" s="1" t="n">
        <v>104.4</v>
      </c>
      <c r="G1628" s="1" t="n">
        <v>0</v>
      </c>
      <c r="H1628" s="1" t="s">
        <v>1336</v>
      </c>
      <c r="I1628" s="1" t="n">
        <v>939.6</v>
      </c>
      <c r="J1628" s="1" t="str">
        <f aca="false">VLOOKUP(B1628,Customers!$A$2:$G$502,6,FALSE())</f>
        <v>Corporate</v>
      </c>
      <c r="K1628" s="1" t="str">
        <f aca="false">VLOOKUP(C1628,Products!$A$2:$E$62,3,FALSE())</f>
        <v>Electronics</v>
      </c>
      <c r="L1628" s="1" t="str">
        <f aca="false">TEXT(D1628,"yyyy-mm")</f>
        <v>2024-07</v>
      </c>
    </row>
    <row r="1629" customFormat="false" ht="15" hidden="false" customHeight="true" outlineLevel="0" collapsed="false">
      <c r="A1629" s="1" t="n">
        <v>1662</v>
      </c>
      <c r="B1629" s="1" t="n">
        <v>102</v>
      </c>
      <c r="C1629" s="1" t="n">
        <v>32</v>
      </c>
      <c r="D1629" s="1" t="s">
        <v>1426</v>
      </c>
      <c r="E1629" s="1" t="n">
        <v>2</v>
      </c>
      <c r="F1629" s="1" t="n">
        <v>492.27</v>
      </c>
      <c r="G1629" s="1" t="n">
        <v>0</v>
      </c>
      <c r="H1629" s="1" t="s">
        <v>1336</v>
      </c>
      <c r="I1629" s="1" t="n">
        <v>984.54</v>
      </c>
      <c r="J1629" s="1" t="str">
        <f aca="false">VLOOKUP(B1629,Customers!$A$2:$G$502,6,FALSE())</f>
        <v>Consumer</v>
      </c>
      <c r="K1629" s="1" t="str">
        <f aca="false">VLOOKUP(C1629,Products!$A$2:$E$62,3,FALSE())</f>
        <v>Office Supplies</v>
      </c>
      <c r="L1629" s="1" t="str">
        <f aca="false">TEXT(D1629,"yyyy-mm")</f>
        <v>2023-08</v>
      </c>
    </row>
    <row r="1630" customFormat="false" ht="15" hidden="false" customHeight="true" outlineLevel="0" collapsed="false">
      <c r="A1630" s="1" t="n">
        <v>1663</v>
      </c>
      <c r="B1630" s="1" t="n">
        <v>438</v>
      </c>
      <c r="C1630" s="1" t="n">
        <v>3</v>
      </c>
      <c r="D1630" s="1" t="s">
        <v>1441</v>
      </c>
      <c r="E1630" s="1" t="n">
        <v>3</v>
      </c>
      <c r="F1630" s="1" t="n">
        <v>89.39</v>
      </c>
      <c r="G1630" s="1" t="n">
        <v>0</v>
      </c>
      <c r="H1630" s="1" t="s">
        <v>1346</v>
      </c>
      <c r="I1630" s="1" t="n">
        <v>268.17</v>
      </c>
      <c r="J1630" s="1" t="str">
        <f aca="false">VLOOKUP(B1630,Customers!$A$2:$G$502,6,FALSE())</f>
        <v>Consumer</v>
      </c>
      <c r="K1630" s="1" t="str">
        <f aca="false">VLOOKUP(C1630,Products!$A$2:$E$62,3,FALSE())</f>
        <v>Electronics</v>
      </c>
      <c r="L1630" s="1" t="str">
        <f aca="false">TEXT(D1630,"yyyy-mm")</f>
        <v>2023-03</v>
      </c>
    </row>
    <row r="1631" customFormat="false" ht="15" hidden="false" customHeight="true" outlineLevel="0" collapsed="false">
      <c r="A1631" s="1" t="n">
        <v>1664</v>
      </c>
      <c r="B1631" s="1" t="n">
        <v>168</v>
      </c>
      <c r="C1631" s="1" t="n">
        <v>25</v>
      </c>
      <c r="D1631" s="1" t="s">
        <v>1617</v>
      </c>
      <c r="E1631" s="1" t="n">
        <v>7</v>
      </c>
      <c r="F1631" s="1" t="n">
        <v>300.49</v>
      </c>
      <c r="G1631" s="1" t="n">
        <v>0.05</v>
      </c>
      <c r="H1631" s="1" t="s">
        <v>1370</v>
      </c>
      <c r="I1631" s="1" t="n">
        <v>1998.26</v>
      </c>
      <c r="J1631" s="1" t="str">
        <f aca="false">VLOOKUP(B1631,Customers!$A$2:$G$502,6,FALSE())</f>
        <v>Consumer</v>
      </c>
      <c r="K1631" s="1" t="str">
        <f aca="false">VLOOKUP(C1631,Products!$A$2:$E$62,3,FALSE())</f>
        <v>Office Supplies</v>
      </c>
      <c r="L1631" s="1" t="str">
        <f aca="false">TEXT(D1631,"yyyy-mm")</f>
        <v>2023-04</v>
      </c>
    </row>
    <row r="1632" customFormat="false" ht="15" hidden="false" customHeight="true" outlineLevel="0" collapsed="false">
      <c r="A1632" s="1" t="n">
        <v>1665</v>
      </c>
      <c r="B1632" s="1" t="n">
        <v>269</v>
      </c>
      <c r="C1632" s="1" t="n">
        <v>58</v>
      </c>
      <c r="D1632" s="1" t="s">
        <v>586</v>
      </c>
      <c r="E1632" s="1" t="n">
        <v>5</v>
      </c>
      <c r="F1632" s="1" t="n">
        <v>515.55</v>
      </c>
      <c r="G1632" s="1" t="n">
        <v>0</v>
      </c>
      <c r="H1632" s="1" t="s">
        <v>1346</v>
      </c>
      <c r="I1632" s="1" t="n">
        <v>2577.75</v>
      </c>
      <c r="J1632" s="1" t="str">
        <f aca="false">VLOOKUP(B1632,Customers!$A$2:$G$502,6,FALSE())</f>
        <v>Corporate</v>
      </c>
      <c r="K1632" s="1" t="str">
        <f aca="false">VLOOKUP(C1632,Products!$A$2:$E$62,3,FALSE())</f>
        <v>Furniture</v>
      </c>
      <c r="L1632" s="1" t="str">
        <f aca="false">TEXT(D1632,"yyyy-mm")</f>
        <v>2023-01</v>
      </c>
    </row>
    <row r="1633" customFormat="false" ht="15" hidden="false" customHeight="true" outlineLevel="0" collapsed="false">
      <c r="A1633" s="1" t="n">
        <v>1666</v>
      </c>
      <c r="B1633" s="1" t="n">
        <v>301</v>
      </c>
      <c r="C1633" s="1" t="n">
        <v>7</v>
      </c>
      <c r="D1633" s="1" t="s">
        <v>1422</v>
      </c>
      <c r="E1633" s="1" t="n">
        <v>2</v>
      </c>
      <c r="F1633" s="1" t="n">
        <v>460</v>
      </c>
      <c r="G1633" s="1" t="n">
        <v>0.2</v>
      </c>
      <c r="H1633" s="1" t="s">
        <v>1336</v>
      </c>
      <c r="I1633" s="1" t="n">
        <v>736</v>
      </c>
      <c r="J1633" s="1" t="str">
        <f aca="false">VLOOKUP(B1633,Customers!$A$2:$G$502,6,FALSE())</f>
        <v>Corporate</v>
      </c>
      <c r="K1633" s="1" t="str">
        <f aca="false">VLOOKUP(C1633,Products!$A$2:$E$62,3,FALSE())</f>
        <v>Electronics</v>
      </c>
      <c r="L1633" s="1" t="str">
        <f aca="false">TEXT(D1633,"yyyy-mm")</f>
        <v>2023-12</v>
      </c>
    </row>
    <row r="1634" customFormat="false" ht="15" hidden="false" customHeight="true" outlineLevel="0" collapsed="false">
      <c r="A1634" s="1" t="n">
        <v>1667</v>
      </c>
      <c r="B1634" s="1" t="n">
        <v>7</v>
      </c>
      <c r="C1634" s="1" t="n">
        <v>16</v>
      </c>
      <c r="D1634" s="1" t="s">
        <v>1566</v>
      </c>
      <c r="E1634" s="1" t="n">
        <v>3</v>
      </c>
      <c r="F1634" s="1" t="n">
        <v>330.91</v>
      </c>
      <c r="G1634" s="1" t="n">
        <v>0.05</v>
      </c>
      <c r="H1634" s="1" t="s">
        <v>1336</v>
      </c>
      <c r="I1634" s="1" t="n">
        <v>943.09</v>
      </c>
      <c r="J1634" s="1" t="str">
        <f aca="false">VLOOKUP(B1634,Customers!$A$2:$G$502,6,FALSE())</f>
        <v>Small Business</v>
      </c>
      <c r="K1634" s="1" t="str">
        <f aca="false">VLOOKUP(C1634,Products!$A$2:$E$62,3,FALSE())</f>
        <v>Electronics</v>
      </c>
      <c r="L1634" s="1" t="str">
        <f aca="false">TEXT(D1634,"yyyy-mm")</f>
        <v>2024-12</v>
      </c>
    </row>
    <row r="1635" customFormat="false" ht="15" hidden="false" customHeight="true" outlineLevel="0" collapsed="false">
      <c r="A1635" s="1" t="n">
        <v>1668</v>
      </c>
      <c r="B1635" s="1" t="n">
        <v>422</v>
      </c>
      <c r="C1635" s="1" t="n">
        <v>39</v>
      </c>
      <c r="D1635" s="1" t="s">
        <v>1269</v>
      </c>
      <c r="E1635" s="1" t="n">
        <v>6</v>
      </c>
      <c r="F1635" s="1" t="n">
        <v>400.02</v>
      </c>
      <c r="G1635" s="1" t="n">
        <v>0.15</v>
      </c>
      <c r="H1635" s="1" t="s">
        <v>1346</v>
      </c>
      <c r="I1635" s="1" t="n">
        <v>2040.1</v>
      </c>
      <c r="J1635" s="1" t="str">
        <f aca="false">VLOOKUP(B1635,Customers!$A$2:$G$502,6,FALSE())</f>
        <v>Small Business</v>
      </c>
      <c r="K1635" s="1" t="str">
        <f aca="false">VLOOKUP(C1635,Products!$A$2:$E$62,3,FALSE())</f>
        <v>Software</v>
      </c>
      <c r="L1635" s="1" t="str">
        <f aca="false">TEXT(D1635,"yyyy-mm")</f>
        <v>2023-05</v>
      </c>
    </row>
    <row r="1636" customFormat="false" ht="15" hidden="false" customHeight="true" outlineLevel="0" collapsed="false">
      <c r="A1636" s="1" t="n">
        <v>1669</v>
      </c>
      <c r="B1636" s="1" t="n">
        <v>201</v>
      </c>
      <c r="C1636" s="1" t="n">
        <v>24</v>
      </c>
      <c r="D1636" s="1" t="s">
        <v>1524</v>
      </c>
      <c r="E1636" s="1" t="n">
        <v>7</v>
      </c>
      <c r="F1636" s="1" t="n">
        <v>207.34</v>
      </c>
      <c r="G1636" s="1" t="n">
        <v>0.2</v>
      </c>
      <c r="H1636" s="1" t="s">
        <v>1336</v>
      </c>
      <c r="I1636" s="1" t="n">
        <v>1161.1</v>
      </c>
      <c r="J1636" s="1" t="str">
        <f aca="false">VLOOKUP(B1636,Customers!$A$2:$G$502,6,FALSE())</f>
        <v>Corporate</v>
      </c>
      <c r="K1636" s="1" t="str">
        <f aca="false">VLOOKUP(C1636,Products!$A$2:$E$62,3,FALSE())</f>
        <v>Office Supplies</v>
      </c>
      <c r="L1636" s="1" t="str">
        <f aca="false">TEXT(D1636,"yyyy-mm")</f>
        <v>2024-09</v>
      </c>
    </row>
    <row r="1637" customFormat="false" ht="15" hidden="false" customHeight="true" outlineLevel="0" collapsed="false">
      <c r="A1637" s="1" t="n">
        <v>1670</v>
      </c>
      <c r="B1637" s="1" t="n">
        <v>414</v>
      </c>
      <c r="C1637" s="1" t="n">
        <v>8</v>
      </c>
      <c r="D1637" s="1" t="s">
        <v>659</v>
      </c>
      <c r="E1637" s="1" t="n">
        <v>9</v>
      </c>
      <c r="F1637" s="1" t="n">
        <v>104.4</v>
      </c>
      <c r="G1637" s="1" t="n">
        <v>0.15</v>
      </c>
      <c r="H1637" s="1" t="s">
        <v>1336</v>
      </c>
      <c r="I1637" s="1" t="n">
        <v>798.66</v>
      </c>
      <c r="J1637" s="1" t="str">
        <f aca="false">VLOOKUP(B1637,Customers!$A$2:$G$502,6,FALSE())</f>
        <v>Consumer</v>
      </c>
      <c r="K1637" s="1" t="str">
        <f aca="false">VLOOKUP(C1637,Products!$A$2:$E$62,3,FALSE())</f>
        <v>Electronics</v>
      </c>
      <c r="L1637" s="1" t="str">
        <f aca="false">TEXT(D1637,"yyyy-mm")</f>
        <v>2024-06</v>
      </c>
    </row>
    <row r="1638" customFormat="false" ht="15" hidden="false" customHeight="true" outlineLevel="0" collapsed="false">
      <c r="A1638" s="1" t="n">
        <v>1671</v>
      </c>
      <c r="B1638" s="1" t="n">
        <v>204</v>
      </c>
      <c r="C1638" s="1" t="n">
        <v>34</v>
      </c>
      <c r="D1638" s="1" t="s">
        <v>1663</v>
      </c>
      <c r="E1638" s="1" t="n">
        <v>1</v>
      </c>
      <c r="F1638" s="1" t="n">
        <v>116.85</v>
      </c>
      <c r="G1638" s="1" t="n">
        <v>0</v>
      </c>
      <c r="H1638" s="1" t="s">
        <v>1336</v>
      </c>
      <c r="I1638" s="1" t="n">
        <v>116.85</v>
      </c>
      <c r="J1638" s="1" t="str">
        <f aca="false">VLOOKUP(B1638,Customers!$A$2:$G$502,6,FALSE())</f>
        <v>Small Business</v>
      </c>
      <c r="K1638" s="1" t="str">
        <f aca="false">VLOOKUP(C1638,Products!$A$2:$E$62,3,FALSE())</f>
        <v>Office Supplies</v>
      </c>
      <c r="L1638" s="1" t="str">
        <f aca="false">TEXT(D1638,"yyyy-mm")</f>
        <v>2024-05</v>
      </c>
    </row>
    <row r="1639" customFormat="false" ht="15" hidden="false" customHeight="true" outlineLevel="0" collapsed="false">
      <c r="A1639" s="1" t="n">
        <v>1672</v>
      </c>
      <c r="B1639" s="1" t="n">
        <v>88</v>
      </c>
      <c r="C1639" s="1" t="n">
        <v>53</v>
      </c>
      <c r="D1639" s="1" t="s">
        <v>572</v>
      </c>
      <c r="E1639" s="1" t="n">
        <v>7</v>
      </c>
      <c r="F1639" s="1" t="n">
        <v>509.98</v>
      </c>
      <c r="G1639" s="1" t="n">
        <v>0</v>
      </c>
      <c r="H1639" s="1" t="s">
        <v>1336</v>
      </c>
      <c r="I1639" s="1" t="n">
        <v>3569.86</v>
      </c>
      <c r="J1639" s="1" t="str">
        <f aca="false">VLOOKUP(B1639,Customers!$A$2:$G$502,6,FALSE())</f>
        <v>Corporate</v>
      </c>
      <c r="K1639" s="1" t="str">
        <f aca="false">VLOOKUP(C1639,Products!$A$2:$E$62,3,FALSE())</f>
        <v>Software</v>
      </c>
      <c r="L1639" s="1" t="str">
        <f aca="false">TEXT(D1639,"yyyy-mm")</f>
        <v>2023-06</v>
      </c>
    </row>
    <row r="1640" customFormat="false" ht="15" hidden="false" customHeight="true" outlineLevel="0" collapsed="false">
      <c r="A1640" s="1" t="n">
        <v>1673</v>
      </c>
      <c r="B1640" s="1" t="n">
        <v>172</v>
      </c>
      <c r="C1640" s="1" t="n">
        <v>22</v>
      </c>
      <c r="D1640" s="1" t="s">
        <v>1114</v>
      </c>
      <c r="E1640" s="1" t="n">
        <v>8</v>
      </c>
      <c r="F1640" s="1" t="n">
        <v>38.57</v>
      </c>
      <c r="G1640" s="1" t="n">
        <v>0</v>
      </c>
      <c r="H1640" s="1" t="s">
        <v>1336</v>
      </c>
      <c r="I1640" s="1" t="n">
        <v>308.56</v>
      </c>
      <c r="J1640" s="1" t="str">
        <f aca="false">VLOOKUP(B1640,Customers!$A$2:$G$502,6,FALSE())</f>
        <v>Consumer</v>
      </c>
      <c r="K1640" s="1" t="str">
        <f aca="false">VLOOKUP(C1640,Products!$A$2:$E$62,3,FALSE())</f>
        <v>Office Supplies</v>
      </c>
      <c r="L1640" s="1" t="str">
        <f aca="false">TEXT(D1640,"yyyy-mm")</f>
        <v>2024-03</v>
      </c>
    </row>
    <row r="1641" customFormat="false" ht="15" hidden="false" customHeight="true" outlineLevel="0" collapsed="false">
      <c r="A1641" s="1" t="n">
        <v>1674</v>
      </c>
      <c r="B1641" s="1" t="n">
        <v>151</v>
      </c>
      <c r="C1641" s="1" t="n">
        <v>9</v>
      </c>
      <c r="D1641" s="1" t="s">
        <v>907</v>
      </c>
      <c r="E1641" s="1" t="n">
        <v>3</v>
      </c>
      <c r="F1641" s="1" t="n">
        <v>203.1</v>
      </c>
      <c r="G1641" s="1" t="n">
        <v>0.1</v>
      </c>
      <c r="H1641" s="1" t="s">
        <v>1336</v>
      </c>
      <c r="I1641" s="1" t="n">
        <v>548.37</v>
      </c>
      <c r="J1641" s="1" t="str">
        <f aca="false">VLOOKUP(B1641,Customers!$A$2:$G$502,6,FALSE())</f>
        <v>Small Business</v>
      </c>
      <c r="K1641" s="1" t="str">
        <f aca="false">VLOOKUP(C1641,Products!$A$2:$E$62,3,FALSE())</f>
        <v>Electronics</v>
      </c>
      <c r="L1641" s="1" t="str">
        <f aca="false">TEXT(D1641,"yyyy-mm")</f>
        <v>2024-06</v>
      </c>
    </row>
    <row r="1642" customFormat="false" ht="15" hidden="false" customHeight="true" outlineLevel="0" collapsed="false">
      <c r="A1642" s="1" t="n">
        <v>1675</v>
      </c>
      <c r="B1642" s="1" t="n">
        <v>399</v>
      </c>
      <c r="C1642" s="1" t="n">
        <v>51</v>
      </c>
      <c r="D1642" s="1" t="s">
        <v>1619</v>
      </c>
      <c r="E1642" s="1" t="n">
        <v>4</v>
      </c>
      <c r="F1642" s="1" t="n">
        <v>30.16</v>
      </c>
      <c r="G1642" s="1" t="n">
        <v>0</v>
      </c>
      <c r="H1642" s="1" t="s">
        <v>1336</v>
      </c>
      <c r="I1642" s="1" t="n">
        <v>120.64</v>
      </c>
      <c r="J1642" s="1" t="str">
        <f aca="false">VLOOKUP(B1642,Customers!$A$2:$G$502,6,FALSE())</f>
        <v>Corporate</v>
      </c>
      <c r="K1642" s="1" t="str">
        <f aca="false">VLOOKUP(C1642,Products!$A$2:$E$62,3,FALSE())</f>
        <v>Software</v>
      </c>
      <c r="L1642" s="1" t="str">
        <f aca="false">TEXT(D1642,"yyyy-mm")</f>
        <v>2023-12</v>
      </c>
    </row>
    <row r="1643" customFormat="false" ht="15" hidden="false" customHeight="true" outlineLevel="0" collapsed="false">
      <c r="A1643" s="1" t="n">
        <v>1677</v>
      </c>
      <c r="B1643" s="1" t="n">
        <v>22</v>
      </c>
      <c r="C1643" s="1" t="n">
        <v>13</v>
      </c>
      <c r="D1643" s="1" t="s">
        <v>1576</v>
      </c>
      <c r="E1643" s="1" t="n">
        <v>7</v>
      </c>
      <c r="F1643" s="1" t="n">
        <v>352.54</v>
      </c>
      <c r="G1643" s="1" t="n">
        <v>0.1</v>
      </c>
      <c r="H1643" s="1" t="s">
        <v>1346</v>
      </c>
      <c r="I1643" s="1" t="n">
        <v>2221</v>
      </c>
      <c r="J1643" s="1" t="str">
        <f aca="false">VLOOKUP(B1643,Customers!$A$2:$G$502,6,FALSE())</f>
        <v>Consumer</v>
      </c>
      <c r="K1643" s="1" t="str">
        <f aca="false">VLOOKUP(C1643,Products!$A$2:$E$62,3,FALSE())</f>
        <v>Electronics</v>
      </c>
      <c r="L1643" s="1" t="str">
        <f aca="false">TEXT(D1643,"yyyy-mm")</f>
        <v>2023-02</v>
      </c>
    </row>
    <row r="1644" customFormat="false" ht="15" hidden="false" customHeight="true" outlineLevel="0" collapsed="false">
      <c r="A1644" s="1" t="n">
        <v>1678</v>
      </c>
      <c r="B1644" s="1" t="n">
        <v>419</v>
      </c>
      <c r="C1644" s="1" t="n">
        <v>56</v>
      </c>
      <c r="D1644" s="1" t="s">
        <v>775</v>
      </c>
      <c r="E1644" s="1" t="n">
        <v>4</v>
      </c>
      <c r="F1644" s="1" t="n">
        <v>160.64</v>
      </c>
      <c r="G1644" s="1" t="n">
        <v>0.05</v>
      </c>
      <c r="H1644" s="1" t="s">
        <v>1336</v>
      </c>
      <c r="I1644" s="1" t="n">
        <v>610.43</v>
      </c>
      <c r="J1644" s="1" t="str">
        <f aca="false">VLOOKUP(B1644,Customers!$A$2:$G$502,6,FALSE())</f>
        <v>Small Business</v>
      </c>
      <c r="K1644" s="1" t="str">
        <f aca="false">VLOOKUP(C1644,Products!$A$2:$E$62,3,FALSE())</f>
        <v>Furniture</v>
      </c>
      <c r="L1644" s="1" t="str">
        <f aca="false">TEXT(D1644,"yyyy-mm")</f>
        <v>2023-01</v>
      </c>
    </row>
    <row r="1645" customFormat="false" ht="15" hidden="false" customHeight="true" outlineLevel="0" collapsed="false">
      <c r="A1645" s="1" t="n">
        <v>1679</v>
      </c>
      <c r="B1645" s="1" t="n">
        <v>52</v>
      </c>
      <c r="C1645" s="1" t="n">
        <v>12</v>
      </c>
      <c r="D1645" s="1" t="s">
        <v>18</v>
      </c>
      <c r="E1645" s="1" t="n">
        <v>8</v>
      </c>
      <c r="F1645" s="1" t="n">
        <v>179.23</v>
      </c>
      <c r="G1645" s="1" t="n">
        <v>0</v>
      </c>
      <c r="H1645" s="1" t="s">
        <v>1346</v>
      </c>
      <c r="I1645" s="1" t="n">
        <v>1433.84</v>
      </c>
      <c r="J1645" s="1" t="str">
        <f aca="false">VLOOKUP(B1645,Customers!$A$2:$G$502,6,FALSE())</f>
        <v>Small Business</v>
      </c>
      <c r="K1645" s="1" t="str">
        <f aca="false">VLOOKUP(C1645,Products!$A$2:$E$62,3,FALSE())</f>
        <v>Electronics</v>
      </c>
      <c r="L1645" s="1" t="str">
        <f aca="false">TEXT(D1645,"yyyy-mm")</f>
        <v>2023-08</v>
      </c>
    </row>
    <row r="1646" customFormat="false" ht="15" hidden="false" customHeight="true" outlineLevel="0" collapsed="false">
      <c r="A1646" s="1" t="n">
        <v>1680</v>
      </c>
      <c r="B1646" s="1" t="n">
        <v>94</v>
      </c>
      <c r="C1646" s="1" t="n">
        <v>28</v>
      </c>
      <c r="D1646" s="1" t="s">
        <v>969</v>
      </c>
      <c r="E1646" s="1" t="n">
        <v>5</v>
      </c>
      <c r="F1646" s="1" t="n">
        <v>505.23</v>
      </c>
      <c r="G1646" s="1" t="n">
        <v>0</v>
      </c>
      <c r="H1646" s="1" t="s">
        <v>1336</v>
      </c>
      <c r="I1646" s="1" t="n">
        <v>2526.15</v>
      </c>
      <c r="J1646" s="1" t="str">
        <f aca="false">VLOOKUP(B1646,Customers!$A$2:$G$502,6,FALSE())</f>
        <v>Small Business</v>
      </c>
      <c r="K1646" s="1" t="str">
        <f aca="false">VLOOKUP(C1646,Products!$A$2:$E$62,3,FALSE())</f>
        <v>Office Supplies</v>
      </c>
      <c r="L1646" s="1" t="str">
        <f aca="false">TEXT(D1646,"yyyy-mm")</f>
        <v>2024-08</v>
      </c>
    </row>
    <row r="1647" customFormat="false" ht="15" hidden="false" customHeight="true" outlineLevel="0" collapsed="false">
      <c r="A1647" s="1" t="n">
        <v>1681</v>
      </c>
      <c r="B1647" s="1" t="n">
        <v>463</v>
      </c>
      <c r="C1647" s="1" t="n">
        <v>10</v>
      </c>
      <c r="D1647" s="1" t="s">
        <v>1507</v>
      </c>
      <c r="E1647" s="1" t="n">
        <v>1</v>
      </c>
      <c r="F1647" s="1" t="n">
        <v>251.58</v>
      </c>
      <c r="G1647" s="1" t="n">
        <v>0</v>
      </c>
      <c r="H1647" s="1" t="s">
        <v>1370</v>
      </c>
      <c r="I1647" s="1" t="n">
        <v>251.58</v>
      </c>
      <c r="J1647" s="1" t="str">
        <f aca="false">VLOOKUP(B1647,Customers!$A$2:$G$502,6,FALSE())</f>
        <v>Consumer</v>
      </c>
      <c r="K1647" s="1" t="str">
        <f aca="false">VLOOKUP(C1647,Products!$A$2:$E$62,3,FALSE())</f>
        <v>Electronics</v>
      </c>
      <c r="L1647" s="1" t="str">
        <f aca="false">TEXT(D1647,"yyyy-mm")</f>
        <v>2024-09</v>
      </c>
    </row>
    <row r="1648" customFormat="false" ht="15" hidden="false" customHeight="true" outlineLevel="0" collapsed="false">
      <c r="A1648" s="1" t="n">
        <v>1682</v>
      </c>
      <c r="B1648" s="1" t="n">
        <v>60</v>
      </c>
      <c r="C1648" s="1" t="n">
        <v>16</v>
      </c>
      <c r="D1648" s="1" t="s">
        <v>1406</v>
      </c>
      <c r="E1648" s="1" t="n">
        <v>4</v>
      </c>
      <c r="F1648" s="1" t="n">
        <v>330.91</v>
      </c>
      <c r="G1648" s="1" t="n">
        <v>0.1</v>
      </c>
      <c r="H1648" s="1" t="s">
        <v>1336</v>
      </c>
      <c r="I1648" s="1" t="n">
        <v>1191.28</v>
      </c>
      <c r="J1648" s="1" t="str">
        <f aca="false">VLOOKUP(B1648,Customers!$A$2:$G$502,6,FALSE())</f>
        <v>Corporate</v>
      </c>
      <c r="K1648" s="1" t="str">
        <f aca="false">VLOOKUP(C1648,Products!$A$2:$E$62,3,FALSE())</f>
        <v>Electronics</v>
      </c>
      <c r="L1648" s="1" t="str">
        <f aca="false">TEXT(D1648,"yyyy-mm")</f>
        <v>2023-11</v>
      </c>
    </row>
    <row r="1649" customFormat="false" ht="15" hidden="false" customHeight="true" outlineLevel="0" collapsed="false">
      <c r="A1649" s="1" t="n">
        <v>1683</v>
      </c>
      <c r="B1649" s="1" t="n">
        <v>153</v>
      </c>
      <c r="C1649" s="1" t="n">
        <v>16</v>
      </c>
      <c r="D1649" s="1" t="s">
        <v>1663</v>
      </c>
      <c r="E1649" s="1" t="n">
        <v>3</v>
      </c>
      <c r="F1649" s="1" t="n">
        <v>330.91</v>
      </c>
      <c r="G1649" s="1" t="n">
        <v>0.2</v>
      </c>
      <c r="H1649" s="1" t="s">
        <v>1336</v>
      </c>
      <c r="I1649" s="1" t="n">
        <v>794.18</v>
      </c>
      <c r="J1649" s="1" t="str">
        <f aca="false">VLOOKUP(B1649,Customers!$A$2:$G$502,6,FALSE())</f>
        <v>Corporate</v>
      </c>
      <c r="K1649" s="1" t="str">
        <f aca="false">VLOOKUP(C1649,Products!$A$2:$E$62,3,FALSE())</f>
        <v>Electronics</v>
      </c>
      <c r="L1649" s="1" t="str">
        <f aca="false">TEXT(D1649,"yyyy-mm")</f>
        <v>2024-05</v>
      </c>
    </row>
    <row r="1650" customFormat="false" ht="15" hidden="false" customHeight="true" outlineLevel="0" collapsed="false">
      <c r="A1650" s="1" t="n">
        <v>1684</v>
      </c>
      <c r="B1650" s="1" t="n">
        <v>24</v>
      </c>
      <c r="C1650" s="1" t="n">
        <v>14</v>
      </c>
      <c r="D1650" s="1" t="s">
        <v>317</v>
      </c>
      <c r="E1650" s="1" t="n">
        <v>9</v>
      </c>
      <c r="F1650" s="1" t="n">
        <v>135.27</v>
      </c>
      <c r="G1650" s="1" t="n">
        <v>0.15</v>
      </c>
      <c r="H1650" s="1" t="s">
        <v>1336</v>
      </c>
      <c r="I1650" s="1" t="n">
        <v>1034.82</v>
      </c>
      <c r="J1650" s="1" t="str">
        <f aca="false">VLOOKUP(B1650,Customers!$A$2:$G$502,6,FALSE())</f>
        <v>Consumer</v>
      </c>
      <c r="K1650" s="1" t="str">
        <f aca="false">VLOOKUP(C1650,Products!$A$2:$E$62,3,FALSE())</f>
        <v>Electronics</v>
      </c>
      <c r="L1650" s="1" t="str">
        <f aca="false">TEXT(D1650,"yyyy-mm")</f>
        <v>2023-08</v>
      </c>
    </row>
    <row r="1651" customFormat="false" ht="15" hidden="false" customHeight="true" outlineLevel="0" collapsed="false">
      <c r="A1651" s="1" t="n">
        <v>1685</v>
      </c>
      <c r="B1651" s="1" t="n">
        <v>232</v>
      </c>
      <c r="C1651" s="1" t="n">
        <v>45</v>
      </c>
      <c r="D1651" s="1" t="s">
        <v>952</v>
      </c>
      <c r="E1651" s="1" t="n">
        <v>8</v>
      </c>
      <c r="F1651" s="1" t="n">
        <v>560.01</v>
      </c>
      <c r="G1651" s="1" t="n">
        <v>0</v>
      </c>
      <c r="H1651" s="1" t="s">
        <v>1336</v>
      </c>
      <c r="I1651" s="1" t="n">
        <v>4480.08</v>
      </c>
      <c r="J1651" s="1" t="str">
        <f aca="false">VLOOKUP(B1651,Customers!$A$2:$G$502,6,FALSE())</f>
        <v>Corporate</v>
      </c>
      <c r="K1651" s="1" t="str">
        <f aca="false">VLOOKUP(C1651,Products!$A$2:$E$62,3,FALSE())</f>
        <v>Software</v>
      </c>
      <c r="L1651" s="1" t="str">
        <f aca="false">TEXT(D1651,"yyyy-mm")</f>
        <v>2024-12</v>
      </c>
    </row>
    <row r="1652" customFormat="false" ht="15" hidden="false" customHeight="true" outlineLevel="0" collapsed="false">
      <c r="A1652" s="1" t="n">
        <v>1686</v>
      </c>
      <c r="B1652" s="1" t="n">
        <v>363</v>
      </c>
      <c r="C1652" s="1" t="n">
        <v>5</v>
      </c>
      <c r="D1652" s="1" t="s">
        <v>39</v>
      </c>
      <c r="E1652" s="1" t="n">
        <v>1</v>
      </c>
      <c r="F1652" s="1" t="n">
        <v>439.06</v>
      </c>
      <c r="G1652" s="1" t="n">
        <v>0</v>
      </c>
      <c r="H1652" s="1" t="s">
        <v>1336</v>
      </c>
      <c r="I1652" s="1" t="n">
        <v>439.06</v>
      </c>
      <c r="J1652" s="1" t="str">
        <f aca="false">VLOOKUP(B1652,Customers!$A$2:$G$502,6,FALSE())</f>
        <v>Small Business</v>
      </c>
      <c r="K1652" s="1" t="str">
        <f aca="false">VLOOKUP(C1652,Products!$A$2:$E$62,3,FALSE())</f>
        <v>Electronics</v>
      </c>
      <c r="L1652" s="1" t="str">
        <f aca="false">TEXT(D1652,"yyyy-mm")</f>
        <v>2023-10</v>
      </c>
    </row>
    <row r="1653" customFormat="false" ht="15" hidden="false" customHeight="true" outlineLevel="0" collapsed="false">
      <c r="A1653" s="1" t="n">
        <v>1687</v>
      </c>
      <c r="B1653" s="1" t="n">
        <v>131</v>
      </c>
      <c r="C1653" s="1" t="n">
        <v>38</v>
      </c>
      <c r="D1653" s="1" t="s">
        <v>280</v>
      </c>
      <c r="E1653" s="1" t="n">
        <v>6</v>
      </c>
      <c r="F1653" s="1" t="n">
        <v>521.63</v>
      </c>
      <c r="G1653" s="1" t="n">
        <v>0.05</v>
      </c>
      <c r="H1653" s="1" t="s">
        <v>1336</v>
      </c>
      <c r="I1653" s="1" t="n">
        <v>2973.29</v>
      </c>
      <c r="J1653" s="1" t="str">
        <f aca="false">VLOOKUP(B1653,Customers!$A$2:$G$502,6,FALSE())</f>
        <v>Corporate</v>
      </c>
      <c r="K1653" s="1" t="str">
        <f aca="false">VLOOKUP(C1653,Products!$A$2:$E$62,3,FALSE())</f>
        <v>Software</v>
      </c>
      <c r="L1653" s="1" t="str">
        <f aca="false">TEXT(D1653,"yyyy-mm")</f>
        <v>2023-06</v>
      </c>
    </row>
    <row r="1654" customFormat="false" ht="15" hidden="false" customHeight="true" outlineLevel="0" collapsed="false">
      <c r="A1654" s="1" t="n">
        <v>1688</v>
      </c>
      <c r="B1654" s="1" t="n">
        <v>393</v>
      </c>
      <c r="C1654" s="1" t="n">
        <v>40</v>
      </c>
      <c r="D1654" s="1" t="s">
        <v>980</v>
      </c>
      <c r="E1654" s="1" t="n">
        <v>9</v>
      </c>
      <c r="F1654" s="1" t="n">
        <v>193.02</v>
      </c>
      <c r="G1654" s="1" t="n">
        <v>0.2</v>
      </c>
      <c r="H1654" s="1" t="s">
        <v>1336</v>
      </c>
      <c r="I1654" s="1" t="n">
        <v>1389.74</v>
      </c>
      <c r="J1654" s="1" t="str">
        <f aca="false">VLOOKUP(B1654,Customers!$A$2:$G$502,6,FALSE())</f>
        <v>Consumer</v>
      </c>
      <c r="K1654" s="1" t="str">
        <f aca="false">VLOOKUP(C1654,Products!$A$2:$E$62,3,FALSE())</f>
        <v>Software</v>
      </c>
      <c r="L1654" s="1" t="str">
        <f aca="false">TEXT(D1654,"yyyy-mm")</f>
        <v>2024-08</v>
      </c>
    </row>
    <row r="1655" customFormat="false" ht="15" hidden="false" customHeight="true" outlineLevel="0" collapsed="false">
      <c r="A1655" s="1" t="n">
        <v>1689</v>
      </c>
      <c r="B1655" s="1" t="n">
        <v>310</v>
      </c>
      <c r="C1655" s="1" t="n">
        <v>49</v>
      </c>
      <c r="D1655" s="1" t="s">
        <v>1563</v>
      </c>
      <c r="E1655" s="1" t="n">
        <v>7</v>
      </c>
      <c r="F1655" s="1" t="n">
        <v>325.17</v>
      </c>
      <c r="G1655" s="1" t="n">
        <v>0.15</v>
      </c>
      <c r="H1655" s="1" t="s">
        <v>1336</v>
      </c>
      <c r="I1655" s="1" t="n">
        <v>1934.76</v>
      </c>
      <c r="J1655" s="1" t="str">
        <f aca="false">VLOOKUP(B1655,Customers!$A$2:$G$502,6,FALSE())</f>
        <v>Small Business</v>
      </c>
      <c r="K1655" s="1" t="str">
        <f aca="false">VLOOKUP(C1655,Products!$A$2:$E$62,3,FALSE())</f>
        <v>Software</v>
      </c>
      <c r="L1655" s="1" t="str">
        <f aca="false">TEXT(D1655,"yyyy-mm")</f>
        <v>2024-09</v>
      </c>
    </row>
    <row r="1656" customFormat="false" ht="15" hidden="false" customHeight="true" outlineLevel="0" collapsed="false">
      <c r="A1656" s="1" t="n">
        <v>1690</v>
      </c>
      <c r="B1656" s="1" t="n">
        <v>456</v>
      </c>
      <c r="C1656" s="1" t="n">
        <v>34</v>
      </c>
      <c r="D1656" s="1" t="s">
        <v>476</v>
      </c>
      <c r="E1656" s="1" t="n">
        <v>4</v>
      </c>
      <c r="F1656" s="1" t="n">
        <v>116.85</v>
      </c>
      <c r="G1656" s="1" t="n">
        <v>0</v>
      </c>
      <c r="H1656" s="1" t="s">
        <v>1336</v>
      </c>
      <c r="I1656" s="1" t="n">
        <v>467.4</v>
      </c>
      <c r="J1656" s="1" t="str">
        <f aca="false">VLOOKUP(B1656,Customers!$A$2:$G$502,6,FALSE())</f>
        <v>Consumer</v>
      </c>
      <c r="K1656" s="1" t="str">
        <f aca="false">VLOOKUP(C1656,Products!$A$2:$E$62,3,FALSE())</f>
        <v>Office Supplies</v>
      </c>
      <c r="L1656" s="1" t="str">
        <f aca="false">TEXT(D1656,"yyyy-mm")</f>
        <v>2023-10</v>
      </c>
    </row>
    <row r="1657" customFormat="false" ht="15" hidden="false" customHeight="true" outlineLevel="0" collapsed="false">
      <c r="A1657" s="1" t="n">
        <v>1691</v>
      </c>
      <c r="B1657" s="1" t="n">
        <v>128</v>
      </c>
      <c r="C1657" s="1" t="n">
        <v>10</v>
      </c>
      <c r="D1657" s="1" t="s">
        <v>1092</v>
      </c>
      <c r="E1657" s="1" t="n">
        <v>1</v>
      </c>
      <c r="F1657" s="1" t="n">
        <v>251.58</v>
      </c>
      <c r="G1657" s="1" t="n">
        <v>0.1</v>
      </c>
      <c r="H1657" s="1" t="s">
        <v>1336</v>
      </c>
      <c r="I1657" s="1" t="n">
        <v>226.42</v>
      </c>
      <c r="J1657" s="1" t="str">
        <f aca="false">VLOOKUP(B1657,Customers!$A$2:$G$502,6,FALSE())</f>
        <v>Consumer</v>
      </c>
      <c r="K1657" s="1" t="str">
        <f aca="false">VLOOKUP(C1657,Products!$A$2:$E$62,3,FALSE())</f>
        <v>Electronics</v>
      </c>
      <c r="L1657" s="1" t="str">
        <f aca="false">TEXT(D1657,"yyyy-mm")</f>
        <v>2023-12</v>
      </c>
    </row>
    <row r="1658" customFormat="false" ht="15" hidden="false" customHeight="true" outlineLevel="0" collapsed="false">
      <c r="A1658" s="1" t="n">
        <v>1692</v>
      </c>
      <c r="B1658" s="1" t="n">
        <v>317</v>
      </c>
      <c r="C1658" s="1" t="n">
        <v>51</v>
      </c>
      <c r="D1658" s="1" t="s">
        <v>1030</v>
      </c>
      <c r="E1658" s="1" t="n">
        <v>2</v>
      </c>
      <c r="F1658" s="1" t="n">
        <v>30.16</v>
      </c>
      <c r="G1658" s="1" t="n">
        <v>0</v>
      </c>
      <c r="H1658" s="1" t="s">
        <v>1346</v>
      </c>
      <c r="I1658" s="1" t="n">
        <v>60.32</v>
      </c>
      <c r="J1658" s="1" t="str">
        <f aca="false">VLOOKUP(B1658,Customers!$A$2:$G$502,6,FALSE())</f>
        <v>Small Business</v>
      </c>
      <c r="K1658" s="1" t="str">
        <f aca="false">VLOOKUP(C1658,Products!$A$2:$E$62,3,FALSE())</f>
        <v>Software</v>
      </c>
      <c r="L1658" s="1" t="str">
        <f aca="false">TEXT(D1658,"yyyy-mm")</f>
        <v>2023-07</v>
      </c>
    </row>
    <row r="1659" customFormat="false" ht="15" hidden="false" customHeight="true" outlineLevel="0" collapsed="false">
      <c r="A1659" s="1" t="n">
        <v>1693</v>
      </c>
      <c r="B1659" s="1" t="n">
        <v>115</v>
      </c>
      <c r="C1659" s="1" t="n">
        <v>19</v>
      </c>
      <c r="D1659" s="1" t="s">
        <v>1523</v>
      </c>
      <c r="E1659" s="1" t="n">
        <v>5</v>
      </c>
      <c r="F1659" s="1" t="n">
        <v>163.64</v>
      </c>
      <c r="G1659" s="1" t="n">
        <v>0.2</v>
      </c>
      <c r="H1659" s="1" t="s">
        <v>1370</v>
      </c>
      <c r="I1659" s="1" t="n">
        <v>654.56</v>
      </c>
      <c r="J1659" s="1" t="str">
        <f aca="false">VLOOKUP(B1659,Customers!$A$2:$G$502,6,FALSE())</f>
        <v>Small Business</v>
      </c>
      <c r="K1659" s="1" t="str">
        <f aca="false">VLOOKUP(C1659,Products!$A$2:$E$62,3,FALSE())</f>
        <v>Office Supplies</v>
      </c>
      <c r="L1659" s="1" t="str">
        <f aca="false">TEXT(D1659,"yyyy-mm")</f>
        <v>2023-05</v>
      </c>
    </row>
    <row r="1660" customFormat="false" ht="15" hidden="false" customHeight="true" outlineLevel="0" collapsed="false">
      <c r="A1660" s="1" t="n">
        <v>1694</v>
      </c>
      <c r="B1660" s="1" t="n">
        <v>209</v>
      </c>
      <c r="C1660" s="1" t="n">
        <v>40</v>
      </c>
      <c r="D1660" s="1" t="s">
        <v>1653</v>
      </c>
      <c r="E1660" s="1" t="n">
        <v>5</v>
      </c>
      <c r="F1660" s="1" t="n">
        <v>193.02</v>
      </c>
      <c r="G1660" s="1" t="n">
        <v>0</v>
      </c>
      <c r="H1660" s="1" t="s">
        <v>1370</v>
      </c>
      <c r="I1660" s="1" t="n">
        <v>965.1</v>
      </c>
      <c r="J1660" s="1" t="str">
        <f aca="false">VLOOKUP(B1660,Customers!$A$2:$G$502,6,FALSE())</f>
        <v>Small Business</v>
      </c>
      <c r="K1660" s="1" t="str">
        <f aca="false">VLOOKUP(C1660,Products!$A$2:$E$62,3,FALSE())</f>
        <v>Software</v>
      </c>
      <c r="L1660" s="1" t="str">
        <f aca="false">TEXT(D1660,"yyyy-mm")</f>
        <v>2024-12</v>
      </c>
    </row>
    <row r="1661" customFormat="false" ht="15" hidden="false" customHeight="true" outlineLevel="0" collapsed="false">
      <c r="A1661" s="1" t="n">
        <v>1695</v>
      </c>
      <c r="B1661" s="1" t="n">
        <v>392</v>
      </c>
      <c r="C1661" s="1" t="n">
        <v>27</v>
      </c>
      <c r="D1661" s="1" t="s">
        <v>1625</v>
      </c>
      <c r="E1661" s="1" t="n">
        <v>8</v>
      </c>
      <c r="F1661" s="1" t="n">
        <v>772.58</v>
      </c>
      <c r="G1661" s="1" t="n">
        <v>0.15</v>
      </c>
      <c r="H1661" s="1" t="s">
        <v>1336</v>
      </c>
      <c r="I1661" s="1" t="n">
        <v>5253.54</v>
      </c>
      <c r="J1661" s="1" t="str">
        <f aca="false">VLOOKUP(B1661,Customers!$A$2:$G$502,6,FALSE())</f>
        <v>Corporate</v>
      </c>
      <c r="K1661" s="1" t="str">
        <f aca="false">VLOOKUP(C1661,Products!$A$2:$E$62,3,FALSE())</f>
        <v>Office Supplies</v>
      </c>
      <c r="L1661" s="1" t="str">
        <f aca="false">TEXT(D1661,"yyyy-mm")</f>
        <v>2023-02</v>
      </c>
    </row>
    <row r="1662" customFormat="false" ht="15" hidden="false" customHeight="true" outlineLevel="0" collapsed="false">
      <c r="A1662" s="1" t="n">
        <v>1696</v>
      </c>
      <c r="B1662" s="1" t="n">
        <v>371</v>
      </c>
      <c r="C1662" s="1" t="n">
        <v>15</v>
      </c>
      <c r="D1662" s="1" t="s">
        <v>907</v>
      </c>
      <c r="E1662" s="1" t="n">
        <v>6</v>
      </c>
      <c r="F1662" s="1" t="n">
        <v>304.95</v>
      </c>
      <c r="G1662" s="1" t="n">
        <v>0.1</v>
      </c>
      <c r="H1662" s="1" t="s">
        <v>1336</v>
      </c>
      <c r="I1662" s="1" t="n">
        <v>1646.73</v>
      </c>
      <c r="J1662" s="1" t="str">
        <f aca="false">VLOOKUP(B1662,Customers!$A$2:$G$502,6,FALSE())</f>
        <v>Unknown</v>
      </c>
      <c r="K1662" s="1" t="str">
        <f aca="false">VLOOKUP(C1662,Products!$A$2:$E$62,3,FALSE())</f>
        <v>Electronics</v>
      </c>
      <c r="L1662" s="1" t="str">
        <f aca="false">TEXT(D1662,"yyyy-mm")</f>
        <v>2024-06</v>
      </c>
    </row>
    <row r="1663" customFormat="false" ht="15" hidden="false" customHeight="true" outlineLevel="0" collapsed="false">
      <c r="A1663" s="1" t="n">
        <v>1697</v>
      </c>
      <c r="B1663" s="1" t="n">
        <v>125</v>
      </c>
      <c r="C1663" s="1" t="n">
        <v>58</v>
      </c>
      <c r="D1663" s="1" t="s">
        <v>907</v>
      </c>
      <c r="E1663" s="1" t="n">
        <v>8</v>
      </c>
      <c r="F1663" s="1" t="n">
        <v>515.55</v>
      </c>
      <c r="G1663" s="1" t="n">
        <v>0</v>
      </c>
      <c r="H1663" s="1" t="s">
        <v>1336</v>
      </c>
      <c r="I1663" s="1" t="n">
        <v>4124.4</v>
      </c>
      <c r="J1663" s="1" t="str">
        <f aca="false">VLOOKUP(B1663,Customers!$A$2:$G$502,6,FALSE())</f>
        <v>Small Business</v>
      </c>
      <c r="K1663" s="1" t="str">
        <f aca="false">VLOOKUP(C1663,Products!$A$2:$E$62,3,FALSE())</f>
        <v>Furniture</v>
      </c>
      <c r="L1663" s="1" t="str">
        <f aca="false">TEXT(D1663,"yyyy-mm")</f>
        <v>2024-06</v>
      </c>
    </row>
    <row r="1664" customFormat="false" ht="15" hidden="false" customHeight="true" outlineLevel="0" collapsed="false">
      <c r="A1664" s="1" t="n">
        <v>1698</v>
      </c>
      <c r="B1664" s="1" t="n">
        <v>146</v>
      </c>
      <c r="C1664" s="1" t="n">
        <v>53</v>
      </c>
      <c r="D1664" s="1" t="s">
        <v>1543</v>
      </c>
      <c r="E1664" s="1" t="n">
        <v>2</v>
      </c>
      <c r="F1664" s="1" t="n">
        <v>509.98</v>
      </c>
      <c r="G1664" s="1" t="n">
        <v>0</v>
      </c>
      <c r="H1664" s="1" t="s">
        <v>1370</v>
      </c>
      <c r="I1664" s="1" t="n">
        <v>1019.96</v>
      </c>
      <c r="J1664" s="1" t="str">
        <f aca="false">VLOOKUP(B1664,Customers!$A$2:$G$502,6,FALSE())</f>
        <v>Consumer</v>
      </c>
      <c r="K1664" s="1" t="str">
        <f aca="false">VLOOKUP(C1664,Products!$A$2:$E$62,3,FALSE())</f>
        <v>Software</v>
      </c>
      <c r="L1664" s="1" t="str">
        <f aca="false">TEXT(D1664,"yyyy-mm")</f>
        <v>2023-01</v>
      </c>
    </row>
    <row r="1665" customFormat="false" ht="15" hidden="false" customHeight="true" outlineLevel="0" collapsed="false">
      <c r="A1665" s="1" t="n">
        <v>1699</v>
      </c>
      <c r="B1665" s="1" t="n">
        <v>356</v>
      </c>
      <c r="C1665" s="1" t="n">
        <v>37</v>
      </c>
      <c r="D1665" s="1" t="s">
        <v>1524</v>
      </c>
      <c r="E1665" s="1" t="n">
        <v>3</v>
      </c>
      <c r="F1665" s="1" t="n">
        <v>13.95</v>
      </c>
      <c r="G1665" s="1" t="n">
        <v>0.05</v>
      </c>
      <c r="H1665" s="1" t="s">
        <v>1336</v>
      </c>
      <c r="I1665" s="1" t="n">
        <v>39.76</v>
      </c>
      <c r="J1665" s="1" t="str">
        <f aca="false">VLOOKUP(B1665,Customers!$A$2:$G$502,6,FALSE())</f>
        <v>Consumer</v>
      </c>
      <c r="K1665" s="1" t="str">
        <f aca="false">VLOOKUP(C1665,Products!$A$2:$E$62,3,FALSE())</f>
        <v>Software</v>
      </c>
      <c r="L1665" s="1" t="str">
        <f aca="false">TEXT(D1665,"yyyy-mm")</f>
        <v>2024-09</v>
      </c>
    </row>
    <row r="1666" customFormat="false" ht="15" hidden="false" customHeight="true" outlineLevel="0" collapsed="false">
      <c r="A1666" s="1" t="n">
        <v>1700</v>
      </c>
      <c r="B1666" s="1" t="n">
        <v>303</v>
      </c>
      <c r="C1666" s="1" t="n">
        <v>49</v>
      </c>
      <c r="D1666" s="1" t="s">
        <v>1047</v>
      </c>
      <c r="E1666" s="1" t="n">
        <v>6</v>
      </c>
      <c r="F1666" s="1" t="n">
        <v>325.17</v>
      </c>
      <c r="G1666" s="1" t="n">
        <v>0.1</v>
      </c>
      <c r="H1666" s="1" t="s">
        <v>1336</v>
      </c>
      <c r="I1666" s="1" t="n">
        <v>1755.92</v>
      </c>
      <c r="J1666" s="1" t="str">
        <f aca="false">VLOOKUP(B1666,Customers!$A$2:$G$502,6,FALSE())</f>
        <v>Corporate</v>
      </c>
      <c r="K1666" s="1" t="str">
        <f aca="false">VLOOKUP(C1666,Products!$A$2:$E$62,3,FALSE())</f>
        <v>Software</v>
      </c>
      <c r="L1666" s="1" t="str">
        <f aca="false">TEXT(D1666,"yyyy-mm")</f>
        <v>2024-01</v>
      </c>
    </row>
    <row r="1667" customFormat="false" ht="15" hidden="false" customHeight="true" outlineLevel="0" collapsed="false">
      <c r="A1667" s="1" t="n">
        <v>1702</v>
      </c>
      <c r="B1667" s="1" t="n">
        <v>247</v>
      </c>
      <c r="C1667" s="1" t="n">
        <v>52</v>
      </c>
      <c r="D1667" s="1" t="s">
        <v>1557</v>
      </c>
      <c r="E1667" s="1" t="n">
        <v>6</v>
      </c>
      <c r="F1667" s="1" t="n">
        <v>207.67</v>
      </c>
      <c r="G1667" s="1" t="n">
        <v>0</v>
      </c>
      <c r="H1667" s="1" t="s">
        <v>1336</v>
      </c>
      <c r="I1667" s="1" t="n">
        <v>1246.02</v>
      </c>
      <c r="J1667" s="1" t="str">
        <f aca="false">VLOOKUP(B1667,Customers!$A$2:$G$502,6,FALSE())</f>
        <v>Small Business</v>
      </c>
      <c r="K1667" s="1" t="str">
        <f aca="false">VLOOKUP(C1667,Products!$A$2:$E$62,3,FALSE())</f>
        <v>Software</v>
      </c>
      <c r="L1667" s="1" t="str">
        <f aca="false">TEXT(D1667,"yyyy-mm")</f>
        <v>2024-03</v>
      </c>
    </row>
    <row r="1668" customFormat="false" ht="15" hidden="false" customHeight="true" outlineLevel="0" collapsed="false">
      <c r="A1668" s="1" t="n">
        <v>1703</v>
      </c>
      <c r="B1668" s="1" t="n">
        <v>271</v>
      </c>
      <c r="C1668" s="1" t="n">
        <v>21</v>
      </c>
      <c r="D1668" s="1" t="s">
        <v>969</v>
      </c>
      <c r="E1668" s="1" t="n">
        <v>6</v>
      </c>
      <c r="F1668" s="1" t="n">
        <v>84.91</v>
      </c>
      <c r="G1668" s="1" t="n">
        <v>0</v>
      </c>
      <c r="H1668" s="1" t="s">
        <v>1370</v>
      </c>
      <c r="I1668" s="1" t="n">
        <v>509.46</v>
      </c>
      <c r="J1668" s="1" t="str">
        <f aca="false">VLOOKUP(B1668,Customers!$A$2:$G$502,6,FALSE())</f>
        <v>Small Business</v>
      </c>
      <c r="K1668" s="1" t="str">
        <f aca="false">VLOOKUP(C1668,Products!$A$2:$E$62,3,FALSE())</f>
        <v>Office Supplies</v>
      </c>
      <c r="L1668" s="1" t="str">
        <f aca="false">TEXT(D1668,"yyyy-mm")</f>
        <v>2024-08</v>
      </c>
    </row>
    <row r="1669" customFormat="false" ht="15" hidden="false" customHeight="true" outlineLevel="0" collapsed="false">
      <c r="A1669" s="1" t="n">
        <v>1704</v>
      </c>
      <c r="B1669" s="1" t="n">
        <v>137</v>
      </c>
      <c r="C1669" s="1" t="n">
        <v>26</v>
      </c>
      <c r="D1669" s="1" t="s">
        <v>902</v>
      </c>
      <c r="E1669" s="1" t="n">
        <v>2</v>
      </c>
      <c r="F1669" s="1" t="n">
        <v>733.85</v>
      </c>
      <c r="G1669" s="1" t="n">
        <v>0</v>
      </c>
      <c r="H1669" s="1" t="s">
        <v>1336</v>
      </c>
      <c r="I1669" s="1" t="n">
        <v>1467.7</v>
      </c>
      <c r="J1669" s="1" t="str">
        <f aca="false">VLOOKUP(B1669,Customers!$A$2:$G$502,6,FALSE())</f>
        <v>Consumer</v>
      </c>
      <c r="K1669" s="1" t="str">
        <f aca="false">VLOOKUP(C1669,Products!$A$2:$E$62,3,FALSE())</f>
        <v>Office Supplies</v>
      </c>
      <c r="L1669" s="1" t="str">
        <f aca="false">TEXT(D1669,"yyyy-mm")</f>
        <v>2024-07</v>
      </c>
    </row>
    <row r="1670" customFormat="false" ht="15" hidden="false" customHeight="true" outlineLevel="0" collapsed="false">
      <c r="A1670" s="1" t="n">
        <v>1705</v>
      </c>
      <c r="B1670" s="1" t="n">
        <v>321</v>
      </c>
      <c r="C1670" s="1" t="n">
        <v>58</v>
      </c>
      <c r="D1670" s="1" t="s">
        <v>1658</v>
      </c>
      <c r="E1670" s="1" t="n">
        <v>7</v>
      </c>
      <c r="F1670" s="1" t="n">
        <v>515.55</v>
      </c>
      <c r="G1670" s="1" t="n">
        <v>0.2</v>
      </c>
      <c r="H1670" s="1" t="s">
        <v>1336</v>
      </c>
      <c r="I1670" s="1" t="n">
        <v>2887.08</v>
      </c>
      <c r="J1670" s="1" t="str">
        <f aca="false">VLOOKUP(B1670,Customers!$A$2:$G$502,6,FALSE())</f>
        <v>Small Business</v>
      </c>
      <c r="K1670" s="1" t="str">
        <f aca="false">VLOOKUP(C1670,Products!$A$2:$E$62,3,FALSE())</f>
        <v>Furniture</v>
      </c>
      <c r="L1670" s="1" t="str">
        <f aca="false">TEXT(D1670,"yyyy-mm")</f>
        <v>2023-02</v>
      </c>
    </row>
    <row r="1671" customFormat="false" ht="15" hidden="false" customHeight="true" outlineLevel="0" collapsed="false">
      <c r="A1671" s="1" t="n">
        <v>1706</v>
      </c>
      <c r="B1671" s="1" t="n">
        <v>4</v>
      </c>
      <c r="C1671" s="1" t="n">
        <v>43</v>
      </c>
      <c r="D1671" s="1" t="s">
        <v>1141</v>
      </c>
      <c r="E1671" s="1" t="n">
        <v>2</v>
      </c>
      <c r="F1671" s="1" t="n">
        <v>186.31</v>
      </c>
      <c r="G1671" s="1" t="n">
        <v>0.05</v>
      </c>
      <c r="H1671" s="1" t="s">
        <v>1336</v>
      </c>
      <c r="I1671" s="1" t="n">
        <v>353.99</v>
      </c>
      <c r="J1671" s="1" t="str">
        <f aca="false">VLOOKUP(B1671,Customers!$A$2:$G$502,6,FALSE())</f>
        <v>Consumer</v>
      </c>
      <c r="K1671" s="1" t="str">
        <f aca="false">VLOOKUP(C1671,Products!$A$2:$E$62,3,FALSE())</f>
        <v>Software</v>
      </c>
      <c r="L1671" s="1" t="str">
        <f aca="false">TEXT(D1671,"yyyy-mm")</f>
        <v>2024-06</v>
      </c>
    </row>
    <row r="1672" customFormat="false" ht="15" hidden="false" customHeight="true" outlineLevel="0" collapsed="false">
      <c r="A1672" s="1" t="n">
        <v>1707</v>
      </c>
      <c r="B1672" s="1" t="n">
        <v>60</v>
      </c>
      <c r="C1672" s="1" t="n">
        <v>54</v>
      </c>
      <c r="D1672" s="1" t="s">
        <v>1424</v>
      </c>
      <c r="E1672" s="1" t="n">
        <v>6</v>
      </c>
      <c r="F1672" s="1" t="n">
        <v>312.01</v>
      </c>
      <c r="G1672" s="1" t="n">
        <v>0.1</v>
      </c>
      <c r="H1672" s="1" t="s">
        <v>1336</v>
      </c>
      <c r="I1672" s="1" t="n">
        <v>1684.85</v>
      </c>
      <c r="J1672" s="1" t="str">
        <f aca="false">VLOOKUP(B1672,Customers!$A$2:$G$502,6,FALSE())</f>
        <v>Corporate</v>
      </c>
      <c r="K1672" s="1" t="str">
        <f aca="false">VLOOKUP(C1672,Products!$A$2:$E$62,3,FALSE())</f>
        <v>Software</v>
      </c>
      <c r="L1672" s="1" t="str">
        <f aca="false">TEXT(D1672,"yyyy-mm")</f>
        <v>2024-02</v>
      </c>
    </row>
    <row r="1673" customFormat="false" ht="15" hidden="false" customHeight="true" outlineLevel="0" collapsed="false">
      <c r="A1673" s="1" t="n">
        <v>1708</v>
      </c>
      <c r="B1673" s="1" t="n">
        <v>422</v>
      </c>
      <c r="C1673" s="1" t="n">
        <v>53</v>
      </c>
      <c r="D1673" s="1" t="s">
        <v>413</v>
      </c>
      <c r="E1673" s="1" t="n">
        <v>1</v>
      </c>
      <c r="F1673" s="1" t="n">
        <v>509.98</v>
      </c>
      <c r="G1673" s="1" t="n">
        <v>0</v>
      </c>
      <c r="H1673" s="1" t="s">
        <v>1370</v>
      </c>
      <c r="I1673" s="1" t="n">
        <v>509.98</v>
      </c>
      <c r="J1673" s="1" t="str">
        <f aca="false">VLOOKUP(B1673,Customers!$A$2:$G$502,6,FALSE())</f>
        <v>Small Business</v>
      </c>
      <c r="K1673" s="1" t="str">
        <f aca="false">VLOOKUP(C1673,Products!$A$2:$E$62,3,FALSE())</f>
        <v>Software</v>
      </c>
      <c r="L1673" s="1" t="str">
        <f aca="false">TEXT(D1673,"yyyy-mm")</f>
        <v>2023-01</v>
      </c>
    </row>
    <row r="1674" customFormat="false" ht="15" hidden="false" customHeight="true" outlineLevel="0" collapsed="false">
      <c r="A1674" s="1" t="n">
        <v>1709</v>
      </c>
      <c r="B1674" s="1" t="n">
        <v>42</v>
      </c>
      <c r="C1674" s="1" t="n">
        <v>19</v>
      </c>
      <c r="D1674" s="1" t="s">
        <v>1216</v>
      </c>
      <c r="E1674" s="1" t="n">
        <v>3</v>
      </c>
      <c r="F1674" s="1" t="n">
        <v>163.64</v>
      </c>
      <c r="G1674" s="1" t="n">
        <v>0.1</v>
      </c>
      <c r="H1674" s="1" t="s">
        <v>1336</v>
      </c>
      <c r="I1674" s="1" t="n">
        <v>441.83</v>
      </c>
      <c r="J1674" s="1" t="str">
        <f aca="false">VLOOKUP(B1674,Customers!$A$2:$G$502,6,FALSE())</f>
        <v>Small Business</v>
      </c>
      <c r="K1674" s="1" t="str">
        <f aca="false">VLOOKUP(C1674,Products!$A$2:$E$62,3,FALSE())</f>
        <v>Office Supplies</v>
      </c>
      <c r="L1674" s="1" t="str">
        <f aca="false">TEXT(D1674,"yyyy-mm")</f>
        <v>2024-10</v>
      </c>
    </row>
    <row r="1675" customFormat="false" ht="15" hidden="false" customHeight="true" outlineLevel="0" collapsed="false">
      <c r="A1675" s="1" t="n">
        <v>1710</v>
      </c>
      <c r="B1675" s="1" t="n">
        <v>91</v>
      </c>
      <c r="C1675" s="1" t="n">
        <v>56</v>
      </c>
      <c r="D1675" s="1" t="s">
        <v>1216</v>
      </c>
      <c r="E1675" s="1" t="n">
        <v>2</v>
      </c>
      <c r="F1675" s="1" t="n">
        <v>160.64</v>
      </c>
      <c r="G1675" s="1" t="n">
        <v>0.1</v>
      </c>
      <c r="H1675" s="1" t="s">
        <v>1336</v>
      </c>
      <c r="I1675" s="1" t="n">
        <v>289.15</v>
      </c>
      <c r="J1675" s="1" t="str">
        <f aca="false">VLOOKUP(B1675,Customers!$A$2:$G$502,6,FALSE())</f>
        <v>Consumer</v>
      </c>
      <c r="K1675" s="1" t="str">
        <f aca="false">VLOOKUP(C1675,Products!$A$2:$E$62,3,FALSE())</f>
        <v>Furniture</v>
      </c>
      <c r="L1675" s="1" t="str">
        <f aca="false">TEXT(D1675,"yyyy-mm")</f>
        <v>2024-10</v>
      </c>
    </row>
    <row r="1676" customFormat="false" ht="15" hidden="false" customHeight="true" outlineLevel="0" collapsed="false">
      <c r="A1676" s="1" t="n">
        <v>1711</v>
      </c>
      <c r="B1676" s="1" t="n">
        <v>74</v>
      </c>
      <c r="C1676" s="1" t="n">
        <v>4</v>
      </c>
      <c r="D1676" s="1" t="s">
        <v>248</v>
      </c>
      <c r="E1676" s="1" t="n">
        <v>7</v>
      </c>
      <c r="F1676" s="1" t="n">
        <v>56.24</v>
      </c>
      <c r="G1676" s="1" t="n">
        <v>0</v>
      </c>
      <c r="H1676" s="1" t="s">
        <v>1336</v>
      </c>
      <c r="I1676" s="1" t="n">
        <v>393.68</v>
      </c>
      <c r="J1676" s="1" t="str">
        <f aca="false">VLOOKUP(B1676,Customers!$A$2:$G$502,6,FALSE())</f>
        <v>Consumer</v>
      </c>
      <c r="K1676" s="1" t="str">
        <f aca="false">VLOOKUP(C1676,Products!$A$2:$E$62,3,FALSE())</f>
        <v>Electronics</v>
      </c>
      <c r="L1676" s="1" t="str">
        <f aca="false">TEXT(D1676,"yyyy-mm")</f>
        <v>2024-01</v>
      </c>
    </row>
    <row r="1677" customFormat="false" ht="15" hidden="false" customHeight="true" outlineLevel="0" collapsed="false">
      <c r="A1677" s="1" t="n">
        <v>1712</v>
      </c>
      <c r="B1677" s="1" t="n">
        <v>307</v>
      </c>
      <c r="C1677" s="1" t="n">
        <v>19</v>
      </c>
      <c r="D1677" s="1" t="s">
        <v>1510</v>
      </c>
      <c r="E1677" s="1" t="n">
        <v>4</v>
      </c>
      <c r="F1677" s="1" t="n">
        <v>163.64</v>
      </c>
      <c r="G1677" s="1" t="n">
        <v>0</v>
      </c>
      <c r="H1677" s="1" t="s">
        <v>1336</v>
      </c>
      <c r="I1677" s="1" t="n">
        <v>654.56</v>
      </c>
      <c r="J1677" s="1" t="str">
        <f aca="false">VLOOKUP(B1677,Customers!$A$2:$G$502,6,FALSE())</f>
        <v>Corporate</v>
      </c>
      <c r="K1677" s="1" t="str">
        <f aca="false">VLOOKUP(C1677,Products!$A$2:$E$62,3,FALSE())</f>
        <v>Office Supplies</v>
      </c>
      <c r="L1677" s="1" t="str">
        <f aca="false">TEXT(D1677,"yyyy-mm")</f>
        <v>2024-02</v>
      </c>
    </row>
    <row r="1678" customFormat="false" ht="15" hidden="false" customHeight="true" outlineLevel="0" collapsed="false">
      <c r="A1678" s="1" t="n">
        <v>1713</v>
      </c>
      <c r="B1678" s="1" t="n">
        <v>391</v>
      </c>
      <c r="C1678" s="1" t="n">
        <v>56</v>
      </c>
      <c r="D1678" s="1" t="s">
        <v>1381</v>
      </c>
      <c r="E1678" s="1" t="n">
        <v>8</v>
      </c>
      <c r="F1678" s="1" t="n">
        <v>160.64</v>
      </c>
      <c r="G1678" s="1" t="n">
        <v>0</v>
      </c>
      <c r="H1678" s="1" t="s">
        <v>1336</v>
      </c>
      <c r="I1678" s="1" t="n">
        <v>1285.12</v>
      </c>
      <c r="J1678" s="1" t="str">
        <f aca="false">VLOOKUP(B1678,Customers!$A$2:$G$502,6,FALSE())</f>
        <v>Small Business</v>
      </c>
      <c r="K1678" s="1" t="str">
        <f aca="false">VLOOKUP(C1678,Products!$A$2:$E$62,3,FALSE())</f>
        <v>Furniture</v>
      </c>
      <c r="L1678" s="1" t="str">
        <f aca="false">TEXT(D1678,"yyyy-mm")</f>
        <v>2024-02</v>
      </c>
    </row>
    <row r="1679" customFormat="false" ht="15" hidden="false" customHeight="true" outlineLevel="0" collapsed="false">
      <c r="A1679" s="1" t="n">
        <v>1714</v>
      </c>
      <c r="B1679" s="1" t="n">
        <v>382</v>
      </c>
      <c r="C1679" s="1" t="n">
        <v>56</v>
      </c>
      <c r="D1679" s="1" t="s">
        <v>1348</v>
      </c>
      <c r="E1679" s="1" t="n">
        <v>6</v>
      </c>
      <c r="F1679" s="1" t="n">
        <v>160.64</v>
      </c>
      <c r="G1679" s="1" t="n">
        <v>0.15</v>
      </c>
      <c r="H1679" s="1" t="s">
        <v>1336</v>
      </c>
      <c r="I1679" s="1" t="n">
        <v>819.26</v>
      </c>
      <c r="J1679" s="1" t="str">
        <f aca="false">VLOOKUP(B1679,Customers!$A$2:$G$502,6,FALSE())</f>
        <v>Corporate</v>
      </c>
      <c r="K1679" s="1" t="str">
        <f aca="false">VLOOKUP(C1679,Products!$A$2:$E$62,3,FALSE())</f>
        <v>Furniture</v>
      </c>
      <c r="L1679" s="1" t="str">
        <f aca="false">TEXT(D1679,"yyyy-mm")</f>
        <v>2024-05</v>
      </c>
    </row>
    <row r="1680" customFormat="false" ht="15" hidden="false" customHeight="true" outlineLevel="0" collapsed="false">
      <c r="A1680" s="1" t="n">
        <v>1715</v>
      </c>
      <c r="B1680" s="1" t="n">
        <v>83</v>
      </c>
      <c r="C1680" s="1" t="n">
        <v>37</v>
      </c>
      <c r="D1680" s="1" t="s">
        <v>1653</v>
      </c>
      <c r="E1680" s="1" t="n">
        <v>4</v>
      </c>
      <c r="F1680" s="1" t="n">
        <v>13.95</v>
      </c>
      <c r="G1680" s="1" t="n">
        <v>0</v>
      </c>
      <c r="H1680" s="1" t="s">
        <v>1336</v>
      </c>
      <c r="I1680" s="1" t="n">
        <v>55.8</v>
      </c>
      <c r="J1680" s="1" t="str">
        <f aca="false">VLOOKUP(B1680,Customers!$A$2:$G$502,6,FALSE())</f>
        <v>Corporate</v>
      </c>
      <c r="K1680" s="1" t="str">
        <f aca="false">VLOOKUP(C1680,Products!$A$2:$E$62,3,FALSE())</f>
        <v>Software</v>
      </c>
      <c r="L1680" s="1" t="str">
        <f aca="false">TEXT(D1680,"yyyy-mm")</f>
        <v>2024-12</v>
      </c>
    </row>
    <row r="1681" customFormat="false" ht="15" hidden="false" customHeight="true" outlineLevel="0" collapsed="false">
      <c r="A1681" s="1" t="n">
        <v>1716</v>
      </c>
      <c r="B1681" s="1" t="n">
        <v>346</v>
      </c>
      <c r="C1681" s="1" t="n">
        <v>35</v>
      </c>
      <c r="D1681" s="1" t="s">
        <v>1467</v>
      </c>
      <c r="E1681" s="1" t="n">
        <v>5</v>
      </c>
      <c r="F1681" s="1" t="n">
        <v>75.78</v>
      </c>
      <c r="G1681" s="1" t="n">
        <v>0</v>
      </c>
      <c r="H1681" s="1" t="s">
        <v>1370</v>
      </c>
      <c r="I1681" s="1" t="n">
        <v>378.9</v>
      </c>
      <c r="J1681" s="1" t="str">
        <f aca="false">VLOOKUP(B1681,Customers!$A$2:$G$502,6,FALSE())</f>
        <v>Consumer</v>
      </c>
      <c r="K1681" s="1" t="str">
        <f aca="false">VLOOKUP(C1681,Products!$A$2:$E$62,3,FALSE())</f>
        <v>Software</v>
      </c>
      <c r="L1681" s="1" t="str">
        <f aca="false">TEXT(D1681,"yyyy-mm")</f>
        <v>2023-09</v>
      </c>
    </row>
    <row r="1682" customFormat="false" ht="15" hidden="false" customHeight="true" outlineLevel="0" collapsed="false">
      <c r="A1682" s="1" t="n">
        <v>1717</v>
      </c>
      <c r="B1682" s="1" t="n">
        <v>68</v>
      </c>
      <c r="C1682" s="1" t="n">
        <v>60</v>
      </c>
      <c r="D1682" s="1" t="s">
        <v>1482</v>
      </c>
      <c r="E1682" s="1" t="n">
        <v>9</v>
      </c>
      <c r="F1682" s="1" t="n">
        <v>584.98</v>
      </c>
      <c r="G1682" s="1" t="n">
        <v>0</v>
      </c>
      <c r="H1682" s="1" t="s">
        <v>1336</v>
      </c>
      <c r="I1682" s="1" t="n">
        <v>5264.82</v>
      </c>
      <c r="J1682" s="1" t="str">
        <f aca="false">VLOOKUP(B1682,Customers!$A$2:$G$502,6,FALSE())</f>
        <v>Corporate</v>
      </c>
      <c r="K1682" s="1" t="str">
        <f aca="false">VLOOKUP(C1682,Products!$A$2:$E$62,3,FALSE())</f>
        <v>Furniture</v>
      </c>
      <c r="L1682" s="1" t="str">
        <f aca="false">TEXT(D1682,"yyyy-mm")</f>
        <v>2023-11</v>
      </c>
    </row>
    <row r="1683" customFormat="false" ht="15" hidden="false" customHeight="true" outlineLevel="0" collapsed="false">
      <c r="A1683" s="1" t="n">
        <v>1718</v>
      </c>
      <c r="B1683" s="1" t="n">
        <v>56</v>
      </c>
      <c r="C1683" s="1" t="n">
        <v>30</v>
      </c>
      <c r="D1683" s="1" t="s">
        <v>1558</v>
      </c>
      <c r="E1683" s="1" t="n">
        <v>7</v>
      </c>
      <c r="F1683" s="1" t="n">
        <v>33.32</v>
      </c>
      <c r="G1683" s="1" t="n">
        <v>0</v>
      </c>
      <c r="H1683" s="1" t="s">
        <v>1336</v>
      </c>
      <c r="I1683" s="1" t="n">
        <v>233.24</v>
      </c>
      <c r="J1683" s="1" t="str">
        <f aca="false">VLOOKUP(B1683,Customers!$A$2:$G$502,6,FALSE())</f>
        <v>Corporate</v>
      </c>
      <c r="K1683" s="1" t="str">
        <f aca="false">VLOOKUP(C1683,Products!$A$2:$E$62,3,FALSE())</f>
        <v>Office Supplies</v>
      </c>
      <c r="L1683" s="1" t="str">
        <f aca="false">TEXT(D1683,"yyyy-mm")</f>
        <v>2024-07</v>
      </c>
    </row>
    <row r="1684" customFormat="false" ht="15" hidden="false" customHeight="true" outlineLevel="0" collapsed="false">
      <c r="A1684" s="1" t="n">
        <v>1719</v>
      </c>
      <c r="B1684" s="1" t="n">
        <v>348</v>
      </c>
      <c r="C1684" s="1" t="n">
        <v>7</v>
      </c>
      <c r="D1684" s="1" t="s">
        <v>34</v>
      </c>
      <c r="E1684" s="1" t="n">
        <v>9</v>
      </c>
      <c r="F1684" s="1" t="n">
        <v>460</v>
      </c>
      <c r="G1684" s="1" t="n">
        <v>0.1</v>
      </c>
      <c r="H1684" s="1" t="s">
        <v>1336</v>
      </c>
      <c r="I1684" s="1" t="n">
        <v>3726</v>
      </c>
      <c r="J1684" s="1" t="str">
        <f aca="false">VLOOKUP(B1684,Customers!$A$2:$G$502,6,FALSE())</f>
        <v>Consumer</v>
      </c>
      <c r="K1684" s="1" t="str">
        <f aca="false">VLOOKUP(C1684,Products!$A$2:$E$62,3,FALSE())</f>
        <v>Electronics</v>
      </c>
      <c r="L1684" s="1" t="str">
        <f aca="false">TEXT(D1684,"yyyy-mm")</f>
        <v>2023-03</v>
      </c>
    </row>
    <row r="1685" customFormat="false" ht="15" hidden="false" customHeight="true" outlineLevel="0" collapsed="false">
      <c r="A1685" s="1" t="n">
        <v>1720</v>
      </c>
      <c r="B1685" s="1" t="n">
        <v>423</v>
      </c>
      <c r="C1685" s="1" t="n">
        <v>33</v>
      </c>
      <c r="D1685" s="1" t="s">
        <v>1401</v>
      </c>
      <c r="E1685" s="1" t="n">
        <v>7</v>
      </c>
      <c r="F1685" s="1" t="n">
        <v>190.1</v>
      </c>
      <c r="G1685" s="1" t="n">
        <v>0</v>
      </c>
      <c r="H1685" s="1" t="s">
        <v>1336</v>
      </c>
      <c r="I1685" s="1" t="n">
        <v>1330.7</v>
      </c>
      <c r="J1685" s="1" t="str">
        <f aca="false">VLOOKUP(B1685,Customers!$A$2:$G$502,6,FALSE())</f>
        <v>Small Business</v>
      </c>
      <c r="K1685" s="1" t="str">
        <f aca="false">VLOOKUP(C1685,Products!$A$2:$E$62,3,FALSE())</f>
        <v>Office Supplies</v>
      </c>
      <c r="L1685" s="1" t="str">
        <f aca="false">TEXT(D1685,"yyyy-mm")</f>
        <v>2024-11</v>
      </c>
    </row>
    <row r="1686" customFormat="false" ht="15" hidden="false" customHeight="true" outlineLevel="0" collapsed="false">
      <c r="A1686" s="1" t="n">
        <v>1721</v>
      </c>
      <c r="B1686" s="1" t="n">
        <v>63</v>
      </c>
      <c r="C1686" s="1" t="n">
        <v>13</v>
      </c>
      <c r="D1686" s="1" t="s">
        <v>18</v>
      </c>
      <c r="E1686" s="1" t="n">
        <v>1</v>
      </c>
      <c r="F1686" s="1" t="n">
        <v>352.54</v>
      </c>
      <c r="G1686" s="1" t="n">
        <v>0.05</v>
      </c>
      <c r="H1686" s="1" t="s">
        <v>1336</v>
      </c>
      <c r="I1686" s="1" t="n">
        <v>334.91</v>
      </c>
      <c r="J1686" s="1" t="str">
        <f aca="false">VLOOKUP(B1686,Customers!$A$2:$G$502,6,FALSE())</f>
        <v>Consumer</v>
      </c>
      <c r="K1686" s="1" t="str">
        <f aca="false">VLOOKUP(C1686,Products!$A$2:$E$62,3,FALSE())</f>
        <v>Electronics</v>
      </c>
      <c r="L1686" s="1" t="str">
        <f aca="false">TEXT(D1686,"yyyy-mm")</f>
        <v>2023-08</v>
      </c>
    </row>
    <row r="1687" customFormat="false" ht="15" hidden="false" customHeight="true" outlineLevel="0" collapsed="false">
      <c r="A1687" s="1" t="n">
        <v>1722</v>
      </c>
      <c r="B1687" s="1" t="n">
        <v>26</v>
      </c>
      <c r="C1687" s="1" t="n">
        <v>47</v>
      </c>
      <c r="D1687" s="1" t="s">
        <v>1418</v>
      </c>
      <c r="E1687" s="1" t="n">
        <v>8</v>
      </c>
      <c r="F1687" s="1" t="n">
        <v>506.19</v>
      </c>
      <c r="G1687" s="1" t="n">
        <v>0.2</v>
      </c>
      <c r="H1687" s="1" t="s">
        <v>1336</v>
      </c>
      <c r="I1687" s="1" t="n">
        <v>3239.62</v>
      </c>
      <c r="J1687" s="1" t="str">
        <f aca="false">VLOOKUP(B1687,Customers!$A$2:$G$502,6,FALSE())</f>
        <v>Consumer</v>
      </c>
      <c r="K1687" s="1" t="str">
        <f aca="false">VLOOKUP(C1687,Products!$A$2:$E$62,3,FALSE())</f>
        <v>Software</v>
      </c>
      <c r="L1687" s="1" t="str">
        <f aca="false">TEXT(D1687,"yyyy-mm")</f>
        <v>2023-06</v>
      </c>
    </row>
    <row r="1688" customFormat="false" ht="15" hidden="false" customHeight="true" outlineLevel="0" collapsed="false">
      <c r="A1688" s="1" t="n">
        <v>1723</v>
      </c>
      <c r="B1688" s="1" t="n">
        <v>23</v>
      </c>
      <c r="C1688" s="1" t="n">
        <v>53</v>
      </c>
      <c r="D1688" s="1" t="s">
        <v>1352</v>
      </c>
      <c r="E1688" s="1" t="n">
        <v>4</v>
      </c>
      <c r="F1688" s="1" t="n">
        <v>509.98</v>
      </c>
      <c r="G1688" s="1" t="n">
        <v>0.05</v>
      </c>
      <c r="H1688" s="1" t="s">
        <v>1336</v>
      </c>
      <c r="I1688" s="1" t="n">
        <v>1937.92</v>
      </c>
      <c r="J1688" s="1" t="str">
        <f aca="false">VLOOKUP(B1688,Customers!$A$2:$G$502,6,FALSE())</f>
        <v>Corporate</v>
      </c>
      <c r="K1688" s="1" t="str">
        <f aca="false">VLOOKUP(C1688,Products!$A$2:$E$62,3,FALSE())</f>
        <v>Software</v>
      </c>
      <c r="L1688" s="1" t="str">
        <f aca="false">TEXT(D1688,"yyyy-mm")</f>
        <v>2023-04</v>
      </c>
    </row>
    <row r="1689" customFormat="false" ht="15" hidden="false" customHeight="true" outlineLevel="0" collapsed="false">
      <c r="A1689" s="1" t="n">
        <v>1724</v>
      </c>
      <c r="B1689" s="1" t="n">
        <v>129</v>
      </c>
      <c r="C1689" s="1" t="n">
        <v>54</v>
      </c>
      <c r="D1689" s="1" t="s">
        <v>29</v>
      </c>
      <c r="E1689" s="1" t="n">
        <v>3</v>
      </c>
      <c r="F1689" s="1" t="n">
        <v>312.01</v>
      </c>
      <c r="G1689" s="1" t="n">
        <v>0.05</v>
      </c>
      <c r="H1689" s="1" t="s">
        <v>1336</v>
      </c>
      <c r="I1689" s="1" t="n">
        <v>889.23</v>
      </c>
      <c r="J1689" s="1" t="str">
        <f aca="false">VLOOKUP(B1689,Customers!$A$2:$G$502,6,FALSE())</f>
        <v>Corporate</v>
      </c>
      <c r="K1689" s="1" t="str">
        <f aca="false">VLOOKUP(C1689,Products!$A$2:$E$62,3,FALSE())</f>
        <v>Software</v>
      </c>
      <c r="L1689" s="1" t="str">
        <f aca="false">TEXT(D1689,"yyyy-mm")</f>
        <v>2023-04</v>
      </c>
    </row>
    <row r="1690" customFormat="false" ht="15" hidden="false" customHeight="true" outlineLevel="0" collapsed="false">
      <c r="A1690" s="1" t="n">
        <v>1725</v>
      </c>
      <c r="B1690" s="1" t="n">
        <v>405</v>
      </c>
      <c r="C1690" s="1" t="n">
        <v>32</v>
      </c>
      <c r="D1690" s="1" t="s">
        <v>427</v>
      </c>
      <c r="E1690" s="1" t="n">
        <v>7</v>
      </c>
      <c r="F1690" s="1" t="n">
        <v>492.27</v>
      </c>
      <c r="G1690" s="1" t="n">
        <v>0</v>
      </c>
      <c r="H1690" s="1" t="s">
        <v>1336</v>
      </c>
      <c r="I1690" s="1" t="n">
        <v>3445.89</v>
      </c>
      <c r="J1690" s="1" t="str">
        <f aca="false">VLOOKUP(B1690,Customers!$A$2:$G$502,6,FALSE())</f>
        <v>Small Business</v>
      </c>
      <c r="K1690" s="1" t="str">
        <f aca="false">VLOOKUP(C1690,Products!$A$2:$E$62,3,FALSE())</f>
        <v>Office Supplies</v>
      </c>
      <c r="L1690" s="1" t="str">
        <f aca="false">TEXT(D1690,"yyyy-mm")</f>
        <v>2024-11</v>
      </c>
    </row>
    <row r="1691" customFormat="false" ht="15" hidden="false" customHeight="true" outlineLevel="0" collapsed="false">
      <c r="A1691" s="1" t="n">
        <v>1726</v>
      </c>
      <c r="B1691" s="1" t="n">
        <v>48</v>
      </c>
      <c r="C1691" s="1" t="n">
        <v>57</v>
      </c>
      <c r="D1691" s="1" t="s">
        <v>1348</v>
      </c>
      <c r="E1691" s="1" t="n">
        <v>3</v>
      </c>
      <c r="F1691" s="1" t="n">
        <v>719.76</v>
      </c>
      <c r="G1691" s="1" t="n">
        <v>0.2</v>
      </c>
      <c r="H1691" s="1" t="s">
        <v>1336</v>
      </c>
      <c r="I1691" s="1" t="n">
        <v>1727.42</v>
      </c>
      <c r="J1691" s="1" t="str">
        <f aca="false">VLOOKUP(B1691,Customers!$A$2:$G$502,6,FALSE())</f>
        <v>Small Business</v>
      </c>
      <c r="K1691" s="1" t="str">
        <f aca="false">VLOOKUP(C1691,Products!$A$2:$E$62,3,FALSE())</f>
        <v>Furniture</v>
      </c>
      <c r="L1691" s="1" t="str">
        <f aca="false">TEXT(D1691,"yyyy-mm")</f>
        <v>2024-05</v>
      </c>
    </row>
    <row r="1692" customFormat="false" ht="15" hidden="false" customHeight="true" outlineLevel="0" collapsed="false">
      <c r="A1692" s="1" t="n">
        <v>1727</v>
      </c>
      <c r="B1692" s="1" t="n">
        <v>266</v>
      </c>
      <c r="C1692" s="1" t="n">
        <v>60</v>
      </c>
      <c r="D1692" s="1" t="s">
        <v>120</v>
      </c>
      <c r="E1692" s="1" t="n">
        <v>8</v>
      </c>
      <c r="F1692" s="1" t="n">
        <v>584.98</v>
      </c>
      <c r="G1692" s="1" t="n">
        <v>0</v>
      </c>
      <c r="H1692" s="1" t="s">
        <v>1336</v>
      </c>
      <c r="I1692" s="1" t="n">
        <v>4679.84</v>
      </c>
      <c r="J1692" s="1" t="str">
        <f aca="false">VLOOKUP(B1692,Customers!$A$2:$G$502,6,FALSE())</f>
        <v>Corporate</v>
      </c>
      <c r="K1692" s="1" t="str">
        <f aca="false">VLOOKUP(C1692,Products!$A$2:$E$62,3,FALSE())</f>
        <v>Furniture</v>
      </c>
      <c r="L1692" s="1" t="str">
        <f aca="false">TEXT(D1692,"yyyy-mm")</f>
        <v>2024-03</v>
      </c>
    </row>
    <row r="1693" customFormat="false" ht="15" hidden="false" customHeight="true" outlineLevel="0" collapsed="false">
      <c r="A1693" s="1" t="n">
        <v>1728</v>
      </c>
      <c r="B1693" s="1" t="n">
        <v>352</v>
      </c>
      <c r="C1693" s="1" t="n">
        <v>39</v>
      </c>
      <c r="D1693" s="1" t="s">
        <v>130</v>
      </c>
      <c r="E1693" s="1" t="n">
        <v>6</v>
      </c>
      <c r="F1693" s="1" t="n">
        <v>400.02</v>
      </c>
      <c r="G1693" s="1" t="n">
        <v>0</v>
      </c>
      <c r="H1693" s="1" t="s">
        <v>1336</v>
      </c>
      <c r="I1693" s="1" t="n">
        <v>2400.12</v>
      </c>
      <c r="J1693" s="1" t="str">
        <f aca="false">VLOOKUP(B1693,Customers!$A$2:$G$502,6,FALSE())</f>
        <v>Corporate</v>
      </c>
      <c r="K1693" s="1" t="str">
        <f aca="false">VLOOKUP(C1693,Products!$A$2:$E$62,3,FALSE())</f>
        <v>Software</v>
      </c>
      <c r="L1693" s="1" t="str">
        <f aca="false">TEXT(D1693,"yyyy-mm")</f>
        <v>2024-03</v>
      </c>
    </row>
    <row r="1694" customFormat="false" ht="15" hidden="false" customHeight="true" outlineLevel="0" collapsed="false">
      <c r="A1694" s="1" t="n">
        <v>1729</v>
      </c>
      <c r="B1694" s="1" t="n">
        <v>125</v>
      </c>
      <c r="C1694" s="1" t="n">
        <v>57</v>
      </c>
      <c r="D1694" s="1" t="s">
        <v>356</v>
      </c>
      <c r="E1694" s="1" t="n">
        <v>5</v>
      </c>
      <c r="F1694" s="1" t="n">
        <v>719.76</v>
      </c>
      <c r="G1694" s="1" t="n">
        <v>0.2</v>
      </c>
      <c r="H1694" s="1" t="s">
        <v>1336</v>
      </c>
      <c r="I1694" s="1" t="n">
        <v>2879.04</v>
      </c>
      <c r="J1694" s="1" t="str">
        <f aca="false">VLOOKUP(B1694,Customers!$A$2:$G$502,6,FALSE())</f>
        <v>Small Business</v>
      </c>
      <c r="K1694" s="1" t="str">
        <f aca="false">VLOOKUP(C1694,Products!$A$2:$E$62,3,FALSE())</f>
        <v>Furniture</v>
      </c>
      <c r="L1694" s="1" t="str">
        <f aca="false">TEXT(D1694,"yyyy-mm")</f>
        <v>2023-04</v>
      </c>
    </row>
    <row r="1695" customFormat="false" ht="15" hidden="false" customHeight="true" outlineLevel="0" collapsed="false">
      <c r="A1695" s="1" t="n">
        <v>1730</v>
      </c>
      <c r="B1695" s="1" t="n">
        <v>174</v>
      </c>
      <c r="C1695" s="1" t="n">
        <v>15</v>
      </c>
      <c r="D1695" s="1" t="s">
        <v>980</v>
      </c>
      <c r="E1695" s="1" t="n">
        <v>4</v>
      </c>
      <c r="F1695" s="1" t="n">
        <v>304.95</v>
      </c>
      <c r="G1695" s="1" t="n">
        <v>0.2</v>
      </c>
      <c r="H1695" s="1" t="s">
        <v>1336</v>
      </c>
      <c r="I1695" s="1" t="n">
        <v>975.84</v>
      </c>
      <c r="J1695" s="1" t="str">
        <f aca="false">VLOOKUP(B1695,Customers!$A$2:$G$502,6,FALSE())</f>
        <v>Small Business</v>
      </c>
      <c r="K1695" s="1" t="str">
        <f aca="false">VLOOKUP(C1695,Products!$A$2:$E$62,3,FALSE())</f>
        <v>Electronics</v>
      </c>
      <c r="L1695" s="1" t="str">
        <f aca="false">TEXT(D1695,"yyyy-mm")</f>
        <v>2024-08</v>
      </c>
    </row>
    <row r="1696" customFormat="false" ht="15" hidden="false" customHeight="true" outlineLevel="0" collapsed="false">
      <c r="A1696" s="1" t="n">
        <v>1731</v>
      </c>
      <c r="B1696" s="1" t="n">
        <v>279</v>
      </c>
      <c r="C1696" s="1" t="n">
        <v>47</v>
      </c>
      <c r="D1696" s="1" t="s">
        <v>1244</v>
      </c>
      <c r="E1696" s="1" t="n">
        <v>8</v>
      </c>
      <c r="F1696" s="1" t="n">
        <v>506.19</v>
      </c>
      <c r="G1696" s="1" t="n">
        <v>0.05</v>
      </c>
      <c r="H1696" s="1" t="s">
        <v>1336</v>
      </c>
      <c r="I1696" s="1" t="n">
        <v>3847.04</v>
      </c>
      <c r="J1696" s="1" t="str">
        <f aca="false">VLOOKUP(B1696,Customers!$A$2:$G$502,6,FALSE())</f>
        <v>Unknown</v>
      </c>
      <c r="K1696" s="1" t="str">
        <f aca="false">VLOOKUP(C1696,Products!$A$2:$E$62,3,FALSE())</f>
        <v>Software</v>
      </c>
      <c r="L1696" s="1" t="str">
        <f aca="false">TEXT(D1696,"yyyy-mm")</f>
        <v>2024-10</v>
      </c>
    </row>
    <row r="1697" customFormat="false" ht="15" hidden="false" customHeight="true" outlineLevel="0" collapsed="false">
      <c r="A1697" s="1" t="n">
        <v>1732</v>
      </c>
      <c r="B1697" s="1" t="n">
        <v>32</v>
      </c>
      <c r="C1697" s="1" t="n">
        <v>26</v>
      </c>
      <c r="D1697" s="1" t="s">
        <v>1647</v>
      </c>
      <c r="E1697" s="1" t="n">
        <v>8</v>
      </c>
      <c r="F1697" s="1" t="n">
        <v>733.85</v>
      </c>
      <c r="G1697" s="1" t="n">
        <v>0</v>
      </c>
      <c r="H1697" s="1" t="s">
        <v>1346</v>
      </c>
      <c r="I1697" s="1" t="n">
        <v>5870.8</v>
      </c>
      <c r="J1697" s="1" t="str">
        <f aca="false">VLOOKUP(B1697,Customers!$A$2:$G$502,6,FALSE())</f>
        <v>Small Business</v>
      </c>
      <c r="K1697" s="1" t="str">
        <f aca="false">VLOOKUP(C1697,Products!$A$2:$E$62,3,FALSE())</f>
        <v>Office Supplies</v>
      </c>
      <c r="L1697" s="1" t="str">
        <f aca="false">TEXT(D1697,"yyyy-mm")</f>
        <v>2024-05</v>
      </c>
    </row>
    <row r="1698" customFormat="false" ht="15" hidden="false" customHeight="true" outlineLevel="0" collapsed="false">
      <c r="A1698" s="1" t="n">
        <v>1733</v>
      </c>
      <c r="B1698" s="1" t="n">
        <v>8</v>
      </c>
      <c r="C1698" s="1" t="n">
        <v>24</v>
      </c>
      <c r="D1698" s="1" t="s">
        <v>1659</v>
      </c>
      <c r="E1698" s="1" t="n">
        <v>1</v>
      </c>
      <c r="F1698" s="1" t="n">
        <v>207.34</v>
      </c>
      <c r="G1698" s="1" t="n">
        <v>0.05</v>
      </c>
      <c r="H1698" s="1" t="s">
        <v>1336</v>
      </c>
      <c r="I1698" s="1" t="n">
        <v>196.97</v>
      </c>
      <c r="J1698" s="1" t="str">
        <f aca="false">VLOOKUP(B1698,Customers!$A$2:$G$502,6,FALSE())</f>
        <v>Consumer</v>
      </c>
      <c r="K1698" s="1" t="str">
        <f aca="false">VLOOKUP(C1698,Products!$A$2:$E$62,3,FALSE())</f>
        <v>Office Supplies</v>
      </c>
      <c r="L1698" s="1" t="str">
        <f aca="false">TEXT(D1698,"yyyy-mm")</f>
        <v>2023-01</v>
      </c>
    </row>
    <row r="1699" customFormat="false" ht="15" hidden="false" customHeight="true" outlineLevel="0" collapsed="false">
      <c r="A1699" s="1" t="n">
        <v>1734</v>
      </c>
      <c r="B1699" s="1" t="n">
        <v>323</v>
      </c>
      <c r="C1699" s="1" t="n">
        <v>23</v>
      </c>
      <c r="D1699" s="1" t="s">
        <v>527</v>
      </c>
      <c r="E1699" s="1" t="n">
        <v>9</v>
      </c>
      <c r="F1699" s="1" t="n">
        <v>188.73</v>
      </c>
      <c r="G1699" s="1" t="n">
        <v>0.15</v>
      </c>
      <c r="H1699" s="1" t="s">
        <v>1336</v>
      </c>
      <c r="I1699" s="1" t="n">
        <v>1443.78</v>
      </c>
      <c r="J1699" s="1" t="str">
        <f aca="false">VLOOKUP(B1699,Customers!$A$2:$G$502,6,FALSE())</f>
        <v>Consumer</v>
      </c>
      <c r="K1699" s="1" t="str">
        <f aca="false">VLOOKUP(C1699,Products!$A$2:$E$62,3,FALSE())</f>
        <v>Office Supplies</v>
      </c>
      <c r="L1699" s="1" t="str">
        <f aca="false">TEXT(D1699,"yyyy-mm")</f>
        <v>2023-12</v>
      </c>
    </row>
    <row r="1700" customFormat="false" ht="15" hidden="false" customHeight="true" outlineLevel="0" collapsed="false">
      <c r="A1700" s="1" t="n">
        <v>1735</v>
      </c>
      <c r="B1700" s="1" t="n">
        <v>8</v>
      </c>
      <c r="C1700" s="1" t="n">
        <v>50</v>
      </c>
      <c r="D1700" s="1" t="s">
        <v>1408</v>
      </c>
      <c r="E1700" s="1" t="n">
        <v>5</v>
      </c>
      <c r="F1700" s="1" t="n">
        <v>19.73</v>
      </c>
      <c r="G1700" s="1" t="n">
        <v>0.1</v>
      </c>
      <c r="H1700" s="1" t="s">
        <v>1370</v>
      </c>
      <c r="I1700" s="1" t="n">
        <v>88.79</v>
      </c>
      <c r="J1700" s="1" t="str">
        <f aca="false">VLOOKUP(B1700,Customers!$A$2:$G$502,6,FALSE())</f>
        <v>Consumer</v>
      </c>
      <c r="K1700" s="1" t="str">
        <f aca="false">VLOOKUP(C1700,Products!$A$2:$E$62,3,FALSE())</f>
        <v>Software</v>
      </c>
      <c r="L1700" s="1" t="str">
        <f aca="false">TEXT(D1700,"yyyy-mm")</f>
        <v>2023-12</v>
      </c>
    </row>
    <row r="1701" customFormat="false" ht="15" hidden="false" customHeight="true" outlineLevel="0" collapsed="false">
      <c r="A1701" s="1" t="n">
        <v>1736</v>
      </c>
      <c r="B1701" s="1" t="n">
        <v>77</v>
      </c>
      <c r="C1701" s="1" t="n">
        <v>47</v>
      </c>
      <c r="D1701" s="1" t="s">
        <v>697</v>
      </c>
      <c r="E1701" s="1" t="n">
        <v>4</v>
      </c>
      <c r="F1701" s="1" t="n">
        <v>506.19</v>
      </c>
      <c r="G1701" s="1" t="n">
        <v>0.1</v>
      </c>
      <c r="H1701" s="1" t="s">
        <v>1336</v>
      </c>
      <c r="I1701" s="1" t="n">
        <v>1822.28</v>
      </c>
      <c r="J1701" s="1" t="str">
        <f aca="false">VLOOKUP(B1701,Customers!$A$2:$G$502,6,FALSE())</f>
        <v>Consumer</v>
      </c>
      <c r="K1701" s="1" t="str">
        <f aca="false">VLOOKUP(C1701,Products!$A$2:$E$62,3,FALSE())</f>
        <v>Software</v>
      </c>
      <c r="L1701" s="1" t="str">
        <f aca="false">TEXT(D1701,"yyyy-mm")</f>
        <v>2023-03</v>
      </c>
    </row>
    <row r="1702" customFormat="false" ht="15" hidden="false" customHeight="true" outlineLevel="0" collapsed="false">
      <c r="A1702" s="1" t="n">
        <v>1737</v>
      </c>
      <c r="B1702" s="1" t="n">
        <v>168</v>
      </c>
      <c r="C1702" s="1" t="n">
        <v>37</v>
      </c>
      <c r="D1702" s="1" t="s">
        <v>1509</v>
      </c>
      <c r="E1702" s="1" t="n">
        <v>6</v>
      </c>
      <c r="F1702" s="1" t="n">
        <v>13.95</v>
      </c>
      <c r="G1702" s="1" t="n">
        <v>0.05</v>
      </c>
      <c r="H1702" s="1" t="s">
        <v>1336</v>
      </c>
      <c r="I1702" s="1" t="n">
        <v>79.51</v>
      </c>
      <c r="J1702" s="1" t="str">
        <f aca="false">VLOOKUP(B1702,Customers!$A$2:$G$502,6,FALSE())</f>
        <v>Consumer</v>
      </c>
      <c r="K1702" s="1" t="str">
        <f aca="false">VLOOKUP(C1702,Products!$A$2:$E$62,3,FALSE())</f>
        <v>Software</v>
      </c>
      <c r="L1702" s="1" t="str">
        <f aca="false">TEXT(D1702,"yyyy-mm")</f>
        <v>2024-02</v>
      </c>
    </row>
    <row r="1703" customFormat="false" ht="15" hidden="false" customHeight="true" outlineLevel="0" collapsed="false">
      <c r="A1703" s="1" t="n">
        <v>1738</v>
      </c>
      <c r="B1703" s="1" t="n">
        <v>350</v>
      </c>
      <c r="C1703" s="1" t="n">
        <v>18</v>
      </c>
      <c r="D1703" s="1" t="s">
        <v>1267</v>
      </c>
      <c r="E1703" s="1" t="n">
        <v>6</v>
      </c>
      <c r="F1703" s="1" t="n">
        <v>747.34</v>
      </c>
      <c r="G1703" s="1" t="n">
        <v>0.05</v>
      </c>
      <c r="H1703" s="1" t="s">
        <v>1336</v>
      </c>
      <c r="I1703" s="1" t="n">
        <v>4259.84</v>
      </c>
      <c r="J1703" s="1" t="str">
        <f aca="false">VLOOKUP(B1703,Customers!$A$2:$G$502,6,FALSE())</f>
        <v>Consumer</v>
      </c>
      <c r="K1703" s="1" t="str">
        <f aca="false">VLOOKUP(C1703,Products!$A$2:$E$62,3,FALSE())</f>
        <v>Electronics</v>
      </c>
      <c r="L1703" s="1" t="str">
        <f aca="false">TEXT(D1703,"yyyy-mm")</f>
        <v>2023-08</v>
      </c>
    </row>
    <row r="1704" customFormat="false" ht="15" hidden="false" customHeight="true" outlineLevel="0" collapsed="false">
      <c r="A1704" s="1" t="n">
        <v>1739</v>
      </c>
      <c r="B1704" s="1" t="n">
        <v>488</v>
      </c>
      <c r="C1704" s="1" t="n">
        <v>11</v>
      </c>
      <c r="D1704" s="1" t="s">
        <v>320</v>
      </c>
      <c r="E1704" s="1" t="n">
        <v>2</v>
      </c>
      <c r="F1704" s="1" t="n">
        <v>328.39</v>
      </c>
      <c r="G1704" s="1" t="n">
        <v>0</v>
      </c>
      <c r="H1704" s="1" t="s">
        <v>1336</v>
      </c>
      <c r="I1704" s="1" t="n">
        <v>656.78</v>
      </c>
      <c r="J1704" s="1" t="str">
        <f aca="false">VLOOKUP(B1704,Customers!$A$2:$G$502,6,FALSE())</f>
        <v>Consumer</v>
      </c>
      <c r="K1704" s="1" t="str">
        <f aca="false">VLOOKUP(C1704,Products!$A$2:$E$62,3,FALSE())</f>
        <v>Electronics</v>
      </c>
      <c r="L1704" s="1" t="str">
        <f aca="false">TEXT(D1704,"yyyy-mm")</f>
        <v>2023-05</v>
      </c>
    </row>
    <row r="1705" customFormat="false" ht="15" hidden="false" customHeight="true" outlineLevel="0" collapsed="false">
      <c r="A1705" s="1" t="n">
        <v>1740</v>
      </c>
      <c r="B1705" s="1" t="n">
        <v>118</v>
      </c>
      <c r="C1705" s="1" t="n">
        <v>43</v>
      </c>
      <c r="D1705" s="1" t="s">
        <v>112</v>
      </c>
      <c r="E1705" s="1" t="n">
        <v>8</v>
      </c>
      <c r="F1705" s="1" t="n">
        <v>186.31</v>
      </c>
      <c r="G1705" s="1" t="n">
        <v>0.05</v>
      </c>
      <c r="H1705" s="1" t="s">
        <v>1370</v>
      </c>
      <c r="I1705" s="1" t="n">
        <v>1415.96</v>
      </c>
      <c r="J1705" s="1" t="str">
        <f aca="false">VLOOKUP(B1705,Customers!$A$2:$G$502,6,FALSE())</f>
        <v>Small Business</v>
      </c>
      <c r="K1705" s="1" t="str">
        <f aca="false">VLOOKUP(C1705,Products!$A$2:$E$62,3,FALSE())</f>
        <v>Software</v>
      </c>
      <c r="L1705" s="1" t="str">
        <f aca="false">TEXT(D1705,"yyyy-mm")</f>
        <v>2024-07</v>
      </c>
    </row>
    <row r="1706" customFormat="false" ht="15" hidden="false" customHeight="true" outlineLevel="0" collapsed="false">
      <c r="A1706" s="1" t="n">
        <v>1741</v>
      </c>
      <c r="B1706" s="1" t="n">
        <v>150</v>
      </c>
      <c r="C1706" s="1" t="n">
        <v>42</v>
      </c>
      <c r="D1706" s="1" t="s">
        <v>138</v>
      </c>
      <c r="E1706" s="1" t="n">
        <v>7</v>
      </c>
      <c r="F1706" s="1" t="n">
        <v>174.48</v>
      </c>
      <c r="G1706" s="1" t="n">
        <v>0</v>
      </c>
      <c r="H1706" s="1" t="s">
        <v>1346</v>
      </c>
      <c r="I1706" s="1" t="n">
        <v>1221.36</v>
      </c>
      <c r="J1706" s="1" t="str">
        <f aca="false">VLOOKUP(B1706,Customers!$A$2:$G$502,6,FALSE())</f>
        <v>Corporate</v>
      </c>
      <c r="K1706" s="1" t="str">
        <f aca="false">VLOOKUP(C1706,Products!$A$2:$E$62,3,FALSE())</f>
        <v>Software</v>
      </c>
      <c r="L1706" s="1" t="str">
        <f aca="false">TEXT(D1706,"yyyy-mm")</f>
        <v>2023-05</v>
      </c>
    </row>
    <row r="1707" customFormat="false" ht="15" hidden="false" customHeight="true" outlineLevel="0" collapsed="false">
      <c r="A1707" s="1" t="n">
        <v>1742</v>
      </c>
      <c r="B1707" s="1" t="n">
        <v>323</v>
      </c>
      <c r="C1707" s="1" t="n">
        <v>5</v>
      </c>
      <c r="D1707" s="1" t="s">
        <v>1162</v>
      </c>
      <c r="E1707" s="1" t="n">
        <v>1</v>
      </c>
      <c r="F1707" s="1" t="n">
        <v>439.06</v>
      </c>
      <c r="G1707" s="1" t="n">
        <v>0</v>
      </c>
      <c r="H1707" s="1" t="s">
        <v>1336</v>
      </c>
      <c r="I1707" s="1" t="n">
        <v>439.06</v>
      </c>
      <c r="J1707" s="1" t="str">
        <f aca="false">VLOOKUP(B1707,Customers!$A$2:$G$502,6,FALSE())</f>
        <v>Consumer</v>
      </c>
      <c r="K1707" s="1" t="str">
        <f aca="false">VLOOKUP(C1707,Products!$A$2:$E$62,3,FALSE())</f>
        <v>Electronics</v>
      </c>
      <c r="L1707" s="1" t="str">
        <f aca="false">TEXT(D1707,"yyyy-mm")</f>
        <v>2024-10</v>
      </c>
    </row>
    <row r="1708" customFormat="false" ht="15" hidden="false" customHeight="true" outlineLevel="0" collapsed="false">
      <c r="A1708" s="1" t="n">
        <v>1743</v>
      </c>
      <c r="B1708" s="1" t="n">
        <v>415</v>
      </c>
      <c r="C1708" s="1" t="n">
        <v>49</v>
      </c>
      <c r="D1708" s="1" t="s">
        <v>328</v>
      </c>
      <c r="E1708" s="1" t="n">
        <v>5</v>
      </c>
      <c r="F1708" s="1" t="n">
        <v>325.17</v>
      </c>
      <c r="G1708" s="1" t="n">
        <v>0.15</v>
      </c>
      <c r="H1708" s="1" t="s">
        <v>1336</v>
      </c>
      <c r="I1708" s="1" t="n">
        <v>1381.97</v>
      </c>
      <c r="J1708" s="1" t="str">
        <f aca="false">VLOOKUP(B1708,Customers!$A$2:$G$502,6,FALSE())</f>
        <v>Consumer</v>
      </c>
      <c r="K1708" s="1" t="str">
        <f aca="false">VLOOKUP(C1708,Products!$A$2:$E$62,3,FALSE())</f>
        <v>Software</v>
      </c>
      <c r="L1708" s="1" t="str">
        <f aca="false">TEXT(D1708,"yyyy-mm")</f>
        <v>2023-02</v>
      </c>
    </row>
    <row r="1709" customFormat="false" ht="15" hidden="false" customHeight="true" outlineLevel="0" collapsed="false">
      <c r="A1709" s="1" t="n">
        <v>1744</v>
      </c>
      <c r="B1709" s="1" t="n">
        <v>279</v>
      </c>
      <c r="C1709" s="1" t="n">
        <v>26</v>
      </c>
      <c r="D1709" s="1" t="s">
        <v>1641</v>
      </c>
      <c r="E1709" s="1" t="n">
        <v>6</v>
      </c>
      <c r="F1709" s="1" t="n">
        <v>733.85</v>
      </c>
      <c r="G1709" s="1" t="n">
        <v>0.05</v>
      </c>
      <c r="H1709" s="1" t="s">
        <v>1336</v>
      </c>
      <c r="I1709" s="1" t="n">
        <v>4182.94</v>
      </c>
      <c r="J1709" s="1" t="str">
        <f aca="false">VLOOKUP(B1709,Customers!$A$2:$G$502,6,FALSE())</f>
        <v>Unknown</v>
      </c>
      <c r="K1709" s="1" t="str">
        <f aca="false">VLOOKUP(C1709,Products!$A$2:$E$62,3,FALSE())</f>
        <v>Office Supplies</v>
      </c>
      <c r="L1709" s="1" t="str">
        <f aca="false">TEXT(D1709,"yyyy-mm")</f>
        <v>2024-04</v>
      </c>
    </row>
    <row r="1710" customFormat="false" ht="15" hidden="false" customHeight="true" outlineLevel="0" collapsed="false">
      <c r="A1710" s="1" t="n">
        <v>1745</v>
      </c>
      <c r="B1710" s="1" t="n">
        <v>479</v>
      </c>
      <c r="C1710" s="1" t="n">
        <v>40</v>
      </c>
      <c r="D1710" s="1" t="s">
        <v>387</v>
      </c>
      <c r="E1710" s="1" t="n">
        <v>4</v>
      </c>
      <c r="F1710" s="1" t="n">
        <v>193.02</v>
      </c>
      <c r="G1710" s="1" t="n">
        <v>0</v>
      </c>
      <c r="H1710" s="1" t="s">
        <v>1336</v>
      </c>
      <c r="I1710" s="1" t="n">
        <v>772.08</v>
      </c>
      <c r="J1710" s="1" t="str">
        <f aca="false">VLOOKUP(B1710,Customers!$A$2:$G$502,6,FALSE())</f>
        <v>Small Business</v>
      </c>
      <c r="K1710" s="1" t="str">
        <f aca="false">VLOOKUP(C1710,Products!$A$2:$E$62,3,FALSE())</f>
        <v>Software</v>
      </c>
      <c r="L1710" s="1" t="str">
        <f aca="false">TEXT(D1710,"yyyy-mm")</f>
        <v>2024-04</v>
      </c>
    </row>
    <row r="1711" customFormat="false" ht="15" hidden="false" customHeight="true" outlineLevel="0" collapsed="false">
      <c r="A1711" s="1" t="n">
        <v>1746</v>
      </c>
      <c r="B1711" s="1" t="n">
        <v>340</v>
      </c>
      <c r="C1711" s="1" t="n">
        <v>30</v>
      </c>
      <c r="D1711" s="1" t="s">
        <v>185</v>
      </c>
      <c r="E1711" s="1" t="n">
        <v>2</v>
      </c>
      <c r="F1711" s="1" t="n">
        <v>33.32</v>
      </c>
      <c r="G1711" s="1" t="n">
        <v>0.1</v>
      </c>
      <c r="H1711" s="1" t="s">
        <v>1336</v>
      </c>
      <c r="I1711" s="1" t="n">
        <v>59.98</v>
      </c>
      <c r="J1711" s="1" t="str">
        <f aca="false">VLOOKUP(B1711,Customers!$A$2:$G$502,6,FALSE())</f>
        <v>Consumer</v>
      </c>
      <c r="K1711" s="1" t="str">
        <f aca="false">VLOOKUP(C1711,Products!$A$2:$E$62,3,FALSE())</f>
        <v>Office Supplies</v>
      </c>
      <c r="L1711" s="1" t="str">
        <f aca="false">TEXT(D1711,"yyyy-mm")</f>
        <v>2024-05</v>
      </c>
    </row>
    <row r="1712" customFormat="false" ht="15" hidden="false" customHeight="true" outlineLevel="0" collapsed="false">
      <c r="A1712" s="1" t="n">
        <v>1747</v>
      </c>
      <c r="B1712" s="1" t="n">
        <v>469</v>
      </c>
      <c r="C1712" s="1" t="n">
        <v>28</v>
      </c>
      <c r="D1712" s="1" t="s">
        <v>136</v>
      </c>
      <c r="E1712" s="1" t="n">
        <v>4</v>
      </c>
      <c r="F1712" s="1" t="n">
        <v>505.23</v>
      </c>
      <c r="G1712" s="1" t="n">
        <v>0.05</v>
      </c>
      <c r="H1712" s="1" t="s">
        <v>1336</v>
      </c>
      <c r="I1712" s="1" t="n">
        <v>1919.87</v>
      </c>
      <c r="J1712" s="1" t="str">
        <f aca="false">VLOOKUP(B1712,Customers!$A$2:$G$502,6,FALSE())</f>
        <v>Small Business</v>
      </c>
      <c r="K1712" s="1" t="str">
        <f aca="false">VLOOKUP(C1712,Products!$A$2:$E$62,3,FALSE())</f>
        <v>Office Supplies</v>
      </c>
      <c r="L1712" s="1" t="str">
        <f aca="false">TEXT(D1712,"yyyy-mm")</f>
        <v>2024-06</v>
      </c>
    </row>
    <row r="1713" customFormat="false" ht="15" hidden="false" customHeight="true" outlineLevel="0" collapsed="false">
      <c r="A1713" s="1" t="n">
        <v>1748</v>
      </c>
      <c r="B1713" s="1" t="n">
        <v>296</v>
      </c>
      <c r="C1713" s="1" t="n">
        <v>13</v>
      </c>
      <c r="D1713" s="1" t="s">
        <v>899</v>
      </c>
      <c r="E1713" s="1" t="n">
        <v>1</v>
      </c>
      <c r="F1713" s="1" t="n">
        <v>352.54</v>
      </c>
      <c r="G1713" s="1" t="n">
        <v>0.15</v>
      </c>
      <c r="H1713" s="1" t="s">
        <v>1336</v>
      </c>
      <c r="I1713" s="1" t="n">
        <v>299.66</v>
      </c>
      <c r="J1713" s="1" t="str">
        <f aca="false">VLOOKUP(B1713,Customers!$A$2:$G$502,6,FALSE())</f>
        <v>Corporate</v>
      </c>
      <c r="K1713" s="1" t="str">
        <f aca="false">VLOOKUP(C1713,Products!$A$2:$E$62,3,FALSE())</f>
        <v>Electronics</v>
      </c>
      <c r="L1713" s="1" t="str">
        <f aca="false">TEXT(D1713,"yyyy-mm")</f>
        <v>2024-05</v>
      </c>
    </row>
    <row r="1714" customFormat="false" ht="15" hidden="false" customHeight="true" outlineLevel="0" collapsed="false">
      <c r="A1714" s="1" t="n">
        <v>1749</v>
      </c>
      <c r="B1714" s="1" t="n">
        <v>205</v>
      </c>
      <c r="C1714" s="1" t="n">
        <v>42</v>
      </c>
      <c r="D1714" s="1" t="s">
        <v>1472</v>
      </c>
      <c r="E1714" s="1" t="n">
        <v>7</v>
      </c>
      <c r="F1714" s="1" t="n">
        <v>174.48</v>
      </c>
      <c r="G1714" s="1" t="n">
        <v>0.15</v>
      </c>
      <c r="H1714" s="1" t="s">
        <v>1336</v>
      </c>
      <c r="I1714" s="1" t="n">
        <v>1038.16</v>
      </c>
      <c r="J1714" s="1" t="str">
        <f aca="false">VLOOKUP(B1714,Customers!$A$2:$G$502,6,FALSE())</f>
        <v>Corporate</v>
      </c>
      <c r="K1714" s="1" t="str">
        <f aca="false">VLOOKUP(C1714,Products!$A$2:$E$62,3,FALSE())</f>
        <v>Software</v>
      </c>
      <c r="L1714" s="1" t="str">
        <f aca="false">TEXT(D1714,"yyyy-mm")</f>
        <v>2023-07</v>
      </c>
    </row>
    <row r="1715" customFormat="false" ht="15" hidden="false" customHeight="true" outlineLevel="0" collapsed="false">
      <c r="A1715" s="1" t="n">
        <v>1750</v>
      </c>
      <c r="B1715" s="1" t="n">
        <v>16</v>
      </c>
      <c r="C1715" s="1" t="n">
        <v>43</v>
      </c>
      <c r="D1715" s="1" t="s">
        <v>1362</v>
      </c>
      <c r="E1715" s="1" t="n">
        <v>2</v>
      </c>
      <c r="F1715" s="1" t="n">
        <v>186.31</v>
      </c>
      <c r="G1715" s="1" t="n">
        <v>0.2</v>
      </c>
      <c r="H1715" s="1" t="s">
        <v>1370</v>
      </c>
      <c r="I1715" s="1" t="n">
        <v>298.1</v>
      </c>
      <c r="J1715" s="1" t="str">
        <f aca="false">VLOOKUP(B1715,Customers!$A$2:$G$502,6,FALSE())</f>
        <v>Small Business</v>
      </c>
      <c r="K1715" s="1" t="str">
        <f aca="false">VLOOKUP(C1715,Products!$A$2:$E$62,3,FALSE())</f>
        <v>Software</v>
      </c>
      <c r="L1715" s="1" t="str">
        <f aca="false">TEXT(D1715,"yyyy-mm")</f>
        <v>2024-01</v>
      </c>
    </row>
    <row r="1716" customFormat="false" ht="15" hidden="false" customHeight="true" outlineLevel="0" collapsed="false">
      <c r="A1716" s="1" t="n">
        <v>1751</v>
      </c>
      <c r="B1716" s="1" t="n">
        <v>292</v>
      </c>
      <c r="C1716" s="1" t="n">
        <v>3</v>
      </c>
      <c r="D1716" s="1" t="s">
        <v>1625</v>
      </c>
      <c r="E1716" s="1" t="n">
        <v>2</v>
      </c>
      <c r="F1716" s="1" t="n">
        <v>89.39</v>
      </c>
      <c r="G1716" s="1" t="n">
        <v>0.15</v>
      </c>
      <c r="H1716" s="1" t="s">
        <v>1336</v>
      </c>
      <c r="I1716" s="1" t="n">
        <v>151.96</v>
      </c>
      <c r="J1716" s="1" t="str">
        <f aca="false">VLOOKUP(B1716,Customers!$A$2:$G$502,6,FALSE())</f>
        <v>Small Business</v>
      </c>
      <c r="K1716" s="1" t="str">
        <f aca="false">VLOOKUP(C1716,Products!$A$2:$E$62,3,FALSE())</f>
        <v>Electronics</v>
      </c>
      <c r="L1716" s="1" t="str">
        <f aca="false">TEXT(D1716,"yyyy-mm")</f>
        <v>2023-02</v>
      </c>
    </row>
    <row r="1717" customFormat="false" ht="15" hidden="false" customHeight="true" outlineLevel="0" collapsed="false">
      <c r="A1717" s="1" t="n">
        <v>1752</v>
      </c>
      <c r="B1717" s="1" t="n">
        <v>176</v>
      </c>
      <c r="C1717" s="1" t="n">
        <v>55</v>
      </c>
      <c r="D1717" s="1" t="s">
        <v>1525</v>
      </c>
      <c r="E1717" s="1" t="n">
        <v>9</v>
      </c>
      <c r="F1717" s="1" t="n">
        <v>123.38</v>
      </c>
      <c r="G1717" s="1" t="n">
        <v>0</v>
      </c>
      <c r="H1717" s="1" t="s">
        <v>1336</v>
      </c>
      <c r="I1717" s="1" t="n">
        <v>1110.42</v>
      </c>
      <c r="J1717" s="1" t="str">
        <f aca="false">VLOOKUP(B1717,Customers!$A$2:$G$502,6,FALSE())</f>
        <v>Corporate</v>
      </c>
      <c r="K1717" s="1" t="str">
        <f aca="false">VLOOKUP(C1717,Products!$A$2:$E$62,3,FALSE())</f>
        <v>Furniture</v>
      </c>
      <c r="L1717" s="1" t="str">
        <f aca="false">TEXT(D1717,"yyyy-mm")</f>
        <v>2024-01</v>
      </c>
    </row>
    <row r="1718" customFormat="false" ht="15" hidden="false" customHeight="true" outlineLevel="0" collapsed="false">
      <c r="A1718" s="1" t="n">
        <v>1753</v>
      </c>
      <c r="B1718" s="1" t="n">
        <v>101</v>
      </c>
      <c r="C1718" s="1" t="n">
        <v>9</v>
      </c>
      <c r="D1718" s="1" t="s">
        <v>1433</v>
      </c>
      <c r="E1718" s="1" t="n">
        <v>5</v>
      </c>
      <c r="F1718" s="1" t="n">
        <v>203.1</v>
      </c>
      <c r="G1718" s="1" t="n">
        <v>0.2</v>
      </c>
      <c r="H1718" s="1" t="s">
        <v>1336</v>
      </c>
      <c r="I1718" s="1" t="n">
        <v>812.4</v>
      </c>
      <c r="J1718" s="1" t="str">
        <f aca="false">VLOOKUP(B1718,Customers!$A$2:$G$502,6,FALSE())</f>
        <v>Corporate</v>
      </c>
      <c r="K1718" s="1" t="str">
        <f aca="false">VLOOKUP(C1718,Products!$A$2:$E$62,3,FALSE())</f>
        <v>Electronics</v>
      </c>
      <c r="L1718" s="1" t="str">
        <f aca="false">TEXT(D1718,"yyyy-mm")</f>
        <v>2023-12</v>
      </c>
    </row>
    <row r="1719" customFormat="false" ht="15" hidden="false" customHeight="true" outlineLevel="0" collapsed="false">
      <c r="A1719" s="1" t="n">
        <v>1754</v>
      </c>
      <c r="B1719" s="1" t="n">
        <v>69</v>
      </c>
      <c r="C1719" s="1" t="n">
        <v>44</v>
      </c>
      <c r="D1719" s="1" t="s">
        <v>611</v>
      </c>
      <c r="E1719" s="1" t="n">
        <v>2</v>
      </c>
      <c r="F1719" s="1" t="n">
        <v>508.26</v>
      </c>
      <c r="G1719" s="1" t="n">
        <v>0.15</v>
      </c>
      <c r="H1719" s="1" t="s">
        <v>1336</v>
      </c>
      <c r="I1719" s="1" t="n">
        <v>864.04</v>
      </c>
      <c r="J1719" s="1" t="str">
        <f aca="false">VLOOKUP(B1719,Customers!$A$2:$G$502,6,FALSE())</f>
        <v>Corporate</v>
      </c>
      <c r="K1719" s="1" t="str">
        <f aca="false">VLOOKUP(C1719,Products!$A$2:$E$62,3,FALSE())</f>
        <v>Software</v>
      </c>
      <c r="L1719" s="1" t="str">
        <f aca="false">TEXT(D1719,"yyyy-mm")</f>
        <v>2024-06</v>
      </c>
    </row>
    <row r="1720" customFormat="false" ht="15" hidden="false" customHeight="true" outlineLevel="0" collapsed="false">
      <c r="A1720" s="1" t="n">
        <v>1755</v>
      </c>
      <c r="B1720" s="1" t="n">
        <v>444</v>
      </c>
      <c r="C1720" s="1" t="n">
        <v>13</v>
      </c>
      <c r="D1720" s="1" t="s">
        <v>828</v>
      </c>
      <c r="E1720" s="1" t="n">
        <v>9</v>
      </c>
      <c r="F1720" s="1" t="n">
        <v>352.54</v>
      </c>
      <c r="G1720" s="1" t="n">
        <v>0.1</v>
      </c>
      <c r="H1720" s="1" t="s">
        <v>1346</v>
      </c>
      <c r="I1720" s="1" t="n">
        <v>2855.57</v>
      </c>
      <c r="J1720" s="1" t="str">
        <f aca="false">VLOOKUP(B1720,Customers!$A$2:$G$502,6,FALSE())</f>
        <v>Small Business</v>
      </c>
      <c r="K1720" s="1" t="str">
        <f aca="false">VLOOKUP(C1720,Products!$A$2:$E$62,3,FALSE())</f>
        <v>Electronics</v>
      </c>
      <c r="L1720" s="1" t="str">
        <f aca="false">TEXT(D1720,"yyyy-mm")</f>
        <v>2024-07</v>
      </c>
    </row>
    <row r="1721" customFormat="false" ht="15" hidden="false" customHeight="true" outlineLevel="0" collapsed="false">
      <c r="A1721" s="1" t="n">
        <v>1756</v>
      </c>
      <c r="B1721" s="1" t="n">
        <v>349</v>
      </c>
      <c r="C1721" s="1" t="n">
        <v>59</v>
      </c>
      <c r="D1721" s="1" t="s">
        <v>527</v>
      </c>
      <c r="E1721" s="1" t="n">
        <v>9</v>
      </c>
      <c r="F1721" s="1" t="n">
        <v>438.89</v>
      </c>
      <c r="G1721" s="1" t="n">
        <v>0</v>
      </c>
      <c r="H1721" s="1" t="s">
        <v>1336</v>
      </c>
      <c r="I1721" s="1" t="n">
        <v>3950.01</v>
      </c>
      <c r="J1721" s="1" t="str">
        <f aca="false">VLOOKUP(B1721,Customers!$A$2:$G$502,6,FALSE())</f>
        <v>Consumer</v>
      </c>
      <c r="K1721" s="1" t="str">
        <f aca="false">VLOOKUP(C1721,Products!$A$2:$E$62,3,FALSE())</f>
        <v>Furniture</v>
      </c>
      <c r="L1721" s="1" t="str">
        <f aca="false">TEXT(D1721,"yyyy-mm")</f>
        <v>2023-12</v>
      </c>
    </row>
    <row r="1722" customFormat="false" ht="15" hidden="false" customHeight="true" outlineLevel="0" collapsed="false">
      <c r="A1722" s="1" t="n">
        <v>1757</v>
      </c>
      <c r="B1722" s="1" t="n">
        <v>468</v>
      </c>
      <c r="C1722" s="1" t="n">
        <v>22</v>
      </c>
      <c r="D1722" s="1" t="s">
        <v>750</v>
      </c>
      <c r="E1722" s="1" t="n">
        <v>1</v>
      </c>
      <c r="F1722" s="1" t="n">
        <v>38.57</v>
      </c>
      <c r="G1722" s="1" t="n">
        <v>0</v>
      </c>
      <c r="H1722" s="1" t="s">
        <v>1370</v>
      </c>
      <c r="I1722" s="1" t="n">
        <v>38.57</v>
      </c>
      <c r="J1722" s="1" t="str">
        <f aca="false">VLOOKUP(B1722,Customers!$A$2:$G$502,6,FALSE())</f>
        <v>Small Business</v>
      </c>
      <c r="K1722" s="1" t="str">
        <f aca="false">VLOOKUP(C1722,Products!$A$2:$E$62,3,FALSE())</f>
        <v>Office Supplies</v>
      </c>
      <c r="L1722" s="1" t="str">
        <f aca="false">TEXT(D1722,"yyyy-mm")</f>
        <v>2024-02</v>
      </c>
    </row>
    <row r="1723" customFormat="false" ht="15" hidden="false" customHeight="true" outlineLevel="0" collapsed="false">
      <c r="A1723" s="1" t="n">
        <v>1758</v>
      </c>
      <c r="B1723" s="1" t="n">
        <v>356</v>
      </c>
      <c r="C1723" s="1" t="n">
        <v>15</v>
      </c>
      <c r="D1723" s="1" t="s">
        <v>795</v>
      </c>
      <c r="E1723" s="1" t="n">
        <v>3</v>
      </c>
      <c r="F1723" s="1" t="n">
        <v>304.95</v>
      </c>
      <c r="G1723" s="1" t="n">
        <v>0.1</v>
      </c>
      <c r="H1723" s="1" t="s">
        <v>1336</v>
      </c>
      <c r="I1723" s="1" t="n">
        <v>823.36</v>
      </c>
      <c r="J1723" s="1" t="str">
        <f aca="false">VLOOKUP(B1723,Customers!$A$2:$G$502,6,FALSE())</f>
        <v>Consumer</v>
      </c>
      <c r="K1723" s="1" t="str">
        <f aca="false">VLOOKUP(C1723,Products!$A$2:$E$62,3,FALSE())</f>
        <v>Electronics</v>
      </c>
      <c r="L1723" s="1" t="str">
        <f aca="false">TEXT(D1723,"yyyy-mm")</f>
        <v>2023-12</v>
      </c>
    </row>
    <row r="1724" customFormat="false" ht="15" hidden="false" customHeight="true" outlineLevel="0" collapsed="false">
      <c r="A1724" s="1" t="n">
        <v>1759</v>
      </c>
      <c r="B1724" s="1" t="n">
        <v>482</v>
      </c>
      <c r="C1724" s="1" t="n">
        <v>33</v>
      </c>
      <c r="D1724" s="1" t="s">
        <v>913</v>
      </c>
      <c r="E1724" s="1" t="n">
        <v>4</v>
      </c>
      <c r="F1724" s="1" t="n">
        <v>190.1</v>
      </c>
      <c r="G1724" s="1" t="n">
        <v>0</v>
      </c>
      <c r="H1724" s="1" t="s">
        <v>1336</v>
      </c>
      <c r="I1724" s="1" t="n">
        <v>760.4</v>
      </c>
      <c r="J1724" s="1" t="str">
        <f aca="false">VLOOKUP(B1724,Customers!$A$2:$G$502,6,FALSE())</f>
        <v>Small Business</v>
      </c>
      <c r="K1724" s="1" t="str">
        <f aca="false">VLOOKUP(C1724,Products!$A$2:$E$62,3,FALSE())</f>
        <v>Office Supplies</v>
      </c>
      <c r="L1724" s="1" t="str">
        <f aca="false">TEXT(D1724,"yyyy-mm")</f>
        <v>2023-04</v>
      </c>
    </row>
    <row r="1725" customFormat="false" ht="15" hidden="false" customHeight="true" outlineLevel="0" collapsed="false">
      <c r="A1725" s="1" t="n">
        <v>1760</v>
      </c>
      <c r="B1725" s="1" t="n">
        <v>266</v>
      </c>
      <c r="C1725" s="1" t="n">
        <v>17</v>
      </c>
      <c r="D1725" s="1" t="s">
        <v>1649</v>
      </c>
      <c r="E1725" s="1" t="n">
        <v>7</v>
      </c>
      <c r="F1725" s="1" t="n">
        <v>65.61</v>
      </c>
      <c r="G1725" s="1" t="n">
        <v>0.2</v>
      </c>
      <c r="H1725" s="1" t="s">
        <v>1336</v>
      </c>
      <c r="I1725" s="1" t="n">
        <v>367.42</v>
      </c>
      <c r="J1725" s="1" t="str">
        <f aca="false">VLOOKUP(B1725,Customers!$A$2:$G$502,6,FALSE())</f>
        <v>Corporate</v>
      </c>
      <c r="K1725" s="1" t="str">
        <f aca="false">VLOOKUP(C1725,Products!$A$2:$E$62,3,FALSE())</f>
        <v>Electronics</v>
      </c>
      <c r="L1725" s="1" t="str">
        <f aca="false">TEXT(D1725,"yyyy-mm")</f>
        <v>2024-01</v>
      </c>
    </row>
    <row r="1726" customFormat="false" ht="15" hidden="false" customHeight="true" outlineLevel="0" collapsed="false">
      <c r="A1726" s="1" t="n">
        <v>1761</v>
      </c>
      <c r="B1726" s="1" t="n">
        <v>349</v>
      </c>
      <c r="C1726" s="1" t="n">
        <v>19</v>
      </c>
      <c r="D1726" s="1" t="s">
        <v>1496</v>
      </c>
      <c r="E1726" s="1" t="n">
        <v>4</v>
      </c>
      <c r="F1726" s="1" t="n">
        <v>163.64</v>
      </c>
      <c r="G1726" s="1" t="n">
        <v>0</v>
      </c>
      <c r="H1726" s="1" t="s">
        <v>1336</v>
      </c>
      <c r="I1726" s="1" t="n">
        <v>654.56</v>
      </c>
      <c r="J1726" s="1" t="str">
        <f aca="false">VLOOKUP(B1726,Customers!$A$2:$G$502,6,FALSE())</f>
        <v>Consumer</v>
      </c>
      <c r="K1726" s="1" t="str">
        <f aca="false">VLOOKUP(C1726,Products!$A$2:$E$62,3,FALSE())</f>
        <v>Office Supplies</v>
      </c>
      <c r="L1726" s="1" t="str">
        <f aca="false">TEXT(D1726,"yyyy-mm")</f>
        <v>2023-09</v>
      </c>
    </row>
    <row r="1727" customFormat="false" ht="15" hidden="false" customHeight="true" outlineLevel="0" collapsed="false">
      <c r="A1727" s="1" t="n">
        <v>1762</v>
      </c>
      <c r="B1727" s="1" t="n">
        <v>458</v>
      </c>
      <c r="C1727" s="1" t="n">
        <v>33</v>
      </c>
      <c r="D1727" s="1" t="s">
        <v>1477</v>
      </c>
      <c r="E1727" s="1" t="n">
        <v>2</v>
      </c>
      <c r="F1727" s="1" t="n">
        <v>190.1</v>
      </c>
      <c r="G1727" s="1" t="n">
        <v>0</v>
      </c>
      <c r="H1727" s="1" t="s">
        <v>1346</v>
      </c>
      <c r="I1727" s="1" t="n">
        <v>380.2</v>
      </c>
      <c r="J1727" s="1" t="str">
        <f aca="false">VLOOKUP(B1727,Customers!$A$2:$G$502,6,FALSE())</f>
        <v>Small Business</v>
      </c>
      <c r="K1727" s="1" t="str">
        <f aca="false">VLOOKUP(C1727,Products!$A$2:$E$62,3,FALSE())</f>
        <v>Office Supplies</v>
      </c>
      <c r="L1727" s="1" t="str">
        <f aca="false">TEXT(D1727,"yyyy-mm")</f>
        <v>2024-08</v>
      </c>
    </row>
    <row r="1728" customFormat="false" ht="15" hidden="false" customHeight="true" outlineLevel="0" collapsed="false">
      <c r="A1728" s="1" t="n">
        <v>1763</v>
      </c>
      <c r="B1728" s="1" t="n">
        <v>25</v>
      </c>
      <c r="C1728" s="1" t="n">
        <v>13</v>
      </c>
      <c r="D1728" s="1" t="s">
        <v>1595</v>
      </c>
      <c r="E1728" s="1" t="n">
        <v>7</v>
      </c>
      <c r="F1728" s="1" t="n">
        <v>352.54</v>
      </c>
      <c r="G1728" s="1" t="n">
        <v>0.2</v>
      </c>
      <c r="H1728" s="1" t="s">
        <v>1336</v>
      </c>
      <c r="I1728" s="1" t="n">
        <v>1974.22</v>
      </c>
      <c r="J1728" s="1" t="str">
        <f aca="false">VLOOKUP(B1728,Customers!$A$2:$G$502,6,FALSE())</f>
        <v>Corporate</v>
      </c>
      <c r="K1728" s="1" t="str">
        <f aca="false">VLOOKUP(C1728,Products!$A$2:$E$62,3,FALSE())</f>
        <v>Electronics</v>
      </c>
      <c r="L1728" s="1" t="str">
        <f aca="false">TEXT(D1728,"yyyy-mm")</f>
        <v>2024-06</v>
      </c>
    </row>
    <row r="1729" customFormat="false" ht="15" hidden="false" customHeight="true" outlineLevel="0" collapsed="false">
      <c r="A1729" s="1" t="n">
        <v>1764</v>
      </c>
      <c r="B1729" s="1" t="n">
        <v>430</v>
      </c>
      <c r="C1729" s="1" t="n">
        <v>24</v>
      </c>
      <c r="D1729" s="1" t="s">
        <v>146</v>
      </c>
      <c r="E1729" s="1" t="n">
        <v>6</v>
      </c>
      <c r="F1729" s="1" t="n">
        <v>207.34</v>
      </c>
      <c r="G1729" s="1" t="n">
        <v>0.05</v>
      </c>
      <c r="H1729" s="1" t="s">
        <v>1336</v>
      </c>
      <c r="I1729" s="1" t="n">
        <v>1181.84</v>
      </c>
      <c r="J1729" s="1" t="str">
        <f aca="false">VLOOKUP(B1729,Customers!$A$2:$G$502,6,FALSE())</f>
        <v>Corporate</v>
      </c>
      <c r="K1729" s="1" t="str">
        <f aca="false">VLOOKUP(C1729,Products!$A$2:$E$62,3,FALSE())</f>
        <v>Office Supplies</v>
      </c>
      <c r="L1729" s="1" t="str">
        <f aca="false">TEXT(D1729,"yyyy-mm")</f>
        <v>2023-08</v>
      </c>
    </row>
    <row r="1730" customFormat="false" ht="15" hidden="false" customHeight="true" outlineLevel="0" collapsed="false">
      <c r="A1730" s="1" t="n">
        <v>1765</v>
      </c>
      <c r="B1730" s="1" t="n">
        <v>168</v>
      </c>
      <c r="C1730" s="1" t="n">
        <v>13</v>
      </c>
      <c r="D1730" s="1" t="s">
        <v>764</v>
      </c>
      <c r="E1730" s="1" t="n">
        <v>3</v>
      </c>
      <c r="F1730" s="1" t="n">
        <v>352.54</v>
      </c>
      <c r="G1730" s="1" t="n">
        <v>0</v>
      </c>
      <c r="H1730" s="1" t="s">
        <v>1336</v>
      </c>
      <c r="I1730" s="1" t="n">
        <v>1057.62</v>
      </c>
      <c r="J1730" s="1" t="str">
        <f aca="false">VLOOKUP(B1730,Customers!$A$2:$G$502,6,FALSE())</f>
        <v>Consumer</v>
      </c>
      <c r="K1730" s="1" t="str">
        <f aca="false">VLOOKUP(C1730,Products!$A$2:$E$62,3,FALSE())</f>
        <v>Electronics</v>
      </c>
      <c r="L1730" s="1" t="str">
        <f aca="false">TEXT(D1730,"yyyy-mm")</f>
        <v>2023-04</v>
      </c>
    </row>
    <row r="1731" customFormat="false" ht="15" hidden="false" customHeight="true" outlineLevel="0" collapsed="false">
      <c r="A1731" s="1" t="n">
        <v>1766</v>
      </c>
      <c r="B1731" s="1" t="n">
        <v>244</v>
      </c>
      <c r="C1731" s="1" t="n">
        <v>47</v>
      </c>
      <c r="D1731" s="1" t="s">
        <v>1589</v>
      </c>
      <c r="E1731" s="1" t="n">
        <v>6</v>
      </c>
      <c r="F1731" s="1" t="n">
        <v>506.19</v>
      </c>
      <c r="G1731" s="1" t="n">
        <v>0</v>
      </c>
      <c r="H1731" s="1" t="s">
        <v>1336</v>
      </c>
      <c r="I1731" s="1" t="n">
        <v>3037.14</v>
      </c>
      <c r="J1731" s="1" t="str">
        <f aca="false">VLOOKUP(B1731,Customers!$A$2:$G$502,6,FALSE())</f>
        <v>Small Business</v>
      </c>
      <c r="K1731" s="1" t="str">
        <f aca="false">VLOOKUP(C1731,Products!$A$2:$E$62,3,FALSE())</f>
        <v>Software</v>
      </c>
      <c r="L1731" s="1" t="str">
        <f aca="false">TEXT(D1731,"yyyy-mm")</f>
        <v>2024-06</v>
      </c>
    </row>
    <row r="1732" customFormat="false" ht="15" hidden="false" customHeight="true" outlineLevel="0" collapsed="false">
      <c r="A1732" s="1" t="n">
        <v>1767</v>
      </c>
      <c r="B1732" s="1" t="n">
        <v>492</v>
      </c>
      <c r="C1732" s="1" t="n">
        <v>40</v>
      </c>
      <c r="D1732" s="1" t="s">
        <v>1539</v>
      </c>
      <c r="E1732" s="1" t="n">
        <v>6</v>
      </c>
      <c r="F1732" s="1" t="n">
        <v>193.02</v>
      </c>
      <c r="G1732" s="1" t="n">
        <v>0.2</v>
      </c>
      <c r="H1732" s="1" t="s">
        <v>1336</v>
      </c>
      <c r="I1732" s="1" t="n">
        <v>926.5</v>
      </c>
      <c r="J1732" s="1" t="str">
        <f aca="false">VLOOKUP(B1732,Customers!$A$2:$G$502,6,FALSE())</f>
        <v>Consumer</v>
      </c>
      <c r="K1732" s="1" t="str">
        <f aca="false">VLOOKUP(C1732,Products!$A$2:$E$62,3,FALSE())</f>
        <v>Software</v>
      </c>
      <c r="L1732" s="1" t="str">
        <f aca="false">TEXT(D1732,"yyyy-mm")</f>
        <v>2023-09</v>
      </c>
    </row>
    <row r="1733" customFormat="false" ht="15" hidden="false" customHeight="true" outlineLevel="0" collapsed="false">
      <c r="A1733" s="1" t="n">
        <v>1768</v>
      </c>
      <c r="B1733" s="1" t="n">
        <v>395</v>
      </c>
      <c r="C1733" s="1" t="n">
        <v>51</v>
      </c>
      <c r="D1733" s="1" t="s">
        <v>753</v>
      </c>
      <c r="E1733" s="1" t="n">
        <v>5</v>
      </c>
      <c r="F1733" s="1" t="n">
        <v>30.16</v>
      </c>
      <c r="G1733" s="1" t="n">
        <v>0</v>
      </c>
      <c r="H1733" s="1" t="s">
        <v>1336</v>
      </c>
      <c r="I1733" s="1" t="n">
        <v>150.8</v>
      </c>
      <c r="J1733" s="1" t="str">
        <f aca="false">VLOOKUP(B1733,Customers!$A$2:$G$502,6,FALSE())</f>
        <v>Consumer</v>
      </c>
      <c r="K1733" s="1" t="str">
        <f aca="false">VLOOKUP(C1733,Products!$A$2:$E$62,3,FALSE())</f>
        <v>Software</v>
      </c>
      <c r="L1733" s="1" t="str">
        <f aca="false">TEXT(D1733,"yyyy-mm")</f>
        <v>2023-03</v>
      </c>
    </row>
    <row r="1734" customFormat="false" ht="15" hidden="false" customHeight="true" outlineLevel="0" collapsed="false">
      <c r="A1734" s="1" t="n">
        <v>1769</v>
      </c>
      <c r="B1734" s="1" t="n">
        <v>63</v>
      </c>
      <c r="C1734" s="1" t="n">
        <v>45</v>
      </c>
      <c r="D1734" s="1" t="s">
        <v>941</v>
      </c>
      <c r="E1734" s="1" t="n">
        <v>4</v>
      </c>
      <c r="F1734" s="1" t="n">
        <v>560.01</v>
      </c>
      <c r="G1734" s="1" t="n">
        <v>0.1</v>
      </c>
      <c r="H1734" s="1" t="s">
        <v>1336</v>
      </c>
      <c r="I1734" s="1" t="n">
        <v>2016.04</v>
      </c>
      <c r="J1734" s="1" t="str">
        <f aca="false">VLOOKUP(B1734,Customers!$A$2:$G$502,6,FALSE())</f>
        <v>Consumer</v>
      </c>
      <c r="K1734" s="1" t="str">
        <f aca="false">VLOOKUP(C1734,Products!$A$2:$E$62,3,FALSE())</f>
        <v>Software</v>
      </c>
      <c r="L1734" s="1" t="str">
        <f aca="false">TEXT(D1734,"yyyy-mm")</f>
        <v>2024-08</v>
      </c>
    </row>
    <row r="1735" customFormat="false" ht="15" hidden="false" customHeight="true" outlineLevel="0" collapsed="false">
      <c r="A1735" s="1" t="n">
        <v>1770</v>
      </c>
      <c r="B1735" s="1" t="n">
        <v>245</v>
      </c>
      <c r="C1735" s="1" t="n">
        <v>1</v>
      </c>
      <c r="D1735" s="1" t="s">
        <v>283</v>
      </c>
      <c r="E1735" s="1" t="n">
        <v>1</v>
      </c>
      <c r="F1735" s="1" t="n">
        <v>327.32</v>
      </c>
      <c r="G1735" s="1" t="n">
        <v>0</v>
      </c>
      <c r="H1735" s="1" t="s">
        <v>1336</v>
      </c>
      <c r="I1735" s="1" t="n">
        <v>327.32</v>
      </c>
      <c r="J1735" s="1" t="str">
        <f aca="false">VLOOKUP(B1735,Customers!$A$2:$G$502,6,FALSE())</f>
        <v>Consumer</v>
      </c>
      <c r="K1735" s="1" t="str">
        <f aca="false">VLOOKUP(C1735,Products!$A$2:$E$62,3,FALSE())</f>
        <v>Electronics</v>
      </c>
      <c r="L1735" s="1" t="str">
        <f aca="false">TEXT(D1735,"yyyy-mm")</f>
        <v>2023-10</v>
      </c>
    </row>
    <row r="1736" customFormat="false" ht="15" hidden="false" customHeight="true" outlineLevel="0" collapsed="false">
      <c r="A1736" s="1" t="n">
        <v>1771</v>
      </c>
      <c r="B1736" s="1" t="n">
        <v>179</v>
      </c>
      <c r="C1736" s="1" t="n">
        <v>26</v>
      </c>
      <c r="D1736" s="1" t="s">
        <v>148</v>
      </c>
      <c r="E1736" s="1" t="n">
        <v>6</v>
      </c>
      <c r="F1736" s="1" t="n">
        <v>733.85</v>
      </c>
      <c r="G1736" s="1" t="n">
        <v>0</v>
      </c>
      <c r="H1736" s="1" t="s">
        <v>1346</v>
      </c>
      <c r="I1736" s="1" t="n">
        <v>4403.1</v>
      </c>
      <c r="J1736" s="1" t="str">
        <f aca="false">VLOOKUP(B1736,Customers!$A$2:$G$502,6,FALSE())</f>
        <v>Small Business</v>
      </c>
      <c r="K1736" s="1" t="str">
        <f aca="false">VLOOKUP(C1736,Products!$A$2:$E$62,3,FALSE())</f>
        <v>Office Supplies</v>
      </c>
      <c r="L1736" s="1" t="str">
        <f aca="false">TEXT(D1736,"yyyy-mm")</f>
        <v>2023-06</v>
      </c>
    </row>
    <row r="1737" customFormat="false" ht="15" hidden="false" customHeight="true" outlineLevel="0" collapsed="false">
      <c r="A1737" s="1" t="n">
        <v>1772</v>
      </c>
      <c r="B1737" s="1" t="n">
        <v>214</v>
      </c>
      <c r="C1737" s="1" t="n">
        <v>4</v>
      </c>
      <c r="D1737" s="1" t="s">
        <v>1606</v>
      </c>
      <c r="E1737" s="1" t="n">
        <v>2</v>
      </c>
      <c r="F1737" s="1" t="n">
        <v>56.24</v>
      </c>
      <c r="G1737" s="1" t="n">
        <v>0.2</v>
      </c>
      <c r="H1737" s="1" t="s">
        <v>1336</v>
      </c>
      <c r="I1737" s="1" t="n">
        <v>89.98</v>
      </c>
      <c r="J1737" s="1" t="str">
        <f aca="false">VLOOKUP(B1737,Customers!$A$2:$G$502,6,FALSE())</f>
        <v>Corporate</v>
      </c>
      <c r="K1737" s="1" t="str">
        <f aca="false">VLOOKUP(C1737,Products!$A$2:$E$62,3,FALSE())</f>
        <v>Electronics</v>
      </c>
      <c r="L1737" s="1" t="str">
        <f aca="false">TEXT(D1737,"yyyy-mm")</f>
        <v>2023-11</v>
      </c>
    </row>
    <row r="1738" customFormat="false" ht="15" hidden="false" customHeight="true" outlineLevel="0" collapsed="false">
      <c r="A1738" s="1" t="n">
        <v>1773</v>
      </c>
      <c r="B1738" s="1" t="n">
        <v>227</v>
      </c>
      <c r="C1738" s="1" t="n">
        <v>18</v>
      </c>
      <c r="D1738" s="1" t="s">
        <v>1016</v>
      </c>
      <c r="E1738" s="1" t="n">
        <v>3</v>
      </c>
      <c r="F1738" s="1" t="n">
        <v>747.34</v>
      </c>
      <c r="G1738" s="1" t="n">
        <v>0.2</v>
      </c>
      <c r="H1738" s="1" t="s">
        <v>1336</v>
      </c>
      <c r="I1738" s="1" t="n">
        <v>1793.62</v>
      </c>
      <c r="J1738" s="1" t="str">
        <f aca="false">VLOOKUP(B1738,Customers!$A$2:$G$502,6,FALSE())</f>
        <v>Consumer</v>
      </c>
      <c r="K1738" s="1" t="str">
        <f aca="false">VLOOKUP(C1738,Products!$A$2:$E$62,3,FALSE())</f>
        <v>Electronics</v>
      </c>
      <c r="L1738" s="1" t="str">
        <f aca="false">TEXT(D1738,"yyyy-mm")</f>
        <v>2023-11</v>
      </c>
    </row>
    <row r="1739" customFormat="false" ht="15" hidden="false" customHeight="true" outlineLevel="0" collapsed="false">
      <c r="A1739" s="1" t="n">
        <v>1774</v>
      </c>
      <c r="B1739" s="1" t="n">
        <v>380</v>
      </c>
      <c r="C1739" s="1" t="n">
        <v>58</v>
      </c>
      <c r="D1739" s="1" t="s">
        <v>1401</v>
      </c>
      <c r="E1739" s="1" t="n">
        <v>8</v>
      </c>
      <c r="F1739" s="1" t="n">
        <v>515.55</v>
      </c>
      <c r="G1739" s="1" t="n">
        <v>0</v>
      </c>
      <c r="H1739" s="1" t="s">
        <v>1336</v>
      </c>
      <c r="I1739" s="1" t="n">
        <v>4124.4</v>
      </c>
      <c r="J1739" s="1" t="str">
        <f aca="false">VLOOKUP(B1739,Customers!$A$2:$G$502,6,FALSE())</f>
        <v>Small Business</v>
      </c>
      <c r="K1739" s="1" t="str">
        <f aca="false">VLOOKUP(C1739,Products!$A$2:$E$62,3,FALSE())</f>
        <v>Furniture</v>
      </c>
      <c r="L1739" s="1" t="str">
        <f aca="false">TEXT(D1739,"yyyy-mm")</f>
        <v>2024-11</v>
      </c>
    </row>
    <row r="1740" customFormat="false" ht="15" hidden="false" customHeight="true" outlineLevel="0" collapsed="false">
      <c r="A1740" s="1" t="n">
        <v>1775</v>
      </c>
      <c r="B1740" s="1" t="n">
        <v>408</v>
      </c>
      <c r="C1740" s="1" t="n">
        <v>56</v>
      </c>
      <c r="D1740" s="1" t="s">
        <v>617</v>
      </c>
      <c r="E1740" s="1" t="n">
        <v>6</v>
      </c>
      <c r="F1740" s="1" t="n">
        <v>160.64</v>
      </c>
      <c r="G1740" s="1" t="n">
        <v>0.2</v>
      </c>
      <c r="H1740" s="1" t="s">
        <v>1336</v>
      </c>
      <c r="I1740" s="1" t="n">
        <v>771.07</v>
      </c>
      <c r="J1740" s="1" t="str">
        <f aca="false">VLOOKUP(B1740,Customers!$A$2:$G$502,6,FALSE())</f>
        <v>Small Business</v>
      </c>
      <c r="K1740" s="1" t="str">
        <f aca="false">VLOOKUP(C1740,Products!$A$2:$E$62,3,FALSE())</f>
        <v>Furniture</v>
      </c>
      <c r="L1740" s="1" t="str">
        <f aca="false">TEXT(D1740,"yyyy-mm")</f>
        <v>2023-11</v>
      </c>
    </row>
    <row r="1741" customFormat="false" ht="15" hidden="false" customHeight="true" outlineLevel="0" collapsed="false">
      <c r="A1741" s="1" t="n">
        <v>1776</v>
      </c>
      <c r="B1741" s="1" t="n">
        <v>491</v>
      </c>
      <c r="C1741" s="1" t="n">
        <v>40</v>
      </c>
      <c r="D1741" s="1" t="s">
        <v>673</v>
      </c>
      <c r="E1741" s="1" t="n">
        <v>3</v>
      </c>
      <c r="F1741" s="1" t="n">
        <v>193.02</v>
      </c>
      <c r="G1741" s="1" t="n">
        <v>0</v>
      </c>
      <c r="H1741" s="1" t="s">
        <v>1336</v>
      </c>
      <c r="I1741" s="1" t="n">
        <v>579.06</v>
      </c>
      <c r="J1741" s="1" t="str">
        <f aca="false">VLOOKUP(B1741,Customers!$A$2:$G$502,6,FALSE())</f>
        <v>Small Business</v>
      </c>
      <c r="K1741" s="1" t="str">
        <f aca="false">VLOOKUP(C1741,Products!$A$2:$E$62,3,FALSE())</f>
        <v>Software</v>
      </c>
      <c r="L1741" s="1" t="str">
        <f aca="false">TEXT(D1741,"yyyy-mm")</f>
        <v>2023-05</v>
      </c>
    </row>
    <row r="1742" customFormat="false" ht="15" hidden="false" customHeight="true" outlineLevel="0" collapsed="false">
      <c r="A1742" s="1" t="n">
        <v>1777</v>
      </c>
      <c r="B1742" s="1" t="n">
        <v>436</v>
      </c>
      <c r="C1742" s="1" t="n">
        <v>1</v>
      </c>
      <c r="D1742" s="1" t="s">
        <v>461</v>
      </c>
      <c r="E1742" s="1" t="n">
        <v>7</v>
      </c>
      <c r="F1742" s="1" t="n">
        <v>327.32</v>
      </c>
      <c r="G1742" s="1" t="n">
        <v>0</v>
      </c>
      <c r="H1742" s="1" t="s">
        <v>1336</v>
      </c>
      <c r="I1742" s="1" t="n">
        <v>2291.24</v>
      </c>
      <c r="J1742" s="1" t="str">
        <f aca="false">VLOOKUP(B1742,Customers!$A$2:$G$502,6,FALSE())</f>
        <v>Corporate</v>
      </c>
      <c r="K1742" s="1" t="str">
        <f aca="false">VLOOKUP(C1742,Products!$A$2:$E$62,3,FALSE())</f>
        <v>Electronics</v>
      </c>
      <c r="L1742" s="1" t="str">
        <f aca="false">TEXT(D1742,"yyyy-mm")</f>
        <v>2023-02</v>
      </c>
    </row>
    <row r="1743" customFormat="false" ht="15" hidden="false" customHeight="true" outlineLevel="0" collapsed="false">
      <c r="A1743" s="1" t="n">
        <v>1778</v>
      </c>
      <c r="B1743" s="1" t="n">
        <v>450</v>
      </c>
      <c r="C1743" s="1" t="n">
        <v>15</v>
      </c>
      <c r="D1743" s="1" t="s">
        <v>697</v>
      </c>
      <c r="E1743" s="1" t="n">
        <v>4</v>
      </c>
      <c r="F1743" s="1" t="n">
        <v>304.95</v>
      </c>
      <c r="G1743" s="1" t="n">
        <v>0</v>
      </c>
      <c r="H1743" s="1" t="s">
        <v>1336</v>
      </c>
      <c r="I1743" s="1" t="n">
        <v>1219.8</v>
      </c>
      <c r="J1743" s="1" t="str">
        <f aca="false">VLOOKUP(B1743,Customers!$A$2:$G$502,6,FALSE())</f>
        <v>Consumer</v>
      </c>
      <c r="K1743" s="1" t="str">
        <f aca="false">VLOOKUP(C1743,Products!$A$2:$E$62,3,FALSE())</f>
        <v>Electronics</v>
      </c>
      <c r="L1743" s="1" t="str">
        <f aca="false">TEXT(D1743,"yyyy-mm")</f>
        <v>2023-03</v>
      </c>
    </row>
    <row r="1744" customFormat="false" ht="15" hidden="false" customHeight="true" outlineLevel="0" collapsed="false">
      <c r="A1744" s="1" t="n">
        <v>1779</v>
      </c>
      <c r="B1744" s="1" t="n">
        <v>410</v>
      </c>
      <c r="C1744" s="1" t="n">
        <v>21</v>
      </c>
      <c r="D1744" s="1" t="s">
        <v>617</v>
      </c>
      <c r="E1744" s="1" t="n">
        <v>9</v>
      </c>
      <c r="F1744" s="1" t="n">
        <v>84.91</v>
      </c>
      <c r="G1744" s="1" t="n">
        <v>0</v>
      </c>
      <c r="H1744" s="1" t="s">
        <v>1336</v>
      </c>
      <c r="I1744" s="1" t="n">
        <v>764.19</v>
      </c>
      <c r="J1744" s="1" t="str">
        <f aca="false">VLOOKUP(B1744,Customers!$A$2:$G$502,6,FALSE())</f>
        <v>Consumer</v>
      </c>
      <c r="K1744" s="1" t="str">
        <f aca="false">VLOOKUP(C1744,Products!$A$2:$E$62,3,FALSE())</f>
        <v>Office Supplies</v>
      </c>
      <c r="L1744" s="1" t="str">
        <f aca="false">TEXT(D1744,"yyyy-mm")</f>
        <v>2023-11</v>
      </c>
    </row>
    <row r="1745" customFormat="false" ht="15" hidden="false" customHeight="true" outlineLevel="0" collapsed="false">
      <c r="A1745" s="1" t="n">
        <v>1780</v>
      </c>
      <c r="B1745" s="1" t="n">
        <v>325</v>
      </c>
      <c r="C1745" s="1" t="n">
        <v>41</v>
      </c>
      <c r="D1745" s="1" t="s">
        <v>1592</v>
      </c>
      <c r="E1745" s="1" t="n">
        <v>5</v>
      </c>
      <c r="F1745" s="1" t="n">
        <v>594.54</v>
      </c>
      <c r="G1745" s="1" t="n">
        <v>0.1</v>
      </c>
      <c r="H1745" s="1" t="s">
        <v>1336</v>
      </c>
      <c r="I1745" s="1" t="n">
        <v>2675.43</v>
      </c>
      <c r="J1745" s="1" t="str">
        <f aca="false">VLOOKUP(B1745,Customers!$A$2:$G$502,6,FALSE())</f>
        <v>Small Business</v>
      </c>
      <c r="K1745" s="1" t="str">
        <f aca="false">VLOOKUP(C1745,Products!$A$2:$E$62,3,FALSE())</f>
        <v>Software</v>
      </c>
      <c r="L1745" s="1" t="str">
        <f aca="false">TEXT(D1745,"yyyy-mm")</f>
        <v>2024-03</v>
      </c>
    </row>
    <row r="1746" customFormat="false" ht="15" hidden="false" customHeight="true" outlineLevel="0" collapsed="false">
      <c r="A1746" s="1" t="n">
        <v>1781</v>
      </c>
      <c r="B1746" s="1" t="n">
        <v>267</v>
      </c>
      <c r="C1746" s="1" t="n">
        <v>34</v>
      </c>
      <c r="D1746" s="1" t="s">
        <v>1363</v>
      </c>
      <c r="E1746" s="1" t="n">
        <v>3</v>
      </c>
      <c r="F1746" s="1" t="n">
        <v>116.85</v>
      </c>
      <c r="G1746" s="1" t="n">
        <v>0.05</v>
      </c>
      <c r="H1746" s="1" t="s">
        <v>1336</v>
      </c>
      <c r="I1746" s="1" t="n">
        <v>333.02</v>
      </c>
      <c r="J1746" s="1" t="str">
        <f aca="false">VLOOKUP(B1746,Customers!$A$2:$G$502,6,FALSE())</f>
        <v>Corporate</v>
      </c>
      <c r="K1746" s="1" t="str">
        <f aca="false">VLOOKUP(C1746,Products!$A$2:$E$62,3,FALSE())</f>
        <v>Office Supplies</v>
      </c>
      <c r="L1746" s="1" t="str">
        <f aca="false">TEXT(D1746,"yyyy-mm")</f>
        <v>2024-09</v>
      </c>
    </row>
    <row r="1747" customFormat="false" ht="15" hidden="false" customHeight="true" outlineLevel="0" collapsed="false">
      <c r="A1747" s="1" t="n">
        <v>1782</v>
      </c>
      <c r="B1747" s="1" t="n">
        <v>494</v>
      </c>
      <c r="C1747" s="1" t="n">
        <v>55</v>
      </c>
      <c r="D1747" s="1" t="s">
        <v>84</v>
      </c>
      <c r="E1747" s="1" t="n">
        <v>2</v>
      </c>
      <c r="F1747" s="1" t="n">
        <v>123.38</v>
      </c>
      <c r="G1747" s="1" t="n">
        <v>0</v>
      </c>
      <c r="H1747" s="1" t="s">
        <v>1336</v>
      </c>
      <c r="I1747" s="1" t="n">
        <v>246.76</v>
      </c>
      <c r="J1747" s="1" t="str">
        <f aca="false">VLOOKUP(B1747,Customers!$A$2:$G$502,6,FALSE())</f>
        <v>Corporate</v>
      </c>
      <c r="K1747" s="1" t="str">
        <f aca="false">VLOOKUP(C1747,Products!$A$2:$E$62,3,FALSE())</f>
        <v>Furniture</v>
      </c>
      <c r="L1747" s="1" t="str">
        <f aca="false">TEXT(D1747,"yyyy-mm")</f>
        <v>2024-12</v>
      </c>
    </row>
    <row r="1748" customFormat="false" ht="15" hidden="false" customHeight="true" outlineLevel="0" collapsed="false">
      <c r="A1748" s="1" t="n">
        <v>1783</v>
      </c>
      <c r="B1748" s="1" t="n">
        <v>150</v>
      </c>
      <c r="C1748" s="1" t="n">
        <v>42</v>
      </c>
      <c r="D1748" s="1" t="s">
        <v>1556</v>
      </c>
      <c r="E1748" s="1" t="n">
        <v>2</v>
      </c>
      <c r="F1748" s="1" t="n">
        <v>174.48</v>
      </c>
      <c r="G1748" s="1" t="n">
        <v>0</v>
      </c>
      <c r="H1748" s="1" t="s">
        <v>1336</v>
      </c>
      <c r="I1748" s="1" t="n">
        <v>348.96</v>
      </c>
      <c r="J1748" s="1" t="str">
        <f aca="false">VLOOKUP(B1748,Customers!$A$2:$G$502,6,FALSE())</f>
        <v>Corporate</v>
      </c>
      <c r="K1748" s="1" t="str">
        <f aca="false">VLOOKUP(C1748,Products!$A$2:$E$62,3,FALSE())</f>
        <v>Software</v>
      </c>
      <c r="L1748" s="1" t="str">
        <f aca="false">TEXT(D1748,"yyyy-mm")</f>
        <v>2024-02</v>
      </c>
    </row>
    <row r="1749" customFormat="false" ht="15" hidden="false" customHeight="true" outlineLevel="0" collapsed="false">
      <c r="A1749" s="1" t="n">
        <v>1784</v>
      </c>
      <c r="B1749" s="1" t="n">
        <v>361</v>
      </c>
      <c r="C1749" s="1" t="n">
        <v>11</v>
      </c>
      <c r="D1749" s="1" t="s">
        <v>248</v>
      </c>
      <c r="E1749" s="1" t="n">
        <v>3</v>
      </c>
      <c r="F1749" s="1" t="n">
        <v>328.39</v>
      </c>
      <c r="G1749" s="1" t="n">
        <v>0</v>
      </c>
      <c r="H1749" s="1" t="s">
        <v>1336</v>
      </c>
      <c r="I1749" s="1" t="n">
        <v>985.17</v>
      </c>
      <c r="J1749" s="1" t="str">
        <f aca="false">VLOOKUP(B1749,Customers!$A$2:$G$502,6,FALSE())</f>
        <v>Small Business</v>
      </c>
      <c r="K1749" s="1" t="str">
        <f aca="false">VLOOKUP(C1749,Products!$A$2:$E$62,3,FALSE())</f>
        <v>Electronics</v>
      </c>
      <c r="L1749" s="1" t="str">
        <f aca="false">TEXT(D1749,"yyyy-mm")</f>
        <v>2024-01</v>
      </c>
    </row>
    <row r="1750" customFormat="false" ht="15" hidden="false" customHeight="true" outlineLevel="0" collapsed="false">
      <c r="A1750" s="1" t="n">
        <v>1785</v>
      </c>
      <c r="B1750" s="1" t="n">
        <v>89</v>
      </c>
      <c r="C1750" s="1" t="n">
        <v>46</v>
      </c>
      <c r="D1750" s="1" t="s">
        <v>1351</v>
      </c>
      <c r="E1750" s="1" t="n">
        <v>2</v>
      </c>
      <c r="F1750" s="1" t="n">
        <v>94.92</v>
      </c>
      <c r="G1750" s="1" t="n">
        <v>0.2</v>
      </c>
      <c r="H1750" s="1" t="s">
        <v>1336</v>
      </c>
      <c r="I1750" s="1" t="n">
        <v>151.87</v>
      </c>
      <c r="J1750" s="1" t="str">
        <f aca="false">VLOOKUP(B1750,Customers!$A$2:$G$502,6,FALSE())</f>
        <v>Small Business</v>
      </c>
      <c r="K1750" s="1" t="str">
        <f aca="false">VLOOKUP(C1750,Products!$A$2:$E$62,3,FALSE())</f>
        <v>Software</v>
      </c>
      <c r="L1750" s="1" t="str">
        <f aca="false">TEXT(D1750,"yyyy-mm")</f>
        <v>2024-07</v>
      </c>
    </row>
    <row r="1751" customFormat="false" ht="15" hidden="false" customHeight="true" outlineLevel="0" collapsed="false">
      <c r="A1751" s="1" t="n">
        <v>1786</v>
      </c>
      <c r="B1751" s="1" t="n">
        <v>103</v>
      </c>
      <c r="C1751" s="1" t="n">
        <v>39</v>
      </c>
      <c r="D1751" s="1" t="s">
        <v>56</v>
      </c>
      <c r="E1751" s="1" t="n">
        <v>4</v>
      </c>
      <c r="F1751" s="1" t="n">
        <v>400.02</v>
      </c>
      <c r="G1751" s="1" t="n">
        <v>0.2</v>
      </c>
      <c r="H1751" s="1" t="s">
        <v>1336</v>
      </c>
      <c r="I1751" s="1" t="n">
        <v>1280.06</v>
      </c>
      <c r="J1751" s="1" t="str">
        <f aca="false">VLOOKUP(B1751,Customers!$A$2:$G$502,6,FALSE())</f>
        <v>Small Business</v>
      </c>
      <c r="K1751" s="1" t="str">
        <f aca="false">VLOOKUP(C1751,Products!$A$2:$E$62,3,FALSE())</f>
        <v>Software</v>
      </c>
      <c r="L1751" s="1" t="str">
        <f aca="false">TEXT(D1751,"yyyy-mm")</f>
        <v>2023-05</v>
      </c>
    </row>
    <row r="1752" customFormat="false" ht="15" hidden="false" customHeight="true" outlineLevel="0" collapsed="false">
      <c r="A1752" s="1" t="n">
        <v>1787</v>
      </c>
      <c r="B1752" s="1" t="n">
        <v>379</v>
      </c>
      <c r="C1752" s="1" t="n">
        <v>1</v>
      </c>
      <c r="D1752" s="1" t="s">
        <v>915</v>
      </c>
      <c r="E1752" s="1" t="n">
        <v>2</v>
      </c>
      <c r="F1752" s="1" t="n">
        <v>327.32</v>
      </c>
      <c r="G1752" s="1" t="n">
        <v>0.1</v>
      </c>
      <c r="H1752" s="1" t="s">
        <v>1336</v>
      </c>
      <c r="I1752" s="1" t="n">
        <v>589.18</v>
      </c>
      <c r="J1752" s="1" t="str">
        <f aca="false">VLOOKUP(B1752,Customers!$A$2:$G$502,6,FALSE())</f>
        <v>Corporate</v>
      </c>
      <c r="K1752" s="1" t="str">
        <f aca="false">VLOOKUP(C1752,Products!$A$2:$E$62,3,FALSE())</f>
        <v>Electronics</v>
      </c>
      <c r="L1752" s="1" t="str">
        <f aca="false">TEXT(D1752,"yyyy-mm")</f>
        <v>2023-04</v>
      </c>
    </row>
    <row r="1753" customFormat="false" ht="15" hidden="false" customHeight="true" outlineLevel="0" collapsed="false">
      <c r="A1753" s="1" t="n">
        <v>1788</v>
      </c>
      <c r="B1753" s="1" t="n">
        <v>238</v>
      </c>
      <c r="C1753" s="1" t="n">
        <v>23</v>
      </c>
      <c r="D1753" s="1" t="s">
        <v>1645</v>
      </c>
      <c r="E1753" s="1" t="n">
        <v>9</v>
      </c>
      <c r="F1753" s="1" t="n">
        <v>188.73</v>
      </c>
      <c r="G1753" s="1" t="n">
        <v>0.1</v>
      </c>
      <c r="H1753" s="1" t="s">
        <v>1336</v>
      </c>
      <c r="I1753" s="1" t="n">
        <v>1528.71</v>
      </c>
      <c r="J1753" s="1" t="str">
        <f aca="false">VLOOKUP(B1753,Customers!$A$2:$G$502,6,FALSE())</f>
        <v>Corporate</v>
      </c>
      <c r="K1753" s="1" t="str">
        <f aca="false">VLOOKUP(C1753,Products!$A$2:$E$62,3,FALSE())</f>
        <v>Office Supplies</v>
      </c>
      <c r="L1753" s="1" t="str">
        <f aca="false">TEXT(D1753,"yyyy-mm")</f>
        <v>2023-01</v>
      </c>
    </row>
    <row r="1754" customFormat="false" ht="15" hidden="false" customHeight="true" outlineLevel="0" collapsed="false">
      <c r="A1754" s="1" t="n">
        <v>1789</v>
      </c>
      <c r="B1754" s="1" t="n">
        <v>234</v>
      </c>
      <c r="C1754" s="1" t="n">
        <v>12</v>
      </c>
      <c r="D1754" s="1" t="s">
        <v>1078</v>
      </c>
      <c r="E1754" s="1" t="n">
        <v>2</v>
      </c>
      <c r="F1754" s="1" t="n">
        <v>179.23</v>
      </c>
      <c r="G1754" s="1" t="n">
        <v>0</v>
      </c>
      <c r="H1754" s="1" t="s">
        <v>1336</v>
      </c>
      <c r="I1754" s="1" t="n">
        <v>358.46</v>
      </c>
      <c r="J1754" s="1" t="str">
        <f aca="false">VLOOKUP(B1754,Customers!$A$2:$G$502,6,FALSE())</f>
        <v>Small Business</v>
      </c>
      <c r="K1754" s="1" t="str">
        <f aca="false">VLOOKUP(C1754,Products!$A$2:$E$62,3,FALSE())</f>
        <v>Electronics</v>
      </c>
      <c r="L1754" s="1" t="str">
        <f aca="false">TEXT(D1754,"yyyy-mm")</f>
        <v>2023-07</v>
      </c>
    </row>
    <row r="1755" customFormat="false" ht="15" hidden="false" customHeight="true" outlineLevel="0" collapsed="false">
      <c r="A1755" s="1" t="n">
        <v>1790</v>
      </c>
      <c r="B1755" s="1" t="n">
        <v>322</v>
      </c>
      <c r="C1755" s="1" t="n">
        <v>18</v>
      </c>
      <c r="D1755" s="1" t="s">
        <v>314</v>
      </c>
      <c r="E1755" s="1" t="n">
        <v>9</v>
      </c>
      <c r="F1755" s="1" t="n">
        <v>747.34</v>
      </c>
      <c r="G1755" s="1" t="n">
        <v>0</v>
      </c>
      <c r="H1755" s="1" t="s">
        <v>1336</v>
      </c>
      <c r="I1755" s="1" t="n">
        <v>6726.06</v>
      </c>
      <c r="J1755" s="1" t="str">
        <f aca="false">VLOOKUP(B1755,Customers!$A$2:$G$502,6,FALSE())</f>
        <v>Consumer</v>
      </c>
      <c r="K1755" s="1" t="str">
        <f aca="false">VLOOKUP(C1755,Products!$A$2:$E$62,3,FALSE())</f>
        <v>Electronics</v>
      </c>
      <c r="L1755" s="1" t="str">
        <f aca="false">TEXT(D1755,"yyyy-mm")</f>
        <v>2024-05</v>
      </c>
    </row>
    <row r="1756" customFormat="false" ht="15" hidden="false" customHeight="true" outlineLevel="0" collapsed="false">
      <c r="A1756" s="1" t="n">
        <v>1791</v>
      </c>
      <c r="B1756" s="1" t="n">
        <v>317</v>
      </c>
      <c r="C1756" s="1" t="n">
        <v>6</v>
      </c>
      <c r="D1756" s="1" t="s">
        <v>1133</v>
      </c>
      <c r="E1756" s="1" t="n">
        <v>6</v>
      </c>
      <c r="F1756" s="1" t="n">
        <v>28.51</v>
      </c>
      <c r="G1756" s="1" t="n">
        <v>0.2</v>
      </c>
      <c r="H1756" s="1" t="s">
        <v>1336</v>
      </c>
      <c r="I1756" s="1" t="n">
        <v>136.85</v>
      </c>
      <c r="J1756" s="1" t="str">
        <f aca="false">VLOOKUP(B1756,Customers!$A$2:$G$502,6,FALSE())</f>
        <v>Small Business</v>
      </c>
      <c r="K1756" s="1" t="str">
        <f aca="false">VLOOKUP(C1756,Products!$A$2:$E$62,3,FALSE())</f>
        <v>Electronics</v>
      </c>
      <c r="L1756" s="1" t="str">
        <f aca="false">TEXT(D1756,"yyyy-mm")</f>
        <v>2024-06</v>
      </c>
    </row>
    <row r="1757" customFormat="false" ht="15" hidden="false" customHeight="true" outlineLevel="0" collapsed="false">
      <c r="A1757" s="1" t="n">
        <v>1792</v>
      </c>
      <c r="B1757" s="1" t="n">
        <v>284</v>
      </c>
      <c r="C1757" s="1" t="n">
        <v>16</v>
      </c>
      <c r="D1757" s="1" t="s">
        <v>29</v>
      </c>
      <c r="E1757" s="1" t="n">
        <v>1</v>
      </c>
      <c r="F1757" s="1" t="n">
        <v>330.91</v>
      </c>
      <c r="G1757" s="1" t="n">
        <v>0.05</v>
      </c>
      <c r="H1757" s="1" t="s">
        <v>1336</v>
      </c>
      <c r="I1757" s="1" t="n">
        <v>314.36</v>
      </c>
      <c r="J1757" s="1" t="str">
        <f aca="false">VLOOKUP(B1757,Customers!$A$2:$G$502,6,FALSE())</f>
        <v>Consumer</v>
      </c>
      <c r="K1757" s="1" t="str">
        <f aca="false">VLOOKUP(C1757,Products!$A$2:$E$62,3,FALSE())</f>
        <v>Electronics</v>
      </c>
      <c r="L1757" s="1" t="str">
        <f aca="false">TEXT(D1757,"yyyy-mm")</f>
        <v>2023-04</v>
      </c>
    </row>
    <row r="1758" customFormat="false" ht="15" hidden="false" customHeight="true" outlineLevel="0" collapsed="false">
      <c r="A1758" s="1" t="n">
        <v>1793</v>
      </c>
      <c r="B1758" s="1" t="n">
        <v>331</v>
      </c>
      <c r="C1758" s="1" t="n">
        <v>31</v>
      </c>
      <c r="D1758" s="1" t="s">
        <v>289</v>
      </c>
      <c r="E1758" s="1" t="n">
        <v>4</v>
      </c>
      <c r="F1758" s="1" t="n">
        <v>224.86</v>
      </c>
      <c r="G1758" s="1" t="n">
        <v>0</v>
      </c>
      <c r="H1758" s="1" t="s">
        <v>1336</v>
      </c>
      <c r="I1758" s="1" t="n">
        <v>899.44</v>
      </c>
      <c r="J1758" s="1" t="str">
        <f aca="false">VLOOKUP(B1758,Customers!$A$2:$G$502,6,FALSE())</f>
        <v>Consumer</v>
      </c>
      <c r="K1758" s="1" t="str">
        <f aca="false">VLOOKUP(C1758,Products!$A$2:$E$62,3,FALSE())</f>
        <v>Office Supplies</v>
      </c>
      <c r="L1758" s="1" t="str">
        <f aca="false">TEXT(D1758,"yyyy-mm")</f>
        <v>2023-06</v>
      </c>
    </row>
    <row r="1759" customFormat="false" ht="15" hidden="false" customHeight="true" outlineLevel="0" collapsed="false">
      <c r="A1759" s="1" t="n">
        <v>1794</v>
      </c>
      <c r="B1759" s="1" t="n">
        <v>112</v>
      </c>
      <c r="C1759" s="1" t="n">
        <v>60</v>
      </c>
      <c r="D1759" s="1" t="s">
        <v>1083</v>
      </c>
      <c r="E1759" s="1" t="n">
        <v>1</v>
      </c>
      <c r="F1759" s="1" t="n">
        <v>584.98</v>
      </c>
      <c r="G1759" s="1" t="n">
        <v>0.15</v>
      </c>
      <c r="H1759" s="1" t="s">
        <v>1336</v>
      </c>
      <c r="I1759" s="1" t="n">
        <v>497.23</v>
      </c>
      <c r="J1759" s="1" t="str">
        <f aca="false">VLOOKUP(B1759,Customers!$A$2:$G$502,6,FALSE())</f>
        <v>Corporate</v>
      </c>
      <c r="K1759" s="1" t="str">
        <f aca="false">VLOOKUP(C1759,Products!$A$2:$E$62,3,FALSE())</f>
        <v>Furniture</v>
      </c>
      <c r="L1759" s="1" t="str">
        <f aca="false">TEXT(D1759,"yyyy-mm")</f>
        <v>2024-08</v>
      </c>
    </row>
    <row r="1760" customFormat="false" ht="15" hidden="false" customHeight="true" outlineLevel="0" collapsed="false">
      <c r="A1760" s="1" t="n">
        <v>1795</v>
      </c>
      <c r="B1760" s="1" t="n">
        <v>94</v>
      </c>
      <c r="C1760" s="1" t="n">
        <v>12</v>
      </c>
      <c r="D1760" s="1" t="s">
        <v>368</v>
      </c>
      <c r="E1760" s="1" t="n">
        <v>6</v>
      </c>
      <c r="F1760" s="1" t="n">
        <v>179.23</v>
      </c>
      <c r="G1760" s="1" t="n">
        <v>0.1</v>
      </c>
      <c r="H1760" s="1" t="s">
        <v>1370</v>
      </c>
      <c r="I1760" s="1" t="n">
        <v>967.84</v>
      </c>
      <c r="J1760" s="1" t="str">
        <f aca="false">VLOOKUP(B1760,Customers!$A$2:$G$502,6,FALSE())</f>
        <v>Small Business</v>
      </c>
      <c r="K1760" s="1" t="str">
        <f aca="false">VLOOKUP(C1760,Products!$A$2:$E$62,3,FALSE())</f>
        <v>Electronics</v>
      </c>
      <c r="L1760" s="1" t="str">
        <f aca="false">TEXT(D1760,"yyyy-mm")</f>
        <v>2023-06</v>
      </c>
    </row>
    <row r="1761" customFormat="false" ht="15" hidden="false" customHeight="true" outlineLevel="0" collapsed="false">
      <c r="A1761" s="1" t="n">
        <v>1796</v>
      </c>
      <c r="B1761" s="1" t="n">
        <v>88</v>
      </c>
      <c r="C1761" s="1" t="n">
        <v>7</v>
      </c>
      <c r="D1761" s="1" t="s">
        <v>1390</v>
      </c>
      <c r="E1761" s="1" t="n">
        <v>4</v>
      </c>
      <c r="F1761" s="1" t="n">
        <v>460</v>
      </c>
      <c r="G1761" s="1" t="n">
        <v>0.2</v>
      </c>
      <c r="H1761" s="1" t="s">
        <v>1336</v>
      </c>
      <c r="I1761" s="1" t="n">
        <v>1472</v>
      </c>
      <c r="J1761" s="1" t="str">
        <f aca="false">VLOOKUP(B1761,Customers!$A$2:$G$502,6,FALSE())</f>
        <v>Corporate</v>
      </c>
      <c r="K1761" s="1" t="str">
        <f aca="false">VLOOKUP(C1761,Products!$A$2:$E$62,3,FALSE())</f>
        <v>Electronics</v>
      </c>
      <c r="L1761" s="1" t="str">
        <f aca="false">TEXT(D1761,"yyyy-mm")</f>
        <v>2024-03</v>
      </c>
    </row>
    <row r="1762" customFormat="false" ht="15" hidden="false" customHeight="true" outlineLevel="0" collapsed="false">
      <c r="A1762" s="1" t="n">
        <v>1797</v>
      </c>
      <c r="B1762" s="1" t="n">
        <v>284</v>
      </c>
      <c r="C1762" s="1" t="n">
        <v>36</v>
      </c>
      <c r="D1762" s="1" t="s">
        <v>1638</v>
      </c>
      <c r="E1762" s="1" t="n">
        <v>3</v>
      </c>
      <c r="F1762" s="1" t="n">
        <v>424.45</v>
      </c>
      <c r="G1762" s="1" t="n">
        <v>0</v>
      </c>
      <c r="H1762" s="1" t="s">
        <v>1346</v>
      </c>
      <c r="I1762" s="1" t="n">
        <v>1273.35</v>
      </c>
      <c r="J1762" s="1" t="str">
        <f aca="false">VLOOKUP(B1762,Customers!$A$2:$G$502,6,FALSE())</f>
        <v>Consumer</v>
      </c>
      <c r="K1762" s="1" t="str">
        <f aca="false">VLOOKUP(C1762,Products!$A$2:$E$62,3,FALSE())</f>
        <v>Software</v>
      </c>
      <c r="L1762" s="1" t="str">
        <f aca="false">TEXT(D1762,"yyyy-mm")</f>
        <v>2023-05</v>
      </c>
    </row>
    <row r="1763" customFormat="false" ht="15" hidden="false" customHeight="true" outlineLevel="0" collapsed="false">
      <c r="A1763" s="1" t="n">
        <v>1798</v>
      </c>
      <c r="B1763" s="1" t="n">
        <v>405</v>
      </c>
      <c r="C1763" s="1" t="n">
        <v>37</v>
      </c>
      <c r="D1763" s="1" t="s">
        <v>1154</v>
      </c>
      <c r="E1763" s="1" t="n">
        <v>3</v>
      </c>
      <c r="F1763" s="1" t="n">
        <v>13.95</v>
      </c>
      <c r="G1763" s="1" t="n">
        <v>0</v>
      </c>
      <c r="H1763" s="1" t="s">
        <v>1336</v>
      </c>
      <c r="I1763" s="1" t="n">
        <v>41.85</v>
      </c>
      <c r="J1763" s="1" t="str">
        <f aca="false">VLOOKUP(B1763,Customers!$A$2:$G$502,6,FALSE())</f>
        <v>Small Business</v>
      </c>
      <c r="K1763" s="1" t="str">
        <f aca="false">VLOOKUP(C1763,Products!$A$2:$E$62,3,FALSE())</f>
        <v>Software</v>
      </c>
      <c r="L1763" s="1" t="str">
        <f aca="false">TEXT(D1763,"yyyy-mm")</f>
        <v>2024-07</v>
      </c>
    </row>
    <row r="1764" customFormat="false" ht="15" hidden="false" customHeight="true" outlineLevel="0" collapsed="false">
      <c r="A1764" s="1" t="n">
        <v>1799</v>
      </c>
      <c r="B1764" s="1" t="n">
        <v>372</v>
      </c>
      <c r="C1764" s="1" t="n">
        <v>42</v>
      </c>
      <c r="D1764" s="1" t="s">
        <v>1632</v>
      </c>
      <c r="E1764" s="1" t="n">
        <v>9</v>
      </c>
      <c r="F1764" s="1" t="n">
        <v>174.48</v>
      </c>
      <c r="G1764" s="1" t="n">
        <v>0.15</v>
      </c>
      <c r="H1764" s="1" t="s">
        <v>1336</v>
      </c>
      <c r="I1764" s="1" t="n">
        <v>1334.77</v>
      </c>
      <c r="J1764" s="1" t="str">
        <f aca="false">VLOOKUP(B1764,Customers!$A$2:$G$502,6,FALSE())</f>
        <v>Corporate</v>
      </c>
      <c r="K1764" s="1" t="str">
        <f aca="false">VLOOKUP(C1764,Products!$A$2:$E$62,3,FALSE())</f>
        <v>Software</v>
      </c>
      <c r="L1764" s="1" t="str">
        <f aca="false">TEXT(D1764,"yyyy-mm")</f>
        <v>2024-04</v>
      </c>
    </row>
    <row r="1765" customFormat="false" ht="15" hidden="false" customHeight="true" outlineLevel="0" collapsed="false">
      <c r="A1765" s="1" t="n">
        <v>1800</v>
      </c>
      <c r="B1765" s="1" t="n">
        <v>127</v>
      </c>
      <c r="C1765" s="1" t="n">
        <v>2</v>
      </c>
      <c r="D1765" s="1" t="s">
        <v>1367</v>
      </c>
      <c r="E1765" s="1" t="n">
        <v>6</v>
      </c>
      <c r="F1765" s="1" t="n">
        <v>498.15</v>
      </c>
      <c r="G1765" s="1" t="n">
        <v>0</v>
      </c>
      <c r="H1765" s="1" t="s">
        <v>1336</v>
      </c>
      <c r="I1765" s="1" t="n">
        <v>2988.9</v>
      </c>
      <c r="J1765" s="1" t="str">
        <f aca="false">VLOOKUP(B1765,Customers!$A$2:$G$502,6,FALSE())</f>
        <v>Corporate</v>
      </c>
      <c r="K1765" s="1" t="str">
        <f aca="false">VLOOKUP(C1765,Products!$A$2:$E$62,3,FALSE())</f>
        <v>Electronics</v>
      </c>
      <c r="L1765" s="1" t="str">
        <f aca="false">TEXT(D1765,"yyyy-mm")</f>
        <v>2024-08</v>
      </c>
    </row>
    <row r="1766" customFormat="false" ht="15" hidden="false" customHeight="true" outlineLevel="0" collapsed="false">
      <c r="A1766" s="1" t="n">
        <v>1801</v>
      </c>
      <c r="B1766" s="1" t="n">
        <v>313</v>
      </c>
      <c r="C1766" s="1" t="n">
        <v>46</v>
      </c>
      <c r="D1766" s="1" t="s">
        <v>1596</v>
      </c>
      <c r="E1766" s="1" t="n">
        <v>9</v>
      </c>
      <c r="F1766" s="1" t="n">
        <v>94.92</v>
      </c>
      <c r="G1766" s="1" t="n">
        <v>0</v>
      </c>
      <c r="H1766" s="1" t="s">
        <v>1346</v>
      </c>
      <c r="I1766" s="1" t="n">
        <v>854.28</v>
      </c>
      <c r="J1766" s="1" t="str">
        <f aca="false">VLOOKUP(B1766,Customers!$A$2:$G$502,6,FALSE())</f>
        <v>Consumer</v>
      </c>
      <c r="K1766" s="1" t="str">
        <f aca="false">VLOOKUP(C1766,Products!$A$2:$E$62,3,FALSE())</f>
        <v>Software</v>
      </c>
      <c r="L1766" s="1" t="str">
        <f aca="false">TEXT(D1766,"yyyy-mm")</f>
        <v>2023-04</v>
      </c>
    </row>
    <row r="1767" customFormat="false" ht="15" hidden="false" customHeight="true" outlineLevel="0" collapsed="false">
      <c r="A1767" s="1" t="n">
        <v>1802</v>
      </c>
      <c r="B1767" s="1" t="n">
        <v>2</v>
      </c>
      <c r="C1767" s="1" t="n">
        <v>12</v>
      </c>
      <c r="D1767" s="1" t="s">
        <v>1367</v>
      </c>
      <c r="E1767" s="1" t="n">
        <v>5</v>
      </c>
      <c r="F1767" s="1" t="n">
        <v>179.23</v>
      </c>
      <c r="G1767" s="1" t="n">
        <v>0</v>
      </c>
      <c r="H1767" s="1" t="s">
        <v>1336</v>
      </c>
      <c r="I1767" s="1" t="n">
        <v>896.15</v>
      </c>
      <c r="J1767" s="1" t="str">
        <f aca="false">VLOOKUP(B1767,Customers!$A$2:$G$502,6,FALSE())</f>
        <v>Small Business</v>
      </c>
      <c r="K1767" s="1" t="str">
        <f aca="false">VLOOKUP(C1767,Products!$A$2:$E$62,3,FALSE())</f>
        <v>Electronics</v>
      </c>
      <c r="L1767" s="1" t="str">
        <f aca="false">TEXT(D1767,"yyyy-mm")</f>
        <v>2024-08</v>
      </c>
    </row>
    <row r="1768" customFormat="false" ht="15" hidden="false" customHeight="true" outlineLevel="0" collapsed="false">
      <c r="A1768" s="1" t="n">
        <v>1803</v>
      </c>
      <c r="B1768" s="1" t="n">
        <v>306</v>
      </c>
      <c r="C1768" s="1" t="n">
        <v>30</v>
      </c>
      <c r="D1768" s="1" t="s">
        <v>1626</v>
      </c>
      <c r="E1768" s="1" t="n">
        <v>2</v>
      </c>
      <c r="F1768" s="1" t="n">
        <v>33.32</v>
      </c>
      <c r="G1768" s="1" t="n">
        <v>0.05</v>
      </c>
      <c r="H1768" s="1" t="s">
        <v>1336</v>
      </c>
      <c r="I1768" s="1" t="n">
        <v>63.31</v>
      </c>
      <c r="J1768" s="1" t="str">
        <f aca="false">VLOOKUP(B1768,Customers!$A$2:$G$502,6,FALSE())</f>
        <v>Small Business</v>
      </c>
      <c r="K1768" s="1" t="str">
        <f aca="false">VLOOKUP(C1768,Products!$A$2:$E$62,3,FALSE())</f>
        <v>Office Supplies</v>
      </c>
      <c r="L1768" s="1" t="str">
        <f aca="false">TEXT(D1768,"yyyy-mm")</f>
        <v>2024-06</v>
      </c>
    </row>
    <row r="1769" customFormat="false" ht="15" hidden="false" customHeight="true" outlineLevel="0" collapsed="false">
      <c r="A1769" s="1" t="n">
        <v>1804</v>
      </c>
      <c r="B1769" s="1" t="n">
        <v>71</v>
      </c>
      <c r="C1769" s="1" t="n">
        <v>38</v>
      </c>
      <c r="D1769" s="1" t="s">
        <v>1357</v>
      </c>
      <c r="E1769" s="1" t="n">
        <v>8</v>
      </c>
      <c r="F1769" s="1" t="n">
        <v>521.63</v>
      </c>
      <c r="G1769" s="1" t="n">
        <v>0.1</v>
      </c>
      <c r="H1769" s="1" t="s">
        <v>1336</v>
      </c>
      <c r="I1769" s="1" t="n">
        <v>3755.74</v>
      </c>
      <c r="J1769" s="1" t="str">
        <f aca="false">VLOOKUP(B1769,Customers!$A$2:$G$502,6,FALSE())</f>
        <v>Corporate</v>
      </c>
      <c r="K1769" s="1" t="str">
        <f aca="false">VLOOKUP(C1769,Products!$A$2:$E$62,3,FALSE())</f>
        <v>Software</v>
      </c>
      <c r="L1769" s="1" t="str">
        <f aca="false">TEXT(D1769,"yyyy-mm")</f>
        <v>2024-07</v>
      </c>
    </row>
    <row r="1770" customFormat="false" ht="15" hidden="false" customHeight="true" outlineLevel="0" collapsed="false">
      <c r="A1770" s="1" t="n">
        <v>1805</v>
      </c>
      <c r="B1770" s="1" t="n">
        <v>51</v>
      </c>
      <c r="C1770" s="1" t="n">
        <v>9</v>
      </c>
      <c r="D1770" s="1" t="s">
        <v>1664</v>
      </c>
      <c r="E1770" s="1" t="n">
        <v>5</v>
      </c>
      <c r="F1770" s="1" t="n">
        <v>203.1</v>
      </c>
      <c r="G1770" s="1" t="n">
        <v>0.05</v>
      </c>
      <c r="H1770" s="1" t="s">
        <v>1336</v>
      </c>
      <c r="I1770" s="1" t="n">
        <v>964.72</v>
      </c>
      <c r="J1770" s="1" t="str">
        <f aca="false">VLOOKUP(B1770,Customers!$A$2:$G$502,6,FALSE())</f>
        <v>Corporate</v>
      </c>
      <c r="K1770" s="1" t="str">
        <f aca="false">VLOOKUP(C1770,Products!$A$2:$E$62,3,FALSE())</f>
        <v>Electronics</v>
      </c>
      <c r="L1770" s="1" t="str">
        <f aca="false">TEXT(D1770,"yyyy-mm")</f>
        <v>2024-01</v>
      </c>
    </row>
    <row r="1771" customFormat="false" ht="15" hidden="false" customHeight="true" outlineLevel="0" collapsed="false">
      <c r="A1771" s="1" t="n">
        <v>1806</v>
      </c>
      <c r="B1771" s="1" t="n">
        <v>20</v>
      </c>
      <c r="C1771" s="1" t="n">
        <v>57</v>
      </c>
      <c r="D1771" s="1" t="s">
        <v>164</v>
      </c>
      <c r="E1771" s="1" t="n">
        <v>2</v>
      </c>
      <c r="F1771" s="1" t="n">
        <v>719.76</v>
      </c>
      <c r="G1771" s="1" t="n">
        <v>0</v>
      </c>
      <c r="H1771" s="1" t="s">
        <v>1336</v>
      </c>
      <c r="I1771" s="1" t="n">
        <v>1439.52</v>
      </c>
      <c r="J1771" s="1" t="str">
        <f aca="false">VLOOKUP(B1771,Customers!$A$2:$G$502,6,FALSE())</f>
        <v>Consumer</v>
      </c>
      <c r="K1771" s="1" t="str">
        <f aca="false">VLOOKUP(C1771,Products!$A$2:$E$62,3,FALSE())</f>
        <v>Furniture</v>
      </c>
      <c r="L1771" s="1" t="str">
        <f aca="false">TEXT(D1771,"yyyy-mm")</f>
        <v>2023-02</v>
      </c>
    </row>
    <row r="1772" customFormat="false" ht="15" hidden="false" customHeight="true" outlineLevel="0" collapsed="false">
      <c r="A1772" s="1" t="n">
        <v>1807</v>
      </c>
      <c r="B1772" s="1" t="n">
        <v>239</v>
      </c>
      <c r="C1772" s="1" t="n">
        <v>34</v>
      </c>
      <c r="D1772" s="1" t="s">
        <v>1544</v>
      </c>
      <c r="E1772" s="1" t="n">
        <v>4</v>
      </c>
      <c r="F1772" s="1" t="n">
        <v>116.85</v>
      </c>
      <c r="G1772" s="1" t="n">
        <v>0.1</v>
      </c>
      <c r="H1772" s="1" t="s">
        <v>1336</v>
      </c>
      <c r="I1772" s="1" t="n">
        <v>420.66</v>
      </c>
      <c r="J1772" s="1" t="str">
        <f aca="false">VLOOKUP(B1772,Customers!$A$2:$G$502,6,FALSE())</f>
        <v>Corporate</v>
      </c>
      <c r="K1772" s="1" t="str">
        <f aca="false">VLOOKUP(C1772,Products!$A$2:$E$62,3,FALSE())</f>
        <v>Office Supplies</v>
      </c>
      <c r="L1772" s="1" t="str">
        <f aca="false">TEXT(D1772,"yyyy-mm")</f>
        <v>2024-05</v>
      </c>
    </row>
    <row r="1773" customFormat="false" ht="15" hidden="false" customHeight="true" outlineLevel="0" collapsed="false">
      <c r="A1773" s="1" t="n">
        <v>1808</v>
      </c>
      <c r="B1773" s="1" t="n">
        <v>370</v>
      </c>
      <c r="C1773" s="1" t="n">
        <v>46</v>
      </c>
      <c r="D1773" s="1" t="s">
        <v>405</v>
      </c>
      <c r="E1773" s="1" t="n">
        <v>9</v>
      </c>
      <c r="F1773" s="1" t="n">
        <v>94.92</v>
      </c>
      <c r="G1773" s="1" t="n">
        <v>0.15</v>
      </c>
      <c r="H1773" s="1" t="s">
        <v>1336</v>
      </c>
      <c r="I1773" s="1" t="n">
        <v>726.14</v>
      </c>
      <c r="J1773" s="1" t="str">
        <f aca="false">VLOOKUP(B1773,Customers!$A$2:$G$502,6,FALSE())</f>
        <v>Small Business</v>
      </c>
      <c r="K1773" s="1" t="str">
        <f aca="false">VLOOKUP(C1773,Products!$A$2:$E$62,3,FALSE())</f>
        <v>Software</v>
      </c>
      <c r="L1773" s="1" t="str">
        <f aca="false">TEXT(D1773,"yyyy-mm")</f>
        <v>2024-01</v>
      </c>
    </row>
    <row r="1774" customFormat="false" ht="15" hidden="false" customHeight="true" outlineLevel="0" collapsed="false">
      <c r="A1774" s="1" t="n">
        <v>1809</v>
      </c>
      <c r="B1774" s="1" t="n">
        <v>32</v>
      </c>
      <c r="C1774" s="1" t="n">
        <v>52</v>
      </c>
      <c r="D1774" s="1" t="s">
        <v>1658</v>
      </c>
      <c r="E1774" s="1" t="n">
        <v>4</v>
      </c>
      <c r="F1774" s="1" t="n">
        <v>207.67</v>
      </c>
      <c r="G1774" s="1" t="n">
        <v>0</v>
      </c>
      <c r="H1774" s="1" t="s">
        <v>1336</v>
      </c>
      <c r="I1774" s="1" t="n">
        <v>830.68</v>
      </c>
      <c r="J1774" s="1" t="str">
        <f aca="false">VLOOKUP(B1774,Customers!$A$2:$G$502,6,FALSE())</f>
        <v>Small Business</v>
      </c>
      <c r="K1774" s="1" t="str">
        <f aca="false">VLOOKUP(C1774,Products!$A$2:$E$62,3,FALSE())</f>
        <v>Software</v>
      </c>
      <c r="L1774" s="1" t="str">
        <f aca="false">TEXT(D1774,"yyyy-mm")</f>
        <v>2023-02</v>
      </c>
    </row>
    <row r="1775" customFormat="false" ht="15" hidden="false" customHeight="true" outlineLevel="0" collapsed="false">
      <c r="A1775" s="1" t="n">
        <v>1810</v>
      </c>
      <c r="B1775" s="1" t="n">
        <v>42</v>
      </c>
      <c r="C1775" s="1" t="n">
        <v>53</v>
      </c>
      <c r="D1775" s="1" t="s">
        <v>980</v>
      </c>
      <c r="E1775" s="1" t="n">
        <v>4</v>
      </c>
      <c r="F1775" s="1" t="n">
        <v>509.98</v>
      </c>
      <c r="G1775" s="1" t="n">
        <v>0.2</v>
      </c>
      <c r="H1775" s="1" t="s">
        <v>1336</v>
      </c>
      <c r="I1775" s="1" t="n">
        <v>1631.94</v>
      </c>
      <c r="J1775" s="1" t="str">
        <f aca="false">VLOOKUP(B1775,Customers!$A$2:$G$502,6,FALSE())</f>
        <v>Small Business</v>
      </c>
      <c r="K1775" s="1" t="str">
        <f aca="false">VLOOKUP(C1775,Products!$A$2:$E$62,3,FALSE())</f>
        <v>Software</v>
      </c>
      <c r="L1775" s="1" t="str">
        <f aca="false">TEXT(D1775,"yyyy-mm")</f>
        <v>2024-08</v>
      </c>
    </row>
    <row r="1776" customFormat="false" ht="15" hidden="false" customHeight="true" outlineLevel="0" collapsed="false">
      <c r="A1776" s="1" t="n">
        <v>1811</v>
      </c>
      <c r="B1776" s="1" t="n">
        <v>447</v>
      </c>
      <c r="C1776" s="1" t="n">
        <v>11</v>
      </c>
      <c r="D1776" s="1" t="s">
        <v>146</v>
      </c>
      <c r="E1776" s="1" t="n">
        <v>2</v>
      </c>
      <c r="F1776" s="1" t="n">
        <v>328.39</v>
      </c>
      <c r="G1776" s="1" t="n">
        <v>0.2</v>
      </c>
      <c r="H1776" s="1" t="s">
        <v>1336</v>
      </c>
      <c r="I1776" s="1" t="n">
        <v>525.42</v>
      </c>
      <c r="J1776" s="1" t="str">
        <f aca="false">VLOOKUP(B1776,Customers!$A$2:$G$502,6,FALSE())</f>
        <v>Small Business</v>
      </c>
      <c r="K1776" s="1" t="str">
        <f aca="false">VLOOKUP(C1776,Products!$A$2:$E$62,3,FALSE())</f>
        <v>Electronics</v>
      </c>
      <c r="L1776" s="1" t="str">
        <f aca="false">TEXT(D1776,"yyyy-mm")</f>
        <v>2023-08</v>
      </c>
    </row>
    <row r="1777" customFormat="false" ht="15" hidden="false" customHeight="true" outlineLevel="0" collapsed="false">
      <c r="A1777" s="1" t="n">
        <v>1812</v>
      </c>
      <c r="B1777" s="1" t="n">
        <v>77</v>
      </c>
      <c r="C1777" s="1" t="n">
        <v>42</v>
      </c>
      <c r="D1777" s="1" t="s">
        <v>1387</v>
      </c>
      <c r="E1777" s="1" t="n">
        <v>6</v>
      </c>
      <c r="F1777" s="1" t="n">
        <v>174.48</v>
      </c>
      <c r="G1777" s="1" t="n">
        <v>0</v>
      </c>
      <c r="H1777" s="1" t="s">
        <v>1336</v>
      </c>
      <c r="I1777" s="1" t="n">
        <v>1046.88</v>
      </c>
      <c r="J1777" s="1" t="str">
        <f aca="false">VLOOKUP(B1777,Customers!$A$2:$G$502,6,FALSE())</f>
        <v>Consumer</v>
      </c>
      <c r="K1777" s="1" t="str">
        <f aca="false">VLOOKUP(C1777,Products!$A$2:$E$62,3,FALSE())</f>
        <v>Software</v>
      </c>
      <c r="L1777" s="1" t="str">
        <f aca="false">TEXT(D1777,"yyyy-mm")</f>
        <v>2024-08</v>
      </c>
    </row>
    <row r="1778" customFormat="false" ht="15" hidden="false" customHeight="true" outlineLevel="0" collapsed="false">
      <c r="A1778" s="1" t="n">
        <v>1813</v>
      </c>
      <c r="B1778" s="1" t="n">
        <v>13</v>
      </c>
      <c r="C1778" s="1" t="n">
        <v>6</v>
      </c>
      <c r="D1778" s="1" t="s">
        <v>1582</v>
      </c>
      <c r="E1778" s="1" t="n">
        <v>2</v>
      </c>
      <c r="F1778" s="1" t="n">
        <v>28.51</v>
      </c>
      <c r="G1778" s="1" t="n">
        <v>0</v>
      </c>
      <c r="H1778" s="1" t="s">
        <v>1336</v>
      </c>
      <c r="I1778" s="1" t="n">
        <v>57.02</v>
      </c>
      <c r="J1778" s="1" t="str">
        <f aca="false">VLOOKUP(B1778,Customers!$A$2:$G$502,6,FALSE())</f>
        <v>Corporate</v>
      </c>
      <c r="K1778" s="1" t="str">
        <f aca="false">VLOOKUP(C1778,Products!$A$2:$E$62,3,FALSE())</f>
        <v>Electronics</v>
      </c>
      <c r="L1778" s="1" t="str">
        <f aca="false">TEXT(D1778,"yyyy-mm")</f>
        <v>2023-11</v>
      </c>
    </row>
    <row r="1779" customFormat="false" ht="15" hidden="false" customHeight="true" outlineLevel="0" collapsed="false">
      <c r="A1779" s="1" t="n">
        <v>1814</v>
      </c>
      <c r="B1779" s="1" t="n">
        <v>314</v>
      </c>
      <c r="C1779" s="1" t="n">
        <v>53</v>
      </c>
      <c r="D1779" s="1" t="s">
        <v>1574</v>
      </c>
      <c r="E1779" s="1" t="n">
        <v>7</v>
      </c>
      <c r="F1779" s="1" t="n">
        <v>509.98</v>
      </c>
      <c r="G1779" s="1" t="n">
        <v>0</v>
      </c>
      <c r="H1779" s="1" t="s">
        <v>1336</v>
      </c>
      <c r="I1779" s="1" t="n">
        <v>3569.86</v>
      </c>
      <c r="J1779" s="1" t="str">
        <f aca="false">VLOOKUP(B1779,Customers!$A$2:$G$502,6,FALSE())</f>
        <v>Small Business</v>
      </c>
      <c r="K1779" s="1" t="str">
        <f aca="false">VLOOKUP(C1779,Products!$A$2:$E$62,3,FALSE())</f>
        <v>Software</v>
      </c>
      <c r="L1779" s="1" t="str">
        <f aca="false">TEXT(D1779,"yyyy-mm")</f>
        <v>2023-07</v>
      </c>
    </row>
    <row r="1780" customFormat="false" ht="15" hidden="false" customHeight="true" outlineLevel="0" collapsed="false">
      <c r="A1780" s="1" t="n">
        <v>1815</v>
      </c>
      <c r="B1780" s="1" t="n">
        <v>256</v>
      </c>
      <c r="C1780" s="1" t="n">
        <v>6</v>
      </c>
      <c r="D1780" s="1" t="s">
        <v>1665</v>
      </c>
      <c r="E1780" s="1" t="n">
        <v>3</v>
      </c>
      <c r="F1780" s="1" t="n">
        <v>28.51</v>
      </c>
      <c r="G1780" s="1" t="n">
        <v>0</v>
      </c>
      <c r="H1780" s="1" t="s">
        <v>1336</v>
      </c>
      <c r="I1780" s="1" t="n">
        <v>85.53</v>
      </c>
      <c r="J1780" s="1" t="str">
        <f aca="false">VLOOKUP(B1780,Customers!$A$2:$G$502,6,FALSE())</f>
        <v>Small Business</v>
      </c>
      <c r="K1780" s="1" t="str">
        <f aca="false">VLOOKUP(C1780,Products!$A$2:$E$62,3,FALSE())</f>
        <v>Electronics</v>
      </c>
      <c r="L1780" s="1" t="str">
        <f aca="false">TEXT(D1780,"yyyy-mm")</f>
        <v>2024-09</v>
      </c>
    </row>
    <row r="1781" customFormat="false" ht="15" hidden="false" customHeight="true" outlineLevel="0" collapsed="false">
      <c r="A1781" s="1" t="n">
        <v>1816</v>
      </c>
      <c r="B1781" s="1" t="n">
        <v>107</v>
      </c>
      <c r="C1781" s="1" t="n">
        <v>11</v>
      </c>
      <c r="D1781" s="1" t="s">
        <v>1532</v>
      </c>
      <c r="E1781" s="1" t="n">
        <v>3</v>
      </c>
      <c r="F1781" s="1" t="n">
        <v>328.39</v>
      </c>
      <c r="G1781" s="1" t="n">
        <v>0.2</v>
      </c>
      <c r="H1781" s="1" t="s">
        <v>1336</v>
      </c>
      <c r="I1781" s="1" t="n">
        <v>788.14</v>
      </c>
      <c r="J1781" s="1" t="str">
        <f aca="false">VLOOKUP(B1781,Customers!$A$2:$G$502,6,FALSE())</f>
        <v>Consumer</v>
      </c>
      <c r="K1781" s="1" t="str">
        <f aca="false">VLOOKUP(C1781,Products!$A$2:$E$62,3,FALSE())</f>
        <v>Electronics</v>
      </c>
      <c r="L1781" s="1" t="str">
        <f aca="false">TEXT(D1781,"yyyy-mm")</f>
        <v>2023-05</v>
      </c>
    </row>
    <row r="1782" customFormat="false" ht="15" hidden="false" customHeight="true" outlineLevel="0" collapsed="false">
      <c r="A1782" s="1" t="n">
        <v>1817</v>
      </c>
      <c r="B1782" s="1" t="n">
        <v>339</v>
      </c>
      <c r="C1782" s="1" t="n">
        <v>9</v>
      </c>
      <c r="D1782" s="1" t="s">
        <v>742</v>
      </c>
      <c r="E1782" s="1" t="n">
        <v>5</v>
      </c>
      <c r="F1782" s="1" t="n">
        <v>203.1</v>
      </c>
      <c r="G1782" s="1" t="n">
        <v>0</v>
      </c>
      <c r="H1782" s="1" t="s">
        <v>1336</v>
      </c>
      <c r="I1782" s="1" t="n">
        <v>1015.5</v>
      </c>
      <c r="J1782" s="1" t="str">
        <f aca="false">VLOOKUP(B1782,Customers!$A$2:$G$502,6,FALSE())</f>
        <v>Corporate</v>
      </c>
      <c r="K1782" s="1" t="str">
        <f aca="false">VLOOKUP(C1782,Products!$A$2:$E$62,3,FALSE())</f>
        <v>Electronics</v>
      </c>
      <c r="L1782" s="1" t="str">
        <f aca="false">TEXT(D1782,"yyyy-mm")</f>
        <v>2023-02</v>
      </c>
    </row>
    <row r="1783" customFormat="false" ht="15" hidden="false" customHeight="true" outlineLevel="0" collapsed="false">
      <c r="A1783" s="1" t="n">
        <v>1818</v>
      </c>
      <c r="B1783" s="1" t="n">
        <v>207</v>
      </c>
      <c r="C1783" s="1" t="n">
        <v>7</v>
      </c>
      <c r="D1783" s="1" t="s">
        <v>470</v>
      </c>
      <c r="E1783" s="1" t="n">
        <v>3</v>
      </c>
      <c r="F1783" s="1" t="n">
        <v>460</v>
      </c>
      <c r="G1783" s="1" t="n">
        <v>0</v>
      </c>
      <c r="H1783" s="1" t="s">
        <v>1336</v>
      </c>
      <c r="I1783" s="1" t="n">
        <v>1380</v>
      </c>
      <c r="J1783" s="1" t="str">
        <f aca="false">VLOOKUP(B1783,Customers!$A$2:$G$502,6,FALSE())</f>
        <v>Corporate</v>
      </c>
      <c r="K1783" s="1" t="str">
        <f aca="false">VLOOKUP(C1783,Products!$A$2:$E$62,3,FALSE())</f>
        <v>Electronics</v>
      </c>
      <c r="L1783" s="1" t="str">
        <f aca="false">TEXT(D1783,"yyyy-mm")</f>
        <v>2023-05</v>
      </c>
    </row>
    <row r="1784" customFormat="false" ht="15" hidden="false" customHeight="true" outlineLevel="0" collapsed="false">
      <c r="A1784" s="1" t="n">
        <v>1819</v>
      </c>
      <c r="B1784" s="1" t="n">
        <v>176</v>
      </c>
      <c r="C1784" s="1" t="n">
        <v>43</v>
      </c>
      <c r="D1784" s="1" t="s">
        <v>1652</v>
      </c>
      <c r="E1784" s="1" t="n">
        <v>2</v>
      </c>
      <c r="F1784" s="1" t="n">
        <v>186.31</v>
      </c>
      <c r="G1784" s="1" t="n">
        <v>0.2</v>
      </c>
      <c r="H1784" s="1" t="s">
        <v>1336</v>
      </c>
      <c r="I1784" s="1" t="n">
        <v>298.1</v>
      </c>
      <c r="J1784" s="1" t="str">
        <f aca="false">VLOOKUP(B1784,Customers!$A$2:$G$502,6,FALSE())</f>
        <v>Corporate</v>
      </c>
      <c r="K1784" s="1" t="str">
        <f aca="false">VLOOKUP(C1784,Products!$A$2:$E$62,3,FALSE())</f>
        <v>Software</v>
      </c>
      <c r="L1784" s="1" t="str">
        <f aca="false">TEXT(D1784,"yyyy-mm")</f>
        <v>2024-06</v>
      </c>
    </row>
    <row r="1785" customFormat="false" ht="15" hidden="false" customHeight="true" outlineLevel="0" collapsed="false">
      <c r="A1785" s="1" t="n">
        <v>1821</v>
      </c>
      <c r="B1785" s="1" t="n">
        <v>92</v>
      </c>
      <c r="C1785" s="1" t="n">
        <v>30</v>
      </c>
      <c r="D1785" s="1" t="s">
        <v>1610</v>
      </c>
      <c r="E1785" s="1" t="n">
        <v>2</v>
      </c>
      <c r="F1785" s="1" t="n">
        <v>33.32</v>
      </c>
      <c r="G1785" s="1" t="n">
        <v>0.15</v>
      </c>
      <c r="H1785" s="1" t="s">
        <v>1336</v>
      </c>
      <c r="I1785" s="1" t="n">
        <v>56.64</v>
      </c>
      <c r="J1785" s="1" t="str">
        <f aca="false">VLOOKUP(B1785,Customers!$A$2:$G$502,6,FALSE())</f>
        <v>Corporate</v>
      </c>
      <c r="K1785" s="1" t="str">
        <f aca="false">VLOOKUP(C1785,Products!$A$2:$E$62,3,FALSE())</f>
        <v>Office Supplies</v>
      </c>
      <c r="L1785" s="1" t="str">
        <f aca="false">TEXT(D1785,"yyyy-mm")</f>
        <v>2024-10</v>
      </c>
    </row>
    <row r="1786" customFormat="false" ht="15" hidden="false" customHeight="true" outlineLevel="0" collapsed="false">
      <c r="A1786" s="1" t="n">
        <v>1822</v>
      </c>
      <c r="B1786" s="1" t="n">
        <v>145</v>
      </c>
      <c r="C1786" s="1" t="n">
        <v>12</v>
      </c>
      <c r="D1786" s="1" t="s">
        <v>629</v>
      </c>
      <c r="E1786" s="1" t="n">
        <v>2</v>
      </c>
      <c r="F1786" s="1" t="n">
        <v>179.23</v>
      </c>
      <c r="G1786" s="1" t="n">
        <v>0</v>
      </c>
      <c r="H1786" s="1" t="s">
        <v>1336</v>
      </c>
      <c r="I1786" s="1" t="n">
        <v>358.46</v>
      </c>
      <c r="J1786" s="1" t="str">
        <f aca="false">VLOOKUP(B1786,Customers!$A$2:$G$502,6,FALSE())</f>
        <v>Corporate</v>
      </c>
      <c r="K1786" s="1" t="str">
        <f aca="false">VLOOKUP(C1786,Products!$A$2:$E$62,3,FALSE())</f>
        <v>Electronics</v>
      </c>
      <c r="L1786" s="1" t="str">
        <f aca="false">TEXT(D1786,"yyyy-mm")</f>
        <v>2023-04</v>
      </c>
    </row>
    <row r="1787" customFormat="false" ht="15" hidden="false" customHeight="true" outlineLevel="0" collapsed="false">
      <c r="A1787" s="1" t="n">
        <v>1823</v>
      </c>
      <c r="B1787" s="1" t="n">
        <v>72</v>
      </c>
      <c r="C1787" s="1" t="n">
        <v>60</v>
      </c>
      <c r="D1787" s="1" t="s">
        <v>1619</v>
      </c>
      <c r="E1787" s="1" t="n">
        <v>8</v>
      </c>
      <c r="F1787" s="1" t="n">
        <v>584.98</v>
      </c>
      <c r="G1787" s="1" t="n">
        <v>0.2</v>
      </c>
      <c r="H1787" s="1" t="s">
        <v>1336</v>
      </c>
      <c r="I1787" s="1" t="n">
        <v>3743.87</v>
      </c>
      <c r="J1787" s="1" t="str">
        <f aca="false">VLOOKUP(B1787,Customers!$A$2:$G$502,6,FALSE())</f>
        <v>Corporate</v>
      </c>
      <c r="K1787" s="1" t="str">
        <f aca="false">VLOOKUP(C1787,Products!$A$2:$E$62,3,FALSE())</f>
        <v>Furniture</v>
      </c>
      <c r="L1787" s="1" t="str">
        <f aca="false">TEXT(D1787,"yyyy-mm")</f>
        <v>2023-12</v>
      </c>
    </row>
    <row r="1788" customFormat="false" ht="15" hidden="false" customHeight="true" outlineLevel="0" collapsed="false">
      <c r="A1788" s="1" t="n">
        <v>1824</v>
      </c>
      <c r="B1788" s="1" t="n">
        <v>147</v>
      </c>
      <c r="C1788" s="1" t="n">
        <v>25</v>
      </c>
      <c r="D1788" s="1" t="s">
        <v>591</v>
      </c>
      <c r="E1788" s="1" t="n">
        <v>9</v>
      </c>
      <c r="F1788" s="1" t="n">
        <v>300.49</v>
      </c>
      <c r="G1788" s="1" t="n">
        <v>0</v>
      </c>
      <c r="H1788" s="1" t="s">
        <v>1336</v>
      </c>
      <c r="I1788" s="1" t="n">
        <v>2704.41</v>
      </c>
      <c r="J1788" s="1" t="str">
        <f aca="false">VLOOKUP(B1788,Customers!$A$2:$G$502,6,FALSE())</f>
        <v>Small Business</v>
      </c>
      <c r="K1788" s="1" t="str">
        <f aca="false">VLOOKUP(C1788,Products!$A$2:$E$62,3,FALSE())</f>
        <v>Office Supplies</v>
      </c>
      <c r="L1788" s="1" t="str">
        <f aca="false">TEXT(D1788,"yyyy-mm")</f>
        <v>2023-05</v>
      </c>
    </row>
    <row r="1789" customFormat="false" ht="15" hidden="false" customHeight="true" outlineLevel="0" collapsed="false">
      <c r="A1789" s="1" t="n">
        <v>1826</v>
      </c>
      <c r="B1789" s="1" t="n">
        <v>477</v>
      </c>
      <c r="C1789" s="1" t="n">
        <v>14</v>
      </c>
      <c r="D1789" s="1" t="s">
        <v>170</v>
      </c>
      <c r="E1789" s="1" t="n">
        <v>3</v>
      </c>
      <c r="F1789" s="1" t="n">
        <v>135.27</v>
      </c>
      <c r="G1789" s="1" t="n">
        <v>0.1</v>
      </c>
      <c r="H1789" s="1" t="s">
        <v>1336</v>
      </c>
      <c r="I1789" s="1" t="n">
        <v>365.23</v>
      </c>
      <c r="J1789" s="1" t="str">
        <f aca="false">VLOOKUP(B1789,Customers!$A$2:$G$502,6,FALSE())</f>
        <v>Corporate</v>
      </c>
      <c r="K1789" s="1" t="str">
        <f aca="false">VLOOKUP(C1789,Products!$A$2:$E$62,3,FALSE())</f>
        <v>Electronics</v>
      </c>
      <c r="L1789" s="1" t="str">
        <f aca="false">TEXT(D1789,"yyyy-mm")</f>
        <v>2024-11</v>
      </c>
    </row>
    <row r="1790" customFormat="false" ht="15" hidden="false" customHeight="true" outlineLevel="0" collapsed="false">
      <c r="A1790" s="1" t="n">
        <v>1827</v>
      </c>
      <c r="B1790" s="1" t="n">
        <v>9</v>
      </c>
      <c r="C1790" s="1" t="n">
        <v>50</v>
      </c>
      <c r="D1790" s="1" t="s">
        <v>578</v>
      </c>
      <c r="E1790" s="1" t="n">
        <v>9</v>
      </c>
      <c r="F1790" s="1" t="n">
        <v>19.73</v>
      </c>
      <c r="G1790" s="1" t="n">
        <v>0</v>
      </c>
      <c r="H1790" s="1" t="s">
        <v>1370</v>
      </c>
      <c r="I1790" s="1" t="n">
        <v>177.57</v>
      </c>
      <c r="J1790" s="1" t="str">
        <f aca="false">VLOOKUP(B1790,Customers!$A$2:$G$502,6,FALSE())</f>
        <v>Small Business</v>
      </c>
      <c r="K1790" s="1" t="str">
        <f aca="false">VLOOKUP(C1790,Products!$A$2:$E$62,3,FALSE())</f>
        <v>Software</v>
      </c>
      <c r="L1790" s="1" t="str">
        <f aca="false">TEXT(D1790,"yyyy-mm")</f>
        <v>2023-04</v>
      </c>
    </row>
    <row r="1791" customFormat="false" ht="15" hidden="false" customHeight="true" outlineLevel="0" collapsed="false">
      <c r="A1791" s="1" t="n">
        <v>1828</v>
      </c>
      <c r="B1791" s="1" t="n">
        <v>184</v>
      </c>
      <c r="C1791" s="1" t="n">
        <v>36</v>
      </c>
      <c r="D1791" s="1" t="s">
        <v>1518</v>
      </c>
      <c r="E1791" s="1" t="n">
        <v>3</v>
      </c>
      <c r="F1791" s="1" t="n">
        <v>424.45</v>
      </c>
      <c r="G1791" s="1" t="n">
        <v>0.1</v>
      </c>
      <c r="H1791" s="1" t="s">
        <v>1336</v>
      </c>
      <c r="I1791" s="1" t="n">
        <v>1146.01</v>
      </c>
      <c r="J1791" s="1" t="str">
        <f aca="false">VLOOKUP(B1791,Customers!$A$2:$G$502,6,FALSE())</f>
        <v>Corporate</v>
      </c>
      <c r="K1791" s="1" t="str">
        <f aca="false">VLOOKUP(C1791,Products!$A$2:$E$62,3,FALSE())</f>
        <v>Software</v>
      </c>
      <c r="L1791" s="1" t="str">
        <f aca="false">TEXT(D1791,"yyyy-mm")</f>
        <v>2023-12</v>
      </c>
    </row>
    <row r="1792" customFormat="false" ht="15" hidden="false" customHeight="true" outlineLevel="0" collapsed="false">
      <c r="A1792" s="1" t="n">
        <v>1829</v>
      </c>
      <c r="B1792" s="1" t="n">
        <v>14</v>
      </c>
      <c r="C1792" s="1" t="n">
        <v>17</v>
      </c>
      <c r="D1792" s="1" t="s">
        <v>909</v>
      </c>
      <c r="E1792" s="1" t="n">
        <v>5</v>
      </c>
      <c r="F1792" s="1" t="n">
        <v>65.61</v>
      </c>
      <c r="G1792" s="1" t="n">
        <v>0.15</v>
      </c>
      <c r="H1792" s="1" t="s">
        <v>1336</v>
      </c>
      <c r="I1792" s="1" t="n">
        <v>278.84</v>
      </c>
      <c r="J1792" s="1" t="str">
        <f aca="false">VLOOKUP(B1792,Customers!$A$2:$G$502,6,FALSE())</f>
        <v>Small Business</v>
      </c>
      <c r="K1792" s="1" t="str">
        <f aca="false">VLOOKUP(C1792,Products!$A$2:$E$62,3,FALSE())</f>
        <v>Electronics</v>
      </c>
      <c r="L1792" s="1" t="str">
        <f aca="false">TEXT(D1792,"yyyy-mm")</f>
        <v>2023-03</v>
      </c>
    </row>
    <row r="1793" customFormat="false" ht="15" hidden="false" customHeight="true" outlineLevel="0" collapsed="false">
      <c r="A1793" s="1" t="n">
        <v>1830</v>
      </c>
      <c r="B1793" s="1" t="n">
        <v>217</v>
      </c>
      <c r="C1793" s="1" t="n">
        <v>8</v>
      </c>
      <c r="D1793" s="1" t="s">
        <v>536</v>
      </c>
      <c r="E1793" s="1" t="n">
        <v>9</v>
      </c>
      <c r="F1793" s="1" t="n">
        <v>104.4</v>
      </c>
      <c r="G1793" s="1" t="n">
        <v>0.1</v>
      </c>
      <c r="H1793" s="1" t="s">
        <v>1336</v>
      </c>
      <c r="I1793" s="1" t="n">
        <v>845.64</v>
      </c>
      <c r="J1793" s="1" t="str">
        <f aca="false">VLOOKUP(B1793,Customers!$A$2:$G$502,6,FALSE())</f>
        <v>Consumer</v>
      </c>
      <c r="K1793" s="1" t="str">
        <f aca="false">VLOOKUP(C1793,Products!$A$2:$E$62,3,FALSE())</f>
        <v>Electronics</v>
      </c>
      <c r="L1793" s="1" t="str">
        <f aca="false">TEXT(D1793,"yyyy-mm")</f>
        <v>2024-01</v>
      </c>
    </row>
    <row r="1794" customFormat="false" ht="15" hidden="false" customHeight="true" outlineLevel="0" collapsed="false">
      <c r="A1794" s="1" t="n">
        <v>1831</v>
      </c>
      <c r="B1794" s="1" t="n">
        <v>307</v>
      </c>
      <c r="C1794" s="1" t="n">
        <v>40</v>
      </c>
      <c r="D1794" s="1" t="s">
        <v>390</v>
      </c>
      <c r="E1794" s="1" t="n">
        <v>3</v>
      </c>
      <c r="F1794" s="1" t="n">
        <v>193.02</v>
      </c>
      <c r="G1794" s="1" t="n">
        <v>0.05</v>
      </c>
      <c r="H1794" s="1" t="s">
        <v>1336</v>
      </c>
      <c r="I1794" s="1" t="n">
        <v>550.11</v>
      </c>
      <c r="J1794" s="1" t="str">
        <f aca="false">VLOOKUP(B1794,Customers!$A$2:$G$502,6,FALSE())</f>
        <v>Corporate</v>
      </c>
      <c r="K1794" s="1" t="str">
        <f aca="false">VLOOKUP(C1794,Products!$A$2:$E$62,3,FALSE())</f>
        <v>Software</v>
      </c>
      <c r="L1794" s="1" t="str">
        <f aca="false">TEXT(D1794,"yyyy-mm")</f>
        <v>2023-03</v>
      </c>
    </row>
    <row r="1795" customFormat="false" ht="15" hidden="false" customHeight="true" outlineLevel="0" collapsed="false">
      <c r="A1795" s="1" t="n">
        <v>1832</v>
      </c>
      <c r="B1795" s="1" t="n">
        <v>12</v>
      </c>
      <c r="C1795" s="1" t="n">
        <v>27</v>
      </c>
      <c r="D1795" s="1" t="s">
        <v>155</v>
      </c>
      <c r="E1795" s="1" t="n">
        <v>7</v>
      </c>
      <c r="F1795" s="1" t="n">
        <v>772.58</v>
      </c>
      <c r="G1795" s="1" t="n">
        <v>0</v>
      </c>
      <c r="H1795" s="1" t="s">
        <v>1336</v>
      </c>
      <c r="I1795" s="1" t="n">
        <v>5408.06</v>
      </c>
      <c r="J1795" s="1" t="str">
        <f aca="false">VLOOKUP(B1795,Customers!$A$2:$G$502,6,FALSE())</f>
        <v>Small Business</v>
      </c>
      <c r="K1795" s="1" t="str">
        <f aca="false">VLOOKUP(C1795,Products!$A$2:$E$62,3,FALSE())</f>
        <v>Office Supplies</v>
      </c>
      <c r="L1795" s="1" t="str">
        <f aca="false">TEXT(D1795,"yyyy-mm")</f>
        <v>2023-08</v>
      </c>
    </row>
    <row r="1796" customFormat="false" ht="15" hidden="false" customHeight="true" outlineLevel="0" collapsed="false">
      <c r="A1796" s="1" t="n">
        <v>1834</v>
      </c>
      <c r="B1796" s="1" t="n">
        <v>360</v>
      </c>
      <c r="C1796" s="1" t="n">
        <v>46</v>
      </c>
      <c r="D1796" s="1" t="s">
        <v>1124</v>
      </c>
      <c r="E1796" s="1" t="n">
        <v>4</v>
      </c>
      <c r="F1796" s="1" t="n">
        <v>94.92</v>
      </c>
      <c r="G1796" s="1" t="n">
        <v>0</v>
      </c>
      <c r="H1796" s="1" t="s">
        <v>1336</v>
      </c>
      <c r="I1796" s="1" t="n">
        <v>379.68</v>
      </c>
      <c r="J1796" s="1" t="str">
        <f aca="false">VLOOKUP(B1796,Customers!$A$2:$G$502,6,FALSE())</f>
        <v>Corporate</v>
      </c>
      <c r="K1796" s="1" t="str">
        <f aca="false">VLOOKUP(C1796,Products!$A$2:$E$62,3,FALSE())</f>
        <v>Software</v>
      </c>
      <c r="L1796" s="1" t="str">
        <f aca="false">TEXT(D1796,"yyyy-mm")</f>
        <v>2023-10</v>
      </c>
    </row>
    <row r="1797" customFormat="false" ht="15" hidden="false" customHeight="true" outlineLevel="0" collapsed="false">
      <c r="A1797" s="1" t="n">
        <v>1835</v>
      </c>
      <c r="B1797" s="1" t="n">
        <v>208</v>
      </c>
      <c r="C1797" s="1" t="n">
        <v>32</v>
      </c>
      <c r="D1797" s="1" t="s">
        <v>1666</v>
      </c>
      <c r="E1797" s="1" t="n">
        <v>4</v>
      </c>
      <c r="F1797" s="1" t="n">
        <v>492.27</v>
      </c>
      <c r="G1797" s="1" t="n">
        <v>0.2</v>
      </c>
      <c r="H1797" s="1" t="s">
        <v>1336</v>
      </c>
      <c r="I1797" s="1" t="n">
        <v>1575.26</v>
      </c>
      <c r="J1797" s="1" t="str">
        <f aca="false">VLOOKUP(B1797,Customers!$A$2:$G$502,6,FALSE())</f>
        <v>Corporate</v>
      </c>
      <c r="K1797" s="1" t="str">
        <f aca="false">VLOOKUP(C1797,Products!$A$2:$E$62,3,FALSE())</f>
        <v>Office Supplies</v>
      </c>
      <c r="L1797" s="1" t="str">
        <f aca="false">TEXT(D1797,"yyyy-mm")</f>
        <v>2024-07</v>
      </c>
    </row>
    <row r="1798" customFormat="false" ht="15" hidden="false" customHeight="true" outlineLevel="0" collapsed="false">
      <c r="A1798" s="1" t="n">
        <v>1836</v>
      </c>
      <c r="B1798" s="1" t="n">
        <v>34</v>
      </c>
      <c r="C1798" s="1" t="n">
        <v>24</v>
      </c>
      <c r="D1798" s="1" t="s">
        <v>191</v>
      </c>
      <c r="E1798" s="1" t="n">
        <v>7</v>
      </c>
      <c r="F1798" s="1" t="n">
        <v>207.34</v>
      </c>
      <c r="G1798" s="1" t="n">
        <v>0.1</v>
      </c>
      <c r="H1798" s="1" t="s">
        <v>1336</v>
      </c>
      <c r="I1798" s="1" t="n">
        <v>1306.24</v>
      </c>
      <c r="J1798" s="1" t="str">
        <f aca="false">VLOOKUP(B1798,Customers!$A$2:$G$502,6,FALSE())</f>
        <v>Corporate</v>
      </c>
      <c r="K1798" s="1" t="str">
        <f aca="false">VLOOKUP(C1798,Products!$A$2:$E$62,3,FALSE())</f>
        <v>Office Supplies</v>
      </c>
      <c r="L1798" s="1" t="str">
        <f aca="false">TEXT(D1798,"yyyy-mm")</f>
        <v>2024-03</v>
      </c>
    </row>
    <row r="1799" customFormat="false" ht="15" hidden="false" customHeight="true" outlineLevel="0" collapsed="false">
      <c r="A1799" s="1" t="n">
        <v>1837</v>
      </c>
      <c r="B1799" s="1" t="n">
        <v>89</v>
      </c>
      <c r="C1799" s="1" t="n">
        <v>16</v>
      </c>
      <c r="D1799" s="1" t="s">
        <v>251</v>
      </c>
      <c r="E1799" s="1" t="n">
        <v>8</v>
      </c>
      <c r="F1799" s="1" t="n">
        <v>330.91</v>
      </c>
      <c r="G1799" s="1" t="n">
        <v>0.05</v>
      </c>
      <c r="H1799" s="1" t="s">
        <v>1336</v>
      </c>
      <c r="I1799" s="1" t="n">
        <v>2514.92</v>
      </c>
      <c r="J1799" s="1" t="str">
        <f aca="false">VLOOKUP(B1799,Customers!$A$2:$G$502,6,FALSE())</f>
        <v>Small Business</v>
      </c>
      <c r="K1799" s="1" t="str">
        <f aca="false">VLOOKUP(C1799,Products!$A$2:$E$62,3,FALSE())</f>
        <v>Electronics</v>
      </c>
      <c r="L1799" s="1" t="str">
        <f aca="false">TEXT(D1799,"yyyy-mm")</f>
        <v>2023-09</v>
      </c>
    </row>
    <row r="1800" customFormat="false" ht="15" hidden="false" customHeight="true" outlineLevel="0" collapsed="false">
      <c r="A1800" s="1" t="n">
        <v>1838</v>
      </c>
      <c r="B1800" s="1" t="n">
        <v>2</v>
      </c>
      <c r="C1800" s="1" t="n">
        <v>8</v>
      </c>
      <c r="D1800" s="1" t="s">
        <v>164</v>
      </c>
      <c r="E1800" s="1" t="n">
        <v>1</v>
      </c>
      <c r="F1800" s="1" t="n">
        <v>104.4</v>
      </c>
      <c r="G1800" s="1" t="n">
        <v>0.1</v>
      </c>
      <c r="H1800" s="1" t="s">
        <v>1336</v>
      </c>
      <c r="I1800" s="1" t="n">
        <v>93.96</v>
      </c>
      <c r="J1800" s="1" t="str">
        <f aca="false">VLOOKUP(B1800,Customers!$A$2:$G$502,6,FALSE())</f>
        <v>Small Business</v>
      </c>
      <c r="K1800" s="1" t="str">
        <f aca="false">VLOOKUP(C1800,Products!$A$2:$E$62,3,FALSE())</f>
        <v>Electronics</v>
      </c>
      <c r="L1800" s="1" t="str">
        <f aca="false">TEXT(D1800,"yyyy-mm")</f>
        <v>2023-02</v>
      </c>
    </row>
    <row r="1801" customFormat="false" ht="15" hidden="false" customHeight="true" outlineLevel="0" collapsed="false">
      <c r="A1801" s="1" t="n">
        <v>1839</v>
      </c>
      <c r="B1801" s="1" t="n">
        <v>107</v>
      </c>
      <c r="C1801" s="1" t="n">
        <v>2</v>
      </c>
      <c r="D1801" s="1" t="s">
        <v>1097</v>
      </c>
      <c r="E1801" s="1" t="n">
        <v>5</v>
      </c>
      <c r="F1801" s="1" t="n">
        <v>498.15</v>
      </c>
      <c r="G1801" s="1" t="n">
        <v>0.1</v>
      </c>
      <c r="H1801" s="1" t="s">
        <v>1336</v>
      </c>
      <c r="I1801" s="1" t="n">
        <v>2241.68</v>
      </c>
      <c r="J1801" s="1" t="str">
        <f aca="false">VLOOKUP(B1801,Customers!$A$2:$G$502,6,FALSE())</f>
        <v>Consumer</v>
      </c>
      <c r="K1801" s="1" t="str">
        <f aca="false">VLOOKUP(C1801,Products!$A$2:$E$62,3,FALSE())</f>
        <v>Electronics</v>
      </c>
      <c r="L1801" s="1" t="str">
        <f aca="false">TEXT(D1801,"yyyy-mm")</f>
        <v>2024-02</v>
      </c>
    </row>
    <row r="1802" customFormat="false" ht="15" hidden="false" customHeight="true" outlineLevel="0" collapsed="false">
      <c r="A1802" s="1" t="n">
        <v>1840</v>
      </c>
      <c r="B1802" s="1" t="n">
        <v>251</v>
      </c>
      <c r="C1802" s="1" t="n">
        <v>11</v>
      </c>
      <c r="D1802" s="1" t="s">
        <v>1551</v>
      </c>
      <c r="E1802" s="1" t="n">
        <v>7</v>
      </c>
      <c r="F1802" s="1" t="n">
        <v>328.39</v>
      </c>
      <c r="G1802" s="1" t="n">
        <v>0.1</v>
      </c>
      <c r="H1802" s="1" t="s">
        <v>1336</v>
      </c>
      <c r="I1802" s="1" t="n">
        <v>2068.86</v>
      </c>
      <c r="J1802" s="1" t="str">
        <f aca="false">VLOOKUP(B1802,Customers!$A$2:$G$502,6,FALSE())</f>
        <v>Small Business</v>
      </c>
      <c r="K1802" s="1" t="str">
        <f aca="false">VLOOKUP(C1802,Products!$A$2:$E$62,3,FALSE())</f>
        <v>Electronics</v>
      </c>
      <c r="L1802" s="1" t="str">
        <f aca="false">TEXT(D1802,"yyyy-mm")</f>
        <v>2024-03</v>
      </c>
    </row>
    <row r="1803" customFormat="false" ht="15" hidden="false" customHeight="true" outlineLevel="0" collapsed="false">
      <c r="A1803" s="1" t="n">
        <v>1841</v>
      </c>
      <c r="B1803" s="1" t="n">
        <v>188</v>
      </c>
      <c r="C1803" s="1" t="n">
        <v>29</v>
      </c>
      <c r="D1803" s="1" t="s">
        <v>764</v>
      </c>
      <c r="E1803" s="1" t="n">
        <v>4</v>
      </c>
      <c r="F1803" s="1" t="n">
        <v>54.62</v>
      </c>
      <c r="G1803" s="1" t="n">
        <v>0</v>
      </c>
      <c r="H1803" s="1" t="s">
        <v>1336</v>
      </c>
      <c r="I1803" s="1" t="n">
        <v>218.48</v>
      </c>
      <c r="J1803" s="1" t="str">
        <f aca="false">VLOOKUP(B1803,Customers!$A$2:$G$502,6,FALSE())</f>
        <v>Small Business</v>
      </c>
      <c r="K1803" s="1" t="str">
        <f aca="false">VLOOKUP(C1803,Products!$A$2:$E$62,3,FALSE())</f>
        <v>Office Supplies</v>
      </c>
      <c r="L1803" s="1" t="str">
        <f aca="false">TEXT(D1803,"yyyy-mm")</f>
        <v>2023-04</v>
      </c>
    </row>
    <row r="1804" customFormat="false" ht="15" hidden="false" customHeight="true" outlineLevel="0" collapsed="false">
      <c r="A1804" s="1" t="n">
        <v>1842</v>
      </c>
      <c r="B1804" s="1" t="n">
        <v>32</v>
      </c>
      <c r="C1804" s="1" t="n">
        <v>30</v>
      </c>
      <c r="D1804" s="1" t="s">
        <v>1533</v>
      </c>
      <c r="E1804" s="1" t="n">
        <v>4</v>
      </c>
      <c r="F1804" s="1" t="n">
        <v>33.32</v>
      </c>
      <c r="G1804" s="1" t="n">
        <v>0</v>
      </c>
      <c r="H1804" s="1" t="s">
        <v>1336</v>
      </c>
      <c r="I1804" s="1" t="n">
        <v>133.28</v>
      </c>
      <c r="J1804" s="1" t="str">
        <f aca="false">VLOOKUP(B1804,Customers!$A$2:$G$502,6,FALSE())</f>
        <v>Small Business</v>
      </c>
      <c r="K1804" s="1" t="str">
        <f aca="false">VLOOKUP(C1804,Products!$A$2:$E$62,3,FALSE())</f>
        <v>Office Supplies</v>
      </c>
      <c r="L1804" s="1" t="str">
        <f aca="false">TEXT(D1804,"yyyy-mm")</f>
        <v>2023-03</v>
      </c>
    </row>
    <row r="1805" customFormat="false" ht="15" hidden="false" customHeight="true" outlineLevel="0" collapsed="false">
      <c r="A1805" s="1" t="n">
        <v>1843</v>
      </c>
      <c r="B1805" s="1" t="n">
        <v>365</v>
      </c>
      <c r="C1805" s="1" t="n">
        <v>15</v>
      </c>
      <c r="D1805" s="1" t="s">
        <v>1431</v>
      </c>
      <c r="E1805" s="1" t="n">
        <v>4</v>
      </c>
      <c r="F1805" s="1" t="n">
        <v>304.95</v>
      </c>
      <c r="G1805" s="1" t="n">
        <v>0</v>
      </c>
      <c r="H1805" s="1" t="s">
        <v>1370</v>
      </c>
      <c r="I1805" s="1" t="n">
        <v>1219.8</v>
      </c>
      <c r="J1805" s="1" t="str">
        <f aca="false">VLOOKUP(B1805,Customers!$A$2:$G$502,6,FALSE())</f>
        <v>Small Business</v>
      </c>
      <c r="K1805" s="1" t="str">
        <f aca="false">VLOOKUP(C1805,Products!$A$2:$E$62,3,FALSE())</f>
        <v>Electronics</v>
      </c>
      <c r="L1805" s="1" t="str">
        <f aca="false">TEXT(D1805,"yyyy-mm")</f>
        <v>2023-12</v>
      </c>
    </row>
    <row r="1806" customFormat="false" ht="15" hidden="false" customHeight="true" outlineLevel="0" collapsed="false">
      <c r="A1806" s="1" t="n">
        <v>1844</v>
      </c>
      <c r="B1806" s="1" t="n">
        <v>489</v>
      </c>
      <c r="C1806" s="1" t="n">
        <v>18</v>
      </c>
      <c r="D1806" s="1" t="s">
        <v>1348</v>
      </c>
      <c r="E1806" s="1" t="n">
        <v>6</v>
      </c>
      <c r="F1806" s="1" t="n">
        <v>747.34</v>
      </c>
      <c r="G1806" s="1" t="n">
        <v>0</v>
      </c>
      <c r="H1806" s="1" t="s">
        <v>1336</v>
      </c>
      <c r="I1806" s="1" t="n">
        <v>4484.04</v>
      </c>
      <c r="J1806" s="1" t="str">
        <f aca="false">VLOOKUP(B1806,Customers!$A$2:$G$502,6,FALSE())</f>
        <v>Small Business</v>
      </c>
      <c r="K1806" s="1" t="str">
        <f aca="false">VLOOKUP(C1806,Products!$A$2:$E$62,3,FALSE())</f>
        <v>Electronics</v>
      </c>
      <c r="L1806" s="1" t="str">
        <f aca="false">TEXT(D1806,"yyyy-mm")</f>
        <v>2024-05</v>
      </c>
    </row>
    <row r="1807" customFormat="false" ht="15" hidden="false" customHeight="true" outlineLevel="0" collapsed="false">
      <c r="A1807" s="1" t="n">
        <v>1845</v>
      </c>
      <c r="B1807" s="1" t="n">
        <v>9</v>
      </c>
      <c r="C1807" s="1" t="n">
        <v>37</v>
      </c>
      <c r="D1807" s="1" t="s">
        <v>235</v>
      </c>
      <c r="E1807" s="1" t="n">
        <v>7</v>
      </c>
      <c r="F1807" s="1" t="n">
        <v>13.95</v>
      </c>
      <c r="G1807" s="1" t="n">
        <v>0</v>
      </c>
      <c r="H1807" s="1" t="s">
        <v>1336</v>
      </c>
      <c r="I1807" s="1" t="n">
        <v>97.65</v>
      </c>
      <c r="J1807" s="1" t="str">
        <f aca="false">VLOOKUP(B1807,Customers!$A$2:$G$502,6,FALSE())</f>
        <v>Small Business</v>
      </c>
      <c r="K1807" s="1" t="str">
        <f aca="false">VLOOKUP(C1807,Products!$A$2:$E$62,3,FALSE())</f>
        <v>Software</v>
      </c>
      <c r="L1807" s="1" t="str">
        <f aca="false">TEXT(D1807,"yyyy-mm")</f>
        <v>2024-03</v>
      </c>
    </row>
    <row r="1808" customFormat="false" ht="15" hidden="false" customHeight="true" outlineLevel="0" collapsed="false">
      <c r="A1808" s="1" t="n">
        <v>1846</v>
      </c>
      <c r="B1808" s="1" t="n">
        <v>361</v>
      </c>
      <c r="C1808" s="1" t="n">
        <v>28</v>
      </c>
      <c r="D1808" s="1" t="s">
        <v>64</v>
      </c>
      <c r="E1808" s="1" t="n">
        <v>2</v>
      </c>
      <c r="F1808" s="1" t="n">
        <v>505.23</v>
      </c>
      <c r="G1808" s="1" t="n">
        <v>0</v>
      </c>
      <c r="H1808" s="1" t="s">
        <v>1336</v>
      </c>
      <c r="I1808" s="1" t="n">
        <v>1010.46</v>
      </c>
      <c r="J1808" s="1" t="str">
        <f aca="false">VLOOKUP(B1808,Customers!$A$2:$G$502,6,FALSE())</f>
        <v>Small Business</v>
      </c>
      <c r="K1808" s="1" t="str">
        <f aca="false">VLOOKUP(C1808,Products!$A$2:$E$62,3,FALSE())</f>
        <v>Office Supplies</v>
      </c>
      <c r="L1808" s="1" t="str">
        <f aca="false">TEXT(D1808,"yyyy-mm")</f>
        <v>2024-09</v>
      </c>
    </row>
    <row r="1809" customFormat="false" ht="15" hidden="false" customHeight="true" outlineLevel="0" collapsed="false">
      <c r="A1809" s="1" t="n">
        <v>1847</v>
      </c>
      <c r="B1809" s="1" t="n">
        <v>344</v>
      </c>
      <c r="C1809" s="1" t="n">
        <v>52</v>
      </c>
      <c r="D1809" s="1" t="s">
        <v>1578</v>
      </c>
      <c r="E1809" s="1" t="n">
        <v>5</v>
      </c>
      <c r="F1809" s="1" t="n">
        <v>207.67</v>
      </c>
      <c r="G1809" s="1" t="n">
        <v>0.1</v>
      </c>
      <c r="H1809" s="1" t="s">
        <v>1336</v>
      </c>
      <c r="I1809" s="1" t="n">
        <v>934.52</v>
      </c>
      <c r="J1809" s="1" t="str">
        <f aca="false">VLOOKUP(B1809,Customers!$A$2:$G$502,6,FALSE())</f>
        <v>Small Business</v>
      </c>
      <c r="K1809" s="1" t="str">
        <f aca="false">VLOOKUP(C1809,Products!$A$2:$E$62,3,FALSE())</f>
        <v>Software</v>
      </c>
      <c r="L1809" s="1" t="str">
        <f aca="false">TEXT(D1809,"yyyy-mm")</f>
        <v>2023-07</v>
      </c>
    </row>
    <row r="1810" customFormat="false" ht="15" hidden="false" customHeight="true" outlineLevel="0" collapsed="false">
      <c r="A1810" s="1" t="n">
        <v>1848</v>
      </c>
      <c r="B1810" s="1" t="n">
        <v>131</v>
      </c>
      <c r="C1810" s="1" t="n">
        <v>54</v>
      </c>
      <c r="D1810" s="1" t="s">
        <v>522</v>
      </c>
      <c r="E1810" s="1" t="n">
        <v>4</v>
      </c>
      <c r="F1810" s="1" t="n">
        <v>312.01</v>
      </c>
      <c r="G1810" s="1" t="n">
        <v>0.05</v>
      </c>
      <c r="H1810" s="1" t="s">
        <v>1336</v>
      </c>
      <c r="I1810" s="1" t="n">
        <v>1185.64</v>
      </c>
      <c r="J1810" s="1" t="str">
        <f aca="false">VLOOKUP(B1810,Customers!$A$2:$G$502,6,FALSE())</f>
        <v>Corporate</v>
      </c>
      <c r="K1810" s="1" t="str">
        <f aca="false">VLOOKUP(C1810,Products!$A$2:$E$62,3,FALSE())</f>
        <v>Software</v>
      </c>
      <c r="L1810" s="1" t="str">
        <f aca="false">TEXT(D1810,"yyyy-mm")</f>
        <v>2024-03</v>
      </c>
    </row>
    <row r="1811" customFormat="false" ht="15" hidden="false" customHeight="true" outlineLevel="0" collapsed="false">
      <c r="A1811" s="1" t="n">
        <v>1849</v>
      </c>
      <c r="B1811" s="1" t="n">
        <v>124</v>
      </c>
      <c r="C1811" s="1" t="n">
        <v>54</v>
      </c>
      <c r="D1811" s="1" t="s">
        <v>1117</v>
      </c>
      <c r="E1811" s="1" t="n">
        <v>3</v>
      </c>
      <c r="F1811" s="1" t="n">
        <v>312.01</v>
      </c>
      <c r="G1811" s="1" t="n">
        <v>0.15</v>
      </c>
      <c r="H1811" s="1" t="s">
        <v>1336</v>
      </c>
      <c r="I1811" s="1" t="n">
        <v>795.63</v>
      </c>
      <c r="J1811" s="1" t="str">
        <f aca="false">VLOOKUP(B1811,Customers!$A$2:$G$502,6,FALSE())</f>
        <v>Small Business</v>
      </c>
      <c r="K1811" s="1" t="str">
        <f aca="false">VLOOKUP(C1811,Products!$A$2:$E$62,3,FALSE())</f>
        <v>Software</v>
      </c>
      <c r="L1811" s="1" t="str">
        <f aca="false">TEXT(D1811,"yyyy-mm")</f>
        <v>2023-05</v>
      </c>
    </row>
    <row r="1812" customFormat="false" ht="15" hidden="false" customHeight="true" outlineLevel="0" collapsed="false">
      <c r="A1812" s="1" t="n">
        <v>1850</v>
      </c>
      <c r="B1812" s="1" t="n">
        <v>213</v>
      </c>
      <c r="C1812" s="1" t="n">
        <v>28</v>
      </c>
      <c r="D1812" s="1" t="s">
        <v>629</v>
      </c>
      <c r="E1812" s="1" t="n">
        <v>7</v>
      </c>
      <c r="F1812" s="1" t="n">
        <v>505.23</v>
      </c>
      <c r="G1812" s="1" t="n">
        <v>0</v>
      </c>
      <c r="H1812" s="1" t="s">
        <v>1370</v>
      </c>
      <c r="I1812" s="1" t="n">
        <v>3536.61</v>
      </c>
      <c r="J1812" s="1" t="str">
        <f aca="false">VLOOKUP(B1812,Customers!$A$2:$G$502,6,FALSE())</f>
        <v>Small Business</v>
      </c>
      <c r="K1812" s="1" t="str">
        <f aca="false">VLOOKUP(C1812,Products!$A$2:$E$62,3,FALSE())</f>
        <v>Office Supplies</v>
      </c>
      <c r="L1812" s="1" t="str">
        <f aca="false">TEXT(D1812,"yyyy-mm")</f>
        <v>2023-04</v>
      </c>
    </row>
    <row r="1813" customFormat="false" ht="15" hidden="false" customHeight="true" outlineLevel="0" collapsed="false">
      <c r="A1813" s="1" t="n">
        <v>1851</v>
      </c>
      <c r="B1813" s="1" t="n">
        <v>60</v>
      </c>
      <c r="C1813" s="1" t="n">
        <v>4</v>
      </c>
      <c r="D1813" s="1" t="s">
        <v>680</v>
      </c>
      <c r="E1813" s="1" t="n">
        <v>6</v>
      </c>
      <c r="F1813" s="1" t="n">
        <v>56.24</v>
      </c>
      <c r="G1813" s="1" t="n">
        <v>0.1</v>
      </c>
      <c r="H1813" s="1" t="s">
        <v>1336</v>
      </c>
      <c r="I1813" s="1" t="n">
        <v>303.7</v>
      </c>
      <c r="J1813" s="1" t="str">
        <f aca="false">VLOOKUP(B1813,Customers!$A$2:$G$502,6,FALSE())</f>
        <v>Corporate</v>
      </c>
      <c r="K1813" s="1" t="str">
        <f aca="false">VLOOKUP(C1813,Products!$A$2:$E$62,3,FALSE())</f>
        <v>Electronics</v>
      </c>
      <c r="L1813" s="1" t="str">
        <f aca="false">TEXT(D1813,"yyyy-mm")</f>
        <v>2024-04</v>
      </c>
    </row>
    <row r="1814" customFormat="false" ht="15" hidden="false" customHeight="true" outlineLevel="0" collapsed="false">
      <c r="A1814" s="1" t="n">
        <v>1852</v>
      </c>
      <c r="B1814" s="1" t="n">
        <v>384</v>
      </c>
      <c r="C1814" s="1" t="n">
        <v>42</v>
      </c>
      <c r="D1814" s="1" t="s">
        <v>807</v>
      </c>
      <c r="E1814" s="1" t="n">
        <v>7</v>
      </c>
      <c r="F1814" s="1" t="n">
        <v>174.48</v>
      </c>
      <c r="G1814" s="1" t="n">
        <v>0.1</v>
      </c>
      <c r="H1814" s="1" t="s">
        <v>1336</v>
      </c>
      <c r="I1814" s="1" t="n">
        <v>1099.22</v>
      </c>
      <c r="J1814" s="1" t="str">
        <f aca="false">VLOOKUP(B1814,Customers!$A$2:$G$502,6,FALSE())</f>
        <v>Corporate</v>
      </c>
      <c r="K1814" s="1" t="str">
        <f aca="false">VLOOKUP(C1814,Products!$A$2:$E$62,3,FALSE())</f>
        <v>Software</v>
      </c>
      <c r="L1814" s="1" t="str">
        <f aca="false">TEXT(D1814,"yyyy-mm")</f>
        <v>2023-09</v>
      </c>
    </row>
    <row r="1815" customFormat="false" ht="15" hidden="false" customHeight="true" outlineLevel="0" collapsed="false">
      <c r="A1815" s="1" t="n">
        <v>1853</v>
      </c>
      <c r="B1815" s="1" t="n">
        <v>289</v>
      </c>
      <c r="C1815" s="1" t="n">
        <v>49</v>
      </c>
      <c r="D1815" s="1" t="s">
        <v>1653</v>
      </c>
      <c r="E1815" s="1" t="n">
        <v>5</v>
      </c>
      <c r="F1815" s="1" t="n">
        <v>325.17</v>
      </c>
      <c r="G1815" s="1" t="n">
        <v>0.2</v>
      </c>
      <c r="H1815" s="1" t="s">
        <v>1336</v>
      </c>
      <c r="I1815" s="1" t="n">
        <v>1300.68</v>
      </c>
      <c r="J1815" s="1" t="str">
        <f aca="false">VLOOKUP(B1815,Customers!$A$2:$G$502,6,FALSE())</f>
        <v>Consumer</v>
      </c>
      <c r="K1815" s="1" t="str">
        <f aca="false">VLOOKUP(C1815,Products!$A$2:$E$62,3,FALSE())</f>
        <v>Software</v>
      </c>
      <c r="L1815" s="1" t="str">
        <f aca="false">TEXT(D1815,"yyyy-mm")</f>
        <v>2024-12</v>
      </c>
    </row>
    <row r="1816" customFormat="false" ht="15" hidden="false" customHeight="true" outlineLevel="0" collapsed="false">
      <c r="A1816" s="1" t="n">
        <v>1854</v>
      </c>
      <c r="B1816" s="1" t="n">
        <v>342</v>
      </c>
      <c r="C1816" s="1" t="n">
        <v>46</v>
      </c>
      <c r="D1816" s="1" t="s">
        <v>1001</v>
      </c>
      <c r="E1816" s="1" t="n">
        <v>6</v>
      </c>
      <c r="F1816" s="1" t="n">
        <v>94.92</v>
      </c>
      <c r="G1816" s="1" t="n">
        <v>0</v>
      </c>
      <c r="H1816" s="1" t="s">
        <v>1336</v>
      </c>
      <c r="I1816" s="1" t="n">
        <v>569.52</v>
      </c>
      <c r="J1816" s="1" t="str">
        <f aca="false">VLOOKUP(B1816,Customers!$A$2:$G$502,6,FALSE())</f>
        <v>Small Business</v>
      </c>
      <c r="K1816" s="1" t="str">
        <f aca="false">VLOOKUP(C1816,Products!$A$2:$E$62,3,FALSE())</f>
        <v>Software</v>
      </c>
      <c r="L1816" s="1" t="str">
        <f aca="false">TEXT(D1816,"yyyy-mm")</f>
        <v>2023-03</v>
      </c>
    </row>
    <row r="1817" customFormat="false" ht="15" hidden="false" customHeight="true" outlineLevel="0" collapsed="false">
      <c r="A1817" s="1" t="n">
        <v>1855</v>
      </c>
      <c r="B1817" s="1" t="n">
        <v>414</v>
      </c>
      <c r="C1817" s="1" t="n">
        <v>38</v>
      </c>
      <c r="D1817" s="1" t="s">
        <v>269</v>
      </c>
      <c r="E1817" s="1" t="n">
        <v>5</v>
      </c>
      <c r="F1817" s="1" t="n">
        <v>521.63</v>
      </c>
      <c r="G1817" s="1" t="n">
        <v>0.15</v>
      </c>
      <c r="H1817" s="1" t="s">
        <v>1336</v>
      </c>
      <c r="I1817" s="1" t="n">
        <v>2216.93</v>
      </c>
      <c r="J1817" s="1" t="str">
        <f aca="false">VLOOKUP(B1817,Customers!$A$2:$G$502,6,FALSE())</f>
        <v>Consumer</v>
      </c>
      <c r="K1817" s="1" t="str">
        <f aca="false">VLOOKUP(C1817,Products!$A$2:$E$62,3,FALSE())</f>
        <v>Software</v>
      </c>
      <c r="L1817" s="1" t="str">
        <f aca="false">TEXT(D1817,"yyyy-mm")</f>
        <v>2023-11</v>
      </c>
    </row>
    <row r="1818" customFormat="false" ht="15" hidden="false" customHeight="true" outlineLevel="0" collapsed="false">
      <c r="A1818" s="1" t="n">
        <v>1856</v>
      </c>
      <c r="B1818" s="1" t="n">
        <v>311</v>
      </c>
      <c r="C1818" s="1" t="n">
        <v>34</v>
      </c>
      <c r="D1818" s="1" t="s">
        <v>1271</v>
      </c>
      <c r="E1818" s="1" t="n">
        <v>7</v>
      </c>
      <c r="F1818" s="1" t="n">
        <v>116.85</v>
      </c>
      <c r="G1818" s="1" t="n">
        <v>0.15</v>
      </c>
      <c r="H1818" s="1" t="s">
        <v>1336</v>
      </c>
      <c r="I1818" s="1" t="n">
        <v>695.26</v>
      </c>
      <c r="J1818" s="1" t="str">
        <f aca="false">VLOOKUP(B1818,Customers!$A$2:$G$502,6,FALSE())</f>
        <v>Consumer</v>
      </c>
      <c r="K1818" s="1" t="str">
        <f aca="false">VLOOKUP(C1818,Products!$A$2:$E$62,3,FALSE())</f>
        <v>Office Supplies</v>
      </c>
      <c r="L1818" s="1" t="str">
        <f aca="false">TEXT(D1818,"yyyy-mm")</f>
        <v>2024-05</v>
      </c>
    </row>
    <row r="1819" customFormat="false" ht="15" hidden="false" customHeight="true" outlineLevel="0" collapsed="false">
      <c r="A1819" s="1" t="n">
        <v>1857</v>
      </c>
      <c r="B1819" s="1" t="n">
        <v>62</v>
      </c>
      <c r="C1819" s="1" t="n">
        <v>53</v>
      </c>
      <c r="D1819" s="1" t="s">
        <v>424</v>
      </c>
      <c r="E1819" s="1" t="n">
        <v>2</v>
      </c>
      <c r="F1819" s="1" t="n">
        <v>509.98</v>
      </c>
      <c r="G1819" s="1" t="n">
        <v>0.05</v>
      </c>
      <c r="H1819" s="1" t="s">
        <v>1336</v>
      </c>
      <c r="I1819" s="1" t="n">
        <v>968.96</v>
      </c>
      <c r="J1819" s="1" t="str">
        <f aca="false">VLOOKUP(B1819,Customers!$A$2:$G$502,6,FALSE())</f>
        <v>Consumer</v>
      </c>
      <c r="K1819" s="1" t="str">
        <f aca="false">VLOOKUP(C1819,Products!$A$2:$E$62,3,FALSE())</f>
        <v>Software</v>
      </c>
      <c r="L1819" s="1" t="str">
        <f aca="false">TEXT(D1819,"yyyy-mm")</f>
        <v>2024-02</v>
      </c>
    </row>
    <row r="1820" customFormat="false" ht="15" hidden="false" customHeight="true" outlineLevel="0" collapsed="false">
      <c r="A1820" s="1" t="n">
        <v>1858</v>
      </c>
      <c r="B1820" s="1" t="n">
        <v>490</v>
      </c>
      <c r="C1820" s="1" t="n">
        <v>7</v>
      </c>
      <c r="D1820" s="1" t="s">
        <v>1651</v>
      </c>
      <c r="E1820" s="1" t="n">
        <v>5</v>
      </c>
      <c r="F1820" s="1" t="n">
        <v>460</v>
      </c>
      <c r="G1820" s="1" t="n">
        <v>0</v>
      </c>
      <c r="H1820" s="1" t="s">
        <v>1336</v>
      </c>
      <c r="I1820" s="1" t="n">
        <v>2300</v>
      </c>
      <c r="J1820" s="1" t="str">
        <f aca="false">VLOOKUP(B1820,Customers!$A$2:$G$502,6,FALSE())</f>
        <v>Consumer</v>
      </c>
      <c r="K1820" s="1" t="str">
        <f aca="false">VLOOKUP(C1820,Products!$A$2:$E$62,3,FALSE())</f>
        <v>Electronics</v>
      </c>
      <c r="L1820" s="1" t="str">
        <f aca="false">TEXT(D1820,"yyyy-mm")</f>
        <v>2023-06</v>
      </c>
    </row>
    <row r="1821" customFormat="false" ht="15" hidden="false" customHeight="true" outlineLevel="0" collapsed="false">
      <c r="A1821" s="1" t="n">
        <v>1859</v>
      </c>
      <c r="B1821" s="1" t="n">
        <v>128</v>
      </c>
      <c r="C1821" s="1" t="n">
        <v>15</v>
      </c>
      <c r="D1821" s="1" t="s">
        <v>1407</v>
      </c>
      <c r="E1821" s="1" t="n">
        <v>6</v>
      </c>
      <c r="F1821" s="1" t="n">
        <v>304.95</v>
      </c>
      <c r="G1821" s="1" t="n">
        <v>0.2</v>
      </c>
      <c r="H1821" s="1" t="s">
        <v>1336</v>
      </c>
      <c r="I1821" s="1" t="n">
        <v>1463.76</v>
      </c>
      <c r="J1821" s="1" t="str">
        <f aca="false">VLOOKUP(B1821,Customers!$A$2:$G$502,6,FALSE())</f>
        <v>Consumer</v>
      </c>
      <c r="K1821" s="1" t="str">
        <f aca="false">VLOOKUP(C1821,Products!$A$2:$E$62,3,FALSE())</f>
        <v>Electronics</v>
      </c>
      <c r="L1821" s="1" t="str">
        <f aca="false">TEXT(D1821,"yyyy-mm")</f>
        <v>2023-06</v>
      </c>
    </row>
    <row r="1822" customFormat="false" ht="15" hidden="false" customHeight="true" outlineLevel="0" collapsed="false">
      <c r="A1822" s="1" t="n">
        <v>1860</v>
      </c>
      <c r="B1822" s="1" t="n">
        <v>343</v>
      </c>
      <c r="C1822" s="1" t="n">
        <v>38</v>
      </c>
      <c r="D1822" s="1" t="s">
        <v>1368</v>
      </c>
      <c r="E1822" s="1" t="n">
        <v>6</v>
      </c>
      <c r="F1822" s="1" t="n">
        <v>521.63</v>
      </c>
      <c r="G1822" s="1" t="n">
        <v>0</v>
      </c>
      <c r="H1822" s="1" t="s">
        <v>1336</v>
      </c>
      <c r="I1822" s="1" t="n">
        <v>3129.78</v>
      </c>
      <c r="J1822" s="1" t="str">
        <f aca="false">VLOOKUP(B1822,Customers!$A$2:$G$502,6,FALSE())</f>
        <v>Unknown</v>
      </c>
      <c r="K1822" s="1" t="str">
        <f aca="false">VLOOKUP(C1822,Products!$A$2:$E$62,3,FALSE())</f>
        <v>Software</v>
      </c>
      <c r="L1822" s="1" t="str">
        <f aca="false">TEXT(D1822,"yyyy-mm")</f>
        <v>2024-09</v>
      </c>
    </row>
    <row r="1823" customFormat="false" ht="15" hidden="false" customHeight="true" outlineLevel="0" collapsed="false">
      <c r="A1823" s="1" t="n">
        <v>1861</v>
      </c>
      <c r="B1823" s="1" t="n">
        <v>8</v>
      </c>
      <c r="C1823" s="1" t="n">
        <v>5</v>
      </c>
      <c r="D1823" s="1" t="s">
        <v>489</v>
      </c>
      <c r="E1823" s="1" t="n">
        <v>5</v>
      </c>
      <c r="F1823" s="1" t="n">
        <v>439.06</v>
      </c>
      <c r="G1823" s="1" t="n">
        <v>0.2</v>
      </c>
      <c r="H1823" s="1" t="s">
        <v>1346</v>
      </c>
      <c r="I1823" s="1" t="n">
        <v>1756.24</v>
      </c>
      <c r="J1823" s="1" t="str">
        <f aca="false">VLOOKUP(B1823,Customers!$A$2:$G$502,6,FALSE())</f>
        <v>Consumer</v>
      </c>
      <c r="K1823" s="1" t="str">
        <f aca="false">VLOOKUP(C1823,Products!$A$2:$E$62,3,FALSE())</f>
        <v>Electronics</v>
      </c>
      <c r="L1823" s="1" t="str">
        <f aca="false">TEXT(D1823,"yyyy-mm")</f>
        <v>2024-12</v>
      </c>
    </row>
    <row r="1824" customFormat="false" ht="15" hidden="false" customHeight="true" outlineLevel="0" collapsed="false">
      <c r="A1824" s="1" t="n">
        <v>1862</v>
      </c>
      <c r="B1824" s="1" t="n">
        <v>339</v>
      </c>
      <c r="C1824" s="1" t="n">
        <v>9</v>
      </c>
      <c r="D1824" s="1" t="s">
        <v>413</v>
      </c>
      <c r="E1824" s="1" t="n">
        <v>7</v>
      </c>
      <c r="F1824" s="1" t="n">
        <v>203.1</v>
      </c>
      <c r="G1824" s="1" t="n">
        <v>0</v>
      </c>
      <c r="H1824" s="1" t="s">
        <v>1336</v>
      </c>
      <c r="I1824" s="1" t="n">
        <v>1421.7</v>
      </c>
      <c r="J1824" s="1" t="str">
        <f aca="false">VLOOKUP(B1824,Customers!$A$2:$G$502,6,FALSE())</f>
        <v>Corporate</v>
      </c>
      <c r="K1824" s="1" t="str">
        <f aca="false">VLOOKUP(C1824,Products!$A$2:$E$62,3,FALSE())</f>
        <v>Electronics</v>
      </c>
      <c r="L1824" s="1" t="str">
        <f aca="false">TEXT(D1824,"yyyy-mm")</f>
        <v>2023-01</v>
      </c>
    </row>
    <row r="1825" customFormat="false" ht="15" hidden="false" customHeight="true" outlineLevel="0" collapsed="false">
      <c r="A1825" s="1" t="n">
        <v>1863</v>
      </c>
      <c r="B1825" s="1" t="n">
        <v>88</v>
      </c>
      <c r="C1825" s="1" t="n">
        <v>7</v>
      </c>
      <c r="D1825" s="1" t="s">
        <v>1419</v>
      </c>
      <c r="E1825" s="1" t="n">
        <v>8</v>
      </c>
      <c r="F1825" s="1" t="n">
        <v>460</v>
      </c>
      <c r="G1825" s="1" t="n">
        <v>0.05</v>
      </c>
      <c r="H1825" s="1" t="s">
        <v>1336</v>
      </c>
      <c r="I1825" s="1" t="n">
        <v>3496</v>
      </c>
      <c r="J1825" s="1" t="str">
        <f aca="false">VLOOKUP(B1825,Customers!$A$2:$G$502,6,FALSE())</f>
        <v>Corporate</v>
      </c>
      <c r="K1825" s="1" t="str">
        <f aca="false">VLOOKUP(C1825,Products!$A$2:$E$62,3,FALSE())</f>
        <v>Electronics</v>
      </c>
      <c r="L1825" s="1" t="str">
        <f aca="false">TEXT(D1825,"yyyy-mm")</f>
        <v>2023-04</v>
      </c>
    </row>
    <row r="1826" customFormat="false" ht="15" hidden="false" customHeight="true" outlineLevel="0" collapsed="false">
      <c r="A1826" s="1" t="n">
        <v>1864</v>
      </c>
      <c r="B1826" s="1" t="n">
        <v>412</v>
      </c>
      <c r="C1826" s="1" t="n">
        <v>43</v>
      </c>
      <c r="D1826" s="1" t="s">
        <v>1484</v>
      </c>
      <c r="E1826" s="1" t="n">
        <v>7</v>
      </c>
      <c r="F1826" s="1" t="n">
        <v>186.31</v>
      </c>
      <c r="G1826" s="1" t="n">
        <v>0</v>
      </c>
      <c r="H1826" s="1" t="s">
        <v>1336</v>
      </c>
      <c r="I1826" s="1" t="n">
        <v>1304.17</v>
      </c>
      <c r="J1826" s="1" t="str">
        <f aca="false">VLOOKUP(B1826,Customers!$A$2:$G$502,6,FALSE())</f>
        <v>Corporate</v>
      </c>
      <c r="K1826" s="1" t="str">
        <f aca="false">VLOOKUP(C1826,Products!$A$2:$E$62,3,FALSE())</f>
        <v>Software</v>
      </c>
      <c r="L1826" s="1" t="str">
        <f aca="false">TEXT(D1826,"yyyy-mm")</f>
        <v>2024-10</v>
      </c>
    </row>
    <row r="1827" customFormat="false" ht="15" hidden="false" customHeight="true" outlineLevel="0" collapsed="false">
      <c r="A1827" s="1" t="n">
        <v>1865</v>
      </c>
      <c r="B1827" s="1" t="n">
        <v>410</v>
      </c>
      <c r="C1827" s="1" t="n">
        <v>6</v>
      </c>
      <c r="D1827" s="1" t="s">
        <v>1267</v>
      </c>
      <c r="E1827" s="1" t="n">
        <v>5</v>
      </c>
      <c r="F1827" s="1" t="n">
        <v>28.51</v>
      </c>
      <c r="G1827" s="1" t="n">
        <v>0</v>
      </c>
      <c r="H1827" s="1" t="s">
        <v>1336</v>
      </c>
      <c r="I1827" s="1" t="n">
        <v>142.55</v>
      </c>
      <c r="J1827" s="1" t="str">
        <f aca="false">VLOOKUP(B1827,Customers!$A$2:$G$502,6,FALSE())</f>
        <v>Consumer</v>
      </c>
      <c r="K1827" s="1" t="str">
        <f aca="false">VLOOKUP(C1827,Products!$A$2:$E$62,3,FALSE())</f>
        <v>Electronics</v>
      </c>
      <c r="L1827" s="1" t="str">
        <f aca="false">TEXT(D1827,"yyyy-mm")</f>
        <v>2023-08</v>
      </c>
    </row>
    <row r="1828" customFormat="false" ht="15" hidden="false" customHeight="true" outlineLevel="0" collapsed="false">
      <c r="A1828" s="1" t="n">
        <v>1866</v>
      </c>
      <c r="B1828" s="1" t="n">
        <v>454</v>
      </c>
      <c r="C1828" s="1" t="n">
        <v>50</v>
      </c>
      <c r="D1828" s="1" t="s">
        <v>937</v>
      </c>
      <c r="E1828" s="1" t="n">
        <v>1</v>
      </c>
      <c r="F1828" s="1" t="n">
        <v>19.73</v>
      </c>
      <c r="G1828" s="1" t="n">
        <v>0.05</v>
      </c>
      <c r="H1828" s="1" t="s">
        <v>1346</v>
      </c>
      <c r="I1828" s="1" t="n">
        <v>18.74</v>
      </c>
      <c r="J1828" s="1" t="str">
        <f aca="false">VLOOKUP(B1828,Customers!$A$2:$G$502,6,FALSE())</f>
        <v>Consumer</v>
      </c>
      <c r="K1828" s="1" t="str">
        <f aca="false">VLOOKUP(C1828,Products!$A$2:$E$62,3,FALSE())</f>
        <v>Software</v>
      </c>
      <c r="L1828" s="1" t="str">
        <f aca="false">TEXT(D1828,"yyyy-mm")</f>
        <v>2024-08</v>
      </c>
    </row>
    <row r="1829" customFormat="false" ht="15" hidden="false" customHeight="true" outlineLevel="0" collapsed="false">
      <c r="A1829" s="1" t="n">
        <v>1867</v>
      </c>
      <c r="B1829" s="1" t="n">
        <v>12</v>
      </c>
      <c r="C1829" s="1" t="n">
        <v>47</v>
      </c>
      <c r="D1829" s="1" t="s">
        <v>1373</v>
      </c>
      <c r="E1829" s="1" t="n">
        <v>5</v>
      </c>
      <c r="F1829" s="1" t="n">
        <v>506.19</v>
      </c>
      <c r="G1829" s="1" t="n">
        <v>0.1</v>
      </c>
      <c r="H1829" s="1" t="s">
        <v>1336</v>
      </c>
      <c r="I1829" s="1" t="n">
        <v>2277.86</v>
      </c>
      <c r="J1829" s="1" t="str">
        <f aca="false">VLOOKUP(B1829,Customers!$A$2:$G$502,6,FALSE())</f>
        <v>Small Business</v>
      </c>
      <c r="K1829" s="1" t="str">
        <f aca="false">VLOOKUP(C1829,Products!$A$2:$E$62,3,FALSE())</f>
        <v>Software</v>
      </c>
      <c r="L1829" s="1" t="str">
        <f aca="false">TEXT(D1829,"yyyy-mm")</f>
        <v>2024-07</v>
      </c>
    </row>
    <row r="1830" customFormat="false" ht="15" hidden="false" customHeight="true" outlineLevel="0" collapsed="false">
      <c r="A1830" s="1" t="n">
        <v>1868</v>
      </c>
      <c r="B1830" s="1" t="n">
        <v>418</v>
      </c>
      <c r="C1830" s="1" t="n">
        <v>53</v>
      </c>
      <c r="D1830" s="1" t="s">
        <v>1470</v>
      </c>
      <c r="E1830" s="1" t="n">
        <v>2</v>
      </c>
      <c r="F1830" s="1" t="n">
        <v>509.98</v>
      </c>
      <c r="G1830" s="1" t="n">
        <v>0.1</v>
      </c>
      <c r="H1830" s="1" t="s">
        <v>1346</v>
      </c>
      <c r="I1830" s="1" t="n">
        <v>917.96</v>
      </c>
      <c r="J1830" s="1" t="str">
        <f aca="false">VLOOKUP(B1830,Customers!$A$2:$G$502,6,FALSE())</f>
        <v>Corporate</v>
      </c>
      <c r="K1830" s="1" t="str">
        <f aca="false">VLOOKUP(C1830,Products!$A$2:$E$62,3,FALSE())</f>
        <v>Software</v>
      </c>
      <c r="L1830" s="1" t="str">
        <f aca="false">TEXT(D1830,"yyyy-mm")</f>
        <v>2023-03</v>
      </c>
    </row>
    <row r="1831" customFormat="false" ht="15" hidden="false" customHeight="true" outlineLevel="0" collapsed="false">
      <c r="A1831" s="1" t="n">
        <v>1869</v>
      </c>
      <c r="B1831" s="1" t="n">
        <v>389</v>
      </c>
      <c r="C1831" s="1" t="n">
        <v>8</v>
      </c>
      <c r="D1831" s="1" t="s">
        <v>387</v>
      </c>
      <c r="E1831" s="1" t="n">
        <v>5</v>
      </c>
      <c r="F1831" s="1" t="n">
        <v>104.4</v>
      </c>
      <c r="G1831" s="1" t="n">
        <v>0</v>
      </c>
      <c r="H1831" s="1" t="s">
        <v>1336</v>
      </c>
      <c r="I1831" s="1" t="n">
        <v>522</v>
      </c>
      <c r="J1831" s="1" t="str">
        <f aca="false">VLOOKUP(B1831,Customers!$A$2:$G$502,6,FALSE())</f>
        <v>Corporate</v>
      </c>
      <c r="K1831" s="1" t="str">
        <f aca="false">VLOOKUP(C1831,Products!$A$2:$E$62,3,FALSE())</f>
        <v>Electronics</v>
      </c>
      <c r="L1831" s="1" t="str">
        <f aca="false">TEXT(D1831,"yyyy-mm")</f>
        <v>2024-04</v>
      </c>
    </row>
    <row r="1832" customFormat="false" ht="15" hidden="false" customHeight="true" outlineLevel="0" collapsed="false">
      <c r="A1832" s="1" t="n">
        <v>1870</v>
      </c>
      <c r="B1832" s="1" t="n">
        <v>498</v>
      </c>
      <c r="C1832" s="1" t="n">
        <v>33</v>
      </c>
      <c r="D1832" s="1" t="s">
        <v>1103</v>
      </c>
      <c r="E1832" s="1" t="n">
        <v>5</v>
      </c>
      <c r="F1832" s="1" t="n">
        <v>190.1</v>
      </c>
      <c r="G1832" s="1" t="n">
        <v>0.05</v>
      </c>
      <c r="H1832" s="1" t="s">
        <v>1346</v>
      </c>
      <c r="I1832" s="1" t="n">
        <v>902.97</v>
      </c>
      <c r="J1832" s="1" t="str">
        <f aca="false">VLOOKUP(B1832,Customers!$A$2:$G$502,6,FALSE())</f>
        <v>Corporate</v>
      </c>
      <c r="K1832" s="1" t="str">
        <f aca="false">VLOOKUP(C1832,Products!$A$2:$E$62,3,FALSE())</f>
        <v>Office Supplies</v>
      </c>
      <c r="L1832" s="1" t="str">
        <f aca="false">TEXT(D1832,"yyyy-mm")</f>
        <v>2024-01</v>
      </c>
    </row>
    <row r="1833" customFormat="false" ht="15" hidden="false" customHeight="true" outlineLevel="0" collapsed="false">
      <c r="A1833" s="1" t="n">
        <v>1871</v>
      </c>
      <c r="B1833" s="1" t="n">
        <v>277</v>
      </c>
      <c r="C1833" s="1" t="n">
        <v>3</v>
      </c>
      <c r="D1833" s="1" t="s">
        <v>1114</v>
      </c>
      <c r="E1833" s="1" t="n">
        <v>2</v>
      </c>
      <c r="F1833" s="1" t="n">
        <v>89.39</v>
      </c>
      <c r="G1833" s="1" t="n">
        <v>0.05</v>
      </c>
      <c r="H1833" s="1" t="s">
        <v>1336</v>
      </c>
      <c r="I1833" s="1" t="n">
        <v>169.84</v>
      </c>
      <c r="J1833" s="1" t="str">
        <f aca="false">VLOOKUP(B1833,Customers!$A$2:$G$502,6,FALSE())</f>
        <v>Corporate</v>
      </c>
      <c r="K1833" s="1" t="str">
        <f aca="false">VLOOKUP(C1833,Products!$A$2:$E$62,3,FALSE())</f>
        <v>Electronics</v>
      </c>
      <c r="L1833" s="1" t="str">
        <f aca="false">TEXT(D1833,"yyyy-mm")</f>
        <v>2024-03</v>
      </c>
    </row>
    <row r="1834" customFormat="false" ht="15" hidden="false" customHeight="true" outlineLevel="0" collapsed="false">
      <c r="A1834" s="1" t="n">
        <v>1872</v>
      </c>
      <c r="B1834" s="1" t="n">
        <v>97</v>
      </c>
      <c r="C1834" s="1" t="n">
        <v>25</v>
      </c>
      <c r="D1834" s="1" t="s">
        <v>786</v>
      </c>
      <c r="E1834" s="1" t="n">
        <v>5</v>
      </c>
      <c r="F1834" s="1" t="n">
        <v>300.49</v>
      </c>
      <c r="G1834" s="1" t="n">
        <v>0</v>
      </c>
      <c r="H1834" s="1" t="s">
        <v>1336</v>
      </c>
      <c r="I1834" s="1" t="n">
        <v>1502.45</v>
      </c>
      <c r="J1834" s="1" t="str">
        <f aca="false">VLOOKUP(B1834,Customers!$A$2:$G$502,6,FALSE())</f>
        <v>Corporate</v>
      </c>
      <c r="K1834" s="1" t="str">
        <f aca="false">VLOOKUP(C1834,Products!$A$2:$E$62,3,FALSE())</f>
        <v>Office Supplies</v>
      </c>
      <c r="L1834" s="1" t="str">
        <f aca="false">TEXT(D1834,"yyyy-mm")</f>
        <v>2024-07</v>
      </c>
    </row>
    <row r="1835" customFormat="false" ht="15" hidden="false" customHeight="true" outlineLevel="0" collapsed="false">
      <c r="A1835" s="1" t="n">
        <v>1873</v>
      </c>
      <c r="B1835" s="1" t="n">
        <v>479</v>
      </c>
      <c r="C1835" s="1" t="n">
        <v>11</v>
      </c>
      <c r="D1835" s="1" t="s">
        <v>1133</v>
      </c>
      <c r="E1835" s="1" t="n">
        <v>4</v>
      </c>
      <c r="F1835" s="1" t="n">
        <v>328.39</v>
      </c>
      <c r="G1835" s="1" t="n">
        <v>0.05</v>
      </c>
      <c r="H1835" s="1" t="s">
        <v>1336</v>
      </c>
      <c r="I1835" s="1" t="n">
        <v>1247.88</v>
      </c>
      <c r="J1835" s="1" t="str">
        <f aca="false">VLOOKUP(B1835,Customers!$A$2:$G$502,6,FALSE())</f>
        <v>Small Business</v>
      </c>
      <c r="K1835" s="1" t="str">
        <f aca="false">VLOOKUP(C1835,Products!$A$2:$E$62,3,FALSE())</f>
        <v>Electronics</v>
      </c>
      <c r="L1835" s="1" t="str">
        <f aca="false">TEXT(D1835,"yyyy-mm")</f>
        <v>2024-06</v>
      </c>
    </row>
    <row r="1836" customFormat="false" ht="15" hidden="false" customHeight="true" outlineLevel="0" collapsed="false">
      <c r="A1836" s="1" t="n">
        <v>1874</v>
      </c>
      <c r="B1836" s="1" t="n">
        <v>217</v>
      </c>
      <c r="C1836" s="1" t="n">
        <v>36</v>
      </c>
      <c r="D1836" s="1" t="s">
        <v>1226</v>
      </c>
      <c r="E1836" s="1" t="n">
        <v>1</v>
      </c>
      <c r="F1836" s="1" t="n">
        <v>424.45</v>
      </c>
      <c r="G1836" s="1" t="n">
        <v>0</v>
      </c>
      <c r="H1836" s="1" t="s">
        <v>1336</v>
      </c>
      <c r="I1836" s="1" t="n">
        <v>424.45</v>
      </c>
      <c r="J1836" s="1" t="str">
        <f aca="false">VLOOKUP(B1836,Customers!$A$2:$G$502,6,FALSE())</f>
        <v>Consumer</v>
      </c>
      <c r="K1836" s="1" t="str">
        <f aca="false">VLOOKUP(C1836,Products!$A$2:$E$62,3,FALSE())</f>
        <v>Software</v>
      </c>
      <c r="L1836" s="1" t="str">
        <f aca="false">TEXT(D1836,"yyyy-mm")</f>
        <v>2024-05</v>
      </c>
    </row>
    <row r="1837" customFormat="false" ht="15" hidden="false" customHeight="true" outlineLevel="0" collapsed="false">
      <c r="A1837" s="1" t="n">
        <v>1875</v>
      </c>
      <c r="B1837" s="1" t="n">
        <v>477</v>
      </c>
      <c r="C1837" s="1" t="n">
        <v>55</v>
      </c>
      <c r="D1837" s="1" t="s">
        <v>1663</v>
      </c>
      <c r="E1837" s="1" t="n">
        <v>3</v>
      </c>
      <c r="F1837" s="1" t="n">
        <v>123.38</v>
      </c>
      <c r="G1837" s="1" t="n">
        <v>0.15</v>
      </c>
      <c r="H1837" s="1" t="s">
        <v>1336</v>
      </c>
      <c r="I1837" s="1" t="n">
        <v>314.62</v>
      </c>
      <c r="J1837" s="1" t="str">
        <f aca="false">VLOOKUP(B1837,Customers!$A$2:$G$502,6,FALSE())</f>
        <v>Corporate</v>
      </c>
      <c r="K1837" s="1" t="str">
        <f aca="false">VLOOKUP(C1837,Products!$A$2:$E$62,3,FALSE())</f>
        <v>Furniture</v>
      </c>
      <c r="L1837" s="1" t="str">
        <f aca="false">TEXT(D1837,"yyyy-mm")</f>
        <v>2024-05</v>
      </c>
    </row>
    <row r="1838" customFormat="false" ht="15" hidden="false" customHeight="true" outlineLevel="0" collapsed="false">
      <c r="A1838" s="1" t="n">
        <v>1876</v>
      </c>
      <c r="B1838" s="1" t="n">
        <v>61</v>
      </c>
      <c r="C1838" s="1" t="n">
        <v>17</v>
      </c>
      <c r="D1838" s="1" t="s">
        <v>1667</v>
      </c>
      <c r="E1838" s="1" t="n">
        <v>1</v>
      </c>
      <c r="F1838" s="1" t="n">
        <v>65.61</v>
      </c>
      <c r="G1838" s="1" t="n">
        <v>0.2</v>
      </c>
      <c r="H1838" s="1" t="s">
        <v>1336</v>
      </c>
      <c r="I1838" s="1" t="n">
        <v>52.49</v>
      </c>
      <c r="J1838" s="1" t="str">
        <f aca="false">VLOOKUP(B1838,Customers!$A$2:$G$502,6,FALSE())</f>
        <v>Small Business</v>
      </c>
      <c r="K1838" s="1" t="str">
        <f aca="false">VLOOKUP(C1838,Products!$A$2:$E$62,3,FALSE())</f>
        <v>Electronics</v>
      </c>
      <c r="L1838" s="1" t="str">
        <f aca="false">TEXT(D1838,"yyyy-mm")</f>
        <v>2023-04</v>
      </c>
    </row>
    <row r="1839" customFormat="false" ht="15" hidden="false" customHeight="true" outlineLevel="0" collapsed="false">
      <c r="A1839" s="1" t="n">
        <v>1877</v>
      </c>
      <c r="B1839" s="1" t="n">
        <v>283</v>
      </c>
      <c r="C1839" s="1" t="n">
        <v>42</v>
      </c>
      <c r="D1839" s="1" t="s">
        <v>266</v>
      </c>
      <c r="E1839" s="1" t="n">
        <v>5</v>
      </c>
      <c r="F1839" s="1" t="n">
        <v>174.48</v>
      </c>
      <c r="G1839" s="1" t="n">
        <v>0</v>
      </c>
      <c r="H1839" s="1" t="s">
        <v>1336</v>
      </c>
      <c r="I1839" s="1" t="n">
        <v>872.4</v>
      </c>
      <c r="J1839" s="1" t="str">
        <f aca="false">VLOOKUP(B1839,Customers!$A$2:$G$502,6,FALSE())</f>
        <v>Small Business</v>
      </c>
      <c r="K1839" s="1" t="str">
        <f aca="false">VLOOKUP(C1839,Products!$A$2:$E$62,3,FALSE())</f>
        <v>Software</v>
      </c>
      <c r="L1839" s="1" t="str">
        <f aca="false">TEXT(D1839,"yyyy-mm")</f>
        <v>2023-09</v>
      </c>
    </row>
    <row r="1840" customFormat="false" ht="15" hidden="false" customHeight="true" outlineLevel="0" collapsed="false">
      <c r="A1840" s="1" t="n">
        <v>1878</v>
      </c>
      <c r="B1840" s="1" t="n">
        <v>115</v>
      </c>
      <c r="C1840" s="1" t="n">
        <v>22</v>
      </c>
      <c r="D1840" s="1" t="s">
        <v>1358</v>
      </c>
      <c r="E1840" s="1" t="n">
        <v>4</v>
      </c>
      <c r="F1840" s="1" t="n">
        <v>38.57</v>
      </c>
      <c r="G1840" s="1" t="n">
        <v>0</v>
      </c>
      <c r="H1840" s="1" t="s">
        <v>1336</v>
      </c>
      <c r="I1840" s="1" t="n">
        <v>154.28</v>
      </c>
      <c r="J1840" s="1" t="str">
        <f aca="false">VLOOKUP(B1840,Customers!$A$2:$G$502,6,FALSE())</f>
        <v>Small Business</v>
      </c>
      <c r="K1840" s="1" t="str">
        <f aca="false">VLOOKUP(C1840,Products!$A$2:$E$62,3,FALSE())</f>
        <v>Office Supplies</v>
      </c>
      <c r="L1840" s="1" t="str">
        <f aca="false">TEXT(D1840,"yyyy-mm")</f>
        <v>2024-01</v>
      </c>
    </row>
    <row r="1841" customFormat="false" ht="15" hidden="false" customHeight="true" outlineLevel="0" collapsed="false">
      <c r="A1841" s="1" t="n">
        <v>1879</v>
      </c>
      <c r="B1841" s="1" t="n">
        <v>338</v>
      </c>
      <c r="C1841" s="1" t="n">
        <v>43</v>
      </c>
      <c r="D1841" s="1" t="s">
        <v>567</v>
      </c>
      <c r="E1841" s="1" t="n">
        <v>7</v>
      </c>
      <c r="F1841" s="1" t="n">
        <v>186.31</v>
      </c>
      <c r="G1841" s="1" t="n">
        <v>0.05</v>
      </c>
      <c r="H1841" s="1" t="s">
        <v>1336</v>
      </c>
      <c r="I1841" s="1" t="n">
        <v>1238.96</v>
      </c>
      <c r="J1841" s="1" t="str">
        <f aca="false">VLOOKUP(B1841,Customers!$A$2:$G$502,6,FALSE())</f>
        <v>Corporate</v>
      </c>
      <c r="K1841" s="1" t="str">
        <f aca="false">VLOOKUP(C1841,Products!$A$2:$E$62,3,FALSE())</f>
        <v>Software</v>
      </c>
      <c r="L1841" s="1" t="str">
        <f aca="false">TEXT(D1841,"yyyy-mm")</f>
        <v>2024-10</v>
      </c>
    </row>
    <row r="1842" customFormat="false" ht="15" hidden="false" customHeight="true" outlineLevel="0" collapsed="false">
      <c r="A1842" s="1" t="n">
        <v>1880</v>
      </c>
      <c r="B1842" s="1" t="n">
        <v>360</v>
      </c>
      <c r="C1842" s="1" t="n">
        <v>41</v>
      </c>
      <c r="D1842" s="1" t="s">
        <v>1668</v>
      </c>
      <c r="E1842" s="1" t="n">
        <v>5</v>
      </c>
      <c r="F1842" s="1" t="n">
        <v>594.54</v>
      </c>
      <c r="G1842" s="1" t="n">
        <v>0.2</v>
      </c>
      <c r="H1842" s="1" t="s">
        <v>1336</v>
      </c>
      <c r="I1842" s="1" t="n">
        <v>2378.16</v>
      </c>
      <c r="J1842" s="1" t="str">
        <f aca="false">VLOOKUP(B1842,Customers!$A$2:$G$502,6,FALSE())</f>
        <v>Corporate</v>
      </c>
      <c r="K1842" s="1" t="str">
        <f aca="false">VLOOKUP(C1842,Products!$A$2:$E$62,3,FALSE())</f>
        <v>Software</v>
      </c>
      <c r="L1842" s="1" t="str">
        <f aca="false">TEXT(D1842,"yyyy-mm")</f>
        <v>2023-10</v>
      </c>
    </row>
    <row r="1843" customFormat="false" ht="15" hidden="false" customHeight="true" outlineLevel="0" collapsed="false">
      <c r="A1843" s="1" t="n">
        <v>1882</v>
      </c>
      <c r="B1843" s="1" t="n">
        <v>288</v>
      </c>
      <c r="C1843" s="1" t="n">
        <v>22</v>
      </c>
      <c r="D1843" s="1" t="s">
        <v>29</v>
      </c>
      <c r="E1843" s="1" t="n">
        <v>2</v>
      </c>
      <c r="F1843" s="1" t="n">
        <v>38.57</v>
      </c>
      <c r="G1843" s="1" t="n">
        <v>0.05</v>
      </c>
      <c r="H1843" s="1" t="s">
        <v>1336</v>
      </c>
      <c r="I1843" s="1" t="n">
        <v>73.28</v>
      </c>
      <c r="J1843" s="1" t="str">
        <f aca="false">VLOOKUP(B1843,Customers!$A$2:$G$502,6,FALSE())</f>
        <v>Small Business</v>
      </c>
      <c r="K1843" s="1" t="str">
        <f aca="false">VLOOKUP(C1843,Products!$A$2:$E$62,3,FALSE())</f>
        <v>Office Supplies</v>
      </c>
      <c r="L1843" s="1" t="str">
        <f aca="false">TEXT(D1843,"yyyy-mm")</f>
        <v>2023-04</v>
      </c>
    </row>
    <row r="1844" customFormat="false" ht="15" hidden="false" customHeight="true" outlineLevel="0" collapsed="false">
      <c r="A1844" s="1" t="n">
        <v>1883</v>
      </c>
      <c r="B1844" s="1" t="n">
        <v>423</v>
      </c>
      <c r="C1844" s="1" t="n">
        <v>41</v>
      </c>
      <c r="D1844" s="1" t="s">
        <v>1534</v>
      </c>
      <c r="E1844" s="1" t="n">
        <v>4</v>
      </c>
      <c r="F1844" s="1" t="n">
        <v>594.54</v>
      </c>
      <c r="G1844" s="1" t="n">
        <v>0</v>
      </c>
      <c r="H1844" s="1" t="s">
        <v>1336</v>
      </c>
      <c r="I1844" s="1" t="n">
        <v>2378.16</v>
      </c>
      <c r="J1844" s="1" t="str">
        <f aca="false">VLOOKUP(B1844,Customers!$A$2:$G$502,6,FALSE())</f>
        <v>Small Business</v>
      </c>
      <c r="K1844" s="1" t="str">
        <f aca="false">VLOOKUP(C1844,Products!$A$2:$E$62,3,FALSE())</f>
        <v>Software</v>
      </c>
      <c r="L1844" s="1" t="str">
        <f aca="false">TEXT(D1844,"yyyy-mm")</f>
        <v>2024-02</v>
      </c>
    </row>
    <row r="1845" customFormat="false" ht="15" hidden="false" customHeight="true" outlineLevel="0" collapsed="false">
      <c r="A1845" s="1" t="n">
        <v>1884</v>
      </c>
      <c r="B1845" s="1" t="n">
        <v>405</v>
      </c>
      <c r="C1845" s="1" t="n">
        <v>50</v>
      </c>
      <c r="D1845" s="1" t="s">
        <v>1273</v>
      </c>
      <c r="E1845" s="1" t="n">
        <v>2</v>
      </c>
      <c r="F1845" s="1" t="n">
        <v>19.73</v>
      </c>
      <c r="G1845" s="1" t="n">
        <v>0</v>
      </c>
      <c r="H1845" s="1" t="s">
        <v>1336</v>
      </c>
      <c r="I1845" s="1" t="n">
        <v>39.46</v>
      </c>
      <c r="J1845" s="1" t="str">
        <f aca="false">VLOOKUP(B1845,Customers!$A$2:$G$502,6,FALSE())</f>
        <v>Small Business</v>
      </c>
      <c r="K1845" s="1" t="str">
        <f aca="false">VLOOKUP(C1845,Products!$A$2:$E$62,3,FALSE())</f>
        <v>Software</v>
      </c>
      <c r="L1845" s="1" t="str">
        <f aca="false">TEXT(D1845,"yyyy-mm")</f>
        <v>2023-08</v>
      </c>
    </row>
    <row r="1846" customFormat="false" ht="15" hidden="false" customHeight="true" outlineLevel="0" collapsed="false">
      <c r="A1846" s="1" t="n">
        <v>1885</v>
      </c>
      <c r="B1846" s="1" t="n">
        <v>451</v>
      </c>
      <c r="C1846" s="1" t="n">
        <v>28</v>
      </c>
      <c r="D1846" s="1" t="s">
        <v>496</v>
      </c>
      <c r="E1846" s="1" t="n">
        <v>8</v>
      </c>
      <c r="F1846" s="1" t="n">
        <v>505.23</v>
      </c>
      <c r="G1846" s="1" t="n">
        <v>0</v>
      </c>
      <c r="H1846" s="1" t="s">
        <v>1336</v>
      </c>
      <c r="I1846" s="1" t="n">
        <v>4041.84</v>
      </c>
      <c r="J1846" s="1" t="str">
        <f aca="false">VLOOKUP(B1846,Customers!$A$2:$G$502,6,FALSE())</f>
        <v>Corporate</v>
      </c>
      <c r="K1846" s="1" t="str">
        <f aca="false">VLOOKUP(C1846,Products!$A$2:$E$62,3,FALSE())</f>
        <v>Office Supplies</v>
      </c>
      <c r="L1846" s="1" t="str">
        <f aca="false">TEXT(D1846,"yyyy-mm")</f>
        <v>2023-05</v>
      </c>
    </row>
    <row r="1847" customFormat="false" ht="15" hidden="false" customHeight="true" outlineLevel="0" collapsed="false">
      <c r="A1847" s="1" t="n">
        <v>1886</v>
      </c>
      <c r="B1847" s="1" t="n">
        <v>309</v>
      </c>
      <c r="C1847" s="1" t="n">
        <v>37</v>
      </c>
      <c r="D1847" s="1" t="s">
        <v>449</v>
      </c>
      <c r="E1847" s="1" t="n">
        <v>3</v>
      </c>
      <c r="F1847" s="1" t="n">
        <v>13.95</v>
      </c>
      <c r="G1847" s="1" t="n">
        <v>0.05</v>
      </c>
      <c r="H1847" s="1" t="s">
        <v>1336</v>
      </c>
      <c r="I1847" s="1" t="n">
        <v>39.76</v>
      </c>
      <c r="J1847" s="1" t="str">
        <f aca="false">VLOOKUP(B1847,Customers!$A$2:$G$502,6,FALSE())</f>
        <v>Unknown</v>
      </c>
      <c r="K1847" s="1" t="str">
        <f aca="false">VLOOKUP(C1847,Products!$A$2:$E$62,3,FALSE())</f>
        <v>Software</v>
      </c>
      <c r="L1847" s="1" t="str">
        <f aca="false">TEXT(D1847,"yyyy-mm")</f>
        <v>2023-03</v>
      </c>
    </row>
    <row r="1848" customFormat="false" ht="15" hidden="false" customHeight="true" outlineLevel="0" collapsed="false">
      <c r="A1848" s="1" t="n">
        <v>1887</v>
      </c>
      <c r="B1848" s="1" t="n">
        <v>425</v>
      </c>
      <c r="C1848" s="1" t="n">
        <v>8</v>
      </c>
      <c r="D1848" s="1" t="s">
        <v>1492</v>
      </c>
      <c r="E1848" s="1" t="n">
        <v>9</v>
      </c>
      <c r="F1848" s="1" t="n">
        <v>104.4</v>
      </c>
      <c r="G1848" s="1" t="n">
        <v>0.2</v>
      </c>
      <c r="H1848" s="1" t="s">
        <v>1370</v>
      </c>
      <c r="I1848" s="1" t="n">
        <v>751.68</v>
      </c>
      <c r="J1848" s="1" t="str">
        <f aca="false">VLOOKUP(B1848,Customers!$A$2:$G$502,6,FALSE())</f>
        <v>Unknown</v>
      </c>
      <c r="K1848" s="1" t="str">
        <f aca="false">VLOOKUP(C1848,Products!$A$2:$E$62,3,FALSE())</f>
        <v>Electronics</v>
      </c>
      <c r="L1848" s="1" t="str">
        <f aca="false">TEXT(D1848,"yyyy-mm")</f>
        <v>2024-08</v>
      </c>
    </row>
    <row r="1849" customFormat="false" ht="15" hidden="false" customHeight="true" outlineLevel="0" collapsed="false">
      <c r="A1849" s="1" t="n">
        <v>1888</v>
      </c>
      <c r="B1849" s="1" t="n">
        <v>328</v>
      </c>
      <c r="C1849" s="1" t="n">
        <v>53</v>
      </c>
      <c r="D1849" s="1" t="s">
        <v>47</v>
      </c>
      <c r="E1849" s="1" t="n">
        <v>4</v>
      </c>
      <c r="F1849" s="1" t="n">
        <v>509.98</v>
      </c>
      <c r="G1849" s="1" t="n">
        <v>0.2</v>
      </c>
      <c r="H1849" s="1" t="s">
        <v>1336</v>
      </c>
      <c r="I1849" s="1" t="n">
        <v>1631.94</v>
      </c>
      <c r="J1849" s="1" t="str">
        <f aca="false">VLOOKUP(B1849,Customers!$A$2:$G$502,6,FALSE())</f>
        <v>Consumer</v>
      </c>
      <c r="K1849" s="1" t="str">
        <f aca="false">VLOOKUP(C1849,Products!$A$2:$E$62,3,FALSE())</f>
        <v>Software</v>
      </c>
      <c r="L1849" s="1" t="str">
        <f aca="false">TEXT(D1849,"yyyy-mm")</f>
        <v>2023-06</v>
      </c>
    </row>
    <row r="1850" customFormat="false" ht="15" hidden="false" customHeight="true" outlineLevel="0" collapsed="false">
      <c r="A1850" s="1" t="n">
        <v>1889</v>
      </c>
      <c r="B1850" s="1" t="n">
        <v>369</v>
      </c>
      <c r="C1850" s="1" t="n">
        <v>27</v>
      </c>
      <c r="D1850" s="1" t="s">
        <v>1494</v>
      </c>
      <c r="E1850" s="1" t="n">
        <v>6</v>
      </c>
      <c r="F1850" s="1" t="n">
        <v>772.58</v>
      </c>
      <c r="G1850" s="1" t="n">
        <v>0</v>
      </c>
      <c r="H1850" s="1" t="s">
        <v>1336</v>
      </c>
      <c r="I1850" s="1" t="n">
        <v>4635.48</v>
      </c>
      <c r="J1850" s="1" t="str">
        <f aca="false">VLOOKUP(B1850,Customers!$A$2:$G$502,6,FALSE())</f>
        <v>Corporate</v>
      </c>
      <c r="K1850" s="1" t="str">
        <f aca="false">VLOOKUP(C1850,Products!$A$2:$E$62,3,FALSE())</f>
        <v>Office Supplies</v>
      </c>
      <c r="L1850" s="1" t="str">
        <f aca="false">TEXT(D1850,"yyyy-mm")</f>
        <v>2023-01</v>
      </c>
    </row>
    <row r="1851" customFormat="false" ht="15" hidden="false" customHeight="true" outlineLevel="0" collapsed="false">
      <c r="A1851" s="1" t="n">
        <v>1890</v>
      </c>
      <c r="B1851" s="1" t="n">
        <v>262</v>
      </c>
      <c r="C1851" s="1" t="n">
        <v>7</v>
      </c>
      <c r="D1851" s="1" t="s">
        <v>106</v>
      </c>
      <c r="E1851" s="1" t="n">
        <v>5</v>
      </c>
      <c r="F1851" s="1" t="n">
        <v>460</v>
      </c>
      <c r="G1851" s="1" t="n">
        <v>0</v>
      </c>
      <c r="H1851" s="1" t="s">
        <v>1336</v>
      </c>
      <c r="I1851" s="1" t="n">
        <v>2300</v>
      </c>
      <c r="J1851" s="1" t="str">
        <f aca="false">VLOOKUP(B1851,Customers!$A$2:$G$502,6,FALSE())</f>
        <v>Small Business</v>
      </c>
      <c r="K1851" s="1" t="str">
        <f aca="false">VLOOKUP(C1851,Products!$A$2:$E$62,3,FALSE())</f>
        <v>Electronics</v>
      </c>
      <c r="L1851" s="1" t="str">
        <f aca="false">TEXT(D1851,"yyyy-mm")</f>
        <v>2024-02</v>
      </c>
    </row>
    <row r="1852" customFormat="false" ht="15" hidden="false" customHeight="true" outlineLevel="0" collapsed="false">
      <c r="A1852" s="1" t="n">
        <v>1891</v>
      </c>
      <c r="B1852" s="1" t="n">
        <v>490</v>
      </c>
      <c r="C1852" s="1" t="n">
        <v>18</v>
      </c>
      <c r="D1852" s="1" t="s">
        <v>1366</v>
      </c>
      <c r="E1852" s="1" t="n">
        <v>1</v>
      </c>
      <c r="F1852" s="1" t="n">
        <v>747.34</v>
      </c>
      <c r="G1852" s="1" t="n">
        <v>0.05</v>
      </c>
      <c r="H1852" s="1" t="s">
        <v>1336</v>
      </c>
      <c r="I1852" s="1" t="n">
        <v>709.97</v>
      </c>
      <c r="J1852" s="1" t="str">
        <f aca="false">VLOOKUP(B1852,Customers!$A$2:$G$502,6,FALSE())</f>
        <v>Consumer</v>
      </c>
      <c r="K1852" s="1" t="str">
        <f aca="false">VLOOKUP(C1852,Products!$A$2:$E$62,3,FALSE())</f>
        <v>Electronics</v>
      </c>
      <c r="L1852" s="1" t="str">
        <f aca="false">TEXT(D1852,"yyyy-mm")</f>
        <v>2023-11</v>
      </c>
    </row>
    <row r="1853" customFormat="false" ht="15" hidden="false" customHeight="true" outlineLevel="0" collapsed="false">
      <c r="A1853" s="1" t="n">
        <v>1892</v>
      </c>
      <c r="B1853" s="1" t="n">
        <v>17</v>
      </c>
      <c r="C1853" s="1" t="n">
        <v>56</v>
      </c>
      <c r="D1853" s="1" t="s">
        <v>1485</v>
      </c>
      <c r="E1853" s="1" t="n">
        <v>9</v>
      </c>
      <c r="F1853" s="1" t="n">
        <v>160.64</v>
      </c>
      <c r="G1853" s="1" t="n">
        <v>0.15</v>
      </c>
      <c r="H1853" s="1" t="s">
        <v>1336</v>
      </c>
      <c r="I1853" s="1" t="n">
        <v>1228.9</v>
      </c>
      <c r="J1853" s="1" t="str">
        <f aca="false">VLOOKUP(B1853,Customers!$A$2:$G$502,6,FALSE())</f>
        <v>Small Business</v>
      </c>
      <c r="K1853" s="1" t="str">
        <f aca="false">VLOOKUP(C1853,Products!$A$2:$E$62,3,FALSE())</f>
        <v>Furniture</v>
      </c>
      <c r="L1853" s="1" t="str">
        <f aca="false">TEXT(D1853,"yyyy-mm")</f>
        <v>2023-07</v>
      </c>
    </row>
    <row r="1854" customFormat="false" ht="15" hidden="false" customHeight="true" outlineLevel="0" collapsed="false">
      <c r="A1854" s="1" t="n">
        <v>1893</v>
      </c>
      <c r="B1854" s="1" t="n">
        <v>33</v>
      </c>
      <c r="C1854" s="1" t="n">
        <v>31</v>
      </c>
      <c r="D1854" s="1" t="s">
        <v>314</v>
      </c>
      <c r="E1854" s="1" t="n">
        <v>1</v>
      </c>
      <c r="F1854" s="1" t="n">
        <v>224.86</v>
      </c>
      <c r="G1854" s="1" t="n">
        <v>0.15</v>
      </c>
      <c r="H1854" s="1" t="s">
        <v>1336</v>
      </c>
      <c r="I1854" s="1" t="n">
        <v>191.13</v>
      </c>
      <c r="J1854" s="1" t="str">
        <f aca="false">VLOOKUP(B1854,Customers!$A$2:$G$502,6,FALSE())</f>
        <v>Corporate</v>
      </c>
      <c r="K1854" s="1" t="str">
        <f aca="false">VLOOKUP(C1854,Products!$A$2:$E$62,3,FALSE())</f>
        <v>Office Supplies</v>
      </c>
      <c r="L1854" s="1" t="str">
        <f aca="false">TEXT(D1854,"yyyy-mm")</f>
        <v>2024-05</v>
      </c>
    </row>
    <row r="1855" customFormat="false" ht="15" hidden="false" customHeight="true" outlineLevel="0" collapsed="false">
      <c r="A1855" s="1" t="n">
        <v>1895</v>
      </c>
      <c r="B1855" s="1" t="n">
        <v>206</v>
      </c>
      <c r="C1855" s="1" t="n">
        <v>30</v>
      </c>
      <c r="D1855" s="1" t="s">
        <v>557</v>
      </c>
      <c r="E1855" s="1" t="n">
        <v>9</v>
      </c>
      <c r="F1855" s="1" t="n">
        <v>33.32</v>
      </c>
      <c r="G1855" s="1" t="n">
        <v>0</v>
      </c>
      <c r="H1855" s="1" t="s">
        <v>1336</v>
      </c>
      <c r="I1855" s="1" t="n">
        <v>299.88</v>
      </c>
      <c r="J1855" s="1" t="str">
        <f aca="false">VLOOKUP(B1855,Customers!$A$2:$G$502,6,FALSE())</f>
        <v>Small Business</v>
      </c>
      <c r="K1855" s="1" t="str">
        <f aca="false">VLOOKUP(C1855,Products!$A$2:$E$62,3,FALSE())</f>
        <v>Office Supplies</v>
      </c>
      <c r="L1855" s="1" t="str">
        <f aca="false">TEXT(D1855,"yyyy-mm")</f>
        <v>2024-07</v>
      </c>
    </row>
    <row r="1856" customFormat="false" ht="15" hidden="false" customHeight="true" outlineLevel="0" collapsed="false">
      <c r="A1856" s="1" t="n">
        <v>1896</v>
      </c>
      <c r="B1856" s="1" t="n">
        <v>54</v>
      </c>
      <c r="C1856" s="1" t="n">
        <v>51</v>
      </c>
      <c r="D1856" s="1" t="s">
        <v>1043</v>
      </c>
      <c r="E1856" s="1" t="n">
        <v>9</v>
      </c>
      <c r="F1856" s="1" t="n">
        <v>30.16</v>
      </c>
      <c r="G1856" s="1" t="n">
        <v>0.2</v>
      </c>
      <c r="H1856" s="1" t="s">
        <v>1336</v>
      </c>
      <c r="I1856" s="1" t="n">
        <v>217.15</v>
      </c>
      <c r="J1856" s="1" t="str">
        <f aca="false">VLOOKUP(B1856,Customers!$A$2:$G$502,6,FALSE())</f>
        <v>Consumer</v>
      </c>
      <c r="K1856" s="1" t="str">
        <f aca="false">VLOOKUP(C1856,Products!$A$2:$E$62,3,FALSE())</f>
        <v>Software</v>
      </c>
      <c r="L1856" s="1" t="str">
        <f aca="false">TEXT(D1856,"yyyy-mm")</f>
        <v>2023-08</v>
      </c>
    </row>
    <row r="1857" customFormat="false" ht="15" hidden="false" customHeight="true" outlineLevel="0" collapsed="false">
      <c r="A1857" s="1" t="n">
        <v>1897</v>
      </c>
      <c r="B1857" s="1" t="n">
        <v>136</v>
      </c>
      <c r="C1857" s="1" t="n">
        <v>35</v>
      </c>
      <c r="D1857" s="1" t="s">
        <v>1459</v>
      </c>
      <c r="E1857" s="1" t="n">
        <v>1</v>
      </c>
      <c r="F1857" s="1" t="n">
        <v>75.78</v>
      </c>
      <c r="G1857" s="1" t="n">
        <v>0.1</v>
      </c>
      <c r="H1857" s="1" t="s">
        <v>1336</v>
      </c>
      <c r="I1857" s="1" t="n">
        <v>68.2</v>
      </c>
      <c r="J1857" s="1" t="str">
        <f aca="false">VLOOKUP(B1857,Customers!$A$2:$G$502,6,FALSE())</f>
        <v>Corporate</v>
      </c>
      <c r="K1857" s="1" t="str">
        <f aca="false">VLOOKUP(C1857,Products!$A$2:$E$62,3,FALSE())</f>
        <v>Software</v>
      </c>
      <c r="L1857" s="1" t="str">
        <f aca="false">TEXT(D1857,"yyyy-mm")</f>
        <v>2024-03</v>
      </c>
    </row>
    <row r="1858" customFormat="false" ht="15" hidden="false" customHeight="true" outlineLevel="0" collapsed="false">
      <c r="A1858" s="1" t="n">
        <v>1898</v>
      </c>
      <c r="B1858" s="1" t="n">
        <v>298</v>
      </c>
      <c r="C1858" s="1" t="n">
        <v>26</v>
      </c>
      <c r="D1858" s="1" t="s">
        <v>109</v>
      </c>
      <c r="E1858" s="1" t="n">
        <v>2</v>
      </c>
      <c r="F1858" s="1" t="n">
        <v>733.85</v>
      </c>
      <c r="G1858" s="1" t="n">
        <v>0.1</v>
      </c>
      <c r="H1858" s="1" t="s">
        <v>1336</v>
      </c>
      <c r="I1858" s="1" t="n">
        <v>1320.93</v>
      </c>
      <c r="J1858" s="1" t="str">
        <f aca="false">VLOOKUP(B1858,Customers!$A$2:$G$502,6,FALSE())</f>
        <v>Consumer</v>
      </c>
      <c r="K1858" s="1" t="str">
        <f aca="false">VLOOKUP(C1858,Products!$A$2:$E$62,3,FALSE())</f>
        <v>Office Supplies</v>
      </c>
      <c r="L1858" s="1" t="str">
        <f aca="false">TEXT(D1858,"yyyy-mm")</f>
        <v>2024-12</v>
      </c>
    </row>
    <row r="1859" customFormat="false" ht="15" hidden="false" customHeight="true" outlineLevel="0" collapsed="false">
      <c r="A1859" s="1" t="n">
        <v>1899</v>
      </c>
      <c r="B1859" s="1" t="n">
        <v>353</v>
      </c>
      <c r="C1859" s="1" t="n">
        <v>58</v>
      </c>
      <c r="D1859" s="1" t="s">
        <v>915</v>
      </c>
      <c r="E1859" s="1" t="n">
        <v>1</v>
      </c>
      <c r="F1859" s="1" t="n">
        <v>515.55</v>
      </c>
      <c r="G1859" s="1" t="n">
        <v>0</v>
      </c>
      <c r="H1859" s="1" t="s">
        <v>1336</v>
      </c>
      <c r="I1859" s="1" t="n">
        <v>515.55</v>
      </c>
      <c r="J1859" s="1" t="str">
        <f aca="false">VLOOKUP(B1859,Customers!$A$2:$G$502,6,FALSE())</f>
        <v>Corporate</v>
      </c>
      <c r="K1859" s="1" t="str">
        <f aca="false">VLOOKUP(C1859,Products!$A$2:$E$62,3,FALSE())</f>
        <v>Furniture</v>
      </c>
      <c r="L1859" s="1" t="str">
        <f aca="false">TEXT(D1859,"yyyy-mm")</f>
        <v>2023-04</v>
      </c>
    </row>
    <row r="1860" customFormat="false" ht="15" hidden="false" customHeight="true" outlineLevel="0" collapsed="false">
      <c r="A1860" s="1" t="n">
        <v>1900</v>
      </c>
      <c r="B1860" s="1" t="n">
        <v>57</v>
      </c>
      <c r="C1860" s="1" t="n">
        <v>8</v>
      </c>
      <c r="D1860" s="1" t="s">
        <v>1669</v>
      </c>
      <c r="E1860" s="1" t="n">
        <v>2</v>
      </c>
      <c r="F1860" s="1" t="n">
        <v>104.4</v>
      </c>
      <c r="G1860" s="1" t="n">
        <v>0</v>
      </c>
      <c r="H1860" s="1" t="s">
        <v>1336</v>
      </c>
      <c r="I1860" s="1" t="n">
        <v>208.8</v>
      </c>
      <c r="J1860" s="1" t="str">
        <f aca="false">VLOOKUP(B1860,Customers!$A$2:$G$502,6,FALSE())</f>
        <v>Consumer</v>
      </c>
      <c r="K1860" s="1" t="str">
        <f aca="false">VLOOKUP(C1860,Products!$A$2:$E$62,3,FALSE())</f>
        <v>Electronics</v>
      </c>
      <c r="L1860" s="1" t="str">
        <f aca="false">TEXT(D1860,"yyyy-mm")</f>
        <v>2024-09</v>
      </c>
    </row>
    <row r="1861" customFormat="false" ht="15" hidden="false" customHeight="true" outlineLevel="0" collapsed="false">
      <c r="A1861" s="1" t="n">
        <v>1901</v>
      </c>
      <c r="B1861" s="1" t="n">
        <v>245</v>
      </c>
      <c r="C1861" s="1" t="n">
        <v>24</v>
      </c>
      <c r="D1861" s="1" t="s">
        <v>1526</v>
      </c>
      <c r="E1861" s="1" t="n">
        <v>8</v>
      </c>
      <c r="F1861" s="1" t="n">
        <v>207.34</v>
      </c>
      <c r="G1861" s="1" t="n">
        <v>0.15</v>
      </c>
      <c r="H1861" s="1" t="s">
        <v>1346</v>
      </c>
      <c r="I1861" s="1" t="n">
        <v>1409.91</v>
      </c>
      <c r="J1861" s="1" t="str">
        <f aca="false">VLOOKUP(B1861,Customers!$A$2:$G$502,6,FALSE())</f>
        <v>Consumer</v>
      </c>
      <c r="K1861" s="1" t="str">
        <f aca="false">VLOOKUP(C1861,Products!$A$2:$E$62,3,FALSE())</f>
        <v>Office Supplies</v>
      </c>
      <c r="L1861" s="1" t="str">
        <f aca="false">TEXT(D1861,"yyyy-mm")</f>
        <v>2023-09</v>
      </c>
    </row>
    <row r="1862" customFormat="false" ht="15" hidden="false" customHeight="true" outlineLevel="0" collapsed="false">
      <c r="A1862" s="1" t="n">
        <v>1902</v>
      </c>
      <c r="B1862" s="1" t="n">
        <v>243</v>
      </c>
      <c r="C1862" s="1" t="n">
        <v>6</v>
      </c>
      <c r="D1862" s="1" t="s">
        <v>1459</v>
      </c>
      <c r="E1862" s="1" t="n">
        <v>5</v>
      </c>
      <c r="F1862" s="1" t="n">
        <v>28.51</v>
      </c>
      <c r="G1862" s="1" t="n">
        <v>0.15</v>
      </c>
      <c r="H1862" s="1" t="s">
        <v>1336</v>
      </c>
      <c r="I1862" s="1" t="n">
        <v>121.17</v>
      </c>
      <c r="J1862" s="1" t="str">
        <f aca="false">VLOOKUP(B1862,Customers!$A$2:$G$502,6,FALSE())</f>
        <v>Small Business</v>
      </c>
      <c r="K1862" s="1" t="str">
        <f aca="false">VLOOKUP(C1862,Products!$A$2:$E$62,3,FALSE())</f>
        <v>Electronics</v>
      </c>
      <c r="L1862" s="1" t="str">
        <f aca="false">TEXT(D1862,"yyyy-mm")</f>
        <v>2024-03</v>
      </c>
    </row>
    <row r="1863" customFormat="false" ht="15" hidden="false" customHeight="true" outlineLevel="0" collapsed="false">
      <c r="A1863" s="1" t="n">
        <v>1903</v>
      </c>
      <c r="B1863" s="1" t="n">
        <v>285</v>
      </c>
      <c r="C1863" s="1" t="n">
        <v>52</v>
      </c>
      <c r="D1863" s="1" t="s">
        <v>1629</v>
      </c>
      <c r="E1863" s="1" t="n">
        <v>7</v>
      </c>
      <c r="F1863" s="1" t="n">
        <v>207.67</v>
      </c>
      <c r="G1863" s="1" t="n">
        <v>0</v>
      </c>
      <c r="H1863" s="1" t="s">
        <v>1336</v>
      </c>
      <c r="I1863" s="1" t="n">
        <v>1453.69</v>
      </c>
      <c r="J1863" s="1" t="str">
        <f aca="false">VLOOKUP(B1863,Customers!$A$2:$G$502,6,FALSE())</f>
        <v>Consumer</v>
      </c>
      <c r="K1863" s="1" t="str">
        <f aca="false">VLOOKUP(C1863,Products!$A$2:$E$62,3,FALSE())</f>
        <v>Software</v>
      </c>
      <c r="L1863" s="1" t="str">
        <f aca="false">TEXT(D1863,"yyyy-mm")</f>
        <v>2024-02</v>
      </c>
    </row>
    <row r="1864" customFormat="false" ht="15" hidden="false" customHeight="true" outlineLevel="0" collapsed="false">
      <c r="A1864" s="1" t="n">
        <v>1905</v>
      </c>
      <c r="B1864" s="1" t="n">
        <v>13</v>
      </c>
      <c r="C1864" s="1" t="n">
        <v>39</v>
      </c>
      <c r="D1864" s="1" t="s">
        <v>1547</v>
      </c>
      <c r="E1864" s="1" t="n">
        <v>8</v>
      </c>
      <c r="F1864" s="1" t="n">
        <v>400.02</v>
      </c>
      <c r="G1864" s="1" t="n">
        <v>0.15</v>
      </c>
      <c r="H1864" s="1" t="s">
        <v>1336</v>
      </c>
      <c r="I1864" s="1" t="n">
        <v>2720.14</v>
      </c>
      <c r="J1864" s="1" t="str">
        <f aca="false">VLOOKUP(B1864,Customers!$A$2:$G$502,6,FALSE())</f>
        <v>Corporate</v>
      </c>
      <c r="K1864" s="1" t="str">
        <f aca="false">VLOOKUP(C1864,Products!$A$2:$E$62,3,FALSE())</f>
        <v>Software</v>
      </c>
      <c r="L1864" s="1" t="str">
        <f aca="false">TEXT(D1864,"yyyy-mm")</f>
        <v>2024-11</v>
      </c>
    </row>
    <row r="1865" customFormat="false" ht="15" hidden="false" customHeight="true" outlineLevel="0" collapsed="false">
      <c r="A1865" s="1" t="n">
        <v>1906</v>
      </c>
      <c r="B1865" s="1" t="n">
        <v>129</v>
      </c>
      <c r="C1865" s="1" t="n">
        <v>12</v>
      </c>
      <c r="D1865" s="1" t="s">
        <v>1569</v>
      </c>
      <c r="E1865" s="1" t="n">
        <v>6</v>
      </c>
      <c r="F1865" s="1" t="n">
        <v>179.23</v>
      </c>
      <c r="G1865" s="1" t="n">
        <v>0</v>
      </c>
      <c r="H1865" s="1" t="s">
        <v>1346</v>
      </c>
      <c r="I1865" s="1" t="n">
        <v>1075.38</v>
      </c>
      <c r="J1865" s="1" t="str">
        <f aca="false">VLOOKUP(B1865,Customers!$A$2:$G$502,6,FALSE())</f>
        <v>Corporate</v>
      </c>
      <c r="K1865" s="1" t="str">
        <f aca="false">VLOOKUP(C1865,Products!$A$2:$E$62,3,FALSE())</f>
        <v>Electronics</v>
      </c>
      <c r="L1865" s="1" t="str">
        <f aca="false">TEXT(D1865,"yyyy-mm")</f>
        <v>2023-02</v>
      </c>
    </row>
    <row r="1866" customFormat="false" ht="15" hidden="false" customHeight="true" outlineLevel="0" collapsed="false">
      <c r="A1866" s="1" t="n">
        <v>1907</v>
      </c>
      <c r="B1866" s="1" t="n">
        <v>463</v>
      </c>
      <c r="C1866" s="1" t="n">
        <v>48</v>
      </c>
      <c r="D1866" s="1" t="s">
        <v>1640</v>
      </c>
      <c r="E1866" s="1" t="n">
        <v>8</v>
      </c>
      <c r="F1866" s="1" t="n">
        <v>493.53</v>
      </c>
      <c r="G1866" s="1" t="n">
        <v>0.1</v>
      </c>
      <c r="H1866" s="1" t="s">
        <v>1336</v>
      </c>
      <c r="I1866" s="1" t="n">
        <v>3553.42</v>
      </c>
      <c r="J1866" s="1" t="str">
        <f aca="false">VLOOKUP(B1866,Customers!$A$2:$G$502,6,FALSE())</f>
        <v>Consumer</v>
      </c>
      <c r="K1866" s="1" t="str">
        <f aca="false">VLOOKUP(C1866,Products!$A$2:$E$62,3,FALSE())</f>
        <v>Software</v>
      </c>
      <c r="L1866" s="1" t="str">
        <f aca="false">TEXT(D1866,"yyyy-mm")</f>
        <v>2024-07</v>
      </c>
    </row>
    <row r="1867" customFormat="false" ht="15" hidden="false" customHeight="true" outlineLevel="0" collapsed="false">
      <c r="A1867" s="1" t="n">
        <v>1908</v>
      </c>
      <c r="B1867" s="1" t="n">
        <v>135</v>
      </c>
      <c r="C1867" s="1" t="n">
        <v>11</v>
      </c>
      <c r="D1867" s="1" t="s">
        <v>642</v>
      </c>
      <c r="E1867" s="1" t="n">
        <v>1</v>
      </c>
      <c r="F1867" s="1" t="n">
        <v>328.39</v>
      </c>
      <c r="G1867" s="1" t="n">
        <v>0.2</v>
      </c>
      <c r="H1867" s="1" t="s">
        <v>1336</v>
      </c>
      <c r="I1867" s="1" t="n">
        <v>262.71</v>
      </c>
      <c r="J1867" s="1" t="str">
        <f aca="false">VLOOKUP(B1867,Customers!$A$2:$G$502,6,FALSE())</f>
        <v>Corporate</v>
      </c>
      <c r="K1867" s="1" t="str">
        <f aca="false">VLOOKUP(C1867,Products!$A$2:$E$62,3,FALSE())</f>
        <v>Electronics</v>
      </c>
      <c r="L1867" s="1" t="str">
        <f aca="false">TEXT(D1867,"yyyy-mm")</f>
        <v>2023-01</v>
      </c>
    </row>
    <row r="1868" customFormat="false" ht="15" hidden="false" customHeight="true" outlineLevel="0" collapsed="false">
      <c r="A1868" s="1" t="n">
        <v>1909</v>
      </c>
      <c r="B1868" s="1" t="n">
        <v>388</v>
      </c>
      <c r="C1868" s="1" t="n">
        <v>29</v>
      </c>
      <c r="D1868" s="1" t="s">
        <v>1657</v>
      </c>
      <c r="E1868" s="1" t="n">
        <v>1</v>
      </c>
      <c r="F1868" s="1" t="n">
        <v>54.62</v>
      </c>
      <c r="G1868" s="1" t="n">
        <v>0.1</v>
      </c>
      <c r="H1868" s="1" t="s">
        <v>1346</v>
      </c>
      <c r="I1868" s="1" t="n">
        <v>49.16</v>
      </c>
      <c r="J1868" s="1" t="str">
        <f aca="false">VLOOKUP(B1868,Customers!$A$2:$G$502,6,FALSE())</f>
        <v>Corporate</v>
      </c>
      <c r="K1868" s="1" t="str">
        <f aca="false">VLOOKUP(C1868,Products!$A$2:$E$62,3,FALSE())</f>
        <v>Office Supplies</v>
      </c>
      <c r="L1868" s="1" t="str">
        <f aca="false">TEXT(D1868,"yyyy-mm")</f>
        <v>2023-12</v>
      </c>
    </row>
    <row r="1869" customFormat="false" ht="15" hidden="false" customHeight="true" outlineLevel="0" collapsed="false">
      <c r="A1869" s="1" t="n">
        <v>1910</v>
      </c>
      <c r="B1869" s="1" t="n">
        <v>164</v>
      </c>
      <c r="C1869" s="1" t="n">
        <v>15</v>
      </c>
      <c r="D1869" s="1" t="s">
        <v>614</v>
      </c>
      <c r="E1869" s="1" t="n">
        <v>7</v>
      </c>
      <c r="F1869" s="1" t="n">
        <v>304.95</v>
      </c>
      <c r="G1869" s="1" t="n">
        <v>0.2</v>
      </c>
      <c r="H1869" s="1" t="s">
        <v>1336</v>
      </c>
      <c r="I1869" s="1" t="n">
        <v>1707.72</v>
      </c>
      <c r="J1869" s="1" t="str">
        <f aca="false">VLOOKUP(B1869,Customers!$A$2:$G$502,6,FALSE())</f>
        <v>Consumer</v>
      </c>
      <c r="K1869" s="1" t="str">
        <f aca="false">VLOOKUP(C1869,Products!$A$2:$E$62,3,FALSE())</f>
        <v>Electronics</v>
      </c>
      <c r="L1869" s="1" t="str">
        <f aca="false">TEXT(D1869,"yyyy-mm")</f>
        <v>2023-07</v>
      </c>
    </row>
    <row r="1870" customFormat="false" ht="15" hidden="false" customHeight="true" outlineLevel="0" collapsed="false">
      <c r="A1870" s="1" t="n">
        <v>1911</v>
      </c>
      <c r="B1870" s="1" t="n">
        <v>401</v>
      </c>
      <c r="C1870" s="1" t="n">
        <v>24</v>
      </c>
      <c r="D1870" s="1" t="s">
        <v>1628</v>
      </c>
      <c r="E1870" s="1" t="n">
        <v>8</v>
      </c>
      <c r="F1870" s="1" t="n">
        <v>207.34</v>
      </c>
      <c r="G1870" s="1" t="n">
        <v>0.2</v>
      </c>
      <c r="H1870" s="1" t="s">
        <v>1336</v>
      </c>
      <c r="I1870" s="1" t="n">
        <v>1326.98</v>
      </c>
      <c r="J1870" s="1" t="str">
        <f aca="false">VLOOKUP(B1870,Customers!$A$2:$G$502,6,FALSE())</f>
        <v>Consumer</v>
      </c>
      <c r="K1870" s="1" t="str">
        <f aca="false">VLOOKUP(C1870,Products!$A$2:$E$62,3,FALSE())</f>
        <v>Office Supplies</v>
      </c>
      <c r="L1870" s="1" t="str">
        <f aca="false">TEXT(D1870,"yyyy-mm")</f>
        <v>2023-09</v>
      </c>
    </row>
    <row r="1871" customFormat="false" ht="15" hidden="false" customHeight="true" outlineLevel="0" collapsed="false">
      <c r="A1871" s="1" t="n">
        <v>1912</v>
      </c>
      <c r="B1871" s="1" t="n">
        <v>395</v>
      </c>
      <c r="C1871" s="1" t="n">
        <v>27</v>
      </c>
      <c r="D1871" s="1" t="s">
        <v>208</v>
      </c>
      <c r="E1871" s="1" t="n">
        <v>3</v>
      </c>
      <c r="F1871" s="1" t="n">
        <v>772.58</v>
      </c>
      <c r="G1871" s="1" t="n">
        <v>0.15</v>
      </c>
      <c r="H1871" s="1" t="s">
        <v>1336</v>
      </c>
      <c r="I1871" s="1" t="n">
        <v>1970.08</v>
      </c>
      <c r="J1871" s="1" t="str">
        <f aca="false">VLOOKUP(B1871,Customers!$A$2:$G$502,6,FALSE())</f>
        <v>Consumer</v>
      </c>
      <c r="K1871" s="1" t="str">
        <f aca="false">VLOOKUP(C1871,Products!$A$2:$E$62,3,FALSE())</f>
        <v>Office Supplies</v>
      </c>
      <c r="L1871" s="1" t="str">
        <f aca="false">TEXT(D1871,"yyyy-mm")</f>
        <v>2023-12</v>
      </c>
    </row>
    <row r="1872" customFormat="false" ht="15" hidden="false" customHeight="true" outlineLevel="0" collapsed="false">
      <c r="A1872" s="1" t="n">
        <v>1913</v>
      </c>
      <c r="B1872" s="1" t="n">
        <v>178</v>
      </c>
      <c r="C1872" s="1" t="n">
        <v>15</v>
      </c>
      <c r="D1872" s="1" t="s">
        <v>742</v>
      </c>
      <c r="E1872" s="1" t="n">
        <v>5</v>
      </c>
      <c r="F1872" s="1" t="n">
        <v>304.95</v>
      </c>
      <c r="G1872" s="1" t="n">
        <v>0</v>
      </c>
      <c r="H1872" s="1" t="s">
        <v>1336</v>
      </c>
      <c r="I1872" s="1" t="n">
        <v>1524.75</v>
      </c>
      <c r="J1872" s="1" t="str">
        <f aca="false">VLOOKUP(B1872,Customers!$A$2:$G$502,6,FALSE())</f>
        <v>Consumer</v>
      </c>
      <c r="K1872" s="1" t="str">
        <f aca="false">VLOOKUP(C1872,Products!$A$2:$E$62,3,FALSE())</f>
        <v>Electronics</v>
      </c>
      <c r="L1872" s="1" t="str">
        <f aca="false">TEXT(D1872,"yyyy-mm")</f>
        <v>2023-02</v>
      </c>
    </row>
    <row r="1873" customFormat="false" ht="15" hidden="false" customHeight="true" outlineLevel="0" collapsed="false">
      <c r="A1873" s="1" t="n">
        <v>1914</v>
      </c>
      <c r="B1873" s="1" t="n">
        <v>90</v>
      </c>
      <c r="C1873" s="1" t="n">
        <v>10</v>
      </c>
      <c r="D1873" s="1" t="s">
        <v>396</v>
      </c>
      <c r="E1873" s="1" t="n">
        <v>1</v>
      </c>
      <c r="F1873" s="1" t="n">
        <v>251.58</v>
      </c>
      <c r="G1873" s="1" t="n">
        <v>0</v>
      </c>
      <c r="H1873" s="1" t="s">
        <v>1370</v>
      </c>
      <c r="I1873" s="1" t="n">
        <v>251.58</v>
      </c>
      <c r="J1873" s="1" t="str">
        <f aca="false">VLOOKUP(B1873,Customers!$A$2:$G$502,6,FALSE())</f>
        <v>Consumer</v>
      </c>
      <c r="K1873" s="1" t="str">
        <f aca="false">VLOOKUP(C1873,Products!$A$2:$E$62,3,FALSE())</f>
        <v>Electronics</v>
      </c>
      <c r="L1873" s="1" t="str">
        <f aca="false">TEXT(D1873,"yyyy-mm")</f>
        <v>2023-10</v>
      </c>
    </row>
    <row r="1874" customFormat="false" ht="15" hidden="false" customHeight="true" outlineLevel="0" collapsed="false">
      <c r="A1874" s="1" t="n">
        <v>1915</v>
      </c>
      <c r="B1874" s="1" t="n">
        <v>356</v>
      </c>
      <c r="C1874" s="1" t="n">
        <v>43</v>
      </c>
      <c r="D1874" s="1" t="s">
        <v>1383</v>
      </c>
      <c r="E1874" s="1" t="n">
        <v>7</v>
      </c>
      <c r="F1874" s="1" t="n">
        <v>186.31</v>
      </c>
      <c r="G1874" s="1" t="n">
        <v>0</v>
      </c>
      <c r="H1874" s="1" t="s">
        <v>1336</v>
      </c>
      <c r="I1874" s="1" t="n">
        <v>1304.17</v>
      </c>
      <c r="J1874" s="1" t="str">
        <f aca="false">VLOOKUP(B1874,Customers!$A$2:$G$502,6,FALSE())</f>
        <v>Consumer</v>
      </c>
      <c r="K1874" s="1" t="str">
        <f aca="false">VLOOKUP(C1874,Products!$A$2:$E$62,3,FALSE())</f>
        <v>Software</v>
      </c>
      <c r="L1874" s="1" t="str">
        <f aca="false">TEXT(D1874,"yyyy-mm")</f>
        <v>2024-04</v>
      </c>
    </row>
    <row r="1875" customFormat="false" ht="15" hidden="false" customHeight="true" outlineLevel="0" collapsed="false">
      <c r="A1875" s="1" t="n">
        <v>1916</v>
      </c>
      <c r="B1875" s="1" t="n">
        <v>54</v>
      </c>
      <c r="C1875" s="1" t="n">
        <v>6</v>
      </c>
      <c r="D1875" s="1" t="s">
        <v>769</v>
      </c>
      <c r="E1875" s="1" t="n">
        <v>5</v>
      </c>
      <c r="F1875" s="1" t="n">
        <v>28.51</v>
      </c>
      <c r="G1875" s="1" t="n">
        <v>0</v>
      </c>
      <c r="H1875" s="1" t="s">
        <v>1336</v>
      </c>
      <c r="I1875" s="1" t="n">
        <v>142.55</v>
      </c>
      <c r="J1875" s="1" t="str">
        <f aca="false">VLOOKUP(B1875,Customers!$A$2:$G$502,6,FALSE())</f>
        <v>Consumer</v>
      </c>
      <c r="K1875" s="1" t="str">
        <f aca="false">VLOOKUP(C1875,Products!$A$2:$E$62,3,FALSE())</f>
        <v>Electronics</v>
      </c>
      <c r="L1875" s="1" t="str">
        <f aca="false">TEXT(D1875,"yyyy-mm")</f>
        <v>2023-07</v>
      </c>
    </row>
    <row r="1876" customFormat="false" ht="15" hidden="false" customHeight="true" outlineLevel="0" collapsed="false">
      <c r="A1876" s="1" t="n">
        <v>1918</v>
      </c>
      <c r="B1876" s="1" t="n">
        <v>464</v>
      </c>
      <c r="C1876" s="1" t="n">
        <v>35</v>
      </c>
      <c r="D1876" s="1" t="s">
        <v>1573</v>
      </c>
      <c r="E1876" s="1" t="n">
        <v>8</v>
      </c>
      <c r="F1876" s="1" t="n">
        <v>75.78</v>
      </c>
      <c r="G1876" s="1" t="n">
        <v>0</v>
      </c>
      <c r="H1876" s="1" t="s">
        <v>1336</v>
      </c>
      <c r="I1876" s="1" t="n">
        <v>606.24</v>
      </c>
      <c r="J1876" s="1" t="str">
        <f aca="false">VLOOKUP(B1876,Customers!$A$2:$G$502,6,FALSE())</f>
        <v>Consumer</v>
      </c>
      <c r="K1876" s="1" t="str">
        <f aca="false">VLOOKUP(C1876,Products!$A$2:$E$62,3,FALSE())</f>
        <v>Software</v>
      </c>
      <c r="L1876" s="1" t="str">
        <f aca="false">TEXT(D1876,"yyyy-mm")</f>
        <v>2023-01</v>
      </c>
    </row>
    <row r="1877" customFormat="false" ht="15" hidden="false" customHeight="true" outlineLevel="0" collapsed="false">
      <c r="A1877" s="1" t="n">
        <v>1919</v>
      </c>
      <c r="B1877" s="1" t="n">
        <v>287</v>
      </c>
      <c r="C1877" s="1" t="n">
        <v>9</v>
      </c>
      <c r="D1877" s="1" t="s">
        <v>710</v>
      </c>
      <c r="E1877" s="1" t="n">
        <v>9</v>
      </c>
      <c r="F1877" s="1" t="n">
        <v>203.1</v>
      </c>
      <c r="G1877" s="1" t="n">
        <v>0.2</v>
      </c>
      <c r="H1877" s="1" t="s">
        <v>1336</v>
      </c>
      <c r="I1877" s="1" t="n">
        <v>1462.32</v>
      </c>
      <c r="J1877" s="1" t="str">
        <f aca="false">VLOOKUP(B1877,Customers!$A$2:$G$502,6,FALSE())</f>
        <v>Corporate</v>
      </c>
      <c r="K1877" s="1" t="str">
        <f aca="false">VLOOKUP(C1877,Products!$A$2:$E$62,3,FALSE())</f>
        <v>Electronics</v>
      </c>
      <c r="L1877" s="1" t="str">
        <f aca="false">TEXT(D1877,"yyyy-mm")</f>
        <v>2023-07</v>
      </c>
    </row>
    <row r="1878" customFormat="false" ht="15" hidden="false" customHeight="true" outlineLevel="0" collapsed="false">
      <c r="A1878" s="1" t="n">
        <v>1920</v>
      </c>
      <c r="B1878" s="1" t="n">
        <v>477</v>
      </c>
      <c r="C1878" s="1" t="n">
        <v>51</v>
      </c>
      <c r="D1878" s="1" t="s">
        <v>1136</v>
      </c>
      <c r="E1878" s="1" t="n">
        <v>7</v>
      </c>
      <c r="F1878" s="1" t="n">
        <v>30.16</v>
      </c>
      <c r="G1878" s="1" t="n">
        <v>0.2</v>
      </c>
      <c r="H1878" s="1" t="s">
        <v>1336</v>
      </c>
      <c r="I1878" s="1" t="n">
        <v>168.9</v>
      </c>
      <c r="J1878" s="1" t="str">
        <f aca="false">VLOOKUP(B1878,Customers!$A$2:$G$502,6,FALSE())</f>
        <v>Corporate</v>
      </c>
      <c r="K1878" s="1" t="str">
        <f aca="false">VLOOKUP(C1878,Products!$A$2:$E$62,3,FALSE())</f>
        <v>Software</v>
      </c>
      <c r="L1878" s="1" t="str">
        <f aca="false">TEXT(D1878,"yyyy-mm")</f>
        <v>2023-01</v>
      </c>
    </row>
    <row r="1879" customFormat="false" ht="15" hidden="false" customHeight="true" outlineLevel="0" collapsed="false">
      <c r="A1879" s="1" t="n">
        <v>1921</v>
      </c>
      <c r="B1879" s="1" t="n">
        <v>437</v>
      </c>
      <c r="C1879" s="1" t="n">
        <v>11</v>
      </c>
      <c r="D1879" s="1" t="s">
        <v>360</v>
      </c>
      <c r="E1879" s="1" t="n">
        <v>1</v>
      </c>
      <c r="F1879" s="1" t="n">
        <v>328.39</v>
      </c>
      <c r="G1879" s="1" t="n">
        <v>0.2</v>
      </c>
      <c r="H1879" s="1" t="s">
        <v>1336</v>
      </c>
      <c r="I1879" s="1" t="n">
        <v>262.71</v>
      </c>
      <c r="J1879" s="1" t="str">
        <f aca="false">VLOOKUP(B1879,Customers!$A$2:$G$502,6,FALSE())</f>
        <v>Small Business</v>
      </c>
      <c r="K1879" s="1" t="str">
        <f aca="false">VLOOKUP(C1879,Products!$A$2:$E$62,3,FALSE())</f>
        <v>Electronics</v>
      </c>
      <c r="L1879" s="1" t="str">
        <f aca="false">TEXT(D1879,"yyyy-mm")</f>
        <v>2024-10</v>
      </c>
    </row>
    <row r="1880" customFormat="false" ht="15" hidden="false" customHeight="true" outlineLevel="0" collapsed="false">
      <c r="A1880" s="1" t="n">
        <v>1922</v>
      </c>
      <c r="B1880" s="1" t="n">
        <v>105</v>
      </c>
      <c r="C1880" s="1" t="n">
        <v>34</v>
      </c>
      <c r="D1880" s="1" t="s">
        <v>251</v>
      </c>
      <c r="E1880" s="1" t="n">
        <v>3</v>
      </c>
      <c r="F1880" s="1" t="n">
        <v>116.85</v>
      </c>
      <c r="G1880" s="1" t="n">
        <v>0</v>
      </c>
      <c r="H1880" s="1" t="s">
        <v>1336</v>
      </c>
      <c r="I1880" s="1" t="n">
        <v>350.55</v>
      </c>
      <c r="J1880" s="1" t="str">
        <f aca="false">VLOOKUP(B1880,Customers!$A$2:$G$502,6,FALSE())</f>
        <v>Corporate</v>
      </c>
      <c r="K1880" s="1" t="str">
        <f aca="false">VLOOKUP(C1880,Products!$A$2:$E$62,3,FALSE())</f>
        <v>Office Supplies</v>
      </c>
      <c r="L1880" s="1" t="str">
        <f aca="false">TEXT(D1880,"yyyy-mm")</f>
        <v>2023-09</v>
      </c>
    </row>
    <row r="1881" customFormat="false" ht="15" hidden="false" customHeight="true" outlineLevel="0" collapsed="false">
      <c r="A1881" s="1" t="n">
        <v>1923</v>
      </c>
      <c r="B1881" s="1" t="n">
        <v>357</v>
      </c>
      <c r="C1881" s="1" t="n">
        <v>38</v>
      </c>
      <c r="D1881" s="1" t="s">
        <v>1649</v>
      </c>
      <c r="E1881" s="1" t="n">
        <v>8</v>
      </c>
      <c r="F1881" s="1" t="n">
        <v>521.63</v>
      </c>
      <c r="G1881" s="1" t="n">
        <v>0.2</v>
      </c>
      <c r="H1881" s="1" t="s">
        <v>1336</v>
      </c>
      <c r="I1881" s="1" t="n">
        <v>3338.43</v>
      </c>
      <c r="J1881" s="1" t="str">
        <f aca="false">VLOOKUP(B1881,Customers!$A$2:$G$502,6,FALSE())</f>
        <v>Consumer</v>
      </c>
      <c r="K1881" s="1" t="str">
        <f aca="false">VLOOKUP(C1881,Products!$A$2:$E$62,3,FALSE())</f>
        <v>Software</v>
      </c>
      <c r="L1881" s="1" t="str">
        <f aca="false">TEXT(D1881,"yyyy-mm")</f>
        <v>2024-01</v>
      </c>
    </row>
    <row r="1882" customFormat="false" ht="15" hidden="false" customHeight="true" outlineLevel="0" collapsed="false">
      <c r="A1882" s="1" t="n">
        <v>1924</v>
      </c>
      <c r="B1882" s="1" t="n">
        <v>326</v>
      </c>
      <c r="C1882" s="1" t="n">
        <v>11</v>
      </c>
      <c r="D1882" s="1" t="s">
        <v>248</v>
      </c>
      <c r="E1882" s="1" t="n">
        <v>3</v>
      </c>
      <c r="F1882" s="1" t="n">
        <v>328.39</v>
      </c>
      <c r="G1882" s="1" t="n">
        <v>0</v>
      </c>
      <c r="H1882" s="1" t="s">
        <v>1370</v>
      </c>
      <c r="I1882" s="1" t="n">
        <v>985.17</v>
      </c>
      <c r="J1882" s="1" t="str">
        <f aca="false">VLOOKUP(B1882,Customers!$A$2:$G$502,6,FALSE())</f>
        <v>Corporate</v>
      </c>
      <c r="K1882" s="1" t="str">
        <f aca="false">VLOOKUP(C1882,Products!$A$2:$E$62,3,FALSE())</f>
        <v>Electronics</v>
      </c>
      <c r="L1882" s="1" t="str">
        <f aca="false">TEXT(D1882,"yyyy-mm")</f>
        <v>2024-01</v>
      </c>
    </row>
    <row r="1883" customFormat="false" ht="15" hidden="false" customHeight="true" outlineLevel="0" collapsed="false">
      <c r="A1883" s="1" t="n">
        <v>1925</v>
      </c>
      <c r="B1883" s="1" t="n">
        <v>356</v>
      </c>
      <c r="C1883" s="1" t="n">
        <v>49</v>
      </c>
      <c r="D1883" s="1" t="s">
        <v>1391</v>
      </c>
      <c r="E1883" s="1" t="n">
        <v>8</v>
      </c>
      <c r="F1883" s="1" t="n">
        <v>325.17</v>
      </c>
      <c r="G1883" s="1" t="n">
        <v>0.1</v>
      </c>
      <c r="H1883" s="1" t="s">
        <v>1336</v>
      </c>
      <c r="I1883" s="1" t="n">
        <v>2341.22</v>
      </c>
      <c r="J1883" s="1" t="str">
        <f aca="false">VLOOKUP(B1883,Customers!$A$2:$G$502,6,FALSE())</f>
        <v>Consumer</v>
      </c>
      <c r="K1883" s="1" t="str">
        <f aca="false">VLOOKUP(C1883,Products!$A$2:$E$62,3,FALSE())</f>
        <v>Software</v>
      </c>
      <c r="L1883" s="1" t="str">
        <f aca="false">TEXT(D1883,"yyyy-mm")</f>
        <v>2023-08</v>
      </c>
    </row>
    <row r="1884" customFormat="false" ht="15" hidden="false" customHeight="true" outlineLevel="0" collapsed="false">
      <c r="A1884" s="1" t="n">
        <v>1926</v>
      </c>
      <c r="B1884" s="1" t="n">
        <v>138</v>
      </c>
      <c r="C1884" s="1" t="n">
        <v>4</v>
      </c>
      <c r="D1884" s="1" t="s">
        <v>89</v>
      </c>
      <c r="E1884" s="1" t="n">
        <v>1</v>
      </c>
      <c r="F1884" s="1" t="n">
        <v>56.24</v>
      </c>
      <c r="G1884" s="1" t="n">
        <v>0.15</v>
      </c>
      <c r="H1884" s="1" t="s">
        <v>1370</v>
      </c>
      <c r="I1884" s="1" t="n">
        <v>47.8</v>
      </c>
      <c r="J1884" s="1" t="str">
        <f aca="false">VLOOKUP(B1884,Customers!$A$2:$G$502,6,FALSE())</f>
        <v>Consumer</v>
      </c>
      <c r="K1884" s="1" t="str">
        <f aca="false">VLOOKUP(C1884,Products!$A$2:$E$62,3,FALSE())</f>
        <v>Electronics</v>
      </c>
      <c r="L1884" s="1" t="str">
        <f aca="false">TEXT(D1884,"yyyy-mm")</f>
        <v>2023-02</v>
      </c>
    </row>
    <row r="1885" customFormat="false" ht="15" hidden="false" customHeight="true" outlineLevel="0" collapsed="false">
      <c r="A1885" s="1" t="n">
        <v>1927</v>
      </c>
      <c r="B1885" s="1" t="n">
        <v>240</v>
      </c>
      <c r="C1885" s="1" t="n">
        <v>22</v>
      </c>
      <c r="D1885" s="1" t="s">
        <v>1503</v>
      </c>
      <c r="E1885" s="1" t="n">
        <v>5</v>
      </c>
      <c r="F1885" s="1" t="n">
        <v>38.57</v>
      </c>
      <c r="G1885" s="1" t="n">
        <v>0.2</v>
      </c>
      <c r="H1885" s="1" t="s">
        <v>1336</v>
      </c>
      <c r="I1885" s="1" t="n">
        <v>154.28</v>
      </c>
      <c r="J1885" s="1" t="str">
        <f aca="false">VLOOKUP(B1885,Customers!$A$2:$G$502,6,FALSE())</f>
        <v>Corporate</v>
      </c>
      <c r="K1885" s="1" t="str">
        <f aca="false">VLOOKUP(C1885,Products!$A$2:$E$62,3,FALSE())</f>
        <v>Office Supplies</v>
      </c>
      <c r="L1885" s="1" t="str">
        <f aca="false">TEXT(D1885,"yyyy-mm")</f>
        <v>2023-05</v>
      </c>
    </row>
    <row r="1886" customFormat="false" ht="15" hidden="false" customHeight="true" outlineLevel="0" collapsed="false">
      <c r="A1886" s="1" t="n">
        <v>1928</v>
      </c>
      <c r="B1886" s="1" t="n">
        <v>79</v>
      </c>
      <c r="C1886" s="1" t="n">
        <v>60</v>
      </c>
      <c r="D1886" s="1" t="s">
        <v>1400</v>
      </c>
      <c r="E1886" s="1" t="n">
        <v>4</v>
      </c>
      <c r="F1886" s="1" t="n">
        <v>584.98</v>
      </c>
      <c r="G1886" s="1" t="n">
        <v>0.05</v>
      </c>
      <c r="H1886" s="1" t="s">
        <v>1336</v>
      </c>
      <c r="I1886" s="1" t="n">
        <v>2222.92</v>
      </c>
      <c r="J1886" s="1" t="str">
        <f aca="false">VLOOKUP(B1886,Customers!$A$2:$G$502,6,FALSE())</f>
        <v>Small Business</v>
      </c>
      <c r="K1886" s="1" t="str">
        <f aca="false">VLOOKUP(C1886,Products!$A$2:$E$62,3,FALSE())</f>
        <v>Furniture</v>
      </c>
      <c r="L1886" s="1" t="str">
        <f aca="false">TEXT(D1886,"yyyy-mm")</f>
        <v>2024-12</v>
      </c>
    </row>
    <row r="1887" customFormat="false" ht="15" hidden="false" customHeight="true" outlineLevel="0" collapsed="false">
      <c r="A1887" s="1" t="n">
        <v>1929</v>
      </c>
      <c r="B1887" s="1" t="n">
        <v>252</v>
      </c>
      <c r="C1887" s="1" t="n">
        <v>44</v>
      </c>
      <c r="D1887" s="1" t="s">
        <v>348</v>
      </c>
      <c r="E1887" s="1" t="n">
        <v>5</v>
      </c>
      <c r="F1887" s="1" t="n">
        <v>508.26</v>
      </c>
      <c r="G1887" s="1" t="n">
        <v>0.15</v>
      </c>
      <c r="H1887" s="1" t="s">
        <v>1336</v>
      </c>
      <c r="I1887" s="1" t="n">
        <v>2160.1</v>
      </c>
      <c r="J1887" s="1" t="str">
        <f aca="false">VLOOKUP(B1887,Customers!$A$2:$G$502,6,FALSE())</f>
        <v>Consumer</v>
      </c>
      <c r="K1887" s="1" t="str">
        <f aca="false">VLOOKUP(C1887,Products!$A$2:$E$62,3,FALSE())</f>
        <v>Software</v>
      </c>
      <c r="L1887" s="1" t="str">
        <f aca="false">TEXT(D1887,"yyyy-mm")</f>
        <v>2024-09</v>
      </c>
    </row>
    <row r="1888" customFormat="false" ht="15" hidden="false" customHeight="true" outlineLevel="0" collapsed="false">
      <c r="A1888" s="1" t="n">
        <v>1930</v>
      </c>
      <c r="B1888" s="1" t="n">
        <v>392</v>
      </c>
      <c r="C1888" s="1" t="n">
        <v>14</v>
      </c>
      <c r="D1888" s="1" t="s">
        <v>94</v>
      </c>
      <c r="E1888" s="1" t="n">
        <v>8</v>
      </c>
      <c r="F1888" s="1" t="n">
        <v>135.27</v>
      </c>
      <c r="G1888" s="1" t="n">
        <v>0.15</v>
      </c>
      <c r="H1888" s="1" t="s">
        <v>1336</v>
      </c>
      <c r="I1888" s="1" t="n">
        <v>919.84</v>
      </c>
      <c r="J1888" s="1" t="str">
        <f aca="false">VLOOKUP(B1888,Customers!$A$2:$G$502,6,FALSE())</f>
        <v>Corporate</v>
      </c>
      <c r="K1888" s="1" t="str">
        <f aca="false">VLOOKUP(C1888,Products!$A$2:$E$62,3,FALSE())</f>
        <v>Electronics</v>
      </c>
      <c r="L1888" s="1" t="str">
        <f aca="false">TEXT(D1888,"yyyy-mm")</f>
        <v>2023-09</v>
      </c>
    </row>
    <row r="1889" customFormat="false" ht="15" hidden="false" customHeight="true" outlineLevel="0" collapsed="false">
      <c r="A1889" s="1" t="n">
        <v>1931</v>
      </c>
      <c r="B1889" s="1" t="n">
        <v>16</v>
      </c>
      <c r="C1889" s="1" t="n">
        <v>13</v>
      </c>
      <c r="D1889" s="1" t="s">
        <v>1670</v>
      </c>
      <c r="E1889" s="1" t="n">
        <v>4</v>
      </c>
      <c r="F1889" s="1" t="n">
        <v>352.54</v>
      </c>
      <c r="G1889" s="1" t="n">
        <v>0.1</v>
      </c>
      <c r="H1889" s="1" t="s">
        <v>1336</v>
      </c>
      <c r="I1889" s="1" t="n">
        <v>1269.14</v>
      </c>
      <c r="J1889" s="1" t="str">
        <f aca="false">VLOOKUP(B1889,Customers!$A$2:$G$502,6,FALSE())</f>
        <v>Small Business</v>
      </c>
      <c r="K1889" s="1" t="str">
        <f aca="false">VLOOKUP(C1889,Products!$A$2:$E$62,3,FALSE())</f>
        <v>Electronics</v>
      </c>
      <c r="L1889" s="1" t="str">
        <f aca="false">TEXT(D1889,"yyyy-mm")</f>
        <v>2024-07</v>
      </c>
    </row>
    <row r="1890" customFormat="false" ht="15" hidden="false" customHeight="true" outlineLevel="0" collapsed="false">
      <c r="A1890" s="1" t="n">
        <v>1932</v>
      </c>
      <c r="B1890" s="1" t="n">
        <v>366</v>
      </c>
      <c r="C1890" s="1" t="n">
        <v>1</v>
      </c>
      <c r="D1890" s="1" t="s">
        <v>1099</v>
      </c>
      <c r="E1890" s="1" t="n">
        <v>4</v>
      </c>
      <c r="F1890" s="1" t="n">
        <v>327.32</v>
      </c>
      <c r="G1890" s="1" t="n">
        <v>0.1</v>
      </c>
      <c r="H1890" s="1" t="s">
        <v>1336</v>
      </c>
      <c r="I1890" s="1" t="n">
        <v>1178.35</v>
      </c>
      <c r="J1890" s="1" t="str">
        <f aca="false">VLOOKUP(B1890,Customers!$A$2:$G$502,6,FALSE())</f>
        <v>Corporate</v>
      </c>
      <c r="K1890" s="1" t="str">
        <f aca="false">VLOOKUP(C1890,Products!$A$2:$E$62,3,FALSE())</f>
        <v>Electronics</v>
      </c>
      <c r="L1890" s="1" t="str">
        <f aca="false">TEXT(D1890,"yyyy-mm")</f>
        <v>2024-11</v>
      </c>
    </row>
    <row r="1891" customFormat="false" ht="15" hidden="false" customHeight="true" outlineLevel="0" collapsed="false">
      <c r="A1891" s="1" t="n">
        <v>1933</v>
      </c>
      <c r="B1891" s="1" t="n">
        <v>127</v>
      </c>
      <c r="C1891" s="1" t="n">
        <v>53</v>
      </c>
      <c r="D1891" s="1" t="s">
        <v>1630</v>
      </c>
      <c r="E1891" s="1" t="n">
        <v>3</v>
      </c>
      <c r="F1891" s="1" t="n">
        <v>509.98</v>
      </c>
      <c r="G1891" s="1" t="n">
        <v>0</v>
      </c>
      <c r="H1891" s="1" t="s">
        <v>1336</v>
      </c>
      <c r="I1891" s="1" t="n">
        <v>1529.94</v>
      </c>
      <c r="J1891" s="1" t="str">
        <f aca="false">VLOOKUP(B1891,Customers!$A$2:$G$502,6,FALSE())</f>
        <v>Corporate</v>
      </c>
      <c r="K1891" s="1" t="str">
        <f aca="false">VLOOKUP(C1891,Products!$A$2:$E$62,3,FALSE())</f>
        <v>Software</v>
      </c>
      <c r="L1891" s="1" t="str">
        <f aca="false">TEXT(D1891,"yyyy-mm")</f>
        <v>2023-02</v>
      </c>
    </row>
    <row r="1892" customFormat="false" ht="15" hidden="false" customHeight="true" outlineLevel="0" collapsed="false">
      <c r="A1892" s="1" t="n">
        <v>1934</v>
      </c>
      <c r="B1892" s="1" t="n">
        <v>406</v>
      </c>
      <c r="C1892" s="1" t="n">
        <v>15</v>
      </c>
      <c r="D1892" s="1" t="s">
        <v>1606</v>
      </c>
      <c r="E1892" s="1" t="n">
        <v>7</v>
      </c>
      <c r="F1892" s="1" t="n">
        <v>304.95</v>
      </c>
      <c r="G1892" s="1" t="n">
        <v>0.15</v>
      </c>
      <c r="H1892" s="1" t="s">
        <v>1336</v>
      </c>
      <c r="I1892" s="1" t="n">
        <v>1814.45</v>
      </c>
      <c r="J1892" s="1" t="str">
        <f aca="false">VLOOKUP(B1892,Customers!$A$2:$G$502,6,FALSE())</f>
        <v>Small Business</v>
      </c>
      <c r="K1892" s="1" t="str">
        <f aca="false">VLOOKUP(C1892,Products!$A$2:$E$62,3,FALSE())</f>
        <v>Electronics</v>
      </c>
      <c r="L1892" s="1" t="str">
        <f aca="false">TEXT(D1892,"yyyy-mm")</f>
        <v>2023-11</v>
      </c>
    </row>
    <row r="1893" customFormat="false" ht="15" hidden="false" customHeight="true" outlineLevel="0" collapsed="false">
      <c r="A1893" s="1" t="n">
        <v>1935</v>
      </c>
      <c r="B1893" s="1" t="n">
        <v>170</v>
      </c>
      <c r="C1893" s="1" t="n">
        <v>55</v>
      </c>
      <c r="D1893" s="1" t="s">
        <v>1671</v>
      </c>
      <c r="E1893" s="1" t="n">
        <v>3</v>
      </c>
      <c r="F1893" s="1" t="n">
        <v>123.38</v>
      </c>
      <c r="G1893" s="1" t="n">
        <v>0</v>
      </c>
      <c r="H1893" s="1" t="s">
        <v>1336</v>
      </c>
      <c r="I1893" s="1" t="n">
        <v>370.14</v>
      </c>
      <c r="J1893" s="1" t="str">
        <f aca="false">VLOOKUP(B1893,Customers!$A$2:$G$502,6,FALSE())</f>
        <v>Small Business</v>
      </c>
      <c r="K1893" s="1" t="str">
        <f aca="false">VLOOKUP(C1893,Products!$A$2:$E$62,3,FALSE())</f>
        <v>Furniture</v>
      </c>
      <c r="L1893" s="1" t="str">
        <f aca="false">TEXT(D1893,"yyyy-mm")</f>
        <v>2023-08</v>
      </c>
    </row>
    <row r="1894" customFormat="false" ht="15" hidden="false" customHeight="true" outlineLevel="0" collapsed="false">
      <c r="A1894" s="1" t="n">
        <v>1936</v>
      </c>
      <c r="B1894" s="1" t="n">
        <v>380</v>
      </c>
      <c r="C1894" s="1" t="n">
        <v>7</v>
      </c>
      <c r="D1894" s="1" t="s">
        <v>645</v>
      </c>
      <c r="E1894" s="1" t="n">
        <v>3</v>
      </c>
      <c r="F1894" s="1" t="n">
        <v>460</v>
      </c>
      <c r="G1894" s="1" t="n">
        <v>0</v>
      </c>
      <c r="H1894" s="1" t="s">
        <v>1336</v>
      </c>
      <c r="I1894" s="1" t="n">
        <v>1380</v>
      </c>
      <c r="J1894" s="1" t="str">
        <f aca="false">VLOOKUP(B1894,Customers!$A$2:$G$502,6,FALSE())</f>
        <v>Small Business</v>
      </c>
      <c r="K1894" s="1" t="str">
        <f aca="false">VLOOKUP(C1894,Products!$A$2:$E$62,3,FALSE())</f>
        <v>Electronics</v>
      </c>
      <c r="L1894" s="1" t="str">
        <f aca="false">TEXT(D1894,"yyyy-mm")</f>
        <v>2024-06</v>
      </c>
    </row>
    <row r="1895" customFormat="false" ht="15" hidden="false" customHeight="true" outlineLevel="0" collapsed="false">
      <c r="A1895" s="1" t="n">
        <v>1937</v>
      </c>
      <c r="B1895" s="1" t="n">
        <v>464</v>
      </c>
      <c r="C1895" s="1" t="n">
        <v>5</v>
      </c>
      <c r="D1895" s="1" t="s">
        <v>1592</v>
      </c>
      <c r="E1895" s="1" t="n">
        <v>5</v>
      </c>
      <c r="F1895" s="1" t="n">
        <v>439.06</v>
      </c>
      <c r="G1895" s="1" t="n">
        <v>0</v>
      </c>
      <c r="H1895" s="1" t="s">
        <v>1370</v>
      </c>
      <c r="I1895" s="1" t="n">
        <v>2195.3</v>
      </c>
      <c r="J1895" s="1" t="str">
        <f aca="false">VLOOKUP(B1895,Customers!$A$2:$G$502,6,FALSE())</f>
        <v>Consumer</v>
      </c>
      <c r="K1895" s="1" t="str">
        <f aca="false">VLOOKUP(C1895,Products!$A$2:$E$62,3,FALSE())</f>
        <v>Electronics</v>
      </c>
      <c r="L1895" s="1" t="str">
        <f aca="false">TEXT(D1895,"yyyy-mm")</f>
        <v>2024-03</v>
      </c>
    </row>
    <row r="1896" customFormat="false" ht="15" hidden="false" customHeight="true" outlineLevel="0" collapsed="false">
      <c r="A1896" s="1" t="n">
        <v>1938</v>
      </c>
      <c r="B1896" s="1" t="n">
        <v>185</v>
      </c>
      <c r="C1896" s="1" t="n">
        <v>17</v>
      </c>
      <c r="D1896" s="1" t="s">
        <v>807</v>
      </c>
      <c r="E1896" s="1" t="n">
        <v>5</v>
      </c>
      <c r="F1896" s="1" t="n">
        <v>65.61</v>
      </c>
      <c r="G1896" s="1" t="n">
        <v>0.05</v>
      </c>
      <c r="H1896" s="1" t="s">
        <v>1336</v>
      </c>
      <c r="I1896" s="1" t="n">
        <v>311.65</v>
      </c>
      <c r="J1896" s="1" t="str">
        <f aca="false">VLOOKUP(B1896,Customers!$A$2:$G$502,6,FALSE())</f>
        <v>Consumer</v>
      </c>
      <c r="K1896" s="1" t="str">
        <f aca="false">VLOOKUP(C1896,Products!$A$2:$E$62,3,FALSE())</f>
        <v>Electronics</v>
      </c>
      <c r="L1896" s="1" t="str">
        <f aca="false">TEXT(D1896,"yyyy-mm")</f>
        <v>2023-09</v>
      </c>
    </row>
    <row r="1897" customFormat="false" ht="15" hidden="false" customHeight="true" outlineLevel="0" collapsed="false">
      <c r="A1897" s="1" t="n">
        <v>1939</v>
      </c>
      <c r="B1897" s="1" t="n">
        <v>353</v>
      </c>
      <c r="C1897" s="1" t="n">
        <v>5</v>
      </c>
      <c r="D1897" s="1" t="s">
        <v>1672</v>
      </c>
      <c r="E1897" s="1" t="n">
        <v>6</v>
      </c>
      <c r="F1897" s="1" t="n">
        <v>439.06</v>
      </c>
      <c r="G1897" s="1" t="n">
        <v>0.1</v>
      </c>
      <c r="H1897" s="1" t="s">
        <v>1336</v>
      </c>
      <c r="I1897" s="1" t="n">
        <v>2370.92</v>
      </c>
      <c r="J1897" s="1" t="str">
        <f aca="false">VLOOKUP(B1897,Customers!$A$2:$G$502,6,FALSE())</f>
        <v>Corporate</v>
      </c>
      <c r="K1897" s="1" t="str">
        <f aca="false">VLOOKUP(C1897,Products!$A$2:$E$62,3,FALSE())</f>
        <v>Electronics</v>
      </c>
      <c r="L1897" s="1" t="str">
        <f aca="false">TEXT(D1897,"yyyy-mm")</f>
        <v>2024-05</v>
      </c>
    </row>
    <row r="1898" customFormat="false" ht="15" hidden="false" customHeight="true" outlineLevel="0" collapsed="false">
      <c r="A1898" s="1" t="n">
        <v>1940</v>
      </c>
      <c r="B1898" s="1" t="n">
        <v>329</v>
      </c>
      <c r="C1898" s="1" t="n">
        <v>44</v>
      </c>
      <c r="D1898" s="1" t="s">
        <v>1610</v>
      </c>
      <c r="E1898" s="1" t="n">
        <v>8</v>
      </c>
      <c r="F1898" s="1" t="n">
        <v>508.26</v>
      </c>
      <c r="G1898" s="1" t="n">
        <v>0.2</v>
      </c>
      <c r="H1898" s="1" t="s">
        <v>1346</v>
      </c>
      <c r="I1898" s="1" t="n">
        <v>3252.86</v>
      </c>
      <c r="J1898" s="1" t="str">
        <f aca="false">VLOOKUP(B1898,Customers!$A$2:$G$502,6,FALSE())</f>
        <v>Consumer</v>
      </c>
      <c r="K1898" s="1" t="str">
        <f aca="false">VLOOKUP(C1898,Products!$A$2:$E$62,3,FALSE())</f>
        <v>Software</v>
      </c>
      <c r="L1898" s="1" t="str">
        <f aca="false">TEXT(D1898,"yyyy-mm")</f>
        <v>2024-10</v>
      </c>
    </row>
    <row r="1899" customFormat="false" ht="15" hidden="false" customHeight="true" outlineLevel="0" collapsed="false">
      <c r="A1899" s="1" t="n">
        <v>1941</v>
      </c>
      <c r="B1899" s="1" t="n">
        <v>64</v>
      </c>
      <c r="C1899" s="1" t="n">
        <v>10</v>
      </c>
      <c r="D1899" s="1" t="s">
        <v>662</v>
      </c>
      <c r="E1899" s="1" t="n">
        <v>6</v>
      </c>
      <c r="F1899" s="1" t="n">
        <v>251.58</v>
      </c>
      <c r="G1899" s="1" t="n">
        <v>0.05</v>
      </c>
      <c r="H1899" s="1" t="s">
        <v>1370</v>
      </c>
      <c r="I1899" s="1" t="n">
        <v>1434.01</v>
      </c>
      <c r="J1899" s="1" t="str">
        <f aca="false">VLOOKUP(B1899,Customers!$A$2:$G$502,6,FALSE())</f>
        <v>Consumer</v>
      </c>
      <c r="K1899" s="1" t="str">
        <f aca="false">VLOOKUP(C1899,Products!$A$2:$E$62,3,FALSE())</f>
        <v>Electronics</v>
      </c>
      <c r="L1899" s="1" t="str">
        <f aca="false">TEXT(D1899,"yyyy-mm")</f>
        <v>2024-07</v>
      </c>
    </row>
    <row r="1900" customFormat="false" ht="15" hidden="false" customHeight="true" outlineLevel="0" collapsed="false">
      <c r="A1900" s="1" t="n">
        <v>1942</v>
      </c>
      <c r="B1900" s="1" t="n">
        <v>198</v>
      </c>
      <c r="C1900" s="1" t="n">
        <v>52</v>
      </c>
      <c r="D1900" s="1" t="s">
        <v>1478</v>
      </c>
      <c r="E1900" s="1" t="n">
        <v>1</v>
      </c>
      <c r="F1900" s="1" t="n">
        <v>207.67</v>
      </c>
      <c r="G1900" s="1" t="n">
        <v>0.1</v>
      </c>
      <c r="H1900" s="1" t="s">
        <v>1336</v>
      </c>
      <c r="I1900" s="1" t="n">
        <v>186.9</v>
      </c>
      <c r="J1900" s="1" t="str">
        <f aca="false">VLOOKUP(B1900,Customers!$A$2:$G$502,6,FALSE())</f>
        <v>Corporate</v>
      </c>
      <c r="K1900" s="1" t="str">
        <f aca="false">VLOOKUP(C1900,Products!$A$2:$E$62,3,FALSE())</f>
        <v>Software</v>
      </c>
      <c r="L1900" s="1" t="str">
        <f aca="false">TEXT(D1900,"yyyy-mm")</f>
        <v>2024-09</v>
      </c>
    </row>
    <row r="1901" customFormat="false" ht="15" hidden="false" customHeight="true" outlineLevel="0" collapsed="false">
      <c r="A1901" s="1" t="n">
        <v>1943</v>
      </c>
      <c r="B1901" s="1" t="n">
        <v>454</v>
      </c>
      <c r="C1901" s="1" t="n">
        <v>57</v>
      </c>
      <c r="D1901" s="1" t="s">
        <v>1456</v>
      </c>
      <c r="E1901" s="1" t="n">
        <v>8</v>
      </c>
      <c r="F1901" s="1" t="n">
        <v>719.76</v>
      </c>
      <c r="G1901" s="1" t="n">
        <v>0.1</v>
      </c>
      <c r="H1901" s="1" t="s">
        <v>1336</v>
      </c>
      <c r="I1901" s="1" t="n">
        <v>5182.27</v>
      </c>
      <c r="J1901" s="1" t="str">
        <f aca="false">VLOOKUP(B1901,Customers!$A$2:$G$502,6,FALSE())</f>
        <v>Consumer</v>
      </c>
      <c r="K1901" s="1" t="str">
        <f aca="false">VLOOKUP(C1901,Products!$A$2:$E$62,3,FALSE())</f>
        <v>Furniture</v>
      </c>
      <c r="L1901" s="1" t="str">
        <f aca="false">TEXT(D1901,"yyyy-mm")</f>
        <v>2024-12</v>
      </c>
    </row>
    <row r="1902" customFormat="false" ht="15" hidden="false" customHeight="true" outlineLevel="0" collapsed="false">
      <c r="A1902" s="1" t="n">
        <v>1944</v>
      </c>
      <c r="B1902" s="1" t="n">
        <v>69</v>
      </c>
      <c r="C1902" s="1" t="n">
        <v>54</v>
      </c>
      <c r="D1902" s="1" t="s">
        <v>623</v>
      </c>
      <c r="E1902" s="1" t="n">
        <v>8</v>
      </c>
      <c r="F1902" s="1" t="n">
        <v>312.01</v>
      </c>
      <c r="G1902" s="1" t="n">
        <v>0</v>
      </c>
      <c r="H1902" s="1" t="s">
        <v>1336</v>
      </c>
      <c r="I1902" s="1" t="n">
        <v>2496.08</v>
      </c>
      <c r="J1902" s="1" t="str">
        <f aca="false">VLOOKUP(B1902,Customers!$A$2:$G$502,6,FALSE())</f>
        <v>Corporate</v>
      </c>
      <c r="K1902" s="1" t="str">
        <f aca="false">VLOOKUP(C1902,Products!$A$2:$E$62,3,FALSE())</f>
        <v>Software</v>
      </c>
      <c r="L1902" s="1" t="str">
        <f aca="false">TEXT(D1902,"yyyy-mm")</f>
        <v>2024-05</v>
      </c>
    </row>
    <row r="1903" customFormat="false" ht="15" hidden="false" customHeight="true" outlineLevel="0" collapsed="false">
      <c r="A1903" s="1" t="n">
        <v>1945</v>
      </c>
      <c r="B1903" s="1" t="n">
        <v>19</v>
      </c>
      <c r="C1903" s="1" t="n">
        <v>52</v>
      </c>
      <c r="D1903" s="1" t="s">
        <v>1419</v>
      </c>
      <c r="E1903" s="1" t="n">
        <v>9</v>
      </c>
      <c r="F1903" s="1" t="n">
        <v>207.67</v>
      </c>
      <c r="G1903" s="1" t="n">
        <v>0.2</v>
      </c>
      <c r="H1903" s="1" t="s">
        <v>1336</v>
      </c>
      <c r="I1903" s="1" t="n">
        <v>1495.22</v>
      </c>
      <c r="J1903" s="1" t="str">
        <f aca="false">VLOOKUP(B1903,Customers!$A$2:$G$502,6,FALSE())</f>
        <v>Consumer</v>
      </c>
      <c r="K1903" s="1" t="str">
        <f aca="false">VLOOKUP(C1903,Products!$A$2:$E$62,3,FALSE())</f>
        <v>Software</v>
      </c>
      <c r="L1903" s="1" t="str">
        <f aca="false">TEXT(D1903,"yyyy-mm")</f>
        <v>2023-04</v>
      </c>
    </row>
    <row r="1904" customFormat="false" ht="15" hidden="false" customHeight="true" outlineLevel="0" collapsed="false">
      <c r="A1904" s="1" t="n">
        <v>1946</v>
      </c>
      <c r="B1904" s="1" t="n">
        <v>130</v>
      </c>
      <c r="C1904" s="1" t="n">
        <v>12</v>
      </c>
      <c r="D1904" s="1" t="s">
        <v>238</v>
      </c>
      <c r="E1904" s="1" t="n">
        <v>9</v>
      </c>
      <c r="F1904" s="1" t="n">
        <v>179.23</v>
      </c>
      <c r="G1904" s="1" t="n">
        <v>0</v>
      </c>
      <c r="H1904" s="1" t="s">
        <v>1346</v>
      </c>
      <c r="I1904" s="1" t="n">
        <v>1613.07</v>
      </c>
      <c r="J1904" s="1" t="str">
        <f aca="false">VLOOKUP(B1904,Customers!$A$2:$G$502,6,FALSE())</f>
        <v>Consumer</v>
      </c>
      <c r="K1904" s="1" t="str">
        <f aca="false">VLOOKUP(C1904,Products!$A$2:$E$62,3,FALSE())</f>
        <v>Electronics</v>
      </c>
      <c r="L1904" s="1" t="str">
        <f aca="false">TEXT(D1904,"yyyy-mm")</f>
        <v>2023-10</v>
      </c>
    </row>
    <row r="1905" customFormat="false" ht="15" hidden="false" customHeight="true" outlineLevel="0" collapsed="false">
      <c r="A1905" s="1" t="n">
        <v>1947</v>
      </c>
      <c r="B1905" s="1" t="n">
        <v>84</v>
      </c>
      <c r="C1905" s="1" t="n">
        <v>34</v>
      </c>
      <c r="D1905" s="1" t="s">
        <v>443</v>
      </c>
      <c r="E1905" s="1" t="n">
        <v>2</v>
      </c>
      <c r="F1905" s="1" t="n">
        <v>116.85</v>
      </c>
      <c r="G1905" s="1" t="n">
        <v>0</v>
      </c>
      <c r="H1905" s="1" t="s">
        <v>1336</v>
      </c>
      <c r="I1905" s="1" t="n">
        <v>233.7</v>
      </c>
      <c r="J1905" s="1" t="str">
        <f aca="false">VLOOKUP(B1905,Customers!$A$2:$G$502,6,FALSE())</f>
        <v>Corporate</v>
      </c>
      <c r="K1905" s="1" t="str">
        <f aca="false">VLOOKUP(C1905,Products!$A$2:$E$62,3,FALSE())</f>
        <v>Office Supplies</v>
      </c>
      <c r="L1905" s="1" t="str">
        <f aca="false">TEXT(D1905,"yyyy-mm")</f>
        <v>2023-08</v>
      </c>
    </row>
    <row r="1906" customFormat="false" ht="15" hidden="false" customHeight="true" outlineLevel="0" collapsed="false">
      <c r="A1906" s="1" t="n">
        <v>1948</v>
      </c>
      <c r="B1906" s="1" t="n">
        <v>338</v>
      </c>
      <c r="C1906" s="1" t="n">
        <v>36</v>
      </c>
      <c r="D1906" s="1" t="s">
        <v>1466</v>
      </c>
      <c r="E1906" s="1" t="n">
        <v>2</v>
      </c>
      <c r="F1906" s="1" t="n">
        <v>424.45</v>
      </c>
      <c r="G1906" s="1" t="n">
        <v>0</v>
      </c>
      <c r="H1906" s="1" t="s">
        <v>1336</v>
      </c>
      <c r="I1906" s="1" t="n">
        <v>848.9</v>
      </c>
      <c r="J1906" s="1" t="str">
        <f aca="false">VLOOKUP(B1906,Customers!$A$2:$G$502,6,FALSE())</f>
        <v>Corporate</v>
      </c>
      <c r="K1906" s="1" t="str">
        <f aca="false">VLOOKUP(C1906,Products!$A$2:$E$62,3,FALSE())</f>
        <v>Software</v>
      </c>
      <c r="L1906" s="1" t="str">
        <f aca="false">TEXT(D1906,"yyyy-mm")</f>
        <v>2024-05</v>
      </c>
    </row>
    <row r="1907" customFormat="false" ht="15" hidden="false" customHeight="true" outlineLevel="0" collapsed="false">
      <c r="A1907" s="1" t="n">
        <v>1949</v>
      </c>
      <c r="B1907" s="1" t="n">
        <v>89</v>
      </c>
      <c r="C1907" s="1" t="n">
        <v>34</v>
      </c>
      <c r="D1907" s="1" t="s">
        <v>645</v>
      </c>
      <c r="E1907" s="1" t="n">
        <v>3</v>
      </c>
      <c r="F1907" s="1" t="n">
        <v>116.85</v>
      </c>
      <c r="G1907" s="1" t="n">
        <v>0</v>
      </c>
      <c r="H1907" s="1" t="s">
        <v>1336</v>
      </c>
      <c r="I1907" s="1" t="n">
        <v>350.55</v>
      </c>
      <c r="J1907" s="1" t="str">
        <f aca="false">VLOOKUP(B1907,Customers!$A$2:$G$502,6,FALSE())</f>
        <v>Small Business</v>
      </c>
      <c r="K1907" s="1" t="str">
        <f aca="false">VLOOKUP(C1907,Products!$A$2:$E$62,3,FALSE())</f>
        <v>Office Supplies</v>
      </c>
      <c r="L1907" s="1" t="str">
        <f aca="false">TEXT(D1907,"yyyy-mm")</f>
        <v>2024-06</v>
      </c>
    </row>
    <row r="1908" customFormat="false" ht="15" hidden="false" customHeight="true" outlineLevel="0" collapsed="false">
      <c r="A1908" s="1" t="n">
        <v>1950</v>
      </c>
      <c r="B1908" s="1" t="n">
        <v>23</v>
      </c>
      <c r="C1908" s="1" t="n">
        <v>53</v>
      </c>
      <c r="D1908" s="1" t="s">
        <v>1596</v>
      </c>
      <c r="E1908" s="1" t="n">
        <v>1</v>
      </c>
      <c r="F1908" s="1" t="n">
        <v>509.98</v>
      </c>
      <c r="G1908" s="1" t="n">
        <v>0</v>
      </c>
      <c r="H1908" s="1" t="s">
        <v>1336</v>
      </c>
      <c r="I1908" s="1" t="n">
        <v>509.98</v>
      </c>
      <c r="J1908" s="1" t="str">
        <f aca="false">VLOOKUP(B1908,Customers!$A$2:$G$502,6,FALSE())</f>
        <v>Corporate</v>
      </c>
      <c r="K1908" s="1" t="str">
        <f aca="false">VLOOKUP(C1908,Products!$A$2:$E$62,3,FALSE())</f>
        <v>Software</v>
      </c>
      <c r="L1908" s="1" t="str">
        <f aca="false">TEXT(D1908,"yyyy-mm")</f>
        <v>2023-04</v>
      </c>
    </row>
    <row r="1909" customFormat="false" ht="15" hidden="false" customHeight="true" outlineLevel="0" collapsed="false">
      <c r="A1909" s="1" t="n">
        <v>1951</v>
      </c>
      <c r="B1909" s="1" t="n">
        <v>268</v>
      </c>
      <c r="C1909" s="1" t="n">
        <v>25</v>
      </c>
      <c r="D1909" s="1" t="s">
        <v>927</v>
      </c>
      <c r="E1909" s="1" t="n">
        <v>4</v>
      </c>
      <c r="F1909" s="1" t="n">
        <v>300.49</v>
      </c>
      <c r="G1909" s="1" t="n">
        <v>0</v>
      </c>
      <c r="H1909" s="1" t="s">
        <v>1336</v>
      </c>
      <c r="I1909" s="1" t="n">
        <v>1201.96</v>
      </c>
      <c r="J1909" s="1" t="str">
        <f aca="false">VLOOKUP(B1909,Customers!$A$2:$G$502,6,FALSE())</f>
        <v>Small Business</v>
      </c>
      <c r="K1909" s="1" t="str">
        <f aca="false">VLOOKUP(C1909,Products!$A$2:$E$62,3,FALSE())</f>
        <v>Office Supplies</v>
      </c>
      <c r="L1909" s="1" t="str">
        <f aca="false">TEXT(D1909,"yyyy-mm")</f>
        <v>2024-04</v>
      </c>
    </row>
    <row r="1910" customFormat="false" ht="15" hidden="false" customHeight="true" outlineLevel="0" collapsed="false">
      <c r="A1910" s="1" t="n">
        <v>1952</v>
      </c>
      <c r="B1910" s="1" t="n">
        <v>306</v>
      </c>
      <c r="C1910" s="1" t="n">
        <v>43</v>
      </c>
      <c r="D1910" s="1" t="s">
        <v>1357</v>
      </c>
      <c r="E1910" s="1" t="n">
        <v>4</v>
      </c>
      <c r="F1910" s="1" t="n">
        <v>186.31</v>
      </c>
      <c r="G1910" s="1" t="n">
        <v>0.2</v>
      </c>
      <c r="H1910" s="1" t="s">
        <v>1336</v>
      </c>
      <c r="I1910" s="1" t="n">
        <v>596.19</v>
      </c>
      <c r="J1910" s="1" t="str">
        <f aca="false">VLOOKUP(B1910,Customers!$A$2:$G$502,6,FALSE())</f>
        <v>Small Business</v>
      </c>
      <c r="K1910" s="1" t="str">
        <f aca="false">VLOOKUP(C1910,Products!$A$2:$E$62,3,FALSE())</f>
        <v>Software</v>
      </c>
      <c r="L1910" s="1" t="str">
        <f aca="false">TEXT(D1910,"yyyy-mm")</f>
        <v>2024-07</v>
      </c>
    </row>
    <row r="1911" customFormat="false" ht="15" hidden="false" customHeight="true" outlineLevel="0" collapsed="false">
      <c r="A1911" s="1" t="n">
        <v>1953</v>
      </c>
      <c r="B1911" s="1" t="n">
        <v>419</v>
      </c>
      <c r="C1911" s="1" t="n">
        <v>19</v>
      </c>
      <c r="D1911" s="1" t="s">
        <v>1345</v>
      </c>
      <c r="E1911" s="1" t="n">
        <v>9</v>
      </c>
      <c r="F1911" s="1" t="n">
        <v>163.64</v>
      </c>
      <c r="G1911" s="1" t="n">
        <v>0</v>
      </c>
      <c r="H1911" s="1" t="s">
        <v>1336</v>
      </c>
      <c r="I1911" s="1" t="n">
        <v>1472.76</v>
      </c>
      <c r="J1911" s="1" t="str">
        <f aca="false">VLOOKUP(B1911,Customers!$A$2:$G$502,6,FALSE())</f>
        <v>Small Business</v>
      </c>
      <c r="K1911" s="1" t="str">
        <f aca="false">VLOOKUP(C1911,Products!$A$2:$E$62,3,FALSE())</f>
        <v>Office Supplies</v>
      </c>
      <c r="L1911" s="1" t="str">
        <f aca="false">TEXT(D1911,"yyyy-mm")</f>
        <v>2023-07</v>
      </c>
    </row>
    <row r="1912" customFormat="false" ht="15" hidden="false" customHeight="true" outlineLevel="0" collapsed="false">
      <c r="A1912" s="1" t="n">
        <v>1954</v>
      </c>
      <c r="B1912" s="1" t="n">
        <v>460</v>
      </c>
      <c r="C1912" s="1" t="n">
        <v>36</v>
      </c>
      <c r="D1912" s="1" t="s">
        <v>39</v>
      </c>
      <c r="E1912" s="1" t="n">
        <v>9</v>
      </c>
      <c r="F1912" s="1" t="n">
        <v>424.45</v>
      </c>
      <c r="G1912" s="1" t="n">
        <v>0</v>
      </c>
      <c r="H1912" s="1" t="s">
        <v>1336</v>
      </c>
      <c r="I1912" s="1" t="n">
        <v>3820.05</v>
      </c>
      <c r="J1912" s="1" t="str">
        <f aca="false">VLOOKUP(B1912,Customers!$A$2:$G$502,6,FALSE())</f>
        <v>Corporate</v>
      </c>
      <c r="K1912" s="1" t="str">
        <f aca="false">VLOOKUP(C1912,Products!$A$2:$E$62,3,FALSE())</f>
        <v>Software</v>
      </c>
      <c r="L1912" s="1" t="str">
        <f aca="false">TEXT(D1912,"yyyy-mm")</f>
        <v>2023-10</v>
      </c>
    </row>
    <row r="1913" customFormat="false" ht="15" hidden="false" customHeight="true" outlineLevel="0" collapsed="false">
      <c r="A1913" s="1" t="n">
        <v>1955</v>
      </c>
      <c r="B1913" s="1" t="n">
        <v>25</v>
      </c>
      <c r="C1913" s="1" t="n">
        <v>51</v>
      </c>
      <c r="D1913" s="1" t="s">
        <v>1598</v>
      </c>
      <c r="E1913" s="1" t="n">
        <v>9</v>
      </c>
      <c r="F1913" s="1" t="n">
        <v>30.16</v>
      </c>
      <c r="G1913" s="1" t="n">
        <v>0</v>
      </c>
      <c r="H1913" s="1" t="s">
        <v>1336</v>
      </c>
      <c r="I1913" s="1" t="n">
        <v>271.44</v>
      </c>
      <c r="J1913" s="1" t="str">
        <f aca="false">VLOOKUP(B1913,Customers!$A$2:$G$502,6,FALSE())</f>
        <v>Corporate</v>
      </c>
      <c r="K1913" s="1" t="str">
        <f aca="false">VLOOKUP(C1913,Products!$A$2:$E$62,3,FALSE())</f>
        <v>Software</v>
      </c>
      <c r="L1913" s="1" t="str">
        <f aca="false">TEXT(D1913,"yyyy-mm")</f>
        <v>2024-05</v>
      </c>
    </row>
    <row r="1914" customFormat="false" ht="15" hidden="false" customHeight="true" outlineLevel="0" collapsed="false">
      <c r="A1914" s="1" t="n">
        <v>1956</v>
      </c>
      <c r="B1914" s="1" t="n">
        <v>100</v>
      </c>
      <c r="C1914" s="1" t="n">
        <v>21</v>
      </c>
      <c r="D1914" s="1" t="s">
        <v>1520</v>
      </c>
      <c r="E1914" s="1" t="n">
        <v>7</v>
      </c>
      <c r="F1914" s="1" t="n">
        <v>84.91</v>
      </c>
      <c r="G1914" s="1" t="n">
        <v>0.05</v>
      </c>
      <c r="H1914" s="1" t="s">
        <v>1336</v>
      </c>
      <c r="I1914" s="1" t="n">
        <v>564.65</v>
      </c>
      <c r="J1914" s="1" t="str">
        <f aca="false">VLOOKUP(B1914,Customers!$A$2:$G$502,6,FALSE())</f>
        <v>Consumer</v>
      </c>
      <c r="K1914" s="1" t="str">
        <f aca="false">VLOOKUP(C1914,Products!$A$2:$E$62,3,FALSE())</f>
        <v>Office Supplies</v>
      </c>
      <c r="L1914" s="1" t="str">
        <f aca="false">TEXT(D1914,"yyyy-mm")</f>
        <v>2023-11</v>
      </c>
    </row>
    <row r="1915" customFormat="false" ht="15" hidden="false" customHeight="true" outlineLevel="0" collapsed="false">
      <c r="A1915" s="1" t="n">
        <v>1957</v>
      </c>
      <c r="B1915" s="1" t="n">
        <v>18</v>
      </c>
      <c r="C1915" s="1" t="n">
        <v>1</v>
      </c>
      <c r="D1915" s="1" t="s">
        <v>1673</v>
      </c>
      <c r="E1915" s="1" t="n">
        <v>2</v>
      </c>
      <c r="F1915" s="1" t="n">
        <v>327.32</v>
      </c>
      <c r="G1915" s="1" t="n">
        <v>0.15</v>
      </c>
      <c r="H1915" s="1" t="s">
        <v>1336</v>
      </c>
      <c r="I1915" s="1" t="n">
        <v>556.44</v>
      </c>
      <c r="J1915" s="1" t="str">
        <f aca="false">VLOOKUP(B1915,Customers!$A$2:$G$502,6,FALSE())</f>
        <v>Corporate</v>
      </c>
      <c r="K1915" s="1" t="str">
        <f aca="false">VLOOKUP(C1915,Products!$A$2:$E$62,3,FALSE())</f>
        <v>Electronics</v>
      </c>
      <c r="L1915" s="1" t="str">
        <f aca="false">TEXT(D1915,"yyyy-mm")</f>
        <v>2023-07</v>
      </c>
    </row>
    <row r="1916" customFormat="false" ht="15" hidden="false" customHeight="true" outlineLevel="0" collapsed="false">
      <c r="A1916" s="1" t="n">
        <v>1958</v>
      </c>
      <c r="B1916" s="1" t="n">
        <v>94</v>
      </c>
      <c r="C1916" s="1" t="n">
        <v>1</v>
      </c>
      <c r="D1916" s="1" t="s">
        <v>1600</v>
      </c>
      <c r="E1916" s="1" t="n">
        <v>5</v>
      </c>
      <c r="F1916" s="1" t="n">
        <v>327.32</v>
      </c>
      <c r="G1916" s="1" t="n">
        <v>0.2</v>
      </c>
      <c r="H1916" s="1" t="s">
        <v>1336</v>
      </c>
      <c r="I1916" s="1" t="n">
        <v>1309.28</v>
      </c>
      <c r="J1916" s="1" t="str">
        <f aca="false">VLOOKUP(B1916,Customers!$A$2:$G$502,6,FALSE())</f>
        <v>Small Business</v>
      </c>
      <c r="K1916" s="1" t="str">
        <f aca="false">VLOOKUP(C1916,Products!$A$2:$E$62,3,FALSE())</f>
        <v>Electronics</v>
      </c>
      <c r="L1916" s="1" t="str">
        <f aca="false">TEXT(D1916,"yyyy-mm")</f>
        <v>2024-01</v>
      </c>
    </row>
    <row r="1917" customFormat="false" ht="15" hidden="false" customHeight="true" outlineLevel="0" collapsed="false">
      <c r="A1917" s="1" t="n">
        <v>1959</v>
      </c>
      <c r="B1917" s="1" t="n">
        <v>225</v>
      </c>
      <c r="C1917" s="1" t="n">
        <v>54</v>
      </c>
      <c r="D1917" s="1" t="s">
        <v>909</v>
      </c>
      <c r="E1917" s="1" t="n">
        <v>4</v>
      </c>
      <c r="F1917" s="1" t="n">
        <v>312.01</v>
      </c>
      <c r="G1917" s="1" t="n">
        <v>0</v>
      </c>
      <c r="H1917" s="1" t="s">
        <v>1336</v>
      </c>
      <c r="I1917" s="1" t="n">
        <v>1248.04</v>
      </c>
      <c r="J1917" s="1" t="str">
        <f aca="false">VLOOKUP(B1917,Customers!$A$2:$G$502,6,FALSE())</f>
        <v>Consumer</v>
      </c>
      <c r="K1917" s="1" t="str">
        <f aca="false">VLOOKUP(C1917,Products!$A$2:$E$62,3,FALSE())</f>
        <v>Software</v>
      </c>
      <c r="L1917" s="1" t="str">
        <f aca="false">TEXT(D1917,"yyyy-mm")</f>
        <v>2023-03</v>
      </c>
    </row>
    <row r="1918" customFormat="false" ht="15" hidden="false" customHeight="true" outlineLevel="0" collapsed="false">
      <c r="A1918" s="1" t="n">
        <v>1960</v>
      </c>
      <c r="B1918" s="1" t="n">
        <v>343</v>
      </c>
      <c r="C1918" s="1" t="n">
        <v>25</v>
      </c>
      <c r="D1918" s="1" t="s">
        <v>1459</v>
      </c>
      <c r="E1918" s="1" t="n">
        <v>8</v>
      </c>
      <c r="F1918" s="1" t="n">
        <v>300.49</v>
      </c>
      <c r="G1918" s="1" t="n">
        <v>0</v>
      </c>
      <c r="H1918" s="1" t="s">
        <v>1336</v>
      </c>
      <c r="I1918" s="1" t="n">
        <v>2403.92</v>
      </c>
      <c r="J1918" s="1" t="str">
        <f aca="false">VLOOKUP(B1918,Customers!$A$2:$G$502,6,FALSE())</f>
        <v>Unknown</v>
      </c>
      <c r="K1918" s="1" t="str">
        <f aca="false">VLOOKUP(C1918,Products!$A$2:$E$62,3,FALSE())</f>
        <v>Office Supplies</v>
      </c>
      <c r="L1918" s="1" t="str">
        <f aca="false">TEXT(D1918,"yyyy-mm")</f>
        <v>2024-03</v>
      </c>
    </row>
    <row r="1919" customFormat="false" ht="15" hidden="false" customHeight="true" outlineLevel="0" collapsed="false">
      <c r="A1919" s="1" t="n">
        <v>1961</v>
      </c>
      <c r="B1919" s="1" t="n">
        <v>154</v>
      </c>
      <c r="C1919" s="1" t="n">
        <v>56</v>
      </c>
      <c r="D1919" s="1" t="s">
        <v>1411</v>
      </c>
      <c r="E1919" s="1" t="n">
        <v>2</v>
      </c>
      <c r="F1919" s="1" t="n">
        <v>160.64</v>
      </c>
      <c r="G1919" s="1" t="n">
        <v>0.15</v>
      </c>
      <c r="H1919" s="1" t="s">
        <v>1336</v>
      </c>
      <c r="I1919" s="1" t="n">
        <v>273.09</v>
      </c>
      <c r="J1919" s="1" t="str">
        <f aca="false">VLOOKUP(B1919,Customers!$A$2:$G$502,6,FALSE())</f>
        <v>Small Business</v>
      </c>
      <c r="K1919" s="1" t="str">
        <f aca="false">VLOOKUP(C1919,Products!$A$2:$E$62,3,FALSE())</f>
        <v>Furniture</v>
      </c>
      <c r="L1919" s="1" t="str">
        <f aca="false">TEXT(D1919,"yyyy-mm")</f>
        <v>2023-03</v>
      </c>
    </row>
    <row r="1920" customFormat="false" ht="15" hidden="false" customHeight="true" outlineLevel="0" collapsed="false">
      <c r="A1920" s="1" t="n">
        <v>1962</v>
      </c>
      <c r="B1920" s="1" t="n">
        <v>145</v>
      </c>
      <c r="C1920" s="1" t="n">
        <v>1</v>
      </c>
      <c r="D1920" s="1" t="s">
        <v>680</v>
      </c>
      <c r="E1920" s="1" t="n">
        <v>6</v>
      </c>
      <c r="F1920" s="1" t="n">
        <v>327.32</v>
      </c>
      <c r="G1920" s="1" t="n">
        <v>0.1</v>
      </c>
      <c r="H1920" s="1" t="s">
        <v>1336</v>
      </c>
      <c r="I1920" s="1" t="n">
        <v>1767.53</v>
      </c>
      <c r="J1920" s="1" t="str">
        <f aca="false">VLOOKUP(B1920,Customers!$A$2:$G$502,6,FALSE())</f>
        <v>Corporate</v>
      </c>
      <c r="K1920" s="1" t="str">
        <f aca="false">VLOOKUP(C1920,Products!$A$2:$E$62,3,FALSE())</f>
        <v>Electronics</v>
      </c>
      <c r="L1920" s="1" t="str">
        <f aca="false">TEXT(D1920,"yyyy-mm")</f>
        <v>2024-04</v>
      </c>
    </row>
    <row r="1921" customFormat="false" ht="15" hidden="false" customHeight="true" outlineLevel="0" collapsed="false">
      <c r="A1921" s="1" t="n">
        <v>1963</v>
      </c>
      <c r="B1921" s="1" t="n">
        <v>138</v>
      </c>
      <c r="C1921" s="1" t="n">
        <v>50</v>
      </c>
      <c r="D1921" s="1" t="s">
        <v>1661</v>
      </c>
      <c r="E1921" s="1" t="n">
        <v>5</v>
      </c>
      <c r="F1921" s="1" t="n">
        <v>19.73</v>
      </c>
      <c r="G1921" s="1" t="n">
        <v>0.05</v>
      </c>
      <c r="H1921" s="1" t="s">
        <v>1336</v>
      </c>
      <c r="I1921" s="1" t="n">
        <v>93.72</v>
      </c>
      <c r="J1921" s="1" t="str">
        <f aca="false">VLOOKUP(B1921,Customers!$A$2:$G$502,6,FALSE())</f>
        <v>Consumer</v>
      </c>
      <c r="K1921" s="1" t="str">
        <f aca="false">VLOOKUP(C1921,Products!$A$2:$E$62,3,FALSE())</f>
        <v>Software</v>
      </c>
      <c r="L1921" s="1" t="str">
        <f aca="false">TEXT(D1921,"yyyy-mm")</f>
        <v>2024-09</v>
      </c>
    </row>
    <row r="1922" customFormat="false" ht="15" hidden="false" customHeight="true" outlineLevel="0" collapsed="false">
      <c r="A1922" s="1" t="n">
        <v>1964</v>
      </c>
      <c r="B1922" s="1" t="n">
        <v>100</v>
      </c>
      <c r="C1922" s="1" t="n">
        <v>28</v>
      </c>
      <c r="D1922" s="1" t="s">
        <v>120</v>
      </c>
      <c r="E1922" s="1" t="n">
        <v>2</v>
      </c>
      <c r="F1922" s="1" t="n">
        <v>505.23</v>
      </c>
      <c r="G1922" s="1" t="n">
        <v>0.1</v>
      </c>
      <c r="H1922" s="1" t="s">
        <v>1336</v>
      </c>
      <c r="I1922" s="1" t="n">
        <v>909.41</v>
      </c>
      <c r="J1922" s="1" t="str">
        <f aca="false">VLOOKUP(B1922,Customers!$A$2:$G$502,6,FALSE())</f>
        <v>Consumer</v>
      </c>
      <c r="K1922" s="1" t="str">
        <f aca="false">VLOOKUP(C1922,Products!$A$2:$E$62,3,FALSE())</f>
        <v>Office Supplies</v>
      </c>
      <c r="L1922" s="1" t="str">
        <f aca="false">TEXT(D1922,"yyyy-mm")</f>
        <v>2024-03</v>
      </c>
    </row>
    <row r="1923" customFormat="false" ht="15" hidden="false" customHeight="true" outlineLevel="0" collapsed="false">
      <c r="A1923" s="1" t="n">
        <v>1965</v>
      </c>
      <c r="B1923" s="1" t="n">
        <v>290</v>
      </c>
      <c r="C1923" s="1" t="n">
        <v>40</v>
      </c>
      <c r="D1923" s="1" t="s">
        <v>1571</v>
      </c>
      <c r="E1923" s="1" t="n">
        <v>1</v>
      </c>
      <c r="F1923" s="1" t="n">
        <v>193.02</v>
      </c>
      <c r="G1923" s="1" t="n">
        <v>0</v>
      </c>
      <c r="H1923" s="1" t="s">
        <v>1336</v>
      </c>
      <c r="I1923" s="1" t="n">
        <v>193.02</v>
      </c>
      <c r="J1923" s="1" t="str">
        <f aca="false">VLOOKUP(B1923,Customers!$A$2:$G$502,6,FALSE())</f>
        <v>Consumer</v>
      </c>
      <c r="K1923" s="1" t="str">
        <f aca="false">VLOOKUP(C1923,Products!$A$2:$E$62,3,FALSE())</f>
        <v>Software</v>
      </c>
      <c r="L1923" s="1" t="str">
        <f aca="false">TEXT(D1923,"yyyy-mm")</f>
        <v>2024-02</v>
      </c>
    </row>
    <row r="1924" customFormat="false" ht="15" hidden="false" customHeight="true" outlineLevel="0" collapsed="false">
      <c r="A1924" s="1" t="n">
        <v>1966</v>
      </c>
      <c r="B1924" s="1" t="n">
        <v>222</v>
      </c>
      <c r="C1924" s="1" t="n">
        <v>36</v>
      </c>
      <c r="D1924" s="1" t="s">
        <v>1670</v>
      </c>
      <c r="E1924" s="1" t="n">
        <v>8</v>
      </c>
      <c r="F1924" s="1" t="n">
        <v>424.45</v>
      </c>
      <c r="G1924" s="1" t="n">
        <v>0.1</v>
      </c>
      <c r="H1924" s="1" t="s">
        <v>1346</v>
      </c>
      <c r="I1924" s="1" t="n">
        <v>3056.04</v>
      </c>
      <c r="J1924" s="1" t="str">
        <f aca="false">VLOOKUP(B1924,Customers!$A$2:$G$502,6,FALSE())</f>
        <v>Consumer</v>
      </c>
      <c r="K1924" s="1" t="str">
        <f aca="false">VLOOKUP(C1924,Products!$A$2:$E$62,3,FALSE())</f>
        <v>Software</v>
      </c>
      <c r="L1924" s="1" t="str">
        <f aca="false">TEXT(D1924,"yyyy-mm")</f>
        <v>2024-07</v>
      </c>
    </row>
    <row r="1925" customFormat="false" ht="15" hidden="false" customHeight="true" outlineLevel="0" collapsed="false">
      <c r="A1925" s="1" t="n">
        <v>1967</v>
      </c>
      <c r="B1925" s="1" t="n">
        <v>339</v>
      </c>
      <c r="C1925" s="1" t="n">
        <v>42</v>
      </c>
      <c r="D1925" s="1" t="s">
        <v>1591</v>
      </c>
      <c r="E1925" s="1" t="n">
        <v>2</v>
      </c>
      <c r="F1925" s="1" t="n">
        <v>174.48</v>
      </c>
      <c r="G1925" s="1" t="n">
        <v>0.2</v>
      </c>
      <c r="H1925" s="1" t="s">
        <v>1336</v>
      </c>
      <c r="I1925" s="1" t="n">
        <v>279.17</v>
      </c>
      <c r="J1925" s="1" t="str">
        <f aca="false">VLOOKUP(B1925,Customers!$A$2:$G$502,6,FALSE())</f>
        <v>Corporate</v>
      </c>
      <c r="K1925" s="1" t="str">
        <f aca="false">VLOOKUP(C1925,Products!$A$2:$E$62,3,FALSE())</f>
        <v>Software</v>
      </c>
      <c r="L1925" s="1" t="str">
        <f aca="false">TEXT(D1925,"yyyy-mm")</f>
        <v>2024-05</v>
      </c>
    </row>
    <row r="1926" customFormat="false" ht="15" hidden="false" customHeight="true" outlineLevel="0" collapsed="false">
      <c r="A1926" s="1" t="n">
        <v>1968</v>
      </c>
      <c r="B1926" s="1" t="n">
        <v>93</v>
      </c>
      <c r="C1926" s="1" t="n">
        <v>24</v>
      </c>
      <c r="D1926" s="1" t="s">
        <v>1618</v>
      </c>
      <c r="E1926" s="1" t="n">
        <v>7</v>
      </c>
      <c r="F1926" s="1" t="n">
        <v>207.34</v>
      </c>
      <c r="G1926" s="1" t="n">
        <v>0.2</v>
      </c>
      <c r="H1926" s="1" t="s">
        <v>1336</v>
      </c>
      <c r="I1926" s="1" t="n">
        <v>1161.1</v>
      </c>
      <c r="J1926" s="1" t="str">
        <f aca="false">VLOOKUP(B1926,Customers!$A$2:$G$502,6,FALSE())</f>
        <v>Consumer</v>
      </c>
      <c r="K1926" s="1" t="str">
        <f aca="false">VLOOKUP(C1926,Products!$A$2:$E$62,3,FALSE())</f>
        <v>Office Supplies</v>
      </c>
      <c r="L1926" s="1" t="str">
        <f aca="false">TEXT(D1926,"yyyy-mm")</f>
        <v>2024-04</v>
      </c>
    </row>
    <row r="1927" customFormat="false" ht="15" hidden="false" customHeight="true" outlineLevel="0" collapsed="false">
      <c r="A1927" s="1" t="n">
        <v>1969</v>
      </c>
      <c r="B1927" s="1" t="n">
        <v>122</v>
      </c>
      <c r="C1927" s="1" t="n">
        <v>9</v>
      </c>
      <c r="D1927" s="1" t="s">
        <v>924</v>
      </c>
      <c r="E1927" s="1" t="n">
        <v>9</v>
      </c>
      <c r="F1927" s="1" t="n">
        <v>203.1</v>
      </c>
      <c r="G1927" s="1" t="n">
        <v>0</v>
      </c>
      <c r="H1927" s="1" t="s">
        <v>1336</v>
      </c>
      <c r="I1927" s="1" t="n">
        <v>1827.9</v>
      </c>
      <c r="J1927" s="1" t="str">
        <f aca="false">VLOOKUP(B1927,Customers!$A$2:$G$502,6,FALSE())</f>
        <v>Corporate</v>
      </c>
      <c r="K1927" s="1" t="str">
        <f aca="false">VLOOKUP(C1927,Products!$A$2:$E$62,3,FALSE())</f>
        <v>Electronics</v>
      </c>
      <c r="L1927" s="1" t="str">
        <f aca="false">TEXT(D1927,"yyyy-mm")</f>
        <v>2023-01</v>
      </c>
    </row>
    <row r="1928" customFormat="false" ht="15" hidden="false" customHeight="true" outlineLevel="0" collapsed="false">
      <c r="A1928" s="1" t="n">
        <v>1970</v>
      </c>
      <c r="B1928" s="1" t="n">
        <v>435</v>
      </c>
      <c r="C1928" s="1" t="n">
        <v>41</v>
      </c>
      <c r="D1928" s="1" t="s">
        <v>1595</v>
      </c>
      <c r="E1928" s="1" t="n">
        <v>9</v>
      </c>
      <c r="F1928" s="1" t="n">
        <v>594.54</v>
      </c>
      <c r="G1928" s="1" t="n">
        <v>0.1</v>
      </c>
      <c r="H1928" s="1" t="s">
        <v>1336</v>
      </c>
      <c r="I1928" s="1" t="n">
        <v>4815.77</v>
      </c>
      <c r="J1928" s="1" t="str">
        <f aca="false">VLOOKUP(B1928,Customers!$A$2:$G$502,6,FALSE())</f>
        <v>Unknown</v>
      </c>
      <c r="K1928" s="1" t="str">
        <f aca="false">VLOOKUP(C1928,Products!$A$2:$E$62,3,FALSE())</f>
        <v>Software</v>
      </c>
      <c r="L1928" s="1" t="str">
        <f aca="false">TEXT(D1928,"yyyy-mm")</f>
        <v>2024-06</v>
      </c>
    </row>
    <row r="1929" customFormat="false" ht="15" hidden="false" customHeight="true" outlineLevel="0" collapsed="false">
      <c r="A1929" s="1" t="n">
        <v>1971</v>
      </c>
      <c r="B1929" s="1" t="n">
        <v>41</v>
      </c>
      <c r="C1929" s="1" t="n">
        <v>36</v>
      </c>
      <c r="D1929" s="1" t="s">
        <v>1235</v>
      </c>
      <c r="E1929" s="1" t="n">
        <v>8</v>
      </c>
      <c r="F1929" s="1" t="n">
        <v>424.45</v>
      </c>
      <c r="G1929" s="1" t="n">
        <v>0.2</v>
      </c>
      <c r="H1929" s="1" t="s">
        <v>1370</v>
      </c>
      <c r="I1929" s="1" t="n">
        <v>2716.48</v>
      </c>
      <c r="J1929" s="1" t="str">
        <f aca="false">VLOOKUP(B1929,Customers!$A$2:$G$502,6,FALSE())</f>
        <v>Corporate</v>
      </c>
      <c r="K1929" s="1" t="str">
        <f aca="false">VLOOKUP(C1929,Products!$A$2:$E$62,3,FALSE())</f>
        <v>Software</v>
      </c>
      <c r="L1929" s="1" t="str">
        <f aca="false">TEXT(D1929,"yyyy-mm")</f>
        <v>2023-01</v>
      </c>
    </row>
    <row r="1930" customFormat="false" ht="15" hidden="false" customHeight="true" outlineLevel="0" collapsed="false">
      <c r="A1930" s="1" t="n">
        <v>1972</v>
      </c>
      <c r="B1930" s="1" t="n">
        <v>38</v>
      </c>
      <c r="C1930" s="1" t="n">
        <v>51</v>
      </c>
      <c r="D1930" s="1" t="s">
        <v>927</v>
      </c>
      <c r="E1930" s="1" t="n">
        <v>9</v>
      </c>
      <c r="F1930" s="1" t="n">
        <v>30.16</v>
      </c>
      <c r="G1930" s="1" t="n">
        <v>0</v>
      </c>
      <c r="H1930" s="1" t="s">
        <v>1336</v>
      </c>
      <c r="I1930" s="1" t="n">
        <v>271.44</v>
      </c>
      <c r="J1930" s="1" t="str">
        <f aca="false">VLOOKUP(B1930,Customers!$A$2:$G$502,6,FALSE())</f>
        <v>Small Business</v>
      </c>
      <c r="K1930" s="1" t="str">
        <f aca="false">VLOOKUP(C1930,Products!$A$2:$E$62,3,FALSE())</f>
        <v>Software</v>
      </c>
      <c r="L1930" s="1" t="str">
        <f aca="false">TEXT(D1930,"yyyy-mm")</f>
        <v>2024-04</v>
      </c>
    </row>
    <row r="1931" customFormat="false" ht="15" hidden="false" customHeight="true" outlineLevel="0" collapsed="false">
      <c r="A1931" s="1" t="n">
        <v>1973</v>
      </c>
      <c r="B1931" s="1" t="n">
        <v>234</v>
      </c>
      <c r="C1931" s="1" t="n">
        <v>19</v>
      </c>
      <c r="D1931" s="1" t="s">
        <v>199</v>
      </c>
      <c r="E1931" s="1" t="n">
        <v>2</v>
      </c>
      <c r="F1931" s="1" t="n">
        <v>163.64</v>
      </c>
      <c r="G1931" s="1" t="n">
        <v>0</v>
      </c>
      <c r="H1931" s="1" t="s">
        <v>1336</v>
      </c>
      <c r="I1931" s="1" t="n">
        <v>327.28</v>
      </c>
      <c r="J1931" s="1" t="str">
        <f aca="false">VLOOKUP(B1931,Customers!$A$2:$G$502,6,FALSE())</f>
        <v>Small Business</v>
      </c>
      <c r="K1931" s="1" t="str">
        <f aca="false">VLOOKUP(C1931,Products!$A$2:$E$62,3,FALSE())</f>
        <v>Office Supplies</v>
      </c>
      <c r="L1931" s="1" t="str">
        <f aca="false">TEXT(D1931,"yyyy-mm")</f>
        <v>2024-12</v>
      </c>
    </row>
    <row r="1932" customFormat="false" ht="15" hidden="false" customHeight="true" outlineLevel="0" collapsed="false">
      <c r="A1932" s="1" t="n">
        <v>1974</v>
      </c>
      <c r="B1932" s="1" t="n">
        <v>402</v>
      </c>
      <c r="C1932" s="1" t="n">
        <v>5</v>
      </c>
      <c r="D1932" s="1" t="s">
        <v>1517</v>
      </c>
      <c r="E1932" s="1" t="n">
        <v>6</v>
      </c>
      <c r="F1932" s="1" t="n">
        <v>439.06</v>
      </c>
      <c r="G1932" s="1" t="n">
        <v>0.1</v>
      </c>
      <c r="H1932" s="1" t="s">
        <v>1336</v>
      </c>
      <c r="I1932" s="1" t="n">
        <v>2370.92</v>
      </c>
      <c r="J1932" s="1" t="str">
        <f aca="false">VLOOKUP(B1932,Customers!$A$2:$G$502,6,FALSE())</f>
        <v>Unknown</v>
      </c>
      <c r="K1932" s="1" t="str">
        <f aca="false">VLOOKUP(C1932,Products!$A$2:$E$62,3,FALSE())</f>
        <v>Electronics</v>
      </c>
      <c r="L1932" s="1" t="str">
        <f aca="false">TEXT(D1932,"yyyy-mm")</f>
        <v>2023-04</v>
      </c>
    </row>
    <row r="1933" customFormat="false" ht="15" hidden="false" customHeight="true" outlineLevel="0" collapsed="false">
      <c r="A1933" s="1" t="n">
        <v>1975</v>
      </c>
      <c r="B1933" s="1" t="n">
        <v>312</v>
      </c>
      <c r="C1933" s="1" t="n">
        <v>46</v>
      </c>
      <c r="D1933" s="1" t="s">
        <v>211</v>
      </c>
      <c r="E1933" s="1" t="n">
        <v>4</v>
      </c>
      <c r="F1933" s="1" t="n">
        <v>94.92</v>
      </c>
      <c r="G1933" s="1" t="n">
        <v>0.05</v>
      </c>
      <c r="H1933" s="1" t="s">
        <v>1346</v>
      </c>
      <c r="I1933" s="1" t="n">
        <v>360.7</v>
      </c>
      <c r="J1933" s="1" t="str">
        <f aca="false">VLOOKUP(B1933,Customers!$A$2:$G$502,6,FALSE())</f>
        <v>Small Business</v>
      </c>
      <c r="K1933" s="1" t="str">
        <f aca="false">VLOOKUP(C1933,Products!$A$2:$E$62,3,FALSE())</f>
        <v>Software</v>
      </c>
      <c r="L1933" s="1" t="str">
        <f aca="false">TEXT(D1933,"yyyy-mm")</f>
        <v>2024-08</v>
      </c>
    </row>
    <row r="1934" customFormat="false" ht="15" hidden="false" customHeight="true" outlineLevel="0" collapsed="false">
      <c r="A1934" s="1" t="n">
        <v>1976</v>
      </c>
      <c r="B1934" s="1" t="n">
        <v>483</v>
      </c>
      <c r="C1934" s="1" t="n">
        <v>31</v>
      </c>
      <c r="D1934" s="1" t="s">
        <v>1422</v>
      </c>
      <c r="E1934" s="1" t="n">
        <v>4</v>
      </c>
      <c r="F1934" s="1" t="n">
        <v>224.86</v>
      </c>
      <c r="G1934" s="1" t="n">
        <v>0.1</v>
      </c>
      <c r="H1934" s="1" t="s">
        <v>1336</v>
      </c>
      <c r="I1934" s="1" t="n">
        <v>809.5</v>
      </c>
      <c r="J1934" s="1" t="str">
        <f aca="false">VLOOKUP(B1934,Customers!$A$2:$G$502,6,FALSE())</f>
        <v>Small Business</v>
      </c>
      <c r="K1934" s="1" t="str">
        <f aca="false">VLOOKUP(C1934,Products!$A$2:$E$62,3,FALSE())</f>
        <v>Office Supplies</v>
      </c>
      <c r="L1934" s="1" t="str">
        <f aca="false">TEXT(D1934,"yyyy-mm")</f>
        <v>2023-12</v>
      </c>
    </row>
    <row r="1935" customFormat="false" ht="15" hidden="false" customHeight="true" outlineLevel="0" collapsed="false">
      <c r="A1935" s="1" t="n">
        <v>1977</v>
      </c>
      <c r="B1935" s="1" t="n">
        <v>468</v>
      </c>
      <c r="C1935" s="1" t="n">
        <v>57</v>
      </c>
      <c r="D1935" s="1" t="s">
        <v>1593</v>
      </c>
      <c r="E1935" s="1" t="n">
        <v>5</v>
      </c>
      <c r="F1935" s="1" t="n">
        <v>719.76</v>
      </c>
      <c r="G1935" s="1" t="n">
        <v>0.15</v>
      </c>
      <c r="H1935" s="1" t="s">
        <v>1336</v>
      </c>
      <c r="I1935" s="1" t="n">
        <v>3058.98</v>
      </c>
      <c r="J1935" s="1" t="str">
        <f aca="false">VLOOKUP(B1935,Customers!$A$2:$G$502,6,FALSE())</f>
        <v>Small Business</v>
      </c>
      <c r="K1935" s="1" t="str">
        <f aca="false">VLOOKUP(C1935,Products!$A$2:$E$62,3,FALSE())</f>
        <v>Furniture</v>
      </c>
      <c r="L1935" s="1" t="str">
        <f aca="false">TEXT(D1935,"yyyy-mm")</f>
        <v>2023-09</v>
      </c>
    </row>
    <row r="1936" customFormat="false" ht="15" hidden="false" customHeight="true" outlineLevel="0" collapsed="false">
      <c r="A1936" s="1" t="n">
        <v>1978</v>
      </c>
      <c r="B1936" s="1" t="n">
        <v>178</v>
      </c>
      <c r="C1936" s="1" t="n">
        <v>44</v>
      </c>
      <c r="D1936" s="1" t="s">
        <v>1601</v>
      </c>
      <c r="E1936" s="1" t="n">
        <v>3</v>
      </c>
      <c r="F1936" s="1" t="n">
        <v>508.26</v>
      </c>
      <c r="G1936" s="1" t="n">
        <v>0</v>
      </c>
      <c r="H1936" s="1" t="s">
        <v>1336</v>
      </c>
      <c r="I1936" s="1" t="n">
        <v>1524.78</v>
      </c>
      <c r="J1936" s="1" t="str">
        <f aca="false">VLOOKUP(B1936,Customers!$A$2:$G$502,6,FALSE())</f>
        <v>Consumer</v>
      </c>
      <c r="K1936" s="1" t="str">
        <f aca="false">VLOOKUP(C1936,Products!$A$2:$E$62,3,FALSE())</f>
        <v>Software</v>
      </c>
      <c r="L1936" s="1" t="str">
        <f aca="false">TEXT(D1936,"yyyy-mm")</f>
        <v>2023-10</v>
      </c>
    </row>
    <row r="1937" customFormat="false" ht="15" hidden="false" customHeight="true" outlineLevel="0" collapsed="false">
      <c r="A1937" s="1" t="n">
        <v>1980</v>
      </c>
      <c r="B1937" s="1" t="n">
        <v>295</v>
      </c>
      <c r="C1937" s="1" t="n">
        <v>2</v>
      </c>
      <c r="D1937" s="1" t="s">
        <v>994</v>
      </c>
      <c r="E1937" s="1" t="n">
        <v>8</v>
      </c>
      <c r="F1937" s="1" t="n">
        <v>498.15</v>
      </c>
      <c r="G1937" s="1" t="n">
        <v>0</v>
      </c>
      <c r="H1937" s="1" t="s">
        <v>1336</v>
      </c>
      <c r="I1937" s="1" t="n">
        <v>3985.2</v>
      </c>
      <c r="J1937" s="1" t="str">
        <f aca="false">VLOOKUP(B1937,Customers!$A$2:$G$502,6,FALSE())</f>
        <v>Small Business</v>
      </c>
      <c r="K1937" s="1" t="str">
        <f aca="false">VLOOKUP(C1937,Products!$A$2:$E$62,3,FALSE())</f>
        <v>Electronics</v>
      </c>
      <c r="L1937" s="1" t="str">
        <f aca="false">TEXT(D1937,"yyyy-mm")</f>
        <v>2023-02</v>
      </c>
    </row>
    <row r="1938" customFormat="false" ht="15" hidden="false" customHeight="true" outlineLevel="0" collapsed="false">
      <c r="A1938" s="1" t="n">
        <v>1981</v>
      </c>
      <c r="B1938" s="1" t="n">
        <v>141</v>
      </c>
      <c r="C1938" s="1" t="n">
        <v>4</v>
      </c>
      <c r="D1938" s="1" t="s">
        <v>1608</v>
      </c>
      <c r="E1938" s="1" t="n">
        <v>5</v>
      </c>
      <c r="F1938" s="1" t="n">
        <v>56.24</v>
      </c>
      <c r="G1938" s="1" t="n">
        <v>0</v>
      </c>
      <c r="H1938" s="1" t="s">
        <v>1336</v>
      </c>
      <c r="I1938" s="1" t="n">
        <v>281.2</v>
      </c>
      <c r="J1938" s="1" t="str">
        <f aca="false">VLOOKUP(B1938,Customers!$A$2:$G$502,6,FALSE())</f>
        <v>Small Business</v>
      </c>
      <c r="K1938" s="1" t="str">
        <f aca="false">VLOOKUP(C1938,Products!$A$2:$E$62,3,FALSE())</f>
        <v>Electronics</v>
      </c>
      <c r="L1938" s="1" t="str">
        <f aca="false">TEXT(D1938,"yyyy-mm")</f>
        <v>2024-04</v>
      </c>
    </row>
    <row r="1939" customFormat="false" ht="15" hidden="false" customHeight="true" outlineLevel="0" collapsed="false">
      <c r="A1939" s="1" t="n">
        <v>1982</v>
      </c>
      <c r="B1939" s="1" t="n">
        <v>91</v>
      </c>
      <c r="C1939" s="1" t="n">
        <v>33</v>
      </c>
      <c r="D1939" s="1" t="s">
        <v>148</v>
      </c>
      <c r="E1939" s="1" t="n">
        <v>3</v>
      </c>
      <c r="F1939" s="1" t="n">
        <v>190.1</v>
      </c>
      <c r="G1939" s="1" t="n">
        <v>0.1</v>
      </c>
      <c r="H1939" s="1" t="s">
        <v>1336</v>
      </c>
      <c r="I1939" s="1" t="n">
        <v>513.27</v>
      </c>
      <c r="J1939" s="1" t="str">
        <f aca="false">VLOOKUP(B1939,Customers!$A$2:$G$502,6,FALSE())</f>
        <v>Consumer</v>
      </c>
      <c r="K1939" s="1" t="str">
        <f aca="false">VLOOKUP(C1939,Products!$A$2:$E$62,3,FALSE())</f>
        <v>Office Supplies</v>
      </c>
      <c r="L1939" s="1" t="str">
        <f aca="false">TEXT(D1939,"yyyy-mm")</f>
        <v>2023-06</v>
      </c>
    </row>
    <row r="1940" customFormat="false" ht="15" hidden="false" customHeight="true" outlineLevel="0" collapsed="false">
      <c r="A1940" s="1" t="n">
        <v>1983</v>
      </c>
      <c r="B1940" s="1" t="n">
        <v>30</v>
      </c>
      <c r="C1940" s="1" t="n">
        <v>6</v>
      </c>
      <c r="D1940" s="1" t="s">
        <v>1648</v>
      </c>
      <c r="E1940" s="1" t="n">
        <v>7</v>
      </c>
      <c r="F1940" s="1" t="n">
        <v>28.51</v>
      </c>
      <c r="G1940" s="1" t="n">
        <v>0.1</v>
      </c>
      <c r="H1940" s="1" t="s">
        <v>1336</v>
      </c>
      <c r="I1940" s="1" t="n">
        <v>179.61</v>
      </c>
      <c r="J1940" s="1" t="str">
        <f aca="false">VLOOKUP(B1940,Customers!$A$2:$G$502,6,FALSE())</f>
        <v>Unknown</v>
      </c>
      <c r="K1940" s="1" t="str">
        <f aca="false">VLOOKUP(C1940,Products!$A$2:$E$62,3,FALSE())</f>
        <v>Electronics</v>
      </c>
      <c r="L1940" s="1" t="str">
        <f aca="false">TEXT(D1940,"yyyy-mm")</f>
        <v>2024-05</v>
      </c>
    </row>
    <row r="1941" customFormat="false" ht="15" hidden="false" customHeight="true" outlineLevel="0" collapsed="false">
      <c r="A1941" s="1" t="n">
        <v>1984</v>
      </c>
      <c r="B1941" s="1" t="n">
        <v>135</v>
      </c>
      <c r="C1941" s="1" t="n">
        <v>46</v>
      </c>
      <c r="D1941" s="1" t="s">
        <v>919</v>
      </c>
      <c r="E1941" s="1" t="n">
        <v>7</v>
      </c>
      <c r="F1941" s="1" t="n">
        <v>94.92</v>
      </c>
      <c r="G1941" s="1" t="n">
        <v>0</v>
      </c>
      <c r="H1941" s="1" t="s">
        <v>1336</v>
      </c>
      <c r="I1941" s="1" t="n">
        <v>664.44</v>
      </c>
      <c r="J1941" s="1" t="str">
        <f aca="false">VLOOKUP(B1941,Customers!$A$2:$G$502,6,FALSE())</f>
        <v>Corporate</v>
      </c>
      <c r="K1941" s="1" t="str">
        <f aca="false">VLOOKUP(C1941,Products!$A$2:$E$62,3,FALSE())</f>
        <v>Software</v>
      </c>
      <c r="L1941" s="1" t="str">
        <f aca="false">TEXT(D1941,"yyyy-mm")</f>
        <v>2024-04</v>
      </c>
    </row>
    <row r="1942" customFormat="false" ht="15" hidden="false" customHeight="true" outlineLevel="0" collapsed="false">
      <c r="A1942" s="1" t="n">
        <v>1985</v>
      </c>
      <c r="B1942" s="1" t="n">
        <v>278</v>
      </c>
      <c r="C1942" s="1" t="n">
        <v>60</v>
      </c>
      <c r="D1942" s="1" t="s">
        <v>1103</v>
      </c>
      <c r="E1942" s="1" t="n">
        <v>1</v>
      </c>
      <c r="F1942" s="1" t="n">
        <v>584.98</v>
      </c>
      <c r="G1942" s="1" t="n">
        <v>0</v>
      </c>
      <c r="H1942" s="1" t="s">
        <v>1336</v>
      </c>
      <c r="I1942" s="1" t="n">
        <v>584.98</v>
      </c>
      <c r="J1942" s="1" t="str">
        <f aca="false">VLOOKUP(B1942,Customers!$A$2:$G$502,6,FALSE())</f>
        <v>Consumer</v>
      </c>
      <c r="K1942" s="1" t="str">
        <f aca="false">VLOOKUP(C1942,Products!$A$2:$E$62,3,FALSE())</f>
        <v>Furniture</v>
      </c>
      <c r="L1942" s="1" t="str">
        <f aca="false">TEXT(D1942,"yyyy-mm")</f>
        <v>2024-01</v>
      </c>
    </row>
    <row r="1943" customFormat="false" ht="15" hidden="false" customHeight="true" outlineLevel="0" collapsed="false">
      <c r="A1943" s="1" t="n">
        <v>1986</v>
      </c>
      <c r="B1943" s="1" t="n">
        <v>358</v>
      </c>
      <c r="C1943" s="1" t="n">
        <v>49</v>
      </c>
      <c r="D1943" s="1" t="s">
        <v>1674</v>
      </c>
      <c r="E1943" s="1" t="n">
        <v>9</v>
      </c>
      <c r="F1943" s="1" t="n">
        <v>325.17</v>
      </c>
      <c r="G1943" s="1" t="n">
        <v>0</v>
      </c>
      <c r="H1943" s="1" t="s">
        <v>1336</v>
      </c>
      <c r="I1943" s="1" t="n">
        <v>2926.53</v>
      </c>
      <c r="J1943" s="1" t="str">
        <f aca="false">VLOOKUP(B1943,Customers!$A$2:$G$502,6,FALSE())</f>
        <v>Corporate</v>
      </c>
      <c r="K1943" s="1" t="str">
        <f aca="false">VLOOKUP(C1943,Products!$A$2:$E$62,3,FALSE())</f>
        <v>Software</v>
      </c>
      <c r="L1943" s="1" t="str">
        <f aca="false">TEXT(D1943,"yyyy-mm")</f>
        <v>2023-03</v>
      </c>
    </row>
    <row r="1944" customFormat="false" ht="15" hidden="false" customHeight="true" outlineLevel="0" collapsed="false">
      <c r="A1944" s="1" t="n">
        <v>1987</v>
      </c>
      <c r="B1944" s="1" t="n">
        <v>238</v>
      </c>
      <c r="C1944" s="1" t="n">
        <v>57</v>
      </c>
      <c r="D1944" s="1" t="s">
        <v>1188</v>
      </c>
      <c r="E1944" s="1" t="n">
        <v>2</v>
      </c>
      <c r="F1944" s="1" t="n">
        <v>719.76</v>
      </c>
      <c r="G1944" s="1" t="n">
        <v>0.2</v>
      </c>
      <c r="H1944" s="1" t="s">
        <v>1336</v>
      </c>
      <c r="I1944" s="1" t="n">
        <v>1151.62</v>
      </c>
      <c r="J1944" s="1" t="str">
        <f aca="false">VLOOKUP(B1944,Customers!$A$2:$G$502,6,FALSE())</f>
        <v>Corporate</v>
      </c>
      <c r="K1944" s="1" t="str">
        <f aca="false">VLOOKUP(C1944,Products!$A$2:$E$62,3,FALSE())</f>
        <v>Furniture</v>
      </c>
      <c r="L1944" s="1" t="str">
        <f aca="false">TEXT(D1944,"yyyy-mm")</f>
        <v>2023-04</v>
      </c>
    </row>
    <row r="1945" customFormat="false" ht="15" hidden="false" customHeight="true" outlineLevel="0" collapsed="false">
      <c r="A1945" s="1" t="n">
        <v>1988</v>
      </c>
      <c r="B1945" s="1" t="n">
        <v>23</v>
      </c>
      <c r="C1945" s="1" t="n">
        <v>48</v>
      </c>
      <c r="D1945" s="1" t="s">
        <v>1675</v>
      </c>
      <c r="E1945" s="1" t="n">
        <v>5</v>
      </c>
      <c r="F1945" s="1" t="n">
        <v>493.53</v>
      </c>
      <c r="G1945" s="1" t="n">
        <v>0</v>
      </c>
      <c r="H1945" s="1" t="s">
        <v>1370</v>
      </c>
      <c r="I1945" s="1" t="n">
        <v>2467.65</v>
      </c>
      <c r="J1945" s="1" t="str">
        <f aca="false">VLOOKUP(B1945,Customers!$A$2:$G$502,6,FALSE())</f>
        <v>Corporate</v>
      </c>
      <c r="K1945" s="1" t="str">
        <f aca="false">VLOOKUP(C1945,Products!$A$2:$E$62,3,FALSE())</f>
        <v>Software</v>
      </c>
      <c r="L1945" s="1" t="str">
        <f aca="false">TEXT(D1945,"yyyy-mm")</f>
        <v>2024-01</v>
      </c>
    </row>
    <row r="1946" customFormat="false" ht="15" hidden="false" customHeight="true" outlineLevel="0" collapsed="false">
      <c r="A1946" s="1" t="n">
        <v>1989</v>
      </c>
      <c r="B1946" s="1" t="n">
        <v>70</v>
      </c>
      <c r="C1946" s="1" t="n">
        <v>13</v>
      </c>
      <c r="D1946" s="1" t="s">
        <v>1230</v>
      </c>
      <c r="E1946" s="1" t="n">
        <v>5</v>
      </c>
      <c r="F1946" s="1" t="n">
        <v>352.54</v>
      </c>
      <c r="G1946" s="1" t="n">
        <v>0</v>
      </c>
      <c r="H1946" s="1" t="s">
        <v>1336</v>
      </c>
      <c r="I1946" s="1" t="n">
        <v>1762.7</v>
      </c>
      <c r="J1946" s="1" t="str">
        <f aca="false">VLOOKUP(B1946,Customers!$A$2:$G$502,6,FALSE())</f>
        <v>Corporate</v>
      </c>
      <c r="K1946" s="1" t="str">
        <f aca="false">VLOOKUP(C1946,Products!$A$2:$E$62,3,FALSE())</f>
        <v>Electronics</v>
      </c>
      <c r="L1946" s="1" t="str">
        <f aca="false">TEXT(D1946,"yyyy-mm")</f>
        <v>2023-02</v>
      </c>
    </row>
    <row r="1947" customFormat="false" ht="15" hidden="false" customHeight="true" outlineLevel="0" collapsed="false">
      <c r="A1947" s="1" t="n">
        <v>1990</v>
      </c>
      <c r="B1947" s="1" t="n">
        <v>3</v>
      </c>
      <c r="C1947" s="1" t="n">
        <v>31</v>
      </c>
      <c r="D1947" s="1" t="s">
        <v>1676</v>
      </c>
      <c r="E1947" s="1" t="n">
        <v>8</v>
      </c>
      <c r="F1947" s="1" t="n">
        <v>224.86</v>
      </c>
      <c r="G1947" s="1" t="n">
        <v>0.15</v>
      </c>
      <c r="H1947" s="1" t="s">
        <v>1336</v>
      </c>
      <c r="I1947" s="1" t="n">
        <v>1529.05</v>
      </c>
      <c r="J1947" s="1" t="str">
        <f aca="false">VLOOKUP(B1947,Customers!$A$2:$G$502,6,FALSE())</f>
        <v>Corporate</v>
      </c>
      <c r="K1947" s="1" t="str">
        <f aca="false">VLOOKUP(C1947,Products!$A$2:$E$62,3,FALSE())</f>
        <v>Office Supplies</v>
      </c>
      <c r="L1947" s="1" t="str">
        <f aca="false">TEXT(D1947,"yyyy-mm")</f>
        <v>2023-09</v>
      </c>
    </row>
    <row r="1948" customFormat="false" ht="15" hidden="false" customHeight="true" outlineLevel="0" collapsed="false">
      <c r="A1948" s="1" t="n">
        <v>1991</v>
      </c>
      <c r="B1948" s="1" t="n">
        <v>160</v>
      </c>
      <c r="C1948" s="1" t="n">
        <v>36</v>
      </c>
      <c r="D1948" s="1" t="s">
        <v>489</v>
      </c>
      <c r="E1948" s="1" t="n">
        <v>8</v>
      </c>
      <c r="F1948" s="1" t="n">
        <v>424.45</v>
      </c>
      <c r="G1948" s="1" t="n">
        <v>0</v>
      </c>
      <c r="H1948" s="1" t="s">
        <v>1336</v>
      </c>
      <c r="I1948" s="1" t="n">
        <v>3395.6</v>
      </c>
      <c r="J1948" s="1" t="str">
        <f aca="false">VLOOKUP(B1948,Customers!$A$2:$G$502,6,FALSE())</f>
        <v>Consumer</v>
      </c>
      <c r="K1948" s="1" t="str">
        <f aca="false">VLOOKUP(C1948,Products!$A$2:$E$62,3,FALSE())</f>
        <v>Software</v>
      </c>
      <c r="L1948" s="1" t="str">
        <f aca="false">TEXT(D1948,"yyyy-mm")</f>
        <v>2024-12</v>
      </c>
    </row>
    <row r="1949" customFormat="false" ht="15" hidden="false" customHeight="true" outlineLevel="0" collapsed="false">
      <c r="A1949" s="1" t="n">
        <v>1992</v>
      </c>
      <c r="B1949" s="1" t="n">
        <v>268</v>
      </c>
      <c r="C1949" s="1" t="n">
        <v>30</v>
      </c>
      <c r="D1949" s="1" t="s">
        <v>1556</v>
      </c>
      <c r="E1949" s="1" t="n">
        <v>7</v>
      </c>
      <c r="F1949" s="1" t="n">
        <v>33.32</v>
      </c>
      <c r="G1949" s="1" t="n">
        <v>0.1</v>
      </c>
      <c r="H1949" s="1" t="s">
        <v>1336</v>
      </c>
      <c r="I1949" s="1" t="n">
        <v>209.92</v>
      </c>
      <c r="J1949" s="1" t="str">
        <f aca="false">VLOOKUP(B1949,Customers!$A$2:$G$502,6,FALSE())</f>
        <v>Small Business</v>
      </c>
      <c r="K1949" s="1" t="str">
        <f aca="false">VLOOKUP(C1949,Products!$A$2:$E$62,3,FALSE())</f>
        <v>Office Supplies</v>
      </c>
      <c r="L1949" s="1" t="str">
        <f aca="false">TEXT(D1949,"yyyy-mm")</f>
        <v>2024-02</v>
      </c>
    </row>
    <row r="1950" customFormat="false" ht="15" hidden="false" customHeight="true" outlineLevel="0" collapsed="false">
      <c r="A1950" s="1" t="n">
        <v>1993</v>
      </c>
      <c r="B1950" s="1" t="n">
        <v>305</v>
      </c>
      <c r="C1950" s="1" t="n">
        <v>17</v>
      </c>
      <c r="D1950" s="1" t="s">
        <v>1594</v>
      </c>
      <c r="E1950" s="1" t="n">
        <v>7</v>
      </c>
      <c r="F1950" s="1" t="n">
        <v>65.61</v>
      </c>
      <c r="G1950" s="1" t="n">
        <v>0.05</v>
      </c>
      <c r="H1950" s="1" t="s">
        <v>1336</v>
      </c>
      <c r="I1950" s="1" t="n">
        <v>436.31</v>
      </c>
      <c r="J1950" s="1" t="str">
        <f aca="false">VLOOKUP(B1950,Customers!$A$2:$G$502,6,FALSE())</f>
        <v>Consumer</v>
      </c>
      <c r="K1950" s="1" t="str">
        <f aca="false">VLOOKUP(C1950,Products!$A$2:$E$62,3,FALSE())</f>
        <v>Electronics</v>
      </c>
      <c r="L1950" s="1" t="str">
        <f aca="false">TEXT(D1950,"yyyy-mm")</f>
        <v>2023-10</v>
      </c>
    </row>
    <row r="1951" customFormat="false" ht="15" hidden="false" customHeight="true" outlineLevel="0" collapsed="false">
      <c r="A1951" s="1" t="n">
        <v>1994</v>
      </c>
      <c r="B1951" s="1" t="n">
        <v>407</v>
      </c>
      <c r="C1951" s="1" t="n">
        <v>47</v>
      </c>
      <c r="D1951" s="1" t="s">
        <v>645</v>
      </c>
      <c r="E1951" s="1" t="n">
        <v>6</v>
      </c>
      <c r="F1951" s="1" t="n">
        <v>506.19</v>
      </c>
      <c r="G1951" s="1" t="n">
        <v>0</v>
      </c>
      <c r="H1951" s="1" t="s">
        <v>1370</v>
      </c>
      <c r="I1951" s="1" t="n">
        <v>3037.14</v>
      </c>
      <c r="J1951" s="1" t="str">
        <f aca="false">VLOOKUP(B1951,Customers!$A$2:$G$502,6,FALSE())</f>
        <v>Consumer</v>
      </c>
      <c r="K1951" s="1" t="str">
        <f aca="false">VLOOKUP(C1951,Products!$A$2:$E$62,3,FALSE())</f>
        <v>Software</v>
      </c>
      <c r="L1951" s="1" t="str">
        <f aca="false">TEXT(D1951,"yyyy-mm")</f>
        <v>2024-06</v>
      </c>
    </row>
    <row r="1952" customFormat="false" ht="15" hidden="false" customHeight="true" outlineLevel="0" collapsed="false">
      <c r="A1952" s="1" t="n">
        <v>1995</v>
      </c>
      <c r="B1952" s="1" t="n">
        <v>110</v>
      </c>
      <c r="C1952" s="1" t="n">
        <v>58</v>
      </c>
      <c r="D1952" s="1" t="s">
        <v>1470</v>
      </c>
      <c r="E1952" s="1" t="n">
        <v>6</v>
      </c>
      <c r="F1952" s="1" t="n">
        <v>515.55</v>
      </c>
      <c r="G1952" s="1" t="n">
        <v>0</v>
      </c>
      <c r="H1952" s="1" t="s">
        <v>1336</v>
      </c>
      <c r="I1952" s="1" t="n">
        <v>3093.3</v>
      </c>
      <c r="J1952" s="1" t="str">
        <f aca="false">VLOOKUP(B1952,Customers!$A$2:$G$502,6,FALSE())</f>
        <v>Corporate</v>
      </c>
      <c r="K1952" s="1" t="str">
        <f aca="false">VLOOKUP(C1952,Products!$A$2:$E$62,3,FALSE())</f>
        <v>Furniture</v>
      </c>
      <c r="L1952" s="1" t="str">
        <f aca="false">TEXT(D1952,"yyyy-mm")</f>
        <v>2023-03</v>
      </c>
    </row>
    <row r="1953" customFormat="false" ht="15" hidden="false" customHeight="true" outlineLevel="0" collapsed="false">
      <c r="A1953" s="1" t="n">
        <v>1996</v>
      </c>
      <c r="B1953" s="1" t="n">
        <v>313</v>
      </c>
      <c r="C1953" s="1" t="n">
        <v>26</v>
      </c>
      <c r="D1953" s="1" t="s">
        <v>1273</v>
      </c>
      <c r="E1953" s="1" t="n">
        <v>9</v>
      </c>
      <c r="F1953" s="1" t="n">
        <v>733.85</v>
      </c>
      <c r="G1953" s="1" t="n">
        <v>0.15</v>
      </c>
      <c r="H1953" s="1" t="s">
        <v>1336</v>
      </c>
      <c r="I1953" s="1" t="n">
        <v>5613.95</v>
      </c>
      <c r="J1953" s="1" t="str">
        <f aca="false">VLOOKUP(B1953,Customers!$A$2:$G$502,6,FALSE())</f>
        <v>Consumer</v>
      </c>
      <c r="K1953" s="1" t="str">
        <f aca="false">VLOOKUP(C1953,Products!$A$2:$E$62,3,FALSE())</f>
        <v>Office Supplies</v>
      </c>
      <c r="L1953" s="1" t="str">
        <f aca="false">TEXT(D1953,"yyyy-mm")</f>
        <v>2023-08</v>
      </c>
    </row>
    <row r="1954" customFormat="false" ht="15" hidden="false" customHeight="true" outlineLevel="0" collapsed="false">
      <c r="A1954" s="1" t="n">
        <v>1997</v>
      </c>
      <c r="B1954" s="1" t="n">
        <v>402</v>
      </c>
      <c r="C1954" s="1" t="n">
        <v>51</v>
      </c>
      <c r="D1954" s="1" t="s">
        <v>1069</v>
      </c>
      <c r="E1954" s="1" t="n">
        <v>6</v>
      </c>
      <c r="F1954" s="1" t="n">
        <v>30.16</v>
      </c>
      <c r="G1954" s="1" t="n">
        <v>0.05</v>
      </c>
      <c r="H1954" s="1" t="s">
        <v>1336</v>
      </c>
      <c r="I1954" s="1" t="n">
        <v>171.91</v>
      </c>
      <c r="J1954" s="1" t="str">
        <f aca="false">VLOOKUP(B1954,Customers!$A$2:$G$502,6,FALSE())</f>
        <v>Unknown</v>
      </c>
      <c r="K1954" s="1" t="str">
        <f aca="false">VLOOKUP(C1954,Products!$A$2:$E$62,3,FALSE())</f>
        <v>Software</v>
      </c>
      <c r="L1954" s="1" t="str">
        <f aca="false">TEXT(D1954,"yyyy-mm")</f>
        <v>2024-01</v>
      </c>
    </row>
    <row r="1955" customFormat="false" ht="15" hidden="false" customHeight="true" outlineLevel="0" collapsed="false">
      <c r="A1955" s="1" t="n">
        <v>1998</v>
      </c>
      <c r="B1955" s="1" t="n">
        <v>471</v>
      </c>
      <c r="C1955" s="1" t="n">
        <v>10</v>
      </c>
      <c r="D1955" s="1" t="s">
        <v>1501</v>
      </c>
      <c r="E1955" s="1" t="n">
        <v>2</v>
      </c>
      <c r="F1955" s="1" t="n">
        <v>251.58</v>
      </c>
      <c r="G1955" s="1" t="n">
        <v>0.1</v>
      </c>
      <c r="H1955" s="1" t="s">
        <v>1336</v>
      </c>
      <c r="I1955" s="1" t="n">
        <v>452.84</v>
      </c>
      <c r="J1955" s="1" t="str">
        <f aca="false">VLOOKUP(B1955,Customers!$A$2:$G$502,6,FALSE())</f>
        <v>Small Business</v>
      </c>
      <c r="K1955" s="1" t="str">
        <f aca="false">VLOOKUP(C1955,Products!$A$2:$E$62,3,FALSE())</f>
        <v>Electronics</v>
      </c>
      <c r="L1955" s="1" t="str">
        <f aca="false">TEXT(D1955,"yyyy-mm")</f>
        <v>2024-03</v>
      </c>
    </row>
    <row r="1956" customFormat="false" ht="15" hidden="false" customHeight="true" outlineLevel="0" collapsed="false">
      <c r="A1956" s="1" t="n">
        <v>1999</v>
      </c>
      <c r="B1956" s="1" t="n">
        <v>382</v>
      </c>
      <c r="C1956" s="1" t="n">
        <v>28</v>
      </c>
      <c r="D1956" s="1" t="s">
        <v>1641</v>
      </c>
      <c r="E1956" s="1" t="n">
        <v>2</v>
      </c>
      <c r="F1956" s="1" t="n">
        <v>505.23</v>
      </c>
      <c r="G1956" s="1" t="n">
        <v>0</v>
      </c>
      <c r="H1956" s="1" t="s">
        <v>1336</v>
      </c>
      <c r="I1956" s="1" t="n">
        <v>1010.46</v>
      </c>
      <c r="J1956" s="1" t="str">
        <f aca="false">VLOOKUP(B1956,Customers!$A$2:$G$502,6,FALSE())</f>
        <v>Corporate</v>
      </c>
      <c r="K1956" s="1" t="str">
        <f aca="false">VLOOKUP(C1956,Products!$A$2:$E$62,3,FALSE())</f>
        <v>Office Supplies</v>
      </c>
      <c r="L1956" s="1" t="str">
        <f aca="false">TEXT(D1956,"yyyy-mm")</f>
        <v>2024-04</v>
      </c>
    </row>
    <row r="1957" customFormat="false" ht="15" hidden="false" customHeight="true" outlineLevel="0" collapsed="false">
      <c r="A1957" s="1" t="n">
        <v>2000</v>
      </c>
      <c r="B1957" s="1" t="n">
        <v>154</v>
      </c>
      <c r="C1957" s="1" t="n">
        <v>60</v>
      </c>
      <c r="D1957" s="1" t="s">
        <v>902</v>
      </c>
      <c r="E1957" s="1" t="n">
        <v>5</v>
      </c>
      <c r="F1957" s="1" t="n">
        <v>584.98</v>
      </c>
      <c r="G1957" s="1" t="n">
        <v>0.1</v>
      </c>
      <c r="H1957" s="1" t="s">
        <v>1336</v>
      </c>
      <c r="I1957" s="1" t="n">
        <v>2632.41</v>
      </c>
      <c r="J1957" s="1" t="str">
        <f aca="false">VLOOKUP(B1957,Customers!$A$2:$G$502,6,FALSE())</f>
        <v>Small Business</v>
      </c>
      <c r="K1957" s="1" t="str">
        <f aca="false">VLOOKUP(C1957,Products!$A$2:$E$62,3,FALSE())</f>
        <v>Furniture</v>
      </c>
      <c r="L1957" s="1" t="str">
        <f aca="false">TEXT(D1957,"yyyy-mm")</f>
        <v>2024-07</v>
      </c>
    </row>
    <row r="1958" customFormat="false" ht="15" hidden="false" customHeight="true" outlineLevel="0" collapsed="false">
      <c r="A1958" s="1" t="n">
        <v>2001</v>
      </c>
      <c r="B1958" s="1" t="n">
        <v>196</v>
      </c>
      <c r="C1958" s="1" t="n">
        <v>59</v>
      </c>
      <c r="D1958" s="1" t="s">
        <v>717</v>
      </c>
      <c r="E1958" s="1" t="n">
        <v>4</v>
      </c>
      <c r="F1958" s="1" t="n">
        <v>438.89</v>
      </c>
      <c r="G1958" s="1" t="n">
        <v>0.2</v>
      </c>
      <c r="H1958" s="1" t="s">
        <v>1336</v>
      </c>
      <c r="I1958" s="1" t="n">
        <v>1404.45</v>
      </c>
      <c r="J1958" s="1" t="str">
        <f aca="false">VLOOKUP(B1958,Customers!$A$2:$G$502,6,FALSE())</f>
        <v>Corporate</v>
      </c>
      <c r="K1958" s="1" t="str">
        <f aca="false">VLOOKUP(C1958,Products!$A$2:$E$62,3,FALSE())</f>
        <v>Furniture</v>
      </c>
      <c r="L1958" s="1" t="str">
        <f aca="false">TEXT(D1958,"yyyy-mm")</f>
        <v>2024-10</v>
      </c>
    </row>
    <row r="1959" customFormat="false" ht="15" hidden="false" customHeight="true" outlineLevel="0" collapsed="false">
      <c r="A1959" s="1" t="n">
        <v>2002</v>
      </c>
      <c r="B1959" s="1" t="n">
        <v>28</v>
      </c>
      <c r="C1959" s="1" t="n">
        <v>29</v>
      </c>
      <c r="D1959" s="1" t="s">
        <v>330</v>
      </c>
      <c r="E1959" s="1" t="n">
        <v>2</v>
      </c>
      <c r="F1959" s="1" t="n">
        <v>54.62</v>
      </c>
      <c r="G1959" s="1" t="n">
        <v>0</v>
      </c>
      <c r="H1959" s="1" t="s">
        <v>1336</v>
      </c>
      <c r="I1959" s="1" t="n">
        <v>109.24</v>
      </c>
      <c r="J1959" s="1" t="str">
        <f aca="false">VLOOKUP(B1959,Customers!$A$2:$G$502,6,FALSE())</f>
        <v>Small Business</v>
      </c>
      <c r="K1959" s="1" t="str">
        <f aca="false">VLOOKUP(C1959,Products!$A$2:$E$62,3,FALSE())</f>
        <v>Office Supplies</v>
      </c>
      <c r="L1959" s="1" t="str">
        <f aca="false">TEXT(D1959,"yyyy-mm")</f>
        <v>2024-03</v>
      </c>
    </row>
    <row r="1960" customFormat="false" ht="15" hidden="false" customHeight="true" outlineLevel="0" collapsed="false">
      <c r="A1960" s="1" t="n">
        <v>2003</v>
      </c>
      <c r="B1960" s="1" t="n">
        <v>41</v>
      </c>
      <c r="C1960" s="1" t="n">
        <v>24</v>
      </c>
      <c r="D1960" s="1" t="s">
        <v>701</v>
      </c>
      <c r="E1960" s="1" t="n">
        <v>3</v>
      </c>
      <c r="F1960" s="1" t="n">
        <v>207.34</v>
      </c>
      <c r="G1960" s="1" t="n">
        <v>0</v>
      </c>
      <c r="H1960" s="1" t="s">
        <v>1336</v>
      </c>
      <c r="I1960" s="1" t="n">
        <v>622.02</v>
      </c>
      <c r="J1960" s="1" t="str">
        <f aca="false">VLOOKUP(B1960,Customers!$A$2:$G$502,6,FALSE())</f>
        <v>Corporate</v>
      </c>
      <c r="K1960" s="1" t="str">
        <f aca="false">VLOOKUP(C1960,Products!$A$2:$E$62,3,FALSE())</f>
        <v>Office Supplies</v>
      </c>
      <c r="L1960" s="1" t="str">
        <f aca="false">TEXT(D1960,"yyyy-mm")</f>
        <v>2024-02</v>
      </c>
    </row>
    <row r="1961" customFormat="false" ht="15" hidden="false" customHeight="true" outlineLevel="0" collapsed="false">
      <c r="A1961" s="1" t="n">
        <v>2004</v>
      </c>
      <c r="B1961" s="1" t="n">
        <v>277</v>
      </c>
      <c r="C1961" s="1" t="n">
        <v>60</v>
      </c>
      <c r="D1961" s="1" t="s">
        <v>377</v>
      </c>
      <c r="E1961" s="1" t="n">
        <v>7</v>
      </c>
      <c r="F1961" s="1" t="n">
        <v>584.98</v>
      </c>
      <c r="G1961" s="1" t="n">
        <v>0.2</v>
      </c>
      <c r="H1961" s="1" t="s">
        <v>1336</v>
      </c>
      <c r="I1961" s="1" t="n">
        <v>3275.89</v>
      </c>
      <c r="J1961" s="1" t="str">
        <f aca="false">VLOOKUP(B1961,Customers!$A$2:$G$502,6,FALSE())</f>
        <v>Corporate</v>
      </c>
      <c r="K1961" s="1" t="str">
        <f aca="false">VLOOKUP(C1961,Products!$A$2:$E$62,3,FALSE())</f>
        <v>Furniture</v>
      </c>
      <c r="L1961" s="1" t="str">
        <f aca="false">TEXT(D1961,"yyyy-mm")</f>
        <v>2023-12</v>
      </c>
    </row>
    <row r="1962" customFormat="false" ht="15" hidden="false" customHeight="true" outlineLevel="0" collapsed="false">
      <c r="A1962" s="1" t="n">
        <v>2005</v>
      </c>
      <c r="B1962" s="1" t="n">
        <v>15</v>
      </c>
      <c r="C1962" s="1" t="n">
        <v>43</v>
      </c>
      <c r="D1962" s="1" t="s">
        <v>1563</v>
      </c>
      <c r="E1962" s="1" t="n">
        <v>8</v>
      </c>
      <c r="F1962" s="1" t="n">
        <v>186.31</v>
      </c>
      <c r="G1962" s="1" t="n">
        <v>0</v>
      </c>
      <c r="H1962" s="1" t="s">
        <v>1346</v>
      </c>
      <c r="I1962" s="1" t="n">
        <v>1490.48</v>
      </c>
      <c r="J1962" s="1" t="str">
        <f aca="false">VLOOKUP(B1962,Customers!$A$2:$G$502,6,FALSE())</f>
        <v>Corporate</v>
      </c>
      <c r="K1962" s="1" t="str">
        <f aca="false">VLOOKUP(C1962,Products!$A$2:$E$62,3,FALSE())</f>
        <v>Software</v>
      </c>
      <c r="L1962" s="1" t="str">
        <f aca="false">TEXT(D1962,"yyyy-mm")</f>
        <v>2024-09</v>
      </c>
    </row>
    <row r="1963" customFormat="false" ht="15" hidden="false" customHeight="true" outlineLevel="0" collapsed="false">
      <c r="A1963" s="1" t="n">
        <v>2006</v>
      </c>
      <c r="B1963" s="1" t="n">
        <v>399</v>
      </c>
      <c r="C1963" s="1" t="n">
        <v>33</v>
      </c>
      <c r="D1963" s="1" t="s">
        <v>935</v>
      </c>
      <c r="E1963" s="1" t="n">
        <v>6</v>
      </c>
      <c r="F1963" s="1" t="n">
        <v>190.1</v>
      </c>
      <c r="G1963" s="1" t="n">
        <v>0</v>
      </c>
      <c r="H1963" s="1" t="s">
        <v>1336</v>
      </c>
      <c r="I1963" s="1" t="n">
        <v>1140.6</v>
      </c>
      <c r="J1963" s="1" t="str">
        <f aca="false">VLOOKUP(B1963,Customers!$A$2:$G$502,6,FALSE())</f>
        <v>Corporate</v>
      </c>
      <c r="K1963" s="1" t="str">
        <f aca="false">VLOOKUP(C1963,Products!$A$2:$E$62,3,FALSE())</f>
        <v>Office Supplies</v>
      </c>
      <c r="L1963" s="1" t="str">
        <f aca="false">TEXT(D1963,"yyyy-mm")</f>
        <v>2024-02</v>
      </c>
    </row>
    <row r="1964" customFormat="false" ht="15" hidden="false" customHeight="true" outlineLevel="0" collapsed="false">
      <c r="A1964" s="1" t="n">
        <v>2007</v>
      </c>
      <c r="B1964" s="1" t="n">
        <v>361</v>
      </c>
      <c r="C1964" s="1" t="n">
        <v>29</v>
      </c>
      <c r="D1964" s="1" t="s">
        <v>68</v>
      </c>
      <c r="E1964" s="1" t="n">
        <v>5</v>
      </c>
      <c r="F1964" s="1" t="n">
        <v>54.62</v>
      </c>
      <c r="G1964" s="1" t="n">
        <v>0.05</v>
      </c>
      <c r="H1964" s="1" t="s">
        <v>1336</v>
      </c>
      <c r="I1964" s="1" t="n">
        <v>259.44</v>
      </c>
      <c r="J1964" s="1" t="str">
        <f aca="false">VLOOKUP(B1964,Customers!$A$2:$G$502,6,FALSE())</f>
        <v>Small Business</v>
      </c>
      <c r="K1964" s="1" t="str">
        <f aca="false">VLOOKUP(C1964,Products!$A$2:$E$62,3,FALSE())</f>
        <v>Office Supplies</v>
      </c>
      <c r="L1964" s="1" t="str">
        <f aca="false">TEXT(D1964,"yyyy-mm")</f>
        <v>2024-11</v>
      </c>
    </row>
    <row r="1965" customFormat="false" ht="15" hidden="false" customHeight="true" outlineLevel="0" collapsed="false">
      <c r="A1965" s="1" t="n">
        <v>2008</v>
      </c>
      <c r="B1965" s="1" t="n">
        <v>368</v>
      </c>
      <c r="C1965" s="1" t="n">
        <v>40</v>
      </c>
      <c r="D1965" s="1" t="s">
        <v>1430</v>
      </c>
      <c r="E1965" s="1" t="n">
        <v>1</v>
      </c>
      <c r="F1965" s="1" t="n">
        <v>193.02</v>
      </c>
      <c r="G1965" s="1" t="n">
        <v>0</v>
      </c>
      <c r="H1965" s="1" t="s">
        <v>1336</v>
      </c>
      <c r="I1965" s="1" t="n">
        <v>193.02</v>
      </c>
      <c r="J1965" s="1" t="str">
        <f aca="false">VLOOKUP(B1965,Customers!$A$2:$G$502,6,FALSE())</f>
        <v>Corporate</v>
      </c>
      <c r="K1965" s="1" t="str">
        <f aca="false">VLOOKUP(C1965,Products!$A$2:$E$62,3,FALSE())</f>
        <v>Software</v>
      </c>
      <c r="L1965" s="1" t="str">
        <f aca="false">TEXT(D1965,"yyyy-mm")</f>
        <v>2024-01</v>
      </c>
    </row>
    <row r="1966" customFormat="false" ht="15" hidden="false" customHeight="true" outlineLevel="0" collapsed="false">
      <c r="A1966" s="1" t="n">
        <v>2009</v>
      </c>
      <c r="B1966" s="1" t="n">
        <v>350</v>
      </c>
      <c r="C1966" s="1" t="n">
        <v>12</v>
      </c>
      <c r="D1966" s="1" t="s">
        <v>1494</v>
      </c>
      <c r="E1966" s="1" t="n">
        <v>8</v>
      </c>
      <c r="F1966" s="1" t="n">
        <v>179.23</v>
      </c>
      <c r="G1966" s="1" t="n">
        <v>0</v>
      </c>
      <c r="H1966" s="1" t="s">
        <v>1336</v>
      </c>
      <c r="I1966" s="1" t="n">
        <v>1433.84</v>
      </c>
      <c r="J1966" s="1" t="str">
        <f aca="false">VLOOKUP(B1966,Customers!$A$2:$G$502,6,FALSE())</f>
        <v>Consumer</v>
      </c>
      <c r="K1966" s="1" t="str">
        <f aca="false">VLOOKUP(C1966,Products!$A$2:$E$62,3,FALSE())</f>
        <v>Electronics</v>
      </c>
      <c r="L1966" s="1" t="str">
        <f aca="false">TEXT(D1966,"yyyy-mm")</f>
        <v>2023-01</v>
      </c>
    </row>
    <row r="1967" customFormat="false" ht="15" hidden="false" customHeight="true" outlineLevel="0" collapsed="false">
      <c r="A1967" s="1" t="n">
        <v>2010</v>
      </c>
      <c r="B1967" s="1" t="n">
        <v>461</v>
      </c>
      <c r="C1967" s="1" t="n">
        <v>37</v>
      </c>
      <c r="D1967" s="1" t="s">
        <v>1480</v>
      </c>
      <c r="E1967" s="1" t="n">
        <v>3</v>
      </c>
      <c r="F1967" s="1" t="n">
        <v>13.95</v>
      </c>
      <c r="G1967" s="1" t="n">
        <v>0.2</v>
      </c>
      <c r="H1967" s="1" t="s">
        <v>1370</v>
      </c>
      <c r="I1967" s="1" t="n">
        <v>33.48</v>
      </c>
      <c r="J1967" s="1" t="str">
        <f aca="false">VLOOKUP(B1967,Customers!$A$2:$G$502,6,FALSE())</f>
        <v>Corporate</v>
      </c>
      <c r="K1967" s="1" t="str">
        <f aca="false">VLOOKUP(C1967,Products!$A$2:$E$62,3,FALSE())</f>
        <v>Software</v>
      </c>
      <c r="L1967" s="1" t="str">
        <f aca="false">TEXT(D1967,"yyyy-mm")</f>
        <v>2024-01</v>
      </c>
    </row>
    <row r="1968" customFormat="false" ht="15" hidden="false" customHeight="true" outlineLevel="0" collapsed="false">
      <c r="A1968" s="1" t="n">
        <v>2011</v>
      </c>
      <c r="B1968" s="1" t="n">
        <v>359</v>
      </c>
      <c r="C1968" s="1" t="n">
        <v>59</v>
      </c>
      <c r="D1968" s="1" t="s">
        <v>1634</v>
      </c>
      <c r="E1968" s="1" t="n">
        <v>6</v>
      </c>
      <c r="F1968" s="1" t="n">
        <v>438.89</v>
      </c>
      <c r="G1968" s="1" t="n">
        <v>0</v>
      </c>
      <c r="H1968" s="1" t="s">
        <v>1336</v>
      </c>
      <c r="I1968" s="1" t="n">
        <v>2633.34</v>
      </c>
      <c r="J1968" s="1" t="str">
        <f aca="false">VLOOKUP(B1968,Customers!$A$2:$G$502,6,FALSE())</f>
        <v>Small Business</v>
      </c>
      <c r="K1968" s="1" t="str">
        <f aca="false">VLOOKUP(C1968,Products!$A$2:$E$62,3,FALSE())</f>
        <v>Furniture</v>
      </c>
      <c r="L1968" s="1" t="str">
        <f aca="false">TEXT(D1968,"yyyy-mm")</f>
        <v>2023-02</v>
      </c>
    </row>
    <row r="1969" customFormat="false" ht="15" hidden="false" customHeight="true" outlineLevel="0" collapsed="false">
      <c r="A1969" s="1" t="n">
        <v>2012</v>
      </c>
      <c r="B1969" s="1" t="n">
        <v>465</v>
      </c>
      <c r="C1969" s="1" t="n">
        <v>57</v>
      </c>
      <c r="D1969" s="1" t="s">
        <v>1512</v>
      </c>
      <c r="E1969" s="1" t="n">
        <v>3</v>
      </c>
      <c r="F1969" s="1" t="n">
        <v>719.76</v>
      </c>
      <c r="G1969" s="1" t="n">
        <v>0.2</v>
      </c>
      <c r="H1969" s="1" t="s">
        <v>1336</v>
      </c>
      <c r="I1969" s="1" t="n">
        <v>1727.42</v>
      </c>
      <c r="J1969" s="1" t="str">
        <f aca="false">VLOOKUP(B1969,Customers!$A$2:$G$502,6,FALSE())</f>
        <v>Consumer</v>
      </c>
      <c r="K1969" s="1" t="str">
        <f aca="false">VLOOKUP(C1969,Products!$A$2:$E$62,3,FALSE())</f>
        <v>Furniture</v>
      </c>
      <c r="L1969" s="1" t="str">
        <f aca="false">TEXT(D1969,"yyyy-mm")</f>
        <v>2023-12</v>
      </c>
    </row>
    <row r="1970" customFormat="false" ht="15" hidden="false" customHeight="true" outlineLevel="0" collapsed="false">
      <c r="A1970" s="1" t="n">
        <v>2013</v>
      </c>
      <c r="B1970" s="1" t="n">
        <v>317</v>
      </c>
      <c r="C1970" s="1" t="n">
        <v>22</v>
      </c>
      <c r="D1970" s="1" t="s">
        <v>89</v>
      </c>
      <c r="E1970" s="1" t="n">
        <v>7</v>
      </c>
      <c r="F1970" s="1" t="n">
        <v>38.57</v>
      </c>
      <c r="G1970" s="1" t="n">
        <v>0.05</v>
      </c>
      <c r="H1970" s="1" t="s">
        <v>1336</v>
      </c>
      <c r="I1970" s="1" t="n">
        <v>256.49</v>
      </c>
      <c r="J1970" s="1" t="str">
        <f aca="false">VLOOKUP(B1970,Customers!$A$2:$G$502,6,FALSE())</f>
        <v>Small Business</v>
      </c>
      <c r="K1970" s="1" t="str">
        <f aca="false">VLOOKUP(C1970,Products!$A$2:$E$62,3,FALSE())</f>
        <v>Office Supplies</v>
      </c>
      <c r="L1970" s="1" t="str">
        <f aca="false">TEXT(D1970,"yyyy-mm")</f>
        <v>2023-02</v>
      </c>
    </row>
    <row r="1971" customFormat="false" ht="15" hidden="false" customHeight="true" outlineLevel="0" collapsed="false">
      <c r="A1971" s="1" t="n">
        <v>2014</v>
      </c>
      <c r="B1971" s="1" t="n">
        <v>361</v>
      </c>
      <c r="C1971" s="1" t="n">
        <v>13</v>
      </c>
      <c r="D1971" s="1" t="s">
        <v>470</v>
      </c>
      <c r="E1971" s="1" t="n">
        <v>7</v>
      </c>
      <c r="F1971" s="1" t="n">
        <v>352.54</v>
      </c>
      <c r="G1971" s="1" t="n">
        <v>0.05</v>
      </c>
      <c r="H1971" s="1" t="s">
        <v>1336</v>
      </c>
      <c r="I1971" s="1" t="n">
        <v>2344.39</v>
      </c>
      <c r="J1971" s="1" t="str">
        <f aca="false">VLOOKUP(B1971,Customers!$A$2:$G$502,6,FALSE())</f>
        <v>Small Business</v>
      </c>
      <c r="K1971" s="1" t="str">
        <f aca="false">VLOOKUP(C1971,Products!$A$2:$E$62,3,FALSE())</f>
        <v>Electronics</v>
      </c>
      <c r="L1971" s="1" t="str">
        <f aca="false">TEXT(D1971,"yyyy-mm")</f>
        <v>2023-05</v>
      </c>
    </row>
    <row r="1972" customFormat="false" ht="15" hidden="false" customHeight="true" outlineLevel="0" collapsed="false">
      <c r="A1972" s="1" t="n">
        <v>2015</v>
      </c>
      <c r="B1972" s="1" t="n">
        <v>346</v>
      </c>
      <c r="C1972" s="1" t="n">
        <v>24</v>
      </c>
      <c r="D1972" s="1" t="s">
        <v>1066</v>
      </c>
      <c r="E1972" s="1" t="n">
        <v>9</v>
      </c>
      <c r="F1972" s="1" t="n">
        <v>207.34</v>
      </c>
      <c r="G1972" s="1" t="n">
        <v>0</v>
      </c>
      <c r="H1972" s="1" t="s">
        <v>1346</v>
      </c>
      <c r="I1972" s="1" t="n">
        <v>1866.06</v>
      </c>
      <c r="J1972" s="1" t="str">
        <f aca="false">VLOOKUP(B1972,Customers!$A$2:$G$502,6,FALSE())</f>
        <v>Consumer</v>
      </c>
      <c r="K1972" s="1" t="str">
        <f aca="false">VLOOKUP(C1972,Products!$A$2:$E$62,3,FALSE())</f>
        <v>Office Supplies</v>
      </c>
      <c r="L1972" s="1" t="str">
        <f aca="false">TEXT(D1972,"yyyy-mm")</f>
        <v>2024-10</v>
      </c>
    </row>
    <row r="1973" customFormat="false" ht="15" hidden="false" customHeight="true" outlineLevel="0" collapsed="false">
      <c r="A1973" s="1" t="n">
        <v>2016</v>
      </c>
      <c r="B1973" s="1" t="n">
        <v>202</v>
      </c>
      <c r="C1973" s="1" t="n">
        <v>19</v>
      </c>
      <c r="D1973" s="1" t="s">
        <v>739</v>
      </c>
      <c r="E1973" s="1" t="n">
        <v>5</v>
      </c>
      <c r="F1973" s="1" t="n">
        <v>163.64</v>
      </c>
      <c r="G1973" s="1" t="n">
        <v>0.1</v>
      </c>
      <c r="H1973" s="1" t="s">
        <v>1336</v>
      </c>
      <c r="I1973" s="1" t="n">
        <v>736.38</v>
      </c>
      <c r="J1973" s="1" t="str">
        <f aca="false">VLOOKUP(B1973,Customers!$A$2:$G$502,6,FALSE())</f>
        <v>Corporate</v>
      </c>
      <c r="K1973" s="1" t="str">
        <f aca="false">VLOOKUP(C1973,Products!$A$2:$E$62,3,FALSE())</f>
        <v>Office Supplies</v>
      </c>
      <c r="L1973" s="1" t="str">
        <f aca="false">TEXT(D1973,"yyyy-mm")</f>
        <v>2024-11</v>
      </c>
    </row>
    <row r="1974" customFormat="false" ht="15" hidden="false" customHeight="true" outlineLevel="0" collapsed="false">
      <c r="A1974" s="1" t="n">
        <v>2017</v>
      </c>
      <c r="B1974" s="1" t="n">
        <v>460</v>
      </c>
      <c r="C1974" s="1" t="n">
        <v>38</v>
      </c>
      <c r="D1974" s="1" t="s">
        <v>673</v>
      </c>
      <c r="E1974" s="1" t="n">
        <v>8</v>
      </c>
      <c r="F1974" s="1" t="n">
        <v>521.63</v>
      </c>
      <c r="G1974" s="1" t="n">
        <v>0</v>
      </c>
      <c r="H1974" s="1" t="s">
        <v>1336</v>
      </c>
      <c r="I1974" s="1" t="n">
        <v>4173.04</v>
      </c>
      <c r="J1974" s="1" t="str">
        <f aca="false">VLOOKUP(B1974,Customers!$A$2:$G$502,6,FALSE())</f>
        <v>Corporate</v>
      </c>
      <c r="K1974" s="1" t="str">
        <f aca="false">VLOOKUP(C1974,Products!$A$2:$E$62,3,FALSE())</f>
        <v>Software</v>
      </c>
      <c r="L1974" s="1" t="str">
        <f aca="false">TEXT(D1974,"yyyy-mm")</f>
        <v>2023-05</v>
      </c>
    </row>
    <row r="1975" customFormat="false" ht="15" hidden="false" customHeight="true" outlineLevel="0" collapsed="false">
      <c r="A1975" s="1" t="n">
        <v>2018</v>
      </c>
      <c r="B1975" s="1" t="n">
        <v>24</v>
      </c>
      <c r="C1975" s="1" t="n">
        <v>33</v>
      </c>
      <c r="D1975" s="1" t="s">
        <v>1476</v>
      </c>
      <c r="E1975" s="1" t="n">
        <v>8</v>
      </c>
      <c r="F1975" s="1" t="n">
        <v>190.1</v>
      </c>
      <c r="G1975" s="1" t="n">
        <v>0.15</v>
      </c>
      <c r="H1975" s="1" t="s">
        <v>1370</v>
      </c>
      <c r="I1975" s="1" t="n">
        <v>1292.68</v>
      </c>
      <c r="J1975" s="1" t="str">
        <f aca="false">VLOOKUP(B1975,Customers!$A$2:$G$502,6,FALSE())</f>
        <v>Consumer</v>
      </c>
      <c r="K1975" s="1" t="str">
        <f aca="false">VLOOKUP(C1975,Products!$A$2:$E$62,3,FALSE())</f>
        <v>Office Supplies</v>
      </c>
      <c r="L1975" s="1" t="str">
        <f aca="false">TEXT(D1975,"yyyy-mm")</f>
        <v>2024-09</v>
      </c>
    </row>
    <row r="1976" customFormat="false" ht="15" hidden="false" customHeight="true" outlineLevel="0" collapsed="false">
      <c r="A1976" s="1" t="n">
        <v>2019</v>
      </c>
      <c r="B1976" s="1" t="n">
        <v>315</v>
      </c>
      <c r="C1976" s="1" t="n">
        <v>59</v>
      </c>
      <c r="D1976" s="1" t="s">
        <v>1352</v>
      </c>
      <c r="E1976" s="1" t="n">
        <v>1</v>
      </c>
      <c r="F1976" s="1" t="n">
        <v>438.89</v>
      </c>
      <c r="G1976" s="1" t="n">
        <v>0</v>
      </c>
      <c r="H1976" s="1" t="s">
        <v>1370</v>
      </c>
      <c r="I1976" s="1" t="n">
        <v>438.89</v>
      </c>
      <c r="J1976" s="1" t="str">
        <f aca="false">VLOOKUP(B1976,Customers!$A$2:$G$502,6,FALSE())</f>
        <v>Consumer</v>
      </c>
      <c r="K1976" s="1" t="str">
        <f aca="false">VLOOKUP(C1976,Products!$A$2:$E$62,3,FALSE())</f>
        <v>Furniture</v>
      </c>
      <c r="L1976" s="1" t="str">
        <f aca="false">TEXT(D1976,"yyyy-mm")</f>
        <v>2023-04</v>
      </c>
    </row>
    <row r="1977" customFormat="false" ht="15" hidden="false" customHeight="true" outlineLevel="0" collapsed="false">
      <c r="A1977" s="1" t="n">
        <v>2020</v>
      </c>
      <c r="B1977" s="1" t="n">
        <v>492</v>
      </c>
      <c r="C1977" s="1" t="n">
        <v>35</v>
      </c>
      <c r="D1977" s="1" t="s">
        <v>1047</v>
      </c>
      <c r="E1977" s="1" t="n">
        <v>5</v>
      </c>
      <c r="F1977" s="1" t="n">
        <v>75.78</v>
      </c>
      <c r="G1977" s="1" t="n">
        <v>0</v>
      </c>
      <c r="H1977" s="1" t="s">
        <v>1336</v>
      </c>
      <c r="I1977" s="1" t="n">
        <v>378.9</v>
      </c>
      <c r="J1977" s="1" t="str">
        <f aca="false">VLOOKUP(B1977,Customers!$A$2:$G$502,6,FALSE())</f>
        <v>Consumer</v>
      </c>
      <c r="K1977" s="1" t="str">
        <f aca="false">VLOOKUP(C1977,Products!$A$2:$E$62,3,FALSE())</f>
        <v>Software</v>
      </c>
      <c r="L1977" s="1" t="str">
        <f aca="false">TEXT(D1977,"yyyy-mm")</f>
        <v>2024-01</v>
      </c>
    </row>
    <row r="1978" customFormat="false" ht="15" hidden="false" customHeight="true" outlineLevel="0" collapsed="false">
      <c r="A1978" s="1" t="n">
        <v>2021</v>
      </c>
      <c r="B1978" s="1" t="n">
        <v>76</v>
      </c>
      <c r="C1978" s="1" t="n">
        <v>3</v>
      </c>
      <c r="D1978" s="1" t="s">
        <v>536</v>
      </c>
      <c r="E1978" s="1" t="n">
        <v>3</v>
      </c>
      <c r="F1978" s="1" t="n">
        <v>89.39</v>
      </c>
      <c r="G1978" s="1" t="n">
        <v>0.05</v>
      </c>
      <c r="H1978" s="1" t="s">
        <v>1336</v>
      </c>
      <c r="I1978" s="1" t="n">
        <v>254.76</v>
      </c>
      <c r="J1978" s="1" t="str">
        <f aca="false">VLOOKUP(B1978,Customers!$A$2:$G$502,6,FALSE())</f>
        <v>Consumer</v>
      </c>
      <c r="K1978" s="1" t="str">
        <f aca="false">VLOOKUP(C1978,Products!$A$2:$E$62,3,FALSE())</f>
        <v>Electronics</v>
      </c>
      <c r="L1978" s="1" t="str">
        <f aca="false">TEXT(D1978,"yyyy-mm")</f>
        <v>2024-01</v>
      </c>
    </row>
    <row r="1979" customFormat="false" ht="15" hidden="false" customHeight="true" outlineLevel="0" collapsed="false">
      <c r="A1979" s="1" t="n">
        <v>2022</v>
      </c>
      <c r="B1979" s="1" t="n">
        <v>296</v>
      </c>
      <c r="C1979" s="1" t="n">
        <v>1</v>
      </c>
      <c r="D1979" s="1" t="s">
        <v>1066</v>
      </c>
      <c r="E1979" s="1" t="n">
        <v>1</v>
      </c>
      <c r="F1979" s="1" t="n">
        <v>327.32</v>
      </c>
      <c r="G1979" s="1" t="n">
        <v>0</v>
      </c>
      <c r="H1979" s="1" t="s">
        <v>1336</v>
      </c>
      <c r="I1979" s="1" t="n">
        <v>327.32</v>
      </c>
      <c r="J1979" s="1" t="str">
        <f aca="false">VLOOKUP(B1979,Customers!$A$2:$G$502,6,FALSE())</f>
        <v>Corporate</v>
      </c>
      <c r="K1979" s="1" t="str">
        <f aca="false">VLOOKUP(C1979,Products!$A$2:$E$62,3,FALSE())</f>
        <v>Electronics</v>
      </c>
      <c r="L1979" s="1" t="str">
        <f aca="false">TEXT(D1979,"yyyy-mm")</f>
        <v>2024-10</v>
      </c>
    </row>
    <row r="1980" customFormat="false" ht="15" hidden="false" customHeight="true" outlineLevel="0" collapsed="false">
      <c r="A1980" s="1" t="n">
        <v>2023</v>
      </c>
      <c r="B1980" s="1" t="n">
        <v>31</v>
      </c>
      <c r="C1980" s="1" t="n">
        <v>5</v>
      </c>
      <c r="D1980" s="1" t="s">
        <v>828</v>
      </c>
      <c r="E1980" s="1" t="n">
        <v>4</v>
      </c>
      <c r="F1980" s="1" t="n">
        <v>439.06</v>
      </c>
      <c r="G1980" s="1" t="n">
        <v>0.05</v>
      </c>
      <c r="H1980" s="1" t="s">
        <v>1336</v>
      </c>
      <c r="I1980" s="1" t="n">
        <v>1668.43</v>
      </c>
      <c r="J1980" s="1" t="str">
        <f aca="false">VLOOKUP(B1980,Customers!$A$2:$G$502,6,FALSE())</f>
        <v>Consumer</v>
      </c>
      <c r="K1980" s="1" t="str">
        <f aca="false">VLOOKUP(C1980,Products!$A$2:$E$62,3,FALSE())</f>
        <v>Electronics</v>
      </c>
      <c r="L1980" s="1" t="str">
        <f aca="false">TEXT(D1980,"yyyy-mm")</f>
        <v>2024-07</v>
      </c>
    </row>
    <row r="1981" customFormat="false" ht="15" hidden="false" customHeight="true" outlineLevel="0" collapsed="false">
      <c r="A1981" s="1" t="n">
        <v>2024</v>
      </c>
      <c r="B1981" s="1" t="n">
        <v>124</v>
      </c>
      <c r="C1981" s="1" t="n">
        <v>31</v>
      </c>
      <c r="D1981" s="1" t="s">
        <v>71</v>
      </c>
      <c r="E1981" s="1" t="n">
        <v>8</v>
      </c>
      <c r="F1981" s="1" t="n">
        <v>224.86</v>
      </c>
      <c r="G1981" s="1" t="n">
        <v>0</v>
      </c>
      <c r="H1981" s="1" t="s">
        <v>1336</v>
      </c>
      <c r="I1981" s="1" t="n">
        <v>1798.88</v>
      </c>
      <c r="J1981" s="1" t="str">
        <f aca="false">VLOOKUP(B1981,Customers!$A$2:$G$502,6,FALSE())</f>
        <v>Small Business</v>
      </c>
      <c r="K1981" s="1" t="str">
        <f aca="false">VLOOKUP(C1981,Products!$A$2:$E$62,3,FALSE())</f>
        <v>Office Supplies</v>
      </c>
      <c r="L1981" s="1" t="str">
        <f aca="false">TEXT(D1981,"yyyy-mm")</f>
        <v>2024-05</v>
      </c>
    </row>
    <row r="1982" customFormat="false" ht="15" hidden="false" customHeight="true" outlineLevel="0" collapsed="false">
      <c r="A1982" s="1" t="n">
        <v>2025</v>
      </c>
      <c r="B1982" s="1" t="n">
        <v>100</v>
      </c>
      <c r="C1982" s="1" t="n">
        <v>37</v>
      </c>
      <c r="D1982" s="1" t="s">
        <v>1521</v>
      </c>
      <c r="E1982" s="1" t="n">
        <v>3</v>
      </c>
      <c r="F1982" s="1" t="n">
        <v>13.95</v>
      </c>
      <c r="G1982" s="1" t="n">
        <v>0</v>
      </c>
      <c r="H1982" s="1" t="s">
        <v>1336</v>
      </c>
      <c r="I1982" s="1" t="n">
        <v>41.85</v>
      </c>
      <c r="J1982" s="1" t="str">
        <f aca="false">VLOOKUP(B1982,Customers!$A$2:$G$502,6,FALSE())</f>
        <v>Consumer</v>
      </c>
      <c r="K1982" s="1" t="str">
        <f aca="false">VLOOKUP(C1982,Products!$A$2:$E$62,3,FALSE())</f>
        <v>Software</v>
      </c>
      <c r="L1982" s="1" t="str">
        <f aca="false">TEXT(D1982,"yyyy-mm")</f>
        <v>2023-10</v>
      </c>
    </row>
    <row r="1983" customFormat="false" ht="15" hidden="false" customHeight="true" outlineLevel="0" collapsed="false">
      <c r="A1983" s="1" t="n">
        <v>2026</v>
      </c>
      <c r="B1983" s="1" t="n">
        <v>2</v>
      </c>
      <c r="C1983" s="1" t="n">
        <v>26</v>
      </c>
      <c r="D1983" s="1" t="s">
        <v>1147</v>
      </c>
      <c r="E1983" s="1" t="n">
        <v>2</v>
      </c>
      <c r="F1983" s="1" t="n">
        <v>733.85</v>
      </c>
      <c r="G1983" s="1" t="n">
        <v>0.05</v>
      </c>
      <c r="H1983" s="1" t="s">
        <v>1336</v>
      </c>
      <c r="I1983" s="1" t="n">
        <v>1394.32</v>
      </c>
      <c r="J1983" s="1" t="str">
        <f aca="false">VLOOKUP(B1983,Customers!$A$2:$G$502,6,FALSE())</f>
        <v>Small Business</v>
      </c>
      <c r="K1983" s="1" t="str">
        <f aca="false">VLOOKUP(C1983,Products!$A$2:$E$62,3,FALSE())</f>
        <v>Office Supplies</v>
      </c>
      <c r="L1983" s="1" t="str">
        <f aca="false">TEXT(D1983,"yyyy-mm")</f>
        <v>2024-05</v>
      </c>
    </row>
    <row r="1984" customFormat="false" ht="15" hidden="false" customHeight="true" outlineLevel="0" collapsed="false">
      <c r="A1984" s="1" t="n">
        <v>2027</v>
      </c>
      <c r="B1984" s="1" t="n">
        <v>112</v>
      </c>
      <c r="C1984" s="1" t="n">
        <v>11</v>
      </c>
      <c r="D1984" s="1" t="s">
        <v>1602</v>
      </c>
      <c r="E1984" s="1" t="n">
        <v>9</v>
      </c>
      <c r="F1984" s="1" t="n">
        <v>328.39</v>
      </c>
      <c r="G1984" s="1" t="n">
        <v>0</v>
      </c>
      <c r="H1984" s="1" t="s">
        <v>1336</v>
      </c>
      <c r="I1984" s="1" t="n">
        <v>2955.51</v>
      </c>
      <c r="J1984" s="1" t="str">
        <f aca="false">VLOOKUP(B1984,Customers!$A$2:$G$502,6,FALSE())</f>
        <v>Corporate</v>
      </c>
      <c r="K1984" s="1" t="str">
        <f aca="false">VLOOKUP(C1984,Products!$A$2:$E$62,3,FALSE())</f>
        <v>Electronics</v>
      </c>
      <c r="L1984" s="1" t="str">
        <f aca="false">TEXT(D1984,"yyyy-mm")</f>
        <v>2024-10</v>
      </c>
    </row>
    <row r="1985" customFormat="false" ht="15" hidden="false" customHeight="true" outlineLevel="0" collapsed="false">
      <c r="A1985" s="1" t="n">
        <v>2028</v>
      </c>
      <c r="B1985" s="1" t="n">
        <v>131</v>
      </c>
      <c r="C1985" s="1" t="n">
        <v>9</v>
      </c>
      <c r="D1985" s="1" t="s">
        <v>1510</v>
      </c>
      <c r="E1985" s="1" t="n">
        <v>5</v>
      </c>
      <c r="F1985" s="1" t="n">
        <v>203.1</v>
      </c>
      <c r="G1985" s="1" t="n">
        <v>0</v>
      </c>
      <c r="H1985" s="1" t="s">
        <v>1336</v>
      </c>
      <c r="I1985" s="1" t="n">
        <v>1015.5</v>
      </c>
      <c r="J1985" s="1" t="str">
        <f aca="false">VLOOKUP(B1985,Customers!$A$2:$G$502,6,FALSE())</f>
        <v>Corporate</v>
      </c>
      <c r="K1985" s="1" t="str">
        <f aca="false">VLOOKUP(C1985,Products!$A$2:$E$62,3,FALSE())</f>
        <v>Electronics</v>
      </c>
      <c r="L1985" s="1" t="str">
        <f aca="false">TEXT(D1985,"yyyy-mm")</f>
        <v>2024-02</v>
      </c>
    </row>
    <row r="1986" customFormat="false" ht="15" hidden="false" customHeight="true" outlineLevel="0" collapsed="false">
      <c r="A1986" s="1" t="n">
        <v>2029</v>
      </c>
      <c r="B1986" s="1" t="n">
        <v>322</v>
      </c>
      <c r="C1986" s="1" t="n">
        <v>12</v>
      </c>
      <c r="D1986" s="1" t="s">
        <v>277</v>
      </c>
      <c r="E1986" s="1" t="n">
        <v>7</v>
      </c>
      <c r="F1986" s="1" t="n">
        <v>179.23</v>
      </c>
      <c r="G1986" s="1" t="n">
        <v>0.1</v>
      </c>
      <c r="H1986" s="1" t="s">
        <v>1336</v>
      </c>
      <c r="I1986" s="1" t="n">
        <v>1129.15</v>
      </c>
      <c r="J1986" s="1" t="str">
        <f aca="false">VLOOKUP(B1986,Customers!$A$2:$G$502,6,FALSE())</f>
        <v>Consumer</v>
      </c>
      <c r="K1986" s="1" t="str">
        <f aca="false">VLOOKUP(C1986,Products!$A$2:$E$62,3,FALSE())</f>
        <v>Electronics</v>
      </c>
      <c r="L1986" s="1" t="str">
        <f aca="false">TEXT(D1986,"yyyy-mm")</f>
        <v>2024-11</v>
      </c>
    </row>
    <row r="1987" customFormat="false" ht="15" hidden="false" customHeight="true" outlineLevel="0" collapsed="false">
      <c r="A1987" s="1" t="n">
        <v>2030</v>
      </c>
      <c r="B1987" s="1" t="n">
        <v>439</v>
      </c>
      <c r="C1987" s="1" t="n">
        <v>7</v>
      </c>
      <c r="D1987" s="1" t="s">
        <v>167</v>
      </c>
      <c r="E1987" s="1" t="n">
        <v>2</v>
      </c>
      <c r="F1987" s="1" t="n">
        <v>460</v>
      </c>
      <c r="G1987" s="1" t="n">
        <v>0</v>
      </c>
      <c r="H1987" s="1" t="s">
        <v>1336</v>
      </c>
      <c r="I1987" s="1" t="n">
        <v>920</v>
      </c>
      <c r="J1987" s="1" t="str">
        <f aca="false">VLOOKUP(B1987,Customers!$A$2:$G$502,6,FALSE())</f>
        <v>Corporate</v>
      </c>
      <c r="K1987" s="1" t="str">
        <f aca="false">VLOOKUP(C1987,Products!$A$2:$E$62,3,FALSE())</f>
        <v>Electronics</v>
      </c>
      <c r="L1987" s="1" t="str">
        <f aca="false">TEXT(D1987,"yyyy-mm")</f>
        <v>2023-03</v>
      </c>
    </row>
    <row r="1988" customFormat="false" ht="15" hidden="false" customHeight="true" outlineLevel="0" collapsed="false">
      <c r="A1988" s="1" t="n">
        <v>2031</v>
      </c>
      <c r="B1988" s="1" t="n">
        <v>216</v>
      </c>
      <c r="C1988" s="1" t="n">
        <v>54</v>
      </c>
      <c r="D1988" s="1" t="s">
        <v>739</v>
      </c>
      <c r="E1988" s="1" t="n">
        <v>9</v>
      </c>
      <c r="F1988" s="1" t="n">
        <v>312.01</v>
      </c>
      <c r="G1988" s="1" t="n">
        <v>0</v>
      </c>
      <c r="H1988" s="1" t="s">
        <v>1336</v>
      </c>
      <c r="I1988" s="1" t="n">
        <v>2808.09</v>
      </c>
      <c r="J1988" s="1" t="str">
        <f aca="false">VLOOKUP(B1988,Customers!$A$2:$G$502,6,FALSE())</f>
        <v>Consumer</v>
      </c>
      <c r="K1988" s="1" t="str">
        <f aca="false">VLOOKUP(C1988,Products!$A$2:$E$62,3,FALSE())</f>
        <v>Software</v>
      </c>
      <c r="L1988" s="1" t="str">
        <f aca="false">TEXT(D1988,"yyyy-mm")</f>
        <v>2024-11</v>
      </c>
    </row>
    <row r="1989" customFormat="false" ht="15" hidden="false" customHeight="true" outlineLevel="0" collapsed="false">
      <c r="A1989" s="1" t="n">
        <v>2032</v>
      </c>
      <c r="B1989" s="1" t="n">
        <v>468</v>
      </c>
      <c r="C1989" s="1" t="n">
        <v>27</v>
      </c>
      <c r="D1989" s="1" t="s">
        <v>789</v>
      </c>
      <c r="E1989" s="1" t="n">
        <v>9</v>
      </c>
      <c r="F1989" s="1" t="n">
        <v>772.58</v>
      </c>
      <c r="G1989" s="1" t="n">
        <v>0</v>
      </c>
      <c r="H1989" s="1" t="s">
        <v>1336</v>
      </c>
      <c r="I1989" s="1" t="n">
        <v>6953.22</v>
      </c>
      <c r="J1989" s="1" t="str">
        <f aca="false">VLOOKUP(B1989,Customers!$A$2:$G$502,6,FALSE())</f>
        <v>Small Business</v>
      </c>
      <c r="K1989" s="1" t="str">
        <f aca="false">VLOOKUP(C1989,Products!$A$2:$E$62,3,FALSE())</f>
        <v>Office Supplies</v>
      </c>
      <c r="L1989" s="1" t="str">
        <f aca="false">TEXT(D1989,"yyyy-mm")</f>
        <v>2024-06</v>
      </c>
    </row>
    <row r="1990" customFormat="false" ht="15" hidden="false" customHeight="true" outlineLevel="0" collapsed="false">
      <c r="A1990" s="1" t="n">
        <v>2033</v>
      </c>
      <c r="B1990" s="1" t="n">
        <v>202</v>
      </c>
      <c r="C1990" s="1" t="n">
        <v>29</v>
      </c>
      <c r="D1990" s="1" t="s">
        <v>822</v>
      </c>
      <c r="E1990" s="1" t="n">
        <v>4</v>
      </c>
      <c r="F1990" s="1" t="n">
        <v>54.62</v>
      </c>
      <c r="G1990" s="1" t="n">
        <v>0.2</v>
      </c>
      <c r="H1990" s="1" t="s">
        <v>1336</v>
      </c>
      <c r="I1990" s="1" t="n">
        <v>174.78</v>
      </c>
      <c r="J1990" s="1" t="str">
        <f aca="false">VLOOKUP(B1990,Customers!$A$2:$G$502,6,FALSE())</f>
        <v>Corporate</v>
      </c>
      <c r="K1990" s="1" t="str">
        <f aca="false">VLOOKUP(C1990,Products!$A$2:$E$62,3,FALSE())</f>
        <v>Office Supplies</v>
      </c>
      <c r="L1990" s="1" t="str">
        <f aca="false">TEXT(D1990,"yyyy-mm")</f>
        <v>2023-08</v>
      </c>
    </row>
    <row r="1991" customFormat="false" ht="15" hidden="false" customHeight="true" outlineLevel="0" collapsed="false">
      <c r="A1991" s="1" t="n">
        <v>2034</v>
      </c>
      <c r="B1991" s="1" t="n">
        <v>491</v>
      </c>
      <c r="C1991" s="1" t="n">
        <v>60</v>
      </c>
      <c r="D1991" s="1" t="s">
        <v>1620</v>
      </c>
      <c r="E1991" s="1" t="n">
        <v>4</v>
      </c>
      <c r="F1991" s="1" t="n">
        <v>584.98</v>
      </c>
      <c r="G1991" s="1" t="n">
        <v>0</v>
      </c>
      <c r="H1991" s="1" t="s">
        <v>1336</v>
      </c>
      <c r="I1991" s="1" t="n">
        <v>2339.92</v>
      </c>
      <c r="J1991" s="1" t="str">
        <f aca="false">VLOOKUP(B1991,Customers!$A$2:$G$502,6,FALSE())</f>
        <v>Small Business</v>
      </c>
      <c r="K1991" s="1" t="str">
        <f aca="false">VLOOKUP(C1991,Products!$A$2:$E$62,3,FALSE())</f>
        <v>Furniture</v>
      </c>
      <c r="L1991" s="1" t="str">
        <f aca="false">TEXT(D1991,"yyyy-mm")</f>
        <v>2024-04</v>
      </c>
    </row>
    <row r="1992" customFormat="false" ht="15" hidden="false" customHeight="true" outlineLevel="0" collapsed="false">
      <c r="A1992" s="1" t="n">
        <v>2035</v>
      </c>
      <c r="B1992" s="1" t="n">
        <v>231</v>
      </c>
      <c r="C1992" s="1" t="n">
        <v>21</v>
      </c>
      <c r="D1992" s="1" t="s">
        <v>732</v>
      </c>
      <c r="E1992" s="1" t="n">
        <v>6</v>
      </c>
      <c r="F1992" s="1" t="n">
        <v>84.91</v>
      </c>
      <c r="G1992" s="1" t="n">
        <v>0.2</v>
      </c>
      <c r="H1992" s="1" t="s">
        <v>1336</v>
      </c>
      <c r="I1992" s="1" t="n">
        <v>407.57</v>
      </c>
      <c r="J1992" s="1" t="str">
        <f aca="false">VLOOKUP(B1992,Customers!$A$2:$G$502,6,FALSE())</f>
        <v>Consumer</v>
      </c>
      <c r="K1992" s="1" t="str">
        <f aca="false">VLOOKUP(C1992,Products!$A$2:$E$62,3,FALSE())</f>
        <v>Office Supplies</v>
      </c>
      <c r="L1992" s="1" t="str">
        <f aca="false">TEXT(D1992,"yyyy-mm")</f>
        <v>2024-08</v>
      </c>
    </row>
    <row r="1993" customFormat="false" ht="15" hidden="false" customHeight="true" outlineLevel="0" collapsed="false">
      <c r="A1993" s="1" t="n">
        <v>2036</v>
      </c>
      <c r="B1993" s="1" t="n">
        <v>160</v>
      </c>
      <c r="C1993" s="1" t="n">
        <v>11</v>
      </c>
      <c r="D1993" s="1" t="s">
        <v>1629</v>
      </c>
      <c r="E1993" s="1" t="n">
        <v>6</v>
      </c>
      <c r="F1993" s="1" t="n">
        <v>328.39</v>
      </c>
      <c r="G1993" s="1" t="n">
        <v>0</v>
      </c>
      <c r="H1993" s="1" t="s">
        <v>1336</v>
      </c>
      <c r="I1993" s="1" t="n">
        <v>1970.34</v>
      </c>
      <c r="J1993" s="1" t="str">
        <f aca="false">VLOOKUP(B1993,Customers!$A$2:$G$502,6,FALSE())</f>
        <v>Consumer</v>
      </c>
      <c r="K1993" s="1" t="str">
        <f aca="false">VLOOKUP(C1993,Products!$A$2:$E$62,3,FALSE())</f>
        <v>Electronics</v>
      </c>
      <c r="L1993" s="1" t="str">
        <f aca="false">TEXT(D1993,"yyyy-mm")</f>
        <v>2024-02</v>
      </c>
    </row>
    <row r="1994" customFormat="false" ht="15" hidden="false" customHeight="true" outlineLevel="0" collapsed="false">
      <c r="A1994" s="1" t="n">
        <v>2037</v>
      </c>
      <c r="B1994" s="1" t="n">
        <v>92</v>
      </c>
      <c r="C1994" s="1" t="n">
        <v>52</v>
      </c>
      <c r="D1994" s="1" t="s">
        <v>586</v>
      </c>
      <c r="E1994" s="1" t="n">
        <v>1</v>
      </c>
      <c r="F1994" s="1" t="n">
        <v>207.67</v>
      </c>
      <c r="G1994" s="1" t="n">
        <v>0.15</v>
      </c>
      <c r="H1994" s="1" t="s">
        <v>1336</v>
      </c>
      <c r="I1994" s="1" t="n">
        <v>176.52</v>
      </c>
      <c r="J1994" s="1" t="str">
        <f aca="false">VLOOKUP(B1994,Customers!$A$2:$G$502,6,FALSE())</f>
        <v>Corporate</v>
      </c>
      <c r="K1994" s="1" t="str">
        <f aca="false">VLOOKUP(C1994,Products!$A$2:$E$62,3,FALSE())</f>
        <v>Software</v>
      </c>
      <c r="L1994" s="1" t="str">
        <f aca="false">TEXT(D1994,"yyyy-mm")</f>
        <v>2023-01</v>
      </c>
    </row>
    <row r="1995" customFormat="false" ht="15" hidden="false" customHeight="true" outlineLevel="0" collapsed="false">
      <c r="A1995" s="1" t="n">
        <v>2038</v>
      </c>
      <c r="B1995" s="1" t="n">
        <v>237</v>
      </c>
      <c r="C1995" s="1" t="n">
        <v>30</v>
      </c>
      <c r="D1995" s="1" t="s">
        <v>1434</v>
      </c>
      <c r="E1995" s="1" t="n">
        <v>9</v>
      </c>
      <c r="F1995" s="1" t="n">
        <v>33.32</v>
      </c>
      <c r="G1995" s="1" t="n">
        <v>0.15</v>
      </c>
      <c r="H1995" s="1" t="s">
        <v>1336</v>
      </c>
      <c r="I1995" s="1" t="n">
        <v>254.9</v>
      </c>
      <c r="J1995" s="1" t="str">
        <f aca="false">VLOOKUP(B1995,Customers!$A$2:$G$502,6,FALSE())</f>
        <v>Consumer</v>
      </c>
      <c r="K1995" s="1" t="str">
        <f aca="false">VLOOKUP(C1995,Products!$A$2:$E$62,3,FALSE())</f>
        <v>Office Supplies</v>
      </c>
      <c r="L1995" s="1" t="str">
        <f aca="false">TEXT(D1995,"yyyy-mm")</f>
        <v>2023-01</v>
      </c>
    </row>
    <row r="1996" customFormat="false" ht="15" hidden="false" customHeight="true" outlineLevel="0" collapsed="false">
      <c r="A1996" s="1" t="n">
        <v>2039</v>
      </c>
      <c r="B1996" s="1" t="n">
        <v>177</v>
      </c>
      <c r="C1996" s="1" t="n">
        <v>54</v>
      </c>
      <c r="D1996" s="1" t="s">
        <v>73</v>
      </c>
      <c r="E1996" s="1" t="n">
        <v>2</v>
      </c>
      <c r="F1996" s="1" t="n">
        <v>312.01</v>
      </c>
      <c r="G1996" s="1" t="n">
        <v>0</v>
      </c>
      <c r="H1996" s="1" t="s">
        <v>1336</v>
      </c>
      <c r="I1996" s="1" t="n">
        <v>624.02</v>
      </c>
      <c r="J1996" s="1" t="str">
        <f aca="false">VLOOKUP(B1996,Customers!$A$2:$G$502,6,FALSE())</f>
        <v>Corporate</v>
      </c>
      <c r="K1996" s="1" t="str">
        <f aca="false">VLOOKUP(C1996,Products!$A$2:$E$62,3,FALSE())</f>
        <v>Software</v>
      </c>
      <c r="L1996" s="1" t="str">
        <f aca="false">TEXT(D1996,"yyyy-mm")</f>
        <v>2023-06</v>
      </c>
    </row>
    <row r="1997" customFormat="false" ht="15" hidden="false" customHeight="true" outlineLevel="0" collapsed="false">
      <c r="A1997" s="1" t="n">
        <v>2040</v>
      </c>
      <c r="B1997" s="1" t="n">
        <v>491</v>
      </c>
      <c r="C1997" s="1" t="n">
        <v>11</v>
      </c>
      <c r="D1997" s="1" t="s">
        <v>1677</v>
      </c>
      <c r="E1997" s="1" t="n">
        <v>5</v>
      </c>
      <c r="F1997" s="1" t="n">
        <v>328.39</v>
      </c>
      <c r="G1997" s="1" t="n">
        <v>0.15</v>
      </c>
      <c r="H1997" s="1" t="s">
        <v>1336</v>
      </c>
      <c r="I1997" s="1" t="n">
        <v>1395.66</v>
      </c>
      <c r="J1997" s="1" t="str">
        <f aca="false">VLOOKUP(B1997,Customers!$A$2:$G$502,6,FALSE())</f>
        <v>Small Business</v>
      </c>
      <c r="K1997" s="1" t="str">
        <f aca="false">VLOOKUP(C1997,Products!$A$2:$E$62,3,FALSE())</f>
        <v>Electronics</v>
      </c>
      <c r="L1997" s="1" t="str">
        <f aca="false">TEXT(D1997,"yyyy-mm")</f>
        <v>2023-04</v>
      </c>
    </row>
    <row r="1998" customFormat="false" ht="15" hidden="false" customHeight="true" outlineLevel="0" collapsed="false">
      <c r="A1998" s="1" t="n">
        <v>2041</v>
      </c>
      <c r="B1998" s="1" t="n">
        <v>467</v>
      </c>
      <c r="C1998" s="1" t="n">
        <v>34</v>
      </c>
      <c r="D1998" s="1" t="s">
        <v>1438</v>
      </c>
      <c r="E1998" s="1" t="n">
        <v>9</v>
      </c>
      <c r="F1998" s="1" t="n">
        <v>116.85</v>
      </c>
      <c r="G1998" s="1" t="n">
        <v>0</v>
      </c>
      <c r="H1998" s="1" t="s">
        <v>1336</v>
      </c>
      <c r="I1998" s="1" t="n">
        <v>1051.65</v>
      </c>
      <c r="J1998" s="1" t="str">
        <f aca="false">VLOOKUP(B1998,Customers!$A$2:$G$502,6,FALSE())</f>
        <v>Corporate</v>
      </c>
      <c r="K1998" s="1" t="str">
        <f aca="false">VLOOKUP(C1998,Products!$A$2:$E$62,3,FALSE())</f>
        <v>Office Supplies</v>
      </c>
      <c r="L1998" s="1" t="str">
        <f aca="false">TEXT(D1998,"yyyy-mm")</f>
        <v>2023-05</v>
      </c>
    </row>
    <row r="1999" customFormat="false" ht="15" hidden="false" customHeight="true" outlineLevel="0" collapsed="false">
      <c r="A1999" s="1" t="n">
        <v>2042</v>
      </c>
      <c r="B1999" s="1" t="n">
        <v>49</v>
      </c>
      <c r="C1999" s="1" t="n">
        <v>28</v>
      </c>
      <c r="D1999" s="1" t="s">
        <v>913</v>
      </c>
      <c r="E1999" s="1" t="n">
        <v>4</v>
      </c>
      <c r="F1999" s="1" t="n">
        <v>505.23</v>
      </c>
      <c r="G1999" s="1" t="n">
        <v>0.2</v>
      </c>
      <c r="H1999" s="1" t="s">
        <v>1336</v>
      </c>
      <c r="I1999" s="1" t="n">
        <v>1616.74</v>
      </c>
      <c r="J1999" s="1" t="str">
        <f aca="false">VLOOKUP(B1999,Customers!$A$2:$G$502,6,FALSE())</f>
        <v>Corporate</v>
      </c>
      <c r="K1999" s="1" t="str">
        <f aca="false">VLOOKUP(C1999,Products!$A$2:$E$62,3,FALSE())</f>
        <v>Office Supplies</v>
      </c>
      <c r="L1999" s="1" t="str">
        <f aca="false">TEXT(D1999,"yyyy-mm")</f>
        <v>2023-04</v>
      </c>
    </row>
    <row r="2000" customFormat="false" ht="15" hidden="false" customHeight="true" outlineLevel="0" collapsed="false">
      <c r="A2000" s="1" t="n">
        <v>2043</v>
      </c>
      <c r="B2000" s="1" t="n">
        <v>282</v>
      </c>
      <c r="C2000" s="1" t="n">
        <v>6</v>
      </c>
      <c r="D2000" s="1" t="s">
        <v>1588</v>
      </c>
      <c r="E2000" s="1" t="n">
        <v>3</v>
      </c>
      <c r="F2000" s="1" t="n">
        <v>28.51</v>
      </c>
      <c r="G2000" s="1" t="n">
        <v>0</v>
      </c>
      <c r="H2000" s="1" t="s">
        <v>1336</v>
      </c>
      <c r="I2000" s="1" t="n">
        <v>85.53</v>
      </c>
      <c r="J2000" s="1" t="str">
        <f aca="false">VLOOKUP(B2000,Customers!$A$2:$G$502,6,FALSE())</f>
        <v>Corporate</v>
      </c>
      <c r="K2000" s="1" t="str">
        <f aca="false">VLOOKUP(C2000,Products!$A$2:$E$62,3,FALSE())</f>
        <v>Electronics</v>
      </c>
      <c r="L2000" s="1" t="str">
        <f aca="false">TEXT(D2000,"yyyy-mm")</f>
        <v>2024-08</v>
      </c>
    </row>
    <row r="2001" customFormat="false" ht="15" hidden="false" customHeight="true" outlineLevel="0" collapsed="false">
      <c r="A2001" s="1" t="n">
        <v>2044</v>
      </c>
      <c r="B2001" s="1" t="n">
        <v>354</v>
      </c>
      <c r="C2001" s="1" t="n">
        <v>7</v>
      </c>
      <c r="D2001" s="1" t="s">
        <v>1678</v>
      </c>
      <c r="E2001" s="1" t="n">
        <v>7</v>
      </c>
      <c r="F2001" s="1" t="n">
        <v>460</v>
      </c>
      <c r="G2001" s="1" t="n">
        <v>0.1</v>
      </c>
      <c r="H2001" s="1" t="s">
        <v>1336</v>
      </c>
      <c r="I2001" s="1" t="n">
        <v>2898</v>
      </c>
      <c r="J2001" s="1" t="str">
        <f aca="false">VLOOKUP(B2001,Customers!$A$2:$G$502,6,FALSE())</f>
        <v>Consumer</v>
      </c>
      <c r="K2001" s="1" t="str">
        <f aca="false">VLOOKUP(C2001,Products!$A$2:$E$62,3,FALSE())</f>
        <v>Electronics</v>
      </c>
      <c r="L2001" s="1" t="str">
        <f aca="false">TEXT(D2001,"yyyy-mm")</f>
        <v>2024-01</v>
      </c>
    </row>
    <row r="2002" customFormat="false" ht="15" hidden="false" customHeight="true" outlineLevel="0" collapsed="false">
      <c r="A2002" s="1" t="n">
        <v>2045</v>
      </c>
      <c r="B2002" s="1" t="n">
        <v>470</v>
      </c>
      <c r="C2002" s="1" t="n">
        <v>16</v>
      </c>
      <c r="D2002" s="1" t="s">
        <v>623</v>
      </c>
      <c r="E2002" s="1" t="n">
        <v>6</v>
      </c>
      <c r="F2002" s="1" t="n">
        <v>330.91</v>
      </c>
      <c r="G2002" s="1" t="n">
        <v>0.1</v>
      </c>
      <c r="H2002" s="1" t="s">
        <v>1336</v>
      </c>
      <c r="I2002" s="1" t="n">
        <v>1786.91</v>
      </c>
      <c r="J2002" s="1" t="str">
        <f aca="false">VLOOKUP(B2002,Customers!$A$2:$G$502,6,FALSE())</f>
        <v>Corporate</v>
      </c>
      <c r="K2002" s="1" t="str">
        <f aca="false">VLOOKUP(C2002,Products!$A$2:$E$62,3,FALSE())</f>
        <v>Electronics</v>
      </c>
      <c r="L2002" s="1" t="str">
        <f aca="false">TEXT(D2002,"yyyy-mm")</f>
        <v>2024-05</v>
      </c>
    </row>
    <row r="2003" customFormat="false" ht="15" hidden="false" customHeight="true" outlineLevel="0" collapsed="false">
      <c r="A2003" s="1" t="n">
        <v>2046</v>
      </c>
      <c r="B2003" s="1" t="n">
        <v>193</v>
      </c>
      <c r="C2003" s="1" t="n">
        <v>39</v>
      </c>
      <c r="D2003" s="1" t="s">
        <v>368</v>
      </c>
      <c r="E2003" s="1" t="n">
        <v>8</v>
      </c>
      <c r="F2003" s="1" t="n">
        <v>400.02</v>
      </c>
      <c r="G2003" s="1" t="n">
        <v>0.1</v>
      </c>
      <c r="H2003" s="1" t="s">
        <v>1346</v>
      </c>
      <c r="I2003" s="1" t="n">
        <v>2880.14</v>
      </c>
      <c r="J2003" s="1" t="str">
        <f aca="false">VLOOKUP(B2003,Customers!$A$2:$G$502,6,FALSE())</f>
        <v>Consumer</v>
      </c>
      <c r="K2003" s="1" t="str">
        <f aca="false">VLOOKUP(C2003,Products!$A$2:$E$62,3,FALSE())</f>
        <v>Software</v>
      </c>
      <c r="L2003" s="1" t="str">
        <f aca="false">TEXT(D2003,"yyyy-mm")</f>
        <v>2023-06</v>
      </c>
    </row>
    <row r="2004" customFormat="false" ht="15" hidden="false" customHeight="true" outlineLevel="0" collapsed="false">
      <c r="A2004" s="1" t="n">
        <v>2047</v>
      </c>
      <c r="B2004" s="1" t="n">
        <v>170</v>
      </c>
      <c r="C2004" s="1" t="n">
        <v>57</v>
      </c>
      <c r="D2004" s="1" t="s">
        <v>1679</v>
      </c>
      <c r="E2004" s="1" t="n">
        <v>3</v>
      </c>
      <c r="F2004" s="1" t="n">
        <v>719.76</v>
      </c>
      <c r="G2004" s="1" t="n">
        <v>0.2</v>
      </c>
      <c r="H2004" s="1" t="s">
        <v>1336</v>
      </c>
      <c r="I2004" s="1" t="n">
        <v>1727.42</v>
      </c>
      <c r="J2004" s="1" t="str">
        <f aca="false">VLOOKUP(B2004,Customers!$A$2:$G$502,6,FALSE())</f>
        <v>Small Business</v>
      </c>
      <c r="K2004" s="1" t="str">
        <f aca="false">VLOOKUP(C2004,Products!$A$2:$E$62,3,FALSE())</f>
        <v>Furniture</v>
      </c>
      <c r="L2004" s="1" t="str">
        <f aca="false">TEXT(D2004,"yyyy-mm")</f>
        <v>2023-11</v>
      </c>
    </row>
    <row r="2005" customFormat="false" ht="15" hidden="false" customHeight="true" outlineLevel="0" collapsed="false">
      <c r="A2005" s="1" t="n">
        <v>2048</v>
      </c>
      <c r="B2005" s="1" t="n">
        <v>387</v>
      </c>
      <c r="C2005" s="1" t="n">
        <v>31</v>
      </c>
      <c r="D2005" s="1" t="s">
        <v>148</v>
      </c>
      <c r="E2005" s="1" t="n">
        <v>5</v>
      </c>
      <c r="F2005" s="1" t="n">
        <v>224.86</v>
      </c>
      <c r="G2005" s="1" t="n">
        <v>0</v>
      </c>
      <c r="H2005" s="1" t="s">
        <v>1336</v>
      </c>
      <c r="I2005" s="1" t="n">
        <v>1124.3</v>
      </c>
      <c r="J2005" s="1" t="str">
        <f aca="false">VLOOKUP(B2005,Customers!$A$2:$G$502,6,FALSE())</f>
        <v>Corporate</v>
      </c>
      <c r="K2005" s="1" t="str">
        <f aca="false">VLOOKUP(C2005,Products!$A$2:$E$62,3,FALSE())</f>
        <v>Office Supplies</v>
      </c>
      <c r="L2005" s="1" t="str">
        <f aca="false">TEXT(D2005,"yyyy-mm")</f>
        <v>2023-06</v>
      </c>
    </row>
    <row r="2006" customFormat="false" ht="15" hidden="false" customHeight="true" outlineLevel="0" collapsed="false">
      <c r="A2006" s="1" t="n">
        <v>2049</v>
      </c>
      <c r="B2006" s="1" t="n">
        <v>321</v>
      </c>
      <c r="C2006" s="1" t="n">
        <v>60</v>
      </c>
      <c r="D2006" s="1" t="s">
        <v>1537</v>
      </c>
      <c r="E2006" s="1" t="n">
        <v>4</v>
      </c>
      <c r="F2006" s="1" t="n">
        <v>584.98</v>
      </c>
      <c r="G2006" s="1" t="n">
        <v>0</v>
      </c>
      <c r="H2006" s="1" t="s">
        <v>1336</v>
      </c>
      <c r="I2006" s="1" t="n">
        <v>2339.92</v>
      </c>
      <c r="J2006" s="1" t="str">
        <f aca="false">VLOOKUP(B2006,Customers!$A$2:$G$502,6,FALSE())</f>
        <v>Small Business</v>
      </c>
      <c r="K2006" s="1" t="str">
        <f aca="false">VLOOKUP(C2006,Products!$A$2:$E$62,3,FALSE())</f>
        <v>Furniture</v>
      </c>
      <c r="L2006" s="1" t="str">
        <f aca="false">TEXT(D2006,"yyyy-mm")</f>
        <v>2023-08</v>
      </c>
    </row>
    <row r="2007" customFormat="false" ht="15" hidden="false" customHeight="true" outlineLevel="0" collapsed="false">
      <c r="A2007" s="1" t="n">
        <v>2050</v>
      </c>
      <c r="B2007" s="1" t="n">
        <v>250</v>
      </c>
      <c r="C2007" s="1" t="n">
        <v>18</v>
      </c>
      <c r="D2007" s="1" t="s">
        <v>1099</v>
      </c>
      <c r="E2007" s="1" t="n">
        <v>4</v>
      </c>
      <c r="F2007" s="1" t="n">
        <v>747.34</v>
      </c>
      <c r="G2007" s="1" t="n">
        <v>0</v>
      </c>
      <c r="H2007" s="1" t="s">
        <v>1336</v>
      </c>
      <c r="I2007" s="1" t="n">
        <v>2989.36</v>
      </c>
      <c r="J2007" s="1" t="str">
        <f aca="false">VLOOKUP(B2007,Customers!$A$2:$G$502,6,FALSE())</f>
        <v>Consumer</v>
      </c>
      <c r="K2007" s="1" t="str">
        <f aca="false">VLOOKUP(C2007,Products!$A$2:$E$62,3,FALSE())</f>
        <v>Electronics</v>
      </c>
      <c r="L2007" s="1" t="str">
        <f aca="false">TEXT(D2007,"yyyy-mm")</f>
        <v>2024-11</v>
      </c>
    </row>
    <row r="2008" customFormat="false" ht="15" hidden="false" customHeight="true" outlineLevel="0" collapsed="false">
      <c r="A2008" s="1" t="n">
        <v>2051</v>
      </c>
      <c r="B2008" s="1" t="n">
        <v>34</v>
      </c>
      <c r="C2008" s="1" t="n">
        <v>27</v>
      </c>
      <c r="D2008" s="1" t="s">
        <v>1069</v>
      </c>
      <c r="E2008" s="1" t="n">
        <v>4</v>
      </c>
      <c r="F2008" s="1" t="n">
        <v>772.58</v>
      </c>
      <c r="G2008" s="1" t="n">
        <v>0</v>
      </c>
      <c r="H2008" s="1" t="s">
        <v>1336</v>
      </c>
      <c r="I2008" s="1" t="n">
        <v>3090.32</v>
      </c>
      <c r="J2008" s="1" t="str">
        <f aca="false">VLOOKUP(B2008,Customers!$A$2:$G$502,6,FALSE())</f>
        <v>Corporate</v>
      </c>
      <c r="K2008" s="1" t="str">
        <f aca="false">VLOOKUP(C2008,Products!$A$2:$E$62,3,FALSE())</f>
        <v>Office Supplies</v>
      </c>
      <c r="L2008" s="1" t="str">
        <f aca="false">TEXT(D2008,"yyyy-mm")</f>
        <v>2024-01</v>
      </c>
    </row>
    <row r="2009" customFormat="false" ht="15" hidden="false" customHeight="true" outlineLevel="0" collapsed="false">
      <c r="A2009" s="1" t="n">
        <v>2052</v>
      </c>
      <c r="B2009" s="1" t="n">
        <v>322</v>
      </c>
      <c r="C2009" s="1" t="n">
        <v>48</v>
      </c>
      <c r="D2009" s="1" t="s">
        <v>1136</v>
      </c>
      <c r="E2009" s="1" t="n">
        <v>8</v>
      </c>
      <c r="F2009" s="1" t="n">
        <v>493.53</v>
      </c>
      <c r="G2009" s="1" t="n">
        <v>0</v>
      </c>
      <c r="H2009" s="1" t="s">
        <v>1336</v>
      </c>
      <c r="I2009" s="1" t="n">
        <v>3948.24</v>
      </c>
      <c r="J2009" s="1" t="str">
        <f aca="false">VLOOKUP(B2009,Customers!$A$2:$G$502,6,FALSE())</f>
        <v>Consumer</v>
      </c>
      <c r="K2009" s="1" t="str">
        <f aca="false">VLOOKUP(C2009,Products!$A$2:$E$62,3,FALSE())</f>
        <v>Software</v>
      </c>
      <c r="L2009" s="1" t="str">
        <f aca="false">TEXT(D2009,"yyyy-mm")</f>
        <v>2023-01</v>
      </c>
    </row>
    <row r="2010" customFormat="false" ht="15" hidden="false" customHeight="true" outlineLevel="0" collapsed="false">
      <c r="A2010" s="1" t="n">
        <v>2053</v>
      </c>
      <c r="B2010" s="1" t="n">
        <v>357</v>
      </c>
      <c r="C2010" s="1" t="n">
        <v>10</v>
      </c>
      <c r="D2010" s="1" t="s">
        <v>59</v>
      </c>
      <c r="E2010" s="1" t="n">
        <v>6</v>
      </c>
      <c r="F2010" s="1" t="n">
        <v>251.58</v>
      </c>
      <c r="G2010" s="1" t="n">
        <v>0.2</v>
      </c>
      <c r="H2010" s="1" t="s">
        <v>1336</v>
      </c>
      <c r="I2010" s="1" t="n">
        <v>1207.58</v>
      </c>
      <c r="J2010" s="1" t="str">
        <f aca="false">VLOOKUP(B2010,Customers!$A$2:$G$502,6,FALSE())</f>
        <v>Consumer</v>
      </c>
      <c r="K2010" s="1" t="str">
        <f aca="false">VLOOKUP(C2010,Products!$A$2:$E$62,3,FALSE())</f>
        <v>Electronics</v>
      </c>
      <c r="L2010" s="1" t="str">
        <f aca="false">TEXT(D2010,"yyyy-mm")</f>
        <v>2023-08</v>
      </c>
    </row>
    <row r="2011" customFormat="false" ht="15" hidden="false" customHeight="true" outlineLevel="0" collapsed="false">
      <c r="A2011" s="1" t="n">
        <v>2054</v>
      </c>
      <c r="B2011" s="1" t="n">
        <v>66</v>
      </c>
      <c r="C2011" s="1" t="n">
        <v>45</v>
      </c>
      <c r="D2011" s="1" t="s">
        <v>260</v>
      </c>
      <c r="E2011" s="1" t="n">
        <v>3</v>
      </c>
      <c r="F2011" s="1" t="n">
        <v>560.01</v>
      </c>
      <c r="G2011" s="1" t="n">
        <v>0</v>
      </c>
      <c r="H2011" s="1" t="s">
        <v>1336</v>
      </c>
      <c r="I2011" s="1" t="n">
        <v>1680.03</v>
      </c>
      <c r="J2011" s="1" t="str">
        <f aca="false">VLOOKUP(B2011,Customers!$A$2:$G$502,6,FALSE())</f>
        <v>Corporate</v>
      </c>
      <c r="K2011" s="1" t="str">
        <f aca="false">VLOOKUP(C2011,Products!$A$2:$E$62,3,FALSE())</f>
        <v>Software</v>
      </c>
      <c r="L2011" s="1" t="str">
        <f aca="false">TEXT(D2011,"yyyy-mm")</f>
        <v>2023-04</v>
      </c>
    </row>
    <row r="2012" customFormat="false" ht="15" hidden="false" customHeight="true" outlineLevel="0" collapsed="false">
      <c r="A2012" s="1" t="n">
        <v>2056</v>
      </c>
      <c r="B2012" s="1" t="n">
        <v>423</v>
      </c>
      <c r="C2012" s="1" t="n">
        <v>4</v>
      </c>
      <c r="D2012" s="1" t="s">
        <v>1402</v>
      </c>
      <c r="E2012" s="1" t="n">
        <v>6</v>
      </c>
      <c r="F2012" s="1" t="n">
        <v>56.24</v>
      </c>
      <c r="G2012" s="1" t="n">
        <v>0.15</v>
      </c>
      <c r="H2012" s="1" t="s">
        <v>1336</v>
      </c>
      <c r="I2012" s="1" t="n">
        <v>286.82</v>
      </c>
      <c r="J2012" s="1" t="str">
        <f aca="false">VLOOKUP(B2012,Customers!$A$2:$G$502,6,FALSE())</f>
        <v>Small Business</v>
      </c>
      <c r="K2012" s="1" t="str">
        <f aca="false">VLOOKUP(C2012,Products!$A$2:$E$62,3,FALSE())</f>
        <v>Electronics</v>
      </c>
      <c r="L2012" s="1" t="str">
        <f aca="false">TEXT(D2012,"yyyy-mm")</f>
        <v>2023-12</v>
      </c>
    </row>
    <row r="2013" customFormat="false" ht="15" hidden="false" customHeight="true" outlineLevel="0" collapsed="false">
      <c r="A2013" s="1" t="n">
        <v>2057</v>
      </c>
      <c r="B2013" s="1" t="n">
        <v>183</v>
      </c>
      <c r="C2013" s="1" t="n">
        <v>26</v>
      </c>
      <c r="D2013" s="1" t="s">
        <v>937</v>
      </c>
      <c r="E2013" s="1" t="n">
        <v>5</v>
      </c>
      <c r="F2013" s="1" t="n">
        <v>733.85</v>
      </c>
      <c r="G2013" s="1" t="n">
        <v>0</v>
      </c>
      <c r="H2013" s="1" t="s">
        <v>1336</v>
      </c>
      <c r="I2013" s="1" t="n">
        <v>3669.25</v>
      </c>
      <c r="J2013" s="1" t="str">
        <f aca="false">VLOOKUP(B2013,Customers!$A$2:$G$502,6,FALSE())</f>
        <v>Corporate</v>
      </c>
      <c r="K2013" s="1" t="str">
        <f aca="false">VLOOKUP(C2013,Products!$A$2:$E$62,3,FALSE())</f>
        <v>Office Supplies</v>
      </c>
      <c r="L2013" s="1" t="str">
        <f aca="false">TEXT(D2013,"yyyy-mm")</f>
        <v>2024-08</v>
      </c>
    </row>
    <row r="2014" customFormat="false" ht="15" hidden="false" customHeight="true" outlineLevel="0" collapsed="false">
      <c r="A2014" s="1" t="n">
        <v>2058</v>
      </c>
      <c r="B2014" s="1" t="n">
        <v>334</v>
      </c>
      <c r="C2014" s="1" t="n">
        <v>11</v>
      </c>
      <c r="D2014" s="1" t="s">
        <v>780</v>
      </c>
      <c r="E2014" s="1" t="n">
        <v>6</v>
      </c>
      <c r="F2014" s="1" t="n">
        <v>328.39</v>
      </c>
      <c r="G2014" s="1" t="n">
        <v>0</v>
      </c>
      <c r="H2014" s="1" t="s">
        <v>1336</v>
      </c>
      <c r="I2014" s="1" t="n">
        <v>1970.34</v>
      </c>
      <c r="J2014" s="1" t="str">
        <f aca="false">VLOOKUP(B2014,Customers!$A$2:$G$502,6,FALSE())</f>
        <v>Unknown</v>
      </c>
      <c r="K2014" s="1" t="str">
        <f aca="false">VLOOKUP(C2014,Products!$A$2:$E$62,3,FALSE())</f>
        <v>Electronics</v>
      </c>
      <c r="L2014" s="1" t="str">
        <f aca="false">TEXT(D2014,"yyyy-mm")</f>
        <v>2024-09</v>
      </c>
    </row>
    <row r="2015" customFormat="false" ht="15" hidden="false" customHeight="true" outlineLevel="0" collapsed="false">
      <c r="A2015" s="1" t="n">
        <v>2059</v>
      </c>
      <c r="B2015" s="1" t="n">
        <v>241</v>
      </c>
      <c r="C2015" s="1" t="n">
        <v>20</v>
      </c>
      <c r="D2015" s="1" t="s">
        <v>1347</v>
      </c>
      <c r="E2015" s="1" t="n">
        <v>8</v>
      </c>
      <c r="F2015" s="1" t="n">
        <v>426.15</v>
      </c>
      <c r="G2015" s="1" t="n">
        <v>0.2</v>
      </c>
      <c r="H2015" s="1" t="s">
        <v>1336</v>
      </c>
      <c r="I2015" s="1" t="n">
        <v>2727.36</v>
      </c>
      <c r="J2015" s="1" t="str">
        <f aca="false">VLOOKUP(B2015,Customers!$A$2:$G$502,6,FALSE())</f>
        <v>Small Business</v>
      </c>
      <c r="K2015" s="1" t="str">
        <f aca="false">VLOOKUP(C2015,Products!$A$2:$E$62,3,FALSE())</f>
        <v>Office Supplies</v>
      </c>
      <c r="L2015" s="1" t="str">
        <f aca="false">TEXT(D2015,"yyyy-mm")</f>
        <v>2024-01</v>
      </c>
    </row>
    <row r="2016" customFormat="false" ht="15" hidden="false" customHeight="true" outlineLevel="0" collapsed="false">
      <c r="A2016" s="1" t="n">
        <v>2060</v>
      </c>
      <c r="B2016" s="1" t="n">
        <v>272</v>
      </c>
      <c r="C2016" s="1" t="n">
        <v>14</v>
      </c>
      <c r="D2016" s="1" t="s">
        <v>1269</v>
      </c>
      <c r="E2016" s="1" t="n">
        <v>7</v>
      </c>
      <c r="F2016" s="1" t="n">
        <v>135.27</v>
      </c>
      <c r="G2016" s="1" t="n">
        <v>0.2</v>
      </c>
      <c r="H2016" s="1" t="s">
        <v>1336</v>
      </c>
      <c r="I2016" s="1" t="n">
        <v>757.51</v>
      </c>
      <c r="J2016" s="1" t="str">
        <f aca="false">VLOOKUP(B2016,Customers!$A$2:$G$502,6,FALSE())</f>
        <v>Consumer</v>
      </c>
      <c r="K2016" s="1" t="str">
        <f aca="false">VLOOKUP(C2016,Products!$A$2:$E$62,3,FALSE())</f>
        <v>Electronics</v>
      </c>
      <c r="L2016" s="1" t="str">
        <f aca="false">TEXT(D2016,"yyyy-mm")</f>
        <v>2023-05</v>
      </c>
    </row>
    <row r="2017" customFormat="false" ht="15" hidden="false" customHeight="true" outlineLevel="0" collapsed="false">
      <c r="A2017" s="1" t="n">
        <v>2061</v>
      </c>
      <c r="B2017" s="1" t="n">
        <v>142</v>
      </c>
      <c r="C2017" s="1" t="n">
        <v>5</v>
      </c>
      <c r="D2017" s="1" t="s">
        <v>336</v>
      </c>
      <c r="E2017" s="1" t="n">
        <v>5</v>
      </c>
      <c r="F2017" s="1" t="n">
        <v>439.06</v>
      </c>
      <c r="G2017" s="1" t="n">
        <v>0.05</v>
      </c>
      <c r="H2017" s="1" t="s">
        <v>1336</v>
      </c>
      <c r="I2017" s="1" t="n">
        <v>2085.54</v>
      </c>
      <c r="J2017" s="1" t="str">
        <f aca="false">VLOOKUP(B2017,Customers!$A$2:$G$502,6,FALSE())</f>
        <v>Small Business</v>
      </c>
      <c r="K2017" s="1" t="str">
        <f aca="false">VLOOKUP(C2017,Products!$A$2:$E$62,3,FALSE())</f>
        <v>Electronics</v>
      </c>
      <c r="L2017" s="1" t="str">
        <f aca="false">TEXT(D2017,"yyyy-mm")</f>
        <v>2024-09</v>
      </c>
    </row>
    <row r="2018" customFormat="false" ht="15" hidden="false" customHeight="true" outlineLevel="0" collapsed="false">
      <c r="A2018" s="1" t="n">
        <v>2062</v>
      </c>
      <c r="B2018" s="1" t="n">
        <v>481</v>
      </c>
      <c r="C2018" s="1" t="n">
        <v>8</v>
      </c>
      <c r="D2018" s="1" t="s">
        <v>120</v>
      </c>
      <c r="E2018" s="1" t="n">
        <v>6</v>
      </c>
      <c r="F2018" s="1" t="n">
        <v>104.4</v>
      </c>
      <c r="G2018" s="1" t="n">
        <v>0.05</v>
      </c>
      <c r="H2018" s="1" t="s">
        <v>1336</v>
      </c>
      <c r="I2018" s="1" t="n">
        <v>595.08</v>
      </c>
      <c r="J2018" s="1" t="str">
        <f aca="false">VLOOKUP(B2018,Customers!$A$2:$G$502,6,FALSE())</f>
        <v>Small Business</v>
      </c>
      <c r="K2018" s="1" t="str">
        <f aca="false">VLOOKUP(C2018,Products!$A$2:$E$62,3,FALSE())</f>
        <v>Electronics</v>
      </c>
      <c r="L2018" s="1" t="str">
        <f aca="false">TEXT(D2018,"yyyy-mm")</f>
        <v>2024-03</v>
      </c>
    </row>
    <row r="2019" customFormat="false" ht="15" hidden="false" customHeight="true" outlineLevel="0" collapsed="false">
      <c r="A2019" s="1" t="n">
        <v>2063</v>
      </c>
      <c r="B2019" s="1" t="n">
        <v>497</v>
      </c>
      <c r="C2019" s="1" t="n">
        <v>54</v>
      </c>
      <c r="D2019" s="1" t="s">
        <v>635</v>
      </c>
      <c r="E2019" s="1" t="n">
        <v>4</v>
      </c>
      <c r="F2019" s="1" t="n">
        <v>312.01</v>
      </c>
      <c r="G2019" s="1" t="n">
        <v>0.2</v>
      </c>
      <c r="H2019" s="1" t="s">
        <v>1370</v>
      </c>
      <c r="I2019" s="1" t="n">
        <v>998.43</v>
      </c>
      <c r="J2019" s="1" t="str">
        <f aca="false">VLOOKUP(B2019,Customers!$A$2:$G$502,6,FALSE())</f>
        <v>Consumer</v>
      </c>
      <c r="K2019" s="1" t="str">
        <f aca="false">VLOOKUP(C2019,Products!$A$2:$E$62,3,FALSE())</f>
        <v>Software</v>
      </c>
      <c r="L2019" s="1" t="str">
        <f aca="false">TEXT(D2019,"yyyy-mm")</f>
        <v>2024-03</v>
      </c>
    </row>
    <row r="2020" customFormat="false" ht="15" hidden="false" customHeight="true" outlineLevel="0" collapsed="false">
      <c r="A2020" s="1" t="n">
        <v>2064</v>
      </c>
      <c r="B2020" s="1" t="n">
        <v>21</v>
      </c>
      <c r="C2020" s="1" t="n">
        <v>25</v>
      </c>
      <c r="D2020" s="1" t="s">
        <v>317</v>
      </c>
      <c r="E2020" s="1" t="n">
        <v>9</v>
      </c>
      <c r="F2020" s="1" t="n">
        <v>300.49</v>
      </c>
      <c r="G2020" s="1" t="n">
        <v>0.15</v>
      </c>
      <c r="H2020" s="1" t="s">
        <v>1336</v>
      </c>
      <c r="I2020" s="1" t="n">
        <v>2298.75</v>
      </c>
      <c r="J2020" s="1" t="str">
        <f aca="false">VLOOKUP(B2020,Customers!$A$2:$G$502,6,FALSE())</f>
        <v>Corporate</v>
      </c>
      <c r="K2020" s="1" t="str">
        <f aca="false">VLOOKUP(C2020,Products!$A$2:$E$62,3,FALSE())</f>
        <v>Office Supplies</v>
      </c>
      <c r="L2020" s="1" t="str">
        <f aca="false">TEXT(D2020,"yyyy-mm")</f>
        <v>2023-08</v>
      </c>
    </row>
    <row r="2021" customFormat="false" ht="15" hidden="false" customHeight="true" outlineLevel="0" collapsed="false">
      <c r="A2021" s="1" t="n">
        <v>2065</v>
      </c>
      <c r="B2021" s="1" t="n">
        <v>186</v>
      </c>
      <c r="C2021" s="1" t="n">
        <v>24</v>
      </c>
      <c r="D2021" s="1" t="s">
        <v>1356</v>
      </c>
      <c r="E2021" s="1" t="n">
        <v>4</v>
      </c>
      <c r="F2021" s="1" t="n">
        <v>207.34</v>
      </c>
      <c r="G2021" s="1" t="n">
        <v>0</v>
      </c>
      <c r="H2021" s="1" t="s">
        <v>1336</v>
      </c>
      <c r="I2021" s="1" t="n">
        <v>829.36</v>
      </c>
      <c r="J2021" s="1" t="str">
        <f aca="false">VLOOKUP(B2021,Customers!$A$2:$G$502,6,FALSE())</f>
        <v>Small Business</v>
      </c>
      <c r="K2021" s="1" t="str">
        <f aca="false">VLOOKUP(C2021,Products!$A$2:$E$62,3,FALSE())</f>
        <v>Office Supplies</v>
      </c>
      <c r="L2021" s="1" t="str">
        <f aca="false">TEXT(D2021,"yyyy-mm")</f>
        <v>2023-03</v>
      </c>
    </row>
    <row r="2022" customFormat="false" ht="15" hidden="false" customHeight="true" outlineLevel="0" collapsed="false">
      <c r="A2022" s="1" t="n">
        <v>2066</v>
      </c>
      <c r="B2022" s="1" t="n">
        <v>19</v>
      </c>
      <c r="C2022" s="1" t="n">
        <v>29</v>
      </c>
      <c r="D2022" s="1" t="s">
        <v>333</v>
      </c>
      <c r="E2022" s="1" t="n">
        <v>1</v>
      </c>
      <c r="F2022" s="1" t="n">
        <v>54.62</v>
      </c>
      <c r="G2022" s="1" t="n">
        <v>0.05</v>
      </c>
      <c r="H2022" s="1" t="s">
        <v>1370</v>
      </c>
      <c r="I2022" s="1" t="n">
        <v>51.89</v>
      </c>
      <c r="J2022" s="1" t="str">
        <f aca="false">VLOOKUP(B2022,Customers!$A$2:$G$502,6,FALSE())</f>
        <v>Consumer</v>
      </c>
      <c r="K2022" s="1" t="str">
        <f aca="false">VLOOKUP(C2022,Products!$A$2:$E$62,3,FALSE())</f>
        <v>Office Supplies</v>
      </c>
      <c r="L2022" s="1" t="str">
        <f aca="false">TEXT(D2022,"yyyy-mm")</f>
        <v>2024-03</v>
      </c>
    </row>
    <row r="2023" customFormat="false" ht="15" hidden="false" customHeight="true" outlineLevel="0" collapsed="false">
      <c r="A2023" s="1" t="n">
        <v>2067</v>
      </c>
      <c r="B2023" s="1" t="n">
        <v>116</v>
      </c>
      <c r="C2023" s="1" t="n">
        <v>37</v>
      </c>
      <c r="D2023" s="1" t="s">
        <v>1550</v>
      </c>
      <c r="E2023" s="1" t="n">
        <v>7</v>
      </c>
      <c r="F2023" s="1" t="n">
        <v>13.95</v>
      </c>
      <c r="G2023" s="1" t="n">
        <v>0</v>
      </c>
      <c r="H2023" s="1" t="s">
        <v>1336</v>
      </c>
      <c r="I2023" s="1" t="n">
        <v>97.65</v>
      </c>
      <c r="J2023" s="1" t="str">
        <f aca="false">VLOOKUP(B2023,Customers!$A$2:$G$502,6,FALSE())</f>
        <v>Corporate</v>
      </c>
      <c r="K2023" s="1" t="str">
        <f aca="false">VLOOKUP(C2023,Products!$A$2:$E$62,3,FALSE())</f>
        <v>Software</v>
      </c>
      <c r="L2023" s="1" t="str">
        <f aca="false">TEXT(D2023,"yyyy-mm")</f>
        <v>2024-03</v>
      </c>
    </row>
    <row r="2024" customFormat="false" ht="15" hidden="false" customHeight="true" outlineLevel="0" collapsed="false">
      <c r="A2024" s="1" t="n">
        <v>2068</v>
      </c>
      <c r="B2024" s="1" t="n">
        <v>67</v>
      </c>
      <c r="C2024" s="1" t="n">
        <v>55</v>
      </c>
      <c r="D2024" s="1" t="s">
        <v>1418</v>
      </c>
      <c r="E2024" s="1" t="n">
        <v>7</v>
      </c>
      <c r="F2024" s="1" t="n">
        <v>123.38</v>
      </c>
      <c r="G2024" s="1" t="n">
        <v>0.05</v>
      </c>
      <c r="H2024" s="1" t="s">
        <v>1336</v>
      </c>
      <c r="I2024" s="1" t="n">
        <v>820.48</v>
      </c>
      <c r="J2024" s="1" t="str">
        <f aca="false">VLOOKUP(B2024,Customers!$A$2:$G$502,6,FALSE())</f>
        <v>Small Business</v>
      </c>
      <c r="K2024" s="1" t="str">
        <f aca="false">VLOOKUP(C2024,Products!$A$2:$E$62,3,FALSE())</f>
        <v>Furniture</v>
      </c>
      <c r="L2024" s="1" t="str">
        <f aca="false">TEXT(D2024,"yyyy-mm")</f>
        <v>2023-06</v>
      </c>
    </row>
    <row r="2025" customFormat="false" ht="15" hidden="false" customHeight="true" outlineLevel="0" collapsed="false">
      <c r="A2025" s="1" t="n">
        <v>2069</v>
      </c>
      <c r="B2025" s="1" t="n">
        <v>76</v>
      </c>
      <c r="C2025" s="1" t="n">
        <v>17</v>
      </c>
      <c r="D2025" s="1" t="s">
        <v>1426</v>
      </c>
      <c r="E2025" s="1" t="n">
        <v>4</v>
      </c>
      <c r="F2025" s="1" t="n">
        <v>65.61</v>
      </c>
      <c r="G2025" s="1" t="n">
        <v>0.2</v>
      </c>
      <c r="H2025" s="1" t="s">
        <v>1336</v>
      </c>
      <c r="I2025" s="1" t="n">
        <v>209.95</v>
      </c>
      <c r="J2025" s="1" t="str">
        <f aca="false">VLOOKUP(B2025,Customers!$A$2:$G$502,6,FALSE())</f>
        <v>Consumer</v>
      </c>
      <c r="K2025" s="1" t="str">
        <f aca="false">VLOOKUP(C2025,Products!$A$2:$E$62,3,FALSE())</f>
        <v>Electronics</v>
      </c>
      <c r="L2025" s="1" t="str">
        <f aca="false">TEXT(D2025,"yyyy-mm")</f>
        <v>2023-08</v>
      </c>
    </row>
    <row r="2026" customFormat="false" ht="15" hidden="false" customHeight="true" outlineLevel="0" collapsed="false">
      <c r="A2026" s="1" t="n">
        <v>2070</v>
      </c>
      <c r="B2026" s="1" t="n">
        <v>336</v>
      </c>
      <c r="C2026" s="1" t="n">
        <v>36</v>
      </c>
      <c r="D2026" s="1" t="s">
        <v>202</v>
      </c>
      <c r="E2026" s="1" t="n">
        <v>3</v>
      </c>
      <c r="F2026" s="1" t="n">
        <v>424.45</v>
      </c>
      <c r="G2026" s="1" t="n">
        <v>0</v>
      </c>
      <c r="H2026" s="1" t="s">
        <v>1336</v>
      </c>
      <c r="I2026" s="1" t="n">
        <v>1273.35</v>
      </c>
      <c r="J2026" s="1" t="str">
        <f aca="false">VLOOKUP(B2026,Customers!$A$2:$G$502,6,FALSE())</f>
        <v>Consumer</v>
      </c>
      <c r="K2026" s="1" t="str">
        <f aca="false">VLOOKUP(C2026,Products!$A$2:$E$62,3,FALSE())</f>
        <v>Software</v>
      </c>
      <c r="L2026" s="1" t="str">
        <f aca="false">TEXT(D2026,"yyyy-mm")</f>
        <v>2024-12</v>
      </c>
    </row>
    <row r="2027" customFormat="false" ht="15" hidden="false" customHeight="true" outlineLevel="0" collapsed="false">
      <c r="A2027" s="1" t="n">
        <v>2071</v>
      </c>
      <c r="B2027" s="1" t="n">
        <v>326</v>
      </c>
      <c r="C2027" s="1" t="n">
        <v>57</v>
      </c>
      <c r="D2027" s="1" t="s">
        <v>461</v>
      </c>
      <c r="E2027" s="1" t="n">
        <v>8</v>
      </c>
      <c r="F2027" s="1" t="n">
        <v>719.76</v>
      </c>
      <c r="G2027" s="1" t="n">
        <v>0.1</v>
      </c>
      <c r="H2027" s="1" t="s">
        <v>1336</v>
      </c>
      <c r="I2027" s="1" t="n">
        <v>5182.27</v>
      </c>
      <c r="J2027" s="1" t="str">
        <f aca="false">VLOOKUP(B2027,Customers!$A$2:$G$502,6,FALSE())</f>
        <v>Corporate</v>
      </c>
      <c r="K2027" s="1" t="str">
        <f aca="false">VLOOKUP(C2027,Products!$A$2:$E$62,3,FALSE())</f>
        <v>Furniture</v>
      </c>
      <c r="L2027" s="1" t="str">
        <f aca="false">TEXT(D2027,"yyyy-mm")</f>
        <v>2023-02</v>
      </c>
    </row>
    <row r="2028" customFormat="false" ht="15" hidden="false" customHeight="true" outlineLevel="0" collapsed="false">
      <c r="A2028" s="1" t="n">
        <v>2072</v>
      </c>
      <c r="B2028" s="1" t="n">
        <v>51</v>
      </c>
      <c r="C2028" s="1" t="n">
        <v>48</v>
      </c>
      <c r="D2028" s="1" t="s">
        <v>1478</v>
      </c>
      <c r="E2028" s="1" t="n">
        <v>5</v>
      </c>
      <c r="F2028" s="1" t="n">
        <v>493.53</v>
      </c>
      <c r="G2028" s="1" t="n">
        <v>0.05</v>
      </c>
      <c r="H2028" s="1" t="s">
        <v>1336</v>
      </c>
      <c r="I2028" s="1" t="n">
        <v>2344.27</v>
      </c>
      <c r="J2028" s="1" t="str">
        <f aca="false">VLOOKUP(B2028,Customers!$A$2:$G$502,6,FALSE())</f>
        <v>Corporate</v>
      </c>
      <c r="K2028" s="1" t="str">
        <f aca="false">VLOOKUP(C2028,Products!$A$2:$E$62,3,FALSE())</f>
        <v>Software</v>
      </c>
      <c r="L2028" s="1" t="str">
        <f aca="false">TEXT(D2028,"yyyy-mm")</f>
        <v>2024-09</v>
      </c>
    </row>
    <row r="2029" customFormat="false" ht="15" hidden="false" customHeight="true" outlineLevel="0" collapsed="false">
      <c r="A2029" s="1" t="n">
        <v>2073</v>
      </c>
      <c r="B2029" s="1" t="n">
        <v>44</v>
      </c>
      <c r="C2029" s="1" t="n">
        <v>43</v>
      </c>
      <c r="D2029" s="1" t="s">
        <v>1529</v>
      </c>
      <c r="E2029" s="1" t="n">
        <v>7</v>
      </c>
      <c r="F2029" s="1" t="n">
        <v>186.31</v>
      </c>
      <c r="G2029" s="1" t="n">
        <v>0.1</v>
      </c>
      <c r="H2029" s="1" t="s">
        <v>1336</v>
      </c>
      <c r="I2029" s="1" t="n">
        <v>1173.75</v>
      </c>
      <c r="J2029" s="1" t="str">
        <f aca="false">VLOOKUP(B2029,Customers!$A$2:$G$502,6,FALSE())</f>
        <v>Consumer</v>
      </c>
      <c r="K2029" s="1" t="str">
        <f aca="false">VLOOKUP(C2029,Products!$A$2:$E$62,3,FALSE())</f>
        <v>Software</v>
      </c>
      <c r="L2029" s="1" t="str">
        <f aca="false">TEXT(D2029,"yyyy-mm")</f>
        <v>2024-09</v>
      </c>
    </row>
    <row r="2030" customFormat="false" ht="15" hidden="false" customHeight="true" outlineLevel="0" collapsed="false">
      <c r="A2030" s="1" t="n">
        <v>2074</v>
      </c>
      <c r="B2030" s="1" t="n">
        <v>123</v>
      </c>
      <c r="C2030" s="1" t="n">
        <v>57</v>
      </c>
      <c r="D2030" s="1" t="s">
        <v>133</v>
      </c>
      <c r="E2030" s="1" t="n">
        <v>4</v>
      </c>
      <c r="F2030" s="1" t="n">
        <v>719.76</v>
      </c>
      <c r="G2030" s="1" t="n">
        <v>0.15</v>
      </c>
      <c r="H2030" s="1" t="s">
        <v>1370</v>
      </c>
      <c r="I2030" s="1" t="n">
        <v>2447.18</v>
      </c>
      <c r="J2030" s="1" t="str">
        <f aca="false">VLOOKUP(B2030,Customers!$A$2:$G$502,6,FALSE())</f>
        <v>Small Business</v>
      </c>
      <c r="K2030" s="1" t="str">
        <f aca="false">VLOOKUP(C2030,Products!$A$2:$E$62,3,FALSE())</f>
        <v>Furniture</v>
      </c>
      <c r="L2030" s="1" t="str">
        <f aca="false">TEXT(D2030,"yyyy-mm")</f>
        <v>2023-05</v>
      </c>
    </row>
    <row r="2031" customFormat="false" ht="15" hidden="false" customHeight="true" outlineLevel="0" collapsed="false">
      <c r="A2031" s="1" t="n">
        <v>2075</v>
      </c>
      <c r="B2031" s="1" t="n">
        <v>96</v>
      </c>
      <c r="C2031" s="1" t="n">
        <v>57</v>
      </c>
      <c r="D2031" s="1" t="s">
        <v>353</v>
      </c>
      <c r="E2031" s="1" t="n">
        <v>4</v>
      </c>
      <c r="F2031" s="1" t="n">
        <v>719.76</v>
      </c>
      <c r="G2031" s="1" t="n">
        <v>0.15</v>
      </c>
      <c r="H2031" s="1" t="s">
        <v>1336</v>
      </c>
      <c r="I2031" s="1" t="n">
        <v>2447.18</v>
      </c>
      <c r="J2031" s="1" t="str">
        <f aca="false">VLOOKUP(B2031,Customers!$A$2:$G$502,6,FALSE())</f>
        <v>Corporate</v>
      </c>
      <c r="K2031" s="1" t="str">
        <f aca="false">VLOOKUP(C2031,Products!$A$2:$E$62,3,FALSE())</f>
        <v>Furniture</v>
      </c>
      <c r="L2031" s="1" t="str">
        <f aca="false">TEXT(D2031,"yyyy-mm")</f>
        <v>2024-01</v>
      </c>
    </row>
    <row r="2032" customFormat="false" ht="15" hidden="false" customHeight="true" outlineLevel="0" collapsed="false">
      <c r="A2032" s="1" t="n">
        <v>2076</v>
      </c>
      <c r="B2032" s="1" t="n">
        <v>104</v>
      </c>
      <c r="C2032" s="1" t="n">
        <v>53</v>
      </c>
      <c r="D2032" s="1" t="s">
        <v>1516</v>
      </c>
      <c r="E2032" s="1" t="n">
        <v>8</v>
      </c>
      <c r="F2032" s="1" t="n">
        <v>509.98</v>
      </c>
      <c r="G2032" s="1" t="n">
        <v>0.2</v>
      </c>
      <c r="H2032" s="1" t="s">
        <v>1336</v>
      </c>
      <c r="I2032" s="1" t="n">
        <v>3263.87</v>
      </c>
      <c r="J2032" s="1" t="str">
        <f aca="false">VLOOKUP(B2032,Customers!$A$2:$G$502,6,FALSE())</f>
        <v>Corporate</v>
      </c>
      <c r="K2032" s="1" t="str">
        <f aca="false">VLOOKUP(C2032,Products!$A$2:$E$62,3,FALSE())</f>
        <v>Software</v>
      </c>
      <c r="L2032" s="1" t="str">
        <f aca="false">TEXT(D2032,"yyyy-mm")</f>
        <v>2023-02</v>
      </c>
    </row>
    <row r="2033" customFormat="false" ht="15" hidden="false" customHeight="true" outlineLevel="0" collapsed="false">
      <c r="A2033" s="1" t="n">
        <v>2077</v>
      </c>
      <c r="B2033" s="1" t="n">
        <v>343</v>
      </c>
      <c r="C2033" s="1" t="n">
        <v>34</v>
      </c>
      <c r="D2033" s="1" t="s">
        <v>1466</v>
      </c>
      <c r="E2033" s="1" t="n">
        <v>8</v>
      </c>
      <c r="F2033" s="1" t="n">
        <v>116.85</v>
      </c>
      <c r="G2033" s="1" t="n">
        <v>0.05</v>
      </c>
      <c r="H2033" s="1" t="s">
        <v>1336</v>
      </c>
      <c r="I2033" s="1" t="n">
        <v>888.06</v>
      </c>
      <c r="J2033" s="1" t="str">
        <f aca="false">VLOOKUP(B2033,Customers!$A$2:$G$502,6,FALSE())</f>
        <v>Unknown</v>
      </c>
      <c r="K2033" s="1" t="str">
        <f aca="false">VLOOKUP(C2033,Products!$A$2:$E$62,3,FALSE())</f>
        <v>Office Supplies</v>
      </c>
      <c r="L2033" s="1" t="str">
        <f aca="false">TEXT(D2033,"yyyy-mm")</f>
        <v>2024-05</v>
      </c>
    </row>
    <row r="2034" customFormat="false" ht="15" hidden="false" customHeight="true" outlineLevel="0" collapsed="false">
      <c r="A2034" s="1" t="n">
        <v>2078</v>
      </c>
      <c r="B2034" s="1" t="n">
        <v>399</v>
      </c>
      <c r="C2034" s="1" t="n">
        <v>47</v>
      </c>
      <c r="D2034" s="1" t="s">
        <v>508</v>
      </c>
      <c r="E2034" s="1" t="n">
        <v>2</v>
      </c>
      <c r="F2034" s="1" t="n">
        <v>506.19</v>
      </c>
      <c r="G2034" s="1" t="n">
        <v>0.15</v>
      </c>
      <c r="H2034" s="1" t="s">
        <v>1336</v>
      </c>
      <c r="I2034" s="1" t="n">
        <v>860.52</v>
      </c>
      <c r="J2034" s="1" t="str">
        <f aca="false">VLOOKUP(B2034,Customers!$A$2:$G$502,6,FALSE())</f>
        <v>Corporate</v>
      </c>
      <c r="K2034" s="1" t="str">
        <f aca="false">VLOOKUP(C2034,Products!$A$2:$E$62,3,FALSE())</f>
        <v>Software</v>
      </c>
      <c r="L2034" s="1" t="str">
        <f aca="false">TEXT(D2034,"yyyy-mm")</f>
        <v>2024-02</v>
      </c>
    </row>
    <row r="2035" customFormat="false" ht="15" hidden="false" customHeight="true" outlineLevel="0" collapsed="false">
      <c r="A2035" s="1" t="n">
        <v>2079</v>
      </c>
      <c r="B2035" s="1" t="n">
        <v>301</v>
      </c>
      <c r="C2035" s="1" t="n">
        <v>46</v>
      </c>
      <c r="D2035" s="1" t="s">
        <v>238</v>
      </c>
      <c r="E2035" s="1" t="n">
        <v>2</v>
      </c>
      <c r="F2035" s="1" t="n">
        <v>94.92</v>
      </c>
      <c r="G2035" s="1" t="n">
        <v>0.15</v>
      </c>
      <c r="H2035" s="1" t="s">
        <v>1336</v>
      </c>
      <c r="I2035" s="1" t="n">
        <v>161.36</v>
      </c>
      <c r="J2035" s="1" t="str">
        <f aca="false">VLOOKUP(B2035,Customers!$A$2:$G$502,6,FALSE())</f>
        <v>Corporate</v>
      </c>
      <c r="K2035" s="1" t="str">
        <f aca="false">VLOOKUP(C2035,Products!$A$2:$E$62,3,FALSE())</f>
        <v>Software</v>
      </c>
      <c r="L2035" s="1" t="str">
        <f aca="false">TEXT(D2035,"yyyy-mm")</f>
        <v>2023-10</v>
      </c>
    </row>
    <row r="2036" customFormat="false" ht="15" hidden="false" customHeight="true" outlineLevel="0" collapsed="false">
      <c r="A2036" s="1" t="n">
        <v>2080</v>
      </c>
      <c r="B2036" s="1" t="n">
        <v>185</v>
      </c>
      <c r="C2036" s="1" t="n">
        <v>16</v>
      </c>
      <c r="D2036" s="1" t="s">
        <v>522</v>
      </c>
      <c r="E2036" s="1" t="n">
        <v>3</v>
      </c>
      <c r="F2036" s="1" t="n">
        <v>330.91</v>
      </c>
      <c r="G2036" s="1" t="n">
        <v>0</v>
      </c>
      <c r="H2036" s="1" t="s">
        <v>1336</v>
      </c>
      <c r="I2036" s="1" t="n">
        <v>992.73</v>
      </c>
      <c r="J2036" s="1" t="str">
        <f aca="false">VLOOKUP(B2036,Customers!$A$2:$G$502,6,FALSE())</f>
        <v>Consumer</v>
      </c>
      <c r="K2036" s="1" t="str">
        <f aca="false">VLOOKUP(C2036,Products!$A$2:$E$62,3,FALSE())</f>
        <v>Electronics</v>
      </c>
      <c r="L2036" s="1" t="str">
        <f aca="false">TEXT(D2036,"yyyy-mm")</f>
        <v>2024-03</v>
      </c>
    </row>
    <row r="2037" customFormat="false" ht="15" hidden="false" customHeight="true" outlineLevel="0" collapsed="false">
      <c r="A2037" s="1" t="n">
        <v>2081</v>
      </c>
      <c r="B2037" s="1" t="n">
        <v>373</v>
      </c>
      <c r="C2037" s="1" t="n">
        <v>39</v>
      </c>
      <c r="D2037" s="1" t="s">
        <v>722</v>
      </c>
      <c r="E2037" s="1" t="n">
        <v>3</v>
      </c>
      <c r="F2037" s="1" t="n">
        <v>400.02</v>
      </c>
      <c r="G2037" s="1" t="n">
        <v>0.05</v>
      </c>
      <c r="H2037" s="1" t="s">
        <v>1370</v>
      </c>
      <c r="I2037" s="1" t="n">
        <v>1140.06</v>
      </c>
      <c r="J2037" s="1" t="str">
        <f aca="false">VLOOKUP(B2037,Customers!$A$2:$G$502,6,FALSE())</f>
        <v>Corporate</v>
      </c>
      <c r="K2037" s="1" t="str">
        <f aca="false">VLOOKUP(C2037,Products!$A$2:$E$62,3,FALSE())</f>
        <v>Software</v>
      </c>
      <c r="L2037" s="1" t="str">
        <f aca="false">TEXT(D2037,"yyyy-mm")</f>
        <v>2024-05</v>
      </c>
    </row>
    <row r="2038" customFormat="false" ht="15" hidden="false" customHeight="true" outlineLevel="0" collapsed="false">
      <c r="A2038" s="1" t="n">
        <v>2082</v>
      </c>
      <c r="B2038" s="1" t="n">
        <v>41</v>
      </c>
      <c r="C2038" s="1" t="n">
        <v>12</v>
      </c>
      <c r="D2038" s="1" t="s">
        <v>795</v>
      </c>
      <c r="E2038" s="1" t="n">
        <v>1</v>
      </c>
      <c r="F2038" s="1" t="n">
        <v>179.23</v>
      </c>
      <c r="G2038" s="1" t="n">
        <v>0</v>
      </c>
      <c r="H2038" s="1" t="s">
        <v>1336</v>
      </c>
      <c r="I2038" s="1" t="n">
        <v>179.23</v>
      </c>
      <c r="J2038" s="1" t="str">
        <f aca="false">VLOOKUP(B2038,Customers!$A$2:$G$502,6,FALSE())</f>
        <v>Corporate</v>
      </c>
      <c r="K2038" s="1" t="str">
        <f aca="false">VLOOKUP(C2038,Products!$A$2:$E$62,3,FALSE())</f>
        <v>Electronics</v>
      </c>
      <c r="L2038" s="1" t="str">
        <f aca="false">TEXT(D2038,"yyyy-mm")</f>
        <v>2023-12</v>
      </c>
    </row>
    <row r="2039" customFormat="false" ht="15" hidden="false" customHeight="true" outlineLevel="0" collapsed="false">
      <c r="A2039" s="1" t="n">
        <v>2083</v>
      </c>
      <c r="B2039" s="1" t="n">
        <v>474</v>
      </c>
      <c r="C2039" s="1" t="n">
        <v>54</v>
      </c>
      <c r="D2039" s="1" t="s">
        <v>1661</v>
      </c>
      <c r="E2039" s="1" t="n">
        <v>3</v>
      </c>
      <c r="F2039" s="1" t="n">
        <v>312.01</v>
      </c>
      <c r="G2039" s="1" t="n">
        <v>0</v>
      </c>
      <c r="H2039" s="1" t="s">
        <v>1336</v>
      </c>
      <c r="I2039" s="1" t="n">
        <v>936.03</v>
      </c>
      <c r="J2039" s="1" t="str">
        <f aca="false">VLOOKUP(B2039,Customers!$A$2:$G$502,6,FALSE())</f>
        <v>Consumer</v>
      </c>
      <c r="K2039" s="1" t="str">
        <f aca="false">VLOOKUP(C2039,Products!$A$2:$E$62,3,FALSE())</f>
        <v>Software</v>
      </c>
      <c r="L2039" s="1" t="str">
        <f aca="false">TEXT(D2039,"yyyy-mm")</f>
        <v>2024-09</v>
      </c>
    </row>
    <row r="2040" customFormat="false" ht="15" hidden="false" customHeight="true" outlineLevel="0" collapsed="false">
      <c r="A2040" s="1" t="n">
        <v>2084</v>
      </c>
      <c r="B2040" s="1" t="n">
        <v>74</v>
      </c>
      <c r="C2040" s="1" t="n">
        <v>21</v>
      </c>
      <c r="D2040" s="1" t="s">
        <v>1487</v>
      </c>
      <c r="E2040" s="1" t="n">
        <v>6</v>
      </c>
      <c r="F2040" s="1" t="n">
        <v>84.91</v>
      </c>
      <c r="G2040" s="1" t="n">
        <v>0.1</v>
      </c>
      <c r="H2040" s="1" t="s">
        <v>1336</v>
      </c>
      <c r="I2040" s="1" t="n">
        <v>458.51</v>
      </c>
      <c r="J2040" s="1" t="str">
        <f aca="false">VLOOKUP(B2040,Customers!$A$2:$G$502,6,FALSE())</f>
        <v>Consumer</v>
      </c>
      <c r="K2040" s="1" t="str">
        <f aca="false">VLOOKUP(C2040,Products!$A$2:$E$62,3,FALSE())</f>
        <v>Office Supplies</v>
      </c>
      <c r="L2040" s="1" t="str">
        <f aca="false">TEXT(D2040,"yyyy-mm")</f>
        <v>2024-01</v>
      </c>
    </row>
    <row r="2041" customFormat="false" ht="15" hidden="false" customHeight="true" outlineLevel="0" collapsed="false">
      <c r="A2041" s="1" t="n">
        <v>2085</v>
      </c>
      <c r="B2041" s="1" t="n">
        <v>473</v>
      </c>
      <c r="C2041" s="1" t="n">
        <v>16</v>
      </c>
      <c r="D2041" s="1" t="s">
        <v>1136</v>
      </c>
      <c r="E2041" s="1" t="n">
        <v>8</v>
      </c>
      <c r="F2041" s="1" t="n">
        <v>330.91</v>
      </c>
      <c r="G2041" s="1" t="n">
        <v>0.05</v>
      </c>
      <c r="H2041" s="1" t="s">
        <v>1336</v>
      </c>
      <c r="I2041" s="1" t="n">
        <v>2514.92</v>
      </c>
      <c r="J2041" s="1" t="str">
        <f aca="false">VLOOKUP(B2041,Customers!$A$2:$G$502,6,FALSE())</f>
        <v>Small Business</v>
      </c>
      <c r="K2041" s="1" t="str">
        <f aca="false">VLOOKUP(C2041,Products!$A$2:$E$62,3,FALSE())</f>
        <v>Electronics</v>
      </c>
      <c r="L2041" s="1" t="str">
        <f aca="false">TEXT(D2041,"yyyy-mm")</f>
        <v>2023-01</v>
      </c>
    </row>
    <row r="2042" customFormat="false" ht="15" hidden="false" customHeight="true" outlineLevel="0" collapsed="false">
      <c r="A2042" s="1" t="n">
        <v>2086</v>
      </c>
      <c r="B2042" s="1" t="n">
        <v>302</v>
      </c>
      <c r="C2042" s="1" t="n">
        <v>8</v>
      </c>
      <c r="D2042" s="1" t="s">
        <v>1539</v>
      </c>
      <c r="E2042" s="1" t="n">
        <v>6</v>
      </c>
      <c r="F2042" s="1" t="n">
        <v>104.4</v>
      </c>
      <c r="G2042" s="1" t="n">
        <v>0</v>
      </c>
      <c r="H2042" s="1" t="s">
        <v>1336</v>
      </c>
      <c r="I2042" s="1" t="n">
        <v>626.4</v>
      </c>
      <c r="J2042" s="1" t="str">
        <f aca="false">VLOOKUP(B2042,Customers!$A$2:$G$502,6,FALSE())</f>
        <v>Corporate</v>
      </c>
      <c r="K2042" s="1" t="str">
        <f aca="false">VLOOKUP(C2042,Products!$A$2:$E$62,3,FALSE())</f>
        <v>Electronics</v>
      </c>
      <c r="L2042" s="1" t="str">
        <f aca="false">TEXT(D2042,"yyyy-mm")</f>
        <v>2023-09</v>
      </c>
    </row>
    <row r="2043" customFormat="false" ht="15" hidden="false" customHeight="true" outlineLevel="0" collapsed="false">
      <c r="A2043" s="1" t="n">
        <v>2087</v>
      </c>
      <c r="B2043" s="1" t="n">
        <v>489</v>
      </c>
      <c r="C2043" s="1" t="n">
        <v>17</v>
      </c>
      <c r="D2043" s="1" t="s">
        <v>1610</v>
      </c>
      <c r="E2043" s="1" t="n">
        <v>5</v>
      </c>
      <c r="F2043" s="1" t="n">
        <v>65.61</v>
      </c>
      <c r="G2043" s="1" t="n">
        <v>0.1</v>
      </c>
      <c r="H2043" s="1" t="s">
        <v>1336</v>
      </c>
      <c r="I2043" s="1" t="n">
        <v>295.24</v>
      </c>
      <c r="J2043" s="1" t="str">
        <f aca="false">VLOOKUP(B2043,Customers!$A$2:$G$502,6,FALSE())</f>
        <v>Small Business</v>
      </c>
      <c r="K2043" s="1" t="str">
        <f aca="false">VLOOKUP(C2043,Products!$A$2:$E$62,3,FALSE())</f>
        <v>Electronics</v>
      </c>
      <c r="L2043" s="1" t="str">
        <f aca="false">TEXT(D2043,"yyyy-mm")</f>
        <v>2024-10</v>
      </c>
    </row>
    <row r="2044" customFormat="false" ht="15" hidden="false" customHeight="true" outlineLevel="0" collapsed="false">
      <c r="A2044" s="1" t="n">
        <v>2088</v>
      </c>
      <c r="B2044" s="1" t="n">
        <v>419</v>
      </c>
      <c r="C2044" s="1" t="n">
        <v>8</v>
      </c>
      <c r="D2044" s="1" t="s">
        <v>1420</v>
      </c>
      <c r="E2044" s="1" t="n">
        <v>4</v>
      </c>
      <c r="F2044" s="1" t="n">
        <v>104.4</v>
      </c>
      <c r="G2044" s="1" t="n">
        <v>0.2</v>
      </c>
      <c r="H2044" s="1" t="s">
        <v>1336</v>
      </c>
      <c r="I2044" s="1" t="n">
        <v>334.08</v>
      </c>
      <c r="J2044" s="1" t="str">
        <f aca="false">VLOOKUP(B2044,Customers!$A$2:$G$502,6,FALSE())</f>
        <v>Small Business</v>
      </c>
      <c r="K2044" s="1" t="str">
        <f aca="false">VLOOKUP(C2044,Products!$A$2:$E$62,3,FALSE())</f>
        <v>Electronics</v>
      </c>
      <c r="L2044" s="1" t="str">
        <f aca="false">TEXT(D2044,"yyyy-mm")</f>
        <v>2023-11</v>
      </c>
    </row>
    <row r="2045" customFormat="false" ht="15" hidden="false" customHeight="true" outlineLevel="0" collapsed="false">
      <c r="A2045" s="1" t="n">
        <v>2089</v>
      </c>
      <c r="B2045" s="1" t="n">
        <v>291</v>
      </c>
      <c r="C2045" s="1" t="n">
        <v>27</v>
      </c>
      <c r="D2045" s="1" t="s">
        <v>822</v>
      </c>
      <c r="E2045" s="1" t="n">
        <v>3</v>
      </c>
      <c r="F2045" s="1" t="n">
        <v>772.58</v>
      </c>
      <c r="G2045" s="1" t="n">
        <v>0.15</v>
      </c>
      <c r="H2045" s="1" t="s">
        <v>1336</v>
      </c>
      <c r="I2045" s="1" t="n">
        <v>1970.08</v>
      </c>
      <c r="J2045" s="1" t="str">
        <f aca="false">VLOOKUP(B2045,Customers!$A$2:$G$502,6,FALSE())</f>
        <v>Consumer</v>
      </c>
      <c r="K2045" s="1" t="str">
        <f aca="false">VLOOKUP(C2045,Products!$A$2:$E$62,3,FALSE())</f>
        <v>Office Supplies</v>
      </c>
      <c r="L2045" s="1" t="str">
        <f aca="false">TEXT(D2045,"yyyy-mm")</f>
        <v>2023-08</v>
      </c>
    </row>
    <row r="2046" customFormat="false" ht="15" hidden="false" customHeight="true" outlineLevel="0" collapsed="false">
      <c r="A2046" s="1" t="n">
        <v>2090</v>
      </c>
      <c r="B2046" s="1" t="n">
        <v>10</v>
      </c>
      <c r="C2046" s="1" t="n">
        <v>2</v>
      </c>
      <c r="D2046" s="1" t="s">
        <v>1548</v>
      </c>
      <c r="E2046" s="1" t="n">
        <v>4</v>
      </c>
      <c r="F2046" s="1" t="n">
        <v>498.15</v>
      </c>
      <c r="G2046" s="1" t="n">
        <v>0.15</v>
      </c>
      <c r="H2046" s="1" t="s">
        <v>1336</v>
      </c>
      <c r="I2046" s="1" t="n">
        <v>1693.71</v>
      </c>
      <c r="J2046" s="1" t="str">
        <f aca="false">VLOOKUP(B2046,Customers!$A$2:$G$502,6,FALSE())</f>
        <v>Small Business</v>
      </c>
      <c r="K2046" s="1" t="str">
        <f aca="false">VLOOKUP(C2046,Products!$A$2:$E$62,3,FALSE())</f>
        <v>Electronics</v>
      </c>
      <c r="L2046" s="1" t="str">
        <f aca="false">TEXT(D2046,"yyyy-mm")</f>
        <v>2024-06</v>
      </c>
    </row>
    <row r="2047" customFormat="false" ht="15" hidden="false" customHeight="true" outlineLevel="0" collapsed="false">
      <c r="A2047" s="1" t="n">
        <v>2091</v>
      </c>
      <c r="B2047" s="1" t="n">
        <v>471</v>
      </c>
      <c r="C2047" s="1" t="n">
        <v>11</v>
      </c>
      <c r="D2047" s="1" t="s">
        <v>1680</v>
      </c>
      <c r="E2047" s="1" t="n">
        <v>7</v>
      </c>
      <c r="F2047" s="1" t="n">
        <v>328.39</v>
      </c>
      <c r="G2047" s="1" t="n">
        <v>0</v>
      </c>
      <c r="H2047" s="1" t="s">
        <v>1336</v>
      </c>
      <c r="I2047" s="1" t="n">
        <v>2298.73</v>
      </c>
      <c r="J2047" s="1" t="str">
        <f aca="false">VLOOKUP(B2047,Customers!$A$2:$G$502,6,FALSE())</f>
        <v>Small Business</v>
      </c>
      <c r="K2047" s="1" t="str">
        <f aca="false">VLOOKUP(C2047,Products!$A$2:$E$62,3,FALSE())</f>
        <v>Electronics</v>
      </c>
      <c r="L2047" s="1" t="str">
        <f aca="false">TEXT(D2047,"yyyy-mm")</f>
        <v>2023-05</v>
      </c>
    </row>
    <row r="2048" customFormat="false" ht="15" hidden="false" customHeight="true" outlineLevel="0" collapsed="false">
      <c r="A2048" s="1" t="n">
        <v>2092</v>
      </c>
      <c r="B2048" s="1" t="n">
        <v>286</v>
      </c>
      <c r="C2048" s="1" t="n">
        <v>18</v>
      </c>
      <c r="D2048" s="1" t="s">
        <v>1536</v>
      </c>
      <c r="E2048" s="1" t="n">
        <v>1</v>
      </c>
      <c r="F2048" s="1" t="n">
        <v>747.34</v>
      </c>
      <c r="G2048" s="1" t="n">
        <v>0</v>
      </c>
      <c r="H2048" s="1" t="s">
        <v>1336</v>
      </c>
      <c r="I2048" s="1" t="n">
        <v>747.34</v>
      </c>
      <c r="J2048" s="1" t="str">
        <f aca="false">VLOOKUP(B2048,Customers!$A$2:$G$502,6,FALSE())</f>
        <v>Corporate</v>
      </c>
      <c r="K2048" s="1" t="str">
        <f aca="false">VLOOKUP(C2048,Products!$A$2:$E$62,3,FALSE())</f>
        <v>Electronics</v>
      </c>
      <c r="L2048" s="1" t="str">
        <f aca="false">TEXT(D2048,"yyyy-mm")</f>
        <v>2023-11</v>
      </c>
    </row>
    <row r="2049" customFormat="false" ht="15" hidden="false" customHeight="true" outlineLevel="0" collapsed="false">
      <c r="A2049" s="1" t="n">
        <v>2093</v>
      </c>
      <c r="B2049" s="1" t="n">
        <v>91</v>
      </c>
      <c r="C2049" s="1" t="n">
        <v>28</v>
      </c>
      <c r="D2049" s="1" t="s">
        <v>136</v>
      </c>
      <c r="E2049" s="1" t="n">
        <v>7</v>
      </c>
      <c r="F2049" s="1" t="n">
        <v>505.23</v>
      </c>
      <c r="G2049" s="1" t="n">
        <v>0.2</v>
      </c>
      <c r="H2049" s="1" t="s">
        <v>1336</v>
      </c>
      <c r="I2049" s="1" t="n">
        <v>2829.29</v>
      </c>
      <c r="J2049" s="1" t="str">
        <f aca="false">VLOOKUP(B2049,Customers!$A$2:$G$502,6,FALSE())</f>
        <v>Consumer</v>
      </c>
      <c r="K2049" s="1" t="str">
        <f aca="false">VLOOKUP(C2049,Products!$A$2:$E$62,3,FALSE())</f>
        <v>Office Supplies</v>
      </c>
      <c r="L2049" s="1" t="str">
        <f aca="false">TEXT(D2049,"yyyy-mm")</f>
        <v>2024-06</v>
      </c>
    </row>
    <row r="2050" customFormat="false" ht="15" hidden="false" customHeight="true" outlineLevel="0" collapsed="false">
      <c r="A2050" s="1" t="n">
        <v>2094</v>
      </c>
      <c r="B2050" s="1" t="n">
        <v>256</v>
      </c>
      <c r="C2050" s="1" t="n">
        <v>4</v>
      </c>
      <c r="D2050" s="1" t="s">
        <v>825</v>
      </c>
      <c r="E2050" s="1" t="n">
        <v>1</v>
      </c>
      <c r="F2050" s="1" t="n">
        <v>56.24</v>
      </c>
      <c r="G2050" s="1" t="n">
        <v>0.05</v>
      </c>
      <c r="H2050" s="1" t="s">
        <v>1336</v>
      </c>
      <c r="I2050" s="1" t="n">
        <v>53.43</v>
      </c>
      <c r="J2050" s="1" t="str">
        <f aca="false">VLOOKUP(B2050,Customers!$A$2:$G$502,6,FALSE())</f>
        <v>Small Business</v>
      </c>
      <c r="K2050" s="1" t="str">
        <f aca="false">VLOOKUP(C2050,Products!$A$2:$E$62,3,FALSE())</f>
        <v>Electronics</v>
      </c>
      <c r="L2050" s="1" t="str">
        <f aca="false">TEXT(D2050,"yyyy-mm")</f>
        <v>2023-04</v>
      </c>
    </row>
    <row r="2051" customFormat="false" ht="15" hidden="false" customHeight="true" outlineLevel="0" collapsed="false">
      <c r="A2051" s="1" t="n">
        <v>2095</v>
      </c>
      <c r="B2051" s="1" t="n">
        <v>347</v>
      </c>
      <c r="C2051" s="1" t="n">
        <v>2</v>
      </c>
      <c r="D2051" s="1" t="s">
        <v>1111</v>
      </c>
      <c r="E2051" s="1" t="n">
        <v>2</v>
      </c>
      <c r="F2051" s="1" t="n">
        <v>498.15</v>
      </c>
      <c r="G2051" s="1" t="n">
        <v>0.1</v>
      </c>
      <c r="H2051" s="1" t="s">
        <v>1336</v>
      </c>
      <c r="I2051" s="1" t="n">
        <v>896.67</v>
      </c>
      <c r="J2051" s="1" t="str">
        <f aca="false">VLOOKUP(B2051,Customers!$A$2:$G$502,6,FALSE())</f>
        <v>Small Business</v>
      </c>
      <c r="K2051" s="1" t="str">
        <f aca="false">VLOOKUP(C2051,Products!$A$2:$E$62,3,FALSE())</f>
        <v>Electronics</v>
      </c>
      <c r="L2051" s="1" t="str">
        <f aca="false">TEXT(D2051,"yyyy-mm")</f>
        <v>2024-12</v>
      </c>
    </row>
    <row r="2052" customFormat="false" ht="15" hidden="false" customHeight="true" outlineLevel="0" collapsed="false">
      <c r="A2052" s="1" t="n">
        <v>2096</v>
      </c>
      <c r="B2052" s="1" t="n">
        <v>464</v>
      </c>
      <c r="C2052" s="1" t="n">
        <v>29</v>
      </c>
      <c r="D2052" s="1" t="s">
        <v>297</v>
      </c>
      <c r="E2052" s="1" t="n">
        <v>4</v>
      </c>
      <c r="F2052" s="1" t="n">
        <v>54.62</v>
      </c>
      <c r="G2052" s="1" t="n">
        <v>0.05</v>
      </c>
      <c r="H2052" s="1" t="s">
        <v>1336</v>
      </c>
      <c r="I2052" s="1" t="n">
        <v>207.56</v>
      </c>
      <c r="J2052" s="1" t="str">
        <f aca="false">VLOOKUP(B2052,Customers!$A$2:$G$502,6,FALSE())</f>
        <v>Consumer</v>
      </c>
      <c r="K2052" s="1" t="str">
        <f aca="false">VLOOKUP(C2052,Products!$A$2:$E$62,3,FALSE())</f>
        <v>Office Supplies</v>
      </c>
      <c r="L2052" s="1" t="str">
        <f aca="false">TEXT(D2052,"yyyy-mm")</f>
        <v>2024-04</v>
      </c>
    </row>
    <row r="2053" customFormat="false" ht="15" hidden="false" customHeight="true" outlineLevel="0" collapsed="false">
      <c r="A2053" s="1" t="n">
        <v>2097</v>
      </c>
      <c r="B2053" s="1" t="n">
        <v>100</v>
      </c>
      <c r="C2053" s="1" t="n">
        <v>30</v>
      </c>
      <c r="D2053" s="1" t="s">
        <v>1543</v>
      </c>
      <c r="E2053" s="1" t="n">
        <v>1</v>
      </c>
      <c r="F2053" s="1" t="n">
        <v>33.32</v>
      </c>
      <c r="G2053" s="1" t="n">
        <v>0</v>
      </c>
      <c r="H2053" s="1" t="s">
        <v>1336</v>
      </c>
      <c r="I2053" s="1" t="n">
        <v>33.32</v>
      </c>
      <c r="J2053" s="1" t="str">
        <f aca="false">VLOOKUP(B2053,Customers!$A$2:$G$502,6,FALSE())</f>
        <v>Consumer</v>
      </c>
      <c r="K2053" s="1" t="str">
        <f aca="false">VLOOKUP(C2053,Products!$A$2:$E$62,3,FALSE())</f>
        <v>Office Supplies</v>
      </c>
      <c r="L2053" s="1" t="str">
        <f aca="false">TEXT(D2053,"yyyy-mm")</f>
        <v>2023-01</v>
      </c>
    </row>
    <row r="2054" customFormat="false" ht="15" hidden="false" customHeight="true" outlineLevel="0" collapsed="false">
      <c r="A2054" s="1" t="n">
        <v>2098</v>
      </c>
      <c r="B2054" s="1" t="n">
        <v>323</v>
      </c>
      <c r="C2054" s="1" t="n">
        <v>45</v>
      </c>
      <c r="D2054" s="1" t="s">
        <v>1480</v>
      </c>
      <c r="E2054" s="1" t="n">
        <v>9</v>
      </c>
      <c r="F2054" s="1" t="n">
        <v>560.01</v>
      </c>
      <c r="G2054" s="1" t="n">
        <v>0.2</v>
      </c>
      <c r="H2054" s="1" t="s">
        <v>1336</v>
      </c>
      <c r="I2054" s="1" t="n">
        <v>4032.07</v>
      </c>
      <c r="J2054" s="1" t="str">
        <f aca="false">VLOOKUP(B2054,Customers!$A$2:$G$502,6,FALSE())</f>
        <v>Consumer</v>
      </c>
      <c r="K2054" s="1" t="str">
        <f aca="false">VLOOKUP(C2054,Products!$A$2:$E$62,3,FALSE())</f>
        <v>Software</v>
      </c>
      <c r="L2054" s="1" t="str">
        <f aca="false">TEXT(D2054,"yyyy-mm")</f>
        <v>2024-01</v>
      </c>
    </row>
    <row r="2055" customFormat="false" ht="15" hidden="false" customHeight="true" outlineLevel="0" collapsed="false">
      <c r="A2055" s="1" t="n">
        <v>2099</v>
      </c>
      <c r="B2055" s="1" t="n">
        <v>480</v>
      </c>
      <c r="C2055" s="1" t="n">
        <v>24</v>
      </c>
      <c r="D2055" s="1" t="s">
        <v>1277</v>
      </c>
      <c r="E2055" s="1" t="n">
        <v>6</v>
      </c>
      <c r="F2055" s="1" t="n">
        <v>207.34</v>
      </c>
      <c r="G2055" s="1" t="n">
        <v>0.15</v>
      </c>
      <c r="H2055" s="1" t="s">
        <v>1336</v>
      </c>
      <c r="I2055" s="1" t="n">
        <v>1057.43</v>
      </c>
      <c r="J2055" s="1" t="str">
        <f aca="false">VLOOKUP(B2055,Customers!$A$2:$G$502,6,FALSE())</f>
        <v>Unknown</v>
      </c>
      <c r="K2055" s="1" t="str">
        <f aca="false">VLOOKUP(C2055,Products!$A$2:$E$62,3,FALSE())</f>
        <v>Office Supplies</v>
      </c>
      <c r="L2055" s="1" t="str">
        <f aca="false">TEXT(D2055,"yyyy-mm")</f>
        <v>2023-11</v>
      </c>
    </row>
    <row r="2056" customFormat="false" ht="15" hidden="false" customHeight="true" outlineLevel="0" collapsed="false">
      <c r="A2056" s="1" t="n">
        <v>2100</v>
      </c>
      <c r="B2056" s="1" t="n">
        <v>248</v>
      </c>
      <c r="C2056" s="1" t="n">
        <v>55</v>
      </c>
      <c r="D2056" s="1" t="s">
        <v>68</v>
      </c>
      <c r="E2056" s="1" t="n">
        <v>1</v>
      </c>
      <c r="F2056" s="1" t="n">
        <v>123.38</v>
      </c>
      <c r="G2056" s="1" t="n">
        <v>0</v>
      </c>
      <c r="H2056" s="1" t="s">
        <v>1336</v>
      </c>
      <c r="I2056" s="1" t="n">
        <v>123.38</v>
      </c>
      <c r="J2056" s="1" t="str">
        <f aca="false">VLOOKUP(B2056,Customers!$A$2:$G$502,6,FALSE())</f>
        <v>Small Business</v>
      </c>
      <c r="K2056" s="1" t="str">
        <f aca="false">VLOOKUP(C2056,Products!$A$2:$E$62,3,FALSE())</f>
        <v>Furniture</v>
      </c>
      <c r="L2056" s="1" t="str">
        <f aca="false">TEXT(D2056,"yyyy-mm")</f>
        <v>2024-11</v>
      </c>
    </row>
    <row r="2057" customFormat="false" ht="15" hidden="false" customHeight="true" outlineLevel="0" collapsed="false">
      <c r="A2057" s="1" t="n">
        <v>2101</v>
      </c>
      <c r="B2057" s="1" t="n">
        <v>434</v>
      </c>
      <c r="C2057" s="1" t="n">
        <v>13</v>
      </c>
      <c r="D2057" s="1" t="s">
        <v>1269</v>
      </c>
      <c r="E2057" s="1" t="n">
        <v>1</v>
      </c>
      <c r="F2057" s="1" t="n">
        <v>352.54</v>
      </c>
      <c r="G2057" s="1" t="n">
        <v>0.05</v>
      </c>
      <c r="H2057" s="1" t="s">
        <v>1336</v>
      </c>
      <c r="I2057" s="1" t="n">
        <v>334.91</v>
      </c>
      <c r="J2057" s="1" t="str">
        <f aca="false">VLOOKUP(B2057,Customers!$A$2:$G$502,6,FALSE())</f>
        <v>Consumer</v>
      </c>
      <c r="K2057" s="1" t="str">
        <f aca="false">VLOOKUP(C2057,Products!$A$2:$E$62,3,FALSE())</f>
        <v>Electronics</v>
      </c>
      <c r="L2057" s="1" t="str">
        <f aca="false">TEXT(D2057,"yyyy-mm")</f>
        <v>2023-05</v>
      </c>
    </row>
    <row r="2058" customFormat="false" ht="15" hidden="false" customHeight="true" outlineLevel="0" collapsed="false">
      <c r="A2058" s="1" t="n">
        <v>2102</v>
      </c>
      <c r="B2058" s="1" t="n">
        <v>64</v>
      </c>
      <c r="C2058" s="1" t="n">
        <v>50</v>
      </c>
      <c r="D2058" s="1" t="s">
        <v>1350</v>
      </c>
      <c r="E2058" s="1" t="n">
        <v>6</v>
      </c>
      <c r="F2058" s="1" t="n">
        <v>19.73</v>
      </c>
      <c r="G2058" s="1" t="n">
        <v>0.2</v>
      </c>
      <c r="H2058" s="1" t="s">
        <v>1336</v>
      </c>
      <c r="I2058" s="1" t="n">
        <v>94.7</v>
      </c>
      <c r="J2058" s="1" t="str">
        <f aca="false">VLOOKUP(B2058,Customers!$A$2:$G$502,6,FALSE())</f>
        <v>Consumer</v>
      </c>
      <c r="K2058" s="1" t="str">
        <f aca="false">VLOOKUP(C2058,Products!$A$2:$E$62,3,FALSE())</f>
        <v>Software</v>
      </c>
      <c r="L2058" s="1" t="str">
        <f aca="false">TEXT(D2058,"yyyy-mm")</f>
        <v>2023-08</v>
      </c>
    </row>
    <row r="2059" customFormat="false" ht="15" hidden="false" customHeight="true" outlineLevel="0" collapsed="false">
      <c r="A2059" s="1" t="n">
        <v>2103</v>
      </c>
      <c r="B2059" s="1" t="n">
        <v>85</v>
      </c>
      <c r="C2059" s="1" t="n">
        <v>59</v>
      </c>
      <c r="D2059" s="1" t="s">
        <v>1516</v>
      </c>
      <c r="E2059" s="1" t="n">
        <v>4</v>
      </c>
      <c r="F2059" s="1" t="n">
        <v>438.89</v>
      </c>
      <c r="G2059" s="1" t="n">
        <v>0</v>
      </c>
      <c r="H2059" s="1" t="s">
        <v>1336</v>
      </c>
      <c r="I2059" s="1" t="n">
        <v>1755.56</v>
      </c>
      <c r="J2059" s="1" t="str">
        <f aca="false">VLOOKUP(B2059,Customers!$A$2:$G$502,6,FALSE())</f>
        <v>Consumer</v>
      </c>
      <c r="K2059" s="1" t="str">
        <f aca="false">VLOOKUP(C2059,Products!$A$2:$E$62,3,FALSE())</f>
        <v>Furniture</v>
      </c>
      <c r="L2059" s="1" t="str">
        <f aca="false">TEXT(D2059,"yyyy-mm")</f>
        <v>2023-02</v>
      </c>
    </row>
    <row r="2060" customFormat="false" ht="15" hidden="false" customHeight="true" outlineLevel="0" collapsed="false">
      <c r="A2060" s="1" t="n">
        <v>2104</v>
      </c>
      <c r="B2060" s="1" t="n">
        <v>266</v>
      </c>
      <c r="C2060" s="1" t="n">
        <v>50</v>
      </c>
      <c r="D2060" s="1" t="s">
        <v>1510</v>
      </c>
      <c r="E2060" s="1" t="n">
        <v>4</v>
      </c>
      <c r="F2060" s="1" t="n">
        <v>19.73</v>
      </c>
      <c r="G2060" s="1" t="n">
        <v>0</v>
      </c>
      <c r="H2060" s="1" t="s">
        <v>1346</v>
      </c>
      <c r="I2060" s="1" t="n">
        <v>78.92</v>
      </c>
      <c r="J2060" s="1" t="str">
        <f aca="false">VLOOKUP(B2060,Customers!$A$2:$G$502,6,FALSE())</f>
        <v>Corporate</v>
      </c>
      <c r="K2060" s="1" t="str">
        <f aca="false">VLOOKUP(C2060,Products!$A$2:$E$62,3,FALSE())</f>
        <v>Software</v>
      </c>
      <c r="L2060" s="1" t="str">
        <f aca="false">TEXT(D2060,"yyyy-mm")</f>
        <v>2024-02</v>
      </c>
    </row>
    <row r="2061" customFormat="false" ht="15" hidden="false" customHeight="true" outlineLevel="0" collapsed="false">
      <c r="A2061" s="1" t="n">
        <v>2105</v>
      </c>
      <c r="B2061" s="1" t="n">
        <v>324</v>
      </c>
      <c r="C2061" s="1" t="n">
        <v>55</v>
      </c>
      <c r="D2061" s="1" t="s">
        <v>1591</v>
      </c>
      <c r="E2061" s="1" t="n">
        <v>6</v>
      </c>
      <c r="F2061" s="1" t="n">
        <v>123.38</v>
      </c>
      <c r="G2061" s="1" t="n">
        <v>0.2</v>
      </c>
      <c r="H2061" s="1" t="s">
        <v>1336</v>
      </c>
      <c r="I2061" s="1" t="n">
        <v>592.22</v>
      </c>
      <c r="J2061" s="1" t="str">
        <f aca="false">VLOOKUP(B2061,Customers!$A$2:$G$502,6,FALSE())</f>
        <v>Consumer</v>
      </c>
      <c r="K2061" s="1" t="str">
        <f aca="false">VLOOKUP(C2061,Products!$A$2:$E$62,3,FALSE())</f>
        <v>Furniture</v>
      </c>
      <c r="L2061" s="1" t="str">
        <f aca="false">TEXT(D2061,"yyyy-mm")</f>
        <v>2024-05</v>
      </c>
    </row>
    <row r="2062" customFormat="false" ht="15" hidden="false" customHeight="true" outlineLevel="0" collapsed="false">
      <c r="A2062" s="1" t="n">
        <v>2106</v>
      </c>
      <c r="B2062" s="1" t="n">
        <v>424</v>
      </c>
      <c r="C2062" s="1" t="n">
        <v>58</v>
      </c>
      <c r="D2062" s="1" t="s">
        <v>719</v>
      </c>
      <c r="E2062" s="1" t="n">
        <v>7</v>
      </c>
      <c r="F2062" s="1" t="n">
        <v>515.55</v>
      </c>
      <c r="G2062" s="1" t="n">
        <v>0.15</v>
      </c>
      <c r="H2062" s="1" t="s">
        <v>1336</v>
      </c>
      <c r="I2062" s="1" t="n">
        <v>3067.52</v>
      </c>
      <c r="J2062" s="1" t="str">
        <f aca="false">VLOOKUP(B2062,Customers!$A$2:$G$502,6,FALSE())</f>
        <v>Small Business</v>
      </c>
      <c r="K2062" s="1" t="str">
        <f aca="false">VLOOKUP(C2062,Products!$A$2:$E$62,3,FALSE())</f>
        <v>Furniture</v>
      </c>
      <c r="L2062" s="1" t="str">
        <f aca="false">TEXT(D2062,"yyyy-mm")</f>
        <v>2024-11</v>
      </c>
    </row>
    <row r="2063" customFormat="false" ht="15" hidden="false" customHeight="true" outlineLevel="0" collapsed="false">
      <c r="A2063" s="1" t="n">
        <v>2107</v>
      </c>
      <c r="B2063" s="1" t="n">
        <v>395</v>
      </c>
      <c r="C2063" s="1" t="n">
        <v>53</v>
      </c>
      <c r="D2063" s="1" t="s">
        <v>191</v>
      </c>
      <c r="E2063" s="1" t="n">
        <v>9</v>
      </c>
      <c r="F2063" s="1" t="n">
        <v>509.98</v>
      </c>
      <c r="G2063" s="1" t="n">
        <v>0</v>
      </c>
      <c r="H2063" s="1" t="s">
        <v>1336</v>
      </c>
      <c r="I2063" s="1" t="n">
        <v>4589.82</v>
      </c>
      <c r="J2063" s="1" t="str">
        <f aca="false">VLOOKUP(B2063,Customers!$A$2:$G$502,6,FALSE())</f>
        <v>Consumer</v>
      </c>
      <c r="K2063" s="1" t="str">
        <f aca="false">VLOOKUP(C2063,Products!$A$2:$E$62,3,FALSE())</f>
        <v>Software</v>
      </c>
      <c r="L2063" s="1" t="str">
        <f aca="false">TEXT(D2063,"yyyy-mm")</f>
        <v>2024-03</v>
      </c>
    </row>
    <row r="2064" customFormat="false" ht="15" hidden="false" customHeight="true" outlineLevel="0" collapsed="false">
      <c r="A2064" s="1" t="n">
        <v>2108</v>
      </c>
      <c r="B2064" s="1" t="n">
        <v>1</v>
      </c>
      <c r="C2064" s="1" t="n">
        <v>19</v>
      </c>
      <c r="D2064" s="1" t="s">
        <v>1361</v>
      </c>
      <c r="E2064" s="1" t="n">
        <v>5</v>
      </c>
      <c r="F2064" s="1" t="n">
        <v>163.64</v>
      </c>
      <c r="G2064" s="1" t="n">
        <v>0.2</v>
      </c>
      <c r="H2064" s="1" t="s">
        <v>1336</v>
      </c>
      <c r="I2064" s="1" t="n">
        <v>654.56</v>
      </c>
      <c r="J2064" s="1" t="str">
        <f aca="false">VLOOKUP(B2064,Customers!$A$2:$G$502,6,FALSE())</f>
        <v>Consumer</v>
      </c>
      <c r="K2064" s="1" t="str">
        <f aca="false">VLOOKUP(C2064,Products!$A$2:$E$62,3,FALSE())</f>
        <v>Office Supplies</v>
      </c>
      <c r="L2064" s="1" t="str">
        <f aca="false">TEXT(D2064,"yyyy-mm")</f>
        <v>2024-01</v>
      </c>
    </row>
    <row r="2065" customFormat="false" ht="15" hidden="false" customHeight="true" outlineLevel="0" collapsed="false">
      <c r="A2065" s="1" t="n">
        <v>2109</v>
      </c>
      <c r="B2065" s="1" t="n">
        <v>401</v>
      </c>
      <c r="C2065" s="1" t="n">
        <v>23</v>
      </c>
      <c r="D2065" s="1" t="s">
        <v>87</v>
      </c>
      <c r="E2065" s="1" t="n">
        <v>9</v>
      </c>
      <c r="F2065" s="1" t="n">
        <v>188.73</v>
      </c>
      <c r="G2065" s="1" t="n">
        <v>0</v>
      </c>
      <c r="H2065" s="1" t="s">
        <v>1336</v>
      </c>
      <c r="I2065" s="1" t="n">
        <v>1698.57</v>
      </c>
      <c r="J2065" s="1" t="str">
        <f aca="false">VLOOKUP(B2065,Customers!$A$2:$G$502,6,FALSE())</f>
        <v>Consumer</v>
      </c>
      <c r="K2065" s="1" t="str">
        <f aca="false">VLOOKUP(C2065,Products!$A$2:$E$62,3,FALSE())</f>
        <v>Office Supplies</v>
      </c>
      <c r="L2065" s="1" t="str">
        <f aca="false">TEXT(D2065,"yyyy-mm")</f>
        <v>2023-08</v>
      </c>
    </row>
    <row r="2066" customFormat="false" ht="15" hidden="false" customHeight="true" outlineLevel="0" collapsed="false">
      <c r="A2066" s="1" t="n">
        <v>2110</v>
      </c>
      <c r="B2066" s="1" t="n">
        <v>241</v>
      </c>
      <c r="C2066" s="1" t="n">
        <v>26</v>
      </c>
      <c r="D2066" s="1" t="s">
        <v>286</v>
      </c>
      <c r="E2066" s="1" t="n">
        <v>4</v>
      </c>
      <c r="F2066" s="1" t="n">
        <v>733.85</v>
      </c>
      <c r="G2066" s="1" t="n">
        <v>0</v>
      </c>
      <c r="H2066" s="1" t="s">
        <v>1336</v>
      </c>
      <c r="I2066" s="1" t="n">
        <v>2935.4</v>
      </c>
      <c r="J2066" s="1" t="str">
        <f aca="false">VLOOKUP(B2066,Customers!$A$2:$G$502,6,FALSE())</f>
        <v>Small Business</v>
      </c>
      <c r="K2066" s="1" t="str">
        <f aca="false">VLOOKUP(C2066,Products!$A$2:$E$62,3,FALSE())</f>
        <v>Office Supplies</v>
      </c>
      <c r="L2066" s="1" t="str">
        <f aca="false">TEXT(D2066,"yyyy-mm")</f>
        <v>2023-04</v>
      </c>
    </row>
    <row r="2067" customFormat="false" ht="15" hidden="false" customHeight="true" outlineLevel="0" collapsed="false">
      <c r="A2067" s="1" t="n">
        <v>2111</v>
      </c>
      <c r="B2067" s="1" t="n">
        <v>255</v>
      </c>
      <c r="C2067" s="1" t="n">
        <v>51</v>
      </c>
      <c r="D2067" s="1" t="s">
        <v>1519</v>
      </c>
      <c r="E2067" s="1" t="n">
        <v>2</v>
      </c>
      <c r="F2067" s="1" t="n">
        <v>30.16</v>
      </c>
      <c r="G2067" s="1" t="n">
        <v>0.2</v>
      </c>
      <c r="H2067" s="1" t="s">
        <v>1336</v>
      </c>
      <c r="I2067" s="1" t="n">
        <v>48.26</v>
      </c>
      <c r="J2067" s="1" t="str">
        <f aca="false">VLOOKUP(B2067,Customers!$A$2:$G$502,6,FALSE())</f>
        <v>Corporate</v>
      </c>
      <c r="K2067" s="1" t="str">
        <f aca="false">VLOOKUP(C2067,Products!$A$2:$E$62,3,FALSE())</f>
        <v>Software</v>
      </c>
      <c r="L2067" s="1" t="str">
        <f aca="false">TEXT(D2067,"yyyy-mm")</f>
        <v>2023-05</v>
      </c>
    </row>
    <row r="2068" customFormat="false" ht="15" hidden="false" customHeight="true" outlineLevel="0" collapsed="false">
      <c r="A2068" s="1" t="n">
        <v>2112</v>
      </c>
      <c r="B2068" s="1" t="n">
        <v>51</v>
      </c>
      <c r="C2068" s="1" t="n">
        <v>1</v>
      </c>
      <c r="D2068" s="1" t="s">
        <v>1348</v>
      </c>
      <c r="E2068" s="1" t="n">
        <v>3</v>
      </c>
      <c r="F2068" s="1" t="n">
        <v>327.32</v>
      </c>
      <c r="G2068" s="1" t="n">
        <v>0</v>
      </c>
      <c r="H2068" s="1" t="s">
        <v>1336</v>
      </c>
      <c r="I2068" s="1" t="n">
        <v>981.96</v>
      </c>
      <c r="J2068" s="1" t="str">
        <f aca="false">VLOOKUP(B2068,Customers!$A$2:$G$502,6,FALSE())</f>
        <v>Corporate</v>
      </c>
      <c r="K2068" s="1" t="str">
        <f aca="false">VLOOKUP(C2068,Products!$A$2:$E$62,3,FALSE())</f>
        <v>Electronics</v>
      </c>
      <c r="L2068" s="1" t="str">
        <f aca="false">TEXT(D2068,"yyyy-mm")</f>
        <v>2024-05</v>
      </c>
    </row>
    <row r="2069" customFormat="false" ht="15" hidden="false" customHeight="true" outlineLevel="0" collapsed="false">
      <c r="A2069" s="1" t="n">
        <v>2113</v>
      </c>
      <c r="B2069" s="1" t="n">
        <v>284</v>
      </c>
      <c r="C2069" s="1" t="n">
        <v>15</v>
      </c>
      <c r="D2069" s="1" t="s">
        <v>1357</v>
      </c>
      <c r="E2069" s="1" t="n">
        <v>1</v>
      </c>
      <c r="F2069" s="1" t="n">
        <v>304.95</v>
      </c>
      <c r="G2069" s="1" t="n">
        <v>0.15</v>
      </c>
      <c r="H2069" s="1" t="s">
        <v>1336</v>
      </c>
      <c r="I2069" s="1" t="n">
        <v>259.21</v>
      </c>
      <c r="J2069" s="1" t="str">
        <f aca="false">VLOOKUP(B2069,Customers!$A$2:$G$502,6,FALSE())</f>
        <v>Consumer</v>
      </c>
      <c r="K2069" s="1" t="str">
        <f aca="false">VLOOKUP(C2069,Products!$A$2:$E$62,3,FALSE())</f>
        <v>Electronics</v>
      </c>
      <c r="L2069" s="1" t="str">
        <f aca="false">TEXT(D2069,"yyyy-mm")</f>
        <v>2024-07</v>
      </c>
    </row>
    <row r="2070" customFormat="false" ht="15" hidden="false" customHeight="true" outlineLevel="0" collapsed="false">
      <c r="A2070" s="1" t="n">
        <v>2114</v>
      </c>
      <c r="B2070" s="1" t="n">
        <v>253</v>
      </c>
      <c r="C2070" s="1" t="n">
        <v>43</v>
      </c>
      <c r="D2070" s="1" t="s">
        <v>717</v>
      </c>
      <c r="E2070" s="1" t="n">
        <v>6</v>
      </c>
      <c r="F2070" s="1" t="n">
        <v>186.31</v>
      </c>
      <c r="G2070" s="1" t="n">
        <v>0.05</v>
      </c>
      <c r="H2070" s="1" t="s">
        <v>1346</v>
      </c>
      <c r="I2070" s="1" t="n">
        <v>1061.97</v>
      </c>
      <c r="J2070" s="1" t="str">
        <f aca="false">VLOOKUP(B2070,Customers!$A$2:$G$502,6,FALSE())</f>
        <v>Consumer</v>
      </c>
      <c r="K2070" s="1" t="str">
        <f aca="false">VLOOKUP(C2070,Products!$A$2:$E$62,3,FALSE())</f>
        <v>Software</v>
      </c>
      <c r="L2070" s="1" t="str">
        <f aca="false">TEXT(D2070,"yyyy-mm")</f>
        <v>2024-10</v>
      </c>
    </row>
    <row r="2071" customFormat="false" ht="15" hidden="false" customHeight="true" outlineLevel="0" collapsed="false">
      <c r="A2071" s="1" t="n">
        <v>2115</v>
      </c>
      <c r="B2071" s="1" t="n">
        <v>207</v>
      </c>
      <c r="C2071" s="1" t="n">
        <v>31</v>
      </c>
      <c r="D2071" s="1" t="s">
        <v>1578</v>
      </c>
      <c r="E2071" s="1" t="n">
        <v>6</v>
      </c>
      <c r="F2071" s="1" t="n">
        <v>224.86</v>
      </c>
      <c r="G2071" s="1" t="n">
        <v>0</v>
      </c>
      <c r="H2071" s="1" t="s">
        <v>1336</v>
      </c>
      <c r="I2071" s="1" t="n">
        <v>1349.16</v>
      </c>
      <c r="J2071" s="1" t="str">
        <f aca="false">VLOOKUP(B2071,Customers!$A$2:$G$502,6,FALSE())</f>
        <v>Corporate</v>
      </c>
      <c r="K2071" s="1" t="str">
        <f aca="false">VLOOKUP(C2071,Products!$A$2:$E$62,3,FALSE())</f>
        <v>Office Supplies</v>
      </c>
      <c r="L2071" s="1" t="str">
        <f aca="false">TEXT(D2071,"yyyy-mm")</f>
        <v>2023-07</v>
      </c>
    </row>
    <row r="2072" customFormat="false" ht="15" hidden="false" customHeight="true" outlineLevel="0" collapsed="false">
      <c r="A2072" s="1" t="n">
        <v>2117</v>
      </c>
      <c r="B2072" s="1" t="n">
        <v>55</v>
      </c>
      <c r="C2072" s="1" t="n">
        <v>49</v>
      </c>
      <c r="D2072" s="1" t="s">
        <v>1384</v>
      </c>
      <c r="E2072" s="1" t="n">
        <v>3</v>
      </c>
      <c r="F2072" s="1" t="n">
        <v>325.17</v>
      </c>
      <c r="G2072" s="1" t="n">
        <v>0</v>
      </c>
      <c r="H2072" s="1" t="s">
        <v>1336</v>
      </c>
      <c r="I2072" s="1" t="n">
        <v>975.51</v>
      </c>
      <c r="J2072" s="1" t="str">
        <f aca="false">VLOOKUP(B2072,Customers!$A$2:$G$502,6,FALSE())</f>
        <v>Consumer</v>
      </c>
      <c r="K2072" s="1" t="str">
        <f aca="false">VLOOKUP(C2072,Products!$A$2:$E$62,3,FALSE())</f>
        <v>Software</v>
      </c>
      <c r="L2072" s="1" t="str">
        <f aca="false">TEXT(D2072,"yyyy-mm")</f>
        <v>2024-09</v>
      </c>
    </row>
    <row r="2073" customFormat="false" ht="15" hidden="false" customHeight="true" outlineLevel="0" collapsed="false">
      <c r="A2073" s="1" t="n">
        <v>2118</v>
      </c>
      <c r="B2073" s="1" t="n">
        <v>380</v>
      </c>
      <c r="C2073" s="1" t="n">
        <v>37</v>
      </c>
      <c r="D2073" s="1" t="s">
        <v>565</v>
      </c>
      <c r="E2073" s="1" t="n">
        <v>5</v>
      </c>
      <c r="F2073" s="1" t="n">
        <v>13.95</v>
      </c>
      <c r="G2073" s="1" t="n">
        <v>0.15</v>
      </c>
      <c r="H2073" s="1" t="s">
        <v>1336</v>
      </c>
      <c r="I2073" s="1" t="n">
        <v>59.29</v>
      </c>
      <c r="J2073" s="1" t="str">
        <f aca="false">VLOOKUP(B2073,Customers!$A$2:$G$502,6,FALSE())</f>
        <v>Small Business</v>
      </c>
      <c r="K2073" s="1" t="str">
        <f aca="false">VLOOKUP(C2073,Products!$A$2:$E$62,3,FALSE())</f>
        <v>Software</v>
      </c>
      <c r="L2073" s="1" t="str">
        <f aca="false">TEXT(D2073,"yyyy-mm")</f>
        <v>2023-06</v>
      </c>
    </row>
    <row r="2074" customFormat="false" ht="15" hidden="false" customHeight="true" outlineLevel="0" collapsed="false">
      <c r="A2074" s="1" t="n">
        <v>2119</v>
      </c>
      <c r="B2074" s="1" t="n">
        <v>376</v>
      </c>
      <c r="C2074" s="1" t="n">
        <v>23</v>
      </c>
      <c r="D2074" s="1" t="s">
        <v>1571</v>
      </c>
      <c r="E2074" s="1" t="n">
        <v>3</v>
      </c>
      <c r="F2074" s="1" t="n">
        <v>188.73</v>
      </c>
      <c r="G2074" s="1" t="n">
        <v>0</v>
      </c>
      <c r="H2074" s="1" t="s">
        <v>1336</v>
      </c>
      <c r="I2074" s="1" t="n">
        <v>566.19</v>
      </c>
      <c r="J2074" s="1" t="str">
        <f aca="false">VLOOKUP(B2074,Customers!$A$2:$G$502,6,FALSE())</f>
        <v>Consumer</v>
      </c>
      <c r="K2074" s="1" t="str">
        <f aca="false">VLOOKUP(C2074,Products!$A$2:$E$62,3,FALSE())</f>
        <v>Office Supplies</v>
      </c>
      <c r="L2074" s="1" t="str">
        <f aca="false">TEXT(D2074,"yyyy-mm")</f>
        <v>2024-02</v>
      </c>
    </row>
    <row r="2075" customFormat="false" ht="15" hidden="false" customHeight="true" outlineLevel="0" collapsed="false">
      <c r="A2075" s="1" t="n">
        <v>2120</v>
      </c>
      <c r="B2075" s="1" t="n">
        <v>109</v>
      </c>
      <c r="C2075" s="1" t="n">
        <v>24</v>
      </c>
      <c r="D2075" s="1" t="s">
        <v>1547</v>
      </c>
      <c r="E2075" s="1" t="n">
        <v>3</v>
      </c>
      <c r="F2075" s="1" t="n">
        <v>207.34</v>
      </c>
      <c r="G2075" s="1" t="n">
        <v>0</v>
      </c>
      <c r="H2075" s="1" t="s">
        <v>1346</v>
      </c>
      <c r="I2075" s="1" t="n">
        <v>622.02</v>
      </c>
      <c r="J2075" s="1" t="str">
        <f aca="false">VLOOKUP(B2075,Customers!$A$2:$G$502,6,FALSE())</f>
        <v>Small Business</v>
      </c>
      <c r="K2075" s="1" t="str">
        <f aca="false">VLOOKUP(C2075,Products!$A$2:$E$62,3,FALSE())</f>
        <v>Office Supplies</v>
      </c>
      <c r="L2075" s="1" t="str">
        <f aca="false">TEXT(D2075,"yyyy-mm")</f>
        <v>2024-11</v>
      </c>
    </row>
    <row r="2076" customFormat="false" ht="15" hidden="false" customHeight="true" outlineLevel="0" collapsed="false">
      <c r="A2076" s="1" t="n">
        <v>2121</v>
      </c>
      <c r="B2076" s="1" t="n">
        <v>246</v>
      </c>
      <c r="C2076" s="1" t="n">
        <v>56</v>
      </c>
      <c r="D2076" s="1" t="s">
        <v>12</v>
      </c>
      <c r="E2076" s="1" t="n">
        <v>3</v>
      </c>
      <c r="F2076" s="1" t="n">
        <v>160.64</v>
      </c>
      <c r="G2076" s="1" t="n">
        <v>0</v>
      </c>
      <c r="H2076" s="1" t="s">
        <v>1336</v>
      </c>
      <c r="I2076" s="1" t="n">
        <v>481.92</v>
      </c>
      <c r="J2076" s="1" t="str">
        <f aca="false">VLOOKUP(B2076,Customers!$A$2:$G$502,6,FALSE())</f>
        <v>Small Business</v>
      </c>
      <c r="K2076" s="1" t="str">
        <f aca="false">VLOOKUP(C2076,Products!$A$2:$E$62,3,FALSE())</f>
        <v>Furniture</v>
      </c>
      <c r="L2076" s="1" t="str">
        <f aca="false">TEXT(D2076,"yyyy-mm")</f>
        <v>2023-09</v>
      </c>
    </row>
    <row r="2077" customFormat="false" ht="15" hidden="false" customHeight="true" outlineLevel="0" collapsed="false">
      <c r="A2077" s="1" t="n">
        <v>2122</v>
      </c>
      <c r="B2077" s="1" t="n">
        <v>407</v>
      </c>
      <c r="C2077" s="1" t="n">
        <v>32</v>
      </c>
      <c r="D2077" s="1" t="s">
        <v>374</v>
      </c>
      <c r="E2077" s="1" t="n">
        <v>5</v>
      </c>
      <c r="F2077" s="1" t="n">
        <v>492.27</v>
      </c>
      <c r="G2077" s="1" t="n">
        <v>0</v>
      </c>
      <c r="H2077" s="1" t="s">
        <v>1336</v>
      </c>
      <c r="I2077" s="1" t="n">
        <v>2461.35</v>
      </c>
      <c r="J2077" s="1" t="str">
        <f aca="false">VLOOKUP(B2077,Customers!$A$2:$G$502,6,FALSE())</f>
        <v>Consumer</v>
      </c>
      <c r="K2077" s="1" t="str">
        <f aca="false">VLOOKUP(C2077,Products!$A$2:$E$62,3,FALSE())</f>
        <v>Office Supplies</v>
      </c>
      <c r="L2077" s="1" t="str">
        <f aca="false">TEXT(D2077,"yyyy-mm")</f>
        <v>2023-10</v>
      </c>
    </row>
    <row r="2078" customFormat="false" ht="15" hidden="false" customHeight="true" outlineLevel="0" collapsed="false">
      <c r="A2078" s="1" t="n">
        <v>2123</v>
      </c>
      <c r="B2078" s="1" t="n">
        <v>287</v>
      </c>
      <c r="C2078" s="1" t="n">
        <v>20</v>
      </c>
      <c r="D2078" s="1" t="s">
        <v>501</v>
      </c>
      <c r="E2078" s="1" t="n">
        <v>5</v>
      </c>
      <c r="F2078" s="1" t="n">
        <v>426.15</v>
      </c>
      <c r="G2078" s="1" t="n">
        <v>0.15</v>
      </c>
      <c r="H2078" s="1" t="s">
        <v>1336</v>
      </c>
      <c r="I2078" s="1" t="n">
        <v>1811.14</v>
      </c>
      <c r="J2078" s="1" t="str">
        <f aca="false">VLOOKUP(B2078,Customers!$A$2:$G$502,6,FALSE())</f>
        <v>Corporate</v>
      </c>
      <c r="K2078" s="1" t="str">
        <f aca="false">VLOOKUP(C2078,Products!$A$2:$E$62,3,FALSE())</f>
        <v>Office Supplies</v>
      </c>
      <c r="L2078" s="1" t="str">
        <f aca="false">TEXT(D2078,"yyyy-mm")</f>
        <v>2023-05</v>
      </c>
    </row>
    <row r="2079" customFormat="false" ht="15" hidden="false" customHeight="true" outlineLevel="0" collapsed="false">
      <c r="A2079" s="1" t="n">
        <v>2124</v>
      </c>
      <c r="B2079" s="1" t="n">
        <v>397</v>
      </c>
      <c r="C2079" s="1" t="n">
        <v>25</v>
      </c>
      <c r="D2079" s="1" t="s">
        <v>1407</v>
      </c>
      <c r="E2079" s="1" t="n">
        <v>4</v>
      </c>
      <c r="F2079" s="1" t="n">
        <v>300.49</v>
      </c>
      <c r="G2079" s="1" t="n">
        <v>0.05</v>
      </c>
      <c r="H2079" s="1" t="s">
        <v>1336</v>
      </c>
      <c r="I2079" s="1" t="n">
        <v>1141.86</v>
      </c>
      <c r="J2079" s="1" t="str">
        <f aca="false">VLOOKUP(B2079,Customers!$A$2:$G$502,6,FALSE())</f>
        <v>Consumer</v>
      </c>
      <c r="K2079" s="1" t="str">
        <f aca="false">VLOOKUP(C2079,Products!$A$2:$E$62,3,FALSE())</f>
        <v>Office Supplies</v>
      </c>
      <c r="L2079" s="1" t="str">
        <f aca="false">TEXT(D2079,"yyyy-mm")</f>
        <v>2023-06</v>
      </c>
    </row>
    <row r="2080" customFormat="false" ht="15" hidden="false" customHeight="true" outlineLevel="0" collapsed="false">
      <c r="A2080" s="1" t="n">
        <v>2125</v>
      </c>
      <c r="B2080" s="1" t="n">
        <v>293</v>
      </c>
      <c r="C2080" s="1" t="n">
        <v>54</v>
      </c>
      <c r="D2080" s="1" t="s">
        <v>1681</v>
      </c>
      <c r="E2080" s="1" t="n">
        <v>1</v>
      </c>
      <c r="F2080" s="1" t="n">
        <v>312.01</v>
      </c>
      <c r="G2080" s="1" t="n">
        <v>0.15</v>
      </c>
      <c r="H2080" s="1" t="s">
        <v>1336</v>
      </c>
      <c r="I2080" s="1" t="n">
        <v>265.21</v>
      </c>
      <c r="J2080" s="1" t="str">
        <f aca="false">VLOOKUP(B2080,Customers!$A$2:$G$502,6,FALSE())</f>
        <v>Small Business</v>
      </c>
      <c r="K2080" s="1" t="str">
        <f aca="false">VLOOKUP(C2080,Products!$A$2:$E$62,3,FALSE())</f>
        <v>Software</v>
      </c>
      <c r="L2080" s="1" t="str">
        <f aca="false">TEXT(D2080,"yyyy-mm")</f>
        <v>2024-04</v>
      </c>
    </row>
    <row r="2081" customFormat="false" ht="15" hidden="false" customHeight="true" outlineLevel="0" collapsed="false">
      <c r="A2081" s="1" t="n">
        <v>2126</v>
      </c>
      <c r="B2081" s="1" t="n">
        <v>24</v>
      </c>
      <c r="C2081" s="1" t="n">
        <v>24</v>
      </c>
      <c r="D2081" s="1" t="s">
        <v>1682</v>
      </c>
      <c r="E2081" s="1" t="n">
        <v>5</v>
      </c>
      <c r="F2081" s="1" t="n">
        <v>207.34</v>
      </c>
      <c r="G2081" s="1" t="n">
        <v>0</v>
      </c>
      <c r="H2081" s="1" t="s">
        <v>1336</v>
      </c>
      <c r="I2081" s="1" t="n">
        <v>1036.7</v>
      </c>
      <c r="J2081" s="1" t="str">
        <f aca="false">VLOOKUP(B2081,Customers!$A$2:$G$502,6,FALSE())</f>
        <v>Consumer</v>
      </c>
      <c r="K2081" s="1" t="str">
        <f aca="false">VLOOKUP(C2081,Products!$A$2:$E$62,3,FALSE())</f>
        <v>Office Supplies</v>
      </c>
      <c r="L2081" s="1" t="str">
        <f aca="false">TEXT(D2081,"yyyy-mm")</f>
        <v>2023-11</v>
      </c>
    </row>
    <row r="2082" customFormat="false" ht="15" hidden="false" customHeight="true" outlineLevel="0" collapsed="false">
      <c r="A2082" s="1" t="n">
        <v>2127</v>
      </c>
      <c r="B2082" s="1" t="n">
        <v>189</v>
      </c>
      <c r="C2082" s="1" t="n">
        <v>6</v>
      </c>
      <c r="D2082" s="1" t="s">
        <v>1449</v>
      </c>
      <c r="E2082" s="1" t="n">
        <v>5</v>
      </c>
      <c r="F2082" s="1" t="n">
        <v>28.51</v>
      </c>
      <c r="G2082" s="1" t="n">
        <v>0.15</v>
      </c>
      <c r="H2082" s="1" t="s">
        <v>1336</v>
      </c>
      <c r="I2082" s="1" t="n">
        <v>121.17</v>
      </c>
      <c r="J2082" s="1" t="str">
        <f aca="false">VLOOKUP(B2082,Customers!$A$2:$G$502,6,FALSE())</f>
        <v>Small Business</v>
      </c>
      <c r="K2082" s="1" t="str">
        <f aca="false">VLOOKUP(C2082,Products!$A$2:$E$62,3,FALSE())</f>
        <v>Electronics</v>
      </c>
      <c r="L2082" s="1" t="str">
        <f aca="false">TEXT(D2082,"yyyy-mm")</f>
        <v>2024-03</v>
      </c>
    </row>
    <row r="2083" customFormat="false" ht="15" hidden="false" customHeight="true" outlineLevel="0" collapsed="false">
      <c r="A2083" s="1" t="n">
        <v>2128</v>
      </c>
      <c r="B2083" s="1" t="n">
        <v>169</v>
      </c>
      <c r="C2083" s="1" t="n">
        <v>28</v>
      </c>
      <c r="D2083" s="1" t="s">
        <v>283</v>
      </c>
      <c r="E2083" s="1" t="n">
        <v>4</v>
      </c>
      <c r="F2083" s="1" t="n">
        <v>505.23</v>
      </c>
      <c r="G2083" s="1" t="n">
        <v>0</v>
      </c>
      <c r="H2083" s="1" t="s">
        <v>1336</v>
      </c>
      <c r="I2083" s="1" t="n">
        <v>2020.92</v>
      </c>
      <c r="J2083" s="1" t="str">
        <f aca="false">VLOOKUP(B2083,Customers!$A$2:$G$502,6,FALSE())</f>
        <v>Consumer</v>
      </c>
      <c r="K2083" s="1" t="str">
        <f aca="false">VLOOKUP(C2083,Products!$A$2:$E$62,3,FALSE())</f>
        <v>Office Supplies</v>
      </c>
      <c r="L2083" s="1" t="str">
        <f aca="false">TEXT(D2083,"yyyy-mm")</f>
        <v>2023-10</v>
      </c>
    </row>
    <row r="2084" customFormat="false" ht="15" hidden="false" customHeight="true" outlineLevel="0" collapsed="false">
      <c r="A2084" s="1" t="n">
        <v>2129</v>
      </c>
      <c r="B2084" s="1" t="n">
        <v>109</v>
      </c>
      <c r="C2084" s="1" t="n">
        <v>38</v>
      </c>
      <c r="D2084" s="1" t="s">
        <v>1627</v>
      </c>
      <c r="E2084" s="1" t="n">
        <v>6</v>
      </c>
      <c r="F2084" s="1" t="n">
        <v>521.63</v>
      </c>
      <c r="G2084" s="1" t="n">
        <v>0.05</v>
      </c>
      <c r="H2084" s="1" t="s">
        <v>1336</v>
      </c>
      <c r="I2084" s="1" t="n">
        <v>2973.29</v>
      </c>
      <c r="J2084" s="1" t="str">
        <f aca="false">VLOOKUP(B2084,Customers!$A$2:$G$502,6,FALSE())</f>
        <v>Small Business</v>
      </c>
      <c r="K2084" s="1" t="str">
        <f aca="false">VLOOKUP(C2084,Products!$A$2:$E$62,3,FALSE())</f>
        <v>Software</v>
      </c>
      <c r="L2084" s="1" t="str">
        <f aca="false">TEXT(D2084,"yyyy-mm")</f>
        <v>2023-11</v>
      </c>
    </row>
    <row r="2085" customFormat="false" ht="15" hidden="false" customHeight="true" outlineLevel="0" collapsed="false">
      <c r="A2085" s="1" t="n">
        <v>2131</v>
      </c>
      <c r="B2085" s="1" t="n">
        <v>319</v>
      </c>
      <c r="C2085" s="1" t="n">
        <v>56</v>
      </c>
      <c r="D2085" s="1" t="s">
        <v>103</v>
      </c>
      <c r="E2085" s="1" t="n">
        <v>7</v>
      </c>
      <c r="F2085" s="1" t="n">
        <v>160.64</v>
      </c>
      <c r="G2085" s="1" t="n">
        <v>0.05</v>
      </c>
      <c r="H2085" s="1" t="s">
        <v>1336</v>
      </c>
      <c r="I2085" s="1" t="n">
        <v>1068.26</v>
      </c>
      <c r="J2085" s="1" t="str">
        <f aca="false">VLOOKUP(B2085,Customers!$A$2:$G$502,6,FALSE())</f>
        <v>Corporate</v>
      </c>
      <c r="K2085" s="1" t="str">
        <f aca="false">VLOOKUP(C2085,Products!$A$2:$E$62,3,FALSE())</f>
        <v>Furniture</v>
      </c>
      <c r="L2085" s="1" t="str">
        <f aca="false">TEXT(D2085,"yyyy-mm")</f>
        <v>2024-10</v>
      </c>
    </row>
    <row r="2086" customFormat="false" ht="15" hidden="false" customHeight="true" outlineLevel="0" collapsed="false">
      <c r="A2086" s="1" t="n">
        <v>2132</v>
      </c>
      <c r="B2086" s="1" t="n">
        <v>482</v>
      </c>
      <c r="C2086" s="1" t="n">
        <v>13</v>
      </c>
      <c r="D2086" s="1" t="s">
        <v>969</v>
      </c>
      <c r="E2086" s="1" t="n">
        <v>7</v>
      </c>
      <c r="F2086" s="1" t="n">
        <v>352.54</v>
      </c>
      <c r="G2086" s="1" t="n">
        <v>0</v>
      </c>
      <c r="H2086" s="1" t="s">
        <v>1336</v>
      </c>
      <c r="I2086" s="1" t="n">
        <v>2467.78</v>
      </c>
      <c r="J2086" s="1" t="str">
        <f aca="false">VLOOKUP(B2086,Customers!$A$2:$G$502,6,FALSE())</f>
        <v>Small Business</v>
      </c>
      <c r="K2086" s="1" t="str">
        <f aca="false">VLOOKUP(C2086,Products!$A$2:$E$62,3,FALSE())</f>
        <v>Electronics</v>
      </c>
      <c r="L2086" s="1" t="str">
        <f aca="false">TEXT(D2086,"yyyy-mm")</f>
        <v>2024-08</v>
      </c>
    </row>
    <row r="2087" customFormat="false" ht="15" hidden="false" customHeight="true" outlineLevel="0" collapsed="false">
      <c r="A2087" s="1" t="n">
        <v>2133</v>
      </c>
      <c r="B2087" s="1" t="n">
        <v>273</v>
      </c>
      <c r="C2087" s="1" t="n">
        <v>37</v>
      </c>
      <c r="D2087" s="1" t="s">
        <v>1162</v>
      </c>
      <c r="E2087" s="1" t="n">
        <v>2</v>
      </c>
      <c r="F2087" s="1" t="n">
        <v>13.95</v>
      </c>
      <c r="G2087" s="1" t="n">
        <v>0.05</v>
      </c>
      <c r="H2087" s="1" t="s">
        <v>1336</v>
      </c>
      <c r="I2087" s="1" t="n">
        <v>26.5</v>
      </c>
      <c r="J2087" s="1" t="str">
        <f aca="false">VLOOKUP(B2087,Customers!$A$2:$G$502,6,FALSE())</f>
        <v>Corporate</v>
      </c>
      <c r="K2087" s="1" t="str">
        <f aca="false">VLOOKUP(C2087,Products!$A$2:$E$62,3,FALSE())</f>
        <v>Software</v>
      </c>
      <c r="L2087" s="1" t="str">
        <f aca="false">TEXT(D2087,"yyyy-mm")</f>
        <v>2024-10</v>
      </c>
    </row>
    <row r="2088" customFormat="false" ht="15" hidden="false" customHeight="true" outlineLevel="0" collapsed="false">
      <c r="A2088" s="1" t="n">
        <v>2134</v>
      </c>
      <c r="B2088" s="1" t="n">
        <v>85</v>
      </c>
      <c r="C2088" s="1" t="n">
        <v>28</v>
      </c>
      <c r="D2088" s="1" t="s">
        <v>1147</v>
      </c>
      <c r="E2088" s="1" t="n">
        <v>3</v>
      </c>
      <c r="F2088" s="1" t="n">
        <v>505.23</v>
      </c>
      <c r="G2088" s="1" t="n">
        <v>0.05</v>
      </c>
      <c r="H2088" s="1" t="s">
        <v>1336</v>
      </c>
      <c r="I2088" s="1" t="n">
        <v>1439.91</v>
      </c>
      <c r="J2088" s="1" t="str">
        <f aca="false">VLOOKUP(B2088,Customers!$A$2:$G$502,6,FALSE())</f>
        <v>Consumer</v>
      </c>
      <c r="K2088" s="1" t="str">
        <f aca="false">VLOOKUP(C2088,Products!$A$2:$E$62,3,FALSE())</f>
        <v>Office Supplies</v>
      </c>
      <c r="L2088" s="1" t="str">
        <f aca="false">TEXT(D2088,"yyyy-mm")</f>
        <v>2024-05</v>
      </c>
    </row>
    <row r="2089" customFormat="false" ht="15" hidden="false" customHeight="true" outlineLevel="0" collapsed="false">
      <c r="A2089" s="1" t="n">
        <v>2135</v>
      </c>
      <c r="B2089" s="1" t="n">
        <v>225</v>
      </c>
      <c r="C2089" s="1" t="n">
        <v>42</v>
      </c>
      <c r="D2089" s="1" t="s">
        <v>750</v>
      </c>
      <c r="E2089" s="1" t="n">
        <v>1</v>
      </c>
      <c r="F2089" s="1" t="n">
        <v>174.48</v>
      </c>
      <c r="G2089" s="1" t="n">
        <v>0.15</v>
      </c>
      <c r="H2089" s="1" t="s">
        <v>1336</v>
      </c>
      <c r="I2089" s="1" t="n">
        <v>148.31</v>
      </c>
      <c r="J2089" s="1" t="str">
        <f aca="false">VLOOKUP(B2089,Customers!$A$2:$G$502,6,FALSE())</f>
        <v>Consumer</v>
      </c>
      <c r="K2089" s="1" t="str">
        <f aca="false">VLOOKUP(C2089,Products!$A$2:$E$62,3,FALSE())</f>
        <v>Software</v>
      </c>
      <c r="L2089" s="1" t="str">
        <f aca="false">TEXT(D2089,"yyyy-mm")</f>
        <v>2024-02</v>
      </c>
    </row>
    <row r="2090" customFormat="false" ht="15" hidden="false" customHeight="true" outlineLevel="0" collapsed="false">
      <c r="A2090" s="1" t="n">
        <v>2136</v>
      </c>
      <c r="B2090" s="1" t="n">
        <v>272</v>
      </c>
      <c r="C2090" s="1" t="n">
        <v>35</v>
      </c>
      <c r="D2090" s="1" t="s">
        <v>1507</v>
      </c>
      <c r="E2090" s="1" t="n">
        <v>8</v>
      </c>
      <c r="F2090" s="1" t="n">
        <v>75.78</v>
      </c>
      <c r="G2090" s="1" t="n">
        <v>0.05</v>
      </c>
      <c r="H2090" s="1" t="s">
        <v>1336</v>
      </c>
      <c r="I2090" s="1" t="n">
        <v>575.93</v>
      </c>
      <c r="J2090" s="1" t="str">
        <f aca="false">VLOOKUP(B2090,Customers!$A$2:$G$502,6,FALSE())</f>
        <v>Consumer</v>
      </c>
      <c r="K2090" s="1" t="str">
        <f aca="false">VLOOKUP(C2090,Products!$A$2:$E$62,3,FALSE())</f>
        <v>Software</v>
      </c>
      <c r="L2090" s="1" t="str">
        <f aca="false">TEXT(D2090,"yyyy-mm")</f>
        <v>2024-09</v>
      </c>
    </row>
    <row r="2091" customFormat="false" ht="15" hidden="false" customHeight="true" outlineLevel="0" collapsed="false">
      <c r="A2091" s="1" t="n">
        <v>2137</v>
      </c>
      <c r="B2091" s="1" t="n">
        <v>107</v>
      </c>
      <c r="C2091" s="1" t="n">
        <v>41</v>
      </c>
      <c r="D2091" s="1" t="s">
        <v>513</v>
      </c>
      <c r="E2091" s="1" t="n">
        <v>9</v>
      </c>
      <c r="F2091" s="1" t="n">
        <v>594.54</v>
      </c>
      <c r="G2091" s="1" t="n">
        <v>0.1</v>
      </c>
      <c r="H2091" s="1" t="s">
        <v>1346</v>
      </c>
      <c r="I2091" s="1" t="n">
        <v>4815.77</v>
      </c>
      <c r="J2091" s="1" t="str">
        <f aca="false">VLOOKUP(B2091,Customers!$A$2:$G$502,6,FALSE())</f>
        <v>Consumer</v>
      </c>
      <c r="K2091" s="1" t="str">
        <f aca="false">VLOOKUP(C2091,Products!$A$2:$E$62,3,FALSE())</f>
        <v>Software</v>
      </c>
      <c r="L2091" s="1" t="str">
        <f aca="false">TEXT(D2091,"yyyy-mm")</f>
        <v>2024-12</v>
      </c>
    </row>
    <row r="2092" customFormat="false" ht="15" hidden="false" customHeight="true" outlineLevel="0" collapsed="false">
      <c r="A2092" s="1" t="n">
        <v>2138</v>
      </c>
      <c r="B2092" s="1" t="n">
        <v>47</v>
      </c>
      <c r="C2092" s="1" t="n">
        <v>41</v>
      </c>
      <c r="D2092" s="1" t="s">
        <v>1508</v>
      </c>
      <c r="E2092" s="1" t="n">
        <v>4</v>
      </c>
      <c r="F2092" s="1" t="n">
        <v>594.54</v>
      </c>
      <c r="G2092" s="1" t="n">
        <v>0</v>
      </c>
      <c r="H2092" s="1" t="s">
        <v>1336</v>
      </c>
      <c r="I2092" s="1" t="n">
        <v>2378.16</v>
      </c>
      <c r="J2092" s="1" t="str">
        <f aca="false">VLOOKUP(B2092,Customers!$A$2:$G$502,6,FALSE())</f>
        <v>Small Business</v>
      </c>
      <c r="K2092" s="1" t="str">
        <f aca="false">VLOOKUP(C2092,Products!$A$2:$E$62,3,FALSE())</f>
        <v>Software</v>
      </c>
      <c r="L2092" s="1" t="str">
        <f aca="false">TEXT(D2092,"yyyy-mm")</f>
        <v>2024-01</v>
      </c>
    </row>
    <row r="2093" customFormat="false" ht="15" hidden="false" customHeight="true" outlineLevel="0" collapsed="false">
      <c r="A2093" s="1" t="n">
        <v>2139</v>
      </c>
      <c r="B2093" s="1" t="n">
        <v>297</v>
      </c>
      <c r="C2093" s="1" t="n">
        <v>41</v>
      </c>
      <c r="D2093" s="1" t="s">
        <v>1422</v>
      </c>
      <c r="E2093" s="1" t="n">
        <v>6</v>
      </c>
      <c r="F2093" s="1" t="n">
        <v>594.54</v>
      </c>
      <c r="G2093" s="1" t="n">
        <v>0</v>
      </c>
      <c r="H2093" s="1" t="s">
        <v>1336</v>
      </c>
      <c r="I2093" s="1" t="n">
        <v>3567.24</v>
      </c>
      <c r="J2093" s="1" t="str">
        <f aca="false">VLOOKUP(B2093,Customers!$A$2:$G$502,6,FALSE())</f>
        <v>Corporate</v>
      </c>
      <c r="K2093" s="1" t="str">
        <f aca="false">VLOOKUP(C2093,Products!$A$2:$E$62,3,FALSE())</f>
        <v>Software</v>
      </c>
      <c r="L2093" s="1" t="str">
        <f aca="false">TEXT(D2093,"yyyy-mm")</f>
        <v>2023-12</v>
      </c>
    </row>
    <row r="2094" customFormat="false" ht="15" hidden="false" customHeight="true" outlineLevel="0" collapsed="false">
      <c r="A2094" s="1" t="n">
        <v>2140</v>
      </c>
      <c r="B2094" s="1" t="n">
        <v>181</v>
      </c>
      <c r="C2094" s="1" t="n">
        <v>54</v>
      </c>
      <c r="D2094" s="1" t="s">
        <v>1645</v>
      </c>
      <c r="E2094" s="1" t="n">
        <v>9</v>
      </c>
      <c r="F2094" s="1" t="n">
        <v>312.01</v>
      </c>
      <c r="G2094" s="1" t="n">
        <v>0.2</v>
      </c>
      <c r="H2094" s="1" t="s">
        <v>1336</v>
      </c>
      <c r="I2094" s="1" t="n">
        <v>2246.47</v>
      </c>
      <c r="J2094" s="1" t="str">
        <f aca="false">VLOOKUP(B2094,Customers!$A$2:$G$502,6,FALSE())</f>
        <v>Small Business</v>
      </c>
      <c r="K2094" s="1" t="str">
        <f aca="false">VLOOKUP(C2094,Products!$A$2:$E$62,3,FALSE())</f>
        <v>Software</v>
      </c>
      <c r="L2094" s="1" t="str">
        <f aca="false">TEXT(D2094,"yyyy-mm")</f>
        <v>2023-01</v>
      </c>
    </row>
    <row r="2095" customFormat="false" ht="15" hidden="false" customHeight="true" outlineLevel="0" collapsed="false">
      <c r="A2095" s="1" t="n">
        <v>2141</v>
      </c>
      <c r="B2095" s="1" t="n">
        <v>328</v>
      </c>
      <c r="C2095" s="1" t="n">
        <v>30</v>
      </c>
      <c r="D2095" s="1" t="s">
        <v>1530</v>
      </c>
      <c r="E2095" s="1" t="n">
        <v>6</v>
      </c>
      <c r="F2095" s="1" t="n">
        <v>33.32</v>
      </c>
      <c r="G2095" s="1" t="n">
        <v>0.05</v>
      </c>
      <c r="H2095" s="1" t="s">
        <v>1336</v>
      </c>
      <c r="I2095" s="1" t="n">
        <v>189.92</v>
      </c>
      <c r="J2095" s="1" t="str">
        <f aca="false">VLOOKUP(B2095,Customers!$A$2:$G$502,6,FALSE())</f>
        <v>Consumer</v>
      </c>
      <c r="K2095" s="1" t="str">
        <f aca="false">VLOOKUP(C2095,Products!$A$2:$E$62,3,FALSE())</f>
        <v>Office Supplies</v>
      </c>
      <c r="L2095" s="1" t="str">
        <f aca="false">TEXT(D2095,"yyyy-mm")</f>
        <v>2023-10</v>
      </c>
    </row>
    <row r="2096" customFormat="false" ht="15" hidden="false" customHeight="true" outlineLevel="0" collapsed="false">
      <c r="A2096" s="1" t="n">
        <v>2142</v>
      </c>
      <c r="B2096" s="1" t="n">
        <v>238</v>
      </c>
      <c r="C2096" s="1" t="n">
        <v>26</v>
      </c>
      <c r="D2096" s="1" t="s">
        <v>1506</v>
      </c>
      <c r="E2096" s="1" t="n">
        <v>9</v>
      </c>
      <c r="F2096" s="1" t="n">
        <v>733.85</v>
      </c>
      <c r="G2096" s="1" t="n">
        <v>0</v>
      </c>
      <c r="H2096" s="1" t="s">
        <v>1336</v>
      </c>
      <c r="I2096" s="1" t="n">
        <v>6604.65</v>
      </c>
      <c r="J2096" s="1" t="str">
        <f aca="false">VLOOKUP(B2096,Customers!$A$2:$G$502,6,FALSE())</f>
        <v>Corporate</v>
      </c>
      <c r="K2096" s="1" t="str">
        <f aca="false">VLOOKUP(C2096,Products!$A$2:$E$62,3,FALSE())</f>
        <v>Office Supplies</v>
      </c>
      <c r="L2096" s="1" t="str">
        <f aca="false">TEXT(D2096,"yyyy-mm")</f>
        <v>2023-11</v>
      </c>
    </row>
    <row r="2097" customFormat="false" ht="15" hidden="false" customHeight="true" outlineLevel="0" collapsed="false">
      <c r="A2097" s="1" t="n">
        <v>2143</v>
      </c>
      <c r="B2097" s="1" t="n">
        <v>230</v>
      </c>
      <c r="C2097" s="1" t="n">
        <v>38</v>
      </c>
      <c r="D2097" s="1" t="s">
        <v>194</v>
      </c>
      <c r="E2097" s="1" t="n">
        <v>4</v>
      </c>
      <c r="F2097" s="1" t="n">
        <v>521.63</v>
      </c>
      <c r="G2097" s="1" t="n">
        <v>0</v>
      </c>
      <c r="H2097" s="1" t="s">
        <v>1346</v>
      </c>
      <c r="I2097" s="1" t="n">
        <v>2086.52</v>
      </c>
      <c r="J2097" s="1" t="str">
        <f aca="false">VLOOKUP(B2097,Customers!$A$2:$G$502,6,FALSE())</f>
        <v>Corporate</v>
      </c>
      <c r="K2097" s="1" t="str">
        <f aca="false">VLOOKUP(C2097,Products!$A$2:$E$62,3,FALSE())</f>
        <v>Software</v>
      </c>
      <c r="L2097" s="1" t="str">
        <f aca="false">TEXT(D2097,"yyyy-mm")</f>
        <v>2024-04</v>
      </c>
    </row>
    <row r="2098" customFormat="false" ht="15" hidden="false" customHeight="true" outlineLevel="0" collapsed="false">
      <c r="A2098" s="1" t="n">
        <v>2144</v>
      </c>
      <c r="B2098" s="1" t="n">
        <v>178</v>
      </c>
      <c r="C2098" s="1" t="n">
        <v>28</v>
      </c>
      <c r="D2098" s="1" t="s">
        <v>1456</v>
      </c>
      <c r="E2098" s="1" t="n">
        <v>8</v>
      </c>
      <c r="F2098" s="1" t="n">
        <v>505.23</v>
      </c>
      <c r="G2098" s="1" t="n">
        <v>0</v>
      </c>
      <c r="H2098" s="1" t="s">
        <v>1336</v>
      </c>
      <c r="I2098" s="1" t="n">
        <v>4041.84</v>
      </c>
      <c r="J2098" s="1" t="str">
        <f aca="false">VLOOKUP(B2098,Customers!$A$2:$G$502,6,FALSE())</f>
        <v>Consumer</v>
      </c>
      <c r="K2098" s="1" t="str">
        <f aca="false">VLOOKUP(C2098,Products!$A$2:$E$62,3,FALSE())</f>
        <v>Office Supplies</v>
      </c>
      <c r="L2098" s="1" t="str">
        <f aca="false">TEXT(D2098,"yyyy-mm")</f>
        <v>2024-12</v>
      </c>
    </row>
    <row r="2099" customFormat="false" ht="15" hidden="false" customHeight="true" outlineLevel="0" collapsed="false">
      <c r="A2099" s="1" t="n">
        <v>2145</v>
      </c>
      <c r="B2099" s="1" t="n">
        <v>162</v>
      </c>
      <c r="C2099" s="1" t="n">
        <v>45</v>
      </c>
      <c r="D2099" s="1" t="s">
        <v>822</v>
      </c>
      <c r="E2099" s="1" t="n">
        <v>9</v>
      </c>
      <c r="F2099" s="1" t="n">
        <v>560.01</v>
      </c>
      <c r="G2099" s="1" t="n">
        <v>0.05</v>
      </c>
      <c r="H2099" s="1" t="s">
        <v>1336</v>
      </c>
      <c r="I2099" s="1" t="n">
        <v>4788.09</v>
      </c>
      <c r="J2099" s="1" t="str">
        <f aca="false">VLOOKUP(B2099,Customers!$A$2:$G$502,6,FALSE())</f>
        <v>Small Business</v>
      </c>
      <c r="K2099" s="1" t="str">
        <f aca="false">VLOOKUP(C2099,Products!$A$2:$E$62,3,FALSE())</f>
        <v>Software</v>
      </c>
      <c r="L2099" s="1" t="str">
        <f aca="false">TEXT(D2099,"yyyy-mm")</f>
        <v>2023-08</v>
      </c>
    </row>
    <row r="2100" customFormat="false" ht="15" hidden="false" customHeight="true" outlineLevel="0" collapsed="false">
      <c r="A2100" s="1" t="n">
        <v>2146</v>
      </c>
      <c r="B2100" s="1" t="n">
        <v>219</v>
      </c>
      <c r="C2100" s="1" t="n">
        <v>40</v>
      </c>
      <c r="D2100" s="1" t="s">
        <v>1472</v>
      </c>
      <c r="E2100" s="1" t="n">
        <v>4</v>
      </c>
      <c r="F2100" s="1" t="n">
        <v>193.02</v>
      </c>
      <c r="G2100" s="1" t="n">
        <v>0.05</v>
      </c>
      <c r="H2100" s="1" t="s">
        <v>1336</v>
      </c>
      <c r="I2100" s="1" t="n">
        <v>733.48</v>
      </c>
      <c r="J2100" s="1" t="str">
        <f aca="false">VLOOKUP(B2100,Customers!$A$2:$G$502,6,FALSE())</f>
        <v>Small Business</v>
      </c>
      <c r="K2100" s="1" t="str">
        <f aca="false">VLOOKUP(C2100,Products!$A$2:$E$62,3,FALSE())</f>
        <v>Software</v>
      </c>
      <c r="L2100" s="1" t="str">
        <f aca="false">TEXT(D2100,"yyyy-mm")</f>
        <v>2023-07</v>
      </c>
    </row>
    <row r="2101" customFormat="false" ht="15" hidden="false" customHeight="true" outlineLevel="0" collapsed="false">
      <c r="A2101" s="1" t="n">
        <v>2147</v>
      </c>
      <c r="B2101" s="1" t="n">
        <v>71</v>
      </c>
      <c r="C2101" s="1" t="n">
        <v>37</v>
      </c>
      <c r="D2101" s="1" t="s">
        <v>202</v>
      </c>
      <c r="E2101" s="1" t="n">
        <v>5</v>
      </c>
      <c r="F2101" s="1" t="n">
        <v>13.95</v>
      </c>
      <c r="G2101" s="1" t="n">
        <v>0.05</v>
      </c>
      <c r="H2101" s="1" t="s">
        <v>1336</v>
      </c>
      <c r="I2101" s="1" t="n">
        <v>66.26</v>
      </c>
      <c r="J2101" s="1" t="str">
        <f aca="false">VLOOKUP(B2101,Customers!$A$2:$G$502,6,FALSE())</f>
        <v>Corporate</v>
      </c>
      <c r="K2101" s="1" t="str">
        <f aca="false">VLOOKUP(C2101,Products!$A$2:$E$62,3,FALSE())</f>
        <v>Software</v>
      </c>
      <c r="L2101" s="1" t="str">
        <f aca="false">TEXT(D2101,"yyyy-mm")</f>
        <v>2024-12</v>
      </c>
    </row>
    <row r="2102" customFormat="false" ht="15" hidden="false" customHeight="true" outlineLevel="0" collapsed="false">
      <c r="A2102" s="1" t="n">
        <v>2148</v>
      </c>
      <c r="B2102" s="1" t="n">
        <v>369</v>
      </c>
      <c r="C2102" s="1" t="n">
        <v>1</v>
      </c>
      <c r="D2102" s="1" t="s">
        <v>257</v>
      </c>
      <c r="E2102" s="1" t="n">
        <v>8</v>
      </c>
      <c r="F2102" s="1" t="n">
        <v>327.32</v>
      </c>
      <c r="G2102" s="1" t="n">
        <v>0</v>
      </c>
      <c r="H2102" s="1" t="s">
        <v>1336</v>
      </c>
      <c r="I2102" s="1" t="n">
        <v>2618.56</v>
      </c>
      <c r="J2102" s="1" t="str">
        <f aca="false">VLOOKUP(B2102,Customers!$A$2:$G$502,6,FALSE())</f>
        <v>Corporate</v>
      </c>
      <c r="K2102" s="1" t="str">
        <f aca="false">VLOOKUP(C2102,Products!$A$2:$E$62,3,FALSE())</f>
        <v>Electronics</v>
      </c>
      <c r="L2102" s="1" t="str">
        <f aca="false">TEXT(D2102,"yyyy-mm")</f>
        <v>2023-07</v>
      </c>
    </row>
    <row r="2103" customFormat="false" ht="15" hidden="false" customHeight="true" outlineLevel="0" collapsed="false">
      <c r="A2103" s="1" t="n">
        <v>2149</v>
      </c>
      <c r="B2103" s="1" t="n">
        <v>106</v>
      </c>
      <c r="C2103" s="1" t="n">
        <v>28</v>
      </c>
      <c r="D2103" s="1" t="s">
        <v>761</v>
      </c>
      <c r="E2103" s="1" t="n">
        <v>6</v>
      </c>
      <c r="F2103" s="1" t="n">
        <v>505.23</v>
      </c>
      <c r="G2103" s="1" t="n">
        <v>0</v>
      </c>
      <c r="H2103" s="1" t="s">
        <v>1370</v>
      </c>
      <c r="I2103" s="1" t="n">
        <v>3031.38</v>
      </c>
      <c r="J2103" s="1" t="str">
        <f aca="false">VLOOKUP(B2103,Customers!$A$2:$G$502,6,FALSE())</f>
        <v>Small Business</v>
      </c>
      <c r="K2103" s="1" t="str">
        <f aca="false">VLOOKUP(C2103,Products!$A$2:$E$62,3,FALSE())</f>
        <v>Office Supplies</v>
      </c>
      <c r="L2103" s="1" t="str">
        <f aca="false">TEXT(D2103,"yyyy-mm")</f>
        <v>2023-11</v>
      </c>
    </row>
    <row r="2104" customFormat="false" ht="15" hidden="false" customHeight="true" outlineLevel="0" collapsed="false">
      <c r="A2104" s="1" t="n">
        <v>2150</v>
      </c>
      <c r="B2104" s="1" t="n">
        <v>318</v>
      </c>
      <c r="C2104" s="1" t="n">
        <v>55</v>
      </c>
      <c r="D2104" s="1" t="s">
        <v>1624</v>
      </c>
      <c r="E2104" s="1" t="n">
        <v>7</v>
      </c>
      <c r="F2104" s="1" t="n">
        <v>123.38</v>
      </c>
      <c r="G2104" s="1" t="n">
        <v>0.2</v>
      </c>
      <c r="H2104" s="1" t="s">
        <v>1336</v>
      </c>
      <c r="I2104" s="1" t="n">
        <v>690.93</v>
      </c>
      <c r="J2104" s="1" t="str">
        <f aca="false">VLOOKUP(B2104,Customers!$A$2:$G$502,6,FALSE())</f>
        <v>Consumer</v>
      </c>
      <c r="K2104" s="1" t="str">
        <f aca="false">VLOOKUP(C2104,Products!$A$2:$E$62,3,FALSE())</f>
        <v>Furniture</v>
      </c>
      <c r="L2104" s="1" t="str">
        <f aca="false">TEXT(D2104,"yyyy-mm")</f>
        <v>2024-07</v>
      </c>
    </row>
    <row r="2105" customFormat="false" ht="15" hidden="false" customHeight="true" outlineLevel="0" collapsed="false">
      <c r="A2105" s="1" t="n">
        <v>2151</v>
      </c>
      <c r="B2105" s="1" t="n">
        <v>212</v>
      </c>
      <c r="C2105" s="1" t="n">
        <v>43</v>
      </c>
      <c r="D2105" s="1" t="s">
        <v>235</v>
      </c>
      <c r="E2105" s="1" t="n">
        <v>3</v>
      </c>
      <c r="F2105" s="1" t="n">
        <v>186.31</v>
      </c>
      <c r="G2105" s="1" t="n">
        <v>0</v>
      </c>
      <c r="H2105" s="1" t="s">
        <v>1336</v>
      </c>
      <c r="I2105" s="1" t="n">
        <v>558.93</v>
      </c>
      <c r="J2105" s="1" t="str">
        <f aca="false">VLOOKUP(B2105,Customers!$A$2:$G$502,6,FALSE())</f>
        <v>Consumer</v>
      </c>
      <c r="K2105" s="1" t="str">
        <f aca="false">VLOOKUP(C2105,Products!$A$2:$E$62,3,FALSE())</f>
        <v>Software</v>
      </c>
      <c r="L2105" s="1" t="str">
        <f aca="false">TEXT(D2105,"yyyy-mm")</f>
        <v>2024-03</v>
      </c>
    </row>
    <row r="2106" customFormat="false" ht="15" hidden="false" customHeight="true" outlineLevel="0" collapsed="false">
      <c r="A2106" s="1" t="n">
        <v>2152</v>
      </c>
      <c r="B2106" s="1" t="n">
        <v>473</v>
      </c>
      <c r="C2106" s="1" t="n">
        <v>19</v>
      </c>
      <c r="D2106" s="1" t="s">
        <v>1177</v>
      </c>
      <c r="E2106" s="1" t="n">
        <v>7</v>
      </c>
      <c r="F2106" s="1" t="n">
        <v>163.64</v>
      </c>
      <c r="G2106" s="1" t="n">
        <v>0</v>
      </c>
      <c r="H2106" s="1" t="s">
        <v>1336</v>
      </c>
      <c r="I2106" s="1" t="n">
        <v>1145.48</v>
      </c>
      <c r="J2106" s="1" t="str">
        <f aca="false">VLOOKUP(B2106,Customers!$A$2:$G$502,6,FALSE())</f>
        <v>Small Business</v>
      </c>
      <c r="K2106" s="1" t="str">
        <f aca="false">VLOOKUP(C2106,Products!$A$2:$E$62,3,FALSE())</f>
        <v>Office Supplies</v>
      </c>
      <c r="L2106" s="1" t="str">
        <f aca="false">TEXT(D2106,"yyyy-mm")</f>
        <v>2023-08</v>
      </c>
    </row>
    <row r="2107" customFormat="false" ht="15" hidden="false" customHeight="true" outlineLevel="0" collapsed="false">
      <c r="A2107" s="1" t="n">
        <v>2153</v>
      </c>
      <c r="B2107" s="1" t="n">
        <v>63</v>
      </c>
      <c r="C2107" s="1" t="n">
        <v>26</v>
      </c>
      <c r="D2107" s="1" t="s">
        <v>1445</v>
      </c>
      <c r="E2107" s="1" t="n">
        <v>8</v>
      </c>
      <c r="F2107" s="1" t="n">
        <v>733.85</v>
      </c>
      <c r="G2107" s="1" t="n">
        <v>0.1</v>
      </c>
      <c r="H2107" s="1" t="s">
        <v>1336</v>
      </c>
      <c r="I2107" s="1" t="n">
        <v>5283.72</v>
      </c>
      <c r="J2107" s="1" t="str">
        <f aca="false">VLOOKUP(B2107,Customers!$A$2:$G$502,6,FALSE())</f>
        <v>Consumer</v>
      </c>
      <c r="K2107" s="1" t="str">
        <f aca="false">VLOOKUP(C2107,Products!$A$2:$E$62,3,FALSE())</f>
        <v>Office Supplies</v>
      </c>
      <c r="L2107" s="1" t="str">
        <f aca="false">TEXT(D2107,"yyyy-mm")</f>
        <v>2024-08</v>
      </c>
    </row>
    <row r="2108" customFormat="false" ht="15" hidden="false" customHeight="true" outlineLevel="0" collapsed="false">
      <c r="A2108" s="1" t="n">
        <v>2154</v>
      </c>
      <c r="B2108" s="1" t="n">
        <v>440</v>
      </c>
      <c r="C2108" s="1" t="n">
        <v>17</v>
      </c>
      <c r="D2108" s="1" t="s">
        <v>374</v>
      </c>
      <c r="E2108" s="1" t="n">
        <v>6</v>
      </c>
      <c r="F2108" s="1" t="n">
        <v>65.61</v>
      </c>
      <c r="G2108" s="1" t="n">
        <v>0.1</v>
      </c>
      <c r="H2108" s="1" t="s">
        <v>1336</v>
      </c>
      <c r="I2108" s="1" t="n">
        <v>354.29</v>
      </c>
      <c r="J2108" s="1" t="str">
        <f aca="false">VLOOKUP(B2108,Customers!$A$2:$G$502,6,FALSE())</f>
        <v>Small Business</v>
      </c>
      <c r="K2108" s="1" t="str">
        <f aca="false">VLOOKUP(C2108,Products!$A$2:$E$62,3,FALSE())</f>
        <v>Electronics</v>
      </c>
      <c r="L2108" s="1" t="str">
        <f aca="false">TEXT(D2108,"yyyy-mm")</f>
        <v>2023-10</v>
      </c>
    </row>
    <row r="2109" customFormat="false" ht="15" hidden="false" customHeight="true" outlineLevel="0" collapsed="false">
      <c r="A2109" s="1" t="n">
        <v>2155</v>
      </c>
      <c r="B2109" s="1" t="n">
        <v>136</v>
      </c>
      <c r="C2109" s="1" t="n">
        <v>2</v>
      </c>
      <c r="D2109" s="1" t="s">
        <v>659</v>
      </c>
      <c r="E2109" s="1" t="n">
        <v>9</v>
      </c>
      <c r="F2109" s="1" t="n">
        <v>498.15</v>
      </c>
      <c r="G2109" s="1" t="n">
        <v>0.2</v>
      </c>
      <c r="H2109" s="1" t="s">
        <v>1336</v>
      </c>
      <c r="I2109" s="1" t="n">
        <v>3586.68</v>
      </c>
      <c r="J2109" s="1" t="str">
        <f aca="false">VLOOKUP(B2109,Customers!$A$2:$G$502,6,FALSE())</f>
        <v>Corporate</v>
      </c>
      <c r="K2109" s="1" t="str">
        <f aca="false">VLOOKUP(C2109,Products!$A$2:$E$62,3,FALSE())</f>
        <v>Electronics</v>
      </c>
      <c r="L2109" s="1" t="str">
        <f aca="false">TEXT(D2109,"yyyy-mm")</f>
        <v>2024-06</v>
      </c>
    </row>
    <row r="2110" customFormat="false" ht="15" hidden="false" customHeight="true" outlineLevel="0" collapsed="false">
      <c r="A2110" s="1" t="n">
        <v>2156</v>
      </c>
      <c r="B2110" s="1" t="n">
        <v>25</v>
      </c>
      <c r="C2110" s="1" t="n">
        <v>38</v>
      </c>
      <c r="D2110" s="1" t="s">
        <v>325</v>
      </c>
      <c r="E2110" s="1" t="n">
        <v>6</v>
      </c>
      <c r="F2110" s="1" t="n">
        <v>521.63</v>
      </c>
      <c r="G2110" s="1" t="n">
        <v>0.1</v>
      </c>
      <c r="H2110" s="1" t="s">
        <v>1336</v>
      </c>
      <c r="I2110" s="1" t="n">
        <v>2816.8</v>
      </c>
      <c r="J2110" s="1" t="str">
        <f aca="false">VLOOKUP(B2110,Customers!$A$2:$G$502,6,FALSE())</f>
        <v>Corporate</v>
      </c>
      <c r="K2110" s="1" t="str">
        <f aca="false">VLOOKUP(C2110,Products!$A$2:$E$62,3,FALSE())</f>
        <v>Software</v>
      </c>
      <c r="L2110" s="1" t="str">
        <f aca="false">TEXT(D2110,"yyyy-mm")</f>
        <v>2023-12</v>
      </c>
    </row>
    <row r="2111" customFormat="false" ht="15" hidden="false" customHeight="true" outlineLevel="0" collapsed="false">
      <c r="A2111" s="1" t="n">
        <v>2157</v>
      </c>
      <c r="B2111" s="1" t="n">
        <v>295</v>
      </c>
      <c r="C2111" s="1" t="n">
        <v>43</v>
      </c>
      <c r="D2111" s="1" t="s">
        <v>611</v>
      </c>
      <c r="E2111" s="1" t="n">
        <v>9</v>
      </c>
      <c r="F2111" s="1" t="n">
        <v>186.31</v>
      </c>
      <c r="G2111" s="1" t="n">
        <v>0.15</v>
      </c>
      <c r="H2111" s="1" t="s">
        <v>1336</v>
      </c>
      <c r="I2111" s="1" t="n">
        <v>1425.27</v>
      </c>
      <c r="J2111" s="1" t="str">
        <f aca="false">VLOOKUP(B2111,Customers!$A$2:$G$502,6,FALSE())</f>
        <v>Small Business</v>
      </c>
      <c r="K2111" s="1" t="str">
        <f aca="false">VLOOKUP(C2111,Products!$A$2:$E$62,3,FALSE())</f>
        <v>Software</v>
      </c>
      <c r="L2111" s="1" t="str">
        <f aca="false">TEXT(D2111,"yyyy-mm")</f>
        <v>2024-06</v>
      </c>
    </row>
    <row r="2112" customFormat="false" ht="15" hidden="false" customHeight="true" outlineLevel="0" collapsed="false">
      <c r="A2112" s="1" t="n">
        <v>2158</v>
      </c>
      <c r="B2112" s="1" t="n">
        <v>128</v>
      </c>
      <c r="C2112" s="1" t="n">
        <v>11</v>
      </c>
      <c r="D2112" s="1" t="s">
        <v>904</v>
      </c>
      <c r="E2112" s="1" t="n">
        <v>4</v>
      </c>
      <c r="F2112" s="1" t="n">
        <v>328.39</v>
      </c>
      <c r="G2112" s="1" t="n">
        <v>0</v>
      </c>
      <c r="H2112" s="1" t="s">
        <v>1370</v>
      </c>
      <c r="I2112" s="1" t="n">
        <v>1313.56</v>
      </c>
      <c r="J2112" s="1" t="str">
        <f aca="false">VLOOKUP(B2112,Customers!$A$2:$G$502,6,FALSE())</f>
        <v>Consumer</v>
      </c>
      <c r="K2112" s="1" t="str">
        <f aca="false">VLOOKUP(C2112,Products!$A$2:$E$62,3,FALSE())</f>
        <v>Electronics</v>
      </c>
      <c r="L2112" s="1" t="str">
        <f aca="false">TEXT(D2112,"yyyy-mm")</f>
        <v>2023-04</v>
      </c>
    </row>
    <row r="2113" customFormat="false" ht="15" hidden="false" customHeight="true" outlineLevel="0" collapsed="false">
      <c r="A2113" s="1" t="n">
        <v>2159</v>
      </c>
      <c r="B2113" s="1" t="n">
        <v>89</v>
      </c>
      <c r="C2113" s="1" t="n">
        <v>8</v>
      </c>
      <c r="D2113" s="1" t="s">
        <v>623</v>
      </c>
      <c r="E2113" s="1" t="n">
        <v>8</v>
      </c>
      <c r="F2113" s="1" t="n">
        <v>104.4</v>
      </c>
      <c r="G2113" s="1" t="n">
        <v>0.2</v>
      </c>
      <c r="H2113" s="1" t="s">
        <v>1336</v>
      </c>
      <c r="I2113" s="1" t="n">
        <v>668.16</v>
      </c>
      <c r="J2113" s="1" t="str">
        <f aca="false">VLOOKUP(B2113,Customers!$A$2:$G$502,6,FALSE())</f>
        <v>Small Business</v>
      </c>
      <c r="K2113" s="1" t="str">
        <f aca="false">VLOOKUP(C2113,Products!$A$2:$E$62,3,FALSE())</f>
        <v>Electronics</v>
      </c>
      <c r="L2113" s="1" t="str">
        <f aca="false">TEXT(D2113,"yyyy-mm")</f>
        <v>2024-05</v>
      </c>
    </row>
    <row r="2114" customFormat="false" ht="15" hidden="false" customHeight="true" outlineLevel="0" collapsed="false">
      <c r="A2114" s="1" t="n">
        <v>2160</v>
      </c>
      <c r="B2114" s="1" t="n">
        <v>99</v>
      </c>
      <c r="C2114" s="1" t="n">
        <v>19</v>
      </c>
      <c r="D2114" s="1" t="s">
        <v>717</v>
      </c>
      <c r="E2114" s="1" t="n">
        <v>4</v>
      </c>
      <c r="F2114" s="1" t="n">
        <v>163.64</v>
      </c>
      <c r="G2114" s="1" t="n">
        <v>0.15</v>
      </c>
      <c r="H2114" s="1" t="s">
        <v>1336</v>
      </c>
      <c r="I2114" s="1" t="n">
        <v>556.38</v>
      </c>
      <c r="J2114" s="1" t="str">
        <f aca="false">VLOOKUP(B2114,Customers!$A$2:$G$502,6,FALSE())</f>
        <v>Small Business</v>
      </c>
      <c r="K2114" s="1" t="str">
        <f aca="false">VLOOKUP(C2114,Products!$A$2:$E$62,3,FALSE())</f>
        <v>Office Supplies</v>
      </c>
      <c r="L2114" s="1" t="str">
        <f aca="false">TEXT(D2114,"yyyy-mm")</f>
        <v>2024-10</v>
      </c>
    </row>
    <row r="2115" customFormat="false" ht="15" hidden="false" customHeight="true" outlineLevel="0" collapsed="false">
      <c r="A2115" s="1" t="n">
        <v>2161</v>
      </c>
      <c r="B2115" s="1" t="n">
        <v>440</v>
      </c>
      <c r="C2115" s="1" t="n">
        <v>50</v>
      </c>
      <c r="D2115" s="1" t="s">
        <v>81</v>
      </c>
      <c r="E2115" s="1" t="n">
        <v>2</v>
      </c>
      <c r="F2115" s="1" t="n">
        <v>19.73</v>
      </c>
      <c r="G2115" s="1" t="n">
        <v>0</v>
      </c>
      <c r="H2115" s="1" t="s">
        <v>1336</v>
      </c>
      <c r="I2115" s="1" t="n">
        <v>39.46</v>
      </c>
      <c r="J2115" s="1" t="str">
        <f aca="false">VLOOKUP(B2115,Customers!$A$2:$G$502,6,FALSE())</f>
        <v>Small Business</v>
      </c>
      <c r="K2115" s="1" t="str">
        <f aca="false">VLOOKUP(C2115,Products!$A$2:$E$62,3,FALSE())</f>
        <v>Software</v>
      </c>
      <c r="L2115" s="1" t="str">
        <f aca="false">TEXT(D2115,"yyyy-mm")</f>
        <v>2023-05</v>
      </c>
    </row>
    <row r="2116" customFormat="false" ht="15" hidden="false" customHeight="true" outlineLevel="0" collapsed="false">
      <c r="A2116" s="1" t="n">
        <v>2162</v>
      </c>
      <c r="B2116" s="1" t="n">
        <v>156</v>
      </c>
      <c r="C2116" s="1" t="n">
        <v>25</v>
      </c>
      <c r="D2116" s="1" t="s">
        <v>885</v>
      </c>
      <c r="E2116" s="1" t="n">
        <v>9</v>
      </c>
      <c r="F2116" s="1" t="n">
        <v>300.49</v>
      </c>
      <c r="G2116" s="1" t="n">
        <v>0</v>
      </c>
      <c r="H2116" s="1" t="s">
        <v>1336</v>
      </c>
      <c r="I2116" s="1" t="n">
        <v>2704.41</v>
      </c>
      <c r="J2116" s="1" t="str">
        <f aca="false">VLOOKUP(B2116,Customers!$A$2:$G$502,6,FALSE())</f>
        <v>Corporate</v>
      </c>
      <c r="K2116" s="1" t="str">
        <f aca="false">VLOOKUP(C2116,Products!$A$2:$E$62,3,FALSE())</f>
        <v>Office Supplies</v>
      </c>
      <c r="L2116" s="1" t="str">
        <f aca="false">TEXT(D2116,"yyyy-mm")</f>
        <v>2023-03</v>
      </c>
    </row>
    <row r="2117" customFormat="false" ht="15" hidden="false" customHeight="true" outlineLevel="0" collapsed="false">
      <c r="A2117" s="1" t="n">
        <v>2163</v>
      </c>
      <c r="B2117" s="1" t="n">
        <v>460</v>
      </c>
      <c r="C2117" s="1" t="n">
        <v>48</v>
      </c>
      <c r="D2117" s="1" t="s">
        <v>1683</v>
      </c>
      <c r="E2117" s="1" t="n">
        <v>5</v>
      </c>
      <c r="F2117" s="1" t="n">
        <v>493.53</v>
      </c>
      <c r="G2117" s="1" t="n">
        <v>0</v>
      </c>
      <c r="H2117" s="1" t="s">
        <v>1336</v>
      </c>
      <c r="I2117" s="1" t="n">
        <v>2467.65</v>
      </c>
      <c r="J2117" s="1" t="str">
        <f aca="false">VLOOKUP(B2117,Customers!$A$2:$G$502,6,FALSE())</f>
        <v>Corporate</v>
      </c>
      <c r="K2117" s="1" t="str">
        <f aca="false">VLOOKUP(C2117,Products!$A$2:$E$62,3,FALSE())</f>
        <v>Software</v>
      </c>
      <c r="L2117" s="1" t="str">
        <f aca="false">TEXT(D2117,"yyyy-mm")</f>
        <v>2023-12</v>
      </c>
    </row>
    <row r="2118" customFormat="false" ht="15" hidden="false" customHeight="true" outlineLevel="0" collapsed="false">
      <c r="A2118" s="1" t="n">
        <v>2164</v>
      </c>
      <c r="B2118" s="1" t="n">
        <v>440</v>
      </c>
      <c r="C2118" s="1" t="n">
        <v>26</v>
      </c>
      <c r="D2118" s="1" t="s">
        <v>1683</v>
      </c>
      <c r="E2118" s="1" t="n">
        <v>4</v>
      </c>
      <c r="F2118" s="1" t="n">
        <v>733.85</v>
      </c>
      <c r="G2118" s="1" t="n">
        <v>0.1</v>
      </c>
      <c r="H2118" s="1" t="s">
        <v>1336</v>
      </c>
      <c r="I2118" s="1" t="n">
        <v>2641.86</v>
      </c>
      <c r="J2118" s="1" t="str">
        <f aca="false">VLOOKUP(B2118,Customers!$A$2:$G$502,6,FALSE())</f>
        <v>Small Business</v>
      </c>
      <c r="K2118" s="1" t="str">
        <f aca="false">VLOOKUP(C2118,Products!$A$2:$E$62,3,FALSE())</f>
        <v>Office Supplies</v>
      </c>
      <c r="L2118" s="1" t="str">
        <f aca="false">TEXT(D2118,"yyyy-mm")</f>
        <v>2023-12</v>
      </c>
    </row>
    <row r="2119" customFormat="false" ht="15" hidden="false" customHeight="true" outlineLevel="0" collapsed="false">
      <c r="A2119" s="1" t="n">
        <v>2165</v>
      </c>
      <c r="B2119" s="1" t="n">
        <v>347</v>
      </c>
      <c r="C2119" s="1" t="n">
        <v>54</v>
      </c>
      <c r="D2119" s="1" t="s">
        <v>1423</v>
      </c>
      <c r="E2119" s="1" t="n">
        <v>2</v>
      </c>
      <c r="F2119" s="1" t="n">
        <v>312.01</v>
      </c>
      <c r="G2119" s="1" t="n">
        <v>0</v>
      </c>
      <c r="H2119" s="1" t="s">
        <v>1336</v>
      </c>
      <c r="I2119" s="1" t="n">
        <v>624.02</v>
      </c>
      <c r="J2119" s="1" t="str">
        <f aca="false">VLOOKUP(B2119,Customers!$A$2:$G$502,6,FALSE())</f>
        <v>Small Business</v>
      </c>
      <c r="K2119" s="1" t="str">
        <f aca="false">VLOOKUP(C2119,Products!$A$2:$E$62,3,FALSE())</f>
        <v>Software</v>
      </c>
      <c r="L2119" s="1" t="str">
        <f aca="false">TEXT(D2119,"yyyy-mm")</f>
        <v>2024-04</v>
      </c>
    </row>
    <row r="2120" customFormat="false" ht="15" hidden="false" customHeight="true" outlineLevel="0" collapsed="false">
      <c r="A2120" s="1" t="n">
        <v>2166</v>
      </c>
      <c r="B2120" s="1" t="n">
        <v>313</v>
      </c>
      <c r="C2120" s="1" t="n">
        <v>14</v>
      </c>
      <c r="D2120" s="1" t="s">
        <v>117</v>
      </c>
      <c r="E2120" s="1" t="n">
        <v>1</v>
      </c>
      <c r="F2120" s="1" t="n">
        <v>135.27</v>
      </c>
      <c r="G2120" s="1" t="n">
        <v>0</v>
      </c>
      <c r="H2120" s="1" t="s">
        <v>1336</v>
      </c>
      <c r="I2120" s="1" t="n">
        <v>135.27</v>
      </c>
      <c r="J2120" s="1" t="str">
        <f aca="false">VLOOKUP(B2120,Customers!$A$2:$G$502,6,FALSE())</f>
        <v>Consumer</v>
      </c>
      <c r="K2120" s="1" t="str">
        <f aca="false">VLOOKUP(C2120,Products!$A$2:$E$62,3,FALSE())</f>
        <v>Electronics</v>
      </c>
      <c r="L2120" s="1" t="str">
        <f aca="false">TEXT(D2120,"yyyy-mm")</f>
        <v>2023-03</v>
      </c>
    </row>
    <row r="2121" customFormat="false" ht="15" hidden="false" customHeight="true" outlineLevel="0" collapsed="false">
      <c r="A2121" s="1" t="n">
        <v>2167</v>
      </c>
      <c r="B2121" s="1" t="n">
        <v>204</v>
      </c>
      <c r="C2121" s="1" t="n">
        <v>25</v>
      </c>
      <c r="D2121" s="1" t="s">
        <v>1177</v>
      </c>
      <c r="E2121" s="1" t="n">
        <v>7</v>
      </c>
      <c r="F2121" s="1" t="n">
        <v>300.49</v>
      </c>
      <c r="G2121" s="1" t="n">
        <v>0</v>
      </c>
      <c r="H2121" s="1" t="s">
        <v>1336</v>
      </c>
      <c r="I2121" s="1" t="n">
        <v>2103.43</v>
      </c>
      <c r="J2121" s="1" t="str">
        <f aca="false">VLOOKUP(B2121,Customers!$A$2:$G$502,6,FALSE())</f>
        <v>Small Business</v>
      </c>
      <c r="K2121" s="1" t="str">
        <f aca="false">VLOOKUP(C2121,Products!$A$2:$E$62,3,FALSE())</f>
        <v>Office Supplies</v>
      </c>
      <c r="L2121" s="1" t="str">
        <f aca="false">TEXT(D2121,"yyyy-mm")</f>
        <v>2023-08</v>
      </c>
    </row>
    <row r="2122" customFormat="false" ht="15" hidden="false" customHeight="true" outlineLevel="0" collapsed="false">
      <c r="A2122" s="1" t="n">
        <v>2168</v>
      </c>
      <c r="B2122" s="1" t="n">
        <v>105</v>
      </c>
      <c r="C2122" s="1" t="n">
        <v>19</v>
      </c>
      <c r="D2122" s="1" t="s">
        <v>1491</v>
      </c>
      <c r="E2122" s="1" t="n">
        <v>6</v>
      </c>
      <c r="F2122" s="1" t="n">
        <v>163.64</v>
      </c>
      <c r="G2122" s="1" t="n">
        <v>0</v>
      </c>
      <c r="H2122" s="1" t="s">
        <v>1336</v>
      </c>
      <c r="I2122" s="1" t="n">
        <v>981.84</v>
      </c>
      <c r="J2122" s="1" t="str">
        <f aca="false">VLOOKUP(B2122,Customers!$A$2:$G$502,6,FALSE())</f>
        <v>Corporate</v>
      </c>
      <c r="K2122" s="1" t="str">
        <f aca="false">VLOOKUP(C2122,Products!$A$2:$E$62,3,FALSE())</f>
        <v>Office Supplies</v>
      </c>
      <c r="L2122" s="1" t="str">
        <f aca="false">TEXT(D2122,"yyyy-mm")</f>
        <v>2023-07</v>
      </c>
    </row>
    <row r="2123" customFormat="false" ht="15" hidden="false" customHeight="true" outlineLevel="0" collapsed="false">
      <c r="A2123" s="1" t="n">
        <v>2169</v>
      </c>
      <c r="B2123" s="1" t="n">
        <v>440</v>
      </c>
      <c r="C2123" s="1" t="n">
        <v>16</v>
      </c>
      <c r="D2123" s="1" t="s">
        <v>1030</v>
      </c>
      <c r="E2123" s="1" t="n">
        <v>2</v>
      </c>
      <c r="F2123" s="1" t="n">
        <v>330.91</v>
      </c>
      <c r="G2123" s="1" t="n">
        <v>0</v>
      </c>
      <c r="H2123" s="1" t="s">
        <v>1336</v>
      </c>
      <c r="I2123" s="1" t="n">
        <v>661.82</v>
      </c>
      <c r="J2123" s="1" t="str">
        <f aca="false">VLOOKUP(B2123,Customers!$A$2:$G$502,6,FALSE())</f>
        <v>Small Business</v>
      </c>
      <c r="K2123" s="1" t="str">
        <f aca="false">VLOOKUP(C2123,Products!$A$2:$E$62,3,FALSE())</f>
        <v>Electronics</v>
      </c>
      <c r="L2123" s="1" t="str">
        <f aca="false">TEXT(D2123,"yyyy-mm")</f>
        <v>2023-07</v>
      </c>
    </row>
    <row r="2124" customFormat="false" ht="15" hidden="false" customHeight="true" outlineLevel="0" collapsed="false">
      <c r="A2124" s="1" t="n">
        <v>2170</v>
      </c>
      <c r="B2124" s="1" t="n">
        <v>10</v>
      </c>
      <c r="C2124" s="1" t="n">
        <v>20</v>
      </c>
      <c r="D2124" s="1" t="s">
        <v>1579</v>
      </c>
      <c r="E2124" s="1" t="n">
        <v>8</v>
      </c>
      <c r="F2124" s="1" t="n">
        <v>426.15</v>
      </c>
      <c r="G2124" s="1" t="n">
        <v>0.15</v>
      </c>
      <c r="H2124" s="1" t="s">
        <v>1336</v>
      </c>
      <c r="I2124" s="1" t="n">
        <v>2897.82</v>
      </c>
      <c r="J2124" s="1" t="str">
        <f aca="false">VLOOKUP(B2124,Customers!$A$2:$G$502,6,FALSE())</f>
        <v>Small Business</v>
      </c>
      <c r="K2124" s="1" t="str">
        <f aca="false">VLOOKUP(C2124,Products!$A$2:$E$62,3,FALSE())</f>
        <v>Office Supplies</v>
      </c>
      <c r="L2124" s="1" t="str">
        <f aca="false">TEXT(D2124,"yyyy-mm")</f>
        <v>2023-08</v>
      </c>
    </row>
    <row r="2125" customFormat="false" ht="15" hidden="false" customHeight="true" outlineLevel="0" collapsed="false">
      <c r="A2125" s="1" t="n">
        <v>2171</v>
      </c>
      <c r="B2125" s="1" t="n">
        <v>411</v>
      </c>
      <c r="C2125" s="1" t="n">
        <v>43</v>
      </c>
      <c r="D2125" s="1" t="s">
        <v>667</v>
      </c>
      <c r="E2125" s="1" t="n">
        <v>4</v>
      </c>
      <c r="F2125" s="1" t="n">
        <v>186.31</v>
      </c>
      <c r="G2125" s="1" t="n">
        <v>0.2</v>
      </c>
      <c r="H2125" s="1" t="s">
        <v>1336</v>
      </c>
      <c r="I2125" s="1" t="n">
        <v>596.19</v>
      </c>
      <c r="J2125" s="1" t="str">
        <f aca="false">VLOOKUP(B2125,Customers!$A$2:$G$502,6,FALSE())</f>
        <v>Corporate</v>
      </c>
      <c r="K2125" s="1" t="str">
        <f aca="false">VLOOKUP(C2125,Products!$A$2:$E$62,3,FALSE())</f>
        <v>Software</v>
      </c>
      <c r="L2125" s="1" t="str">
        <f aca="false">TEXT(D2125,"yyyy-mm")</f>
        <v>2024-02</v>
      </c>
    </row>
    <row r="2126" customFormat="false" ht="15" hidden="false" customHeight="true" outlineLevel="0" collapsed="false">
      <c r="A2126" s="1" t="n">
        <v>2172</v>
      </c>
      <c r="B2126" s="1" t="n">
        <v>487</v>
      </c>
      <c r="C2126" s="1" t="n">
        <v>42</v>
      </c>
      <c r="D2126" s="1" t="s">
        <v>1482</v>
      </c>
      <c r="E2126" s="1" t="n">
        <v>8</v>
      </c>
      <c r="F2126" s="1" t="n">
        <v>174.48</v>
      </c>
      <c r="G2126" s="1" t="n">
        <v>0.15</v>
      </c>
      <c r="H2126" s="1" t="s">
        <v>1336</v>
      </c>
      <c r="I2126" s="1" t="n">
        <v>1186.46</v>
      </c>
      <c r="J2126" s="1" t="str">
        <f aca="false">VLOOKUP(B2126,Customers!$A$2:$G$502,6,FALSE())</f>
        <v>Small Business</v>
      </c>
      <c r="K2126" s="1" t="str">
        <f aca="false">VLOOKUP(C2126,Products!$A$2:$E$62,3,FALSE())</f>
        <v>Software</v>
      </c>
      <c r="L2126" s="1" t="str">
        <f aca="false">TEXT(D2126,"yyyy-mm")</f>
        <v>2023-11</v>
      </c>
    </row>
    <row r="2127" customFormat="false" ht="15" hidden="false" customHeight="true" outlineLevel="0" collapsed="false">
      <c r="A2127" s="1" t="n">
        <v>2173</v>
      </c>
      <c r="B2127" s="1" t="n">
        <v>299</v>
      </c>
      <c r="C2127" s="1" t="n">
        <v>4</v>
      </c>
      <c r="D2127" s="1" t="s">
        <v>1183</v>
      </c>
      <c r="E2127" s="1" t="n">
        <v>7</v>
      </c>
      <c r="F2127" s="1" t="n">
        <v>56.24</v>
      </c>
      <c r="G2127" s="1" t="n">
        <v>0.2</v>
      </c>
      <c r="H2127" s="1" t="s">
        <v>1336</v>
      </c>
      <c r="I2127" s="1" t="n">
        <v>314.94</v>
      </c>
      <c r="J2127" s="1" t="str">
        <f aca="false">VLOOKUP(B2127,Customers!$A$2:$G$502,6,FALSE())</f>
        <v>Small Business</v>
      </c>
      <c r="K2127" s="1" t="str">
        <f aca="false">VLOOKUP(C2127,Products!$A$2:$E$62,3,FALSE())</f>
        <v>Electronics</v>
      </c>
      <c r="L2127" s="1" t="str">
        <f aca="false">TEXT(D2127,"yyyy-mm")</f>
        <v>2023-06</v>
      </c>
    </row>
    <row r="2128" customFormat="false" ht="15" hidden="false" customHeight="true" outlineLevel="0" collapsed="false">
      <c r="A2128" s="1" t="n">
        <v>2174</v>
      </c>
      <c r="B2128" s="1" t="n">
        <v>147</v>
      </c>
      <c r="C2128" s="1" t="n">
        <v>5</v>
      </c>
      <c r="D2128" s="1" t="s">
        <v>176</v>
      </c>
      <c r="E2128" s="1" t="n">
        <v>5</v>
      </c>
      <c r="F2128" s="1" t="n">
        <v>439.06</v>
      </c>
      <c r="G2128" s="1" t="n">
        <v>0</v>
      </c>
      <c r="H2128" s="1" t="s">
        <v>1336</v>
      </c>
      <c r="I2128" s="1" t="n">
        <v>2195.3</v>
      </c>
      <c r="J2128" s="1" t="str">
        <f aca="false">VLOOKUP(B2128,Customers!$A$2:$G$502,6,FALSE())</f>
        <v>Small Business</v>
      </c>
      <c r="K2128" s="1" t="str">
        <f aca="false">VLOOKUP(C2128,Products!$A$2:$E$62,3,FALSE())</f>
        <v>Electronics</v>
      </c>
      <c r="L2128" s="1" t="str">
        <f aca="false">TEXT(D2128,"yyyy-mm")</f>
        <v>2024-04</v>
      </c>
    </row>
    <row r="2129" customFormat="false" ht="15" hidden="false" customHeight="true" outlineLevel="0" collapsed="false">
      <c r="A2129" s="1" t="n">
        <v>2175</v>
      </c>
      <c r="B2129" s="1" t="n">
        <v>80</v>
      </c>
      <c r="C2129" s="1" t="n">
        <v>15</v>
      </c>
      <c r="D2129" s="1" t="s">
        <v>662</v>
      </c>
      <c r="E2129" s="1" t="n">
        <v>8</v>
      </c>
      <c r="F2129" s="1" t="n">
        <v>304.95</v>
      </c>
      <c r="G2129" s="1" t="n">
        <v>0.2</v>
      </c>
      <c r="H2129" s="1" t="s">
        <v>1336</v>
      </c>
      <c r="I2129" s="1" t="n">
        <v>1951.68</v>
      </c>
      <c r="J2129" s="1" t="str">
        <f aca="false">VLOOKUP(B2129,Customers!$A$2:$G$502,6,FALSE())</f>
        <v>Consumer</v>
      </c>
      <c r="K2129" s="1" t="str">
        <f aca="false">VLOOKUP(C2129,Products!$A$2:$E$62,3,FALSE())</f>
        <v>Electronics</v>
      </c>
      <c r="L2129" s="1" t="str">
        <f aca="false">TEXT(D2129,"yyyy-mm")</f>
        <v>2024-07</v>
      </c>
    </row>
    <row r="2130" customFormat="false" ht="15" hidden="false" customHeight="true" outlineLevel="0" collapsed="false">
      <c r="A2130" s="1" t="n">
        <v>2176</v>
      </c>
      <c r="B2130" s="1" t="n">
        <v>287</v>
      </c>
      <c r="C2130" s="1" t="n">
        <v>40</v>
      </c>
      <c r="D2130" s="1" t="s">
        <v>772</v>
      </c>
      <c r="E2130" s="1" t="n">
        <v>9</v>
      </c>
      <c r="F2130" s="1" t="n">
        <v>193.02</v>
      </c>
      <c r="G2130" s="1" t="n">
        <v>0.05</v>
      </c>
      <c r="H2130" s="1" t="s">
        <v>1336</v>
      </c>
      <c r="I2130" s="1" t="n">
        <v>1650.32</v>
      </c>
      <c r="J2130" s="1" t="str">
        <f aca="false">VLOOKUP(B2130,Customers!$A$2:$G$502,6,FALSE())</f>
        <v>Corporate</v>
      </c>
      <c r="K2130" s="1" t="str">
        <f aca="false">VLOOKUP(C2130,Products!$A$2:$E$62,3,FALSE())</f>
        <v>Software</v>
      </c>
      <c r="L2130" s="1" t="str">
        <f aca="false">TEXT(D2130,"yyyy-mm")</f>
        <v>2023-10</v>
      </c>
    </row>
    <row r="2131" customFormat="false" ht="15" hidden="false" customHeight="true" outlineLevel="0" collapsed="false">
      <c r="A2131" s="1" t="n">
        <v>2177</v>
      </c>
      <c r="B2131" s="1" t="n">
        <v>386</v>
      </c>
      <c r="C2131" s="1" t="n">
        <v>60</v>
      </c>
      <c r="D2131" s="1" t="s">
        <v>1607</v>
      </c>
      <c r="E2131" s="1" t="n">
        <v>5</v>
      </c>
      <c r="F2131" s="1" t="n">
        <v>584.98</v>
      </c>
      <c r="G2131" s="1" t="n">
        <v>0</v>
      </c>
      <c r="H2131" s="1" t="s">
        <v>1336</v>
      </c>
      <c r="I2131" s="1" t="n">
        <v>2924.9</v>
      </c>
      <c r="J2131" s="1" t="str">
        <f aca="false">VLOOKUP(B2131,Customers!$A$2:$G$502,6,FALSE())</f>
        <v>Consumer</v>
      </c>
      <c r="K2131" s="1" t="str">
        <f aca="false">VLOOKUP(C2131,Products!$A$2:$E$62,3,FALSE())</f>
        <v>Furniture</v>
      </c>
      <c r="L2131" s="1" t="str">
        <f aca="false">TEXT(D2131,"yyyy-mm")</f>
        <v>2023-06</v>
      </c>
    </row>
    <row r="2132" customFormat="false" ht="15" hidden="false" customHeight="true" outlineLevel="0" collapsed="false">
      <c r="A2132" s="1" t="n">
        <v>2178</v>
      </c>
      <c r="B2132" s="1" t="n">
        <v>5</v>
      </c>
      <c r="C2132" s="1" t="n">
        <v>9</v>
      </c>
      <c r="D2132" s="1" t="s">
        <v>503</v>
      </c>
      <c r="E2132" s="1" t="n">
        <v>5</v>
      </c>
      <c r="F2132" s="1" t="n">
        <v>203.1</v>
      </c>
      <c r="G2132" s="1" t="n">
        <v>0</v>
      </c>
      <c r="H2132" s="1" t="s">
        <v>1336</v>
      </c>
      <c r="I2132" s="1" t="n">
        <v>1015.5</v>
      </c>
      <c r="J2132" s="1" t="str">
        <f aca="false">VLOOKUP(B2132,Customers!$A$2:$G$502,6,FALSE())</f>
        <v>Small Business</v>
      </c>
      <c r="K2132" s="1" t="str">
        <f aca="false">VLOOKUP(C2132,Products!$A$2:$E$62,3,FALSE())</f>
        <v>Electronics</v>
      </c>
      <c r="L2132" s="1" t="str">
        <f aca="false">TEXT(D2132,"yyyy-mm")</f>
        <v>2023-01</v>
      </c>
    </row>
    <row r="2133" customFormat="false" ht="15" hidden="false" customHeight="true" outlineLevel="0" collapsed="false">
      <c r="A2133" s="1" t="n">
        <v>2179</v>
      </c>
      <c r="B2133" s="1" t="n">
        <v>6</v>
      </c>
      <c r="C2133" s="1" t="n">
        <v>15</v>
      </c>
      <c r="D2133" s="1" t="s">
        <v>924</v>
      </c>
      <c r="E2133" s="1" t="n">
        <v>2</v>
      </c>
      <c r="F2133" s="1" t="n">
        <v>304.95</v>
      </c>
      <c r="G2133" s="1" t="n">
        <v>0</v>
      </c>
      <c r="H2133" s="1" t="s">
        <v>1336</v>
      </c>
      <c r="I2133" s="1" t="n">
        <v>609.9</v>
      </c>
      <c r="J2133" s="1" t="str">
        <f aca="false">VLOOKUP(B2133,Customers!$A$2:$G$502,6,FALSE())</f>
        <v>Corporate</v>
      </c>
      <c r="K2133" s="1" t="str">
        <f aca="false">VLOOKUP(C2133,Products!$A$2:$E$62,3,FALSE())</f>
        <v>Electronics</v>
      </c>
      <c r="L2133" s="1" t="str">
        <f aca="false">TEXT(D2133,"yyyy-mm")</f>
        <v>2023-01</v>
      </c>
    </row>
    <row r="2134" customFormat="false" ht="15" hidden="false" customHeight="true" outlineLevel="0" collapsed="false">
      <c r="A2134" s="1" t="n">
        <v>2180</v>
      </c>
      <c r="B2134" s="1" t="n">
        <v>63</v>
      </c>
      <c r="C2134" s="1" t="n">
        <v>43</v>
      </c>
      <c r="D2134" s="1" t="s">
        <v>1449</v>
      </c>
      <c r="E2134" s="1" t="n">
        <v>5</v>
      </c>
      <c r="F2134" s="1" t="n">
        <v>186.31</v>
      </c>
      <c r="G2134" s="1" t="n">
        <v>0</v>
      </c>
      <c r="H2134" s="1" t="s">
        <v>1336</v>
      </c>
      <c r="I2134" s="1" t="n">
        <v>931.55</v>
      </c>
      <c r="J2134" s="1" t="str">
        <f aca="false">VLOOKUP(B2134,Customers!$A$2:$G$502,6,FALSE())</f>
        <v>Consumer</v>
      </c>
      <c r="K2134" s="1" t="str">
        <f aca="false">VLOOKUP(C2134,Products!$A$2:$E$62,3,FALSE())</f>
        <v>Software</v>
      </c>
      <c r="L2134" s="1" t="str">
        <f aca="false">TEXT(D2134,"yyyy-mm")</f>
        <v>2024-03</v>
      </c>
    </row>
    <row r="2135" customFormat="false" ht="15" hidden="false" customHeight="true" outlineLevel="0" collapsed="false">
      <c r="A2135" s="1" t="n">
        <v>2181</v>
      </c>
      <c r="B2135" s="1" t="n">
        <v>73</v>
      </c>
      <c r="C2135" s="1" t="n">
        <v>50</v>
      </c>
      <c r="D2135" s="1" t="s">
        <v>1684</v>
      </c>
      <c r="E2135" s="1" t="n">
        <v>3</v>
      </c>
      <c r="F2135" s="1" t="n">
        <v>19.73</v>
      </c>
      <c r="G2135" s="1" t="n">
        <v>0.1</v>
      </c>
      <c r="H2135" s="1" t="s">
        <v>1336</v>
      </c>
      <c r="I2135" s="1" t="n">
        <v>53.27</v>
      </c>
      <c r="J2135" s="1" t="str">
        <f aca="false">VLOOKUP(B2135,Customers!$A$2:$G$502,6,FALSE())</f>
        <v>Small Business</v>
      </c>
      <c r="K2135" s="1" t="str">
        <f aca="false">VLOOKUP(C2135,Products!$A$2:$E$62,3,FALSE())</f>
        <v>Software</v>
      </c>
      <c r="L2135" s="1" t="str">
        <f aca="false">TEXT(D2135,"yyyy-mm")</f>
        <v>2024-05</v>
      </c>
    </row>
    <row r="2136" customFormat="false" ht="15" hidden="false" customHeight="true" outlineLevel="0" collapsed="false">
      <c r="A2136" s="1" t="n">
        <v>2182</v>
      </c>
      <c r="B2136" s="1" t="n">
        <v>30</v>
      </c>
      <c r="C2136" s="1" t="n">
        <v>12</v>
      </c>
      <c r="D2136" s="1" t="s">
        <v>24</v>
      </c>
      <c r="E2136" s="1" t="n">
        <v>7</v>
      </c>
      <c r="F2136" s="1" t="n">
        <v>179.23</v>
      </c>
      <c r="G2136" s="1" t="n">
        <v>0.15</v>
      </c>
      <c r="H2136" s="1" t="s">
        <v>1336</v>
      </c>
      <c r="I2136" s="1" t="n">
        <v>1066.42</v>
      </c>
      <c r="J2136" s="1" t="str">
        <f aca="false">VLOOKUP(B2136,Customers!$A$2:$G$502,6,FALSE())</f>
        <v>Unknown</v>
      </c>
      <c r="K2136" s="1" t="str">
        <f aca="false">VLOOKUP(C2136,Products!$A$2:$E$62,3,FALSE())</f>
        <v>Electronics</v>
      </c>
      <c r="L2136" s="1" t="str">
        <f aca="false">TEXT(D2136,"yyyy-mm")</f>
        <v>2023-10</v>
      </c>
    </row>
    <row r="2137" customFormat="false" ht="15" hidden="false" customHeight="true" outlineLevel="0" collapsed="false">
      <c r="A2137" s="1" t="n">
        <v>2183</v>
      </c>
      <c r="B2137" s="1" t="n">
        <v>119</v>
      </c>
      <c r="C2137" s="1" t="n">
        <v>48</v>
      </c>
      <c r="D2137" s="1" t="s">
        <v>1685</v>
      </c>
      <c r="E2137" s="1" t="n">
        <v>5</v>
      </c>
      <c r="F2137" s="1" t="n">
        <v>493.53</v>
      </c>
      <c r="G2137" s="1" t="n">
        <v>0.1</v>
      </c>
      <c r="H2137" s="1" t="s">
        <v>1336</v>
      </c>
      <c r="I2137" s="1" t="n">
        <v>2220.88</v>
      </c>
      <c r="J2137" s="1" t="str">
        <f aca="false">VLOOKUP(B2137,Customers!$A$2:$G$502,6,FALSE())</f>
        <v>Small Business</v>
      </c>
      <c r="K2137" s="1" t="str">
        <f aca="false">VLOOKUP(C2137,Products!$A$2:$E$62,3,FALSE())</f>
        <v>Software</v>
      </c>
      <c r="L2137" s="1" t="str">
        <f aca="false">TEXT(D2137,"yyyy-mm")</f>
        <v>2024-08</v>
      </c>
    </row>
    <row r="2138" customFormat="false" ht="15" hidden="false" customHeight="true" outlineLevel="0" collapsed="false">
      <c r="A2138" s="1" t="n">
        <v>2184</v>
      </c>
      <c r="B2138" s="1" t="n">
        <v>139</v>
      </c>
      <c r="C2138" s="1" t="n">
        <v>46</v>
      </c>
      <c r="D2138" s="1" t="s">
        <v>124</v>
      </c>
      <c r="E2138" s="1" t="n">
        <v>8</v>
      </c>
      <c r="F2138" s="1" t="n">
        <v>94.92</v>
      </c>
      <c r="G2138" s="1" t="n">
        <v>0</v>
      </c>
      <c r="H2138" s="1" t="s">
        <v>1336</v>
      </c>
      <c r="I2138" s="1" t="n">
        <v>759.36</v>
      </c>
      <c r="J2138" s="1" t="str">
        <f aca="false">VLOOKUP(B2138,Customers!$A$2:$G$502,6,FALSE())</f>
        <v>Consumer</v>
      </c>
      <c r="K2138" s="1" t="str">
        <f aca="false">VLOOKUP(C2138,Products!$A$2:$E$62,3,FALSE())</f>
        <v>Software</v>
      </c>
      <c r="L2138" s="1" t="str">
        <f aca="false">TEXT(D2138,"yyyy-mm")</f>
        <v>2023-05</v>
      </c>
    </row>
    <row r="2139" customFormat="false" ht="15" hidden="false" customHeight="true" outlineLevel="0" collapsed="false">
      <c r="A2139" s="1" t="n">
        <v>2185</v>
      </c>
      <c r="B2139" s="1" t="n">
        <v>298</v>
      </c>
      <c r="C2139" s="1" t="n">
        <v>52</v>
      </c>
      <c r="D2139" s="1" t="s">
        <v>503</v>
      </c>
      <c r="E2139" s="1" t="n">
        <v>1</v>
      </c>
      <c r="F2139" s="1" t="n">
        <v>207.67</v>
      </c>
      <c r="G2139" s="1" t="n">
        <v>0</v>
      </c>
      <c r="H2139" s="1" t="s">
        <v>1336</v>
      </c>
      <c r="I2139" s="1" t="n">
        <v>207.67</v>
      </c>
      <c r="J2139" s="1" t="str">
        <f aca="false">VLOOKUP(B2139,Customers!$A$2:$G$502,6,FALSE())</f>
        <v>Consumer</v>
      </c>
      <c r="K2139" s="1" t="str">
        <f aca="false">VLOOKUP(C2139,Products!$A$2:$E$62,3,FALSE())</f>
        <v>Software</v>
      </c>
      <c r="L2139" s="1" t="str">
        <f aca="false">TEXT(D2139,"yyyy-mm")</f>
        <v>2023-01</v>
      </c>
    </row>
    <row r="2140" customFormat="false" ht="15" hidden="false" customHeight="true" outlineLevel="0" collapsed="false">
      <c r="A2140" s="1" t="n">
        <v>2186</v>
      </c>
      <c r="B2140" s="1" t="n">
        <v>150</v>
      </c>
      <c r="C2140" s="1" t="n">
        <v>4</v>
      </c>
      <c r="D2140" s="1" t="s">
        <v>1103</v>
      </c>
      <c r="E2140" s="1" t="n">
        <v>3</v>
      </c>
      <c r="F2140" s="1" t="n">
        <v>56.24</v>
      </c>
      <c r="G2140" s="1" t="n">
        <v>0</v>
      </c>
      <c r="H2140" s="1" t="s">
        <v>1336</v>
      </c>
      <c r="I2140" s="1" t="n">
        <v>168.72</v>
      </c>
      <c r="J2140" s="1" t="str">
        <f aca="false">VLOOKUP(B2140,Customers!$A$2:$G$502,6,FALSE())</f>
        <v>Corporate</v>
      </c>
      <c r="K2140" s="1" t="str">
        <f aca="false">VLOOKUP(C2140,Products!$A$2:$E$62,3,FALSE())</f>
        <v>Electronics</v>
      </c>
      <c r="L2140" s="1" t="str">
        <f aca="false">TEXT(D2140,"yyyy-mm")</f>
        <v>2024-01</v>
      </c>
    </row>
    <row r="2141" customFormat="false" ht="15" hidden="false" customHeight="true" outlineLevel="0" collapsed="false">
      <c r="A2141" s="1" t="n">
        <v>2187</v>
      </c>
      <c r="B2141" s="1" t="n">
        <v>339</v>
      </c>
      <c r="C2141" s="1" t="n">
        <v>57</v>
      </c>
      <c r="D2141" s="1" t="s">
        <v>828</v>
      </c>
      <c r="E2141" s="1" t="n">
        <v>3</v>
      </c>
      <c r="F2141" s="1" t="n">
        <v>719.76</v>
      </c>
      <c r="G2141" s="1" t="n">
        <v>0.05</v>
      </c>
      <c r="H2141" s="1" t="s">
        <v>1336</v>
      </c>
      <c r="I2141" s="1" t="n">
        <v>2051.32</v>
      </c>
      <c r="J2141" s="1" t="str">
        <f aca="false">VLOOKUP(B2141,Customers!$A$2:$G$502,6,FALSE())</f>
        <v>Corporate</v>
      </c>
      <c r="K2141" s="1" t="str">
        <f aca="false">VLOOKUP(C2141,Products!$A$2:$E$62,3,FALSE())</f>
        <v>Furniture</v>
      </c>
      <c r="L2141" s="1" t="str">
        <f aca="false">TEXT(D2141,"yyyy-mm")</f>
        <v>2024-07</v>
      </c>
    </row>
    <row r="2142" customFormat="false" ht="15" hidden="false" customHeight="true" outlineLevel="0" collapsed="false">
      <c r="A2142" s="1" t="n">
        <v>2188</v>
      </c>
      <c r="B2142" s="1" t="n">
        <v>326</v>
      </c>
      <c r="C2142" s="1" t="n">
        <v>45</v>
      </c>
      <c r="D2142" s="1" t="s">
        <v>1575</v>
      </c>
      <c r="E2142" s="1" t="n">
        <v>9</v>
      </c>
      <c r="F2142" s="1" t="n">
        <v>560.01</v>
      </c>
      <c r="G2142" s="1" t="n">
        <v>0</v>
      </c>
      <c r="H2142" s="1" t="s">
        <v>1336</v>
      </c>
      <c r="I2142" s="1" t="n">
        <v>5040.09</v>
      </c>
      <c r="J2142" s="1" t="str">
        <f aca="false">VLOOKUP(B2142,Customers!$A$2:$G$502,6,FALSE())</f>
        <v>Corporate</v>
      </c>
      <c r="K2142" s="1" t="str">
        <f aca="false">VLOOKUP(C2142,Products!$A$2:$E$62,3,FALSE())</f>
        <v>Software</v>
      </c>
      <c r="L2142" s="1" t="str">
        <f aca="false">TEXT(D2142,"yyyy-mm")</f>
        <v>2024-05</v>
      </c>
    </row>
    <row r="2143" customFormat="false" ht="15" hidden="false" customHeight="true" outlineLevel="0" collapsed="false">
      <c r="A2143" s="1" t="n">
        <v>2189</v>
      </c>
      <c r="B2143" s="1" t="n">
        <v>480</v>
      </c>
      <c r="C2143" s="1" t="n">
        <v>56</v>
      </c>
      <c r="D2143" s="1" t="s">
        <v>1491</v>
      </c>
      <c r="E2143" s="1" t="n">
        <v>5</v>
      </c>
      <c r="F2143" s="1" t="n">
        <v>160.64</v>
      </c>
      <c r="G2143" s="1" t="n">
        <v>0</v>
      </c>
      <c r="H2143" s="1" t="s">
        <v>1336</v>
      </c>
      <c r="I2143" s="1" t="n">
        <v>803.2</v>
      </c>
      <c r="J2143" s="1" t="str">
        <f aca="false">VLOOKUP(B2143,Customers!$A$2:$G$502,6,FALSE())</f>
        <v>Unknown</v>
      </c>
      <c r="K2143" s="1" t="str">
        <f aca="false">VLOOKUP(C2143,Products!$A$2:$E$62,3,FALSE())</f>
        <v>Furniture</v>
      </c>
      <c r="L2143" s="1" t="str">
        <f aca="false">TEXT(D2143,"yyyy-mm")</f>
        <v>2023-07</v>
      </c>
    </row>
    <row r="2144" customFormat="false" ht="15" hidden="false" customHeight="true" outlineLevel="0" collapsed="false">
      <c r="A2144" s="1" t="n">
        <v>2190</v>
      </c>
      <c r="B2144" s="1" t="n">
        <v>472</v>
      </c>
      <c r="C2144" s="1" t="n">
        <v>29</v>
      </c>
      <c r="D2144" s="1" t="s">
        <v>565</v>
      </c>
      <c r="E2144" s="1" t="n">
        <v>9</v>
      </c>
      <c r="F2144" s="1" t="n">
        <v>54.62</v>
      </c>
      <c r="G2144" s="1" t="n">
        <v>0.2</v>
      </c>
      <c r="H2144" s="1" t="s">
        <v>1336</v>
      </c>
      <c r="I2144" s="1" t="n">
        <v>393.26</v>
      </c>
      <c r="J2144" s="1" t="str">
        <f aca="false">VLOOKUP(B2144,Customers!$A$2:$G$502,6,FALSE())</f>
        <v>Consumer</v>
      </c>
      <c r="K2144" s="1" t="str">
        <f aca="false">VLOOKUP(C2144,Products!$A$2:$E$62,3,FALSE())</f>
        <v>Office Supplies</v>
      </c>
      <c r="L2144" s="1" t="str">
        <f aca="false">TEXT(D2144,"yyyy-mm")</f>
        <v>2023-06</v>
      </c>
    </row>
    <row r="2145" customFormat="false" ht="15" hidden="false" customHeight="true" outlineLevel="0" collapsed="false">
      <c r="A2145" s="1" t="n">
        <v>2191</v>
      </c>
      <c r="B2145" s="1" t="n">
        <v>33</v>
      </c>
      <c r="C2145" s="1" t="n">
        <v>12</v>
      </c>
      <c r="D2145" s="1" t="s">
        <v>1341</v>
      </c>
      <c r="E2145" s="1" t="n">
        <v>9</v>
      </c>
      <c r="F2145" s="1" t="n">
        <v>179.23</v>
      </c>
      <c r="G2145" s="1" t="n">
        <v>0</v>
      </c>
      <c r="H2145" s="1" t="s">
        <v>1336</v>
      </c>
      <c r="I2145" s="1" t="n">
        <v>1613.07</v>
      </c>
      <c r="J2145" s="1" t="str">
        <f aca="false">VLOOKUP(B2145,Customers!$A$2:$G$502,6,FALSE())</f>
        <v>Corporate</v>
      </c>
      <c r="K2145" s="1" t="str">
        <f aca="false">VLOOKUP(C2145,Products!$A$2:$E$62,3,FALSE())</f>
        <v>Electronics</v>
      </c>
      <c r="L2145" s="1" t="str">
        <f aca="false">TEXT(D2145,"yyyy-mm")</f>
        <v>2023-06</v>
      </c>
    </row>
    <row r="2146" customFormat="false" ht="15" hidden="false" customHeight="true" outlineLevel="0" collapsed="false">
      <c r="A2146" s="1" t="n">
        <v>2192</v>
      </c>
      <c r="B2146" s="1" t="n">
        <v>198</v>
      </c>
      <c r="C2146" s="1" t="n">
        <v>26</v>
      </c>
      <c r="D2146" s="1" t="s">
        <v>1548</v>
      </c>
      <c r="E2146" s="1" t="n">
        <v>1</v>
      </c>
      <c r="F2146" s="1" t="n">
        <v>733.85</v>
      </c>
      <c r="G2146" s="1" t="n">
        <v>0</v>
      </c>
      <c r="H2146" s="1" t="s">
        <v>1336</v>
      </c>
      <c r="I2146" s="1" t="n">
        <v>733.85</v>
      </c>
      <c r="J2146" s="1" t="str">
        <f aca="false">VLOOKUP(B2146,Customers!$A$2:$G$502,6,FALSE())</f>
        <v>Corporate</v>
      </c>
      <c r="K2146" s="1" t="str">
        <f aca="false">VLOOKUP(C2146,Products!$A$2:$E$62,3,FALSE())</f>
        <v>Office Supplies</v>
      </c>
      <c r="L2146" s="1" t="str">
        <f aca="false">TEXT(D2146,"yyyy-mm")</f>
        <v>2024-06</v>
      </c>
    </row>
    <row r="2147" customFormat="false" ht="15" hidden="false" customHeight="true" outlineLevel="0" collapsed="false">
      <c r="A2147" s="1" t="n">
        <v>2193</v>
      </c>
      <c r="B2147" s="1" t="n">
        <v>127</v>
      </c>
      <c r="C2147" s="1" t="n">
        <v>32</v>
      </c>
      <c r="D2147" s="1" t="s">
        <v>1646</v>
      </c>
      <c r="E2147" s="1" t="n">
        <v>2</v>
      </c>
      <c r="F2147" s="1" t="n">
        <v>492.27</v>
      </c>
      <c r="G2147" s="1" t="n">
        <v>0.15</v>
      </c>
      <c r="H2147" s="1" t="s">
        <v>1336</v>
      </c>
      <c r="I2147" s="1" t="n">
        <v>836.86</v>
      </c>
      <c r="J2147" s="1" t="str">
        <f aca="false">VLOOKUP(B2147,Customers!$A$2:$G$502,6,FALSE())</f>
        <v>Corporate</v>
      </c>
      <c r="K2147" s="1" t="str">
        <f aca="false">VLOOKUP(C2147,Products!$A$2:$E$62,3,FALSE())</f>
        <v>Office Supplies</v>
      </c>
      <c r="L2147" s="1" t="str">
        <f aca="false">TEXT(D2147,"yyyy-mm")</f>
        <v>2023-09</v>
      </c>
    </row>
    <row r="2148" customFormat="false" ht="15" hidden="false" customHeight="true" outlineLevel="0" collapsed="false">
      <c r="A2148" s="1" t="n">
        <v>2194</v>
      </c>
      <c r="B2148" s="1" t="n">
        <v>52</v>
      </c>
      <c r="C2148" s="1" t="n">
        <v>9</v>
      </c>
      <c r="D2148" s="1" t="s">
        <v>1533</v>
      </c>
      <c r="E2148" s="1" t="n">
        <v>5</v>
      </c>
      <c r="F2148" s="1" t="n">
        <v>203.1</v>
      </c>
      <c r="G2148" s="1" t="n">
        <v>0</v>
      </c>
      <c r="H2148" s="1" t="s">
        <v>1370</v>
      </c>
      <c r="I2148" s="1" t="n">
        <v>1015.5</v>
      </c>
      <c r="J2148" s="1" t="str">
        <f aca="false">VLOOKUP(B2148,Customers!$A$2:$G$502,6,FALSE())</f>
        <v>Small Business</v>
      </c>
      <c r="K2148" s="1" t="str">
        <f aca="false">VLOOKUP(C2148,Products!$A$2:$E$62,3,FALSE())</f>
        <v>Electronics</v>
      </c>
      <c r="L2148" s="1" t="str">
        <f aca="false">TEXT(D2148,"yyyy-mm")</f>
        <v>2023-03</v>
      </c>
    </row>
    <row r="2149" customFormat="false" ht="15" hidden="false" customHeight="true" outlineLevel="0" collapsed="false">
      <c r="A2149" s="1" t="n">
        <v>2195</v>
      </c>
      <c r="B2149" s="1" t="n">
        <v>121</v>
      </c>
      <c r="C2149" s="1" t="n">
        <v>45</v>
      </c>
      <c r="D2149" s="1" t="s">
        <v>1686</v>
      </c>
      <c r="E2149" s="1" t="n">
        <v>4</v>
      </c>
      <c r="F2149" s="1" t="n">
        <v>560.01</v>
      </c>
      <c r="G2149" s="1" t="n">
        <v>0.15</v>
      </c>
      <c r="H2149" s="1" t="s">
        <v>1336</v>
      </c>
      <c r="I2149" s="1" t="n">
        <v>1904.03</v>
      </c>
      <c r="J2149" s="1" t="str">
        <f aca="false">VLOOKUP(B2149,Customers!$A$2:$G$502,6,FALSE())</f>
        <v>Consumer</v>
      </c>
      <c r="K2149" s="1" t="str">
        <f aca="false">VLOOKUP(C2149,Products!$A$2:$E$62,3,FALSE())</f>
        <v>Software</v>
      </c>
      <c r="L2149" s="1" t="str">
        <f aca="false">TEXT(D2149,"yyyy-mm")</f>
        <v>2023-12</v>
      </c>
    </row>
    <row r="2150" customFormat="false" ht="15" hidden="false" customHeight="true" outlineLevel="0" collapsed="false">
      <c r="A2150" s="1" t="n">
        <v>2196</v>
      </c>
      <c r="B2150" s="1" t="n">
        <v>470</v>
      </c>
      <c r="C2150" s="1" t="n">
        <v>58</v>
      </c>
      <c r="D2150" s="1" t="s">
        <v>127</v>
      </c>
      <c r="E2150" s="1" t="n">
        <v>9</v>
      </c>
      <c r="F2150" s="1" t="n">
        <v>515.55</v>
      </c>
      <c r="G2150" s="1" t="n">
        <v>0.05</v>
      </c>
      <c r="H2150" s="1" t="s">
        <v>1336</v>
      </c>
      <c r="I2150" s="1" t="n">
        <v>4407.95</v>
      </c>
      <c r="J2150" s="1" t="str">
        <f aca="false">VLOOKUP(B2150,Customers!$A$2:$G$502,6,FALSE())</f>
        <v>Corporate</v>
      </c>
      <c r="K2150" s="1" t="str">
        <f aca="false">VLOOKUP(C2150,Products!$A$2:$E$62,3,FALSE())</f>
        <v>Furniture</v>
      </c>
      <c r="L2150" s="1" t="str">
        <f aca="false">TEXT(D2150,"yyyy-mm")</f>
        <v>2023-03</v>
      </c>
    </row>
    <row r="2151" customFormat="false" ht="15" hidden="false" customHeight="true" outlineLevel="0" collapsed="false">
      <c r="A2151" s="1" t="n">
        <v>2197</v>
      </c>
      <c r="B2151" s="1" t="n">
        <v>409</v>
      </c>
      <c r="C2151" s="1" t="n">
        <v>41</v>
      </c>
      <c r="D2151" s="1" t="s">
        <v>87</v>
      </c>
      <c r="E2151" s="1" t="n">
        <v>7</v>
      </c>
      <c r="F2151" s="1" t="n">
        <v>594.54</v>
      </c>
      <c r="G2151" s="1" t="n">
        <v>0.1</v>
      </c>
      <c r="H2151" s="1" t="s">
        <v>1336</v>
      </c>
      <c r="I2151" s="1" t="n">
        <v>3745.6</v>
      </c>
      <c r="J2151" s="1" t="str">
        <f aca="false">VLOOKUP(B2151,Customers!$A$2:$G$502,6,FALSE())</f>
        <v>Small Business</v>
      </c>
      <c r="K2151" s="1" t="str">
        <f aca="false">VLOOKUP(C2151,Products!$A$2:$E$62,3,FALSE())</f>
        <v>Software</v>
      </c>
      <c r="L2151" s="1" t="str">
        <f aca="false">TEXT(D2151,"yyyy-mm")</f>
        <v>2023-08</v>
      </c>
    </row>
    <row r="2152" customFormat="false" ht="15" hidden="false" customHeight="true" outlineLevel="0" collapsed="false">
      <c r="A2152" s="1" t="n">
        <v>2198</v>
      </c>
      <c r="B2152" s="1" t="n">
        <v>356</v>
      </c>
      <c r="C2152" s="1" t="n">
        <v>23</v>
      </c>
      <c r="D2152" s="1" t="s">
        <v>1165</v>
      </c>
      <c r="E2152" s="1" t="n">
        <v>6</v>
      </c>
      <c r="F2152" s="1" t="n">
        <v>188.73</v>
      </c>
      <c r="G2152" s="1" t="n">
        <v>0.1</v>
      </c>
      <c r="H2152" s="1" t="s">
        <v>1336</v>
      </c>
      <c r="I2152" s="1" t="n">
        <v>1019.14</v>
      </c>
      <c r="J2152" s="1" t="str">
        <f aca="false">VLOOKUP(B2152,Customers!$A$2:$G$502,6,FALSE())</f>
        <v>Consumer</v>
      </c>
      <c r="K2152" s="1" t="str">
        <f aca="false">VLOOKUP(C2152,Products!$A$2:$E$62,3,FALSE())</f>
        <v>Office Supplies</v>
      </c>
      <c r="L2152" s="1" t="str">
        <f aca="false">TEXT(D2152,"yyyy-mm")</f>
        <v>2023-07</v>
      </c>
    </row>
    <row r="2153" customFormat="false" ht="15" hidden="false" customHeight="true" outlineLevel="0" collapsed="false">
      <c r="A2153" s="1" t="n">
        <v>2199</v>
      </c>
      <c r="B2153" s="1" t="n">
        <v>89</v>
      </c>
      <c r="C2153" s="1" t="n">
        <v>12</v>
      </c>
      <c r="D2153" s="1" t="s">
        <v>1680</v>
      </c>
      <c r="E2153" s="1" t="n">
        <v>7</v>
      </c>
      <c r="F2153" s="1" t="n">
        <v>179.23</v>
      </c>
      <c r="G2153" s="1" t="n">
        <v>0.05</v>
      </c>
      <c r="H2153" s="1" t="s">
        <v>1370</v>
      </c>
      <c r="I2153" s="1" t="n">
        <v>1191.88</v>
      </c>
      <c r="J2153" s="1" t="str">
        <f aca="false">VLOOKUP(B2153,Customers!$A$2:$G$502,6,FALSE())</f>
        <v>Small Business</v>
      </c>
      <c r="K2153" s="1" t="str">
        <f aca="false">VLOOKUP(C2153,Products!$A$2:$E$62,3,FALSE())</f>
        <v>Electronics</v>
      </c>
      <c r="L2153" s="1" t="str">
        <f aca="false">TEXT(D2153,"yyyy-mm")</f>
        <v>2023-05</v>
      </c>
    </row>
    <row r="2154" customFormat="false" ht="15" hidden="false" customHeight="true" outlineLevel="0" collapsed="false">
      <c r="A2154" s="1" t="n">
        <v>2200</v>
      </c>
      <c r="B2154" s="1" t="n">
        <v>94</v>
      </c>
      <c r="C2154" s="1" t="n">
        <v>11</v>
      </c>
      <c r="D2154" s="1" t="s">
        <v>1540</v>
      </c>
      <c r="E2154" s="1" t="n">
        <v>1</v>
      </c>
      <c r="F2154" s="1" t="n">
        <v>328.39</v>
      </c>
      <c r="G2154" s="1" t="n">
        <v>0</v>
      </c>
      <c r="H2154" s="1" t="s">
        <v>1336</v>
      </c>
      <c r="I2154" s="1" t="n">
        <v>328.39</v>
      </c>
      <c r="J2154" s="1" t="str">
        <f aca="false">VLOOKUP(B2154,Customers!$A$2:$G$502,6,FALSE())</f>
        <v>Small Business</v>
      </c>
      <c r="K2154" s="1" t="str">
        <f aca="false">VLOOKUP(C2154,Products!$A$2:$E$62,3,FALSE())</f>
        <v>Electronics</v>
      </c>
      <c r="L2154" s="1" t="str">
        <f aca="false">TEXT(D2154,"yyyy-mm")</f>
        <v>2023-01</v>
      </c>
    </row>
    <row r="2155" customFormat="false" ht="15" hidden="false" customHeight="true" outlineLevel="0" collapsed="false">
      <c r="A2155" s="1" t="n">
        <v>2201</v>
      </c>
      <c r="B2155" s="1" t="n">
        <v>348</v>
      </c>
      <c r="C2155" s="1" t="n">
        <v>21</v>
      </c>
      <c r="D2155" s="1" t="s">
        <v>513</v>
      </c>
      <c r="E2155" s="1" t="n">
        <v>1</v>
      </c>
      <c r="F2155" s="1" t="n">
        <v>84.91</v>
      </c>
      <c r="G2155" s="1" t="n">
        <v>0.2</v>
      </c>
      <c r="H2155" s="1" t="s">
        <v>1336</v>
      </c>
      <c r="I2155" s="1" t="n">
        <v>67.93</v>
      </c>
      <c r="J2155" s="1" t="str">
        <f aca="false">VLOOKUP(B2155,Customers!$A$2:$G$502,6,FALSE())</f>
        <v>Consumer</v>
      </c>
      <c r="K2155" s="1" t="str">
        <f aca="false">VLOOKUP(C2155,Products!$A$2:$E$62,3,FALSE())</f>
        <v>Office Supplies</v>
      </c>
      <c r="L2155" s="1" t="str">
        <f aca="false">TEXT(D2155,"yyyy-mm")</f>
        <v>2024-12</v>
      </c>
    </row>
    <row r="2156" customFormat="false" ht="15" hidden="false" customHeight="true" outlineLevel="0" collapsed="false">
      <c r="A2156" s="1" t="n">
        <v>2202</v>
      </c>
      <c r="B2156" s="1" t="n">
        <v>466</v>
      </c>
      <c r="C2156" s="1" t="n">
        <v>13</v>
      </c>
      <c r="D2156" s="1" t="s">
        <v>955</v>
      </c>
      <c r="E2156" s="1" t="n">
        <v>8</v>
      </c>
      <c r="F2156" s="1" t="n">
        <v>352.54</v>
      </c>
      <c r="G2156" s="1" t="n">
        <v>0.15</v>
      </c>
      <c r="H2156" s="1" t="s">
        <v>1336</v>
      </c>
      <c r="I2156" s="1" t="n">
        <v>2397.27</v>
      </c>
      <c r="J2156" s="1" t="str">
        <f aca="false">VLOOKUP(B2156,Customers!$A$2:$G$502,6,FALSE())</f>
        <v>Consumer</v>
      </c>
      <c r="K2156" s="1" t="str">
        <f aca="false">VLOOKUP(C2156,Products!$A$2:$E$62,3,FALSE())</f>
        <v>Electronics</v>
      </c>
      <c r="L2156" s="1" t="str">
        <f aca="false">TEXT(D2156,"yyyy-mm")</f>
        <v>2023-01</v>
      </c>
    </row>
    <row r="2157" customFormat="false" ht="15" hidden="false" customHeight="true" outlineLevel="0" collapsed="false">
      <c r="A2157" s="1" t="n">
        <v>2203</v>
      </c>
      <c r="B2157" s="1" t="n">
        <v>227</v>
      </c>
      <c r="C2157" s="1" t="n">
        <v>57</v>
      </c>
      <c r="D2157" s="1" t="s">
        <v>1376</v>
      </c>
      <c r="E2157" s="1" t="n">
        <v>2</v>
      </c>
      <c r="F2157" s="1" t="n">
        <v>719.76</v>
      </c>
      <c r="G2157" s="1" t="n">
        <v>0</v>
      </c>
      <c r="H2157" s="1" t="s">
        <v>1336</v>
      </c>
      <c r="I2157" s="1" t="n">
        <v>1439.52</v>
      </c>
      <c r="J2157" s="1" t="str">
        <f aca="false">VLOOKUP(B2157,Customers!$A$2:$G$502,6,FALSE())</f>
        <v>Consumer</v>
      </c>
      <c r="K2157" s="1" t="str">
        <f aca="false">VLOOKUP(C2157,Products!$A$2:$E$62,3,FALSE())</f>
        <v>Furniture</v>
      </c>
      <c r="L2157" s="1" t="str">
        <f aca="false">TEXT(D2157,"yyyy-mm")</f>
        <v>2023-01</v>
      </c>
    </row>
    <row r="2158" customFormat="false" ht="15" hidden="false" customHeight="true" outlineLevel="0" collapsed="false">
      <c r="A2158" s="1" t="n">
        <v>2204</v>
      </c>
      <c r="B2158" s="1" t="n">
        <v>170</v>
      </c>
      <c r="C2158" s="1" t="n">
        <v>1</v>
      </c>
      <c r="D2158" s="1" t="s">
        <v>1581</v>
      </c>
      <c r="E2158" s="1" t="n">
        <v>9</v>
      </c>
      <c r="F2158" s="1" t="n">
        <v>327.32</v>
      </c>
      <c r="G2158" s="1" t="n">
        <v>0.05</v>
      </c>
      <c r="H2158" s="1" t="s">
        <v>1336</v>
      </c>
      <c r="I2158" s="1" t="n">
        <v>2798.59</v>
      </c>
      <c r="J2158" s="1" t="str">
        <f aca="false">VLOOKUP(B2158,Customers!$A$2:$G$502,6,FALSE())</f>
        <v>Small Business</v>
      </c>
      <c r="K2158" s="1" t="str">
        <f aca="false">VLOOKUP(C2158,Products!$A$2:$E$62,3,FALSE())</f>
        <v>Electronics</v>
      </c>
      <c r="L2158" s="1" t="str">
        <f aca="false">TEXT(D2158,"yyyy-mm")</f>
        <v>2023-10</v>
      </c>
    </row>
    <row r="2159" customFormat="false" ht="15" hidden="false" customHeight="true" outlineLevel="0" collapsed="false">
      <c r="A2159" s="1" t="n">
        <v>2205</v>
      </c>
      <c r="B2159" s="1" t="n">
        <v>194</v>
      </c>
      <c r="C2159" s="1" t="n">
        <v>50</v>
      </c>
      <c r="D2159" s="1" t="s">
        <v>1481</v>
      </c>
      <c r="E2159" s="1" t="n">
        <v>7</v>
      </c>
      <c r="F2159" s="1" t="n">
        <v>19.73</v>
      </c>
      <c r="G2159" s="1" t="n">
        <v>0.15</v>
      </c>
      <c r="H2159" s="1" t="s">
        <v>1336</v>
      </c>
      <c r="I2159" s="1" t="n">
        <v>117.39</v>
      </c>
      <c r="J2159" s="1" t="str">
        <f aca="false">VLOOKUP(B2159,Customers!$A$2:$G$502,6,FALSE())</f>
        <v>Corporate</v>
      </c>
      <c r="K2159" s="1" t="str">
        <f aca="false">VLOOKUP(C2159,Products!$A$2:$E$62,3,FALSE())</f>
        <v>Software</v>
      </c>
      <c r="L2159" s="1" t="str">
        <f aca="false">TEXT(D2159,"yyyy-mm")</f>
        <v>2024-06</v>
      </c>
    </row>
    <row r="2160" customFormat="false" ht="15" hidden="false" customHeight="true" outlineLevel="0" collapsed="false">
      <c r="A2160" s="1" t="n">
        <v>2206</v>
      </c>
      <c r="B2160" s="1" t="n">
        <v>350</v>
      </c>
      <c r="C2160" s="1" t="n">
        <v>29</v>
      </c>
      <c r="D2160" s="1" t="s">
        <v>1647</v>
      </c>
      <c r="E2160" s="1" t="n">
        <v>6</v>
      </c>
      <c r="F2160" s="1" t="n">
        <v>54.62</v>
      </c>
      <c r="G2160" s="1" t="n">
        <v>0</v>
      </c>
      <c r="H2160" s="1" t="s">
        <v>1336</v>
      </c>
      <c r="I2160" s="1" t="n">
        <v>327.72</v>
      </c>
      <c r="J2160" s="1" t="str">
        <f aca="false">VLOOKUP(B2160,Customers!$A$2:$G$502,6,FALSE())</f>
        <v>Consumer</v>
      </c>
      <c r="K2160" s="1" t="str">
        <f aca="false">VLOOKUP(C2160,Products!$A$2:$E$62,3,FALSE())</f>
        <v>Office Supplies</v>
      </c>
      <c r="L2160" s="1" t="str">
        <f aca="false">TEXT(D2160,"yyyy-mm")</f>
        <v>2024-05</v>
      </c>
    </row>
    <row r="2161" customFormat="false" ht="15" hidden="false" customHeight="true" outlineLevel="0" collapsed="false">
      <c r="A2161" s="1" t="n">
        <v>2207</v>
      </c>
      <c r="B2161" s="1" t="n">
        <v>108</v>
      </c>
      <c r="C2161" s="1" t="n">
        <v>11</v>
      </c>
      <c r="D2161" s="1" t="s">
        <v>780</v>
      </c>
      <c r="E2161" s="1" t="n">
        <v>1</v>
      </c>
      <c r="F2161" s="1" t="n">
        <v>328.39</v>
      </c>
      <c r="G2161" s="1" t="n">
        <v>0.15</v>
      </c>
      <c r="H2161" s="1" t="s">
        <v>1336</v>
      </c>
      <c r="I2161" s="1" t="n">
        <v>279.13</v>
      </c>
      <c r="J2161" s="1" t="str">
        <f aca="false">VLOOKUP(B2161,Customers!$A$2:$G$502,6,FALSE())</f>
        <v>Consumer</v>
      </c>
      <c r="K2161" s="1" t="str">
        <f aca="false">VLOOKUP(C2161,Products!$A$2:$E$62,3,FALSE())</f>
        <v>Electronics</v>
      </c>
      <c r="L2161" s="1" t="str">
        <f aca="false">TEXT(D2161,"yyyy-mm")</f>
        <v>2024-09</v>
      </c>
    </row>
    <row r="2162" customFormat="false" ht="15" hidden="false" customHeight="true" outlineLevel="0" collapsed="false">
      <c r="A2162" s="1" t="n">
        <v>2208</v>
      </c>
      <c r="B2162" s="1" t="n">
        <v>243</v>
      </c>
      <c r="C2162" s="1" t="n">
        <v>21</v>
      </c>
      <c r="D2162" s="1" t="s">
        <v>1022</v>
      </c>
      <c r="E2162" s="1" t="n">
        <v>1</v>
      </c>
      <c r="F2162" s="1" t="n">
        <v>84.91</v>
      </c>
      <c r="G2162" s="1" t="n">
        <v>0</v>
      </c>
      <c r="H2162" s="1" t="s">
        <v>1346</v>
      </c>
      <c r="I2162" s="1" t="n">
        <v>84.91</v>
      </c>
      <c r="J2162" s="1" t="str">
        <f aca="false">VLOOKUP(B2162,Customers!$A$2:$G$502,6,FALSE())</f>
        <v>Small Business</v>
      </c>
      <c r="K2162" s="1" t="str">
        <f aca="false">VLOOKUP(C2162,Products!$A$2:$E$62,3,FALSE())</f>
        <v>Office Supplies</v>
      </c>
      <c r="L2162" s="1" t="str">
        <f aca="false">TEXT(D2162,"yyyy-mm")</f>
        <v>2023-06</v>
      </c>
    </row>
    <row r="2163" customFormat="false" ht="15" hidden="false" customHeight="true" outlineLevel="0" collapsed="false">
      <c r="A2163" s="1" t="n">
        <v>2209</v>
      </c>
      <c r="B2163" s="1" t="n">
        <v>205</v>
      </c>
      <c r="C2163" s="1" t="n">
        <v>23</v>
      </c>
      <c r="D2163" s="1" t="s">
        <v>112</v>
      </c>
      <c r="E2163" s="1" t="n">
        <v>2</v>
      </c>
      <c r="F2163" s="1" t="n">
        <v>188.73</v>
      </c>
      <c r="G2163" s="1" t="n">
        <v>0</v>
      </c>
      <c r="H2163" s="1" t="s">
        <v>1336</v>
      </c>
      <c r="I2163" s="1" t="n">
        <v>377.46</v>
      </c>
      <c r="J2163" s="1" t="str">
        <f aca="false">VLOOKUP(B2163,Customers!$A$2:$G$502,6,FALSE())</f>
        <v>Corporate</v>
      </c>
      <c r="K2163" s="1" t="str">
        <f aca="false">VLOOKUP(C2163,Products!$A$2:$E$62,3,FALSE())</f>
        <v>Office Supplies</v>
      </c>
      <c r="L2163" s="1" t="str">
        <f aca="false">TEXT(D2163,"yyyy-mm")</f>
        <v>2024-07</v>
      </c>
    </row>
    <row r="2164" customFormat="false" ht="15" hidden="false" customHeight="true" outlineLevel="0" collapsed="false">
      <c r="A2164" s="1" t="n">
        <v>2210</v>
      </c>
      <c r="B2164" s="1" t="n">
        <v>372</v>
      </c>
      <c r="C2164" s="1" t="n">
        <v>60</v>
      </c>
      <c r="D2164" s="1" t="s">
        <v>572</v>
      </c>
      <c r="E2164" s="1" t="n">
        <v>6</v>
      </c>
      <c r="F2164" s="1" t="n">
        <v>584.98</v>
      </c>
      <c r="G2164" s="1" t="n">
        <v>0</v>
      </c>
      <c r="H2164" s="1" t="s">
        <v>1336</v>
      </c>
      <c r="I2164" s="1" t="n">
        <v>3509.88</v>
      </c>
      <c r="J2164" s="1" t="str">
        <f aca="false">VLOOKUP(B2164,Customers!$A$2:$G$502,6,FALSE())</f>
        <v>Corporate</v>
      </c>
      <c r="K2164" s="1" t="str">
        <f aca="false">VLOOKUP(C2164,Products!$A$2:$E$62,3,FALSE())</f>
        <v>Furniture</v>
      </c>
      <c r="L2164" s="1" t="str">
        <f aca="false">TEXT(D2164,"yyyy-mm")</f>
        <v>2023-06</v>
      </c>
    </row>
    <row r="2165" customFormat="false" ht="15" hidden="false" customHeight="true" outlineLevel="0" collapsed="false">
      <c r="A2165" s="1" t="n">
        <v>2211</v>
      </c>
      <c r="B2165" s="1" t="n">
        <v>476</v>
      </c>
      <c r="C2165" s="1" t="n">
        <v>50</v>
      </c>
      <c r="D2165" s="1" t="s">
        <v>1687</v>
      </c>
      <c r="E2165" s="1" t="n">
        <v>6</v>
      </c>
      <c r="F2165" s="1" t="n">
        <v>19.73</v>
      </c>
      <c r="G2165" s="1" t="n">
        <v>0</v>
      </c>
      <c r="H2165" s="1" t="s">
        <v>1336</v>
      </c>
      <c r="I2165" s="1" t="n">
        <v>118.38</v>
      </c>
      <c r="J2165" s="1" t="str">
        <f aca="false">VLOOKUP(B2165,Customers!$A$2:$G$502,6,FALSE())</f>
        <v>Small Business</v>
      </c>
      <c r="K2165" s="1" t="str">
        <f aca="false">VLOOKUP(C2165,Products!$A$2:$E$62,3,FALSE())</f>
        <v>Software</v>
      </c>
      <c r="L2165" s="1" t="str">
        <f aca="false">TEXT(D2165,"yyyy-mm")</f>
        <v>2024-02</v>
      </c>
    </row>
    <row r="2166" customFormat="false" ht="15" hidden="false" customHeight="true" outlineLevel="0" collapsed="false">
      <c r="A2166" s="1" t="n">
        <v>2212</v>
      </c>
      <c r="B2166" s="1" t="n">
        <v>298</v>
      </c>
      <c r="C2166" s="1" t="n">
        <v>26</v>
      </c>
      <c r="D2166" s="1" t="s">
        <v>1391</v>
      </c>
      <c r="E2166" s="1" t="n">
        <v>2</v>
      </c>
      <c r="F2166" s="1" t="n">
        <v>733.85</v>
      </c>
      <c r="G2166" s="1" t="n">
        <v>0.05</v>
      </c>
      <c r="H2166" s="1" t="s">
        <v>1336</v>
      </c>
      <c r="I2166" s="1" t="n">
        <v>1394.32</v>
      </c>
      <c r="J2166" s="1" t="str">
        <f aca="false">VLOOKUP(B2166,Customers!$A$2:$G$502,6,FALSE())</f>
        <v>Consumer</v>
      </c>
      <c r="K2166" s="1" t="str">
        <f aca="false">VLOOKUP(C2166,Products!$A$2:$E$62,3,FALSE())</f>
        <v>Office Supplies</v>
      </c>
      <c r="L2166" s="1" t="str">
        <f aca="false">TEXT(D2166,"yyyy-mm")</f>
        <v>2023-08</v>
      </c>
    </row>
    <row r="2167" customFormat="false" ht="15" hidden="false" customHeight="true" outlineLevel="0" collapsed="false">
      <c r="A2167" s="1" t="n">
        <v>2213</v>
      </c>
      <c r="B2167" s="1" t="n">
        <v>89</v>
      </c>
      <c r="C2167" s="1" t="n">
        <v>53</v>
      </c>
      <c r="D2167" s="1" t="s">
        <v>1478</v>
      </c>
      <c r="E2167" s="1" t="n">
        <v>1</v>
      </c>
      <c r="F2167" s="1" t="n">
        <v>509.98</v>
      </c>
      <c r="G2167" s="1" t="n">
        <v>0.15</v>
      </c>
      <c r="H2167" s="1" t="s">
        <v>1336</v>
      </c>
      <c r="I2167" s="1" t="n">
        <v>433.48</v>
      </c>
      <c r="J2167" s="1" t="str">
        <f aca="false">VLOOKUP(B2167,Customers!$A$2:$G$502,6,FALSE())</f>
        <v>Small Business</v>
      </c>
      <c r="K2167" s="1" t="str">
        <f aca="false">VLOOKUP(C2167,Products!$A$2:$E$62,3,FALSE())</f>
        <v>Software</v>
      </c>
      <c r="L2167" s="1" t="str">
        <f aca="false">TEXT(D2167,"yyyy-mm")</f>
        <v>2024-09</v>
      </c>
    </row>
    <row r="2168" customFormat="false" ht="15" hidden="false" customHeight="true" outlineLevel="0" collapsed="false">
      <c r="A2168" s="1" t="n">
        <v>2214</v>
      </c>
      <c r="B2168" s="1" t="n">
        <v>39</v>
      </c>
      <c r="C2168" s="1" t="n">
        <v>22</v>
      </c>
      <c r="D2168" s="1" t="s">
        <v>179</v>
      </c>
      <c r="E2168" s="1" t="n">
        <v>5</v>
      </c>
      <c r="F2168" s="1" t="n">
        <v>38.57</v>
      </c>
      <c r="G2168" s="1" t="n">
        <v>0</v>
      </c>
      <c r="H2168" s="1" t="s">
        <v>1336</v>
      </c>
      <c r="I2168" s="1" t="n">
        <v>192.85</v>
      </c>
      <c r="J2168" s="1" t="str">
        <f aca="false">VLOOKUP(B2168,Customers!$A$2:$G$502,6,FALSE())</f>
        <v>Corporate</v>
      </c>
      <c r="K2168" s="1" t="str">
        <f aca="false">VLOOKUP(C2168,Products!$A$2:$E$62,3,FALSE())</f>
        <v>Office Supplies</v>
      </c>
      <c r="L2168" s="1" t="str">
        <f aca="false">TEXT(D2168,"yyyy-mm")</f>
        <v>2024-11</v>
      </c>
    </row>
    <row r="2169" customFormat="false" ht="15" hidden="false" customHeight="true" outlineLevel="0" collapsed="false">
      <c r="A2169" s="1" t="n">
        <v>2215</v>
      </c>
      <c r="B2169" s="1" t="n">
        <v>100</v>
      </c>
      <c r="C2169" s="1" t="n">
        <v>14</v>
      </c>
      <c r="D2169" s="1" t="s">
        <v>764</v>
      </c>
      <c r="E2169" s="1" t="n">
        <v>5</v>
      </c>
      <c r="F2169" s="1" t="n">
        <v>135.27</v>
      </c>
      <c r="G2169" s="1" t="n">
        <v>0</v>
      </c>
      <c r="H2169" s="1" t="s">
        <v>1336</v>
      </c>
      <c r="I2169" s="1" t="n">
        <v>676.35</v>
      </c>
      <c r="J2169" s="1" t="str">
        <f aca="false">VLOOKUP(B2169,Customers!$A$2:$G$502,6,FALSE())</f>
        <v>Consumer</v>
      </c>
      <c r="K2169" s="1" t="str">
        <f aca="false">VLOOKUP(C2169,Products!$A$2:$E$62,3,FALSE())</f>
        <v>Electronics</v>
      </c>
      <c r="L2169" s="1" t="str">
        <f aca="false">TEXT(D2169,"yyyy-mm")</f>
        <v>2023-04</v>
      </c>
    </row>
    <row r="2170" customFormat="false" ht="15" hidden="false" customHeight="true" outlineLevel="0" collapsed="false">
      <c r="A2170" s="1" t="n">
        <v>2216</v>
      </c>
      <c r="B2170" s="1" t="n">
        <v>274</v>
      </c>
      <c r="C2170" s="1" t="n">
        <v>55</v>
      </c>
      <c r="D2170" s="1" t="s">
        <v>1437</v>
      </c>
      <c r="E2170" s="1" t="n">
        <v>2</v>
      </c>
      <c r="F2170" s="1" t="n">
        <v>123.38</v>
      </c>
      <c r="G2170" s="1" t="n">
        <v>0.15</v>
      </c>
      <c r="H2170" s="1" t="s">
        <v>1336</v>
      </c>
      <c r="I2170" s="1" t="n">
        <v>209.75</v>
      </c>
      <c r="J2170" s="1" t="str">
        <f aca="false">VLOOKUP(B2170,Customers!$A$2:$G$502,6,FALSE())</f>
        <v>Corporate</v>
      </c>
      <c r="K2170" s="1" t="str">
        <f aca="false">VLOOKUP(C2170,Products!$A$2:$E$62,3,FALSE())</f>
        <v>Furniture</v>
      </c>
      <c r="L2170" s="1" t="str">
        <f aca="false">TEXT(D2170,"yyyy-mm")</f>
        <v>2023-08</v>
      </c>
    </row>
    <row r="2171" customFormat="false" ht="15" hidden="false" customHeight="true" outlineLevel="0" collapsed="false">
      <c r="A2171" s="1" t="n">
        <v>2217</v>
      </c>
      <c r="B2171" s="1" t="n">
        <v>78</v>
      </c>
      <c r="C2171" s="1" t="n">
        <v>7</v>
      </c>
      <c r="D2171" s="1" t="s">
        <v>1460</v>
      </c>
      <c r="E2171" s="1" t="n">
        <v>6</v>
      </c>
      <c r="F2171" s="1" t="n">
        <v>460</v>
      </c>
      <c r="G2171" s="1" t="n">
        <v>0.2</v>
      </c>
      <c r="H2171" s="1" t="s">
        <v>1336</v>
      </c>
      <c r="I2171" s="1" t="n">
        <v>2208</v>
      </c>
      <c r="J2171" s="1" t="str">
        <f aca="false">VLOOKUP(B2171,Customers!$A$2:$G$502,6,FALSE())</f>
        <v>Consumer</v>
      </c>
      <c r="K2171" s="1" t="str">
        <f aca="false">VLOOKUP(C2171,Products!$A$2:$E$62,3,FALSE())</f>
        <v>Electronics</v>
      </c>
      <c r="L2171" s="1" t="str">
        <f aca="false">TEXT(D2171,"yyyy-mm")</f>
        <v>2023-06</v>
      </c>
    </row>
    <row r="2172" customFormat="false" ht="15" hidden="false" customHeight="true" outlineLevel="0" collapsed="false">
      <c r="A2172" s="1" t="n">
        <v>2218</v>
      </c>
      <c r="B2172" s="1" t="n">
        <v>58</v>
      </c>
      <c r="C2172" s="1" t="n">
        <v>46</v>
      </c>
      <c r="D2172" s="1" t="s">
        <v>405</v>
      </c>
      <c r="E2172" s="1" t="n">
        <v>9</v>
      </c>
      <c r="F2172" s="1" t="n">
        <v>94.92</v>
      </c>
      <c r="G2172" s="1" t="n">
        <v>0.1</v>
      </c>
      <c r="H2172" s="1" t="s">
        <v>1336</v>
      </c>
      <c r="I2172" s="1" t="n">
        <v>768.85</v>
      </c>
      <c r="J2172" s="1" t="str">
        <f aca="false">VLOOKUP(B2172,Customers!$A$2:$G$502,6,FALSE())</f>
        <v>Consumer</v>
      </c>
      <c r="K2172" s="1" t="str">
        <f aca="false">VLOOKUP(C2172,Products!$A$2:$E$62,3,FALSE())</f>
        <v>Software</v>
      </c>
      <c r="L2172" s="1" t="str">
        <f aca="false">TEXT(D2172,"yyyy-mm")</f>
        <v>2024-01</v>
      </c>
    </row>
    <row r="2173" customFormat="false" ht="15" hidden="false" customHeight="true" outlineLevel="0" collapsed="false">
      <c r="A2173" s="1" t="n">
        <v>2219</v>
      </c>
      <c r="B2173" s="1" t="n">
        <v>206</v>
      </c>
      <c r="C2173" s="1" t="n">
        <v>20</v>
      </c>
      <c r="D2173" s="1" t="s">
        <v>586</v>
      </c>
      <c r="E2173" s="1" t="n">
        <v>2</v>
      </c>
      <c r="F2173" s="1" t="n">
        <v>426.15</v>
      </c>
      <c r="G2173" s="1" t="n">
        <v>0</v>
      </c>
      <c r="H2173" s="1" t="s">
        <v>1336</v>
      </c>
      <c r="I2173" s="1" t="n">
        <v>852.3</v>
      </c>
      <c r="J2173" s="1" t="str">
        <f aca="false">VLOOKUP(B2173,Customers!$A$2:$G$502,6,FALSE())</f>
        <v>Small Business</v>
      </c>
      <c r="K2173" s="1" t="str">
        <f aca="false">VLOOKUP(C2173,Products!$A$2:$E$62,3,FALSE())</f>
        <v>Office Supplies</v>
      </c>
      <c r="L2173" s="1" t="str">
        <f aca="false">TEXT(D2173,"yyyy-mm")</f>
        <v>2023-01</v>
      </c>
    </row>
    <row r="2174" customFormat="false" ht="15" hidden="false" customHeight="true" outlineLevel="0" collapsed="false">
      <c r="A2174" s="1" t="n">
        <v>2220</v>
      </c>
      <c r="B2174" s="1" t="n">
        <v>30</v>
      </c>
      <c r="C2174" s="1" t="n">
        <v>25</v>
      </c>
      <c r="D2174" s="1" t="s">
        <v>1520</v>
      </c>
      <c r="E2174" s="1" t="n">
        <v>2</v>
      </c>
      <c r="F2174" s="1" t="n">
        <v>300.49</v>
      </c>
      <c r="G2174" s="1" t="n">
        <v>0</v>
      </c>
      <c r="H2174" s="1" t="s">
        <v>1336</v>
      </c>
      <c r="I2174" s="1" t="n">
        <v>600.98</v>
      </c>
      <c r="J2174" s="1" t="str">
        <f aca="false">VLOOKUP(B2174,Customers!$A$2:$G$502,6,FALSE())</f>
        <v>Unknown</v>
      </c>
      <c r="K2174" s="1" t="str">
        <f aca="false">VLOOKUP(C2174,Products!$A$2:$E$62,3,FALSE())</f>
        <v>Office Supplies</v>
      </c>
      <c r="L2174" s="1" t="str">
        <f aca="false">TEXT(D2174,"yyyy-mm")</f>
        <v>2023-11</v>
      </c>
    </row>
    <row r="2175" customFormat="false" ht="15" hidden="false" customHeight="true" outlineLevel="0" collapsed="false">
      <c r="A2175" s="1" t="n">
        <v>2221</v>
      </c>
      <c r="B2175" s="1" t="n">
        <v>199</v>
      </c>
      <c r="C2175" s="1" t="n">
        <v>12</v>
      </c>
      <c r="D2175" s="1" t="s">
        <v>1445</v>
      </c>
      <c r="E2175" s="1" t="n">
        <v>3</v>
      </c>
      <c r="F2175" s="1" t="n">
        <v>179.23</v>
      </c>
      <c r="G2175" s="1" t="n">
        <v>0.1</v>
      </c>
      <c r="H2175" s="1" t="s">
        <v>1346</v>
      </c>
      <c r="I2175" s="1" t="n">
        <v>483.92</v>
      </c>
      <c r="J2175" s="1" t="str">
        <f aca="false">VLOOKUP(B2175,Customers!$A$2:$G$502,6,FALSE())</f>
        <v>Corporate</v>
      </c>
      <c r="K2175" s="1" t="str">
        <f aca="false">VLOOKUP(C2175,Products!$A$2:$E$62,3,FALSE())</f>
        <v>Electronics</v>
      </c>
      <c r="L2175" s="1" t="str">
        <f aca="false">TEXT(D2175,"yyyy-mm")</f>
        <v>2024-08</v>
      </c>
    </row>
    <row r="2176" customFormat="false" ht="15" hidden="false" customHeight="true" outlineLevel="0" collapsed="false">
      <c r="A2176" s="1" t="n">
        <v>2222</v>
      </c>
      <c r="B2176" s="1" t="n">
        <v>426</v>
      </c>
      <c r="C2176" s="1" t="n">
        <v>21</v>
      </c>
      <c r="D2176" s="1" t="s">
        <v>1621</v>
      </c>
      <c r="E2176" s="1" t="n">
        <v>7</v>
      </c>
      <c r="F2176" s="1" t="n">
        <v>84.91</v>
      </c>
      <c r="G2176" s="1" t="n">
        <v>0</v>
      </c>
      <c r="H2176" s="1" t="s">
        <v>1336</v>
      </c>
      <c r="I2176" s="1" t="n">
        <v>594.37</v>
      </c>
      <c r="J2176" s="1" t="str">
        <f aca="false">VLOOKUP(B2176,Customers!$A$2:$G$502,6,FALSE())</f>
        <v>Consumer</v>
      </c>
      <c r="K2176" s="1" t="str">
        <f aca="false">VLOOKUP(C2176,Products!$A$2:$E$62,3,FALSE())</f>
        <v>Office Supplies</v>
      </c>
      <c r="L2176" s="1" t="str">
        <f aca="false">TEXT(D2176,"yyyy-mm")</f>
        <v>2024-06</v>
      </c>
    </row>
    <row r="2177" customFormat="false" ht="15" hidden="false" customHeight="true" outlineLevel="0" collapsed="false">
      <c r="A2177" s="1" t="n">
        <v>2223</v>
      </c>
      <c r="B2177" s="1" t="n">
        <v>446</v>
      </c>
      <c r="C2177" s="1" t="n">
        <v>26</v>
      </c>
      <c r="D2177" s="1" t="s">
        <v>1679</v>
      </c>
      <c r="E2177" s="1" t="n">
        <v>6</v>
      </c>
      <c r="F2177" s="1" t="n">
        <v>733.85</v>
      </c>
      <c r="G2177" s="1" t="n">
        <v>0.2</v>
      </c>
      <c r="H2177" s="1" t="s">
        <v>1336</v>
      </c>
      <c r="I2177" s="1" t="n">
        <v>3522.48</v>
      </c>
      <c r="J2177" s="1" t="str">
        <f aca="false">VLOOKUP(B2177,Customers!$A$2:$G$502,6,FALSE())</f>
        <v>Small Business</v>
      </c>
      <c r="K2177" s="1" t="str">
        <f aca="false">VLOOKUP(C2177,Products!$A$2:$E$62,3,FALSE())</f>
        <v>Office Supplies</v>
      </c>
      <c r="L2177" s="1" t="str">
        <f aca="false">TEXT(D2177,"yyyy-mm")</f>
        <v>2023-11</v>
      </c>
    </row>
    <row r="2178" customFormat="false" ht="15" hidden="false" customHeight="true" outlineLevel="0" collapsed="false">
      <c r="A2178" s="1" t="n">
        <v>2224</v>
      </c>
      <c r="B2178" s="1" t="n">
        <v>338</v>
      </c>
      <c r="C2178" s="1" t="n">
        <v>12</v>
      </c>
      <c r="D2178" s="1" t="s">
        <v>1615</v>
      </c>
      <c r="E2178" s="1" t="n">
        <v>8</v>
      </c>
      <c r="F2178" s="1" t="n">
        <v>179.23</v>
      </c>
      <c r="G2178" s="1" t="n">
        <v>0.1</v>
      </c>
      <c r="H2178" s="1" t="s">
        <v>1336</v>
      </c>
      <c r="I2178" s="1" t="n">
        <v>1290.46</v>
      </c>
      <c r="J2178" s="1" t="str">
        <f aca="false">VLOOKUP(B2178,Customers!$A$2:$G$502,6,FALSE())</f>
        <v>Corporate</v>
      </c>
      <c r="K2178" s="1" t="str">
        <f aca="false">VLOOKUP(C2178,Products!$A$2:$E$62,3,FALSE())</f>
        <v>Electronics</v>
      </c>
      <c r="L2178" s="1" t="str">
        <f aca="false">TEXT(D2178,"yyyy-mm")</f>
        <v>2023-04</v>
      </c>
    </row>
    <row r="2179" customFormat="false" ht="15" hidden="false" customHeight="true" outlineLevel="0" collapsed="false">
      <c r="A2179" s="1" t="n">
        <v>2225</v>
      </c>
      <c r="B2179" s="1" t="n">
        <v>99</v>
      </c>
      <c r="C2179" s="1" t="n">
        <v>12</v>
      </c>
      <c r="D2179" s="1" t="s">
        <v>1549</v>
      </c>
      <c r="E2179" s="1" t="n">
        <v>8</v>
      </c>
      <c r="F2179" s="1" t="n">
        <v>179.23</v>
      </c>
      <c r="G2179" s="1" t="n">
        <v>0</v>
      </c>
      <c r="H2179" s="1" t="s">
        <v>1336</v>
      </c>
      <c r="I2179" s="1" t="n">
        <v>1433.84</v>
      </c>
      <c r="J2179" s="1" t="str">
        <f aca="false">VLOOKUP(B2179,Customers!$A$2:$G$502,6,FALSE())</f>
        <v>Small Business</v>
      </c>
      <c r="K2179" s="1" t="str">
        <f aca="false">VLOOKUP(C2179,Products!$A$2:$E$62,3,FALSE())</f>
        <v>Electronics</v>
      </c>
      <c r="L2179" s="1" t="str">
        <f aca="false">TEXT(D2179,"yyyy-mm")</f>
        <v>2023-01</v>
      </c>
    </row>
    <row r="2180" customFormat="false" ht="15" hidden="false" customHeight="true" outlineLevel="0" collapsed="false">
      <c r="A2180" s="1" t="n">
        <v>2226</v>
      </c>
      <c r="B2180" s="1" t="n">
        <v>112</v>
      </c>
      <c r="C2180" s="1" t="n">
        <v>51</v>
      </c>
      <c r="D2180" s="1" t="s">
        <v>825</v>
      </c>
      <c r="E2180" s="1" t="n">
        <v>6</v>
      </c>
      <c r="F2180" s="1" t="n">
        <v>30.16</v>
      </c>
      <c r="G2180" s="1" t="n">
        <v>0</v>
      </c>
      <c r="H2180" s="1" t="s">
        <v>1336</v>
      </c>
      <c r="I2180" s="1" t="n">
        <v>180.96</v>
      </c>
      <c r="J2180" s="1" t="str">
        <f aca="false">VLOOKUP(B2180,Customers!$A$2:$G$502,6,FALSE())</f>
        <v>Corporate</v>
      </c>
      <c r="K2180" s="1" t="str">
        <f aca="false">VLOOKUP(C2180,Products!$A$2:$E$62,3,FALSE())</f>
        <v>Software</v>
      </c>
      <c r="L2180" s="1" t="str">
        <f aca="false">TEXT(D2180,"yyyy-mm")</f>
        <v>2023-04</v>
      </c>
    </row>
    <row r="2181" customFormat="false" ht="15" hidden="false" customHeight="true" outlineLevel="0" collapsed="false">
      <c r="A2181" s="1" t="n">
        <v>2227</v>
      </c>
      <c r="B2181" s="1" t="n">
        <v>442</v>
      </c>
      <c r="C2181" s="1" t="n">
        <v>45</v>
      </c>
      <c r="D2181" s="1" t="s">
        <v>1615</v>
      </c>
      <c r="E2181" s="1" t="n">
        <v>3</v>
      </c>
      <c r="F2181" s="1" t="n">
        <v>560.01</v>
      </c>
      <c r="G2181" s="1" t="n">
        <v>0</v>
      </c>
      <c r="H2181" s="1" t="s">
        <v>1336</v>
      </c>
      <c r="I2181" s="1" t="n">
        <v>1680.03</v>
      </c>
      <c r="J2181" s="1" t="str">
        <f aca="false">VLOOKUP(B2181,Customers!$A$2:$G$502,6,FALSE())</f>
        <v>Small Business</v>
      </c>
      <c r="K2181" s="1" t="str">
        <f aca="false">VLOOKUP(C2181,Products!$A$2:$E$62,3,FALSE())</f>
        <v>Software</v>
      </c>
      <c r="L2181" s="1" t="str">
        <f aca="false">TEXT(D2181,"yyyy-mm")</f>
        <v>2023-04</v>
      </c>
    </row>
    <row r="2182" customFormat="false" ht="15" hidden="false" customHeight="true" outlineLevel="0" collapsed="false">
      <c r="A2182" s="1" t="n">
        <v>2228</v>
      </c>
      <c r="B2182" s="1" t="n">
        <v>302</v>
      </c>
      <c r="C2182" s="1" t="n">
        <v>40</v>
      </c>
      <c r="D2182" s="1" t="s">
        <v>1371</v>
      </c>
      <c r="E2182" s="1" t="n">
        <v>3</v>
      </c>
      <c r="F2182" s="1" t="n">
        <v>193.02</v>
      </c>
      <c r="G2182" s="1" t="n">
        <v>0.1</v>
      </c>
      <c r="H2182" s="1" t="s">
        <v>1336</v>
      </c>
      <c r="I2182" s="1" t="n">
        <v>521.15</v>
      </c>
      <c r="J2182" s="1" t="str">
        <f aca="false">VLOOKUP(B2182,Customers!$A$2:$G$502,6,FALSE())</f>
        <v>Corporate</v>
      </c>
      <c r="K2182" s="1" t="str">
        <f aca="false">VLOOKUP(C2182,Products!$A$2:$E$62,3,FALSE())</f>
        <v>Software</v>
      </c>
      <c r="L2182" s="1" t="str">
        <f aca="false">TEXT(D2182,"yyyy-mm")</f>
        <v>2024-08</v>
      </c>
    </row>
    <row r="2183" customFormat="false" ht="15" hidden="false" customHeight="true" outlineLevel="0" collapsed="false">
      <c r="A2183" s="1" t="n">
        <v>2229</v>
      </c>
      <c r="B2183" s="1" t="n">
        <v>358</v>
      </c>
      <c r="C2183" s="1" t="n">
        <v>13</v>
      </c>
      <c r="D2183" s="1" t="s">
        <v>946</v>
      </c>
      <c r="E2183" s="1" t="n">
        <v>1</v>
      </c>
      <c r="F2183" s="1" t="n">
        <v>352.54</v>
      </c>
      <c r="G2183" s="1" t="n">
        <v>0.15</v>
      </c>
      <c r="H2183" s="1" t="s">
        <v>1336</v>
      </c>
      <c r="I2183" s="1" t="n">
        <v>299.66</v>
      </c>
      <c r="J2183" s="1" t="str">
        <f aca="false">VLOOKUP(B2183,Customers!$A$2:$G$502,6,FALSE())</f>
        <v>Corporate</v>
      </c>
      <c r="K2183" s="1" t="str">
        <f aca="false">VLOOKUP(C2183,Products!$A$2:$E$62,3,FALSE())</f>
        <v>Electronics</v>
      </c>
      <c r="L2183" s="1" t="str">
        <f aca="false">TEXT(D2183,"yyyy-mm")</f>
        <v>2023-04</v>
      </c>
    </row>
    <row r="2184" customFormat="false" ht="15" hidden="false" customHeight="true" outlineLevel="0" collapsed="false">
      <c r="A2184" s="1" t="n">
        <v>2230</v>
      </c>
      <c r="B2184" s="1" t="n">
        <v>11</v>
      </c>
      <c r="C2184" s="1" t="n">
        <v>48</v>
      </c>
      <c r="D2184" s="1" t="s">
        <v>1566</v>
      </c>
      <c r="E2184" s="1" t="n">
        <v>7</v>
      </c>
      <c r="F2184" s="1" t="n">
        <v>493.53</v>
      </c>
      <c r="G2184" s="1" t="n">
        <v>0</v>
      </c>
      <c r="H2184" s="1" t="s">
        <v>1336</v>
      </c>
      <c r="I2184" s="1" t="n">
        <v>3454.71</v>
      </c>
      <c r="J2184" s="1" t="str">
        <f aca="false">VLOOKUP(B2184,Customers!$A$2:$G$502,6,FALSE())</f>
        <v>Consumer</v>
      </c>
      <c r="K2184" s="1" t="str">
        <f aca="false">VLOOKUP(C2184,Products!$A$2:$E$62,3,FALSE())</f>
        <v>Software</v>
      </c>
      <c r="L2184" s="1" t="str">
        <f aca="false">TEXT(D2184,"yyyy-mm")</f>
        <v>2024-12</v>
      </c>
    </row>
    <row r="2185" customFormat="false" ht="15" hidden="false" customHeight="true" outlineLevel="0" collapsed="false">
      <c r="A2185" s="1" t="n">
        <v>2232</v>
      </c>
      <c r="B2185" s="1" t="n">
        <v>324</v>
      </c>
      <c r="C2185" s="1" t="n">
        <v>3</v>
      </c>
      <c r="D2185" s="1" t="s">
        <v>1518</v>
      </c>
      <c r="E2185" s="1" t="n">
        <v>4</v>
      </c>
      <c r="F2185" s="1" t="n">
        <v>89.39</v>
      </c>
      <c r="G2185" s="1" t="n">
        <v>0.2</v>
      </c>
      <c r="H2185" s="1" t="s">
        <v>1336</v>
      </c>
      <c r="I2185" s="1" t="n">
        <v>286.05</v>
      </c>
      <c r="J2185" s="1" t="str">
        <f aca="false">VLOOKUP(B2185,Customers!$A$2:$G$502,6,FALSE())</f>
        <v>Consumer</v>
      </c>
      <c r="K2185" s="1" t="str">
        <f aca="false">VLOOKUP(C2185,Products!$A$2:$E$62,3,FALSE())</f>
        <v>Electronics</v>
      </c>
      <c r="L2185" s="1" t="str">
        <f aca="false">TEXT(D2185,"yyyy-mm")</f>
        <v>2023-12</v>
      </c>
    </row>
    <row r="2186" customFormat="false" ht="15" hidden="false" customHeight="true" outlineLevel="0" collapsed="false">
      <c r="A2186" s="1" t="n">
        <v>2233</v>
      </c>
      <c r="B2186" s="1" t="n">
        <v>364</v>
      </c>
      <c r="C2186" s="1" t="n">
        <v>1</v>
      </c>
      <c r="D2186" s="1" t="s">
        <v>44</v>
      </c>
      <c r="E2186" s="1" t="n">
        <v>4</v>
      </c>
      <c r="F2186" s="1" t="n">
        <v>327.32</v>
      </c>
      <c r="G2186" s="1" t="n">
        <v>0.1</v>
      </c>
      <c r="H2186" s="1" t="s">
        <v>1336</v>
      </c>
      <c r="I2186" s="1" t="n">
        <v>1178.35</v>
      </c>
      <c r="J2186" s="1" t="str">
        <f aca="false">VLOOKUP(B2186,Customers!$A$2:$G$502,6,FALSE())</f>
        <v>Small Business</v>
      </c>
      <c r="K2186" s="1" t="str">
        <f aca="false">VLOOKUP(C2186,Products!$A$2:$E$62,3,FALSE())</f>
        <v>Electronics</v>
      </c>
      <c r="L2186" s="1" t="str">
        <f aca="false">TEXT(D2186,"yyyy-mm")</f>
        <v>2023-12</v>
      </c>
    </row>
    <row r="2187" customFormat="false" ht="15" hidden="false" customHeight="true" outlineLevel="0" collapsed="false">
      <c r="A2187" s="1" t="n">
        <v>2234</v>
      </c>
      <c r="B2187" s="1" t="n">
        <v>338</v>
      </c>
      <c r="C2187" s="1" t="n">
        <v>50</v>
      </c>
      <c r="D2187" s="1" t="s">
        <v>1083</v>
      </c>
      <c r="E2187" s="1" t="n">
        <v>4</v>
      </c>
      <c r="F2187" s="1" t="n">
        <v>19.73</v>
      </c>
      <c r="G2187" s="1" t="n">
        <v>0.2</v>
      </c>
      <c r="H2187" s="1" t="s">
        <v>1336</v>
      </c>
      <c r="I2187" s="1" t="n">
        <v>63.14</v>
      </c>
      <c r="J2187" s="1" t="str">
        <f aca="false">VLOOKUP(B2187,Customers!$A$2:$G$502,6,FALSE())</f>
        <v>Corporate</v>
      </c>
      <c r="K2187" s="1" t="str">
        <f aca="false">VLOOKUP(C2187,Products!$A$2:$E$62,3,FALSE())</f>
        <v>Software</v>
      </c>
      <c r="L2187" s="1" t="str">
        <f aca="false">TEXT(D2187,"yyyy-mm")</f>
        <v>2024-08</v>
      </c>
    </row>
    <row r="2188" customFormat="false" ht="15" hidden="false" customHeight="true" outlineLevel="0" collapsed="false">
      <c r="A2188" s="1" t="n">
        <v>2235</v>
      </c>
      <c r="B2188" s="1" t="n">
        <v>84</v>
      </c>
      <c r="C2188" s="1" t="n">
        <v>53</v>
      </c>
      <c r="D2188" s="1" t="s">
        <v>583</v>
      </c>
      <c r="E2188" s="1" t="n">
        <v>6</v>
      </c>
      <c r="F2188" s="1" t="n">
        <v>509.98</v>
      </c>
      <c r="G2188" s="1" t="n">
        <v>0.2</v>
      </c>
      <c r="H2188" s="1" t="s">
        <v>1336</v>
      </c>
      <c r="I2188" s="1" t="n">
        <v>2447.9</v>
      </c>
      <c r="J2188" s="1" t="str">
        <f aca="false">VLOOKUP(B2188,Customers!$A$2:$G$502,6,FALSE())</f>
        <v>Corporate</v>
      </c>
      <c r="K2188" s="1" t="str">
        <f aca="false">VLOOKUP(C2188,Products!$A$2:$E$62,3,FALSE())</f>
        <v>Software</v>
      </c>
      <c r="L2188" s="1" t="str">
        <f aca="false">TEXT(D2188,"yyyy-mm")</f>
        <v>2024-04</v>
      </c>
    </row>
    <row r="2189" customFormat="false" ht="15" hidden="false" customHeight="true" outlineLevel="0" collapsed="false">
      <c r="A2189" s="1" t="n">
        <v>2236</v>
      </c>
      <c r="B2189" s="1" t="n">
        <v>456</v>
      </c>
      <c r="C2189" s="1" t="n">
        <v>14</v>
      </c>
      <c r="D2189" s="1" t="s">
        <v>458</v>
      </c>
      <c r="E2189" s="1" t="n">
        <v>8</v>
      </c>
      <c r="F2189" s="1" t="n">
        <v>135.27</v>
      </c>
      <c r="G2189" s="1" t="n">
        <v>0.1</v>
      </c>
      <c r="H2189" s="1" t="s">
        <v>1346</v>
      </c>
      <c r="I2189" s="1" t="n">
        <v>973.94</v>
      </c>
      <c r="J2189" s="1" t="str">
        <f aca="false">VLOOKUP(B2189,Customers!$A$2:$G$502,6,FALSE())</f>
        <v>Consumer</v>
      </c>
      <c r="K2189" s="1" t="str">
        <f aca="false">VLOOKUP(C2189,Products!$A$2:$E$62,3,FALSE())</f>
        <v>Electronics</v>
      </c>
      <c r="L2189" s="1" t="str">
        <f aca="false">TEXT(D2189,"yyyy-mm")</f>
        <v>2024-05</v>
      </c>
    </row>
    <row r="2190" customFormat="false" ht="15" hidden="false" customHeight="true" outlineLevel="0" collapsed="false">
      <c r="A2190" s="1" t="n">
        <v>2237</v>
      </c>
      <c r="B2190" s="1" t="n">
        <v>418</v>
      </c>
      <c r="C2190" s="1" t="n">
        <v>31</v>
      </c>
      <c r="D2190" s="1" t="s">
        <v>1662</v>
      </c>
      <c r="E2190" s="1" t="n">
        <v>8</v>
      </c>
      <c r="F2190" s="1" t="n">
        <v>224.86</v>
      </c>
      <c r="G2190" s="1" t="n">
        <v>0.15</v>
      </c>
      <c r="H2190" s="1" t="s">
        <v>1336</v>
      </c>
      <c r="I2190" s="1" t="n">
        <v>1529.05</v>
      </c>
      <c r="J2190" s="1" t="str">
        <f aca="false">VLOOKUP(B2190,Customers!$A$2:$G$502,6,FALSE())</f>
        <v>Corporate</v>
      </c>
      <c r="K2190" s="1" t="str">
        <f aca="false">VLOOKUP(C2190,Products!$A$2:$E$62,3,FALSE())</f>
        <v>Office Supplies</v>
      </c>
      <c r="L2190" s="1" t="str">
        <f aca="false">TEXT(D2190,"yyyy-mm")</f>
        <v>2024-02</v>
      </c>
    </row>
    <row r="2191" customFormat="false" ht="15" hidden="false" customHeight="true" outlineLevel="0" collapsed="false">
      <c r="A2191" s="1" t="n">
        <v>2238</v>
      </c>
      <c r="B2191" s="1" t="n">
        <v>278</v>
      </c>
      <c r="C2191" s="1" t="n">
        <v>59</v>
      </c>
      <c r="D2191" s="1" t="s">
        <v>1486</v>
      </c>
      <c r="E2191" s="1" t="n">
        <v>5</v>
      </c>
      <c r="F2191" s="1" t="n">
        <v>438.89</v>
      </c>
      <c r="G2191" s="1" t="n">
        <v>0</v>
      </c>
      <c r="H2191" s="1" t="s">
        <v>1336</v>
      </c>
      <c r="I2191" s="1" t="n">
        <v>2194.45</v>
      </c>
      <c r="J2191" s="1" t="str">
        <f aca="false">VLOOKUP(B2191,Customers!$A$2:$G$502,6,FALSE())</f>
        <v>Consumer</v>
      </c>
      <c r="K2191" s="1" t="str">
        <f aca="false">VLOOKUP(C2191,Products!$A$2:$E$62,3,FALSE())</f>
        <v>Furniture</v>
      </c>
      <c r="L2191" s="1" t="str">
        <f aca="false">TEXT(D2191,"yyyy-mm")</f>
        <v>2024-02</v>
      </c>
    </row>
    <row r="2192" customFormat="false" ht="15" hidden="false" customHeight="true" outlineLevel="0" collapsed="false">
      <c r="A2192" s="1" t="n">
        <v>2239</v>
      </c>
      <c r="B2192" s="1" t="n">
        <v>398</v>
      </c>
      <c r="C2192" s="1" t="n">
        <v>7</v>
      </c>
      <c r="D2192" s="1" t="s">
        <v>1494</v>
      </c>
      <c r="E2192" s="1" t="n">
        <v>6</v>
      </c>
      <c r="F2192" s="1" t="n">
        <v>460</v>
      </c>
      <c r="G2192" s="1" t="n">
        <v>0</v>
      </c>
      <c r="H2192" s="1" t="s">
        <v>1336</v>
      </c>
      <c r="I2192" s="1" t="n">
        <v>2760</v>
      </c>
      <c r="J2192" s="1" t="str">
        <f aca="false">VLOOKUP(B2192,Customers!$A$2:$G$502,6,FALSE())</f>
        <v>Small Business</v>
      </c>
      <c r="K2192" s="1" t="str">
        <f aca="false">VLOOKUP(C2192,Products!$A$2:$E$62,3,FALSE())</f>
        <v>Electronics</v>
      </c>
      <c r="L2192" s="1" t="str">
        <f aca="false">TEXT(D2192,"yyyy-mm")</f>
        <v>2023-01</v>
      </c>
    </row>
    <row r="2193" customFormat="false" ht="15" hidden="false" customHeight="true" outlineLevel="0" collapsed="false">
      <c r="A2193" s="1" t="n">
        <v>2240</v>
      </c>
      <c r="B2193" s="1" t="n">
        <v>116</v>
      </c>
      <c r="C2193" s="1" t="n">
        <v>46</v>
      </c>
      <c r="D2193" s="1" t="s">
        <v>1665</v>
      </c>
      <c r="E2193" s="1" t="n">
        <v>4</v>
      </c>
      <c r="F2193" s="1" t="n">
        <v>94.92</v>
      </c>
      <c r="G2193" s="1" t="n">
        <v>0</v>
      </c>
      <c r="H2193" s="1" t="s">
        <v>1336</v>
      </c>
      <c r="I2193" s="1" t="n">
        <v>379.68</v>
      </c>
      <c r="J2193" s="1" t="str">
        <f aca="false">VLOOKUP(B2193,Customers!$A$2:$G$502,6,FALSE())</f>
        <v>Corporate</v>
      </c>
      <c r="K2193" s="1" t="str">
        <f aca="false">VLOOKUP(C2193,Products!$A$2:$E$62,3,FALSE())</f>
        <v>Software</v>
      </c>
      <c r="L2193" s="1" t="str">
        <f aca="false">TEXT(D2193,"yyyy-mm")</f>
        <v>2024-09</v>
      </c>
    </row>
    <row r="2194" customFormat="false" ht="15" hidden="false" customHeight="true" outlineLevel="0" collapsed="false">
      <c r="A2194" s="1" t="n">
        <v>2241</v>
      </c>
      <c r="B2194" s="1" t="n">
        <v>179</v>
      </c>
      <c r="C2194" s="1" t="n">
        <v>58</v>
      </c>
      <c r="D2194" s="1" t="s">
        <v>505</v>
      </c>
      <c r="E2194" s="1" t="n">
        <v>9</v>
      </c>
      <c r="F2194" s="1" t="n">
        <v>515.55</v>
      </c>
      <c r="G2194" s="1" t="n">
        <v>0.05</v>
      </c>
      <c r="H2194" s="1" t="s">
        <v>1336</v>
      </c>
      <c r="I2194" s="1" t="n">
        <v>4407.95</v>
      </c>
      <c r="J2194" s="1" t="str">
        <f aca="false">VLOOKUP(B2194,Customers!$A$2:$G$502,6,FALSE())</f>
        <v>Small Business</v>
      </c>
      <c r="K2194" s="1" t="str">
        <f aca="false">VLOOKUP(C2194,Products!$A$2:$E$62,3,FALSE())</f>
        <v>Furniture</v>
      </c>
      <c r="L2194" s="1" t="str">
        <f aca="false">TEXT(D2194,"yyyy-mm")</f>
        <v>2023-07</v>
      </c>
    </row>
    <row r="2195" customFormat="false" ht="15" hidden="false" customHeight="true" outlineLevel="0" collapsed="false">
      <c r="A2195" s="1" t="n">
        <v>2242</v>
      </c>
      <c r="B2195" s="1" t="n">
        <v>363</v>
      </c>
      <c r="C2195" s="1" t="n">
        <v>49</v>
      </c>
      <c r="D2195" s="1" t="s">
        <v>606</v>
      </c>
      <c r="E2195" s="1" t="n">
        <v>8</v>
      </c>
      <c r="F2195" s="1" t="n">
        <v>325.17</v>
      </c>
      <c r="G2195" s="1" t="n">
        <v>0</v>
      </c>
      <c r="H2195" s="1" t="s">
        <v>1336</v>
      </c>
      <c r="I2195" s="1" t="n">
        <v>2601.36</v>
      </c>
      <c r="J2195" s="1" t="str">
        <f aca="false">VLOOKUP(B2195,Customers!$A$2:$G$502,6,FALSE())</f>
        <v>Small Business</v>
      </c>
      <c r="K2195" s="1" t="str">
        <f aca="false">VLOOKUP(C2195,Products!$A$2:$E$62,3,FALSE())</f>
        <v>Software</v>
      </c>
      <c r="L2195" s="1" t="str">
        <f aca="false">TEXT(D2195,"yyyy-mm")</f>
        <v>2024-12</v>
      </c>
    </row>
    <row r="2196" customFormat="false" ht="15" hidden="false" customHeight="true" outlineLevel="0" collapsed="false">
      <c r="A2196" s="1" t="n">
        <v>2243</v>
      </c>
      <c r="B2196" s="1" t="n">
        <v>23</v>
      </c>
      <c r="C2196" s="1" t="n">
        <v>28</v>
      </c>
      <c r="D2196" s="1" t="s">
        <v>1216</v>
      </c>
      <c r="E2196" s="1" t="n">
        <v>1</v>
      </c>
      <c r="F2196" s="1" t="n">
        <v>505.23</v>
      </c>
      <c r="G2196" s="1" t="n">
        <v>0</v>
      </c>
      <c r="H2196" s="1" t="s">
        <v>1336</v>
      </c>
      <c r="I2196" s="1" t="n">
        <v>505.23</v>
      </c>
      <c r="J2196" s="1" t="str">
        <f aca="false">VLOOKUP(B2196,Customers!$A$2:$G$502,6,FALSE())</f>
        <v>Corporate</v>
      </c>
      <c r="K2196" s="1" t="str">
        <f aca="false">VLOOKUP(C2196,Products!$A$2:$E$62,3,FALSE())</f>
        <v>Office Supplies</v>
      </c>
      <c r="L2196" s="1" t="str">
        <f aca="false">TEXT(D2196,"yyyy-mm")</f>
        <v>2024-10</v>
      </c>
    </row>
    <row r="2197" customFormat="false" ht="15" hidden="false" customHeight="true" outlineLevel="0" collapsed="false">
      <c r="A2197" s="1" t="n">
        <v>2244</v>
      </c>
      <c r="B2197" s="1" t="n">
        <v>276</v>
      </c>
      <c r="C2197" s="1" t="n">
        <v>34</v>
      </c>
      <c r="D2197" s="1" t="s">
        <v>629</v>
      </c>
      <c r="E2197" s="1" t="n">
        <v>2</v>
      </c>
      <c r="F2197" s="1" t="n">
        <v>116.85</v>
      </c>
      <c r="G2197" s="1" t="n">
        <v>0.2</v>
      </c>
      <c r="H2197" s="1" t="s">
        <v>1336</v>
      </c>
      <c r="I2197" s="1" t="n">
        <v>186.96</v>
      </c>
      <c r="J2197" s="1" t="str">
        <f aca="false">VLOOKUP(B2197,Customers!$A$2:$G$502,6,FALSE())</f>
        <v>Corporate</v>
      </c>
      <c r="K2197" s="1" t="str">
        <f aca="false">VLOOKUP(C2197,Products!$A$2:$E$62,3,FALSE())</f>
        <v>Office Supplies</v>
      </c>
      <c r="L2197" s="1" t="str">
        <f aca="false">TEXT(D2197,"yyyy-mm")</f>
        <v>2023-04</v>
      </c>
    </row>
    <row r="2198" customFormat="false" ht="15" hidden="false" customHeight="true" outlineLevel="0" collapsed="false">
      <c r="A2198" s="1" t="n">
        <v>2245</v>
      </c>
      <c r="B2198" s="1" t="n">
        <v>240</v>
      </c>
      <c r="C2198" s="1" t="n">
        <v>39</v>
      </c>
      <c r="D2198" s="1" t="s">
        <v>371</v>
      </c>
      <c r="E2198" s="1" t="n">
        <v>9</v>
      </c>
      <c r="F2198" s="1" t="n">
        <v>400.02</v>
      </c>
      <c r="G2198" s="1" t="n">
        <v>0.05</v>
      </c>
      <c r="H2198" s="1" t="s">
        <v>1336</v>
      </c>
      <c r="I2198" s="1" t="n">
        <v>3420.17</v>
      </c>
      <c r="J2198" s="1" t="str">
        <f aca="false">VLOOKUP(B2198,Customers!$A$2:$G$502,6,FALSE())</f>
        <v>Corporate</v>
      </c>
      <c r="K2198" s="1" t="str">
        <f aca="false">VLOOKUP(C2198,Products!$A$2:$E$62,3,FALSE())</f>
        <v>Software</v>
      </c>
      <c r="L2198" s="1" t="str">
        <f aca="false">TEXT(D2198,"yyyy-mm")</f>
        <v>2024-03</v>
      </c>
    </row>
    <row r="2199" customFormat="false" ht="15" hidden="false" customHeight="true" outlineLevel="0" collapsed="false">
      <c r="A2199" s="1" t="n">
        <v>2246</v>
      </c>
      <c r="B2199" s="1" t="n">
        <v>304</v>
      </c>
      <c r="C2199" s="1" t="n">
        <v>27</v>
      </c>
      <c r="D2199" s="1" t="s">
        <v>446</v>
      </c>
      <c r="E2199" s="1" t="n">
        <v>8</v>
      </c>
      <c r="F2199" s="1" t="n">
        <v>772.58</v>
      </c>
      <c r="G2199" s="1" t="n">
        <v>0.2</v>
      </c>
      <c r="H2199" s="1" t="s">
        <v>1336</v>
      </c>
      <c r="I2199" s="1" t="n">
        <v>4944.51</v>
      </c>
      <c r="J2199" s="1" t="str">
        <f aca="false">VLOOKUP(B2199,Customers!$A$2:$G$502,6,FALSE())</f>
        <v>Small Business</v>
      </c>
      <c r="K2199" s="1" t="str">
        <f aca="false">VLOOKUP(C2199,Products!$A$2:$E$62,3,FALSE())</f>
        <v>Office Supplies</v>
      </c>
      <c r="L2199" s="1" t="str">
        <f aca="false">TEXT(D2199,"yyyy-mm")</f>
        <v>2024-08</v>
      </c>
    </row>
    <row r="2200" customFormat="false" ht="15" hidden="false" customHeight="true" outlineLevel="0" collapsed="false">
      <c r="A2200" s="1" t="n">
        <v>2247</v>
      </c>
      <c r="B2200" s="1" t="n">
        <v>255</v>
      </c>
      <c r="C2200" s="1" t="n">
        <v>12</v>
      </c>
      <c r="D2200" s="1" t="s">
        <v>1399</v>
      </c>
      <c r="E2200" s="1" t="n">
        <v>3</v>
      </c>
      <c r="F2200" s="1" t="n">
        <v>179.23</v>
      </c>
      <c r="G2200" s="1" t="n">
        <v>0</v>
      </c>
      <c r="H2200" s="1" t="s">
        <v>1370</v>
      </c>
      <c r="I2200" s="1" t="n">
        <v>537.69</v>
      </c>
      <c r="J2200" s="1" t="str">
        <f aca="false">VLOOKUP(B2200,Customers!$A$2:$G$502,6,FALSE())</f>
        <v>Corporate</v>
      </c>
      <c r="K2200" s="1" t="str">
        <f aca="false">VLOOKUP(C2200,Products!$A$2:$E$62,3,FALSE())</f>
        <v>Electronics</v>
      </c>
      <c r="L2200" s="1" t="str">
        <f aca="false">TEXT(D2200,"yyyy-mm")</f>
        <v>2024-11</v>
      </c>
    </row>
    <row r="2201" customFormat="false" ht="15" hidden="false" customHeight="true" outlineLevel="0" collapsed="false">
      <c r="A2201" s="1" t="n">
        <v>2248</v>
      </c>
      <c r="B2201" s="1" t="n">
        <v>189</v>
      </c>
      <c r="C2201" s="1" t="n">
        <v>45</v>
      </c>
      <c r="D2201" s="1" t="s">
        <v>575</v>
      </c>
      <c r="E2201" s="1" t="n">
        <v>8</v>
      </c>
      <c r="F2201" s="1" t="n">
        <v>560.01</v>
      </c>
      <c r="G2201" s="1" t="n">
        <v>0.1</v>
      </c>
      <c r="H2201" s="1" t="s">
        <v>1336</v>
      </c>
      <c r="I2201" s="1" t="n">
        <v>4032.07</v>
      </c>
      <c r="J2201" s="1" t="str">
        <f aca="false">VLOOKUP(B2201,Customers!$A$2:$G$502,6,FALSE())</f>
        <v>Small Business</v>
      </c>
      <c r="K2201" s="1" t="str">
        <f aca="false">VLOOKUP(C2201,Products!$A$2:$E$62,3,FALSE())</f>
        <v>Software</v>
      </c>
      <c r="L2201" s="1" t="str">
        <f aca="false">TEXT(D2201,"yyyy-mm")</f>
        <v>2024-02</v>
      </c>
    </row>
    <row r="2202" customFormat="false" ht="15" hidden="false" customHeight="true" outlineLevel="0" collapsed="false">
      <c r="A2202" s="1" t="n">
        <v>2249</v>
      </c>
      <c r="B2202" s="1" t="n">
        <v>49</v>
      </c>
      <c r="C2202" s="1" t="n">
        <v>9</v>
      </c>
      <c r="D2202" s="1" t="s">
        <v>1469</v>
      </c>
      <c r="E2202" s="1" t="n">
        <v>1</v>
      </c>
      <c r="F2202" s="1" t="n">
        <v>203.1</v>
      </c>
      <c r="G2202" s="1" t="n">
        <v>0.05</v>
      </c>
      <c r="H2202" s="1" t="s">
        <v>1336</v>
      </c>
      <c r="I2202" s="1" t="n">
        <v>192.94</v>
      </c>
      <c r="J2202" s="1" t="str">
        <f aca="false">VLOOKUP(B2202,Customers!$A$2:$G$502,6,FALSE())</f>
        <v>Corporate</v>
      </c>
      <c r="K2202" s="1" t="str">
        <f aca="false">VLOOKUP(C2202,Products!$A$2:$E$62,3,FALSE())</f>
        <v>Electronics</v>
      </c>
      <c r="L2202" s="1" t="str">
        <f aca="false">TEXT(D2202,"yyyy-mm")</f>
        <v>2023-11</v>
      </c>
    </row>
    <row r="2203" customFormat="false" ht="15" hidden="false" customHeight="true" outlineLevel="0" collapsed="false">
      <c r="A2203" s="1" t="n">
        <v>2251</v>
      </c>
      <c r="B2203" s="1" t="n">
        <v>228</v>
      </c>
      <c r="C2203" s="1" t="n">
        <v>48</v>
      </c>
      <c r="D2203" s="1" t="s">
        <v>1016</v>
      </c>
      <c r="E2203" s="1" t="n">
        <v>3</v>
      </c>
      <c r="F2203" s="1" t="n">
        <v>493.53</v>
      </c>
      <c r="G2203" s="1" t="n">
        <v>0</v>
      </c>
      <c r="H2203" s="1" t="s">
        <v>1336</v>
      </c>
      <c r="I2203" s="1" t="n">
        <v>1480.59</v>
      </c>
      <c r="J2203" s="1" t="str">
        <f aca="false">VLOOKUP(B2203,Customers!$A$2:$G$502,6,FALSE())</f>
        <v>Small Business</v>
      </c>
      <c r="K2203" s="1" t="str">
        <f aca="false">VLOOKUP(C2203,Products!$A$2:$E$62,3,FALSE())</f>
        <v>Software</v>
      </c>
      <c r="L2203" s="1" t="str">
        <f aca="false">TEXT(D2203,"yyyy-mm")</f>
        <v>2023-11</v>
      </c>
    </row>
    <row r="2204" customFormat="false" ht="15" hidden="false" customHeight="true" outlineLevel="0" collapsed="false">
      <c r="A2204" s="1" t="n">
        <v>2252</v>
      </c>
      <c r="B2204" s="1" t="n">
        <v>74</v>
      </c>
      <c r="C2204" s="1" t="n">
        <v>49</v>
      </c>
      <c r="D2204" s="1" t="s">
        <v>1463</v>
      </c>
      <c r="E2204" s="1" t="n">
        <v>6</v>
      </c>
      <c r="F2204" s="1" t="n">
        <v>325.17</v>
      </c>
      <c r="G2204" s="1" t="n">
        <v>0.05</v>
      </c>
      <c r="H2204" s="1" t="s">
        <v>1336</v>
      </c>
      <c r="I2204" s="1" t="n">
        <v>1853.47</v>
      </c>
      <c r="J2204" s="1" t="str">
        <f aca="false">VLOOKUP(B2204,Customers!$A$2:$G$502,6,FALSE())</f>
        <v>Consumer</v>
      </c>
      <c r="K2204" s="1" t="str">
        <f aca="false">VLOOKUP(C2204,Products!$A$2:$E$62,3,FALSE())</f>
        <v>Software</v>
      </c>
      <c r="L2204" s="1" t="str">
        <f aca="false">TEXT(D2204,"yyyy-mm")</f>
        <v>2024-09</v>
      </c>
    </row>
    <row r="2205" customFormat="false" ht="15" hidden="false" customHeight="true" outlineLevel="0" collapsed="false">
      <c r="A2205" s="1" t="n">
        <v>2253</v>
      </c>
      <c r="B2205" s="1" t="n">
        <v>294</v>
      </c>
      <c r="C2205" s="1" t="n">
        <v>40</v>
      </c>
      <c r="D2205" s="1" t="s">
        <v>667</v>
      </c>
      <c r="E2205" s="1" t="n">
        <v>7</v>
      </c>
      <c r="F2205" s="1" t="n">
        <v>193.02</v>
      </c>
      <c r="G2205" s="1" t="n">
        <v>0.05</v>
      </c>
      <c r="H2205" s="1" t="s">
        <v>1336</v>
      </c>
      <c r="I2205" s="1" t="n">
        <v>1283.58</v>
      </c>
      <c r="J2205" s="1" t="str">
        <f aca="false">VLOOKUP(B2205,Customers!$A$2:$G$502,6,FALSE())</f>
        <v>Consumer</v>
      </c>
      <c r="K2205" s="1" t="str">
        <f aca="false">VLOOKUP(C2205,Products!$A$2:$E$62,3,FALSE())</f>
        <v>Software</v>
      </c>
      <c r="L2205" s="1" t="str">
        <f aca="false">TEXT(D2205,"yyyy-mm")</f>
        <v>2024-02</v>
      </c>
    </row>
    <row r="2206" customFormat="false" ht="15" hidden="false" customHeight="true" outlineLevel="0" collapsed="false">
      <c r="A2206" s="1" t="n">
        <v>2254</v>
      </c>
      <c r="B2206" s="1" t="n">
        <v>352</v>
      </c>
      <c r="C2206" s="1" t="n">
        <v>44</v>
      </c>
      <c r="D2206" s="1" t="s">
        <v>1414</v>
      </c>
      <c r="E2206" s="1" t="n">
        <v>4</v>
      </c>
      <c r="F2206" s="1" t="n">
        <v>508.26</v>
      </c>
      <c r="G2206" s="1" t="n">
        <v>0</v>
      </c>
      <c r="H2206" s="1" t="s">
        <v>1336</v>
      </c>
      <c r="I2206" s="1" t="n">
        <v>2033.04</v>
      </c>
      <c r="J2206" s="1" t="str">
        <f aca="false">VLOOKUP(B2206,Customers!$A$2:$G$502,6,FALSE())</f>
        <v>Corporate</v>
      </c>
      <c r="K2206" s="1" t="str">
        <f aca="false">VLOOKUP(C2206,Products!$A$2:$E$62,3,FALSE())</f>
        <v>Software</v>
      </c>
      <c r="L2206" s="1" t="str">
        <f aca="false">TEXT(D2206,"yyyy-mm")</f>
        <v>2024-05</v>
      </c>
    </row>
    <row r="2207" customFormat="false" ht="15" hidden="false" customHeight="true" outlineLevel="0" collapsed="false">
      <c r="A2207" s="1" t="n">
        <v>2255</v>
      </c>
      <c r="B2207" s="1" t="n">
        <v>142</v>
      </c>
      <c r="C2207" s="1" t="n">
        <v>5</v>
      </c>
      <c r="D2207" s="1" t="s">
        <v>599</v>
      </c>
      <c r="E2207" s="1" t="n">
        <v>7</v>
      </c>
      <c r="F2207" s="1" t="n">
        <v>439.06</v>
      </c>
      <c r="G2207" s="1" t="n">
        <v>0</v>
      </c>
      <c r="H2207" s="1" t="s">
        <v>1336</v>
      </c>
      <c r="I2207" s="1" t="n">
        <v>3073.42</v>
      </c>
      <c r="J2207" s="1" t="str">
        <f aca="false">VLOOKUP(B2207,Customers!$A$2:$G$502,6,FALSE())</f>
        <v>Small Business</v>
      </c>
      <c r="K2207" s="1" t="str">
        <f aca="false">VLOOKUP(C2207,Products!$A$2:$E$62,3,FALSE())</f>
        <v>Electronics</v>
      </c>
      <c r="L2207" s="1" t="str">
        <f aca="false">TEXT(D2207,"yyyy-mm")</f>
        <v>2024-06</v>
      </c>
    </row>
    <row r="2208" customFormat="false" ht="15" hidden="false" customHeight="true" outlineLevel="0" collapsed="false">
      <c r="A2208" s="1" t="n">
        <v>2256</v>
      </c>
      <c r="B2208" s="1" t="n">
        <v>237</v>
      </c>
      <c r="C2208" s="1" t="n">
        <v>16</v>
      </c>
      <c r="D2208" s="1" t="s">
        <v>1521</v>
      </c>
      <c r="E2208" s="1" t="n">
        <v>9</v>
      </c>
      <c r="F2208" s="1" t="n">
        <v>330.91</v>
      </c>
      <c r="G2208" s="1" t="n">
        <v>0.2</v>
      </c>
      <c r="H2208" s="1" t="s">
        <v>1336</v>
      </c>
      <c r="I2208" s="1" t="n">
        <v>2382.55</v>
      </c>
      <c r="J2208" s="1" t="str">
        <f aca="false">VLOOKUP(B2208,Customers!$A$2:$G$502,6,FALSE())</f>
        <v>Consumer</v>
      </c>
      <c r="K2208" s="1" t="str">
        <f aca="false">VLOOKUP(C2208,Products!$A$2:$E$62,3,FALSE())</f>
        <v>Electronics</v>
      </c>
      <c r="L2208" s="1" t="str">
        <f aca="false">TEXT(D2208,"yyyy-mm")</f>
        <v>2023-10</v>
      </c>
    </row>
    <row r="2209" customFormat="false" ht="15" hidden="false" customHeight="true" outlineLevel="0" collapsed="false">
      <c r="A2209" s="1" t="n">
        <v>2257</v>
      </c>
      <c r="B2209" s="1" t="n">
        <v>298</v>
      </c>
      <c r="C2209" s="1" t="n">
        <v>35</v>
      </c>
      <c r="D2209" s="1" t="s">
        <v>1548</v>
      </c>
      <c r="E2209" s="1" t="n">
        <v>2</v>
      </c>
      <c r="F2209" s="1" t="n">
        <v>75.78</v>
      </c>
      <c r="G2209" s="1" t="n">
        <v>0</v>
      </c>
      <c r="H2209" s="1" t="s">
        <v>1370</v>
      </c>
      <c r="I2209" s="1" t="n">
        <v>151.56</v>
      </c>
      <c r="J2209" s="1" t="str">
        <f aca="false">VLOOKUP(B2209,Customers!$A$2:$G$502,6,FALSE())</f>
        <v>Consumer</v>
      </c>
      <c r="K2209" s="1" t="str">
        <f aca="false">VLOOKUP(C2209,Products!$A$2:$E$62,3,FALSE())</f>
        <v>Software</v>
      </c>
      <c r="L2209" s="1" t="str">
        <f aca="false">TEXT(D2209,"yyyy-mm")</f>
        <v>2024-06</v>
      </c>
    </row>
    <row r="2210" customFormat="false" ht="15" hidden="false" customHeight="true" outlineLevel="0" collapsed="false">
      <c r="A2210" s="1" t="n">
        <v>2258</v>
      </c>
      <c r="B2210" s="1" t="n">
        <v>149</v>
      </c>
      <c r="C2210" s="1" t="n">
        <v>21</v>
      </c>
      <c r="D2210" s="1" t="s">
        <v>1515</v>
      </c>
      <c r="E2210" s="1" t="n">
        <v>3</v>
      </c>
      <c r="F2210" s="1" t="n">
        <v>84.91</v>
      </c>
      <c r="G2210" s="1" t="n">
        <v>0.2</v>
      </c>
      <c r="H2210" s="1" t="s">
        <v>1336</v>
      </c>
      <c r="I2210" s="1" t="n">
        <v>203.78</v>
      </c>
      <c r="J2210" s="1" t="str">
        <f aca="false">VLOOKUP(B2210,Customers!$A$2:$G$502,6,FALSE())</f>
        <v>Consumer</v>
      </c>
      <c r="K2210" s="1" t="str">
        <f aca="false">VLOOKUP(C2210,Products!$A$2:$E$62,3,FALSE())</f>
        <v>Office Supplies</v>
      </c>
      <c r="L2210" s="1" t="str">
        <f aca="false">TEXT(D2210,"yyyy-mm")</f>
        <v>2023-01</v>
      </c>
    </row>
    <row r="2211" customFormat="false" ht="15" hidden="false" customHeight="true" outlineLevel="0" collapsed="false">
      <c r="A2211" s="1" t="n">
        <v>2259</v>
      </c>
      <c r="B2211" s="1" t="n">
        <v>6</v>
      </c>
      <c r="C2211" s="1" t="n">
        <v>21</v>
      </c>
      <c r="D2211" s="1" t="s">
        <v>1398</v>
      </c>
      <c r="E2211" s="1" t="n">
        <v>5</v>
      </c>
      <c r="F2211" s="1" t="n">
        <v>84.91</v>
      </c>
      <c r="G2211" s="1" t="n">
        <v>0</v>
      </c>
      <c r="H2211" s="1" t="s">
        <v>1336</v>
      </c>
      <c r="I2211" s="1" t="n">
        <v>424.55</v>
      </c>
      <c r="J2211" s="1" t="str">
        <f aca="false">VLOOKUP(B2211,Customers!$A$2:$G$502,6,FALSE())</f>
        <v>Corporate</v>
      </c>
      <c r="K2211" s="1" t="str">
        <f aca="false">VLOOKUP(C2211,Products!$A$2:$E$62,3,FALSE())</f>
        <v>Office Supplies</v>
      </c>
      <c r="L2211" s="1" t="str">
        <f aca="false">TEXT(D2211,"yyyy-mm")</f>
        <v>2023-06</v>
      </c>
    </row>
    <row r="2212" customFormat="false" ht="15" hidden="false" customHeight="true" outlineLevel="0" collapsed="false">
      <c r="A2212" s="1" t="n">
        <v>2260</v>
      </c>
      <c r="B2212" s="1" t="n">
        <v>235</v>
      </c>
      <c r="C2212" s="1" t="n">
        <v>3</v>
      </c>
      <c r="D2212" s="1" t="s">
        <v>701</v>
      </c>
      <c r="E2212" s="1" t="n">
        <v>3</v>
      </c>
      <c r="F2212" s="1" t="n">
        <v>89.39</v>
      </c>
      <c r="G2212" s="1" t="n">
        <v>0.05</v>
      </c>
      <c r="H2212" s="1" t="s">
        <v>1336</v>
      </c>
      <c r="I2212" s="1" t="n">
        <v>254.76</v>
      </c>
      <c r="J2212" s="1" t="str">
        <f aca="false">VLOOKUP(B2212,Customers!$A$2:$G$502,6,FALSE())</f>
        <v>Small Business</v>
      </c>
      <c r="K2212" s="1" t="str">
        <f aca="false">VLOOKUP(C2212,Products!$A$2:$E$62,3,FALSE())</f>
        <v>Electronics</v>
      </c>
      <c r="L2212" s="1" t="str">
        <f aca="false">TEXT(D2212,"yyyy-mm")</f>
        <v>2024-02</v>
      </c>
    </row>
    <row r="2213" customFormat="false" ht="15" hidden="false" customHeight="true" outlineLevel="0" collapsed="false">
      <c r="A2213" s="1" t="n">
        <v>2262</v>
      </c>
      <c r="B2213" s="1" t="n">
        <v>450</v>
      </c>
      <c r="C2213" s="1" t="n">
        <v>35</v>
      </c>
      <c r="D2213" s="1" t="s">
        <v>980</v>
      </c>
      <c r="E2213" s="1" t="n">
        <v>8</v>
      </c>
      <c r="F2213" s="1" t="n">
        <v>75.78</v>
      </c>
      <c r="G2213" s="1" t="n">
        <v>0.1</v>
      </c>
      <c r="H2213" s="1" t="s">
        <v>1336</v>
      </c>
      <c r="I2213" s="1" t="n">
        <v>545.62</v>
      </c>
      <c r="J2213" s="1" t="str">
        <f aca="false">VLOOKUP(B2213,Customers!$A$2:$G$502,6,FALSE())</f>
        <v>Consumer</v>
      </c>
      <c r="K2213" s="1" t="str">
        <f aca="false">VLOOKUP(C2213,Products!$A$2:$E$62,3,FALSE())</f>
        <v>Software</v>
      </c>
      <c r="L2213" s="1" t="str">
        <f aca="false">TEXT(D2213,"yyyy-mm")</f>
        <v>2024-08</v>
      </c>
    </row>
    <row r="2214" customFormat="false" ht="15" hidden="false" customHeight="true" outlineLevel="0" collapsed="false">
      <c r="A2214" s="1" t="n">
        <v>2263</v>
      </c>
      <c r="B2214" s="1" t="n">
        <v>342</v>
      </c>
      <c r="C2214" s="1" t="n">
        <v>53</v>
      </c>
      <c r="D2214" s="1" t="s">
        <v>1154</v>
      </c>
      <c r="E2214" s="1" t="n">
        <v>8</v>
      </c>
      <c r="F2214" s="1" t="n">
        <v>509.98</v>
      </c>
      <c r="G2214" s="1" t="n">
        <v>0.1</v>
      </c>
      <c r="H2214" s="1" t="s">
        <v>1336</v>
      </c>
      <c r="I2214" s="1" t="n">
        <v>3671.86</v>
      </c>
      <c r="J2214" s="1" t="str">
        <f aca="false">VLOOKUP(B2214,Customers!$A$2:$G$502,6,FALSE())</f>
        <v>Small Business</v>
      </c>
      <c r="K2214" s="1" t="str">
        <f aca="false">VLOOKUP(C2214,Products!$A$2:$E$62,3,FALSE())</f>
        <v>Software</v>
      </c>
      <c r="L2214" s="1" t="str">
        <f aca="false">TEXT(D2214,"yyyy-mm")</f>
        <v>2024-07</v>
      </c>
    </row>
    <row r="2215" customFormat="false" ht="15" hidden="false" customHeight="true" outlineLevel="0" collapsed="false">
      <c r="A2215" s="1" t="n">
        <v>2264</v>
      </c>
      <c r="B2215" s="1" t="n">
        <v>381</v>
      </c>
      <c r="C2215" s="1" t="n">
        <v>7</v>
      </c>
      <c r="D2215" s="1" t="s">
        <v>897</v>
      </c>
      <c r="E2215" s="1" t="n">
        <v>9</v>
      </c>
      <c r="F2215" s="1" t="n">
        <v>460</v>
      </c>
      <c r="G2215" s="1" t="n">
        <v>0</v>
      </c>
      <c r="H2215" s="1" t="s">
        <v>1336</v>
      </c>
      <c r="I2215" s="1" t="n">
        <v>4140</v>
      </c>
      <c r="J2215" s="1" t="str">
        <f aca="false">VLOOKUP(B2215,Customers!$A$2:$G$502,6,FALSE())</f>
        <v>Corporate</v>
      </c>
      <c r="K2215" s="1" t="str">
        <f aca="false">VLOOKUP(C2215,Products!$A$2:$E$62,3,FALSE())</f>
        <v>Electronics</v>
      </c>
      <c r="L2215" s="1" t="str">
        <f aca="false">TEXT(D2215,"yyyy-mm")</f>
        <v>2024-07</v>
      </c>
    </row>
    <row r="2216" customFormat="false" ht="15" hidden="false" customHeight="true" outlineLevel="0" collapsed="false">
      <c r="A2216" s="1" t="n">
        <v>2265</v>
      </c>
      <c r="B2216" s="1" t="n">
        <v>229</v>
      </c>
      <c r="C2216" s="1" t="n">
        <v>51</v>
      </c>
      <c r="D2216" s="1" t="s">
        <v>1430</v>
      </c>
      <c r="E2216" s="1" t="n">
        <v>4</v>
      </c>
      <c r="F2216" s="1" t="n">
        <v>30.16</v>
      </c>
      <c r="G2216" s="1" t="n">
        <v>0</v>
      </c>
      <c r="H2216" s="1" t="s">
        <v>1336</v>
      </c>
      <c r="I2216" s="1" t="n">
        <v>120.64</v>
      </c>
      <c r="J2216" s="1" t="str">
        <f aca="false">VLOOKUP(B2216,Customers!$A$2:$G$502,6,FALSE())</f>
        <v>Consumer</v>
      </c>
      <c r="K2216" s="1" t="str">
        <f aca="false">VLOOKUP(C2216,Products!$A$2:$E$62,3,FALSE())</f>
        <v>Software</v>
      </c>
      <c r="L2216" s="1" t="str">
        <f aca="false">TEXT(D2216,"yyyy-mm")</f>
        <v>2024-01</v>
      </c>
    </row>
    <row r="2217" customFormat="false" ht="15" hidden="false" customHeight="true" outlineLevel="0" collapsed="false">
      <c r="A2217" s="1" t="n">
        <v>2266</v>
      </c>
      <c r="B2217" s="1" t="n">
        <v>390</v>
      </c>
      <c r="C2217" s="1" t="n">
        <v>44</v>
      </c>
      <c r="D2217" s="1" t="s">
        <v>1486</v>
      </c>
      <c r="E2217" s="1" t="n">
        <v>5</v>
      </c>
      <c r="F2217" s="1" t="n">
        <v>508.26</v>
      </c>
      <c r="G2217" s="1" t="n">
        <v>0</v>
      </c>
      <c r="H2217" s="1" t="s">
        <v>1336</v>
      </c>
      <c r="I2217" s="1" t="n">
        <v>2541.3</v>
      </c>
      <c r="J2217" s="1" t="str">
        <f aca="false">VLOOKUP(B2217,Customers!$A$2:$G$502,6,FALSE())</f>
        <v>Small Business</v>
      </c>
      <c r="K2217" s="1" t="str">
        <f aca="false">VLOOKUP(C2217,Products!$A$2:$E$62,3,FALSE())</f>
        <v>Software</v>
      </c>
      <c r="L2217" s="1" t="str">
        <f aca="false">TEXT(D2217,"yyyy-mm")</f>
        <v>2024-02</v>
      </c>
    </row>
    <row r="2218" customFormat="false" ht="15" hidden="false" customHeight="true" outlineLevel="0" collapsed="false">
      <c r="A2218" s="1" t="n">
        <v>2267</v>
      </c>
      <c r="B2218" s="1" t="n">
        <v>9</v>
      </c>
      <c r="C2218" s="1" t="n">
        <v>59</v>
      </c>
      <c r="D2218" s="1" t="s">
        <v>1169</v>
      </c>
      <c r="E2218" s="1" t="n">
        <v>5</v>
      </c>
      <c r="F2218" s="1" t="n">
        <v>438.89</v>
      </c>
      <c r="G2218" s="1" t="n">
        <v>0.05</v>
      </c>
      <c r="H2218" s="1" t="s">
        <v>1336</v>
      </c>
      <c r="I2218" s="1" t="n">
        <v>2084.73</v>
      </c>
      <c r="J2218" s="1" t="str">
        <f aca="false">VLOOKUP(B2218,Customers!$A$2:$G$502,6,FALSE())</f>
        <v>Small Business</v>
      </c>
      <c r="K2218" s="1" t="str">
        <f aca="false">VLOOKUP(C2218,Products!$A$2:$E$62,3,FALSE())</f>
        <v>Furniture</v>
      </c>
      <c r="L2218" s="1" t="str">
        <f aca="false">TEXT(D2218,"yyyy-mm")</f>
        <v>2024-01</v>
      </c>
    </row>
    <row r="2219" customFormat="false" ht="15" hidden="false" customHeight="true" outlineLevel="0" collapsed="false">
      <c r="A2219" s="1" t="n">
        <v>2268</v>
      </c>
      <c r="B2219" s="1" t="n">
        <v>225</v>
      </c>
      <c r="C2219" s="1" t="n">
        <v>35</v>
      </c>
      <c r="D2219" s="1" t="s">
        <v>1522</v>
      </c>
      <c r="E2219" s="1" t="n">
        <v>8</v>
      </c>
      <c r="F2219" s="1" t="n">
        <v>75.78</v>
      </c>
      <c r="G2219" s="1" t="n">
        <v>0.2</v>
      </c>
      <c r="H2219" s="1" t="s">
        <v>1346</v>
      </c>
      <c r="I2219" s="1" t="n">
        <v>484.99</v>
      </c>
      <c r="J2219" s="1" t="str">
        <f aca="false">VLOOKUP(B2219,Customers!$A$2:$G$502,6,FALSE())</f>
        <v>Consumer</v>
      </c>
      <c r="K2219" s="1" t="str">
        <f aca="false">VLOOKUP(C2219,Products!$A$2:$E$62,3,FALSE())</f>
        <v>Software</v>
      </c>
      <c r="L2219" s="1" t="str">
        <f aca="false">TEXT(D2219,"yyyy-mm")</f>
        <v>2024-11</v>
      </c>
    </row>
    <row r="2220" customFormat="false" ht="15" hidden="false" customHeight="true" outlineLevel="0" collapsed="false">
      <c r="A2220" s="1" t="n">
        <v>2269</v>
      </c>
      <c r="B2220" s="1" t="n">
        <v>390</v>
      </c>
      <c r="C2220" s="1" t="n">
        <v>31</v>
      </c>
      <c r="D2220" s="1" t="s">
        <v>499</v>
      </c>
      <c r="E2220" s="1" t="n">
        <v>7</v>
      </c>
      <c r="F2220" s="1" t="n">
        <v>224.86</v>
      </c>
      <c r="G2220" s="1" t="n">
        <v>0.15</v>
      </c>
      <c r="H2220" s="1" t="s">
        <v>1336</v>
      </c>
      <c r="I2220" s="1" t="n">
        <v>1337.92</v>
      </c>
      <c r="J2220" s="1" t="str">
        <f aca="false">VLOOKUP(B2220,Customers!$A$2:$G$502,6,FALSE())</f>
        <v>Small Business</v>
      </c>
      <c r="K2220" s="1" t="str">
        <f aca="false">VLOOKUP(C2220,Products!$A$2:$E$62,3,FALSE())</f>
        <v>Office Supplies</v>
      </c>
      <c r="L2220" s="1" t="str">
        <f aca="false">TEXT(D2220,"yyyy-mm")</f>
        <v>2023-01</v>
      </c>
    </row>
    <row r="2221" customFormat="false" ht="15" hidden="false" customHeight="true" outlineLevel="0" collapsed="false">
      <c r="A2221" s="1" t="n">
        <v>2270</v>
      </c>
      <c r="B2221" s="1" t="n">
        <v>18</v>
      </c>
      <c r="C2221" s="1" t="n">
        <v>2</v>
      </c>
      <c r="D2221" s="1" t="s">
        <v>825</v>
      </c>
      <c r="E2221" s="1" t="n">
        <v>9</v>
      </c>
      <c r="F2221" s="1" t="n">
        <v>498.15</v>
      </c>
      <c r="G2221" s="1" t="n">
        <v>0.15</v>
      </c>
      <c r="H2221" s="1" t="s">
        <v>1336</v>
      </c>
      <c r="I2221" s="1" t="n">
        <v>3810.85</v>
      </c>
      <c r="J2221" s="1" t="str">
        <f aca="false">VLOOKUP(B2221,Customers!$A$2:$G$502,6,FALSE())</f>
        <v>Corporate</v>
      </c>
      <c r="K2221" s="1" t="str">
        <f aca="false">VLOOKUP(C2221,Products!$A$2:$E$62,3,FALSE())</f>
        <v>Electronics</v>
      </c>
      <c r="L2221" s="1" t="str">
        <f aca="false">TEXT(D2221,"yyyy-mm")</f>
        <v>2023-04</v>
      </c>
    </row>
    <row r="2222" customFormat="false" ht="15" hidden="false" customHeight="true" outlineLevel="0" collapsed="false">
      <c r="A2222" s="1" t="n">
        <v>2271</v>
      </c>
      <c r="B2222" s="1" t="n">
        <v>119</v>
      </c>
      <c r="C2222" s="1" t="n">
        <v>18</v>
      </c>
      <c r="D2222" s="1" t="s">
        <v>476</v>
      </c>
      <c r="E2222" s="1" t="n">
        <v>8</v>
      </c>
      <c r="F2222" s="1" t="n">
        <v>747.34</v>
      </c>
      <c r="G2222" s="1" t="n">
        <v>0</v>
      </c>
      <c r="H2222" s="1" t="s">
        <v>1370</v>
      </c>
      <c r="I2222" s="1" t="n">
        <v>5978.72</v>
      </c>
      <c r="J2222" s="1" t="str">
        <f aca="false">VLOOKUP(B2222,Customers!$A$2:$G$502,6,FALSE())</f>
        <v>Small Business</v>
      </c>
      <c r="K2222" s="1" t="str">
        <f aca="false">VLOOKUP(C2222,Products!$A$2:$E$62,3,FALSE())</f>
        <v>Electronics</v>
      </c>
      <c r="L2222" s="1" t="str">
        <f aca="false">TEXT(D2222,"yyyy-mm")</f>
        <v>2023-10</v>
      </c>
    </row>
    <row r="2223" customFormat="false" ht="15" hidden="false" customHeight="true" outlineLevel="0" collapsed="false">
      <c r="A2223" s="1" t="n">
        <v>2272</v>
      </c>
      <c r="B2223" s="1" t="n">
        <v>202</v>
      </c>
      <c r="C2223" s="1" t="n">
        <v>31</v>
      </c>
      <c r="D2223" s="1" t="s">
        <v>1614</v>
      </c>
      <c r="E2223" s="1" t="n">
        <v>2</v>
      </c>
      <c r="F2223" s="1" t="n">
        <v>224.86</v>
      </c>
      <c r="G2223" s="1" t="n">
        <v>0.15</v>
      </c>
      <c r="H2223" s="1" t="s">
        <v>1336</v>
      </c>
      <c r="I2223" s="1" t="n">
        <v>382.26</v>
      </c>
      <c r="J2223" s="1" t="str">
        <f aca="false">VLOOKUP(B2223,Customers!$A$2:$G$502,6,FALSE())</f>
        <v>Corporate</v>
      </c>
      <c r="K2223" s="1" t="str">
        <f aca="false">VLOOKUP(C2223,Products!$A$2:$E$62,3,FALSE())</f>
        <v>Office Supplies</v>
      </c>
      <c r="L2223" s="1" t="str">
        <f aca="false">TEXT(D2223,"yyyy-mm")</f>
        <v>2023-10</v>
      </c>
    </row>
    <row r="2224" customFormat="false" ht="15" hidden="false" customHeight="true" outlineLevel="0" collapsed="false">
      <c r="A2224" s="1" t="n">
        <v>2273</v>
      </c>
      <c r="B2224" s="1" t="n">
        <v>470</v>
      </c>
      <c r="C2224" s="1" t="n">
        <v>24</v>
      </c>
      <c r="D2224" s="1" t="s">
        <v>560</v>
      </c>
      <c r="E2224" s="1" t="n">
        <v>4</v>
      </c>
      <c r="F2224" s="1" t="n">
        <v>207.34</v>
      </c>
      <c r="G2224" s="1" t="n">
        <v>0</v>
      </c>
      <c r="H2224" s="1" t="s">
        <v>1346</v>
      </c>
      <c r="I2224" s="1" t="n">
        <v>829.36</v>
      </c>
      <c r="J2224" s="1" t="str">
        <f aca="false">VLOOKUP(B2224,Customers!$A$2:$G$502,6,FALSE())</f>
        <v>Corporate</v>
      </c>
      <c r="K2224" s="1" t="str">
        <f aca="false">VLOOKUP(C2224,Products!$A$2:$E$62,3,FALSE())</f>
        <v>Office Supplies</v>
      </c>
      <c r="L2224" s="1" t="str">
        <f aca="false">TEXT(D2224,"yyyy-mm")</f>
        <v>2023-06</v>
      </c>
    </row>
    <row r="2225" customFormat="false" ht="15" hidden="false" customHeight="true" outlineLevel="0" collapsed="false">
      <c r="A2225" s="1" t="n">
        <v>2274</v>
      </c>
      <c r="B2225" s="1" t="n">
        <v>166</v>
      </c>
      <c r="C2225" s="1" t="n">
        <v>59</v>
      </c>
      <c r="D2225" s="1" t="s">
        <v>1402</v>
      </c>
      <c r="E2225" s="1" t="n">
        <v>6</v>
      </c>
      <c r="F2225" s="1" t="n">
        <v>438.89</v>
      </c>
      <c r="G2225" s="1" t="n">
        <v>0.1</v>
      </c>
      <c r="H2225" s="1" t="s">
        <v>1336</v>
      </c>
      <c r="I2225" s="1" t="n">
        <v>2370.01</v>
      </c>
      <c r="J2225" s="1" t="str">
        <f aca="false">VLOOKUP(B2225,Customers!$A$2:$G$502,6,FALSE())</f>
        <v>Small Business</v>
      </c>
      <c r="K2225" s="1" t="str">
        <f aca="false">VLOOKUP(C2225,Products!$A$2:$E$62,3,FALSE())</f>
        <v>Furniture</v>
      </c>
      <c r="L2225" s="1" t="str">
        <f aca="false">TEXT(D2225,"yyyy-mm")</f>
        <v>2023-12</v>
      </c>
    </row>
    <row r="2226" customFormat="false" ht="15" hidden="false" customHeight="true" outlineLevel="0" collapsed="false">
      <c r="A2226" s="1" t="n">
        <v>2275</v>
      </c>
      <c r="B2226" s="1" t="n">
        <v>394</v>
      </c>
      <c r="C2226" s="1" t="n">
        <v>12</v>
      </c>
      <c r="D2226" s="1" t="s">
        <v>1280</v>
      </c>
      <c r="E2226" s="1" t="n">
        <v>2</v>
      </c>
      <c r="F2226" s="1" t="n">
        <v>179.23</v>
      </c>
      <c r="G2226" s="1" t="n">
        <v>0.2</v>
      </c>
      <c r="H2226" s="1" t="s">
        <v>1336</v>
      </c>
      <c r="I2226" s="1" t="n">
        <v>286.77</v>
      </c>
      <c r="J2226" s="1" t="str">
        <f aca="false">VLOOKUP(B2226,Customers!$A$2:$G$502,6,FALSE())</f>
        <v>Corporate</v>
      </c>
      <c r="K2226" s="1" t="str">
        <f aca="false">VLOOKUP(C2226,Products!$A$2:$E$62,3,FALSE())</f>
        <v>Electronics</v>
      </c>
      <c r="L2226" s="1" t="str">
        <f aca="false">TEXT(D2226,"yyyy-mm")</f>
        <v>2023-07</v>
      </c>
    </row>
    <row r="2227" customFormat="false" ht="15" hidden="false" customHeight="true" outlineLevel="0" collapsed="false">
      <c r="A2227" s="1" t="n">
        <v>2276</v>
      </c>
      <c r="B2227" s="1" t="n">
        <v>326</v>
      </c>
      <c r="C2227" s="1" t="n">
        <v>42</v>
      </c>
      <c r="D2227" s="1" t="s">
        <v>719</v>
      </c>
      <c r="E2227" s="1" t="n">
        <v>7</v>
      </c>
      <c r="F2227" s="1" t="n">
        <v>174.48</v>
      </c>
      <c r="G2227" s="1" t="n">
        <v>0</v>
      </c>
      <c r="H2227" s="1" t="s">
        <v>1336</v>
      </c>
      <c r="I2227" s="1" t="n">
        <v>1221.36</v>
      </c>
      <c r="J2227" s="1" t="str">
        <f aca="false">VLOOKUP(B2227,Customers!$A$2:$G$502,6,FALSE())</f>
        <v>Corporate</v>
      </c>
      <c r="K2227" s="1" t="str">
        <f aca="false">VLOOKUP(C2227,Products!$A$2:$E$62,3,FALSE())</f>
        <v>Software</v>
      </c>
      <c r="L2227" s="1" t="str">
        <f aca="false">TEXT(D2227,"yyyy-mm")</f>
        <v>2024-11</v>
      </c>
    </row>
    <row r="2228" customFormat="false" ht="15" hidden="false" customHeight="true" outlineLevel="0" collapsed="false">
      <c r="A2228" s="1" t="n">
        <v>2277</v>
      </c>
      <c r="B2228" s="1" t="n">
        <v>200</v>
      </c>
      <c r="C2228" s="1" t="n">
        <v>20</v>
      </c>
      <c r="D2228" s="1" t="s">
        <v>902</v>
      </c>
      <c r="E2228" s="1" t="n">
        <v>3</v>
      </c>
      <c r="F2228" s="1" t="n">
        <v>426.15</v>
      </c>
      <c r="G2228" s="1" t="n">
        <v>0</v>
      </c>
      <c r="H2228" s="1" t="s">
        <v>1336</v>
      </c>
      <c r="I2228" s="1" t="n">
        <v>1278.45</v>
      </c>
      <c r="J2228" s="1" t="str">
        <f aca="false">VLOOKUP(B2228,Customers!$A$2:$G$502,6,FALSE())</f>
        <v>Small Business</v>
      </c>
      <c r="K2228" s="1" t="str">
        <f aca="false">VLOOKUP(C2228,Products!$A$2:$E$62,3,FALSE())</f>
        <v>Office Supplies</v>
      </c>
      <c r="L2228" s="1" t="str">
        <f aca="false">TEXT(D2228,"yyyy-mm")</f>
        <v>2024-07</v>
      </c>
    </row>
    <row r="2229" customFormat="false" ht="15" hidden="false" customHeight="true" outlineLevel="0" collapsed="false">
      <c r="A2229" s="1" t="n">
        <v>2279</v>
      </c>
      <c r="B2229" s="1" t="n">
        <v>426</v>
      </c>
      <c r="C2229" s="1" t="n">
        <v>6</v>
      </c>
      <c r="D2229" s="1" t="s">
        <v>496</v>
      </c>
      <c r="E2229" s="1" t="n">
        <v>2</v>
      </c>
      <c r="F2229" s="1" t="n">
        <v>28.51</v>
      </c>
      <c r="G2229" s="1" t="n">
        <v>0</v>
      </c>
      <c r="H2229" s="1" t="s">
        <v>1336</v>
      </c>
      <c r="I2229" s="1" t="n">
        <v>57.02</v>
      </c>
      <c r="J2229" s="1" t="str">
        <f aca="false">VLOOKUP(B2229,Customers!$A$2:$G$502,6,FALSE())</f>
        <v>Consumer</v>
      </c>
      <c r="K2229" s="1" t="str">
        <f aca="false">VLOOKUP(C2229,Products!$A$2:$E$62,3,FALSE())</f>
        <v>Electronics</v>
      </c>
      <c r="L2229" s="1" t="str">
        <f aca="false">TEXT(D2229,"yyyy-mm")</f>
        <v>2023-05</v>
      </c>
    </row>
    <row r="2230" customFormat="false" ht="15" hidden="false" customHeight="true" outlineLevel="0" collapsed="false">
      <c r="A2230" s="1" t="n">
        <v>2280</v>
      </c>
      <c r="B2230" s="1" t="n">
        <v>442</v>
      </c>
      <c r="C2230" s="1" t="n">
        <v>58</v>
      </c>
      <c r="D2230" s="1" t="s">
        <v>64</v>
      </c>
      <c r="E2230" s="1" t="n">
        <v>8</v>
      </c>
      <c r="F2230" s="1" t="n">
        <v>515.55</v>
      </c>
      <c r="G2230" s="1" t="n">
        <v>0</v>
      </c>
      <c r="H2230" s="1" t="s">
        <v>1336</v>
      </c>
      <c r="I2230" s="1" t="n">
        <v>4124.4</v>
      </c>
      <c r="J2230" s="1" t="str">
        <f aca="false">VLOOKUP(B2230,Customers!$A$2:$G$502,6,FALSE())</f>
        <v>Small Business</v>
      </c>
      <c r="K2230" s="1" t="str">
        <f aca="false">VLOOKUP(C2230,Products!$A$2:$E$62,3,FALSE())</f>
        <v>Furniture</v>
      </c>
      <c r="L2230" s="1" t="str">
        <f aca="false">TEXT(D2230,"yyyy-mm")</f>
        <v>2024-09</v>
      </c>
    </row>
    <row r="2231" customFormat="false" ht="15" hidden="false" customHeight="true" outlineLevel="0" collapsed="false">
      <c r="A2231" s="1" t="n">
        <v>2281</v>
      </c>
      <c r="B2231" s="1" t="n">
        <v>47</v>
      </c>
      <c r="C2231" s="1" t="n">
        <v>60</v>
      </c>
      <c r="D2231" s="1" t="s">
        <v>449</v>
      </c>
      <c r="E2231" s="1" t="n">
        <v>6</v>
      </c>
      <c r="F2231" s="1" t="n">
        <v>584.98</v>
      </c>
      <c r="G2231" s="1" t="n">
        <v>0.15</v>
      </c>
      <c r="H2231" s="1" t="s">
        <v>1336</v>
      </c>
      <c r="I2231" s="1" t="n">
        <v>2983.4</v>
      </c>
      <c r="J2231" s="1" t="str">
        <f aca="false">VLOOKUP(B2231,Customers!$A$2:$G$502,6,FALSE())</f>
        <v>Small Business</v>
      </c>
      <c r="K2231" s="1" t="str">
        <f aca="false">VLOOKUP(C2231,Products!$A$2:$E$62,3,FALSE())</f>
        <v>Furniture</v>
      </c>
      <c r="L2231" s="1" t="str">
        <f aca="false">TEXT(D2231,"yyyy-mm")</f>
        <v>2023-03</v>
      </c>
    </row>
    <row r="2232" customFormat="false" ht="15" hidden="false" customHeight="true" outlineLevel="0" collapsed="false">
      <c r="A2232" s="1" t="n">
        <v>2282</v>
      </c>
      <c r="B2232" s="1" t="n">
        <v>497</v>
      </c>
      <c r="C2232" s="1" t="n">
        <v>30</v>
      </c>
      <c r="D2232" s="1" t="s">
        <v>185</v>
      </c>
      <c r="E2232" s="1" t="n">
        <v>1</v>
      </c>
      <c r="F2232" s="1" t="n">
        <v>33.32</v>
      </c>
      <c r="G2232" s="1" t="n">
        <v>0</v>
      </c>
      <c r="H2232" s="1" t="s">
        <v>1336</v>
      </c>
      <c r="I2232" s="1" t="n">
        <v>33.32</v>
      </c>
      <c r="J2232" s="1" t="str">
        <f aca="false">VLOOKUP(B2232,Customers!$A$2:$G$502,6,FALSE())</f>
        <v>Consumer</v>
      </c>
      <c r="K2232" s="1" t="str">
        <f aca="false">VLOOKUP(C2232,Products!$A$2:$E$62,3,FALSE())</f>
        <v>Office Supplies</v>
      </c>
      <c r="L2232" s="1" t="str">
        <f aca="false">TEXT(D2232,"yyyy-mm")</f>
        <v>2024-05</v>
      </c>
    </row>
    <row r="2233" customFormat="false" ht="15" hidden="false" customHeight="true" outlineLevel="0" collapsed="false">
      <c r="A2233" s="1" t="n">
        <v>2283</v>
      </c>
      <c r="B2233" s="1" t="n">
        <v>317</v>
      </c>
      <c r="C2233" s="1" t="n">
        <v>23</v>
      </c>
      <c r="D2233" s="1" t="s">
        <v>243</v>
      </c>
      <c r="E2233" s="1" t="n">
        <v>1</v>
      </c>
      <c r="F2233" s="1" t="n">
        <v>188.73</v>
      </c>
      <c r="G2233" s="1" t="n">
        <v>0</v>
      </c>
      <c r="H2233" s="1" t="s">
        <v>1336</v>
      </c>
      <c r="I2233" s="1" t="n">
        <v>188.73</v>
      </c>
      <c r="J2233" s="1" t="str">
        <f aca="false">VLOOKUP(B2233,Customers!$A$2:$G$502,6,FALSE())</f>
        <v>Small Business</v>
      </c>
      <c r="K2233" s="1" t="str">
        <f aca="false">VLOOKUP(C2233,Products!$A$2:$E$62,3,FALSE())</f>
        <v>Office Supplies</v>
      </c>
      <c r="L2233" s="1" t="str">
        <f aca="false">TEXT(D2233,"yyyy-mm")</f>
        <v>2024-07</v>
      </c>
    </row>
    <row r="2234" customFormat="false" ht="15" hidden="false" customHeight="true" outlineLevel="0" collapsed="false">
      <c r="A2234" s="1" t="n">
        <v>2284</v>
      </c>
      <c r="B2234" s="1" t="n">
        <v>343</v>
      </c>
      <c r="C2234" s="1" t="n">
        <v>20</v>
      </c>
      <c r="D2234" s="1" t="s">
        <v>1022</v>
      </c>
      <c r="E2234" s="1" t="n">
        <v>7</v>
      </c>
      <c r="F2234" s="1" t="n">
        <v>426.15</v>
      </c>
      <c r="G2234" s="1" t="n">
        <v>0.15</v>
      </c>
      <c r="H2234" s="1" t="s">
        <v>1336</v>
      </c>
      <c r="I2234" s="1" t="n">
        <v>2535.59</v>
      </c>
      <c r="J2234" s="1" t="str">
        <f aca="false">VLOOKUP(B2234,Customers!$A$2:$G$502,6,FALSE())</f>
        <v>Unknown</v>
      </c>
      <c r="K2234" s="1" t="str">
        <f aca="false">VLOOKUP(C2234,Products!$A$2:$E$62,3,FALSE())</f>
        <v>Office Supplies</v>
      </c>
      <c r="L2234" s="1" t="str">
        <f aca="false">TEXT(D2234,"yyyy-mm")</f>
        <v>2023-06</v>
      </c>
    </row>
    <row r="2235" customFormat="false" ht="15" hidden="false" customHeight="true" outlineLevel="0" collapsed="false">
      <c r="A2235" s="1" t="n">
        <v>2285</v>
      </c>
      <c r="B2235" s="1" t="n">
        <v>60</v>
      </c>
      <c r="C2235" s="1" t="n">
        <v>33</v>
      </c>
      <c r="D2235" s="1" t="s">
        <v>527</v>
      </c>
      <c r="E2235" s="1" t="n">
        <v>8</v>
      </c>
      <c r="F2235" s="1" t="n">
        <v>190.1</v>
      </c>
      <c r="G2235" s="1" t="n">
        <v>0.05</v>
      </c>
      <c r="H2235" s="1" t="s">
        <v>1336</v>
      </c>
      <c r="I2235" s="1" t="n">
        <v>1444.76</v>
      </c>
      <c r="J2235" s="1" t="str">
        <f aca="false">VLOOKUP(B2235,Customers!$A$2:$G$502,6,FALSE())</f>
        <v>Corporate</v>
      </c>
      <c r="K2235" s="1" t="str">
        <f aca="false">VLOOKUP(C2235,Products!$A$2:$E$62,3,FALSE())</f>
        <v>Office Supplies</v>
      </c>
      <c r="L2235" s="1" t="str">
        <f aca="false">TEXT(D2235,"yyyy-mm")</f>
        <v>2023-12</v>
      </c>
    </row>
    <row r="2236" customFormat="false" ht="15" hidden="false" customHeight="true" outlineLevel="0" collapsed="false">
      <c r="A2236" s="1" t="n">
        <v>2286</v>
      </c>
      <c r="B2236" s="1" t="n">
        <v>27</v>
      </c>
      <c r="C2236" s="1" t="n">
        <v>34</v>
      </c>
      <c r="D2236" s="1" t="s">
        <v>1219</v>
      </c>
      <c r="E2236" s="1" t="n">
        <v>5</v>
      </c>
      <c r="F2236" s="1" t="n">
        <v>116.85</v>
      </c>
      <c r="G2236" s="1" t="n">
        <v>0</v>
      </c>
      <c r="H2236" s="1" t="s">
        <v>1336</v>
      </c>
      <c r="I2236" s="1" t="n">
        <v>584.25</v>
      </c>
      <c r="J2236" s="1" t="str">
        <f aca="false">VLOOKUP(B2236,Customers!$A$2:$G$502,6,FALSE())</f>
        <v>Small Business</v>
      </c>
      <c r="K2236" s="1" t="str">
        <f aca="false">VLOOKUP(C2236,Products!$A$2:$E$62,3,FALSE())</f>
        <v>Office Supplies</v>
      </c>
      <c r="L2236" s="1" t="str">
        <f aca="false">TEXT(D2236,"yyyy-mm")</f>
        <v>2024-10</v>
      </c>
    </row>
    <row r="2237" customFormat="false" ht="15" hidden="false" customHeight="true" outlineLevel="0" collapsed="false">
      <c r="A2237" s="1" t="n">
        <v>2287</v>
      </c>
      <c r="B2237" s="1" t="n">
        <v>138</v>
      </c>
      <c r="C2237" s="1" t="n">
        <v>31</v>
      </c>
      <c r="D2237" s="1" t="s">
        <v>1671</v>
      </c>
      <c r="E2237" s="1" t="n">
        <v>5</v>
      </c>
      <c r="F2237" s="1" t="n">
        <v>224.86</v>
      </c>
      <c r="G2237" s="1" t="n">
        <v>0.2</v>
      </c>
      <c r="H2237" s="1" t="s">
        <v>1336</v>
      </c>
      <c r="I2237" s="1" t="n">
        <v>899.44</v>
      </c>
      <c r="J2237" s="1" t="str">
        <f aca="false">VLOOKUP(B2237,Customers!$A$2:$G$502,6,FALSE())</f>
        <v>Consumer</v>
      </c>
      <c r="K2237" s="1" t="str">
        <f aca="false">VLOOKUP(C2237,Products!$A$2:$E$62,3,FALSE())</f>
        <v>Office Supplies</v>
      </c>
      <c r="L2237" s="1" t="str">
        <f aca="false">TEXT(D2237,"yyyy-mm")</f>
        <v>2023-08</v>
      </c>
    </row>
    <row r="2238" customFormat="false" ht="15" hidden="false" customHeight="true" outlineLevel="0" collapsed="false">
      <c r="A2238" s="1" t="n">
        <v>2288</v>
      </c>
      <c r="B2238" s="1" t="n">
        <v>448</v>
      </c>
      <c r="C2238" s="1" t="n">
        <v>34</v>
      </c>
      <c r="D2238" s="1" t="s">
        <v>476</v>
      </c>
      <c r="E2238" s="1" t="n">
        <v>4</v>
      </c>
      <c r="F2238" s="1" t="n">
        <v>116.85</v>
      </c>
      <c r="G2238" s="1" t="n">
        <v>0</v>
      </c>
      <c r="H2238" s="1" t="s">
        <v>1336</v>
      </c>
      <c r="I2238" s="1" t="n">
        <v>467.4</v>
      </c>
      <c r="J2238" s="1" t="str">
        <f aca="false">VLOOKUP(B2238,Customers!$A$2:$G$502,6,FALSE())</f>
        <v>Corporate</v>
      </c>
      <c r="K2238" s="1" t="str">
        <f aca="false">VLOOKUP(C2238,Products!$A$2:$E$62,3,FALSE())</f>
        <v>Office Supplies</v>
      </c>
      <c r="L2238" s="1" t="str">
        <f aca="false">TEXT(D2238,"yyyy-mm")</f>
        <v>2023-10</v>
      </c>
    </row>
    <row r="2239" customFormat="false" ht="15" hidden="false" customHeight="true" outlineLevel="0" collapsed="false">
      <c r="A2239" s="1" t="n">
        <v>2289</v>
      </c>
      <c r="B2239" s="1" t="n">
        <v>360</v>
      </c>
      <c r="C2239" s="1" t="n">
        <v>52</v>
      </c>
      <c r="D2239" s="1" t="s">
        <v>1367</v>
      </c>
      <c r="E2239" s="1" t="n">
        <v>6</v>
      </c>
      <c r="F2239" s="1" t="n">
        <v>207.67</v>
      </c>
      <c r="G2239" s="1" t="n">
        <v>0.05</v>
      </c>
      <c r="H2239" s="1" t="s">
        <v>1336</v>
      </c>
      <c r="I2239" s="1" t="n">
        <v>1183.72</v>
      </c>
      <c r="J2239" s="1" t="str">
        <f aca="false">VLOOKUP(B2239,Customers!$A$2:$G$502,6,FALSE())</f>
        <v>Corporate</v>
      </c>
      <c r="K2239" s="1" t="str">
        <f aca="false">VLOOKUP(C2239,Products!$A$2:$E$62,3,FALSE())</f>
        <v>Software</v>
      </c>
      <c r="L2239" s="1" t="str">
        <f aca="false">TEXT(D2239,"yyyy-mm")</f>
        <v>2024-08</v>
      </c>
    </row>
    <row r="2240" customFormat="false" ht="15" hidden="false" customHeight="true" outlineLevel="0" collapsed="false">
      <c r="A2240" s="1" t="n">
        <v>2290</v>
      </c>
      <c r="B2240" s="1" t="n">
        <v>171</v>
      </c>
      <c r="C2240" s="1" t="n">
        <v>15</v>
      </c>
      <c r="D2240" s="1" t="s">
        <v>1488</v>
      </c>
      <c r="E2240" s="1" t="n">
        <v>6</v>
      </c>
      <c r="F2240" s="1" t="n">
        <v>304.95</v>
      </c>
      <c r="G2240" s="1" t="n">
        <v>0.1</v>
      </c>
      <c r="H2240" s="1" t="s">
        <v>1336</v>
      </c>
      <c r="I2240" s="1" t="n">
        <v>1646.73</v>
      </c>
      <c r="J2240" s="1" t="str">
        <f aca="false">VLOOKUP(B2240,Customers!$A$2:$G$502,6,FALSE())</f>
        <v>Small Business</v>
      </c>
      <c r="K2240" s="1" t="str">
        <f aca="false">VLOOKUP(C2240,Products!$A$2:$E$62,3,FALSE())</f>
        <v>Electronics</v>
      </c>
      <c r="L2240" s="1" t="str">
        <f aca="false">TEXT(D2240,"yyyy-mm")</f>
        <v>2024-05</v>
      </c>
    </row>
    <row r="2241" customFormat="false" ht="15" hidden="false" customHeight="true" outlineLevel="0" collapsed="false">
      <c r="A2241" s="1" t="n">
        <v>2291</v>
      </c>
      <c r="B2241" s="1" t="n">
        <v>43</v>
      </c>
      <c r="C2241" s="1" t="n">
        <v>56</v>
      </c>
      <c r="D2241" s="1" t="s">
        <v>117</v>
      </c>
      <c r="E2241" s="1" t="n">
        <v>3</v>
      </c>
      <c r="F2241" s="1" t="n">
        <v>160.64</v>
      </c>
      <c r="G2241" s="1" t="n">
        <v>0.15</v>
      </c>
      <c r="H2241" s="1" t="s">
        <v>1336</v>
      </c>
      <c r="I2241" s="1" t="n">
        <v>409.63</v>
      </c>
      <c r="J2241" s="1" t="str">
        <f aca="false">VLOOKUP(B2241,Customers!$A$2:$G$502,6,FALSE())</f>
        <v>Small Business</v>
      </c>
      <c r="K2241" s="1" t="str">
        <f aca="false">VLOOKUP(C2241,Products!$A$2:$E$62,3,FALSE())</f>
        <v>Furniture</v>
      </c>
      <c r="L2241" s="1" t="str">
        <f aca="false">TEXT(D2241,"yyyy-mm")</f>
        <v>2023-03</v>
      </c>
    </row>
    <row r="2242" customFormat="false" ht="15" hidden="false" customHeight="true" outlineLevel="0" collapsed="false">
      <c r="A2242" s="1" t="n">
        <v>2292</v>
      </c>
      <c r="B2242" s="1" t="n">
        <v>94</v>
      </c>
      <c r="C2242" s="1" t="n">
        <v>28</v>
      </c>
      <c r="D2242" s="1" t="s">
        <v>452</v>
      </c>
      <c r="E2242" s="1" t="n">
        <v>9</v>
      </c>
      <c r="F2242" s="1" t="n">
        <v>505.23</v>
      </c>
      <c r="G2242" s="1" t="n">
        <v>0.1</v>
      </c>
      <c r="H2242" s="1" t="s">
        <v>1336</v>
      </c>
      <c r="I2242" s="1" t="n">
        <v>4092.36</v>
      </c>
      <c r="J2242" s="1" t="str">
        <f aca="false">VLOOKUP(B2242,Customers!$A$2:$G$502,6,FALSE())</f>
        <v>Small Business</v>
      </c>
      <c r="K2242" s="1" t="str">
        <f aca="false">VLOOKUP(C2242,Products!$A$2:$E$62,3,FALSE())</f>
        <v>Office Supplies</v>
      </c>
      <c r="L2242" s="1" t="str">
        <f aca="false">TEXT(D2242,"yyyy-mm")</f>
        <v>2023-02</v>
      </c>
    </row>
    <row r="2243" customFormat="false" ht="15" hidden="false" customHeight="true" outlineLevel="0" collapsed="false">
      <c r="A2243" s="1" t="n">
        <v>2293</v>
      </c>
      <c r="B2243" s="1" t="n">
        <v>35</v>
      </c>
      <c r="C2243" s="1" t="n">
        <v>23</v>
      </c>
      <c r="D2243" s="1" t="s">
        <v>1407</v>
      </c>
      <c r="E2243" s="1" t="n">
        <v>7</v>
      </c>
      <c r="F2243" s="1" t="n">
        <v>188.73</v>
      </c>
      <c r="G2243" s="1" t="n">
        <v>0.05</v>
      </c>
      <c r="H2243" s="1" t="s">
        <v>1336</v>
      </c>
      <c r="I2243" s="1" t="n">
        <v>1255.05</v>
      </c>
      <c r="J2243" s="1" t="str">
        <f aca="false">VLOOKUP(B2243,Customers!$A$2:$G$502,6,FALSE())</f>
        <v>Corporate</v>
      </c>
      <c r="K2243" s="1" t="str">
        <f aca="false">VLOOKUP(C2243,Products!$A$2:$E$62,3,FALSE())</f>
        <v>Office Supplies</v>
      </c>
      <c r="L2243" s="1" t="str">
        <f aca="false">TEXT(D2243,"yyyy-mm")</f>
        <v>2023-06</v>
      </c>
    </row>
    <row r="2244" customFormat="false" ht="15" hidden="false" customHeight="true" outlineLevel="0" collapsed="false">
      <c r="A2244" s="1" t="n">
        <v>2294</v>
      </c>
      <c r="B2244" s="1" t="n">
        <v>95</v>
      </c>
      <c r="C2244" s="1" t="n">
        <v>21</v>
      </c>
      <c r="D2244" s="1" t="s">
        <v>229</v>
      </c>
      <c r="E2244" s="1" t="n">
        <v>1</v>
      </c>
      <c r="F2244" s="1" t="n">
        <v>84.91</v>
      </c>
      <c r="G2244" s="1" t="n">
        <v>0</v>
      </c>
      <c r="H2244" s="1" t="s">
        <v>1336</v>
      </c>
      <c r="I2244" s="1" t="n">
        <v>84.91</v>
      </c>
      <c r="J2244" s="1" t="str">
        <f aca="false">VLOOKUP(B2244,Customers!$A$2:$G$502,6,FALSE())</f>
        <v>Corporate</v>
      </c>
      <c r="K2244" s="1" t="str">
        <f aca="false">VLOOKUP(C2244,Products!$A$2:$E$62,3,FALSE())</f>
        <v>Office Supplies</v>
      </c>
      <c r="L2244" s="1" t="str">
        <f aca="false">TEXT(D2244,"yyyy-mm")</f>
        <v>2024-12</v>
      </c>
    </row>
    <row r="2245" customFormat="false" ht="15" hidden="false" customHeight="true" outlineLevel="0" collapsed="false">
      <c r="A2245" s="1" t="n">
        <v>2295</v>
      </c>
      <c r="B2245" s="1" t="n">
        <v>426</v>
      </c>
      <c r="C2245" s="1" t="n">
        <v>43</v>
      </c>
      <c r="D2245" s="1" t="s">
        <v>1392</v>
      </c>
      <c r="E2245" s="1" t="n">
        <v>7</v>
      </c>
      <c r="F2245" s="1" t="n">
        <v>186.31</v>
      </c>
      <c r="G2245" s="1" t="n">
        <v>0</v>
      </c>
      <c r="H2245" s="1" t="s">
        <v>1336</v>
      </c>
      <c r="I2245" s="1" t="n">
        <v>1304.17</v>
      </c>
      <c r="J2245" s="1" t="str">
        <f aca="false">VLOOKUP(B2245,Customers!$A$2:$G$502,6,FALSE())</f>
        <v>Consumer</v>
      </c>
      <c r="K2245" s="1" t="str">
        <f aca="false">VLOOKUP(C2245,Products!$A$2:$E$62,3,FALSE())</f>
        <v>Software</v>
      </c>
      <c r="L2245" s="1" t="str">
        <f aca="false">TEXT(D2245,"yyyy-mm")</f>
        <v>2023-08</v>
      </c>
    </row>
    <row r="2246" customFormat="false" ht="15" hidden="false" customHeight="true" outlineLevel="0" collapsed="false">
      <c r="A2246" s="1" t="n">
        <v>2296</v>
      </c>
      <c r="B2246" s="1" t="n">
        <v>52</v>
      </c>
      <c r="C2246" s="1" t="n">
        <v>33</v>
      </c>
      <c r="D2246" s="1" t="s">
        <v>1083</v>
      </c>
      <c r="E2246" s="1" t="n">
        <v>5</v>
      </c>
      <c r="F2246" s="1" t="n">
        <v>190.1</v>
      </c>
      <c r="G2246" s="1" t="n">
        <v>0.2</v>
      </c>
      <c r="H2246" s="1" t="s">
        <v>1336</v>
      </c>
      <c r="I2246" s="1" t="n">
        <v>760.4</v>
      </c>
      <c r="J2246" s="1" t="str">
        <f aca="false">VLOOKUP(B2246,Customers!$A$2:$G$502,6,FALSE())</f>
        <v>Small Business</v>
      </c>
      <c r="K2246" s="1" t="str">
        <f aca="false">VLOOKUP(C2246,Products!$A$2:$E$62,3,FALSE())</f>
        <v>Office Supplies</v>
      </c>
      <c r="L2246" s="1" t="str">
        <f aca="false">TEXT(D2246,"yyyy-mm")</f>
        <v>2024-08</v>
      </c>
    </row>
    <row r="2247" customFormat="false" ht="15" hidden="false" customHeight="true" outlineLevel="0" collapsed="false">
      <c r="A2247" s="1" t="n">
        <v>2297</v>
      </c>
      <c r="B2247" s="1" t="n">
        <v>446</v>
      </c>
      <c r="C2247" s="1" t="n">
        <v>25</v>
      </c>
      <c r="D2247" s="1" t="s">
        <v>1647</v>
      </c>
      <c r="E2247" s="1" t="n">
        <v>5</v>
      </c>
      <c r="F2247" s="1" t="n">
        <v>300.49</v>
      </c>
      <c r="G2247" s="1" t="n">
        <v>0</v>
      </c>
      <c r="H2247" s="1" t="s">
        <v>1336</v>
      </c>
      <c r="I2247" s="1" t="n">
        <v>1502.45</v>
      </c>
      <c r="J2247" s="1" t="str">
        <f aca="false">VLOOKUP(B2247,Customers!$A$2:$G$502,6,FALSE())</f>
        <v>Small Business</v>
      </c>
      <c r="K2247" s="1" t="str">
        <f aca="false">VLOOKUP(C2247,Products!$A$2:$E$62,3,FALSE())</f>
        <v>Office Supplies</v>
      </c>
      <c r="L2247" s="1" t="str">
        <f aca="false">TEXT(D2247,"yyyy-mm")</f>
        <v>2024-05</v>
      </c>
    </row>
    <row r="2248" customFormat="false" ht="15" hidden="false" customHeight="true" outlineLevel="0" collapsed="false">
      <c r="A2248" s="1" t="n">
        <v>2298</v>
      </c>
      <c r="B2248" s="1" t="n">
        <v>415</v>
      </c>
      <c r="C2248" s="1" t="n">
        <v>26</v>
      </c>
      <c r="D2248" s="1" t="s">
        <v>1588</v>
      </c>
      <c r="E2248" s="1" t="n">
        <v>2</v>
      </c>
      <c r="F2248" s="1" t="n">
        <v>733.85</v>
      </c>
      <c r="G2248" s="1" t="n">
        <v>0</v>
      </c>
      <c r="H2248" s="1" t="s">
        <v>1370</v>
      </c>
      <c r="I2248" s="1" t="n">
        <v>1467.7</v>
      </c>
      <c r="J2248" s="1" t="str">
        <f aca="false">VLOOKUP(B2248,Customers!$A$2:$G$502,6,FALSE())</f>
        <v>Consumer</v>
      </c>
      <c r="K2248" s="1" t="str">
        <f aca="false">VLOOKUP(C2248,Products!$A$2:$E$62,3,FALSE())</f>
        <v>Office Supplies</v>
      </c>
      <c r="L2248" s="1" t="str">
        <f aca="false">TEXT(D2248,"yyyy-mm")</f>
        <v>2024-08</v>
      </c>
    </row>
    <row r="2249" customFormat="false" ht="15" hidden="false" customHeight="true" outlineLevel="0" collapsed="false">
      <c r="A2249" s="1" t="n">
        <v>2299</v>
      </c>
      <c r="B2249" s="1" t="n">
        <v>310</v>
      </c>
      <c r="C2249" s="1" t="n">
        <v>37</v>
      </c>
      <c r="D2249" s="1" t="s">
        <v>1259</v>
      </c>
      <c r="E2249" s="1" t="n">
        <v>4</v>
      </c>
      <c r="F2249" s="1" t="n">
        <v>13.95</v>
      </c>
      <c r="G2249" s="1" t="n">
        <v>0.05</v>
      </c>
      <c r="H2249" s="1" t="s">
        <v>1336</v>
      </c>
      <c r="I2249" s="1" t="n">
        <v>53.01</v>
      </c>
      <c r="J2249" s="1" t="str">
        <f aca="false">VLOOKUP(B2249,Customers!$A$2:$G$502,6,FALSE())</f>
        <v>Small Business</v>
      </c>
      <c r="K2249" s="1" t="str">
        <f aca="false">VLOOKUP(C2249,Products!$A$2:$E$62,3,FALSE())</f>
        <v>Software</v>
      </c>
      <c r="L2249" s="1" t="str">
        <f aca="false">TEXT(D2249,"yyyy-mm")</f>
        <v>2023-09</v>
      </c>
    </row>
    <row r="2250" customFormat="false" ht="15" hidden="false" customHeight="true" outlineLevel="0" collapsed="false">
      <c r="A2250" s="1" t="n">
        <v>2300</v>
      </c>
      <c r="B2250" s="1" t="n">
        <v>313</v>
      </c>
      <c r="C2250" s="1" t="n">
        <v>38</v>
      </c>
      <c r="D2250" s="1" t="s">
        <v>342</v>
      </c>
      <c r="E2250" s="1" t="n">
        <v>6</v>
      </c>
      <c r="F2250" s="1" t="n">
        <v>521.63</v>
      </c>
      <c r="G2250" s="1" t="n">
        <v>0.1</v>
      </c>
      <c r="H2250" s="1" t="s">
        <v>1336</v>
      </c>
      <c r="I2250" s="1" t="n">
        <v>2816.8</v>
      </c>
      <c r="J2250" s="1" t="str">
        <f aca="false">VLOOKUP(B2250,Customers!$A$2:$G$502,6,FALSE())</f>
        <v>Consumer</v>
      </c>
      <c r="K2250" s="1" t="str">
        <f aca="false">VLOOKUP(C2250,Products!$A$2:$E$62,3,FALSE())</f>
        <v>Software</v>
      </c>
      <c r="L2250" s="1" t="str">
        <f aca="false">TEXT(D2250,"yyyy-mm")</f>
        <v>2024-08</v>
      </c>
    </row>
    <row r="2251" customFormat="false" ht="15" hidden="false" customHeight="true" outlineLevel="0" collapsed="false">
      <c r="A2251" s="1" t="n">
        <v>2301</v>
      </c>
      <c r="B2251" s="1" t="n">
        <v>284</v>
      </c>
      <c r="C2251" s="1" t="n">
        <v>22</v>
      </c>
      <c r="D2251" s="1" t="s">
        <v>1656</v>
      </c>
      <c r="E2251" s="1" t="n">
        <v>7</v>
      </c>
      <c r="F2251" s="1" t="n">
        <v>38.57</v>
      </c>
      <c r="G2251" s="1" t="n">
        <v>0</v>
      </c>
      <c r="H2251" s="1" t="s">
        <v>1336</v>
      </c>
      <c r="I2251" s="1" t="n">
        <v>269.99</v>
      </c>
      <c r="J2251" s="1" t="str">
        <f aca="false">VLOOKUP(B2251,Customers!$A$2:$G$502,6,FALSE())</f>
        <v>Consumer</v>
      </c>
      <c r="K2251" s="1" t="str">
        <f aca="false">VLOOKUP(C2251,Products!$A$2:$E$62,3,FALSE())</f>
        <v>Office Supplies</v>
      </c>
      <c r="L2251" s="1" t="str">
        <f aca="false">TEXT(D2251,"yyyy-mm")</f>
        <v>2024-05</v>
      </c>
    </row>
    <row r="2252" customFormat="false" ht="15" hidden="false" customHeight="true" outlineLevel="0" collapsed="false">
      <c r="A2252" s="1" t="n">
        <v>2302</v>
      </c>
      <c r="B2252" s="1" t="n">
        <v>363</v>
      </c>
      <c r="C2252" s="1" t="n">
        <v>22</v>
      </c>
      <c r="D2252" s="1" t="s">
        <v>47</v>
      </c>
      <c r="E2252" s="1" t="n">
        <v>5</v>
      </c>
      <c r="F2252" s="1" t="n">
        <v>38.57</v>
      </c>
      <c r="G2252" s="1" t="n">
        <v>0</v>
      </c>
      <c r="H2252" s="1" t="s">
        <v>1336</v>
      </c>
      <c r="I2252" s="1" t="n">
        <v>192.85</v>
      </c>
      <c r="J2252" s="1" t="str">
        <f aca="false">VLOOKUP(B2252,Customers!$A$2:$G$502,6,FALSE())</f>
        <v>Small Business</v>
      </c>
      <c r="K2252" s="1" t="str">
        <f aca="false">VLOOKUP(C2252,Products!$A$2:$E$62,3,FALSE())</f>
        <v>Office Supplies</v>
      </c>
      <c r="L2252" s="1" t="str">
        <f aca="false">TEXT(D2252,"yyyy-mm")</f>
        <v>2023-06</v>
      </c>
    </row>
    <row r="2253" customFormat="false" ht="15" hidden="false" customHeight="true" outlineLevel="0" collapsed="false">
      <c r="A2253" s="1" t="n">
        <v>2303</v>
      </c>
      <c r="B2253" s="1" t="n">
        <v>464</v>
      </c>
      <c r="C2253" s="1" t="n">
        <v>19</v>
      </c>
      <c r="D2253" s="1" t="s">
        <v>1022</v>
      </c>
      <c r="E2253" s="1" t="n">
        <v>9</v>
      </c>
      <c r="F2253" s="1" t="n">
        <v>163.64</v>
      </c>
      <c r="G2253" s="1" t="n">
        <v>0.15</v>
      </c>
      <c r="H2253" s="1" t="s">
        <v>1336</v>
      </c>
      <c r="I2253" s="1" t="n">
        <v>1251.85</v>
      </c>
      <c r="J2253" s="1" t="str">
        <f aca="false">VLOOKUP(B2253,Customers!$A$2:$G$502,6,FALSE())</f>
        <v>Consumer</v>
      </c>
      <c r="K2253" s="1" t="str">
        <f aca="false">VLOOKUP(C2253,Products!$A$2:$E$62,3,FALSE())</f>
        <v>Office Supplies</v>
      </c>
      <c r="L2253" s="1" t="str">
        <f aca="false">TEXT(D2253,"yyyy-mm")</f>
        <v>2023-06</v>
      </c>
    </row>
    <row r="2254" customFormat="false" ht="15" hidden="false" customHeight="true" outlineLevel="0" collapsed="false">
      <c r="A2254" s="1" t="n">
        <v>2304</v>
      </c>
      <c r="B2254" s="1" t="n">
        <v>153</v>
      </c>
      <c r="C2254" s="1" t="n">
        <v>40</v>
      </c>
      <c r="D2254" s="1" t="s">
        <v>1531</v>
      </c>
      <c r="E2254" s="1" t="n">
        <v>3</v>
      </c>
      <c r="F2254" s="1" t="n">
        <v>193.02</v>
      </c>
      <c r="G2254" s="1" t="n">
        <v>0.1</v>
      </c>
      <c r="H2254" s="1" t="s">
        <v>1336</v>
      </c>
      <c r="I2254" s="1" t="n">
        <v>521.15</v>
      </c>
      <c r="J2254" s="1" t="str">
        <f aca="false">VLOOKUP(B2254,Customers!$A$2:$G$502,6,FALSE())</f>
        <v>Corporate</v>
      </c>
      <c r="K2254" s="1" t="str">
        <f aca="false">VLOOKUP(C2254,Products!$A$2:$E$62,3,FALSE())</f>
        <v>Software</v>
      </c>
      <c r="L2254" s="1" t="str">
        <f aca="false">TEXT(D2254,"yyyy-mm")</f>
        <v>2024-11</v>
      </c>
    </row>
    <row r="2255" customFormat="false" ht="15" hidden="false" customHeight="true" outlineLevel="0" collapsed="false">
      <c r="A2255" s="1" t="n">
        <v>2305</v>
      </c>
      <c r="B2255" s="1" t="n">
        <v>449</v>
      </c>
      <c r="C2255" s="1" t="n">
        <v>24</v>
      </c>
      <c r="D2255" s="1" t="s">
        <v>1147</v>
      </c>
      <c r="E2255" s="1" t="n">
        <v>1</v>
      </c>
      <c r="F2255" s="1" t="n">
        <v>207.34</v>
      </c>
      <c r="G2255" s="1" t="n">
        <v>0</v>
      </c>
      <c r="H2255" s="1" t="s">
        <v>1336</v>
      </c>
      <c r="I2255" s="1" t="n">
        <v>207.34</v>
      </c>
      <c r="J2255" s="1" t="str">
        <f aca="false">VLOOKUP(B2255,Customers!$A$2:$G$502,6,FALSE())</f>
        <v>Corporate</v>
      </c>
      <c r="K2255" s="1" t="str">
        <f aca="false">VLOOKUP(C2255,Products!$A$2:$E$62,3,FALSE())</f>
        <v>Office Supplies</v>
      </c>
      <c r="L2255" s="1" t="str">
        <f aca="false">TEXT(D2255,"yyyy-mm")</f>
        <v>2024-05</v>
      </c>
    </row>
    <row r="2256" customFormat="false" ht="15" hidden="false" customHeight="true" outlineLevel="0" collapsed="false">
      <c r="A2256" s="1" t="n">
        <v>2306</v>
      </c>
      <c r="B2256" s="1" t="n">
        <v>266</v>
      </c>
      <c r="C2256" s="1" t="n">
        <v>48</v>
      </c>
      <c r="D2256" s="1" t="s">
        <v>946</v>
      </c>
      <c r="E2256" s="1" t="n">
        <v>4</v>
      </c>
      <c r="F2256" s="1" t="n">
        <v>493.53</v>
      </c>
      <c r="G2256" s="1" t="n">
        <v>0.2</v>
      </c>
      <c r="H2256" s="1" t="s">
        <v>1336</v>
      </c>
      <c r="I2256" s="1" t="n">
        <v>1579.3</v>
      </c>
      <c r="J2256" s="1" t="str">
        <f aca="false">VLOOKUP(B2256,Customers!$A$2:$G$502,6,FALSE())</f>
        <v>Corporate</v>
      </c>
      <c r="K2256" s="1" t="str">
        <f aca="false">VLOOKUP(C2256,Products!$A$2:$E$62,3,FALSE())</f>
        <v>Software</v>
      </c>
      <c r="L2256" s="1" t="str">
        <f aca="false">TEXT(D2256,"yyyy-mm")</f>
        <v>2023-04</v>
      </c>
    </row>
    <row r="2257" customFormat="false" ht="15" hidden="false" customHeight="true" outlineLevel="0" collapsed="false">
      <c r="A2257" s="1" t="n">
        <v>2307</v>
      </c>
      <c r="B2257" s="1" t="n">
        <v>237</v>
      </c>
      <c r="C2257" s="1" t="n">
        <v>47</v>
      </c>
      <c r="D2257" s="1" t="s">
        <v>205</v>
      </c>
      <c r="E2257" s="1" t="n">
        <v>9</v>
      </c>
      <c r="F2257" s="1" t="n">
        <v>506.19</v>
      </c>
      <c r="G2257" s="1" t="n">
        <v>0.1</v>
      </c>
      <c r="H2257" s="1" t="s">
        <v>1336</v>
      </c>
      <c r="I2257" s="1" t="n">
        <v>4100.14</v>
      </c>
      <c r="J2257" s="1" t="str">
        <f aca="false">VLOOKUP(B2257,Customers!$A$2:$G$502,6,FALSE())</f>
        <v>Consumer</v>
      </c>
      <c r="K2257" s="1" t="str">
        <f aca="false">VLOOKUP(C2257,Products!$A$2:$E$62,3,FALSE())</f>
        <v>Software</v>
      </c>
      <c r="L2257" s="1" t="str">
        <f aca="false">TEXT(D2257,"yyyy-mm")</f>
        <v>2024-07</v>
      </c>
    </row>
    <row r="2258" customFormat="false" ht="15" hidden="false" customHeight="true" outlineLevel="0" collapsed="false">
      <c r="A2258" s="1" t="n">
        <v>2308</v>
      </c>
      <c r="B2258" s="1" t="n">
        <v>71</v>
      </c>
      <c r="C2258" s="1" t="n">
        <v>20</v>
      </c>
      <c r="D2258" s="1" t="s">
        <v>1652</v>
      </c>
      <c r="E2258" s="1" t="n">
        <v>4</v>
      </c>
      <c r="F2258" s="1" t="n">
        <v>426.15</v>
      </c>
      <c r="G2258" s="1" t="n">
        <v>0.1</v>
      </c>
      <c r="H2258" s="1" t="s">
        <v>1336</v>
      </c>
      <c r="I2258" s="1" t="n">
        <v>1534.14</v>
      </c>
      <c r="J2258" s="1" t="str">
        <f aca="false">VLOOKUP(B2258,Customers!$A$2:$G$502,6,FALSE())</f>
        <v>Corporate</v>
      </c>
      <c r="K2258" s="1" t="str">
        <f aca="false">VLOOKUP(C2258,Products!$A$2:$E$62,3,FALSE())</f>
        <v>Office Supplies</v>
      </c>
      <c r="L2258" s="1" t="str">
        <f aca="false">TEXT(D2258,"yyyy-mm")</f>
        <v>2024-06</v>
      </c>
    </row>
    <row r="2259" customFormat="false" ht="15" hidden="false" customHeight="true" outlineLevel="0" collapsed="false">
      <c r="A2259" s="1" t="n">
        <v>2309</v>
      </c>
      <c r="B2259" s="1" t="n">
        <v>237</v>
      </c>
      <c r="C2259" s="1" t="n">
        <v>1</v>
      </c>
      <c r="D2259" s="1" t="s">
        <v>325</v>
      </c>
      <c r="E2259" s="1" t="n">
        <v>2</v>
      </c>
      <c r="F2259" s="1" t="n">
        <v>327.32</v>
      </c>
      <c r="G2259" s="1" t="n">
        <v>0.2</v>
      </c>
      <c r="H2259" s="1" t="s">
        <v>1336</v>
      </c>
      <c r="I2259" s="1" t="n">
        <v>523.71</v>
      </c>
      <c r="J2259" s="1" t="str">
        <f aca="false">VLOOKUP(B2259,Customers!$A$2:$G$502,6,FALSE())</f>
        <v>Consumer</v>
      </c>
      <c r="K2259" s="1" t="str">
        <f aca="false">VLOOKUP(C2259,Products!$A$2:$E$62,3,FALSE())</f>
        <v>Electronics</v>
      </c>
      <c r="L2259" s="1" t="str">
        <f aca="false">TEXT(D2259,"yyyy-mm")</f>
        <v>2023-12</v>
      </c>
    </row>
    <row r="2260" customFormat="false" ht="15" hidden="false" customHeight="true" outlineLevel="0" collapsed="false">
      <c r="A2260" s="1" t="n">
        <v>2310</v>
      </c>
      <c r="B2260" s="1" t="n">
        <v>416</v>
      </c>
      <c r="C2260" s="1" t="n">
        <v>7</v>
      </c>
      <c r="D2260" s="1" t="s">
        <v>1539</v>
      </c>
      <c r="E2260" s="1" t="n">
        <v>5</v>
      </c>
      <c r="F2260" s="1" t="n">
        <v>460</v>
      </c>
      <c r="G2260" s="1" t="n">
        <v>0.2</v>
      </c>
      <c r="H2260" s="1" t="s">
        <v>1346</v>
      </c>
      <c r="I2260" s="1" t="n">
        <v>1840</v>
      </c>
      <c r="J2260" s="1" t="str">
        <f aca="false">VLOOKUP(B2260,Customers!$A$2:$G$502,6,FALSE())</f>
        <v>Small Business</v>
      </c>
      <c r="K2260" s="1" t="str">
        <f aca="false">VLOOKUP(C2260,Products!$A$2:$E$62,3,FALSE())</f>
        <v>Electronics</v>
      </c>
      <c r="L2260" s="1" t="str">
        <f aca="false">TEXT(D2260,"yyyy-mm")</f>
        <v>2023-09</v>
      </c>
    </row>
    <row r="2261" customFormat="false" ht="15" hidden="false" customHeight="true" outlineLevel="0" collapsed="false">
      <c r="A2261" s="1" t="n">
        <v>2311</v>
      </c>
      <c r="B2261" s="1" t="n">
        <v>201</v>
      </c>
      <c r="C2261" s="1" t="n">
        <v>34</v>
      </c>
      <c r="D2261" s="1" t="s">
        <v>1570</v>
      </c>
      <c r="E2261" s="1" t="n">
        <v>3</v>
      </c>
      <c r="F2261" s="1" t="n">
        <v>116.85</v>
      </c>
      <c r="G2261" s="1" t="n">
        <v>0</v>
      </c>
      <c r="H2261" s="1" t="s">
        <v>1336</v>
      </c>
      <c r="I2261" s="1" t="n">
        <v>350.55</v>
      </c>
      <c r="J2261" s="1" t="str">
        <f aca="false">VLOOKUP(B2261,Customers!$A$2:$G$502,6,FALSE())</f>
        <v>Corporate</v>
      </c>
      <c r="K2261" s="1" t="str">
        <f aca="false">VLOOKUP(C2261,Products!$A$2:$E$62,3,FALSE())</f>
        <v>Office Supplies</v>
      </c>
      <c r="L2261" s="1" t="str">
        <f aca="false">TEXT(D2261,"yyyy-mm")</f>
        <v>2023-04</v>
      </c>
    </row>
    <row r="2262" customFormat="false" ht="15" hidden="false" customHeight="true" outlineLevel="0" collapsed="false">
      <c r="A2262" s="1" t="n">
        <v>2312</v>
      </c>
      <c r="B2262" s="1" t="n">
        <v>175</v>
      </c>
      <c r="C2262" s="1" t="n">
        <v>49</v>
      </c>
      <c r="D2262" s="1" t="s">
        <v>1354</v>
      </c>
      <c r="E2262" s="1" t="n">
        <v>9</v>
      </c>
      <c r="F2262" s="1" t="n">
        <v>325.17</v>
      </c>
      <c r="G2262" s="1" t="n">
        <v>0.2</v>
      </c>
      <c r="H2262" s="1" t="s">
        <v>1336</v>
      </c>
      <c r="I2262" s="1" t="n">
        <v>2341.22</v>
      </c>
      <c r="J2262" s="1" t="str">
        <f aca="false">VLOOKUP(B2262,Customers!$A$2:$G$502,6,FALSE())</f>
        <v>Consumer</v>
      </c>
      <c r="K2262" s="1" t="str">
        <f aca="false">VLOOKUP(C2262,Products!$A$2:$E$62,3,FALSE())</f>
        <v>Software</v>
      </c>
      <c r="L2262" s="1" t="str">
        <f aca="false">TEXT(D2262,"yyyy-mm")</f>
        <v>2024-03</v>
      </c>
    </row>
    <row r="2263" customFormat="false" ht="15" hidden="false" customHeight="true" outlineLevel="0" collapsed="false">
      <c r="A2263" s="1" t="n">
        <v>2313</v>
      </c>
      <c r="B2263" s="1" t="n">
        <v>252</v>
      </c>
      <c r="C2263" s="1" t="n">
        <v>54</v>
      </c>
      <c r="D2263" s="1" t="s">
        <v>205</v>
      </c>
      <c r="E2263" s="1" t="n">
        <v>4</v>
      </c>
      <c r="F2263" s="1" t="n">
        <v>312.01</v>
      </c>
      <c r="G2263" s="1" t="n">
        <v>0</v>
      </c>
      <c r="H2263" s="1" t="s">
        <v>1336</v>
      </c>
      <c r="I2263" s="1" t="n">
        <v>1248.04</v>
      </c>
      <c r="J2263" s="1" t="str">
        <f aca="false">VLOOKUP(B2263,Customers!$A$2:$G$502,6,FALSE())</f>
        <v>Consumer</v>
      </c>
      <c r="K2263" s="1" t="str">
        <f aca="false">VLOOKUP(C2263,Products!$A$2:$E$62,3,FALSE())</f>
        <v>Software</v>
      </c>
      <c r="L2263" s="1" t="str">
        <f aca="false">TEXT(D2263,"yyyy-mm")</f>
        <v>2024-07</v>
      </c>
    </row>
    <row r="2264" customFormat="false" ht="15" hidden="false" customHeight="true" outlineLevel="0" collapsed="false">
      <c r="A2264" s="1" t="n">
        <v>2314</v>
      </c>
      <c r="B2264" s="1" t="n">
        <v>12</v>
      </c>
      <c r="C2264" s="1" t="n">
        <v>48</v>
      </c>
      <c r="D2264" s="1" t="s">
        <v>1463</v>
      </c>
      <c r="E2264" s="1" t="n">
        <v>6</v>
      </c>
      <c r="F2264" s="1" t="n">
        <v>493.53</v>
      </c>
      <c r="G2264" s="1" t="n">
        <v>0.15</v>
      </c>
      <c r="H2264" s="1" t="s">
        <v>1346</v>
      </c>
      <c r="I2264" s="1" t="n">
        <v>2517</v>
      </c>
      <c r="J2264" s="1" t="str">
        <f aca="false">VLOOKUP(B2264,Customers!$A$2:$G$502,6,FALSE())</f>
        <v>Small Business</v>
      </c>
      <c r="K2264" s="1" t="str">
        <f aca="false">VLOOKUP(C2264,Products!$A$2:$E$62,3,FALSE())</f>
        <v>Software</v>
      </c>
      <c r="L2264" s="1" t="str">
        <f aca="false">TEXT(D2264,"yyyy-mm")</f>
        <v>2024-09</v>
      </c>
    </row>
    <row r="2265" customFormat="false" ht="15" hidden="false" customHeight="true" outlineLevel="0" collapsed="false">
      <c r="A2265" s="1" t="n">
        <v>2315</v>
      </c>
      <c r="B2265" s="1" t="n">
        <v>86</v>
      </c>
      <c r="C2265" s="1" t="n">
        <v>54</v>
      </c>
      <c r="D2265" s="1" t="s">
        <v>1570</v>
      </c>
      <c r="E2265" s="1" t="n">
        <v>2</v>
      </c>
      <c r="F2265" s="1" t="n">
        <v>312.01</v>
      </c>
      <c r="G2265" s="1" t="n">
        <v>0.05</v>
      </c>
      <c r="H2265" s="1" t="s">
        <v>1336</v>
      </c>
      <c r="I2265" s="1" t="n">
        <v>592.82</v>
      </c>
      <c r="J2265" s="1" t="str">
        <f aca="false">VLOOKUP(B2265,Customers!$A$2:$G$502,6,FALSE())</f>
        <v>Small Business</v>
      </c>
      <c r="K2265" s="1" t="str">
        <f aca="false">VLOOKUP(C2265,Products!$A$2:$E$62,3,FALSE())</f>
        <v>Software</v>
      </c>
      <c r="L2265" s="1" t="str">
        <f aca="false">TEXT(D2265,"yyyy-mm")</f>
        <v>2023-04</v>
      </c>
    </row>
    <row r="2266" customFormat="false" ht="15" hidden="false" customHeight="true" outlineLevel="0" collapsed="false">
      <c r="A2266" s="1" t="n">
        <v>2316</v>
      </c>
      <c r="B2266" s="1" t="n">
        <v>218</v>
      </c>
      <c r="C2266" s="1" t="n">
        <v>60</v>
      </c>
      <c r="D2266" s="1" t="s">
        <v>1551</v>
      </c>
      <c r="E2266" s="1" t="n">
        <v>6</v>
      </c>
      <c r="F2266" s="1" t="n">
        <v>584.98</v>
      </c>
      <c r="G2266" s="1" t="n">
        <v>0.1</v>
      </c>
      <c r="H2266" s="1" t="s">
        <v>1336</v>
      </c>
      <c r="I2266" s="1" t="n">
        <v>3158.89</v>
      </c>
      <c r="J2266" s="1" t="str">
        <f aca="false">VLOOKUP(B2266,Customers!$A$2:$G$502,6,FALSE())</f>
        <v>Corporate</v>
      </c>
      <c r="K2266" s="1" t="str">
        <f aca="false">VLOOKUP(C2266,Products!$A$2:$E$62,3,FALSE())</f>
        <v>Furniture</v>
      </c>
      <c r="L2266" s="1" t="str">
        <f aca="false">TEXT(D2266,"yyyy-mm")</f>
        <v>2024-03</v>
      </c>
    </row>
    <row r="2267" customFormat="false" ht="15" hidden="false" customHeight="true" outlineLevel="0" collapsed="false">
      <c r="A2267" s="1" t="n">
        <v>2317</v>
      </c>
      <c r="B2267" s="1" t="n">
        <v>337</v>
      </c>
      <c r="C2267" s="1" t="n">
        <v>21</v>
      </c>
      <c r="D2267" s="1" t="s">
        <v>1226</v>
      </c>
      <c r="E2267" s="1" t="n">
        <v>3</v>
      </c>
      <c r="F2267" s="1" t="n">
        <v>84.91</v>
      </c>
      <c r="G2267" s="1" t="n">
        <v>0.1</v>
      </c>
      <c r="H2267" s="1" t="s">
        <v>1336</v>
      </c>
      <c r="I2267" s="1" t="n">
        <v>229.26</v>
      </c>
      <c r="J2267" s="1" t="str">
        <f aca="false">VLOOKUP(B2267,Customers!$A$2:$G$502,6,FALSE())</f>
        <v>Corporate</v>
      </c>
      <c r="K2267" s="1" t="str">
        <f aca="false">VLOOKUP(C2267,Products!$A$2:$E$62,3,FALSE())</f>
        <v>Office Supplies</v>
      </c>
      <c r="L2267" s="1" t="str">
        <f aca="false">TEXT(D2267,"yyyy-mm")</f>
        <v>2024-05</v>
      </c>
    </row>
    <row r="2268" customFormat="false" ht="15" hidden="false" customHeight="true" outlineLevel="0" collapsed="false">
      <c r="A2268" s="1" t="n">
        <v>2318</v>
      </c>
      <c r="B2268" s="1" t="n">
        <v>394</v>
      </c>
      <c r="C2268" s="1" t="n">
        <v>54</v>
      </c>
      <c r="D2268" s="1" t="s">
        <v>432</v>
      </c>
      <c r="E2268" s="1" t="n">
        <v>9</v>
      </c>
      <c r="F2268" s="1" t="n">
        <v>312.01</v>
      </c>
      <c r="G2268" s="1" t="n">
        <v>0</v>
      </c>
      <c r="H2268" s="1" t="s">
        <v>1336</v>
      </c>
      <c r="I2268" s="1" t="n">
        <v>2808.09</v>
      </c>
      <c r="J2268" s="1" t="str">
        <f aca="false">VLOOKUP(B2268,Customers!$A$2:$G$502,6,FALSE())</f>
        <v>Corporate</v>
      </c>
      <c r="K2268" s="1" t="str">
        <f aca="false">VLOOKUP(C2268,Products!$A$2:$E$62,3,FALSE())</f>
        <v>Software</v>
      </c>
      <c r="L2268" s="1" t="str">
        <f aca="false">TEXT(D2268,"yyyy-mm")</f>
        <v>2024-11</v>
      </c>
    </row>
    <row r="2269" customFormat="false" ht="15" hidden="false" customHeight="true" outlineLevel="0" collapsed="false">
      <c r="A2269" s="1" t="n">
        <v>2319</v>
      </c>
      <c r="B2269" s="1" t="n">
        <v>63</v>
      </c>
      <c r="C2269" s="1" t="n">
        <v>37</v>
      </c>
      <c r="D2269" s="1" t="s">
        <v>1365</v>
      </c>
      <c r="E2269" s="1" t="n">
        <v>2</v>
      </c>
      <c r="F2269" s="1" t="n">
        <v>13.95</v>
      </c>
      <c r="G2269" s="1" t="n">
        <v>0.2</v>
      </c>
      <c r="H2269" s="1" t="s">
        <v>1336</v>
      </c>
      <c r="I2269" s="1" t="n">
        <v>22.32</v>
      </c>
      <c r="J2269" s="1" t="str">
        <f aca="false">VLOOKUP(B2269,Customers!$A$2:$G$502,6,FALSE())</f>
        <v>Consumer</v>
      </c>
      <c r="K2269" s="1" t="str">
        <f aca="false">VLOOKUP(C2269,Products!$A$2:$E$62,3,FALSE())</f>
        <v>Software</v>
      </c>
      <c r="L2269" s="1" t="str">
        <f aca="false">TEXT(D2269,"yyyy-mm")</f>
        <v>2023-09</v>
      </c>
    </row>
    <row r="2270" customFormat="false" ht="15" hidden="false" customHeight="true" outlineLevel="0" collapsed="false">
      <c r="A2270" s="1" t="n">
        <v>2320</v>
      </c>
      <c r="B2270" s="1" t="n">
        <v>437</v>
      </c>
      <c r="C2270" s="1" t="n">
        <v>37</v>
      </c>
      <c r="D2270" s="1" t="s">
        <v>1383</v>
      </c>
      <c r="E2270" s="1" t="n">
        <v>9</v>
      </c>
      <c r="F2270" s="1" t="n">
        <v>13.95</v>
      </c>
      <c r="G2270" s="1" t="n">
        <v>0</v>
      </c>
      <c r="H2270" s="1" t="s">
        <v>1336</v>
      </c>
      <c r="I2270" s="1" t="n">
        <v>125.55</v>
      </c>
      <c r="J2270" s="1" t="str">
        <f aca="false">VLOOKUP(B2270,Customers!$A$2:$G$502,6,FALSE())</f>
        <v>Small Business</v>
      </c>
      <c r="K2270" s="1" t="str">
        <f aca="false">VLOOKUP(C2270,Products!$A$2:$E$62,3,FALSE())</f>
        <v>Software</v>
      </c>
      <c r="L2270" s="1" t="str">
        <f aca="false">TEXT(D2270,"yyyy-mm")</f>
        <v>2024-04</v>
      </c>
    </row>
    <row r="2271" customFormat="false" ht="15" hidden="false" customHeight="true" outlineLevel="0" collapsed="false">
      <c r="A2271" s="1" t="n">
        <v>2321</v>
      </c>
      <c r="B2271" s="1" t="n">
        <v>219</v>
      </c>
      <c r="C2271" s="1" t="n">
        <v>3</v>
      </c>
      <c r="D2271" s="1" t="s">
        <v>1435</v>
      </c>
      <c r="E2271" s="1" t="n">
        <v>5</v>
      </c>
      <c r="F2271" s="1" t="n">
        <v>89.39</v>
      </c>
      <c r="G2271" s="1" t="n">
        <v>0</v>
      </c>
      <c r="H2271" s="1" t="s">
        <v>1336</v>
      </c>
      <c r="I2271" s="1" t="n">
        <v>446.95</v>
      </c>
      <c r="J2271" s="1" t="str">
        <f aca="false">VLOOKUP(B2271,Customers!$A$2:$G$502,6,FALSE())</f>
        <v>Small Business</v>
      </c>
      <c r="K2271" s="1" t="str">
        <f aca="false">VLOOKUP(C2271,Products!$A$2:$E$62,3,FALSE())</f>
        <v>Electronics</v>
      </c>
      <c r="L2271" s="1" t="str">
        <f aca="false">TEXT(D2271,"yyyy-mm")</f>
        <v>2024-08</v>
      </c>
    </row>
    <row r="2272" customFormat="false" ht="15" hidden="false" customHeight="true" outlineLevel="0" collapsed="false">
      <c r="A2272" s="1" t="n">
        <v>2322</v>
      </c>
      <c r="B2272" s="1" t="n">
        <v>258</v>
      </c>
      <c r="C2272" s="1" t="n">
        <v>46</v>
      </c>
      <c r="D2272" s="1" t="s">
        <v>1688</v>
      </c>
      <c r="E2272" s="1" t="n">
        <v>8</v>
      </c>
      <c r="F2272" s="1" t="n">
        <v>94.92</v>
      </c>
      <c r="G2272" s="1" t="n">
        <v>0</v>
      </c>
      <c r="H2272" s="1" t="s">
        <v>1336</v>
      </c>
      <c r="I2272" s="1" t="n">
        <v>759.36</v>
      </c>
      <c r="J2272" s="1" t="str">
        <f aca="false">VLOOKUP(B2272,Customers!$A$2:$G$502,6,FALSE())</f>
        <v>Small Business</v>
      </c>
      <c r="K2272" s="1" t="str">
        <f aca="false">VLOOKUP(C2272,Products!$A$2:$E$62,3,FALSE())</f>
        <v>Software</v>
      </c>
      <c r="L2272" s="1" t="str">
        <f aca="false">TEXT(D2272,"yyyy-mm")</f>
        <v>2023-05</v>
      </c>
    </row>
    <row r="2273" customFormat="false" ht="15" hidden="false" customHeight="true" outlineLevel="0" collapsed="false">
      <c r="A2273" s="1" t="n">
        <v>2323</v>
      </c>
      <c r="B2273" s="1" t="n">
        <v>237</v>
      </c>
      <c r="C2273" s="1" t="n">
        <v>14</v>
      </c>
      <c r="D2273" s="1" t="s">
        <v>106</v>
      </c>
      <c r="E2273" s="1" t="n">
        <v>2</v>
      </c>
      <c r="F2273" s="1" t="n">
        <v>135.27</v>
      </c>
      <c r="G2273" s="1" t="n">
        <v>0</v>
      </c>
      <c r="H2273" s="1" t="s">
        <v>1346</v>
      </c>
      <c r="I2273" s="1" t="n">
        <v>270.54</v>
      </c>
      <c r="J2273" s="1" t="str">
        <f aca="false">VLOOKUP(B2273,Customers!$A$2:$G$502,6,FALSE())</f>
        <v>Consumer</v>
      </c>
      <c r="K2273" s="1" t="str">
        <f aca="false">VLOOKUP(C2273,Products!$A$2:$E$62,3,FALSE())</f>
        <v>Electronics</v>
      </c>
      <c r="L2273" s="1" t="str">
        <f aca="false">TEXT(D2273,"yyyy-mm")</f>
        <v>2024-02</v>
      </c>
    </row>
    <row r="2274" customFormat="false" ht="15" hidden="false" customHeight="true" outlineLevel="0" collapsed="false">
      <c r="A2274" s="1" t="n">
        <v>2324</v>
      </c>
      <c r="B2274" s="1" t="n">
        <v>106</v>
      </c>
      <c r="C2274" s="1" t="n">
        <v>25</v>
      </c>
      <c r="D2274" s="1" t="s">
        <v>594</v>
      </c>
      <c r="E2274" s="1" t="n">
        <v>6</v>
      </c>
      <c r="F2274" s="1" t="n">
        <v>300.49</v>
      </c>
      <c r="G2274" s="1" t="n">
        <v>0</v>
      </c>
      <c r="H2274" s="1" t="s">
        <v>1346</v>
      </c>
      <c r="I2274" s="1" t="n">
        <v>1802.94</v>
      </c>
      <c r="J2274" s="1" t="str">
        <f aca="false">VLOOKUP(B2274,Customers!$A$2:$G$502,6,FALSE())</f>
        <v>Small Business</v>
      </c>
      <c r="K2274" s="1" t="str">
        <f aca="false">VLOOKUP(C2274,Products!$A$2:$E$62,3,FALSE())</f>
        <v>Office Supplies</v>
      </c>
      <c r="L2274" s="1" t="str">
        <f aca="false">TEXT(D2274,"yyyy-mm")</f>
        <v>2024-02</v>
      </c>
    </row>
    <row r="2275" customFormat="false" ht="15" hidden="false" customHeight="true" outlineLevel="0" collapsed="false">
      <c r="A2275" s="1" t="n">
        <v>2325</v>
      </c>
      <c r="B2275" s="1" t="n">
        <v>307</v>
      </c>
      <c r="C2275" s="1" t="n">
        <v>26</v>
      </c>
      <c r="D2275" s="1" t="s">
        <v>1583</v>
      </c>
      <c r="E2275" s="1" t="n">
        <v>3</v>
      </c>
      <c r="F2275" s="1" t="n">
        <v>733.85</v>
      </c>
      <c r="G2275" s="1" t="n">
        <v>0</v>
      </c>
      <c r="H2275" s="1" t="s">
        <v>1336</v>
      </c>
      <c r="I2275" s="1" t="n">
        <v>2201.55</v>
      </c>
      <c r="J2275" s="1" t="str">
        <f aca="false">VLOOKUP(B2275,Customers!$A$2:$G$502,6,FALSE())</f>
        <v>Corporate</v>
      </c>
      <c r="K2275" s="1" t="str">
        <f aca="false">VLOOKUP(C2275,Products!$A$2:$E$62,3,FALSE())</f>
        <v>Office Supplies</v>
      </c>
      <c r="L2275" s="1" t="str">
        <f aca="false">TEXT(D2275,"yyyy-mm")</f>
        <v>2024-08</v>
      </c>
    </row>
    <row r="2276" customFormat="false" ht="15" hidden="false" customHeight="true" outlineLevel="0" collapsed="false">
      <c r="A2276" s="1" t="n">
        <v>2326</v>
      </c>
      <c r="B2276" s="1" t="n">
        <v>321</v>
      </c>
      <c r="C2276" s="1" t="n">
        <v>22</v>
      </c>
      <c r="D2276" s="1" t="s">
        <v>1558</v>
      </c>
      <c r="E2276" s="1" t="n">
        <v>5</v>
      </c>
      <c r="F2276" s="1" t="n">
        <v>38.57</v>
      </c>
      <c r="G2276" s="1" t="n">
        <v>0</v>
      </c>
      <c r="H2276" s="1" t="s">
        <v>1370</v>
      </c>
      <c r="I2276" s="1" t="n">
        <v>192.85</v>
      </c>
      <c r="J2276" s="1" t="str">
        <f aca="false">VLOOKUP(B2276,Customers!$A$2:$G$502,6,FALSE())</f>
        <v>Small Business</v>
      </c>
      <c r="K2276" s="1" t="str">
        <f aca="false">VLOOKUP(C2276,Products!$A$2:$E$62,3,FALSE())</f>
        <v>Office Supplies</v>
      </c>
      <c r="L2276" s="1" t="str">
        <f aca="false">TEXT(D2276,"yyyy-mm")</f>
        <v>2024-07</v>
      </c>
    </row>
    <row r="2277" customFormat="false" ht="15" hidden="false" customHeight="true" outlineLevel="0" collapsed="false">
      <c r="A2277" s="1" t="n">
        <v>2327</v>
      </c>
      <c r="B2277" s="1" t="n">
        <v>188</v>
      </c>
      <c r="C2277" s="1" t="n">
        <v>41</v>
      </c>
      <c r="D2277" s="1" t="s">
        <v>274</v>
      </c>
      <c r="E2277" s="1" t="n">
        <v>8</v>
      </c>
      <c r="F2277" s="1" t="n">
        <v>594.54</v>
      </c>
      <c r="G2277" s="1" t="n">
        <v>0.05</v>
      </c>
      <c r="H2277" s="1" t="s">
        <v>1336</v>
      </c>
      <c r="I2277" s="1" t="n">
        <v>4518.5</v>
      </c>
      <c r="J2277" s="1" t="str">
        <f aca="false">VLOOKUP(B2277,Customers!$A$2:$G$502,6,FALSE())</f>
        <v>Small Business</v>
      </c>
      <c r="K2277" s="1" t="str">
        <f aca="false">VLOOKUP(C2277,Products!$A$2:$E$62,3,FALSE())</f>
        <v>Software</v>
      </c>
      <c r="L2277" s="1" t="str">
        <f aca="false">TEXT(D2277,"yyyy-mm")</f>
        <v>2023-10</v>
      </c>
    </row>
    <row r="2278" customFormat="false" ht="15" hidden="false" customHeight="true" outlineLevel="0" collapsed="false">
      <c r="A2278" s="1" t="n">
        <v>2328</v>
      </c>
      <c r="B2278" s="1" t="n">
        <v>193</v>
      </c>
      <c r="C2278" s="1" t="n">
        <v>16</v>
      </c>
      <c r="D2278" s="1" t="s">
        <v>937</v>
      </c>
      <c r="E2278" s="1" t="n">
        <v>1</v>
      </c>
      <c r="F2278" s="1" t="n">
        <v>330.91</v>
      </c>
      <c r="G2278" s="1" t="n">
        <v>0.05</v>
      </c>
      <c r="H2278" s="1" t="s">
        <v>1336</v>
      </c>
      <c r="I2278" s="1" t="n">
        <v>314.36</v>
      </c>
      <c r="J2278" s="1" t="str">
        <f aca="false">VLOOKUP(B2278,Customers!$A$2:$G$502,6,FALSE())</f>
        <v>Consumer</v>
      </c>
      <c r="K2278" s="1" t="str">
        <f aca="false">VLOOKUP(C2278,Products!$A$2:$E$62,3,FALSE())</f>
        <v>Electronics</v>
      </c>
      <c r="L2278" s="1" t="str">
        <f aca="false">TEXT(D2278,"yyyy-mm")</f>
        <v>2024-08</v>
      </c>
    </row>
    <row r="2279" customFormat="false" ht="15" hidden="false" customHeight="true" outlineLevel="0" collapsed="false">
      <c r="A2279" s="1" t="n">
        <v>2329</v>
      </c>
      <c r="B2279" s="1" t="n">
        <v>195</v>
      </c>
      <c r="C2279" s="1" t="n">
        <v>19</v>
      </c>
      <c r="D2279" s="1" t="s">
        <v>1526</v>
      </c>
      <c r="E2279" s="1" t="n">
        <v>5</v>
      </c>
      <c r="F2279" s="1" t="n">
        <v>163.64</v>
      </c>
      <c r="G2279" s="1" t="n">
        <v>0.05</v>
      </c>
      <c r="H2279" s="1" t="s">
        <v>1370</v>
      </c>
      <c r="I2279" s="1" t="n">
        <v>777.29</v>
      </c>
      <c r="J2279" s="1" t="str">
        <f aca="false">VLOOKUP(B2279,Customers!$A$2:$G$502,6,FALSE())</f>
        <v>Corporate</v>
      </c>
      <c r="K2279" s="1" t="str">
        <f aca="false">VLOOKUP(C2279,Products!$A$2:$E$62,3,FALSE())</f>
        <v>Office Supplies</v>
      </c>
      <c r="L2279" s="1" t="str">
        <f aca="false">TEXT(D2279,"yyyy-mm")</f>
        <v>2023-09</v>
      </c>
    </row>
    <row r="2280" customFormat="false" ht="15" hidden="false" customHeight="true" outlineLevel="0" collapsed="false">
      <c r="A2280" s="1" t="n">
        <v>2330</v>
      </c>
      <c r="B2280" s="1" t="n">
        <v>467</v>
      </c>
      <c r="C2280" s="1" t="n">
        <v>16</v>
      </c>
      <c r="D2280" s="1" t="s">
        <v>1423</v>
      </c>
      <c r="E2280" s="1" t="n">
        <v>3</v>
      </c>
      <c r="F2280" s="1" t="n">
        <v>330.91</v>
      </c>
      <c r="G2280" s="1" t="n">
        <v>0.05</v>
      </c>
      <c r="H2280" s="1" t="s">
        <v>1336</v>
      </c>
      <c r="I2280" s="1" t="n">
        <v>943.09</v>
      </c>
      <c r="J2280" s="1" t="str">
        <f aca="false">VLOOKUP(B2280,Customers!$A$2:$G$502,6,FALSE())</f>
        <v>Corporate</v>
      </c>
      <c r="K2280" s="1" t="str">
        <f aca="false">VLOOKUP(C2280,Products!$A$2:$E$62,3,FALSE())</f>
        <v>Electronics</v>
      </c>
      <c r="L2280" s="1" t="str">
        <f aca="false">TEXT(D2280,"yyyy-mm")</f>
        <v>2024-04</v>
      </c>
    </row>
    <row r="2281" customFormat="false" ht="15" hidden="false" customHeight="true" outlineLevel="0" collapsed="false">
      <c r="A2281" s="1" t="n">
        <v>2331</v>
      </c>
      <c r="B2281" s="1" t="n">
        <v>393</v>
      </c>
      <c r="C2281" s="1" t="n">
        <v>42</v>
      </c>
      <c r="D2281" s="1" t="s">
        <v>1347</v>
      </c>
      <c r="E2281" s="1" t="n">
        <v>4</v>
      </c>
      <c r="F2281" s="1" t="n">
        <v>174.48</v>
      </c>
      <c r="G2281" s="1" t="n">
        <v>0.05</v>
      </c>
      <c r="H2281" s="1" t="s">
        <v>1336</v>
      </c>
      <c r="I2281" s="1" t="n">
        <v>663.02</v>
      </c>
      <c r="J2281" s="1" t="str">
        <f aca="false">VLOOKUP(B2281,Customers!$A$2:$G$502,6,FALSE())</f>
        <v>Consumer</v>
      </c>
      <c r="K2281" s="1" t="str">
        <f aca="false">VLOOKUP(C2281,Products!$A$2:$E$62,3,FALSE())</f>
        <v>Software</v>
      </c>
      <c r="L2281" s="1" t="str">
        <f aca="false">TEXT(D2281,"yyyy-mm")</f>
        <v>2024-01</v>
      </c>
    </row>
    <row r="2282" customFormat="false" ht="15" hidden="false" customHeight="true" outlineLevel="0" collapsed="false">
      <c r="A2282" s="1" t="n">
        <v>2332</v>
      </c>
      <c r="B2282" s="1" t="n">
        <v>194</v>
      </c>
      <c r="C2282" s="1" t="n">
        <v>52</v>
      </c>
      <c r="D2282" s="1" t="s">
        <v>429</v>
      </c>
      <c r="E2282" s="1" t="n">
        <v>2</v>
      </c>
      <c r="F2282" s="1" t="n">
        <v>207.67</v>
      </c>
      <c r="G2282" s="1" t="n">
        <v>0</v>
      </c>
      <c r="H2282" s="1" t="s">
        <v>1336</v>
      </c>
      <c r="I2282" s="1" t="n">
        <v>415.34</v>
      </c>
      <c r="J2282" s="1" t="str">
        <f aca="false">VLOOKUP(B2282,Customers!$A$2:$G$502,6,FALSE())</f>
        <v>Corporate</v>
      </c>
      <c r="K2282" s="1" t="str">
        <f aca="false">VLOOKUP(C2282,Products!$A$2:$E$62,3,FALSE())</f>
        <v>Software</v>
      </c>
      <c r="L2282" s="1" t="str">
        <f aca="false">TEXT(D2282,"yyyy-mm")</f>
        <v>2023-09</v>
      </c>
    </row>
    <row r="2283" customFormat="false" ht="15" hidden="false" customHeight="true" outlineLevel="0" collapsed="false">
      <c r="A2283" s="1" t="n">
        <v>2333</v>
      </c>
      <c r="B2283" s="1" t="n">
        <v>54</v>
      </c>
      <c r="C2283" s="1" t="n">
        <v>40</v>
      </c>
      <c r="D2283" s="1" t="s">
        <v>109</v>
      </c>
      <c r="E2283" s="1" t="n">
        <v>9</v>
      </c>
      <c r="F2283" s="1" t="n">
        <v>193.02</v>
      </c>
      <c r="G2283" s="1" t="n">
        <v>0.05</v>
      </c>
      <c r="H2283" s="1" t="s">
        <v>1370</v>
      </c>
      <c r="I2283" s="1" t="n">
        <v>1650.32</v>
      </c>
      <c r="J2283" s="1" t="str">
        <f aca="false">VLOOKUP(B2283,Customers!$A$2:$G$502,6,FALSE())</f>
        <v>Consumer</v>
      </c>
      <c r="K2283" s="1" t="str">
        <f aca="false">VLOOKUP(C2283,Products!$A$2:$E$62,3,FALSE())</f>
        <v>Software</v>
      </c>
      <c r="L2283" s="1" t="str">
        <f aca="false">TEXT(D2283,"yyyy-mm")</f>
        <v>2024-12</v>
      </c>
    </row>
    <row r="2284" customFormat="false" ht="15" hidden="false" customHeight="true" outlineLevel="0" collapsed="false">
      <c r="A2284" s="1" t="n">
        <v>2334</v>
      </c>
      <c r="B2284" s="1" t="n">
        <v>447</v>
      </c>
      <c r="C2284" s="1" t="n">
        <v>53</v>
      </c>
      <c r="D2284" s="1" t="s">
        <v>363</v>
      </c>
      <c r="E2284" s="1" t="n">
        <v>3</v>
      </c>
      <c r="F2284" s="1" t="n">
        <v>509.98</v>
      </c>
      <c r="G2284" s="1" t="n">
        <v>0</v>
      </c>
      <c r="H2284" s="1" t="s">
        <v>1336</v>
      </c>
      <c r="I2284" s="1" t="n">
        <v>1529.94</v>
      </c>
      <c r="J2284" s="1" t="str">
        <f aca="false">VLOOKUP(B2284,Customers!$A$2:$G$502,6,FALSE())</f>
        <v>Small Business</v>
      </c>
      <c r="K2284" s="1" t="str">
        <f aca="false">VLOOKUP(C2284,Products!$A$2:$E$62,3,FALSE())</f>
        <v>Software</v>
      </c>
      <c r="L2284" s="1" t="str">
        <f aca="false">TEXT(D2284,"yyyy-mm")</f>
        <v>2024-10</v>
      </c>
    </row>
    <row r="2285" customFormat="false" ht="15" hidden="false" customHeight="true" outlineLevel="0" collapsed="false">
      <c r="A2285" s="1" t="n">
        <v>2336</v>
      </c>
      <c r="B2285" s="1" t="n">
        <v>74</v>
      </c>
      <c r="C2285" s="1" t="n">
        <v>32</v>
      </c>
      <c r="D2285" s="1" t="s">
        <v>120</v>
      </c>
      <c r="E2285" s="1" t="n">
        <v>9</v>
      </c>
      <c r="F2285" s="1" t="n">
        <v>492.27</v>
      </c>
      <c r="G2285" s="1" t="n">
        <v>0</v>
      </c>
      <c r="H2285" s="1" t="s">
        <v>1336</v>
      </c>
      <c r="I2285" s="1" t="n">
        <v>4430.43</v>
      </c>
      <c r="J2285" s="1" t="str">
        <f aca="false">VLOOKUP(B2285,Customers!$A$2:$G$502,6,FALSE())</f>
        <v>Consumer</v>
      </c>
      <c r="K2285" s="1" t="str">
        <f aca="false">VLOOKUP(C2285,Products!$A$2:$E$62,3,FALSE())</f>
        <v>Office Supplies</v>
      </c>
      <c r="L2285" s="1" t="str">
        <f aca="false">TEXT(D2285,"yyyy-mm")</f>
        <v>2024-03</v>
      </c>
    </row>
    <row r="2286" customFormat="false" ht="15" hidden="false" customHeight="true" outlineLevel="0" collapsed="false">
      <c r="A2286" s="1" t="n">
        <v>2337</v>
      </c>
      <c r="B2286" s="1" t="n">
        <v>325</v>
      </c>
      <c r="C2286" s="1" t="n">
        <v>17</v>
      </c>
      <c r="D2286" s="1" t="s">
        <v>482</v>
      </c>
      <c r="E2286" s="1" t="n">
        <v>7</v>
      </c>
      <c r="F2286" s="1" t="n">
        <v>65.61</v>
      </c>
      <c r="G2286" s="1" t="n">
        <v>0</v>
      </c>
      <c r="H2286" s="1" t="s">
        <v>1336</v>
      </c>
      <c r="I2286" s="1" t="n">
        <v>459.27</v>
      </c>
      <c r="J2286" s="1" t="str">
        <f aca="false">VLOOKUP(B2286,Customers!$A$2:$G$502,6,FALSE())</f>
        <v>Small Business</v>
      </c>
      <c r="K2286" s="1" t="str">
        <f aca="false">VLOOKUP(C2286,Products!$A$2:$E$62,3,FALSE())</f>
        <v>Electronics</v>
      </c>
      <c r="L2286" s="1" t="str">
        <f aca="false">TEXT(D2286,"yyyy-mm")</f>
        <v>2024-11</v>
      </c>
    </row>
    <row r="2287" customFormat="false" ht="15" hidden="false" customHeight="true" outlineLevel="0" collapsed="false">
      <c r="A2287" s="1" t="n">
        <v>2338</v>
      </c>
      <c r="B2287" s="1" t="n">
        <v>407</v>
      </c>
      <c r="C2287" s="1" t="n">
        <v>14</v>
      </c>
      <c r="D2287" s="1" t="s">
        <v>924</v>
      </c>
      <c r="E2287" s="1" t="n">
        <v>6</v>
      </c>
      <c r="F2287" s="1" t="n">
        <v>135.27</v>
      </c>
      <c r="G2287" s="1" t="n">
        <v>0.1</v>
      </c>
      <c r="H2287" s="1" t="s">
        <v>1336</v>
      </c>
      <c r="I2287" s="1" t="n">
        <v>730.46</v>
      </c>
      <c r="J2287" s="1" t="str">
        <f aca="false">VLOOKUP(B2287,Customers!$A$2:$G$502,6,FALSE())</f>
        <v>Consumer</v>
      </c>
      <c r="K2287" s="1" t="str">
        <f aca="false">VLOOKUP(C2287,Products!$A$2:$E$62,3,FALSE())</f>
        <v>Electronics</v>
      </c>
      <c r="L2287" s="1" t="str">
        <f aca="false">TEXT(D2287,"yyyy-mm")</f>
        <v>2023-01</v>
      </c>
    </row>
    <row r="2288" customFormat="false" ht="15" hidden="false" customHeight="true" outlineLevel="0" collapsed="false">
      <c r="A2288" s="1" t="n">
        <v>2339</v>
      </c>
      <c r="B2288" s="1" t="n">
        <v>356</v>
      </c>
      <c r="C2288" s="1" t="n">
        <v>49</v>
      </c>
      <c r="D2288" s="1" t="s">
        <v>719</v>
      </c>
      <c r="E2288" s="1" t="n">
        <v>1</v>
      </c>
      <c r="F2288" s="1" t="n">
        <v>325.17</v>
      </c>
      <c r="G2288" s="1" t="n">
        <v>0.2</v>
      </c>
      <c r="H2288" s="1" t="s">
        <v>1336</v>
      </c>
      <c r="I2288" s="1" t="n">
        <v>260.14</v>
      </c>
      <c r="J2288" s="1" t="str">
        <f aca="false">VLOOKUP(B2288,Customers!$A$2:$G$502,6,FALSE())</f>
        <v>Consumer</v>
      </c>
      <c r="K2288" s="1" t="str">
        <f aca="false">VLOOKUP(C2288,Products!$A$2:$E$62,3,FALSE())</f>
        <v>Software</v>
      </c>
      <c r="L2288" s="1" t="str">
        <f aca="false">TEXT(D2288,"yyyy-mm")</f>
        <v>2024-11</v>
      </c>
    </row>
    <row r="2289" customFormat="false" ht="15" hidden="false" customHeight="true" outlineLevel="0" collapsed="false">
      <c r="A2289" s="1" t="n">
        <v>2340</v>
      </c>
      <c r="B2289" s="1" t="n">
        <v>89</v>
      </c>
      <c r="C2289" s="1" t="n">
        <v>33</v>
      </c>
      <c r="D2289" s="1" t="s">
        <v>662</v>
      </c>
      <c r="E2289" s="1" t="n">
        <v>5</v>
      </c>
      <c r="F2289" s="1" t="n">
        <v>190.1</v>
      </c>
      <c r="G2289" s="1" t="n">
        <v>0.2</v>
      </c>
      <c r="H2289" s="1" t="s">
        <v>1336</v>
      </c>
      <c r="I2289" s="1" t="n">
        <v>760.4</v>
      </c>
      <c r="J2289" s="1" t="str">
        <f aca="false">VLOOKUP(B2289,Customers!$A$2:$G$502,6,FALSE())</f>
        <v>Small Business</v>
      </c>
      <c r="K2289" s="1" t="str">
        <f aca="false">VLOOKUP(C2289,Products!$A$2:$E$62,3,FALSE())</f>
        <v>Office Supplies</v>
      </c>
      <c r="L2289" s="1" t="str">
        <f aca="false">TEXT(D2289,"yyyy-mm")</f>
        <v>2024-07</v>
      </c>
    </row>
    <row r="2290" customFormat="false" ht="15" hidden="false" customHeight="true" outlineLevel="0" collapsed="false">
      <c r="A2290" s="1" t="n">
        <v>2341</v>
      </c>
      <c r="B2290" s="1" t="n">
        <v>447</v>
      </c>
      <c r="C2290" s="1" t="n">
        <v>21</v>
      </c>
      <c r="D2290" s="1" t="s">
        <v>416</v>
      </c>
      <c r="E2290" s="1" t="n">
        <v>3</v>
      </c>
      <c r="F2290" s="1" t="n">
        <v>84.91</v>
      </c>
      <c r="G2290" s="1" t="n">
        <v>0</v>
      </c>
      <c r="H2290" s="1" t="s">
        <v>1336</v>
      </c>
      <c r="I2290" s="1" t="n">
        <v>254.73</v>
      </c>
      <c r="J2290" s="1" t="str">
        <f aca="false">VLOOKUP(B2290,Customers!$A$2:$G$502,6,FALSE())</f>
        <v>Small Business</v>
      </c>
      <c r="K2290" s="1" t="str">
        <f aca="false">VLOOKUP(C2290,Products!$A$2:$E$62,3,FALSE())</f>
        <v>Office Supplies</v>
      </c>
      <c r="L2290" s="1" t="str">
        <f aca="false">TEXT(D2290,"yyyy-mm")</f>
        <v>2023-12</v>
      </c>
    </row>
    <row r="2291" customFormat="false" ht="15" hidden="false" customHeight="true" outlineLevel="0" collapsed="false">
      <c r="A2291" s="1" t="n">
        <v>2342</v>
      </c>
      <c r="B2291" s="1" t="n">
        <v>384</v>
      </c>
      <c r="C2291" s="1" t="n">
        <v>58</v>
      </c>
      <c r="D2291" s="1" t="s">
        <v>1618</v>
      </c>
      <c r="E2291" s="1" t="n">
        <v>1</v>
      </c>
      <c r="F2291" s="1" t="n">
        <v>515.55</v>
      </c>
      <c r="G2291" s="1" t="n">
        <v>0</v>
      </c>
      <c r="H2291" s="1" t="s">
        <v>1336</v>
      </c>
      <c r="I2291" s="1" t="n">
        <v>515.55</v>
      </c>
      <c r="J2291" s="1" t="str">
        <f aca="false">VLOOKUP(B2291,Customers!$A$2:$G$502,6,FALSE())</f>
        <v>Corporate</v>
      </c>
      <c r="K2291" s="1" t="str">
        <f aca="false">VLOOKUP(C2291,Products!$A$2:$E$62,3,FALSE())</f>
        <v>Furniture</v>
      </c>
      <c r="L2291" s="1" t="str">
        <f aca="false">TEXT(D2291,"yyyy-mm")</f>
        <v>2024-04</v>
      </c>
    </row>
    <row r="2292" customFormat="false" ht="15" hidden="false" customHeight="true" outlineLevel="0" collapsed="false">
      <c r="A2292" s="1" t="n">
        <v>2343</v>
      </c>
      <c r="B2292" s="1" t="n">
        <v>329</v>
      </c>
      <c r="C2292" s="1" t="n">
        <v>28</v>
      </c>
      <c r="D2292" s="1" t="s">
        <v>897</v>
      </c>
      <c r="E2292" s="1" t="n">
        <v>4</v>
      </c>
      <c r="F2292" s="1" t="n">
        <v>505.23</v>
      </c>
      <c r="G2292" s="1" t="n">
        <v>0.1</v>
      </c>
      <c r="H2292" s="1" t="s">
        <v>1370</v>
      </c>
      <c r="I2292" s="1" t="n">
        <v>1818.83</v>
      </c>
      <c r="J2292" s="1" t="str">
        <f aca="false">VLOOKUP(B2292,Customers!$A$2:$G$502,6,FALSE())</f>
        <v>Consumer</v>
      </c>
      <c r="K2292" s="1" t="str">
        <f aca="false">VLOOKUP(C2292,Products!$A$2:$E$62,3,FALSE())</f>
        <v>Office Supplies</v>
      </c>
      <c r="L2292" s="1" t="str">
        <f aca="false">TEXT(D2292,"yyyy-mm")</f>
        <v>2024-07</v>
      </c>
    </row>
    <row r="2293" customFormat="false" ht="15" hidden="false" customHeight="true" outlineLevel="0" collapsed="false">
      <c r="A2293" s="1" t="n">
        <v>2344</v>
      </c>
      <c r="B2293" s="1" t="n">
        <v>421</v>
      </c>
      <c r="C2293" s="1" t="n">
        <v>18</v>
      </c>
      <c r="D2293" s="1" t="s">
        <v>1516</v>
      </c>
      <c r="E2293" s="1" t="n">
        <v>2</v>
      </c>
      <c r="F2293" s="1" t="n">
        <v>747.34</v>
      </c>
      <c r="G2293" s="1" t="n">
        <v>0</v>
      </c>
      <c r="H2293" s="1" t="s">
        <v>1336</v>
      </c>
      <c r="I2293" s="1" t="n">
        <v>1494.68</v>
      </c>
      <c r="J2293" s="1" t="str">
        <f aca="false">VLOOKUP(B2293,Customers!$A$2:$G$502,6,FALSE())</f>
        <v>Corporate</v>
      </c>
      <c r="K2293" s="1" t="str">
        <f aca="false">VLOOKUP(C2293,Products!$A$2:$E$62,3,FALSE())</f>
        <v>Electronics</v>
      </c>
      <c r="L2293" s="1" t="str">
        <f aca="false">TEXT(D2293,"yyyy-mm")</f>
        <v>2023-02</v>
      </c>
    </row>
    <row r="2294" customFormat="false" ht="15" hidden="false" customHeight="true" outlineLevel="0" collapsed="false">
      <c r="A2294" s="1" t="n">
        <v>2345</v>
      </c>
      <c r="B2294" s="1" t="n">
        <v>34</v>
      </c>
      <c r="C2294" s="1" t="n">
        <v>33</v>
      </c>
      <c r="D2294" s="1" t="s">
        <v>899</v>
      </c>
      <c r="E2294" s="1" t="n">
        <v>2</v>
      </c>
      <c r="F2294" s="1" t="n">
        <v>190.1</v>
      </c>
      <c r="G2294" s="1" t="n">
        <v>0</v>
      </c>
      <c r="H2294" s="1" t="s">
        <v>1336</v>
      </c>
      <c r="I2294" s="1" t="n">
        <v>380.2</v>
      </c>
      <c r="J2294" s="1" t="str">
        <f aca="false">VLOOKUP(B2294,Customers!$A$2:$G$502,6,FALSE())</f>
        <v>Corporate</v>
      </c>
      <c r="K2294" s="1" t="str">
        <f aca="false">VLOOKUP(C2294,Products!$A$2:$E$62,3,FALSE())</f>
        <v>Office Supplies</v>
      </c>
      <c r="L2294" s="1" t="str">
        <f aca="false">TEXT(D2294,"yyyy-mm")</f>
        <v>2024-05</v>
      </c>
    </row>
    <row r="2295" customFormat="false" ht="15" hidden="false" customHeight="true" outlineLevel="0" collapsed="false">
      <c r="A2295" s="1" t="n">
        <v>2346</v>
      </c>
      <c r="B2295" s="1" t="n">
        <v>114</v>
      </c>
      <c r="C2295" s="1" t="n">
        <v>47</v>
      </c>
      <c r="D2295" s="1" t="s">
        <v>317</v>
      </c>
      <c r="E2295" s="1" t="n">
        <v>3</v>
      </c>
      <c r="F2295" s="1" t="n">
        <v>506.19</v>
      </c>
      <c r="G2295" s="1" t="n">
        <v>0</v>
      </c>
      <c r="H2295" s="1" t="s">
        <v>1336</v>
      </c>
      <c r="I2295" s="1" t="n">
        <v>1518.57</v>
      </c>
      <c r="J2295" s="1" t="str">
        <f aca="false">VLOOKUP(B2295,Customers!$A$2:$G$502,6,FALSE())</f>
        <v>Consumer</v>
      </c>
      <c r="K2295" s="1" t="str">
        <f aca="false">VLOOKUP(C2295,Products!$A$2:$E$62,3,FALSE())</f>
        <v>Software</v>
      </c>
      <c r="L2295" s="1" t="str">
        <f aca="false">TEXT(D2295,"yyyy-mm")</f>
        <v>2023-08</v>
      </c>
    </row>
    <row r="2296" customFormat="false" ht="15" hidden="false" customHeight="true" outlineLevel="0" collapsed="false">
      <c r="A2296" s="1" t="n">
        <v>2347</v>
      </c>
      <c r="B2296" s="1" t="n">
        <v>49</v>
      </c>
      <c r="C2296" s="1" t="n">
        <v>15</v>
      </c>
      <c r="D2296" s="1" t="s">
        <v>586</v>
      </c>
      <c r="E2296" s="1" t="n">
        <v>8</v>
      </c>
      <c r="F2296" s="1" t="n">
        <v>304.95</v>
      </c>
      <c r="G2296" s="1" t="n">
        <v>0.1</v>
      </c>
      <c r="H2296" s="1" t="s">
        <v>1336</v>
      </c>
      <c r="I2296" s="1" t="n">
        <v>2195.64</v>
      </c>
      <c r="J2296" s="1" t="str">
        <f aca="false">VLOOKUP(B2296,Customers!$A$2:$G$502,6,FALSE())</f>
        <v>Corporate</v>
      </c>
      <c r="K2296" s="1" t="str">
        <f aca="false">VLOOKUP(C2296,Products!$A$2:$E$62,3,FALSE())</f>
        <v>Electronics</v>
      </c>
      <c r="L2296" s="1" t="str">
        <f aca="false">TEXT(D2296,"yyyy-mm")</f>
        <v>2023-01</v>
      </c>
    </row>
    <row r="2297" customFormat="false" ht="15" hidden="false" customHeight="true" outlineLevel="0" collapsed="false">
      <c r="A2297" s="1" t="n">
        <v>2348</v>
      </c>
      <c r="B2297" s="1" t="n">
        <v>263</v>
      </c>
      <c r="C2297" s="1" t="n">
        <v>53</v>
      </c>
      <c r="D2297" s="1" t="s">
        <v>1219</v>
      </c>
      <c r="E2297" s="1" t="n">
        <v>8</v>
      </c>
      <c r="F2297" s="1" t="n">
        <v>509.98</v>
      </c>
      <c r="G2297" s="1" t="n">
        <v>0.2</v>
      </c>
      <c r="H2297" s="1" t="s">
        <v>1336</v>
      </c>
      <c r="I2297" s="1" t="n">
        <v>3263.87</v>
      </c>
      <c r="J2297" s="1" t="str">
        <f aca="false">VLOOKUP(B2297,Customers!$A$2:$G$502,6,FALSE())</f>
        <v>Consumer</v>
      </c>
      <c r="K2297" s="1" t="str">
        <f aca="false">VLOOKUP(C2297,Products!$A$2:$E$62,3,FALSE())</f>
        <v>Software</v>
      </c>
      <c r="L2297" s="1" t="str">
        <f aca="false">TEXT(D2297,"yyyy-mm")</f>
        <v>2024-10</v>
      </c>
    </row>
    <row r="2298" customFormat="false" ht="15" hidden="false" customHeight="true" outlineLevel="0" collapsed="false">
      <c r="A2298" s="1" t="n">
        <v>2349</v>
      </c>
      <c r="B2298" s="1" t="n">
        <v>179</v>
      </c>
      <c r="C2298" s="1" t="n">
        <v>17</v>
      </c>
      <c r="D2298" s="1" t="s">
        <v>887</v>
      </c>
      <c r="E2298" s="1" t="n">
        <v>7</v>
      </c>
      <c r="F2298" s="1" t="n">
        <v>65.61</v>
      </c>
      <c r="G2298" s="1" t="n">
        <v>0</v>
      </c>
      <c r="H2298" s="1" t="s">
        <v>1346</v>
      </c>
      <c r="I2298" s="1" t="n">
        <v>459.27</v>
      </c>
      <c r="J2298" s="1" t="str">
        <f aca="false">VLOOKUP(B2298,Customers!$A$2:$G$502,6,FALSE())</f>
        <v>Small Business</v>
      </c>
      <c r="K2298" s="1" t="str">
        <f aca="false">VLOOKUP(C2298,Products!$A$2:$E$62,3,FALSE())</f>
        <v>Electronics</v>
      </c>
      <c r="L2298" s="1" t="str">
        <f aca="false">TEXT(D2298,"yyyy-mm")</f>
        <v>2023-06</v>
      </c>
    </row>
    <row r="2299" customFormat="false" ht="15" hidden="false" customHeight="true" outlineLevel="0" collapsed="false">
      <c r="A2299" s="1" t="n">
        <v>2350</v>
      </c>
      <c r="B2299" s="1" t="n">
        <v>120</v>
      </c>
      <c r="C2299" s="1" t="n">
        <v>58</v>
      </c>
      <c r="D2299" s="1" t="s">
        <v>1372</v>
      </c>
      <c r="E2299" s="1" t="n">
        <v>6</v>
      </c>
      <c r="F2299" s="1" t="n">
        <v>515.55</v>
      </c>
      <c r="G2299" s="1" t="n">
        <v>0.1</v>
      </c>
      <c r="H2299" s="1" t="s">
        <v>1336</v>
      </c>
      <c r="I2299" s="1" t="n">
        <v>2783.97</v>
      </c>
      <c r="J2299" s="1" t="str">
        <f aca="false">VLOOKUP(B2299,Customers!$A$2:$G$502,6,FALSE())</f>
        <v>Consumer</v>
      </c>
      <c r="K2299" s="1" t="str">
        <f aca="false">VLOOKUP(C2299,Products!$A$2:$E$62,3,FALSE())</f>
        <v>Furniture</v>
      </c>
      <c r="L2299" s="1" t="str">
        <f aca="false">TEXT(D2299,"yyyy-mm")</f>
        <v>2023-03</v>
      </c>
    </row>
    <row r="2300" customFormat="false" ht="15" hidden="false" customHeight="true" outlineLevel="0" collapsed="false">
      <c r="A2300" s="1" t="n">
        <v>2351</v>
      </c>
      <c r="B2300" s="1" t="n">
        <v>138</v>
      </c>
      <c r="C2300" s="1" t="n">
        <v>49</v>
      </c>
      <c r="D2300" s="1" t="s">
        <v>1377</v>
      </c>
      <c r="E2300" s="1" t="n">
        <v>9</v>
      </c>
      <c r="F2300" s="1" t="n">
        <v>325.17</v>
      </c>
      <c r="G2300" s="1" t="n">
        <v>0</v>
      </c>
      <c r="H2300" s="1" t="s">
        <v>1336</v>
      </c>
      <c r="I2300" s="1" t="n">
        <v>2926.53</v>
      </c>
      <c r="J2300" s="1" t="str">
        <f aca="false">VLOOKUP(B2300,Customers!$A$2:$G$502,6,FALSE())</f>
        <v>Consumer</v>
      </c>
      <c r="K2300" s="1" t="str">
        <f aca="false">VLOOKUP(C2300,Products!$A$2:$E$62,3,FALSE())</f>
        <v>Software</v>
      </c>
      <c r="L2300" s="1" t="str">
        <f aca="false">TEXT(D2300,"yyyy-mm")</f>
        <v>2023-10</v>
      </c>
    </row>
    <row r="2301" customFormat="false" ht="15" hidden="false" customHeight="true" outlineLevel="0" collapsed="false">
      <c r="A2301" s="1" t="n">
        <v>2352</v>
      </c>
      <c r="B2301" s="1" t="n">
        <v>361</v>
      </c>
      <c r="C2301" s="1" t="n">
        <v>18</v>
      </c>
      <c r="D2301" s="1" t="s">
        <v>629</v>
      </c>
      <c r="E2301" s="1" t="n">
        <v>4</v>
      </c>
      <c r="F2301" s="1" t="n">
        <v>747.34</v>
      </c>
      <c r="G2301" s="1" t="n">
        <v>0.1</v>
      </c>
      <c r="H2301" s="1" t="s">
        <v>1336</v>
      </c>
      <c r="I2301" s="1" t="n">
        <v>2690.42</v>
      </c>
      <c r="J2301" s="1" t="str">
        <f aca="false">VLOOKUP(B2301,Customers!$A$2:$G$502,6,FALSE())</f>
        <v>Small Business</v>
      </c>
      <c r="K2301" s="1" t="str">
        <f aca="false">VLOOKUP(C2301,Products!$A$2:$E$62,3,FALSE())</f>
        <v>Electronics</v>
      </c>
      <c r="L2301" s="1" t="str">
        <f aca="false">TEXT(D2301,"yyyy-mm")</f>
        <v>2023-04</v>
      </c>
    </row>
    <row r="2302" customFormat="false" ht="15" hidden="false" customHeight="true" outlineLevel="0" collapsed="false">
      <c r="A2302" s="1" t="n">
        <v>2353</v>
      </c>
      <c r="B2302" s="1" t="n">
        <v>283</v>
      </c>
      <c r="C2302" s="1" t="n">
        <v>42</v>
      </c>
      <c r="D2302" s="1" t="s">
        <v>1191</v>
      </c>
      <c r="E2302" s="1" t="n">
        <v>1</v>
      </c>
      <c r="F2302" s="1" t="n">
        <v>174.48</v>
      </c>
      <c r="G2302" s="1" t="n">
        <v>0</v>
      </c>
      <c r="H2302" s="1" t="s">
        <v>1336</v>
      </c>
      <c r="I2302" s="1" t="n">
        <v>174.48</v>
      </c>
      <c r="J2302" s="1" t="str">
        <f aca="false">VLOOKUP(B2302,Customers!$A$2:$G$502,6,FALSE())</f>
        <v>Small Business</v>
      </c>
      <c r="K2302" s="1" t="str">
        <f aca="false">VLOOKUP(C2302,Products!$A$2:$E$62,3,FALSE())</f>
        <v>Software</v>
      </c>
      <c r="L2302" s="1" t="str">
        <f aca="false">TEXT(D2302,"yyyy-mm")</f>
        <v>2023-03</v>
      </c>
    </row>
    <row r="2303" customFormat="false" ht="15" hidden="false" customHeight="true" outlineLevel="0" collapsed="false">
      <c r="A2303" s="1" t="n">
        <v>2354</v>
      </c>
      <c r="B2303" s="1" t="n">
        <v>473</v>
      </c>
      <c r="C2303" s="1" t="n">
        <v>10</v>
      </c>
      <c r="D2303" s="1" t="s">
        <v>1638</v>
      </c>
      <c r="E2303" s="1" t="n">
        <v>8</v>
      </c>
      <c r="F2303" s="1" t="n">
        <v>251.58</v>
      </c>
      <c r="G2303" s="1" t="n">
        <v>0</v>
      </c>
      <c r="H2303" s="1" t="s">
        <v>1336</v>
      </c>
      <c r="I2303" s="1" t="n">
        <v>2012.64</v>
      </c>
      <c r="J2303" s="1" t="str">
        <f aca="false">VLOOKUP(B2303,Customers!$A$2:$G$502,6,FALSE())</f>
        <v>Small Business</v>
      </c>
      <c r="K2303" s="1" t="str">
        <f aca="false">VLOOKUP(C2303,Products!$A$2:$E$62,3,FALSE())</f>
        <v>Electronics</v>
      </c>
      <c r="L2303" s="1" t="str">
        <f aca="false">TEXT(D2303,"yyyy-mm")</f>
        <v>2023-05</v>
      </c>
    </row>
    <row r="2304" customFormat="false" ht="15" hidden="false" customHeight="true" outlineLevel="0" collapsed="false">
      <c r="A2304" s="1" t="n">
        <v>2355</v>
      </c>
      <c r="B2304" s="1" t="n">
        <v>286</v>
      </c>
      <c r="C2304" s="1" t="n">
        <v>31</v>
      </c>
      <c r="D2304" s="1" t="s">
        <v>792</v>
      </c>
      <c r="E2304" s="1" t="n">
        <v>7</v>
      </c>
      <c r="F2304" s="1" t="n">
        <v>224.86</v>
      </c>
      <c r="G2304" s="1" t="n">
        <v>0.15</v>
      </c>
      <c r="H2304" s="1" t="s">
        <v>1336</v>
      </c>
      <c r="I2304" s="1" t="n">
        <v>1337.92</v>
      </c>
      <c r="J2304" s="1" t="str">
        <f aca="false">VLOOKUP(B2304,Customers!$A$2:$G$502,6,FALSE())</f>
        <v>Corporate</v>
      </c>
      <c r="K2304" s="1" t="str">
        <f aca="false">VLOOKUP(C2304,Products!$A$2:$E$62,3,FALSE())</f>
        <v>Office Supplies</v>
      </c>
      <c r="L2304" s="1" t="str">
        <f aca="false">TEXT(D2304,"yyyy-mm")</f>
        <v>2023-06</v>
      </c>
    </row>
    <row r="2305" customFormat="false" ht="15" hidden="false" customHeight="true" outlineLevel="0" collapsed="false">
      <c r="A2305" s="1" t="n">
        <v>2356</v>
      </c>
      <c r="B2305" s="1" t="n">
        <v>94</v>
      </c>
      <c r="C2305" s="1" t="n">
        <v>12</v>
      </c>
      <c r="D2305" s="1" t="s">
        <v>1103</v>
      </c>
      <c r="E2305" s="1" t="n">
        <v>7</v>
      </c>
      <c r="F2305" s="1" t="n">
        <v>179.23</v>
      </c>
      <c r="G2305" s="1" t="n">
        <v>0</v>
      </c>
      <c r="H2305" s="1" t="s">
        <v>1370</v>
      </c>
      <c r="I2305" s="1" t="n">
        <v>1254.61</v>
      </c>
      <c r="J2305" s="1" t="str">
        <f aca="false">VLOOKUP(B2305,Customers!$A$2:$G$502,6,FALSE())</f>
        <v>Small Business</v>
      </c>
      <c r="K2305" s="1" t="str">
        <f aca="false">VLOOKUP(C2305,Products!$A$2:$E$62,3,FALSE())</f>
        <v>Electronics</v>
      </c>
      <c r="L2305" s="1" t="str">
        <f aca="false">TEXT(D2305,"yyyy-mm")</f>
        <v>2024-01</v>
      </c>
    </row>
    <row r="2306" customFormat="false" ht="15" hidden="false" customHeight="true" outlineLevel="0" collapsed="false">
      <c r="A2306" s="1" t="n">
        <v>2357</v>
      </c>
      <c r="B2306" s="1" t="n">
        <v>8</v>
      </c>
      <c r="C2306" s="1" t="n">
        <v>17</v>
      </c>
      <c r="D2306" s="1" t="s">
        <v>952</v>
      </c>
      <c r="E2306" s="1" t="n">
        <v>3</v>
      </c>
      <c r="F2306" s="1" t="n">
        <v>65.61</v>
      </c>
      <c r="G2306" s="1" t="n">
        <v>0.15</v>
      </c>
      <c r="H2306" s="1" t="s">
        <v>1336</v>
      </c>
      <c r="I2306" s="1" t="n">
        <v>167.31</v>
      </c>
      <c r="J2306" s="1" t="str">
        <f aca="false">VLOOKUP(B2306,Customers!$A$2:$G$502,6,FALSE())</f>
        <v>Consumer</v>
      </c>
      <c r="K2306" s="1" t="str">
        <f aca="false">VLOOKUP(C2306,Products!$A$2:$E$62,3,FALSE())</f>
        <v>Electronics</v>
      </c>
      <c r="L2306" s="1" t="str">
        <f aca="false">TEXT(D2306,"yyyy-mm")</f>
        <v>2024-12</v>
      </c>
    </row>
    <row r="2307" customFormat="false" ht="15" hidden="false" customHeight="true" outlineLevel="0" collapsed="false">
      <c r="A2307" s="1" t="n">
        <v>2358</v>
      </c>
      <c r="B2307" s="1" t="n">
        <v>319</v>
      </c>
      <c r="C2307" s="1" t="n">
        <v>4</v>
      </c>
      <c r="D2307" s="1" t="s">
        <v>328</v>
      </c>
      <c r="E2307" s="1" t="n">
        <v>4</v>
      </c>
      <c r="F2307" s="1" t="n">
        <v>56.24</v>
      </c>
      <c r="G2307" s="1" t="n">
        <v>0</v>
      </c>
      <c r="H2307" s="1" t="s">
        <v>1336</v>
      </c>
      <c r="I2307" s="1" t="n">
        <v>224.96</v>
      </c>
      <c r="J2307" s="1" t="str">
        <f aca="false">VLOOKUP(B2307,Customers!$A$2:$G$502,6,FALSE())</f>
        <v>Corporate</v>
      </c>
      <c r="K2307" s="1" t="str">
        <f aca="false">VLOOKUP(C2307,Products!$A$2:$E$62,3,FALSE())</f>
        <v>Electronics</v>
      </c>
      <c r="L2307" s="1" t="str">
        <f aca="false">TEXT(D2307,"yyyy-mm")</f>
        <v>2023-02</v>
      </c>
    </row>
    <row r="2308" customFormat="false" ht="15" hidden="false" customHeight="true" outlineLevel="0" collapsed="false">
      <c r="A2308" s="1" t="n">
        <v>2359</v>
      </c>
      <c r="B2308" s="1" t="n">
        <v>26</v>
      </c>
      <c r="C2308" s="1" t="n">
        <v>31</v>
      </c>
      <c r="D2308" s="1" t="s">
        <v>890</v>
      </c>
      <c r="E2308" s="1" t="n">
        <v>9</v>
      </c>
      <c r="F2308" s="1" t="n">
        <v>224.86</v>
      </c>
      <c r="G2308" s="1" t="n">
        <v>0</v>
      </c>
      <c r="H2308" s="1" t="s">
        <v>1336</v>
      </c>
      <c r="I2308" s="1" t="n">
        <v>2023.74</v>
      </c>
      <c r="J2308" s="1" t="str">
        <f aca="false">VLOOKUP(B2308,Customers!$A$2:$G$502,6,FALSE())</f>
        <v>Consumer</v>
      </c>
      <c r="K2308" s="1" t="str">
        <f aca="false">VLOOKUP(C2308,Products!$A$2:$E$62,3,FALSE())</f>
        <v>Office Supplies</v>
      </c>
      <c r="L2308" s="1" t="str">
        <f aca="false">TEXT(D2308,"yyyy-mm")</f>
        <v>2023-01</v>
      </c>
    </row>
    <row r="2309" customFormat="false" ht="15" hidden="false" customHeight="true" outlineLevel="0" collapsed="false">
      <c r="A2309" s="1" t="n">
        <v>2360</v>
      </c>
      <c r="B2309" s="1" t="n">
        <v>477</v>
      </c>
      <c r="C2309" s="1" t="n">
        <v>10</v>
      </c>
      <c r="D2309" s="1" t="s">
        <v>1516</v>
      </c>
      <c r="E2309" s="1" t="n">
        <v>6</v>
      </c>
      <c r="F2309" s="1" t="n">
        <v>251.58</v>
      </c>
      <c r="G2309" s="1" t="n">
        <v>0</v>
      </c>
      <c r="H2309" s="1" t="s">
        <v>1336</v>
      </c>
      <c r="I2309" s="1" t="n">
        <v>1509.48</v>
      </c>
      <c r="J2309" s="1" t="str">
        <f aca="false">VLOOKUP(B2309,Customers!$A$2:$G$502,6,FALSE())</f>
        <v>Corporate</v>
      </c>
      <c r="K2309" s="1" t="str">
        <f aca="false">VLOOKUP(C2309,Products!$A$2:$E$62,3,FALSE())</f>
        <v>Electronics</v>
      </c>
      <c r="L2309" s="1" t="str">
        <f aca="false">TEXT(D2309,"yyyy-mm")</f>
        <v>2023-02</v>
      </c>
    </row>
    <row r="2310" customFormat="false" ht="15" hidden="false" customHeight="true" outlineLevel="0" collapsed="false">
      <c r="A2310" s="1" t="n">
        <v>2361</v>
      </c>
      <c r="B2310" s="1" t="n">
        <v>213</v>
      </c>
      <c r="C2310" s="1" t="n">
        <v>47</v>
      </c>
      <c r="D2310" s="1" t="s">
        <v>545</v>
      </c>
      <c r="E2310" s="1" t="n">
        <v>5</v>
      </c>
      <c r="F2310" s="1" t="n">
        <v>506.19</v>
      </c>
      <c r="G2310" s="1" t="n">
        <v>0</v>
      </c>
      <c r="H2310" s="1" t="s">
        <v>1336</v>
      </c>
      <c r="I2310" s="1" t="n">
        <v>2530.95</v>
      </c>
      <c r="J2310" s="1" t="str">
        <f aca="false">VLOOKUP(B2310,Customers!$A$2:$G$502,6,FALSE())</f>
        <v>Small Business</v>
      </c>
      <c r="K2310" s="1" t="str">
        <f aca="false">VLOOKUP(C2310,Products!$A$2:$E$62,3,FALSE())</f>
        <v>Software</v>
      </c>
      <c r="L2310" s="1" t="str">
        <f aca="false">TEXT(D2310,"yyyy-mm")</f>
        <v>2023-05</v>
      </c>
    </row>
    <row r="2311" customFormat="false" ht="15" hidden="false" customHeight="true" outlineLevel="0" collapsed="false">
      <c r="A2311" s="1" t="n">
        <v>2362</v>
      </c>
      <c r="B2311" s="1" t="n">
        <v>6</v>
      </c>
      <c r="C2311" s="1" t="n">
        <v>22</v>
      </c>
      <c r="D2311" s="1" t="s">
        <v>176</v>
      </c>
      <c r="E2311" s="1" t="n">
        <v>3</v>
      </c>
      <c r="F2311" s="1" t="n">
        <v>38.57</v>
      </c>
      <c r="G2311" s="1" t="n">
        <v>0.05</v>
      </c>
      <c r="H2311" s="1" t="s">
        <v>1336</v>
      </c>
      <c r="I2311" s="1" t="n">
        <v>109.92</v>
      </c>
      <c r="J2311" s="1" t="str">
        <f aca="false">VLOOKUP(B2311,Customers!$A$2:$G$502,6,FALSE())</f>
        <v>Corporate</v>
      </c>
      <c r="K2311" s="1" t="str">
        <f aca="false">VLOOKUP(C2311,Products!$A$2:$E$62,3,FALSE())</f>
        <v>Office Supplies</v>
      </c>
      <c r="L2311" s="1" t="str">
        <f aca="false">TEXT(D2311,"yyyy-mm")</f>
        <v>2024-04</v>
      </c>
    </row>
    <row r="2312" customFormat="false" ht="15" hidden="false" customHeight="true" outlineLevel="0" collapsed="false">
      <c r="A2312" s="1" t="n">
        <v>2363</v>
      </c>
      <c r="B2312" s="1" t="n">
        <v>171</v>
      </c>
      <c r="C2312" s="1" t="n">
        <v>52</v>
      </c>
      <c r="D2312" s="1" t="s">
        <v>786</v>
      </c>
      <c r="E2312" s="1" t="n">
        <v>9</v>
      </c>
      <c r="F2312" s="1" t="n">
        <v>207.67</v>
      </c>
      <c r="G2312" s="1" t="n">
        <v>0</v>
      </c>
      <c r="H2312" s="1" t="s">
        <v>1336</v>
      </c>
      <c r="I2312" s="1" t="n">
        <v>1869.03</v>
      </c>
      <c r="J2312" s="1" t="str">
        <f aca="false">VLOOKUP(B2312,Customers!$A$2:$G$502,6,FALSE())</f>
        <v>Small Business</v>
      </c>
      <c r="K2312" s="1" t="str">
        <f aca="false">VLOOKUP(C2312,Products!$A$2:$E$62,3,FALSE())</f>
        <v>Software</v>
      </c>
      <c r="L2312" s="1" t="str">
        <f aca="false">TEXT(D2312,"yyyy-mm")</f>
        <v>2024-07</v>
      </c>
    </row>
    <row r="2313" customFormat="false" ht="15" hidden="false" customHeight="true" outlineLevel="0" collapsed="false">
      <c r="A2313" s="1" t="n">
        <v>2364</v>
      </c>
      <c r="B2313" s="1" t="n">
        <v>386</v>
      </c>
      <c r="C2313" s="1" t="n">
        <v>50</v>
      </c>
      <c r="D2313" s="1" t="s">
        <v>1516</v>
      </c>
      <c r="E2313" s="1" t="n">
        <v>5</v>
      </c>
      <c r="F2313" s="1" t="n">
        <v>19.73</v>
      </c>
      <c r="G2313" s="1" t="n">
        <v>0.15</v>
      </c>
      <c r="H2313" s="1" t="s">
        <v>1336</v>
      </c>
      <c r="I2313" s="1" t="n">
        <v>83.85</v>
      </c>
      <c r="J2313" s="1" t="str">
        <f aca="false">VLOOKUP(B2313,Customers!$A$2:$G$502,6,FALSE())</f>
        <v>Consumer</v>
      </c>
      <c r="K2313" s="1" t="str">
        <f aca="false">VLOOKUP(C2313,Products!$A$2:$E$62,3,FALSE())</f>
        <v>Software</v>
      </c>
      <c r="L2313" s="1" t="str">
        <f aca="false">TEXT(D2313,"yyyy-mm")</f>
        <v>2023-02</v>
      </c>
    </row>
    <row r="2314" customFormat="false" ht="15" hidden="false" customHeight="true" outlineLevel="0" collapsed="false">
      <c r="A2314" s="1" t="n">
        <v>2365</v>
      </c>
      <c r="B2314" s="1" t="n">
        <v>195</v>
      </c>
      <c r="C2314" s="1" t="n">
        <v>37</v>
      </c>
      <c r="D2314" s="1" t="s">
        <v>1630</v>
      </c>
      <c r="E2314" s="1" t="n">
        <v>5</v>
      </c>
      <c r="F2314" s="1" t="n">
        <v>13.95</v>
      </c>
      <c r="G2314" s="1" t="n">
        <v>0.15</v>
      </c>
      <c r="H2314" s="1" t="s">
        <v>1336</v>
      </c>
      <c r="I2314" s="1" t="n">
        <v>59.29</v>
      </c>
      <c r="J2314" s="1" t="str">
        <f aca="false">VLOOKUP(B2314,Customers!$A$2:$G$502,6,FALSE())</f>
        <v>Corporate</v>
      </c>
      <c r="K2314" s="1" t="str">
        <f aca="false">VLOOKUP(C2314,Products!$A$2:$E$62,3,FALSE())</f>
        <v>Software</v>
      </c>
      <c r="L2314" s="1" t="str">
        <f aca="false">TEXT(D2314,"yyyy-mm")</f>
        <v>2023-02</v>
      </c>
    </row>
    <row r="2315" customFormat="false" ht="15" hidden="false" customHeight="true" outlineLevel="0" collapsed="false">
      <c r="A2315" s="1" t="n">
        <v>2366</v>
      </c>
      <c r="B2315" s="1" t="n">
        <v>96</v>
      </c>
      <c r="C2315" s="1" t="n">
        <v>8</v>
      </c>
      <c r="D2315" s="1" t="s">
        <v>1434</v>
      </c>
      <c r="E2315" s="1" t="n">
        <v>4</v>
      </c>
      <c r="F2315" s="1" t="n">
        <v>104.4</v>
      </c>
      <c r="G2315" s="1" t="n">
        <v>0.2</v>
      </c>
      <c r="H2315" s="1" t="s">
        <v>1336</v>
      </c>
      <c r="I2315" s="1" t="n">
        <v>334.08</v>
      </c>
      <c r="J2315" s="1" t="str">
        <f aca="false">VLOOKUP(B2315,Customers!$A$2:$G$502,6,FALSE())</f>
        <v>Corporate</v>
      </c>
      <c r="K2315" s="1" t="str">
        <f aca="false">VLOOKUP(C2315,Products!$A$2:$E$62,3,FALSE())</f>
        <v>Electronics</v>
      </c>
      <c r="L2315" s="1" t="str">
        <f aca="false">TEXT(D2315,"yyyy-mm")</f>
        <v>2023-01</v>
      </c>
    </row>
    <row r="2316" customFormat="false" ht="15" hidden="false" customHeight="true" outlineLevel="0" collapsed="false">
      <c r="A2316" s="1" t="n">
        <v>2367</v>
      </c>
      <c r="B2316" s="1" t="n">
        <v>381</v>
      </c>
      <c r="C2316" s="1" t="n">
        <v>27</v>
      </c>
      <c r="D2316" s="1" t="s">
        <v>1615</v>
      </c>
      <c r="E2316" s="1" t="n">
        <v>4</v>
      </c>
      <c r="F2316" s="1" t="n">
        <v>772.58</v>
      </c>
      <c r="G2316" s="1" t="n">
        <v>0.05</v>
      </c>
      <c r="H2316" s="1" t="s">
        <v>1336</v>
      </c>
      <c r="I2316" s="1" t="n">
        <v>2935.8</v>
      </c>
      <c r="J2316" s="1" t="str">
        <f aca="false">VLOOKUP(B2316,Customers!$A$2:$G$502,6,FALSE())</f>
        <v>Corporate</v>
      </c>
      <c r="K2316" s="1" t="str">
        <f aca="false">VLOOKUP(C2316,Products!$A$2:$E$62,3,FALSE())</f>
        <v>Office Supplies</v>
      </c>
      <c r="L2316" s="1" t="str">
        <f aca="false">TEXT(D2316,"yyyy-mm")</f>
        <v>2023-04</v>
      </c>
    </row>
    <row r="2317" customFormat="false" ht="15" hidden="false" customHeight="true" outlineLevel="0" collapsed="false">
      <c r="A2317" s="1" t="n">
        <v>2368</v>
      </c>
      <c r="B2317" s="1" t="n">
        <v>243</v>
      </c>
      <c r="C2317" s="1" t="n">
        <v>54</v>
      </c>
      <c r="D2317" s="1" t="s">
        <v>1689</v>
      </c>
      <c r="E2317" s="1" t="n">
        <v>1</v>
      </c>
      <c r="F2317" s="1" t="n">
        <v>312.01</v>
      </c>
      <c r="G2317" s="1" t="n">
        <v>0.05</v>
      </c>
      <c r="H2317" s="1" t="s">
        <v>1336</v>
      </c>
      <c r="I2317" s="1" t="n">
        <v>296.41</v>
      </c>
      <c r="J2317" s="1" t="str">
        <f aca="false">VLOOKUP(B2317,Customers!$A$2:$G$502,6,FALSE())</f>
        <v>Small Business</v>
      </c>
      <c r="K2317" s="1" t="str">
        <f aca="false">VLOOKUP(C2317,Products!$A$2:$E$62,3,FALSE())</f>
        <v>Software</v>
      </c>
      <c r="L2317" s="1" t="str">
        <f aca="false">TEXT(D2317,"yyyy-mm")</f>
        <v>2023-01</v>
      </c>
    </row>
    <row r="2318" customFormat="false" ht="15" hidden="false" customHeight="true" outlineLevel="0" collapsed="false">
      <c r="A2318" s="1" t="n">
        <v>2369</v>
      </c>
      <c r="B2318" s="1" t="n">
        <v>423</v>
      </c>
      <c r="C2318" s="1" t="n">
        <v>15</v>
      </c>
      <c r="D2318" s="1" t="s">
        <v>1420</v>
      </c>
      <c r="E2318" s="1" t="n">
        <v>7</v>
      </c>
      <c r="F2318" s="1" t="n">
        <v>304.95</v>
      </c>
      <c r="G2318" s="1" t="n">
        <v>0</v>
      </c>
      <c r="H2318" s="1" t="s">
        <v>1336</v>
      </c>
      <c r="I2318" s="1" t="n">
        <v>2134.65</v>
      </c>
      <c r="J2318" s="1" t="str">
        <f aca="false">VLOOKUP(B2318,Customers!$A$2:$G$502,6,FALSE())</f>
        <v>Small Business</v>
      </c>
      <c r="K2318" s="1" t="str">
        <f aca="false">VLOOKUP(C2318,Products!$A$2:$E$62,3,FALSE())</f>
        <v>Electronics</v>
      </c>
      <c r="L2318" s="1" t="str">
        <f aca="false">TEXT(D2318,"yyyy-mm")</f>
        <v>2023-11</v>
      </c>
    </row>
    <row r="2319" customFormat="false" ht="15" hidden="false" customHeight="true" outlineLevel="0" collapsed="false">
      <c r="A2319" s="1" t="n">
        <v>2370</v>
      </c>
      <c r="B2319" s="1" t="n">
        <v>48</v>
      </c>
      <c r="C2319" s="1" t="n">
        <v>42</v>
      </c>
      <c r="D2319" s="1" t="s">
        <v>701</v>
      </c>
      <c r="E2319" s="1" t="n">
        <v>9</v>
      </c>
      <c r="F2319" s="1" t="n">
        <v>174.48</v>
      </c>
      <c r="G2319" s="1" t="n">
        <v>0</v>
      </c>
      <c r="H2319" s="1" t="s">
        <v>1336</v>
      </c>
      <c r="I2319" s="1" t="n">
        <v>1570.32</v>
      </c>
      <c r="J2319" s="1" t="str">
        <f aca="false">VLOOKUP(B2319,Customers!$A$2:$G$502,6,FALSE())</f>
        <v>Small Business</v>
      </c>
      <c r="K2319" s="1" t="str">
        <f aca="false">VLOOKUP(C2319,Products!$A$2:$E$62,3,FALSE())</f>
        <v>Software</v>
      </c>
      <c r="L2319" s="1" t="str">
        <f aca="false">TEXT(D2319,"yyyy-mm")</f>
        <v>2024-02</v>
      </c>
    </row>
    <row r="2320" customFormat="false" ht="15" hidden="false" customHeight="true" outlineLevel="0" collapsed="false">
      <c r="A2320" s="1" t="n">
        <v>2371</v>
      </c>
      <c r="B2320" s="1" t="n">
        <v>43</v>
      </c>
      <c r="C2320" s="1" t="n">
        <v>10</v>
      </c>
      <c r="D2320" s="1" t="s">
        <v>1522</v>
      </c>
      <c r="E2320" s="1" t="n">
        <v>3</v>
      </c>
      <c r="F2320" s="1" t="n">
        <v>251.58</v>
      </c>
      <c r="G2320" s="1" t="n">
        <v>0.15</v>
      </c>
      <c r="H2320" s="1" t="s">
        <v>1336</v>
      </c>
      <c r="I2320" s="1" t="n">
        <v>641.53</v>
      </c>
      <c r="J2320" s="1" t="str">
        <f aca="false">VLOOKUP(B2320,Customers!$A$2:$G$502,6,FALSE())</f>
        <v>Small Business</v>
      </c>
      <c r="K2320" s="1" t="str">
        <f aca="false">VLOOKUP(C2320,Products!$A$2:$E$62,3,FALSE())</f>
        <v>Electronics</v>
      </c>
      <c r="L2320" s="1" t="str">
        <f aca="false">TEXT(D2320,"yyyy-mm")</f>
        <v>2024-11</v>
      </c>
    </row>
    <row r="2321" customFormat="false" ht="15" hidden="false" customHeight="true" outlineLevel="0" collapsed="false">
      <c r="A2321" s="1" t="n">
        <v>2372</v>
      </c>
      <c r="B2321" s="1" t="n">
        <v>432</v>
      </c>
      <c r="C2321" s="1" t="n">
        <v>31</v>
      </c>
      <c r="D2321" s="1" t="s">
        <v>1562</v>
      </c>
      <c r="E2321" s="1" t="n">
        <v>2</v>
      </c>
      <c r="F2321" s="1" t="n">
        <v>224.86</v>
      </c>
      <c r="G2321" s="1" t="n">
        <v>0.05</v>
      </c>
      <c r="H2321" s="1" t="s">
        <v>1336</v>
      </c>
      <c r="I2321" s="1" t="n">
        <v>427.23</v>
      </c>
      <c r="J2321" s="1" t="str">
        <f aca="false">VLOOKUP(B2321,Customers!$A$2:$G$502,6,FALSE())</f>
        <v>Consumer</v>
      </c>
      <c r="K2321" s="1" t="str">
        <f aca="false">VLOOKUP(C2321,Products!$A$2:$E$62,3,FALSE())</f>
        <v>Office Supplies</v>
      </c>
      <c r="L2321" s="1" t="str">
        <f aca="false">TEXT(D2321,"yyyy-mm")</f>
        <v>2023-07</v>
      </c>
    </row>
    <row r="2322" customFormat="false" ht="15" hidden="false" customHeight="true" outlineLevel="0" collapsed="false">
      <c r="A2322" s="1" t="n">
        <v>2373</v>
      </c>
      <c r="B2322" s="1" t="n">
        <v>181</v>
      </c>
      <c r="C2322" s="1" t="n">
        <v>21</v>
      </c>
      <c r="D2322" s="1" t="s">
        <v>1352</v>
      </c>
      <c r="E2322" s="1" t="n">
        <v>3</v>
      </c>
      <c r="F2322" s="1" t="n">
        <v>84.91</v>
      </c>
      <c r="G2322" s="1" t="n">
        <v>0</v>
      </c>
      <c r="H2322" s="1" t="s">
        <v>1346</v>
      </c>
      <c r="I2322" s="1" t="n">
        <v>254.73</v>
      </c>
      <c r="J2322" s="1" t="str">
        <f aca="false">VLOOKUP(B2322,Customers!$A$2:$G$502,6,FALSE())</f>
        <v>Small Business</v>
      </c>
      <c r="K2322" s="1" t="str">
        <f aca="false">VLOOKUP(C2322,Products!$A$2:$E$62,3,FALSE())</f>
        <v>Office Supplies</v>
      </c>
      <c r="L2322" s="1" t="str">
        <f aca="false">TEXT(D2322,"yyyy-mm")</f>
        <v>2023-04</v>
      </c>
    </row>
    <row r="2323" customFormat="false" ht="15" hidden="false" customHeight="true" outlineLevel="0" collapsed="false">
      <c r="A2323" s="1" t="n">
        <v>2374</v>
      </c>
      <c r="B2323" s="1" t="n">
        <v>419</v>
      </c>
      <c r="C2323" s="1" t="n">
        <v>20</v>
      </c>
      <c r="D2323" s="1" t="s">
        <v>1640</v>
      </c>
      <c r="E2323" s="1" t="n">
        <v>1</v>
      </c>
      <c r="F2323" s="1" t="n">
        <v>426.15</v>
      </c>
      <c r="G2323" s="1" t="n">
        <v>0</v>
      </c>
      <c r="H2323" s="1" t="s">
        <v>1370</v>
      </c>
      <c r="I2323" s="1" t="n">
        <v>426.15</v>
      </c>
      <c r="J2323" s="1" t="str">
        <f aca="false">VLOOKUP(B2323,Customers!$A$2:$G$502,6,FALSE())</f>
        <v>Small Business</v>
      </c>
      <c r="K2323" s="1" t="str">
        <f aca="false">VLOOKUP(C2323,Products!$A$2:$E$62,3,FALSE())</f>
        <v>Office Supplies</v>
      </c>
      <c r="L2323" s="1" t="str">
        <f aca="false">TEXT(D2323,"yyyy-mm")</f>
        <v>2024-07</v>
      </c>
    </row>
    <row r="2324" customFormat="false" ht="15" hidden="false" customHeight="true" outlineLevel="0" collapsed="false">
      <c r="A2324" s="1" t="n">
        <v>2375</v>
      </c>
      <c r="B2324" s="1" t="n">
        <v>355</v>
      </c>
      <c r="C2324" s="1" t="n">
        <v>23</v>
      </c>
      <c r="D2324" s="1" t="s">
        <v>937</v>
      </c>
      <c r="E2324" s="1" t="n">
        <v>6</v>
      </c>
      <c r="F2324" s="1" t="n">
        <v>188.73</v>
      </c>
      <c r="G2324" s="1" t="n">
        <v>0.1</v>
      </c>
      <c r="H2324" s="1" t="s">
        <v>1336</v>
      </c>
      <c r="I2324" s="1" t="n">
        <v>1019.14</v>
      </c>
      <c r="J2324" s="1" t="str">
        <f aca="false">VLOOKUP(B2324,Customers!$A$2:$G$502,6,FALSE())</f>
        <v>Corporate</v>
      </c>
      <c r="K2324" s="1" t="str">
        <f aca="false">VLOOKUP(C2324,Products!$A$2:$E$62,3,FALSE())</f>
        <v>Office Supplies</v>
      </c>
      <c r="L2324" s="1" t="str">
        <f aca="false">TEXT(D2324,"yyyy-mm")</f>
        <v>2024-08</v>
      </c>
    </row>
    <row r="2325" customFormat="false" ht="15" hidden="false" customHeight="true" outlineLevel="0" collapsed="false">
      <c r="A2325" s="1" t="n">
        <v>2376</v>
      </c>
      <c r="B2325" s="1" t="n">
        <v>342</v>
      </c>
      <c r="C2325" s="1" t="n">
        <v>8</v>
      </c>
      <c r="D2325" s="1" t="s">
        <v>1637</v>
      </c>
      <c r="E2325" s="1" t="n">
        <v>7</v>
      </c>
      <c r="F2325" s="1" t="n">
        <v>104.4</v>
      </c>
      <c r="G2325" s="1" t="n">
        <v>0.1</v>
      </c>
      <c r="H2325" s="1" t="s">
        <v>1336</v>
      </c>
      <c r="I2325" s="1" t="n">
        <v>657.72</v>
      </c>
      <c r="J2325" s="1" t="str">
        <f aca="false">VLOOKUP(B2325,Customers!$A$2:$G$502,6,FALSE())</f>
        <v>Small Business</v>
      </c>
      <c r="K2325" s="1" t="str">
        <f aca="false">VLOOKUP(C2325,Products!$A$2:$E$62,3,FALSE())</f>
        <v>Electronics</v>
      </c>
      <c r="L2325" s="1" t="str">
        <f aca="false">TEXT(D2325,"yyyy-mm")</f>
        <v>2023-11</v>
      </c>
    </row>
    <row r="2326" customFormat="false" ht="15" hidden="false" customHeight="true" outlineLevel="0" collapsed="false">
      <c r="A2326" s="1" t="n">
        <v>2377</v>
      </c>
      <c r="B2326" s="1" t="n">
        <v>451</v>
      </c>
      <c r="C2326" s="1" t="n">
        <v>26</v>
      </c>
      <c r="D2326" s="1" t="s">
        <v>1642</v>
      </c>
      <c r="E2326" s="1" t="n">
        <v>2</v>
      </c>
      <c r="F2326" s="1" t="n">
        <v>733.85</v>
      </c>
      <c r="G2326" s="1" t="n">
        <v>0</v>
      </c>
      <c r="H2326" s="1" t="s">
        <v>1336</v>
      </c>
      <c r="I2326" s="1" t="n">
        <v>1467.7</v>
      </c>
      <c r="J2326" s="1" t="str">
        <f aca="false">VLOOKUP(B2326,Customers!$A$2:$G$502,6,FALSE())</f>
        <v>Corporate</v>
      </c>
      <c r="K2326" s="1" t="str">
        <f aca="false">VLOOKUP(C2326,Products!$A$2:$E$62,3,FALSE())</f>
        <v>Office Supplies</v>
      </c>
      <c r="L2326" s="1" t="str">
        <f aca="false">TEXT(D2326,"yyyy-mm")</f>
        <v>2024-12</v>
      </c>
    </row>
    <row r="2327" customFormat="false" ht="15" hidden="false" customHeight="true" outlineLevel="0" collapsed="false">
      <c r="A2327" s="1" t="n">
        <v>2378</v>
      </c>
      <c r="B2327" s="1" t="n">
        <v>285</v>
      </c>
      <c r="C2327" s="1" t="n">
        <v>28</v>
      </c>
      <c r="D2327" s="1" t="s">
        <v>1141</v>
      </c>
      <c r="E2327" s="1" t="n">
        <v>8</v>
      </c>
      <c r="F2327" s="1" t="n">
        <v>505.23</v>
      </c>
      <c r="G2327" s="1" t="n">
        <v>0.15</v>
      </c>
      <c r="H2327" s="1" t="s">
        <v>1336</v>
      </c>
      <c r="I2327" s="1" t="n">
        <v>3435.56</v>
      </c>
      <c r="J2327" s="1" t="str">
        <f aca="false">VLOOKUP(B2327,Customers!$A$2:$G$502,6,FALSE())</f>
        <v>Consumer</v>
      </c>
      <c r="K2327" s="1" t="str">
        <f aca="false">VLOOKUP(C2327,Products!$A$2:$E$62,3,FALSE())</f>
        <v>Office Supplies</v>
      </c>
      <c r="L2327" s="1" t="str">
        <f aca="false">TEXT(D2327,"yyyy-mm")</f>
        <v>2024-06</v>
      </c>
    </row>
    <row r="2328" customFormat="false" ht="15" hidden="false" customHeight="true" outlineLevel="0" collapsed="false">
      <c r="A2328" s="1" t="n">
        <v>2379</v>
      </c>
      <c r="B2328" s="1" t="n">
        <v>5</v>
      </c>
      <c r="C2328" s="1" t="n">
        <v>33</v>
      </c>
      <c r="D2328" s="1" t="s">
        <v>659</v>
      </c>
      <c r="E2328" s="1" t="n">
        <v>6</v>
      </c>
      <c r="F2328" s="1" t="n">
        <v>190.1</v>
      </c>
      <c r="G2328" s="1" t="n">
        <v>0</v>
      </c>
      <c r="H2328" s="1" t="s">
        <v>1336</v>
      </c>
      <c r="I2328" s="1" t="n">
        <v>1140.6</v>
      </c>
      <c r="J2328" s="1" t="str">
        <f aca="false">VLOOKUP(B2328,Customers!$A$2:$G$502,6,FALSE())</f>
        <v>Small Business</v>
      </c>
      <c r="K2328" s="1" t="str">
        <f aca="false">VLOOKUP(C2328,Products!$A$2:$E$62,3,FALSE())</f>
        <v>Office Supplies</v>
      </c>
      <c r="L2328" s="1" t="str">
        <f aca="false">TEXT(D2328,"yyyy-mm")</f>
        <v>2024-06</v>
      </c>
    </row>
    <row r="2329" customFormat="false" ht="15" hidden="false" customHeight="true" outlineLevel="0" collapsed="false">
      <c r="A2329" s="1" t="n">
        <v>2380</v>
      </c>
      <c r="B2329" s="1" t="n">
        <v>421</v>
      </c>
      <c r="C2329" s="1" t="n">
        <v>43</v>
      </c>
      <c r="D2329" s="1" t="s">
        <v>1640</v>
      </c>
      <c r="E2329" s="1" t="n">
        <v>4</v>
      </c>
      <c r="F2329" s="1" t="n">
        <v>186.31</v>
      </c>
      <c r="G2329" s="1" t="n">
        <v>0</v>
      </c>
      <c r="H2329" s="1" t="s">
        <v>1370</v>
      </c>
      <c r="I2329" s="1" t="n">
        <v>745.24</v>
      </c>
      <c r="J2329" s="1" t="str">
        <f aca="false">VLOOKUP(B2329,Customers!$A$2:$G$502,6,FALSE())</f>
        <v>Corporate</v>
      </c>
      <c r="K2329" s="1" t="str">
        <f aca="false">VLOOKUP(C2329,Products!$A$2:$E$62,3,FALSE())</f>
        <v>Software</v>
      </c>
      <c r="L2329" s="1" t="str">
        <f aca="false">TEXT(D2329,"yyyy-mm")</f>
        <v>2024-07</v>
      </c>
    </row>
    <row r="2330" customFormat="false" ht="15" hidden="false" customHeight="true" outlineLevel="0" collapsed="false">
      <c r="A2330" s="1" t="n">
        <v>2381</v>
      </c>
      <c r="B2330" s="1" t="n">
        <v>434</v>
      </c>
      <c r="C2330" s="1" t="n">
        <v>37</v>
      </c>
      <c r="D2330" s="1" t="s">
        <v>138</v>
      </c>
      <c r="E2330" s="1" t="n">
        <v>5</v>
      </c>
      <c r="F2330" s="1" t="n">
        <v>13.95</v>
      </c>
      <c r="G2330" s="1" t="n">
        <v>0</v>
      </c>
      <c r="H2330" s="1" t="s">
        <v>1336</v>
      </c>
      <c r="I2330" s="1" t="n">
        <v>69.75</v>
      </c>
      <c r="J2330" s="1" t="str">
        <f aca="false">VLOOKUP(B2330,Customers!$A$2:$G$502,6,FALSE())</f>
        <v>Consumer</v>
      </c>
      <c r="K2330" s="1" t="str">
        <f aca="false">VLOOKUP(C2330,Products!$A$2:$E$62,3,FALSE())</f>
        <v>Software</v>
      </c>
      <c r="L2330" s="1" t="str">
        <f aca="false">TEXT(D2330,"yyyy-mm")</f>
        <v>2023-05</v>
      </c>
    </row>
    <row r="2331" customFormat="false" ht="15" hidden="false" customHeight="true" outlineLevel="0" collapsed="false">
      <c r="A2331" s="1" t="n">
        <v>2382</v>
      </c>
      <c r="B2331" s="1" t="n">
        <v>392</v>
      </c>
      <c r="C2331" s="1" t="n">
        <v>34</v>
      </c>
      <c r="D2331" s="1" t="s">
        <v>516</v>
      </c>
      <c r="E2331" s="1" t="n">
        <v>8</v>
      </c>
      <c r="F2331" s="1" t="n">
        <v>116.85</v>
      </c>
      <c r="G2331" s="1" t="n">
        <v>0.05</v>
      </c>
      <c r="H2331" s="1" t="s">
        <v>1336</v>
      </c>
      <c r="I2331" s="1" t="n">
        <v>888.06</v>
      </c>
      <c r="J2331" s="1" t="str">
        <f aca="false">VLOOKUP(B2331,Customers!$A$2:$G$502,6,FALSE())</f>
        <v>Corporate</v>
      </c>
      <c r="K2331" s="1" t="str">
        <f aca="false">VLOOKUP(C2331,Products!$A$2:$E$62,3,FALSE())</f>
        <v>Office Supplies</v>
      </c>
      <c r="L2331" s="1" t="str">
        <f aca="false">TEXT(D2331,"yyyy-mm")</f>
        <v>2023-07</v>
      </c>
    </row>
    <row r="2332" customFormat="false" ht="15" hidden="false" customHeight="true" outlineLevel="0" collapsed="false">
      <c r="A2332" s="1" t="n">
        <v>2383</v>
      </c>
      <c r="B2332" s="1" t="n">
        <v>167</v>
      </c>
      <c r="C2332" s="1" t="n">
        <v>15</v>
      </c>
      <c r="D2332" s="1" t="s">
        <v>1594</v>
      </c>
      <c r="E2332" s="1" t="n">
        <v>3</v>
      </c>
      <c r="F2332" s="1" t="n">
        <v>304.95</v>
      </c>
      <c r="G2332" s="1" t="n">
        <v>0.1</v>
      </c>
      <c r="H2332" s="1" t="s">
        <v>1336</v>
      </c>
      <c r="I2332" s="1" t="n">
        <v>823.36</v>
      </c>
      <c r="J2332" s="1" t="str">
        <f aca="false">VLOOKUP(B2332,Customers!$A$2:$G$502,6,FALSE())</f>
        <v>Unknown</v>
      </c>
      <c r="K2332" s="1" t="str">
        <f aca="false">VLOOKUP(C2332,Products!$A$2:$E$62,3,FALSE())</f>
        <v>Electronics</v>
      </c>
      <c r="L2332" s="1" t="str">
        <f aca="false">TEXT(D2332,"yyyy-mm")</f>
        <v>2023-10</v>
      </c>
    </row>
    <row r="2333" customFormat="false" ht="15" hidden="false" customHeight="true" outlineLevel="0" collapsed="false">
      <c r="A2333" s="1" t="n">
        <v>2384</v>
      </c>
      <c r="B2333" s="1" t="n">
        <v>259</v>
      </c>
      <c r="C2333" s="1" t="n">
        <v>11</v>
      </c>
      <c r="D2333" s="1" t="s">
        <v>1532</v>
      </c>
      <c r="E2333" s="1" t="n">
        <v>3</v>
      </c>
      <c r="F2333" s="1" t="n">
        <v>328.39</v>
      </c>
      <c r="G2333" s="1" t="n">
        <v>0</v>
      </c>
      <c r="H2333" s="1" t="s">
        <v>1336</v>
      </c>
      <c r="I2333" s="1" t="n">
        <v>985.17</v>
      </c>
      <c r="J2333" s="1" t="str">
        <f aca="false">VLOOKUP(B2333,Customers!$A$2:$G$502,6,FALSE())</f>
        <v>Consumer</v>
      </c>
      <c r="K2333" s="1" t="str">
        <f aca="false">VLOOKUP(C2333,Products!$A$2:$E$62,3,FALSE())</f>
        <v>Electronics</v>
      </c>
      <c r="L2333" s="1" t="str">
        <f aca="false">TEXT(D2333,"yyyy-mm")</f>
        <v>2023-05</v>
      </c>
    </row>
    <row r="2334" customFormat="false" ht="15" hidden="false" customHeight="true" outlineLevel="0" collapsed="false">
      <c r="A2334" s="1" t="n">
        <v>2385</v>
      </c>
      <c r="B2334" s="1" t="n">
        <v>76</v>
      </c>
      <c r="C2334" s="1" t="n">
        <v>46</v>
      </c>
      <c r="D2334" s="1" t="s">
        <v>1497</v>
      </c>
      <c r="E2334" s="1" t="n">
        <v>4</v>
      </c>
      <c r="F2334" s="1" t="n">
        <v>94.92</v>
      </c>
      <c r="G2334" s="1" t="n">
        <v>0</v>
      </c>
      <c r="H2334" s="1" t="s">
        <v>1336</v>
      </c>
      <c r="I2334" s="1" t="n">
        <v>379.68</v>
      </c>
      <c r="J2334" s="1" t="str">
        <f aca="false">VLOOKUP(B2334,Customers!$A$2:$G$502,6,FALSE())</f>
        <v>Consumer</v>
      </c>
      <c r="K2334" s="1" t="str">
        <f aca="false">VLOOKUP(C2334,Products!$A$2:$E$62,3,FALSE())</f>
        <v>Software</v>
      </c>
      <c r="L2334" s="1" t="str">
        <f aca="false">TEXT(D2334,"yyyy-mm")</f>
        <v>2023-01</v>
      </c>
    </row>
    <row r="2335" customFormat="false" ht="15" hidden="false" customHeight="true" outlineLevel="0" collapsed="false">
      <c r="A2335" s="1" t="n">
        <v>2386</v>
      </c>
      <c r="B2335" s="1" t="n">
        <v>481</v>
      </c>
      <c r="C2335" s="1" t="n">
        <v>48</v>
      </c>
      <c r="D2335" s="1" t="s">
        <v>1468</v>
      </c>
      <c r="E2335" s="1" t="n">
        <v>1</v>
      </c>
      <c r="F2335" s="1" t="n">
        <v>493.53</v>
      </c>
      <c r="G2335" s="1" t="n">
        <v>0</v>
      </c>
      <c r="H2335" s="1" t="s">
        <v>1336</v>
      </c>
      <c r="I2335" s="1" t="n">
        <v>493.53</v>
      </c>
      <c r="J2335" s="1" t="str">
        <f aca="false">VLOOKUP(B2335,Customers!$A$2:$G$502,6,FALSE())</f>
        <v>Small Business</v>
      </c>
      <c r="K2335" s="1" t="str">
        <f aca="false">VLOOKUP(C2335,Products!$A$2:$E$62,3,FALSE())</f>
        <v>Software</v>
      </c>
      <c r="L2335" s="1" t="str">
        <f aca="false">TEXT(D2335,"yyyy-mm")</f>
        <v>2023-06</v>
      </c>
    </row>
    <row r="2336" customFormat="false" ht="15" hidden="false" customHeight="true" outlineLevel="0" collapsed="false">
      <c r="A2336" s="1" t="n">
        <v>2387</v>
      </c>
      <c r="B2336" s="1" t="n">
        <v>112</v>
      </c>
      <c r="C2336" s="1" t="n">
        <v>1</v>
      </c>
      <c r="D2336" s="1" t="s">
        <v>390</v>
      </c>
      <c r="E2336" s="1" t="n">
        <v>9</v>
      </c>
      <c r="F2336" s="1" t="n">
        <v>327.32</v>
      </c>
      <c r="G2336" s="1" t="n">
        <v>0</v>
      </c>
      <c r="H2336" s="1" t="s">
        <v>1336</v>
      </c>
      <c r="I2336" s="1" t="n">
        <v>2945.88</v>
      </c>
      <c r="J2336" s="1" t="str">
        <f aca="false">VLOOKUP(B2336,Customers!$A$2:$G$502,6,FALSE())</f>
        <v>Corporate</v>
      </c>
      <c r="K2336" s="1" t="str">
        <f aca="false">VLOOKUP(C2336,Products!$A$2:$E$62,3,FALSE())</f>
        <v>Electronics</v>
      </c>
      <c r="L2336" s="1" t="str">
        <f aca="false">TEXT(D2336,"yyyy-mm")</f>
        <v>2023-03</v>
      </c>
    </row>
    <row r="2337" customFormat="false" ht="15" hidden="false" customHeight="true" outlineLevel="0" collapsed="false">
      <c r="A2337" s="1" t="n">
        <v>2388</v>
      </c>
      <c r="B2337" s="1" t="n">
        <v>366</v>
      </c>
      <c r="C2337" s="1" t="n">
        <v>26</v>
      </c>
      <c r="D2337" s="1" t="s">
        <v>1618</v>
      </c>
      <c r="E2337" s="1" t="n">
        <v>8</v>
      </c>
      <c r="F2337" s="1" t="n">
        <v>733.85</v>
      </c>
      <c r="G2337" s="1" t="n">
        <v>0</v>
      </c>
      <c r="H2337" s="1" t="s">
        <v>1336</v>
      </c>
      <c r="I2337" s="1" t="n">
        <v>5870.8</v>
      </c>
      <c r="J2337" s="1" t="str">
        <f aca="false">VLOOKUP(B2337,Customers!$A$2:$G$502,6,FALSE())</f>
        <v>Corporate</v>
      </c>
      <c r="K2337" s="1" t="str">
        <f aca="false">VLOOKUP(C2337,Products!$A$2:$E$62,3,FALSE())</f>
        <v>Office Supplies</v>
      </c>
      <c r="L2337" s="1" t="str">
        <f aca="false">TEXT(D2337,"yyyy-mm")</f>
        <v>2024-04</v>
      </c>
    </row>
    <row r="2338" customFormat="false" ht="15" hidden="false" customHeight="true" outlineLevel="0" collapsed="false">
      <c r="A2338" s="1" t="n">
        <v>2389</v>
      </c>
      <c r="B2338" s="1" t="n">
        <v>394</v>
      </c>
      <c r="C2338" s="1" t="n">
        <v>50</v>
      </c>
      <c r="D2338" s="1" t="s">
        <v>1583</v>
      </c>
      <c r="E2338" s="1" t="n">
        <v>8</v>
      </c>
      <c r="F2338" s="1" t="n">
        <v>19.73</v>
      </c>
      <c r="G2338" s="1" t="n">
        <v>0</v>
      </c>
      <c r="H2338" s="1" t="s">
        <v>1336</v>
      </c>
      <c r="I2338" s="1" t="n">
        <v>157.84</v>
      </c>
      <c r="J2338" s="1" t="str">
        <f aca="false">VLOOKUP(B2338,Customers!$A$2:$G$502,6,FALSE())</f>
        <v>Corporate</v>
      </c>
      <c r="K2338" s="1" t="str">
        <f aca="false">VLOOKUP(C2338,Products!$A$2:$E$62,3,FALSE())</f>
        <v>Software</v>
      </c>
      <c r="L2338" s="1" t="str">
        <f aca="false">TEXT(D2338,"yyyy-mm")</f>
        <v>2024-08</v>
      </c>
    </row>
    <row r="2339" customFormat="false" ht="15" hidden="false" customHeight="true" outlineLevel="0" collapsed="false">
      <c r="A2339" s="1" t="n">
        <v>2390</v>
      </c>
      <c r="B2339" s="1" t="n">
        <v>489</v>
      </c>
      <c r="C2339" s="1" t="n">
        <v>55</v>
      </c>
      <c r="D2339" s="1" t="s">
        <v>1395</v>
      </c>
      <c r="E2339" s="1" t="n">
        <v>6</v>
      </c>
      <c r="F2339" s="1" t="n">
        <v>123.38</v>
      </c>
      <c r="G2339" s="1" t="n">
        <v>0.05</v>
      </c>
      <c r="H2339" s="1" t="s">
        <v>1336</v>
      </c>
      <c r="I2339" s="1" t="n">
        <v>703.27</v>
      </c>
      <c r="J2339" s="1" t="str">
        <f aca="false">VLOOKUP(B2339,Customers!$A$2:$G$502,6,FALSE())</f>
        <v>Small Business</v>
      </c>
      <c r="K2339" s="1" t="str">
        <f aca="false">VLOOKUP(C2339,Products!$A$2:$E$62,3,FALSE())</f>
        <v>Furniture</v>
      </c>
      <c r="L2339" s="1" t="str">
        <f aca="false">TEXT(D2339,"yyyy-mm")</f>
        <v>2023-04</v>
      </c>
    </row>
    <row r="2340" customFormat="false" ht="15" hidden="false" customHeight="true" outlineLevel="0" collapsed="false">
      <c r="A2340" s="1" t="n">
        <v>2391</v>
      </c>
      <c r="B2340" s="1" t="n">
        <v>351</v>
      </c>
      <c r="C2340" s="1" t="n">
        <v>32</v>
      </c>
      <c r="D2340" s="1" t="s">
        <v>516</v>
      </c>
      <c r="E2340" s="1" t="n">
        <v>7</v>
      </c>
      <c r="F2340" s="1" t="n">
        <v>492.27</v>
      </c>
      <c r="G2340" s="1" t="n">
        <v>0.05</v>
      </c>
      <c r="H2340" s="1" t="s">
        <v>1336</v>
      </c>
      <c r="I2340" s="1" t="n">
        <v>3273.6</v>
      </c>
      <c r="J2340" s="1" t="str">
        <f aca="false">VLOOKUP(B2340,Customers!$A$2:$G$502,6,FALSE())</f>
        <v>Small Business</v>
      </c>
      <c r="K2340" s="1" t="str">
        <f aca="false">VLOOKUP(C2340,Products!$A$2:$E$62,3,FALSE())</f>
        <v>Office Supplies</v>
      </c>
      <c r="L2340" s="1" t="str">
        <f aca="false">TEXT(D2340,"yyyy-mm")</f>
        <v>2023-07</v>
      </c>
    </row>
    <row r="2341" customFormat="false" ht="15" hidden="false" customHeight="true" outlineLevel="0" collapsed="false">
      <c r="A2341" s="1" t="n">
        <v>2392</v>
      </c>
      <c r="B2341" s="1" t="n">
        <v>373</v>
      </c>
      <c r="C2341" s="1" t="n">
        <v>30</v>
      </c>
      <c r="D2341" s="1" t="s">
        <v>1463</v>
      </c>
      <c r="E2341" s="1" t="n">
        <v>6</v>
      </c>
      <c r="F2341" s="1" t="n">
        <v>33.32</v>
      </c>
      <c r="G2341" s="1" t="n">
        <v>0</v>
      </c>
      <c r="H2341" s="1" t="s">
        <v>1336</v>
      </c>
      <c r="I2341" s="1" t="n">
        <v>199.92</v>
      </c>
      <c r="J2341" s="1" t="str">
        <f aca="false">VLOOKUP(B2341,Customers!$A$2:$G$502,6,FALSE())</f>
        <v>Corporate</v>
      </c>
      <c r="K2341" s="1" t="str">
        <f aca="false">VLOOKUP(C2341,Products!$A$2:$E$62,3,FALSE())</f>
        <v>Office Supplies</v>
      </c>
      <c r="L2341" s="1" t="str">
        <f aca="false">TEXT(D2341,"yyyy-mm")</f>
        <v>2024-09</v>
      </c>
    </row>
    <row r="2342" customFormat="false" ht="15" hidden="false" customHeight="true" outlineLevel="0" collapsed="false">
      <c r="A2342" s="1" t="n">
        <v>2393</v>
      </c>
      <c r="B2342" s="1" t="n">
        <v>432</v>
      </c>
      <c r="C2342" s="1" t="n">
        <v>6</v>
      </c>
      <c r="D2342" s="1" t="s">
        <v>1410</v>
      </c>
      <c r="E2342" s="1" t="n">
        <v>9</v>
      </c>
      <c r="F2342" s="1" t="n">
        <v>28.51</v>
      </c>
      <c r="G2342" s="1" t="n">
        <v>0.05</v>
      </c>
      <c r="H2342" s="1" t="s">
        <v>1336</v>
      </c>
      <c r="I2342" s="1" t="n">
        <v>243.76</v>
      </c>
      <c r="J2342" s="1" t="str">
        <f aca="false">VLOOKUP(B2342,Customers!$A$2:$G$502,6,FALSE())</f>
        <v>Consumer</v>
      </c>
      <c r="K2342" s="1" t="str">
        <f aca="false">VLOOKUP(C2342,Products!$A$2:$E$62,3,FALSE())</f>
        <v>Electronics</v>
      </c>
      <c r="L2342" s="1" t="str">
        <f aca="false">TEXT(D2342,"yyyy-mm")</f>
        <v>2024-07</v>
      </c>
    </row>
    <row r="2343" customFormat="false" ht="15" hidden="false" customHeight="true" outlineLevel="0" collapsed="false">
      <c r="A2343" s="1" t="n">
        <v>2394</v>
      </c>
      <c r="B2343" s="1" t="n">
        <v>472</v>
      </c>
      <c r="C2343" s="1" t="n">
        <v>39</v>
      </c>
      <c r="D2343" s="1" t="s">
        <v>1050</v>
      </c>
      <c r="E2343" s="1" t="n">
        <v>3</v>
      </c>
      <c r="F2343" s="1" t="n">
        <v>400.02</v>
      </c>
      <c r="G2343" s="1" t="n">
        <v>0.1</v>
      </c>
      <c r="H2343" s="1" t="s">
        <v>1336</v>
      </c>
      <c r="I2343" s="1" t="n">
        <v>1080.05</v>
      </c>
      <c r="J2343" s="1" t="str">
        <f aca="false">VLOOKUP(B2343,Customers!$A$2:$G$502,6,FALSE())</f>
        <v>Consumer</v>
      </c>
      <c r="K2343" s="1" t="str">
        <f aca="false">VLOOKUP(C2343,Products!$A$2:$E$62,3,FALSE())</f>
        <v>Software</v>
      </c>
      <c r="L2343" s="1" t="str">
        <f aca="false">TEXT(D2343,"yyyy-mm")</f>
        <v>2024-08</v>
      </c>
    </row>
    <row r="2344" customFormat="false" ht="15" hidden="false" customHeight="true" outlineLevel="0" collapsed="false">
      <c r="A2344" s="1" t="n">
        <v>2395</v>
      </c>
      <c r="B2344" s="1" t="n">
        <v>371</v>
      </c>
      <c r="C2344" s="1" t="n">
        <v>54</v>
      </c>
      <c r="D2344" s="1" t="s">
        <v>12</v>
      </c>
      <c r="E2344" s="1" t="n">
        <v>3</v>
      </c>
      <c r="F2344" s="1" t="n">
        <v>312.01</v>
      </c>
      <c r="G2344" s="1" t="n">
        <v>0.05</v>
      </c>
      <c r="H2344" s="1" t="s">
        <v>1336</v>
      </c>
      <c r="I2344" s="1" t="n">
        <v>889.23</v>
      </c>
      <c r="J2344" s="1" t="str">
        <f aca="false">VLOOKUP(B2344,Customers!$A$2:$G$502,6,FALSE())</f>
        <v>Unknown</v>
      </c>
      <c r="K2344" s="1" t="str">
        <f aca="false">VLOOKUP(C2344,Products!$A$2:$E$62,3,FALSE())</f>
        <v>Software</v>
      </c>
      <c r="L2344" s="1" t="str">
        <f aca="false">TEXT(D2344,"yyyy-mm")</f>
        <v>2023-09</v>
      </c>
    </row>
    <row r="2345" customFormat="false" ht="15" hidden="false" customHeight="true" outlineLevel="0" collapsed="false">
      <c r="A2345" s="1" t="n">
        <v>2396</v>
      </c>
      <c r="B2345" s="1" t="n">
        <v>340</v>
      </c>
      <c r="C2345" s="1" t="n">
        <v>39</v>
      </c>
      <c r="D2345" s="1" t="s">
        <v>1670</v>
      </c>
      <c r="E2345" s="1" t="n">
        <v>3</v>
      </c>
      <c r="F2345" s="1" t="n">
        <v>400.02</v>
      </c>
      <c r="G2345" s="1" t="n">
        <v>0.15</v>
      </c>
      <c r="H2345" s="1" t="s">
        <v>1336</v>
      </c>
      <c r="I2345" s="1" t="n">
        <v>1020.05</v>
      </c>
      <c r="J2345" s="1" t="str">
        <f aca="false">VLOOKUP(B2345,Customers!$A$2:$G$502,6,FALSE())</f>
        <v>Consumer</v>
      </c>
      <c r="K2345" s="1" t="str">
        <f aca="false">VLOOKUP(C2345,Products!$A$2:$E$62,3,FALSE())</f>
        <v>Software</v>
      </c>
      <c r="L2345" s="1" t="str">
        <f aca="false">TEXT(D2345,"yyyy-mm")</f>
        <v>2024-07</v>
      </c>
    </row>
    <row r="2346" customFormat="false" ht="15" hidden="false" customHeight="true" outlineLevel="0" collapsed="false">
      <c r="A2346" s="1" t="n">
        <v>2397</v>
      </c>
      <c r="B2346" s="1" t="n">
        <v>493</v>
      </c>
      <c r="C2346" s="1" t="n">
        <v>52</v>
      </c>
      <c r="D2346" s="1" t="s">
        <v>1520</v>
      </c>
      <c r="E2346" s="1" t="n">
        <v>3</v>
      </c>
      <c r="F2346" s="1" t="n">
        <v>207.67</v>
      </c>
      <c r="G2346" s="1" t="n">
        <v>0</v>
      </c>
      <c r="H2346" s="1" t="s">
        <v>1370</v>
      </c>
      <c r="I2346" s="1" t="n">
        <v>623.01</v>
      </c>
      <c r="J2346" s="1" t="str">
        <f aca="false">VLOOKUP(B2346,Customers!$A$2:$G$502,6,FALSE())</f>
        <v>Corporate</v>
      </c>
      <c r="K2346" s="1" t="str">
        <f aca="false">VLOOKUP(C2346,Products!$A$2:$E$62,3,FALSE())</f>
        <v>Software</v>
      </c>
      <c r="L2346" s="1" t="str">
        <f aca="false">TEXT(D2346,"yyyy-mm")</f>
        <v>2023-11</v>
      </c>
    </row>
    <row r="2347" customFormat="false" ht="15" hidden="false" customHeight="true" outlineLevel="0" collapsed="false">
      <c r="A2347" s="1" t="n">
        <v>2398</v>
      </c>
      <c r="B2347" s="1" t="n">
        <v>7</v>
      </c>
      <c r="C2347" s="1" t="n">
        <v>5</v>
      </c>
      <c r="D2347" s="1" t="s">
        <v>1675</v>
      </c>
      <c r="E2347" s="1" t="n">
        <v>9</v>
      </c>
      <c r="F2347" s="1" t="n">
        <v>439.06</v>
      </c>
      <c r="G2347" s="1" t="n">
        <v>0</v>
      </c>
      <c r="H2347" s="1" t="s">
        <v>1336</v>
      </c>
      <c r="I2347" s="1" t="n">
        <v>3951.54</v>
      </c>
      <c r="J2347" s="1" t="str">
        <f aca="false">VLOOKUP(B2347,Customers!$A$2:$G$502,6,FALSE())</f>
        <v>Small Business</v>
      </c>
      <c r="K2347" s="1" t="str">
        <f aca="false">VLOOKUP(C2347,Products!$A$2:$E$62,3,FALSE())</f>
        <v>Electronics</v>
      </c>
      <c r="L2347" s="1" t="str">
        <f aca="false">TEXT(D2347,"yyyy-mm")</f>
        <v>2024-01</v>
      </c>
    </row>
    <row r="2348" customFormat="false" ht="15" hidden="false" customHeight="true" outlineLevel="0" collapsed="false">
      <c r="A2348" s="1" t="n">
        <v>2399</v>
      </c>
      <c r="B2348" s="1" t="n">
        <v>165</v>
      </c>
      <c r="C2348" s="1" t="n">
        <v>25</v>
      </c>
      <c r="D2348" s="1" t="s">
        <v>342</v>
      </c>
      <c r="E2348" s="1" t="n">
        <v>4</v>
      </c>
      <c r="F2348" s="1" t="n">
        <v>300.49</v>
      </c>
      <c r="G2348" s="1" t="n">
        <v>0.1</v>
      </c>
      <c r="H2348" s="1" t="s">
        <v>1336</v>
      </c>
      <c r="I2348" s="1" t="n">
        <v>1081.76</v>
      </c>
      <c r="J2348" s="1" t="str">
        <f aca="false">VLOOKUP(B2348,Customers!$A$2:$G$502,6,FALSE())</f>
        <v>Consumer</v>
      </c>
      <c r="K2348" s="1" t="str">
        <f aca="false">VLOOKUP(C2348,Products!$A$2:$E$62,3,FALSE())</f>
        <v>Office Supplies</v>
      </c>
      <c r="L2348" s="1" t="str">
        <f aca="false">TEXT(D2348,"yyyy-mm")</f>
        <v>2024-08</v>
      </c>
    </row>
    <row r="2349" customFormat="false" ht="15" hidden="false" customHeight="true" outlineLevel="0" collapsed="false">
      <c r="A2349" s="1" t="n">
        <v>2400</v>
      </c>
      <c r="B2349" s="1" t="n">
        <v>208</v>
      </c>
      <c r="C2349" s="1" t="n">
        <v>28</v>
      </c>
      <c r="D2349" s="1" t="s">
        <v>1442</v>
      </c>
      <c r="E2349" s="1" t="n">
        <v>7</v>
      </c>
      <c r="F2349" s="1" t="n">
        <v>505.23</v>
      </c>
      <c r="G2349" s="1" t="n">
        <v>0</v>
      </c>
      <c r="H2349" s="1" t="s">
        <v>1336</v>
      </c>
      <c r="I2349" s="1" t="n">
        <v>3536.61</v>
      </c>
      <c r="J2349" s="1" t="str">
        <f aca="false">VLOOKUP(B2349,Customers!$A$2:$G$502,6,FALSE())</f>
        <v>Corporate</v>
      </c>
      <c r="K2349" s="1" t="str">
        <f aca="false">VLOOKUP(C2349,Products!$A$2:$E$62,3,FALSE())</f>
        <v>Office Supplies</v>
      </c>
      <c r="L2349" s="1" t="str">
        <f aca="false">TEXT(D2349,"yyyy-mm")</f>
        <v>2024-03</v>
      </c>
    </row>
    <row r="2350" customFormat="false" ht="15" hidden="false" customHeight="true" outlineLevel="0" collapsed="false">
      <c r="A2350" s="1" t="n">
        <v>2401</v>
      </c>
      <c r="B2350" s="1" t="n">
        <v>330</v>
      </c>
      <c r="C2350" s="1" t="n">
        <v>47</v>
      </c>
      <c r="D2350" s="1" t="s">
        <v>503</v>
      </c>
      <c r="E2350" s="1" t="n">
        <v>9</v>
      </c>
      <c r="F2350" s="1" t="n">
        <v>506.19</v>
      </c>
      <c r="G2350" s="1" t="n">
        <v>0.2</v>
      </c>
      <c r="H2350" s="1" t="s">
        <v>1336</v>
      </c>
      <c r="I2350" s="1" t="n">
        <v>3644.57</v>
      </c>
      <c r="J2350" s="1" t="str">
        <f aca="false">VLOOKUP(B2350,Customers!$A$2:$G$502,6,FALSE())</f>
        <v>Corporate</v>
      </c>
      <c r="K2350" s="1" t="str">
        <f aca="false">VLOOKUP(C2350,Products!$A$2:$E$62,3,FALSE())</f>
        <v>Software</v>
      </c>
      <c r="L2350" s="1" t="str">
        <f aca="false">TEXT(D2350,"yyyy-mm")</f>
        <v>2023-01</v>
      </c>
    </row>
    <row r="2351" customFormat="false" ht="15" hidden="false" customHeight="true" outlineLevel="0" collapsed="false">
      <c r="A2351" s="1" t="n">
        <v>2402</v>
      </c>
      <c r="B2351" s="1" t="n">
        <v>78</v>
      </c>
      <c r="C2351" s="1" t="n">
        <v>59</v>
      </c>
      <c r="D2351" s="1" t="s">
        <v>1117</v>
      </c>
      <c r="E2351" s="1" t="n">
        <v>7</v>
      </c>
      <c r="F2351" s="1" t="n">
        <v>438.89</v>
      </c>
      <c r="G2351" s="1" t="n">
        <v>0.15</v>
      </c>
      <c r="H2351" s="1" t="s">
        <v>1336</v>
      </c>
      <c r="I2351" s="1" t="n">
        <v>2611.4</v>
      </c>
      <c r="J2351" s="1" t="str">
        <f aca="false">VLOOKUP(B2351,Customers!$A$2:$G$502,6,FALSE())</f>
        <v>Consumer</v>
      </c>
      <c r="K2351" s="1" t="str">
        <f aca="false">VLOOKUP(C2351,Products!$A$2:$E$62,3,FALSE())</f>
        <v>Furniture</v>
      </c>
      <c r="L2351" s="1" t="str">
        <f aca="false">TEXT(D2351,"yyyy-mm")</f>
        <v>2023-05</v>
      </c>
    </row>
    <row r="2352" customFormat="false" ht="15" hidden="false" customHeight="true" outlineLevel="0" collapsed="false">
      <c r="A2352" s="1" t="n">
        <v>2403</v>
      </c>
      <c r="B2352" s="1" t="n">
        <v>1</v>
      </c>
      <c r="C2352" s="1" t="n">
        <v>10</v>
      </c>
      <c r="D2352" s="1" t="s">
        <v>1510</v>
      </c>
      <c r="E2352" s="1" t="n">
        <v>9</v>
      </c>
      <c r="F2352" s="1" t="n">
        <v>251.58</v>
      </c>
      <c r="G2352" s="1" t="n">
        <v>0</v>
      </c>
      <c r="H2352" s="1" t="s">
        <v>1336</v>
      </c>
      <c r="I2352" s="1" t="n">
        <v>2264.22</v>
      </c>
      <c r="J2352" s="1" t="str">
        <f aca="false">VLOOKUP(B2352,Customers!$A$2:$G$502,6,FALSE())</f>
        <v>Consumer</v>
      </c>
      <c r="K2352" s="1" t="str">
        <f aca="false">VLOOKUP(C2352,Products!$A$2:$E$62,3,FALSE())</f>
        <v>Electronics</v>
      </c>
      <c r="L2352" s="1" t="str">
        <f aca="false">TEXT(D2352,"yyyy-mm")</f>
        <v>2024-02</v>
      </c>
    </row>
    <row r="2353" customFormat="false" ht="15" hidden="false" customHeight="true" outlineLevel="0" collapsed="false">
      <c r="A2353" s="1" t="n">
        <v>2404</v>
      </c>
      <c r="B2353" s="1" t="n">
        <v>353</v>
      </c>
      <c r="C2353" s="1" t="n">
        <v>21</v>
      </c>
      <c r="D2353" s="1" t="s">
        <v>1344</v>
      </c>
      <c r="E2353" s="1" t="n">
        <v>3</v>
      </c>
      <c r="F2353" s="1" t="n">
        <v>84.91</v>
      </c>
      <c r="G2353" s="1" t="n">
        <v>0.05</v>
      </c>
      <c r="H2353" s="1" t="s">
        <v>1336</v>
      </c>
      <c r="I2353" s="1" t="n">
        <v>241.99</v>
      </c>
      <c r="J2353" s="1" t="str">
        <f aca="false">VLOOKUP(B2353,Customers!$A$2:$G$502,6,FALSE())</f>
        <v>Corporate</v>
      </c>
      <c r="K2353" s="1" t="str">
        <f aca="false">VLOOKUP(C2353,Products!$A$2:$E$62,3,FALSE())</f>
        <v>Office Supplies</v>
      </c>
      <c r="L2353" s="1" t="str">
        <f aca="false">TEXT(D2353,"yyyy-mm")</f>
        <v>2023-05</v>
      </c>
    </row>
    <row r="2354" customFormat="false" ht="15" hidden="false" customHeight="true" outlineLevel="0" collapsed="false">
      <c r="A2354" s="1" t="n">
        <v>2405</v>
      </c>
      <c r="B2354" s="1" t="n">
        <v>160</v>
      </c>
      <c r="C2354" s="1" t="n">
        <v>11</v>
      </c>
      <c r="D2354" s="1" t="s">
        <v>1273</v>
      </c>
      <c r="E2354" s="1" t="n">
        <v>4</v>
      </c>
      <c r="F2354" s="1" t="n">
        <v>328.39</v>
      </c>
      <c r="G2354" s="1" t="n">
        <v>0</v>
      </c>
      <c r="H2354" s="1" t="s">
        <v>1370</v>
      </c>
      <c r="I2354" s="1" t="n">
        <v>1313.56</v>
      </c>
      <c r="J2354" s="1" t="str">
        <f aca="false">VLOOKUP(B2354,Customers!$A$2:$G$502,6,FALSE())</f>
        <v>Consumer</v>
      </c>
      <c r="K2354" s="1" t="str">
        <f aca="false">VLOOKUP(C2354,Products!$A$2:$E$62,3,FALSE())</f>
        <v>Electronics</v>
      </c>
      <c r="L2354" s="1" t="str">
        <f aca="false">TEXT(D2354,"yyyy-mm")</f>
        <v>2023-08</v>
      </c>
    </row>
    <row r="2355" customFormat="false" ht="15" hidden="false" customHeight="true" outlineLevel="0" collapsed="false">
      <c r="A2355" s="1" t="n">
        <v>2406</v>
      </c>
      <c r="B2355" s="1" t="n">
        <v>49</v>
      </c>
      <c r="C2355" s="1" t="n">
        <v>50</v>
      </c>
      <c r="D2355" s="1" t="s">
        <v>1624</v>
      </c>
      <c r="E2355" s="1" t="n">
        <v>8</v>
      </c>
      <c r="F2355" s="1" t="n">
        <v>19.73</v>
      </c>
      <c r="G2355" s="1" t="n">
        <v>0</v>
      </c>
      <c r="H2355" s="1" t="s">
        <v>1336</v>
      </c>
      <c r="I2355" s="1" t="n">
        <v>157.84</v>
      </c>
      <c r="J2355" s="1" t="str">
        <f aca="false">VLOOKUP(B2355,Customers!$A$2:$G$502,6,FALSE())</f>
        <v>Corporate</v>
      </c>
      <c r="K2355" s="1" t="str">
        <f aca="false">VLOOKUP(C2355,Products!$A$2:$E$62,3,FALSE())</f>
        <v>Software</v>
      </c>
      <c r="L2355" s="1" t="str">
        <f aca="false">TEXT(D2355,"yyyy-mm")</f>
        <v>2024-07</v>
      </c>
    </row>
    <row r="2356" customFormat="false" ht="15" hidden="false" customHeight="true" outlineLevel="0" collapsed="false">
      <c r="A2356" s="1" t="n">
        <v>2408</v>
      </c>
      <c r="B2356" s="1" t="n">
        <v>341</v>
      </c>
      <c r="C2356" s="1" t="n">
        <v>56</v>
      </c>
      <c r="D2356" s="1" t="s">
        <v>1509</v>
      </c>
      <c r="E2356" s="1" t="n">
        <v>5</v>
      </c>
      <c r="F2356" s="1" t="n">
        <v>160.64</v>
      </c>
      <c r="G2356" s="1" t="n">
        <v>0</v>
      </c>
      <c r="H2356" s="1" t="s">
        <v>1346</v>
      </c>
      <c r="I2356" s="1" t="n">
        <v>803.2</v>
      </c>
      <c r="J2356" s="1" t="str">
        <f aca="false">VLOOKUP(B2356,Customers!$A$2:$G$502,6,FALSE())</f>
        <v>Small Business</v>
      </c>
      <c r="K2356" s="1" t="str">
        <f aca="false">VLOOKUP(C2356,Products!$A$2:$E$62,3,FALSE())</f>
        <v>Furniture</v>
      </c>
      <c r="L2356" s="1" t="str">
        <f aca="false">TEXT(D2356,"yyyy-mm")</f>
        <v>2024-02</v>
      </c>
    </row>
    <row r="2357" customFormat="false" ht="15" hidden="false" customHeight="true" outlineLevel="0" collapsed="false">
      <c r="A2357" s="1" t="n">
        <v>2409</v>
      </c>
      <c r="B2357" s="1" t="n">
        <v>136</v>
      </c>
      <c r="C2357" s="1" t="n">
        <v>28</v>
      </c>
      <c r="D2357" s="1" t="s">
        <v>1237</v>
      </c>
      <c r="E2357" s="1" t="n">
        <v>4</v>
      </c>
      <c r="F2357" s="1" t="n">
        <v>505.23</v>
      </c>
      <c r="G2357" s="1" t="n">
        <v>0</v>
      </c>
      <c r="H2357" s="1" t="s">
        <v>1336</v>
      </c>
      <c r="I2357" s="1" t="n">
        <v>2020.92</v>
      </c>
      <c r="J2357" s="1" t="str">
        <f aca="false">VLOOKUP(B2357,Customers!$A$2:$G$502,6,FALSE())</f>
        <v>Corporate</v>
      </c>
      <c r="K2357" s="1" t="str">
        <f aca="false">VLOOKUP(C2357,Products!$A$2:$E$62,3,FALSE())</f>
        <v>Office Supplies</v>
      </c>
      <c r="L2357" s="1" t="str">
        <f aca="false">TEXT(D2357,"yyyy-mm")</f>
        <v>2024-02</v>
      </c>
    </row>
    <row r="2358" customFormat="false" ht="15" hidden="false" customHeight="true" outlineLevel="0" collapsed="false">
      <c r="A2358" s="1" t="n">
        <v>2410</v>
      </c>
      <c r="B2358" s="1" t="n">
        <v>45</v>
      </c>
      <c r="C2358" s="1" t="n">
        <v>2</v>
      </c>
      <c r="D2358" s="1" t="s">
        <v>1419</v>
      </c>
      <c r="E2358" s="1" t="n">
        <v>8</v>
      </c>
      <c r="F2358" s="1" t="n">
        <v>498.15</v>
      </c>
      <c r="G2358" s="1" t="n">
        <v>0.15</v>
      </c>
      <c r="H2358" s="1" t="s">
        <v>1336</v>
      </c>
      <c r="I2358" s="1" t="n">
        <v>3387.42</v>
      </c>
      <c r="J2358" s="1" t="str">
        <f aca="false">VLOOKUP(B2358,Customers!$A$2:$G$502,6,FALSE())</f>
        <v>Corporate</v>
      </c>
      <c r="K2358" s="1" t="str">
        <f aca="false">VLOOKUP(C2358,Products!$A$2:$E$62,3,FALSE())</f>
        <v>Electronics</v>
      </c>
      <c r="L2358" s="1" t="str">
        <f aca="false">TEXT(D2358,"yyyy-mm")</f>
        <v>2023-04</v>
      </c>
    </row>
    <row r="2359" customFormat="false" ht="15" hidden="false" customHeight="true" outlineLevel="0" collapsed="false">
      <c r="A2359" s="1" t="n">
        <v>2411</v>
      </c>
      <c r="B2359" s="1" t="n">
        <v>291</v>
      </c>
      <c r="C2359" s="1" t="n">
        <v>48</v>
      </c>
      <c r="D2359" s="1" t="s">
        <v>1484</v>
      </c>
      <c r="E2359" s="1" t="n">
        <v>1</v>
      </c>
      <c r="F2359" s="1" t="n">
        <v>493.53</v>
      </c>
      <c r="G2359" s="1" t="n">
        <v>0</v>
      </c>
      <c r="H2359" s="1" t="s">
        <v>1336</v>
      </c>
      <c r="I2359" s="1" t="n">
        <v>493.53</v>
      </c>
      <c r="J2359" s="1" t="str">
        <f aca="false">VLOOKUP(B2359,Customers!$A$2:$G$502,6,FALSE())</f>
        <v>Consumer</v>
      </c>
      <c r="K2359" s="1" t="str">
        <f aca="false">VLOOKUP(C2359,Products!$A$2:$E$62,3,FALSE())</f>
        <v>Software</v>
      </c>
      <c r="L2359" s="1" t="str">
        <f aca="false">TEXT(D2359,"yyyy-mm")</f>
        <v>2024-10</v>
      </c>
    </row>
    <row r="2360" customFormat="false" ht="15" hidden="false" customHeight="true" outlineLevel="0" collapsed="false">
      <c r="A2360" s="1" t="n">
        <v>2412</v>
      </c>
      <c r="B2360" s="1" t="n">
        <v>485</v>
      </c>
      <c r="C2360" s="1" t="n">
        <v>35</v>
      </c>
      <c r="D2360" s="1" t="s">
        <v>1525</v>
      </c>
      <c r="E2360" s="1" t="n">
        <v>9</v>
      </c>
      <c r="F2360" s="1" t="n">
        <v>75.78</v>
      </c>
      <c r="G2360" s="1" t="n">
        <v>0</v>
      </c>
      <c r="H2360" s="1" t="s">
        <v>1336</v>
      </c>
      <c r="I2360" s="1" t="n">
        <v>682.02</v>
      </c>
      <c r="J2360" s="1" t="str">
        <f aca="false">VLOOKUP(B2360,Customers!$A$2:$G$502,6,FALSE())</f>
        <v>Corporate</v>
      </c>
      <c r="K2360" s="1" t="str">
        <f aca="false">VLOOKUP(C2360,Products!$A$2:$E$62,3,FALSE())</f>
        <v>Software</v>
      </c>
      <c r="L2360" s="1" t="str">
        <f aca="false">TEXT(D2360,"yyyy-mm")</f>
        <v>2024-01</v>
      </c>
    </row>
    <row r="2361" customFormat="false" ht="15" hidden="false" customHeight="true" outlineLevel="0" collapsed="false">
      <c r="A2361" s="1" t="n">
        <v>2413</v>
      </c>
      <c r="B2361" s="1" t="n">
        <v>418</v>
      </c>
      <c r="C2361" s="1" t="n">
        <v>50</v>
      </c>
      <c r="D2361" s="1" t="s">
        <v>1628</v>
      </c>
      <c r="E2361" s="1" t="n">
        <v>1</v>
      </c>
      <c r="F2361" s="1" t="n">
        <v>19.73</v>
      </c>
      <c r="G2361" s="1" t="n">
        <v>0</v>
      </c>
      <c r="H2361" s="1" t="s">
        <v>1336</v>
      </c>
      <c r="I2361" s="1" t="n">
        <v>19.73</v>
      </c>
      <c r="J2361" s="1" t="str">
        <f aca="false">VLOOKUP(B2361,Customers!$A$2:$G$502,6,FALSE())</f>
        <v>Corporate</v>
      </c>
      <c r="K2361" s="1" t="str">
        <f aca="false">VLOOKUP(C2361,Products!$A$2:$E$62,3,FALSE())</f>
        <v>Software</v>
      </c>
      <c r="L2361" s="1" t="str">
        <f aca="false">TEXT(D2361,"yyyy-mm")</f>
        <v>2023-09</v>
      </c>
    </row>
    <row r="2362" customFormat="false" ht="15" hidden="false" customHeight="true" outlineLevel="0" collapsed="false">
      <c r="A2362" s="1" t="n">
        <v>2414</v>
      </c>
      <c r="B2362" s="1" t="n">
        <v>458</v>
      </c>
      <c r="C2362" s="1" t="n">
        <v>10</v>
      </c>
      <c r="D2362" s="1" t="s">
        <v>975</v>
      </c>
      <c r="E2362" s="1" t="n">
        <v>8</v>
      </c>
      <c r="F2362" s="1" t="n">
        <v>251.58</v>
      </c>
      <c r="G2362" s="1" t="n">
        <v>0.05</v>
      </c>
      <c r="H2362" s="1" t="s">
        <v>1370</v>
      </c>
      <c r="I2362" s="1" t="n">
        <v>1912.01</v>
      </c>
      <c r="J2362" s="1" t="str">
        <f aca="false">VLOOKUP(B2362,Customers!$A$2:$G$502,6,FALSE())</f>
        <v>Small Business</v>
      </c>
      <c r="K2362" s="1" t="str">
        <f aca="false">VLOOKUP(C2362,Products!$A$2:$E$62,3,FALSE())</f>
        <v>Electronics</v>
      </c>
      <c r="L2362" s="1" t="str">
        <f aca="false">TEXT(D2362,"yyyy-mm")</f>
        <v>2024-03</v>
      </c>
    </row>
    <row r="2363" customFormat="false" ht="15" hidden="false" customHeight="true" outlineLevel="0" collapsed="false">
      <c r="A2363" s="1" t="n">
        <v>2415</v>
      </c>
      <c r="B2363" s="1" t="n">
        <v>13</v>
      </c>
      <c r="C2363" s="1" t="n">
        <v>7</v>
      </c>
      <c r="D2363" s="1" t="s">
        <v>1507</v>
      </c>
      <c r="E2363" s="1" t="n">
        <v>4</v>
      </c>
      <c r="F2363" s="1" t="n">
        <v>460</v>
      </c>
      <c r="G2363" s="1" t="n">
        <v>0</v>
      </c>
      <c r="H2363" s="1" t="s">
        <v>1336</v>
      </c>
      <c r="I2363" s="1" t="n">
        <v>1840</v>
      </c>
      <c r="J2363" s="1" t="str">
        <f aca="false">VLOOKUP(B2363,Customers!$A$2:$G$502,6,FALSE())</f>
        <v>Corporate</v>
      </c>
      <c r="K2363" s="1" t="str">
        <f aca="false">VLOOKUP(C2363,Products!$A$2:$E$62,3,FALSE())</f>
        <v>Electronics</v>
      </c>
      <c r="L2363" s="1" t="str">
        <f aca="false">TEXT(D2363,"yyyy-mm")</f>
        <v>2024-09</v>
      </c>
    </row>
    <row r="2364" customFormat="false" ht="15" hidden="false" customHeight="true" outlineLevel="0" collapsed="false">
      <c r="A2364" s="1" t="n">
        <v>2416</v>
      </c>
      <c r="B2364" s="1" t="n">
        <v>321</v>
      </c>
      <c r="C2364" s="1" t="n">
        <v>14</v>
      </c>
      <c r="D2364" s="1" t="s">
        <v>1520</v>
      </c>
      <c r="E2364" s="1" t="n">
        <v>9</v>
      </c>
      <c r="F2364" s="1" t="n">
        <v>135.27</v>
      </c>
      <c r="G2364" s="1" t="n">
        <v>0.05</v>
      </c>
      <c r="H2364" s="1" t="s">
        <v>1336</v>
      </c>
      <c r="I2364" s="1" t="n">
        <v>1156.56</v>
      </c>
      <c r="J2364" s="1" t="str">
        <f aca="false">VLOOKUP(B2364,Customers!$A$2:$G$502,6,FALSE())</f>
        <v>Small Business</v>
      </c>
      <c r="K2364" s="1" t="str">
        <f aca="false">VLOOKUP(C2364,Products!$A$2:$E$62,3,FALSE())</f>
        <v>Electronics</v>
      </c>
      <c r="L2364" s="1" t="str">
        <f aca="false">TEXT(D2364,"yyyy-mm")</f>
        <v>2023-11</v>
      </c>
    </row>
    <row r="2365" customFormat="false" ht="15" hidden="false" customHeight="true" outlineLevel="0" collapsed="false">
      <c r="A2365" s="1" t="n">
        <v>2417</v>
      </c>
      <c r="B2365" s="1" t="n">
        <v>43</v>
      </c>
      <c r="C2365" s="1" t="n">
        <v>32</v>
      </c>
      <c r="D2365" s="1" t="s">
        <v>322</v>
      </c>
      <c r="E2365" s="1" t="n">
        <v>5</v>
      </c>
      <c r="F2365" s="1" t="n">
        <v>492.27</v>
      </c>
      <c r="G2365" s="1" t="n">
        <v>0.1</v>
      </c>
      <c r="H2365" s="1" t="s">
        <v>1336</v>
      </c>
      <c r="I2365" s="1" t="n">
        <v>2215.22</v>
      </c>
      <c r="J2365" s="1" t="str">
        <f aca="false">VLOOKUP(B2365,Customers!$A$2:$G$502,6,FALSE())</f>
        <v>Small Business</v>
      </c>
      <c r="K2365" s="1" t="str">
        <f aca="false">VLOOKUP(C2365,Products!$A$2:$E$62,3,FALSE())</f>
        <v>Office Supplies</v>
      </c>
      <c r="L2365" s="1" t="str">
        <f aca="false">TEXT(D2365,"yyyy-mm")</f>
        <v>2024-02</v>
      </c>
    </row>
    <row r="2366" customFormat="false" ht="15" hidden="false" customHeight="true" outlineLevel="0" collapsed="false">
      <c r="A2366" s="1" t="n">
        <v>2418</v>
      </c>
      <c r="B2366" s="1" t="n">
        <v>65</v>
      </c>
      <c r="C2366" s="1" t="n">
        <v>53</v>
      </c>
      <c r="D2366" s="1" t="s">
        <v>1262</v>
      </c>
      <c r="E2366" s="1" t="n">
        <v>3</v>
      </c>
      <c r="F2366" s="1" t="n">
        <v>509.98</v>
      </c>
      <c r="G2366" s="1" t="n">
        <v>0.15</v>
      </c>
      <c r="H2366" s="1" t="s">
        <v>1370</v>
      </c>
      <c r="I2366" s="1" t="n">
        <v>1300.45</v>
      </c>
      <c r="J2366" s="1" t="str">
        <f aca="false">VLOOKUP(B2366,Customers!$A$2:$G$502,6,FALSE())</f>
        <v>Corporate</v>
      </c>
      <c r="K2366" s="1" t="str">
        <f aca="false">VLOOKUP(C2366,Products!$A$2:$E$62,3,FALSE())</f>
        <v>Software</v>
      </c>
      <c r="L2366" s="1" t="str">
        <f aca="false">TEXT(D2366,"yyyy-mm")</f>
        <v>2024-04</v>
      </c>
    </row>
    <row r="2367" customFormat="false" ht="15" hidden="false" customHeight="true" outlineLevel="0" collapsed="false">
      <c r="A2367" s="1" t="n">
        <v>2419</v>
      </c>
      <c r="B2367" s="1" t="n">
        <v>434</v>
      </c>
      <c r="C2367" s="1" t="n">
        <v>27</v>
      </c>
      <c r="D2367" s="1" t="s">
        <v>804</v>
      </c>
      <c r="E2367" s="1" t="n">
        <v>9</v>
      </c>
      <c r="F2367" s="1" t="n">
        <v>772.58</v>
      </c>
      <c r="G2367" s="1" t="n">
        <v>0.2</v>
      </c>
      <c r="H2367" s="1" t="s">
        <v>1336</v>
      </c>
      <c r="I2367" s="1" t="n">
        <v>5562.58</v>
      </c>
      <c r="J2367" s="1" t="str">
        <f aca="false">VLOOKUP(B2367,Customers!$A$2:$G$502,6,FALSE())</f>
        <v>Consumer</v>
      </c>
      <c r="K2367" s="1" t="str">
        <f aca="false">VLOOKUP(C2367,Products!$A$2:$E$62,3,FALSE())</f>
        <v>Office Supplies</v>
      </c>
      <c r="L2367" s="1" t="str">
        <f aca="false">TEXT(D2367,"yyyy-mm")</f>
        <v>2024-12</v>
      </c>
    </row>
    <row r="2368" customFormat="false" ht="15" hidden="false" customHeight="true" outlineLevel="0" collapsed="false">
      <c r="A2368" s="1" t="n">
        <v>2420</v>
      </c>
      <c r="B2368" s="1" t="n">
        <v>79</v>
      </c>
      <c r="C2368" s="1" t="n">
        <v>55</v>
      </c>
      <c r="D2368" s="1" t="s">
        <v>138</v>
      </c>
      <c r="E2368" s="1" t="n">
        <v>9</v>
      </c>
      <c r="F2368" s="1" t="n">
        <v>123.38</v>
      </c>
      <c r="G2368" s="1" t="n">
        <v>0</v>
      </c>
      <c r="H2368" s="1" t="s">
        <v>1370</v>
      </c>
      <c r="I2368" s="1" t="n">
        <v>1110.42</v>
      </c>
      <c r="J2368" s="1" t="str">
        <f aca="false">VLOOKUP(B2368,Customers!$A$2:$G$502,6,FALSE())</f>
        <v>Small Business</v>
      </c>
      <c r="K2368" s="1" t="str">
        <f aca="false">VLOOKUP(C2368,Products!$A$2:$E$62,3,FALSE())</f>
        <v>Furniture</v>
      </c>
      <c r="L2368" s="1" t="str">
        <f aca="false">TEXT(D2368,"yyyy-mm")</f>
        <v>2023-05</v>
      </c>
    </row>
    <row r="2369" customFormat="false" ht="15" hidden="false" customHeight="true" outlineLevel="0" collapsed="false">
      <c r="A2369" s="1" t="n">
        <v>2421</v>
      </c>
      <c r="B2369" s="1" t="n">
        <v>210</v>
      </c>
      <c r="C2369" s="1" t="n">
        <v>55</v>
      </c>
      <c r="D2369" s="1" t="s">
        <v>143</v>
      </c>
      <c r="E2369" s="1" t="n">
        <v>4</v>
      </c>
      <c r="F2369" s="1" t="n">
        <v>123.38</v>
      </c>
      <c r="G2369" s="1" t="n">
        <v>0.05</v>
      </c>
      <c r="H2369" s="1" t="s">
        <v>1336</v>
      </c>
      <c r="I2369" s="1" t="n">
        <v>468.84</v>
      </c>
      <c r="J2369" s="1" t="str">
        <f aca="false">VLOOKUP(B2369,Customers!$A$2:$G$502,6,FALSE())</f>
        <v>Corporate</v>
      </c>
      <c r="K2369" s="1" t="str">
        <f aca="false">VLOOKUP(C2369,Products!$A$2:$E$62,3,FALSE())</f>
        <v>Furniture</v>
      </c>
      <c r="L2369" s="1" t="str">
        <f aca="false">TEXT(D2369,"yyyy-mm")</f>
        <v>2024-07</v>
      </c>
    </row>
    <row r="2370" customFormat="false" ht="15" hidden="false" customHeight="true" outlineLevel="0" collapsed="false">
      <c r="A2370" s="1" t="n">
        <v>2423</v>
      </c>
      <c r="B2370" s="1" t="n">
        <v>212</v>
      </c>
      <c r="C2370" s="1" t="n">
        <v>60</v>
      </c>
      <c r="D2370" s="1" t="s">
        <v>1188</v>
      </c>
      <c r="E2370" s="1" t="n">
        <v>8</v>
      </c>
      <c r="F2370" s="1" t="n">
        <v>584.98</v>
      </c>
      <c r="G2370" s="1" t="n">
        <v>0.2</v>
      </c>
      <c r="H2370" s="1" t="s">
        <v>1336</v>
      </c>
      <c r="I2370" s="1" t="n">
        <v>3743.87</v>
      </c>
      <c r="J2370" s="1" t="str">
        <f aca="false">VLOOKUP(B2370,Customers!$A$2:$G$502,6,FALSE())</f>
        <v>Consumer</v>
      </c>
      <c r="K2370" s="1" t="str">
        <f aca="false">VLOOKUP(C2370,Products!$A$2:$E$62,3,FALSE())</f>
        <v>Furniture</v>
      </c>
      <c r="L2370" s="1" t="str">
        <f aca="false">TEXT(D2370,"yyyy-mm")</f>
        <v>2023-04</v>
      </c>
    </row>
    <row r="2371" customFormat="false" ht="15" hidden="false" customHeight="true" outlineLevel="0" collapsed="false">
      <c r="A2371" s="1" t="n">
        <v>2424</v>
      </c>
      <c r="B2371" s="1" t="n">
        <v>75</v>
      </c>
      <c r="C2371" s="1" t="n">
        <v>9</v>
      </c>
      <c r="D2371" s="1" t="s">
        <v>1267</v>
      </c>
      <c r="E2371" s="1" t="n">
        <v>2</v>
      </c>
      <c r="F2371" s="1" t="n">
        <v>203.1</v>
      </c>
      <c r="G2371" s="1" t="n">
        <v>0</v>
      </c>
      <c r="H2371" s="1" t="s">
        <v>1336</v>
      </c>
      <c r="I2371" s="1" t="n">
        <v>406.2</v>
      </c>
      <c r="J2371" s="1" t="str">
        <f aca="false">VLOOKUP(B2371,Customers!$A$2:$G$502,6,FALSE())</f>
        <v>Consumer</v>
      </c>
      <c r="K2371" s="1" t="str">
        <f aca="false">VLOOKUP(C2371,Products!$A$2:$E$62,3,FALSE())</f>
        <v>Electronics</v>
      </c>
      <c r="L2371" s="1" t="str">
        <f aca="false">TEXT(D2371,"yyyy-mm")</f>
        <v>2023-08</v>
      </c>
    </row>
    <row r="2372" customFormat="false" ht="15" hidden="false" customHeight="true" outlineLevel="0" collapsed="false">
      <c r="A2372" s="1" t="n">
        <v>2425</v>
      </c>
      <c r="B2372" s="1" t="n">
        <v>215</v>
      </c>
      <c r="C2372" s="1" t="n">
        <v>57</v>
      </c>
      <c r="D2372" s="1" t="s">
        <v>1347</v>
      </c>
      <c r="E2372" s="1" t="n">
        <v>9</v>
      </c>
      <c r="F2372" s="1" t="n">
        <v>719.76</v>
      </c>
      <c r="G2372" s="1" t="n">
        <v>0.1</v>
      </c>
      <c r="H2372" s="1" t="s">
        <v>1336</v>
      </c>
      <c r="I2372" s="1" t="n">
        <v>5830.06</v>
      </c>
      <c r="J2372" s="1" t="str">
        <f aca="false">VLOOKUP(B2372,Customers!$A$2:$G$502,6,FALSE())</f>
        <v>Corporate</v>
      </c>
      <c r="K2372" s="1" t="str">
        <f aca="false">VLOOKUP(C2372,Products!$A$2:$E$62,3,FALSE())</f>
        <v>Furniture</v>
      </c>
      <c r="L2372" s="1" t="str">
        <f aca="false">TEXT(D2372,"yyyy-mm")</f>
        <v>2024-01</v>
      </c>
    </row>
    <row r="2373" customFormat="false" ht="15" hidden="false" customHeight="true" outlineLevel="0" collapsed="false">
      <c r="A2373" s="1" t="n">
        <v>2426</v>
      </c>
      <c r="B2373" s="1" t="n">
        <v>222</v>
      </c>
      <c r="C2373" s="1" t="n">
        <v>54</v>
      </c>
      <c r="D2373" s="1" t="s">
        <v>1542</v>
      </c>
      <c r="E2373" s="1" t="n">
        <v>6</v>
      </c>
      <c r="F2373" s="1" t="n">
        <v>312.01</v>
      </c>
      <c r="G2373" s="1" t="n">
        <v>0.1</v>
      </c>
      <c r="H2373" s="1" t="s">
        <v>1336</v>
      </c>
      <c r="I2373" s="1" t="n">
        <v>1684.85</v>
      </c>
      <c r="J2373" s="1" t="str">
        <f aca="false">VLOOKUP(B2373,Customers!$A$2:$G$502,6,FALSE())</f>
        <v>Consumer</v>
      </c>
      <c r="K2373" s="1" t="str">
        <f aca="false">VLOOKUP(C2373,Products!$A$2:$E$62,3,FALSE())</f>
        <v>Software</v>
      </c>
      <c r="L2373" s="1" t="str">
        <f aca="false">TEXT(D2373,"yyyy-mm")</f>
        <v>2023-09</v>
      </c>
    </row>
    <row r="2374" customFormat="false" ht="15" hidden="false" customHeight="true" outlineLevel="0" collapsed="false">
      <c r="A2374" s="1" t="n">
        <v>2427</v>
      </c>
      <c r="B2374" s="1" t="n">
        <v>89</v>
      </c>
      <c r="C2374" s="1" t="n">
        <v>2</v>
      </c>
      <c r="D2374" s="1" t="s">
        <v>159</v>
      </c>
      <c r="E2374" s="1" t="n">
        <v>9</v>
      </c>
      <c r="F2374" s="1" t="n">
        <v>498.15</v>
      </c>
      <c r="G2374" s="1" t="n">
        <v>0.15</v>
      </c>
      <c r="H2374" s="1" t="s">
        <v>1336</v>
      </c>
      <c r="I2374" s="1" t="n">
        <v>3810.85</v>
      </c>
      <c r="J2374" s="1" t="str">
        <f aca="false">VLOOKUP(B2374,Customers!$A$2:$G$502,6,FALSE())</f>
        <v>Small Business</v>
      </c>
      <c r="K2374" s="1" t="str">
        <f aca="false">VLOOKUP(C2374,Products!$A$2:$E$62,3,FALSE())</f>
        <v>Electronics</v>
      </c>
      <c r="L2374" s="1" t="str">
        <f aca="false">TEXT(D2374,"yyyy-mm")</f>
        <v>2024-02</v>
      </c>
    </row>
    <row r="2375" customFormat="false" ht="15" hidden="false" customHeight="true" outlineLevel="0" collapsed="false">
      <c r="A2375" s="1" t="n">
        <v>2428</v>
      </c>
      <c r="B2375" s="1" t="n">
        <v>64</v>
      </c>
      <c r="C2375" s="1" t="n">
        <v>7</v>
      </c>
      <c r="D2375" s="1" t="s">
        <v>1531</v>
      </c>
      <c r="E2375" s="1" t="n">
        <v>8</v>
      </c>
      <c r="F2375" s="1" t="n">
        <v>460</v>
      </c>
      <c r="G2375" s="1" t="n">
        <v>0.15</v>
      </c>
      <c r="H2375" s="1" t="s">
        <v>1336</v>
      </c>
      <c r="I2375" s="1" t="n">
        <v>3128</v>
      </c>
      <c r="J2375" s="1" t="str">
        <f aca="false">VLOOKUP(B2375,Customers!$A$2:$G$502,6,FALSE())</f>
        <v>Consumer</v>
      </c>
      <c r="K2375" s="1" t="str">
        <f aca="false">VLOOKUP(C2375,Products!$A$2:$E$62,3,FALSE())</f>
        <v>Electronics</v>
      </c>
      <c r="L2375" s="1" t="str">
        <f aca="false">TEXT(D2375,"yyyy-mm")</f>
        <v>2024-11</v>
      </c>
    </row>
    <row r="2376" customFormat="false" ht="15" hidden="false" customHeight="true" outlineLevel="0" collapsed="false">
      <c r="A2376" s="1" t="n">
        <v>2429</v>
      </c>
      <c r="B2376" s="1" t="n">
        <v>76</v>
      </c>
      <c r="C2376" s="1" t="n">
        <v>30</v>
      </c>
      <c r="D2376" s="1" t="s">
        <v>1646</v>
      </c>
      <c r="E2376" s="1" t="n">
        <v>7</v>
      </c>
      <c r="F2376" s="1" t="n">
        <v>33.32</v>
      </c>
      <c r="G2376" s="1" t="n">
        <v>0</v>
      </c>
      <c r="H2376" s="1" t="s">
        <v>1336</v>
      </c>
      <c r="I2376" s="1" t="n">
        <v>233.24</v>
      </c>
      <c r="J2376" s="1" t="str">
        <f aca="false">VLOOKUP(B2376,Customers!$A$2:$G$502,6,FALSE())</f>
        <v>Consumer</v>
      </c>
      <c r="K2376" s="1" t="str">
        <f aca="false">VLOOKUP(C2376,Products!$A$2:$E$62,3,FALSE())</f>
        <v>Office Supplies</v>
      </c>
      <c r="L2376" s="1" t="str">
        <f aca="false">TEXT(D2376,"yyyy-mm")</f>
        <v>2023-09</v>
      </c>
    </row>
    <row r="2377" customFormat="false" ht="15" hidden="false" customHeight="true" outlineLevel="0" collapsed="false">
      <c r="A2377" s="1" t="n">
        <v>2430</v>
      </c>
      <c r="B2377" s="1" t="n">
        <v>301</v>
      </c>
      <c r="C2377" s="1" t="n">
        <v>51</v>
      </c>
      <c r="D2377" s="1" t="s">
        <v>632</v>
      </c>
      <c r="E2377" s="1" t="n">
        <v>1</v>
      </c>
      <c r="F2377" s="1" t="n">
        <v>30.16</v>
      </c>
      <c r="G2377" s="1" t="n">
        <v>0.1</v>
      </c>
      <c r="H2377" s="1" t="s">
        <v>1336</v>
      </c>
      <c r="I2377" s="1" t="n">
        <v>27.14</v>
      </c>
      <c r="J2377" s="1" t="str">
        <f aca="false">VLOOKUP(B2377,Customers!$A$2:$G$502,6,FALSE())</f>
        <v>Corporate</v>
      </c>
      <c r="K2377" s="1" t="str">
        <f aca="false">VLOOKUP(C2377,Products!$A$2:$E$62,3,FALSE())</f>
        <v>Software</v>
      </c>
      <c r="L2377" s="1" t="str">
        <f aca="false">TEXT(D2377,"yyyy-mm")</f>
        <v>2023-10</v>
      </c>
    </row>
    <row r="2378" customFormat="false" ht="15" hidden="false" customHeight="true" outlineLevel="0" collapsed="false">
      <c r="A2378" s="1" t="n">
        <v>2431</v>
      </c>
      <c r="B2378" s="1" t="n">
        <v>265</v>
      </c>
      <c r="C2378" s="1" t="n">
        <v>18</v>
      </c>
      <c r="D2378" s="1" t="s">
        <v>1492</v>
      </c>
      <c r="E2378" s="1" t="n">
        <v>3</v>
      </c>
      <c r="F2378" s="1" t="n">
        <v>747.34</v>
      </c>
      <c r="G2378" s="1" t="n">
        <v>0.2</v>
      </c>
      <c r="H2378" s="1" t="s">
        <v>1336</v>
      </c>
      <c r="I2378" s="1" t="n">
        <v>1793.62</v>
      </c>
      <c r="J2378" s="1" t="str">
        <f aca="false">VLOOKUP(B2378,Customers!$A$2:$G$502,6,FALSE())</f>
        <v>Corporate</v>
      </c>
      <c r="K2378" s="1" t="str">
        <f aca="false">VLOOKUP(C2378,Products!$A$2:$E$62,3,FALSE())</f>
        <v>Electronics</v>
      </c>
      <c r="L2378" s="1" t="str">
        <f aca="false">TEXT(D2378,"yyyy-mm")</f>
        <v>2024-08</v>
      </c>
    </row>
    <row r="2379" customFormat="false" ht="15" hidden="false" customHeight="true" outlineLevel="0" collapsed="false">
      <c r="A2379" s="1" t="n">
        <v>2432</v>
      </c>
      <c r="B2379" s="1" t="n">
        <v>397</v>
      </c>
      <c r="C2379" s="1" t="n">
        <v>2</v>
      </c>
      <c r="D2379" s="1" t="s">
        <v>1512</v>
      </c>
      <c r="E2379" s="1" t="n">
        <v>2</v>
      </c>
      <c r="F2379" s="1" t="n">
        <v>498.15</v>
      </c>
      <c r="G2379" s="1" t="n">
        <v>0.2</v>
      </c>
      <c r="H2379" s="1" t="s">
        <v>1336</v>
      </c>
      <c r="I2379" s="1" t="n">
        <v>797.04</v>
      </c>
      <c r="J2379" s="1" t="str">
        <f aca="false">VLOOKUP(B2379,Customers!$A$2:$G$502,6,FALSE())</f>
        <v>Consumer</v>
      </c>
      <c r="K2379" s="1" t="str">
        <f aca="false">VLOOKUP(C2379,Products!$A$2:$E$62,3,FALSE())</f>
        <v>Electronics</v>
      </c>
      <c r="L2379" s="1" t="str">
        <f aca="false">TEXT(D2379,"yyyy-mm")</f>
        <v>2023-12</v>
      </c>
    </row>
    <row r="2380" customFormat="false" ht="15" hidden="false" customHeight="true" outlineLevel="0" collapsed="false">
      <c r="A2380" s="1" t="n">
        <v>2433</v>
      </c>
      <c r="B2380" s="1" t="n">
        <v>418</v>
      </c>
      <c r="C2380" s="1" t="n">
        <v>57</v>
      </c>
      <c r="D2380" s="1" t="s">
        <v>1430</v>
      </c>
      <c r="E2380" s="1" t="n">
        <v>5</v>
      </c>
      <c r="F2380" s="1" t="n">
        <v>719.76</v>
      </c>
      <c r="G2380" s="1" t="n">
        <v>0</v>
      </c>
      <c r="H2380" s="1" t="s">
        <v>1336</v>
      </c>
      <c r="I2380" s="1" t="n">
        <v>3598.8</v>
      </c>
      <c r="J2380" s="1" t="str">
        <f aca="false">VLOOKUP(B2380,Customers!$A$2:$G$502,6,FALSE())</f>
        <v>Corporate</v>
      </c>
      <c r="K2380" s="1" t="str">
        <f aca="false">VLOOKUP(C2380,Products!$A$2:$E$62,3,FALSE())</f>
        <v>Furniture</v>
      </c>
      <c r="L2380" s="1" t="str">
        <f aca="false">TEXT(D2380,"yyyy-mm")</f>
        <v>2024-01</v>
      </c>
    </row>
    <row r="2381" customFormat="false" ht="15" hidden="false" customHeight="true" outlineLevel="0" collapsed="false">
      <c r="A2381" s="1" t="n">
        <v>2434</v>
      </c>
      <c r="B2381" s="1" t="n">
        <v>127</v>
      </c>
      <c r="C2381" s="1" t="n">
        <v>56</v>
      </c>
      <c r="D2381" s="1" t="s">
        <v>745</v>
      </c>
      <c r="E2381" s="1" t="n">
        <v>5</v>
      </c>
      <c r="F2381" s="1" t="n">
        <v>160.64</v>
      </c>
      <c r="G2381" s="1" t="n">
        <v>0</v>
      </c>
      <c r="H2381" s="1" t="s">
        <v>1336</v>
      </c>
      <c r="I2381" s="1" t="n">
        <v>803.2</v>
      </c>
      <c r="J2381" s="1" t="str">
        <f aca="false">VLOOKUP(B2381,Customers!$A$2:$G$502,6,FALSE())</f>
        <v>Corporate</v>
      </c>
      <c r="K2381" s="1" t="str">
        <f aca="false">VLOOKUP(C2381,Products!$A$2:$E$62,3,FALSE())</f>
        <v>Furniture</v>
      </c>
      <c r="L2381" s="1" t="str">
        <f aca="false">TEXT(D2381,"yyyy-mm")</f>
        <v>2023-01</v>
      </c>
    </row>
    <row r="2382" customFormat="false" ht="15" hidden="false" customHeight="true" outlineLevel="0" collapsed="false">
      <c r="A2382" s="1" t="n">
        <v>2435</v>
      </c>
      <c r="B2382" s="1" t="n">
        <v>218</v>
      </c>
      <c r="C2382" s="1" t="n">
        <v>1</v>
      </c>
      <c r="D2382" s="1" t="s">
        <v>626</v>
      </c>
      <c r="E2382" s="1" t="n">
        <v>5</v>
      </c>
      <c r="F2382" s="1" t="n">
        <v>327.32</v>
      </c>
      <c r="G2382" s="1" t="n">
        <v>0.05</v>
      </c>
      <c r="H2382" s="1" t="s">
        <v>1336</v>
      </c>
      <c r="I2382" s="1" t="n">
        <v>1554.77</v>
      </c>
      <c r="J2382" s="1" t="str">
        <f aca="false">VLOOKUP(B2382,Customers!$A$2:$G$502,6,FALSE())</f>
        <v>Corporate</v>
      </c>
      <c r="K2382" s="1" t="str">
        <f aca="false">VLOOKUP(C2382,Products!$A$2:$E$62,3,FALSE())</f>
        <v>Electronics</v>
      </c>
      <c r="L2382" s="1" t="str">
        <f aca="false">TEXT(D2382,"yyyy-mm")</f>
        <v>2023-09</v>
      </c>
    </row>
    <row r="2383" customFormat="false" ht="15" hidden="false" customHeight="true" outlineLevel="0" collapsed="false">
      <c r="A2383" s="1" t="n">
        <v>2436</v>
      </c>
      <c r="B2383" s="1" t="n">
        <v>28</v>
      </c>
      <c r="C2383" s="1" t="n">
        <v>4</v>
      </c>
      <c r="D2383" s="1" t="s">
        <v>1380</v>
      </c>
      <c r="E2383" s="1" t="n">
        <v>4</v>
      </c>
      <c r="F2383" s="1" t="n">
        <v>56.24</v>
      </c>
      <c r="G2383" s="1" t="n">
        <v>0</v>
      </c>
      <c r="H2383" s="1" t="s">
        <v>1336</v>
      </c>
      <c r="I2383" s="1" t="n">
        <v>224.96</v>
      </c>
      <c r="J2383" s="1" t="str">
        <f aca="false">VLOOKUP(B2383,Customers!$A$2:$G$502,6,FALSE())</f>
        <v>Small Business</v>
      </c>
      <c r="K2383" s="1" t="str">
        <f aca="false">VLOOKUP(C2383,Products!$A$2:$E$62,3,FALSE())</f>
        <v>Electronics</v>
      </c>
      <c r="L2383" s="1" t="str">
        <f aca="false">TEXT(D2383,"yyyy-mm")</f>
        <v>2023-07</v>
      </c>
    </row>
    <row r="2384" customFormat="false" ht="15" hidden="false" customHeight="true" outlineLevel="0" collapsed="false">
      <c r="A2384" s="1" t="n">
        <v>2437</v>
      </c>
      <c r="B2384" s="1" t="n">
        <v>424</v>
      </c>
      <c r="C2384" s="1" t="n">
        <v>38</v>
      </c>
      <c r="D2384" s="1" t="s">
        <v>1478</v>
      </c>
      <c r="E2384" s="1" t="n">
        <v>5</v>
      </c>
      <c r="F2384" s="1" t="n">
        <v>521.63</v>
      </c>
      <c r="G2384" s="1" t="n">
        <v>0.1</v>
      </c>
      <c r="H2384" s="1" t="s">
        <v>1346</v>
      </c>
      <c r="I2384" s="1" t="n">
        <v>2347.34</v>
      </c>
      <c r="J2384" s="1" t="str">
        <f aca="false">VLOOKUP(B2384,Customers!$A$2:$G$502,6,FALSE())</f>
        <v>Small Business</v>
      </c>
      <c r="K2384" s="1" t="str">
        <f aca="false">VLOOKUP(C2384,Products!$A$2:$E$62,3,FALSE())</f>
        <v>Software</v>
      </c>
      <c r="L2384" s="1" t="str">
        <f aca="false">TEXT(D2384,"yyyy-mm")</f>
        <v>2024-09</v>
      </c>
    </row>
    <row r="2385" customFormat="false" ht="15" hidden="false" customHeight="true" outlineLevel="0" collapsed="false">
      <c r="A2385" s="1" t="n">
        <v>2438</v>
      </c>
      <c r="B2385" s="1" t="n">
        <v>481</v>
      </c>
      <c r="C2385" s="1" t="n">
        <v>1</v>
      </c>
      <c r="D2385" s="1" t="s">
        <v>1396</v>
      </c>
      <c r="E2385" s="1" t="n">
        <v>3</v>
      </c>
      <c r="F2385" s="1" t="n">
        <v>327.32</v>
      </c>
      <c r="G2385" s="1" t="n">
        <v>0</v>
      </c>
      <c r="H2385" s="1" t="s">
        <v>1346</v>
      </c>
      <c r="I2385" s="1" t="n">
        <v>981.96</v>
      </c>
      <c r="J2385" s="1" t="str">
        <f aca="false">VLOOKUP(B2385,Customers!$A$2:$G$502,6,FALSE())</f>
        <v>Small Business</v>
      </c>
      <c r="K2385" s="1" t="str">
        <f aca="false">VLOOKUP(C2385,Products!$A$2:$E$62,3,FALSE())</f>
        <v>Electronics</v>
      </c>
      <c r="L2385" s="1" t="str">
        <f aca="false">TEXT(D2385,"yyyy-mm")</f>
        <v>2023-08</v>
      </c>
    </row>
    <row r="2386" customFormat="false" ht="15" hidden="false" customHeight="true" outlineLevel="0" collapsed="false">
      <c r="A2386" s="1" t="n">
        <v>2439</v>
      </c>
      <c r="B2386" s="1" t="n">
        <v>354</v>
      </c>
      <c r="C2386" s="1" t="n">
        <v>32</v>
      </c>
      <c r="D2386" s="1" t="s">
        <v>1677</v>
      </c>
      <c r="E2386" s="1" t="n">
        <v>1</v>
      </c>
      <c r="F2386" s="1" t="n">
        <v>492.27</v>
      </c>
      <c r="G2386" s="1" t="n">
        <v>0.1</v>
      </c>
      <c r="H2386" s="1" t="s">
        <v>1336</v>
      </c>
      <c r="I2386" s="1" t="n">
        <v>443.04</v>
      </c>
      <c r="J2386" s="1" t="str">
        <f aca="false">VLOOKUP(B2386,Customers!$A$2:$G$502,6,FALSE())</f>
        <v>Consumer</v>
      </c>
      <c r="K2386" s="1" t="str">
        <f aca="false">VLOOKUP(C2386,Products!$A$2:$E$62,3,FALSE())</f>
        <v>Office Supplies</v>
      </c>
      <c r="L2386" s="1" t="str">
        <f aca="false">TEXT(D2386,"yyyy-mm")</f>
        <v>2023-04</v>
      </c>
    </row>
    <row r="2387" customFormat="false" ht="15" hidden="false" customHeight="true" outlineLevel="0" collapsed="false">
      <c r="A2387" s="1" t="n">
        <v>2440</v>
      </c>
      <c r="B2387" s="1" t="n">
        <v>384</v>
      </c>
      <c r="C2387" s="1" t="n">
        <v>7</v>
      </c>
      <c r="D2387" s="1" t="s">
        <v>717</v>
      </c>
      <c r="E2387" s="1" t="n">
        <v>5</v>
      </c>
      <c r="F2387" s="1" t="n">
        <v>460</v>
      </c>
      <c r="G2387" s="1" t="n">
        <v>0.2</v>
      </c>
      <c r="H2387" s="1" t="s">
        <v>1336</v>
      </c>
      <c r="I2387" s="1" t="n">
        <v>1840</v>
      </c>
      <c r="J2387" s="1" t="str">
        <f aca="false">VLOOKUP(B2387,Customers!$A$2:$G$502,6,FALSE())</f>
        <v>Corporate</v>
      </c>
      <c r="K2387" s="1" t="str">
        <f aca="false">VLOOKUP(C2387,Products!$A$2:$E$62,3,FALSE())</f>
        <v>Electronics</v>
      </c>
      <c r="L2387" s="1" t="str">
        <f aca="false">TEXT(D2387,"yyyy-mm")</f>
        <v>2024-10</v>
      </c>
    </row>
    <row r="2388" customFormat="false" ht="15" hidden="false" customHeight="true" outlineLevel="0" collapsed="false">
      <c r="A2388" s="1" t="n">
        <v>2441</v>
      </c>
      <c r="B2388" s="1" t="n">
        <v>351</v>
      </c>
      <c r="C2388" s="1" t="n">
        <v>46</v>
      </c>
      <c r="D2388" s="1" t="s">
        <v>1363</v>
      </c>
      <c r="E2388" s="1" t="n">
        <v>9</v>
      </c>
      <c r="F2388" s="1" t="n">
        <v>94.92</v>
      </c>
      <c r="G2388" s="1" t="n">
        <v>0.2</v>
      </c>
      <c r="H2388" s="1" t="s">
        <v>1370</v>
      </c>
      <c r="I2388" s="1" t="n">
        <v>683.42</v>
      </c>
      <c r="J2388" s="1" t="str">
        <f aca="false">VLOOKUP(B2388,Customers!$A$2:$G$502,6,FALSE())</f>
        <v>Small Business</v>
      </c>
      <c r="K2388" s="1" t="str">
        <f aca="false">VLOOKUP(C2388,Products!$A$2:$E$62,3,FALSE())</f>
        <v>Software</v>
      </c>
      <c r="L2388" s="1" t="str">
        <f aca="false">TEXT(D2388,"yyyy-mm")</f>
        <v>2024-09</v>
      </c>
    </row>
    <row r="2389" customFormat="false" ht="15" hidden="false" customHeight="true" outlineLevel="0" collapsed="false">
      <c r="A2389" s="1" t="n">
        <v>2443</v>
      </c>
      <c r="B2389" s="1" t="n">
        <v>62</v>
      </c>
      <c r="C2389" s="1" t="n">
        <v>5</v>
      </c>
      <c r="D2389" s="1" t="s">
        <v>1444</v>
      </c>
      <c r="E2389" s="1" t="n">
        <v>4</v>
      </c>
      <c r="F2389" s="1" t="n">
        <v>439.06</v>
      </c>
      <c r="G2389" s="1" t="n">
        <v>0.05</v>
      </c>
      <c r="H2389" s="1" t="s">
        <v>1336</v>
      </c>
      <c r="I2389" s="1" t="n">
        <v>1668.43</v>
      </c>
      <c r="J2389" s="1" t="str">
        <f aca="false">VLOOKUP(B2389,Customers!$A$2:$G$502,6,FALSE())</f>
        <v>Consumer</v>
      </c>
      <c r="K2389" s="1" t="str">
        <f aca="false">VLOOKUP(C2389,Products!$A$2:$E$62,3,FALSE())</f>
        <v>Electronics</v>
      </c>
      <c r="L2389" s="1" t="str">
        <f aca="false">TEXT(D2389,"yyyy-mm")</f>
        <v>2023-07</v>
      </c>
    </row>
    <row r="2390" customFormat="false" ht="15" hidden="false" customHeight="true" outlineLevel="0" collapsed="false">
      <c r="A2390" s="1" t="n">
        <v>2444</v>
      </c>
      <c r="B2390" s="1" t="n">
        <v>242</v>
      </c>
      <c r="C2390" s="1" t="n">
        <v>60</v>
      </c>
      <c r="D2390" s="1" t="s">
        <v>887</v>
      </c>
      <c r="E2390" s="1" t="n">
        <v>3</v>
      </c>
      <c r="F2390" s="1" t="n">
        <v>584.98</v>
      </c>
      <c r="G2390" s="1" t="n">
        <v>0.1</v>
      </c>
      <c r="H2390" s="1" t="s">
        <v>1336</v>
      </c>
      <c r="I2390" s="1" t="n">
        <v>1579.45</v>
      </c>
      <c r="J2390" s="1" t="str">
        <f aca="false">VLOOKUP(B2390,Customers!$A$2:$G$502,6,FALSE())</f>
        <v>Corporate</v>
      </c>
      <c r="K2390" s="1" t="str">
        <f aca="false">VLOOKUP(C2390,Products!$A$2:$E$62,3,FALSE())</f>
        <v>Furniture</v>
      </c>
      <c r="L2390" s="1" t="str">
        <f aca="false">TEXT(D2390,"yyyy-mm")</f>
        <v>2023-06</v>
      </c>
    </row>
    <row r="2391" customFormat="false" ht="15" hidden="false" customHeight="true" outlineLevel="0" collapsed="false">
      <c r="A2391" s="1" t="n">
        <v>2445</v>
      </c>
      <c r="B2391" s="1" t="n">
        <v>242</v>
      </c>
      <c r="C2391" s="1" t="n">
        <v>9</v>
      </c>
      <c r="D2391" s="1" t="s">
        <v>1473</v>
      </c>
      <c r="E2391" s="1" t="n">
        <v>1</v>
      </c>
      <c r="F2391" s="1" t="n">
        <v>203.1</v>
      </c>
      <c r="G2391" s="1" t="n">
        <v>0.1</v>
      </c>
      <c r="H2391" s="1" t="s">
        <v>1336</v>
      </c>
      <c r="I2391" s="1" t="n">
        <v>182.79</v>
      </c>
      <c r="J2391" s="1" t="str">
        <f aca="false">VLOOKUP(B2391,Customers!$A$2:$G$502,6,FALSE())</f>
        <v>Corporate</v>
      </c>
      <c r="K2391" s="1" t="str">
        <f aca="false">VLOOKUP(C2391,Products!$A$2:$E$62,3,FALSE())</f>
        <v>Electronics</v>
      </c>
      <c r="L2391" s="1" t="str">
        <f aca="false">TEXT(D2391,"yyyy-mm")</f>
        <v>2024-04</v>
      </c>
    </row>
    <row r="2392" customFormat="false" ht="15" hidden="false" customHeight="true" outlineLevel="0" collapsed="false">
      <c r="A2392" s="1" t="n">
        <v>2446</v>
      </c>
      <c r="B2392" s="1" t="n">
        <v>55</v>
      </c>
      <c r="C2392" s="1" t="n">
        <v>28</v>
      </c>
      <c r="D2392" s="1" t="s">
        <v>1452</v>
      </c>
      <c r="E2392" s="1" t="n">
        <v>2</v>
      </c>
      <c r="F2392" s="1" t="n">
        <v>505.23</v>
      </c>
      <c r="G2392" s="1" t="n">
        <v>0.1</v>
      </c>
      <c r="H2392" s="1" t="s">
        <v>1336</v>
      </c>
      <c r="I2392" s="1" t="n">
        <v>909.41</v>
      </c>
      <c r="J2392" s="1" t="str">
        <f aca="false">VLOOKUP(B2392,Customers!$A$2:$G$502,6,FALSE())</f>
        <v>Consumer</v>
      </c>
      <c r="K2392" s="1" t="str">
        <f aca="false">VLOOKUP(C2392,Products!$A$2:$E$62,3,FALSE())</f>
        <v>Office Supplies</v>
      </c>
      <c r="L2392" s="1" t="str">
        <f aca="false">TEXT(D2392,"yyyy-mm")</f>
        <v>2023-01</v>
      </c>
    </row>
    <row r="2393" customFormat="false" ht="15" hidden="false" customHeight="true" outlineLevel="0" collapsed="false">
      <c r="A2393" s="1" t="n">
        <v>2447</v>
      </c>
      <c r="B2393" s="1" t="n">
        <v>80</v>
      </c>
      <c r="C2393" s="1" t="n">
        <v>9</v>
      </c>
      <c r="D2393" s="1" t="s">
        <v>1380</v>
      </c>
      <c r="E2393" s="1" t="n">
        <v>8</v>
      </c>
      <c r="F2393" s="1" t="n">
        <v>203.1</v>
      </c>
      <c r="G2393" s="1" t="n">
        <v>0.15</v>
      </c>
      <c r="H2393" s="1" t="s">
        <v>1336</v>
      </c>
      <c r="I2393" s="1" t="n">
        <v>1381.08</v>
      </c>
      <c r="J2393" s="1" t="str">
        <f aca="false">VLOOKUP(B2393,Customers!$A$2:$G$502,6,FALSE())</f>
        <v>Consumer</v>
      </c>
      <c r="K2393" s="1" t="str">
        <f aca="false">VLOOKUP(C2393,Products!$A$2:$E$62,3,FALSE())</f>
        <v>Electronics</v>
      </c>
      <c r="L2393" s="1" t="str">
        <f aca="false">TEXT(D2393,"yyyy-mm")</f>
        <v>2023-07</v>
      </c>
    </row>
    <row r="2394" customFormat="false" ht="15" hidden="false" customHeight="true" outlineLevel="0" collapsed="false">
      <c r="A2394" s="1" t="n">
        <v>2448</v>
      </c>
      <c r="B2394" s="1" t="n">
        <v>247</v>
      </c>
      <c r="C2394" s="1" t="n">
        <v>32</v>
      </c>
      <c r="D2394" s="1" t="s">
        <v>1519</v>
      </c>
      <c r="E2394" s="1" t="n">
        <v>1</v>
      </c>
      <c r="F2394" s="1" t="n">
        <v>492.27</v>
      </c>
      <c r="G2394" s="1" t="n">
        <v>0.1</v>
      </c>
      <c r="H2394" s="1" t="s">
        <v>1336</v>
      </c>
      <c r="I2394" s="1" t="n">
        <v>443.04</v>
      </c>
      <c r="J2394" s="1" t="str">
        <f aca="false">VLOOKUP(B2394,Customers!$A$2:$G$502,6,FALSE())</f>
        <v>Small Business</v>
      </c>
      <c r="K2394" s="1" t="str">
        <f aca="false">VLOOKUP(C2394,Products!$A$2:$E$62,3,FALSE())</f>
        <v>Office Supplies</v>
      </c>
      <c r="L2394" s="1" t="str">
        <f aca="false">TEXT(D2394,"yyyy-mm")</f>
        <v>2023-05</v>
      </c>
    </row>
    <row r="2395" customFormat="false" ht="15" hidden="false" customHeight="true" outlineLevel="0" collapsed="false">
      <c r="A2395" s="1" t="n">
        <v>2449</v>
      </c>
      <c r="B2395" s="1" t="n">
        <v>215</v>
      </c>
      <c r="C2395" s="1" t="n">
        <v>36</v>
      </c>
      <c r="D2395" s="1" t="s">
        <v>913</v>
      </c>
      <c r="E2395" s="1" t="n">
        <v>8</v>
      </c>
      <c r="F2395" s="1" t="n">
        <v>424.45</v>
      </c>
      <c r="G2395" s="1" t="n">
        <v>0</v>
      </c>
      <c r="H2395" s="1" t="s">
        <v>1336</v>
      </c>
      <c r="I2395" s="1" t="n">
        <v>3395.6</v>
      </c>
      <c r="J2395" s="1" t="str">
        <f aca="false">VLOOKUP(B2395,Customers!$A$2:$G$502,6,FALSE())</f>
        <v>Corporate</v>
      </c>
      <c r="K2395" s="1" t="str">
        <f aca="false">VLOOKUP(C2395,Products!$A$2:$E$62,3,FALSE())</f>
        <v>Software</v>
      </c>
      <c r="L2395" s="1" t="str">
        <f aca="false">TEXT(D2395,"yyyy-mm")</f>
        <v>2023-04</v>
      </c>
    </row>
    <row r="2396" customFormat="false" ht="15" hidden="false" customHeight="true" outlineLevel="0" collapsed="false">
      <c r="A2396" s="1" t="n">
        <v>2450</v>
      </c>
      <c r="B2396" s="1" t="n">
        <v>282</v>
      </c>
      <c r="C2396" s="1" t="n">
        <v>24</v>
      </c>
      <c r="D2396" s="1" t="s">
        <v>810</v>
      </c>
      <c r="E2396" s="1" t="n">
        <v>7</v>
      </c>
      <c r="F2396" s="1" t="n">
        <v>207.34</v>
      </c>
      <c r="G2396" s="1" t="n">
        <v>0</v>
      </c>
      <c r="H2396" s="1" t="s">
        <v>1336</v>
      </c>
      <c r="I2396" s="1" t="n">
        <v>1451.38</v>
      </c>
      <c r="J2396" s="1" t="str">
        <f aca="false">VLOOKUP(B2396,Customers!$A$2:$G$502,6,FALSE())</f>
        <v>Corporate</v>
      </c>
      <c r="K2396" s="1" t="str">
        <f aca="false">VLOOKUP(C2396,Products!$A$2:$E$62,3,FALSE())</f>
        <v>Office Supplies</v>
      </c>
      <c r="L2396" s="1" t="str">
        <f aca="false">TEXT(D2396,"yyyy-mm")</f>
        <v>2023-12</v>
      </c>
    </row>
    <row r="2397" customFormat="false" ht="15" hidden="false" customHeight="true" outlineLevel="0" collapsed="false">
      <c r="A2397" s="1" t="n">
        <v>2451</v>
      </c>
      <c r="B2397" s="1" t="n">
        <v>343</v>
      </c>
      <c r="C2397" s="1" t="n">
        <v>56</v>
      </c>
      <c r="D2397" s="1" t="s">
        <v>1601</v>
      </c>
      <c r="E2397" s="1" t="n">
        <v>8</v>
      </c>
      <c r="F2397" s="1" t="n">
        <v>160.64</v>
      </c>
      <c r="G2397" s="1" t="n">
        <v>0</v>
      </c>
      <c r="H2397" s="1" t="s">
        <v>1336</v>
      </c>
      <c r="I2397" s="1" t="n">
        <v>1285.12</v>
      </c>
      <c r="J2397" s="1" t="str">
        <f aca="false">VLOOKUP(B2397,Customers!$A$2:$G$502,6,FALSE())</f>
        <v>Unknown</v>
      </c>
      <c r="K2397" s="1" t="str">
        <f aca="false">VLOOKUP(C2397,Products!$A$2:$E$62,3,FALSE())</f>
        <v>Furniture</v>
      </c>
      <c r="L2397" s="1" t="str">
        <f aca="false">TEXT(D2397,"yyyy-mm")</f>
        <v>2023-10</v>
      </c>
    </row>
    <row r="2398" customFormat="false" ht="15" hidden="false" customHeight="true" outlineLevel="0" collapsed="false">
      <c r="A2398" s="1" t="n">
        <v>2452</v>
      </c>
      <c r="B2398" s="1" t="n">
        <v>84</v>
      </c>
      <c r="C2398" s="1" t="n">
        <v>53</v>
      </c>
      <c r="D2398" s="1" t="s">
        <v>501</v>
      </c>
      <c r="E2398" s="1" t="n">
        <v>6</v>
      </c>
      <c r="F2398" s="1" t="n">
        <v>509.98</v>
      </c>
      <c r="G2398" s="1" t="n">
        <v>0.05</v>
      </c>
      <c r="H2398" s="1" t="s">
        <v>1336</v>
      </c>
      <c r="I2398" s="1" t="n">
        <v>2906.89</v>
      </c>
      <c r="J2398" s="1" t="str">
        <f aca="false">VLOOKUP(B2398,Customers!$A$2:$G$502,6,FALSE())</f>
        <v>Corporate</v>
      </c>
      <c r="K2398" s="1" t="str">
        <f aca="false">VLOOKUP(C2398,Products!$A$2:$E$62,3,FALSE())</f>
        <v>Software</v>
      </c>
      <c r="L2398" s="1" t="str">
        <f aca="false">TEXT(D2398,"yyyy-mm")</f>
        <v>2023-05</v>
      </c>
    </row>
    <row r="2399" customFormat="false" ht="15" hidden="false" customHeight="true" outlineLevel="0" collapsed="false">
      <c r="A2399" s="1" t="n">
        <v>2453</v>
      </c>
      <c r="B2399" s="1" t="n">
        <v>196</v>
      </c>
      <c r="C2399" s="1" t="n">
        <v>36</v>
      </c>
      <c r="D2399" s="1" t="s">
        <v>810</v>
      </c>
      <c r="E2399" s="1" t="n">
        <v>9</v>
      </c>
      <c r="F2399" s="1" t="n">
        <v>424.45</v>
      </c>
      <c r="G2399" s="1" t="n">
        <v>0.2</v>
      </c>
      <c r="H2399" s="1" t="s">
        <v>1336</v>
      </c>
      <c r="I2399" s="1" t="n">
        <v>3056.04</v>
      </c>
      <c r="J2399" s="1" t="str">
        <f aca="false">VLOOKUP(B2399,Customers!$A$2:$G$502,6,FALSE())</f>
        <v>Corporate</v>
      </c>
      <c r="K2399" s="1" t="str">
        <f aca="false">VLOOKUP(C2399,Products!$A$2:$E$62,3,FALSE())</f>
        <v>Software</v>
      </c>
      <c r="L2399" s="1" t="str">
        <f aca="false">TEXT(D2399,"yyyy-mm")</f>
        <v>2023-12</v>
      </c>
    </row>
    <row r="2400" customFormat="false" ht="15" hidden="false" customHeight="true" outlineLevel="0" collapsed="false">
      <c r="A2400" s="1" t="n">
        <v>2454</v>
      </c>
      <c r="B2400" s="1" t="n">
        <v>227</v>
      </c>
      <c r="C2400" s="1" t="n">
        <v>44</v>
      </c>
      <c r="D2400" s="1" t="s">
        <v>1455</v>
      </c>
      <c r="E2400" s="1" t="n">
        <v>3</v>
      </c>
      <c r="F2400" s="1" t="n">
        <v>508.26</v>
      </c>
      <c r="G2400" s="1" t="n">
        <v>0</v>
      </c>
      <c r="H2400" s="1" t="s">
        <v>1336</v>
      </c>
      <c r="I2400" s="1" t="n">
        <v>1524.78</v>
      </c>
      <c r="J2400" s="1" t="str">
        <f aca="false">VLOOKUP(B2400,Customers!$A$2:$G$502,6,FALSE())</f>
        <v>Consumer</v>
      </c>
      <c r="K2400" s="1" t="str">
        <f aca="false">VLOOKUP(C2400,Products!$A$2:$E$62,3,FALSE())</f>
        <v>Software</v>
      </c>
      <c r="L2400" s="1" t="str">
        <f aca="false">TEXT(D2400,"yyyy-mm")</f>
        <v>2024-11</v>
      </c>
    </row>
    <row r="2401" customFormat="false" ht="15" hidden="false" customHeight="true" outlineLevel="0" collapsed="false">
      <c r="A2401" s="1" t="n">
        <v>2455</v>
      </c>
      <c r="B2401" s="1" t="n">
        <v>469</v>
      </c>
      <c r="C2401" s="1" t="n">
        <v>60</v>
      </c>
      <c r="D2401" s="1" t="s">
        <v>1664</v>
      </c>
      <c r="E2401" s="1" t="n">
        <v>4</v>
      </c>
      <c r="F2401" s="1" t="n">
        <v>584.98</v>
      </c>
      <c r="G2401" s="1" t="n">
        <v>0.15</v>
      </c>
      <c r="H2401" s="1" t="s">
        <v>1336</v>
      </c>
      <c r="I2401" s="1" t="n">
        <v>1988.93</v>
      </c>
      <c r="J2401" s="1" t="str">
        <f aca="false">VLOOKUP(B2401,Customers!$A$2:$G$502,6,FALSE())</f>
        <v>Small Business</v>
      </c>
      <c r="K2401" s="1" t="str">
        <f aca="false">VLOOKUP(C2401,Products!$A$2:$E$62,3,FALSE())</f>
        <v>Furniture</v>
      </c>
      <c r="L2401" s="1" t="str">
        <f aca="false">TEXT(D2401,"yyyy-mm")</f>
        <v>2024-01</v>
      </c>
    </row>
    <row r="2402" customFormat="false" ht="15" hidden="false" customHeight="true" outlineLevel="0" collapsed="false">
      <c r="A2402" s="1" t="n">
        <v>2456</v>
      </c>
      <c r="B2402" s="1" t="n">
        <v>377</v>
      </c>
      <c r="C2402" s="1" t="n">
        <v>8</v>
      </c>
      <c r="D2402" s="1" t="s">
        <v>1534</v>
      </c>
      <c r="E2402" s="1" t="n">
        <v>6</v>
      </c>
      <c r="F2402" s="1" t="n">
        <v>104.4</v>
      </c>
      <c r="G2402" s="1" t="n">
        <v>0</v>
      </c>
      <c r="H2402" s="1" t="s">
        <v>1336</v>
      </c>
      <c r="I2402" s="1" t="n">
        <v>626.4</v>
      </c>
      <c r="J2402" s="1" t="str">
        <f aca="false">VLOOKUP(B2402,Customers!$A$2:$G$502,6,FALSE())</f>
        <v>Corporate</v>
      </c>
      <c r="K2402" s="1" t="str">
        <f aca="false">VLOOKUP(C2402,Products!$A$2:$E$62,3,FALSE())</f>
        <v>Electronics</v>
      </c>
      <c r="L2402" s="1" t="str">
        <f aca="false">TEXT(D2402,"yyyy-mm")</f>
        <v>2024-02</v>
      </c>
    </row>
    <row r="2403" customFormat="false" ht="15" hidden="false" customHeight="true" outlineLevel="0" collapsed="false">
      <c r="A2403" s="1" t="n">
        <v>2457</v>
      </c>
      <c r="B2403" s="1" t="n">
        <v>112</v>
      </c>
      <c r="C2403" s="1" t="n">
        <v>13</v>
      </c>
      <c r="D2403" s="1" t="s">
        <v>1361</v>
      </c>
      <c r="E2403" s="1" t="n">
        <v>8</v>
      </c>
      <c r="F2403" s="1" t="n">
        <v>352.54</v>
      </c>
      <c r="G2403" s="1" t="n">
        <v>0</v>
      </c>
      <c r="H2403" s="1" t="s">
        <v>1370</v>
      </c>
      <c r="I2403" s="1" t="n">
        <v>2820.32</v>
      </c>
      <c r="J2403" s="1" t="str">
        <f aca="false">VLOOKUP(B2403,Customers!$A$2:$G$502,6,FALSE())</f>
        <v>Corporate</v>
      </c>
      <c r="K2403" s="1" t="str">
        <f aca="false">VLOOKUP(C2403,Products!$A$2:$E$62,3,FALSE())</f>
        <v>Electronics</v>
      </c>
      <c r="L2403" s="1" t="str">
        <f aca="false">TEXT(D2403,"yyyy-mm")</f>
        <v>2024-01</v>
      </c>
    </row>
    <row r="2404" customFormat="false" ht="15" hidden="false" customHeight="true" outlineLevel="0" collapsed="false">
      <c r="A2404" s="1" t="n">
        <v>2458</v>
      </c>
      <c r="B2404" s="1" t="n">
        <v>458</v>
      </c>
      <c r="C2404" s="1" t="n">
        <v>51</v>
      </c>
      <c r="D2404" s="1" t="s">
        <v>1590</v>
      </c>
      <c r="E2404" s="1" t="n">
        <v>5</v>
      </c>
      <c r="F2404" s="1" t="n">
        <v>30.16</v>
      </c>
      <c r="G2404" s="1" t="n">
        <v>0</v>
      </c>
      <c r="H2404" s="1" t="s">
        <v>1336</v>
      </c>
      <c r="I2404" s="1" t="n">
        <v>150.8</v>
      </c>
      <c r="J2404" s="1" t="str">
        <f aca="false">VLOOKUP(B2404,Customers!$A$2:$G$502,6,FALSE())</f>
        <v>Small Business</v>
      </c>
      <c r="K2404" s="1" t="str">
        <f aca="false">VLOOKUP(C2404,Products!$A$2:$E$62,3,FALSE())</f>
        <v>Software</v>
      </c>
      <c r="L2404" s="1" t="str">
        <f aca="false">TEXT(D2404,"yyyy-mm")</f>
        <v>2023-06</v>
      </c>
    </row>
    <row r="2405" customFormat="false" ht="15" hidden="false" customHeight="true" outlineLevel="0" collapsed="false">
      <c r="A2405" s="1" t="n">
        <v>2459</v>
      </c>
      <c r="B2405" s="1" t="n">
        <v>444</v>
      </c>
      <c r="C2405" s="1" t="n">
        <v>15</v>
      </c>
      <c r="D2405" s="1" t="s">
        <v>1387</v>
      </c>
      <c r="E2405" s="1" t="n">
        <v>3</v>
      </c>
      <c r="F2405" s="1" t="n">
        <v>304.95</v>
      </c>
      <c r="G2405" s="1" t="n">
        <v>0</v>
      </c>
      <c r="H2405" s="1" t="s">
        <v>1336</v>
      </c>
      <c r="I2405" s="1" t="n">
        <v>914.85</v>
      </c>
      <c r="J2405" s="1" t="str">
        <f aca="false">VLOOKUP(B2405,Customers!$A$2:$G$502,6,FALSE())</f>
        <v>Small Business</v>
      </c>
      <c r="K2405" s="1" t="str">
        <f aca="false">VLOOKUP(C2405,Products!$A$2:$E$62,3,FALSE())</f>
        <v>Electronics</v>
      </c>
      <c r="L2405" s="1" t="str">
        <f aca="false">TEXT(D2405,"yyyy-mm")</f>
        <v>2024-08</v>
      </c>
    </row>
    <row r="2406" customFormat="false" ht="15" hidden="false" customHeight="true" outlineLevel="0" collapsed="false">
      <c r="A2406" s="1" t="n">
        <v>2461</v>
      </c>
      <c r="B2406" s="1" t="n">
        <v>440</v>
      </c>
      <c r="C2406" s="1" t="n">
        <v>15</v>
      </c>
      <c r="D2406" s="1" t="s">
        <v>183</v>
      </c>
      <c r="E2406" s="1" t="n">
        <v>4</v>
      </c>
      <c r="F2406" s="1" t="n">
        <v>304.95</v>
      </c>
      <c r="G2406" s="1" t="n">
        <v>0</v>
      </c>
      <c r="H2406" s="1" t="s">
        <v>1336</v>
      </c>
      <c r="I2406" s="1" t="n">
        <v>1219.8</v>
      </c>
      <c r="J2406" s="1" t="str">
        <f aca="false">VLOOKUP(B2406,Customers!$A$2:$G$502,6,FALSE())</f>
        <v>Small Business</v>
      </c>
      <c r="K2406" s="1" t="str">
        <f aca="false">VLOOKUP(C2406,Products!$A$2:$E$62,3,FALSE())</f>
        <v>Electronics</v>
      </c>
      <c r="L2406" s="1" t="str">
        <f aca="false">TEXT(D2406,"yyyy-mm")</f>
        <v>2023-02</v>
      </c>
    </row>
    <row r="2407" customFormat="false" ht="15" hidden="false" customHeight="true" outlineLevel="0" collapsed="false">
      <c r="A2407" s="1" t="n">
        <v>2462</v>
      </c>
      <c r="B2407" s="1" t="n">
        <v>391</v>
      </c>
      <c r="C2407" s="1" t="n">
        <v>52</v>
      </c>
      <c r="D2407" s="1" t="s">
        <v>295</v>
      </c>
      <c r="E2407" s="1" t="n">
        <v>9</v>
      </c>
      <c r="F2407" s="1" t="n">
        <v>207.67</v>
      </c>
      <c r="G2407" s="1" t="n">
        <v>0.05</v>
      </c>
      <c r="H2407" s="1" t="s">
        <v>1336</v>
      </c>
      <c r="I2407" s="1" t="n">
        <v>1775.58</v>
      </c>
      <c r="J2407" s="1" t="str">
        <f aca="false">VLOOKUP(B2407,Customers!$A$2:$G$502,6,FALSE())</f>
        <v>Small Business</v>
      </c>
      <c r="K2407" s="1" t="str">
        <f aca="false">VLOOKUP(C2407,Products!$A$2:$E$62,3,FALSE())</f>
        <v>Software</v>
      </c>
      <c r="L2407" s="1" t="str">
        <f aca="false">TEXT(D2407,"yyyy-mm")</f>
        <v>2024-07</v>
      </c>
    </row>
    <row r="2408" customFormat="false" ht="15" hidden="false" customHeight="true" outlineLevel="0" collapsed="false">
      <c r="A2408" s="1" t="n">
        <v>2464</v>
      </c>
      <c r="B2408" s="1" t="n">
        <v>9</v>
      </c>
      <c r="C2408" s="1" t="n">
        <v>53</v>
      </c>
      <c r="D2408" s="1" t="s">
        <v>673</v>
      </c>
      <c r="E2408" s="1" t="n">
        <v>4</v>
      </c>
      <c r="F2408" s="1" t="n">
        <v>509.98</v>
      </c>
      <c r="G2408" s="1" t="n">
        <v>0.2</v>
      </c>
      <c r="H2408" s="1" t="s">
        <v>1336</v>
      </c>
      <c r="I2408" s="1" t="n">
        <v>1631.94</v>
      </c>
      <c r="J2408" s="1" t="str">
        <f aca="false">VLOOKUP(B2408,Customers!$A$2:$G$502,6,FALSE())</f>
        <v>Small Business</v>
      </c>
      <c r="K2408" s="1" t="str">
        <f aca="false">VLOOKUP(C2408,Products!$A$2:$E$62,3,FALSE())</f>
        <v>Software</v>
      </c>
      <c r="L2408" s="1" t="str">
        <f aca="false">TEXT(D2408,"yyyy-mm")</f>
        <v>2023-05</v>
      </c>
    </row>
    <row r="2409" customFormat="false" ht="15" hidden="false" customHeight="true" outlineLevel="0" collapsed="false">
      <c r="A2409" s="1" t="n">
        <v>2465</v>
      </c>
      <c r="B2409" s="1" t="n">
        <v>252</v>
      </c>
      <c r="C2409" s="1" t="n">
        <v>33</v>
      </c>
      <c r="D2409" s="1" t="s">
        <v>1027</v>
      </c>
      <c r="E2409" s="1" t="n">
        <v>7</v>
      </c>
      <c r="F2409" s="1" t="n">
        <v>190.1</v>
      </c>
      <c r="G2409" s="1" t="n">
        <v>0.2</v>
      </c>
      <c r="H2409" s="1" t="s">
        <v>1336</v>
      </c>
      <c r="I2409" s="1" t="n">
        <v>1064.56</v>
      </c>
      <c r="J2409" s="1" t="str">
        <f aca="false">VLOOKUP(B2409,Customers!$A$2:$G$502,6,FALSE())</f>
        <v>Consumer</v>
      </c>
      <c r="K2409" s="1" t="str">
        <f aca="false">VLOOKUP(C2409,Products!$A$2:$E$62,3,FALSE())</f>
        <v>Office Supplies</v>
      </c>
      <c r="L2409" s="1" t="str">
        <f aca="false">TEXT(D2409,"yyyy-mm")</f>
        <v>2024-08</v>
      </c>
    </row>
    <row r="2410" customFormat="false" ht="15" hidden="false" customHeight="true" outlineLevel="0" collapsed="false">
      <c r="A2410" s="1" t="n">
        <v>2466</v>
      </c>
      <c r="B2410" s="1" t="n">
        <v>173</v>
      </c>
      <c r="C2410" s="1" t="n">
        <v>21</v>
      </c>
      <c r="D2410" s="1" t="s">
        <v>946</v>
      </c>
      <c r="E2410" s="1" t="n">
        <v>7</v>
      </c>
      <c r="F2410" s="1" t="n">
        <v>84.91</v>
      </c>
      <c r="G2410" s="1" t="n">
        <v>0</v>
      </c>
      <c r="H2410" s="1" t="s">
        <v>1336</v>
      </c>
      <c r="I2410" s="1" t="n">
        <v>594.37</v>
      </c>
      <c r="J2410" s="1" t="str">
        <f aca="false">VLOOKUP(B2410,Customers!$A$2:$G$502,6,FALSE())</f>
        <v>Consumer</v>
      </c>
      <c r="K2410" s="1" t="str">
        <f aca="false">VLOOKUP(C2410,Products!$A$2:$E$62,3,FALSE())</f>
        <v>Office Supplies</v>
      </c>
      <c r="L2410" s="1" t="str">
        <f aca="false">TEXT(D2410,"yyyy-mm")</f>
        <v>2023-04</v>
      </c>
    </row>
    <row r="2411" customFormat="false" ht="15" hidden="false" customHeight="true" outlineLevel="0" collapsed="false">
      <c r="A2411" s="1" t="n">
        <v>2467</v>
      </c>
      <c r="B2411" s="1" t="n">
        <v>414</v>
      </c>
      <c r="C2411" s="1" t="n">
        <v>7</v>
      </c>
      <c r="D2411" s="1" t="s">
        <v>133</v>
      </c>
      <c r="E2411" s="1" t="n">
        <v>4</v>
      </c>
      <c r="F2411" s="1" t="n">
        <v>460</v>
      </c>
      <c r="G2411" s="1" t="n">
        <v>0</v>
      </c>
      <c r="H2411" s="1" t="s">
        <v>1336</v>
      </c>
      <c r="I2411" s="1" t="n">
        <v>1840</v>
      </c>
      <c r="J2411" s="1" t="str">
        <f aca="false">VLOOKUP(B2411,Customers!$A$2:$G$502,6,FALSE())</f>
        <v>Consumer</v>
      </c>
      <c r="K2411" s="1" t="str">
        <f aca="false">VLOOKUP(C2411,Products!$A$2:$E$62,3,FALSE())</f>
        <v>Electronics</v>
      </c>
      <c r="L2411" s="1" t="str">
        <f aca="false">TEXT(D2411,"yyyy-mm")</f>
        <v>2023-05</v>
      </c>
    </row>
    <row r="2412" customFormat="false" ht="15" hidden="false" customHeight="true" outlineLevel="0" collapsed="false">
      <c r="A2412" s="1" t="n">
        <v>2468</v>
      </c>
      <c r="B2412" s="1" t="n">
        <v>186</v>
      </c>
      <c r="C2412" s="1" t="n">
        <v>17</v>
      </c>
      <c r="D2412" s="1" t="s">
        <v>368</v>
      </c>
      <c r="E2412" s="1" t="n">
        <v>6</v>
      </c>
      <c r="F2412" s="1" t="n">
        <v>65.61</v>
      </c>
      <c r="G2412" s="1" t="n">
        <v>0.05</v>
      </c>
      <c r="H2412" s="1" t="s">
        <v>1336</v>
      </c>
      <c r="I2412" s="1" t="n">
        <v>373.98</v>
      </c>
      <c r="J2412" s="1" t="str">
        <f aca="false">VLOOKUP(B2412,Customers!$A$2:$G$502,6,FALSE())</f>
        <v>Small Business</v>
      </c>
      <c r="K2412" s="1" t="str">
        <f aca="false">VLOOKUP(C2412,Products!$A$2:$E$62,3,FALSE())</f>
        <v>Electronics</v>
      </c>
      <c r="L2412" s="1" t="str">
        <f aca="false">TEXT(D2412,"yyyy-mm")</f>
        <v>2023-06</v>
      </c>
    </row>
    <row r="2413" customFormat="false" ht="15" hidden="false" customHeight="true" outlineLevel="0" collapsed="false">
      <c r="A2413" s="1" t="n">
        <v>2469</v>
      </c>
      <c r="B2413" s="1" t="n">
        <v>237</v>
      </c>
      <c r="C2413" s="1" t="n">
        <v>11</v>
      </c>
      <c r="D2413" s="1" t="s">
        <v>1644</v>
      </c>
      <c r="E2413" s="1" t="n">
        <v>3</v>
      </c>
      <c r="F2413" s="1" t="n">
        <v>328.39</v>
      </c>
      <c r="G2413" s="1" t="n">
        <v>0.15</v>
      </c>
      <c r="H2413" s="1" t="s">
        <v>1336</v>
      </c>
      <c r="I2413" s="1" t="n">
        <v>837.39</v>
      </c>
      <c r="J2413" s="1" t="str">
        <f aca="false">VLOOKUP(B2413,Customers!$A$2:$G$502,6,FALSE())</f>
        <v>Consumer</v>
      </c>
      <c r="K2413" s="1" t="str">
        <f aca="false">VLOOKUP(C2413,Products!$A$2:$E$62,3,FALSE())</f>
        <v>Electronics</v>
      </c>
      <c r="L2413" s="1" t="str">
        <f aca="false">TEXT(D2413,"yyyy-mm")</f>
        <v>2023-08</v>
      </c>
    </row>
    <row r="2414" customFormat="false" ht="15" hidden="false" customHeight="true" outlineLevel="0" collapsed="false">
      <c r="A2414" s="1" t="n">
        <v>2470</v>
      </c>
      <c r="B2414" s="1" t="n">
        <v>378</v>
      </c>
      <c r="C2414" s="1" t="n">
        <v>54</v>
      </c>
      <c r="D2414" s="1" t="s">
        <v>1600</v>
      </c>
      <c r="E2414" s="1" t="n">
        <v>6</v>
      </c>
      <c r="F2414" s="1" t="n">
        <v>312.01</v>
      </c>
      <c r="G2414" s="1" t="n">
        <v>0.2</v>
      </c>
      <c r="H2414" s="1" t="s">
        <v>1336</v>
      </c>
      <c r="I2414" s="1" t="n">
        <v>1497.65</v>
      </c>
      <c r="J2414" s="1" t="str">
        <f aca="false">VLOOKUP(B2414,Customers!$A$2:$G$502,6,FALSE())</f>
        <v>Small Business</v>
      </c>
      <c r="K2414" s="1" t="str">
        <f aca="false">VLOOKUP(C2414,Products!$A$2:$E$62,3,FALSE())</f>
        <v>Software</v>
      </c>
      <c r="L2414" s="1" t="str">
        <f aca="false">TEXT(D2414,"yyyy-mm")</f>
        <v>2024-01</v>
      </c>
    </row>
    <row r="2415" customFormat="false" ht="15" hidden="false" customHeight="true" outlineLevel="0" collapsed="false">
      <c r="A2415" s="1" t="n">
        <v>2471</v>
      </c>
      <c r="B2415" s="1" t="n">
        <v>34</v>
      </c>
      <c r="C2415" s="1" t="n">
        <v>29</v>
      </c>
      <c r="D2415" s="1" t="s">
        <v>29</v>
      </c>
      <c r="E2415" s="1" t="n">
        <v>2</v>
      </c>
      <c r="F2415" s="1" t="n">
        <v>54.62</v>
      </c>
      <c r="G2415" s="1" t="n">
        <v>0</v>
      </c>
      <c r="H2415" s="1" t="s">
        <v>1336</v>
      </c>
      <c r="I2415" s="1" t="n">
        <v>109.24</v>
      </c>
      <c r="J2415" s="1" t="str">
        <f aca="false">VLOOKUP(B2415,Customers!$A$2:$G$502,6,FALSE())</f>
        <v>Corporate</v>
      </c>
      <c r="K2415" s="1" t="str">
        <f aca="false">VLOOKUP(C2415,Products!$A$2:$E$62,3,FALSE())</f>
        <v>Office Supplies</v>
      </c>
      <c r="L2415" s="1" t="str">
        <f aca="false">TEXT(D2415,"yyyy-mm")</f>
        <v>2023-04</v>
      </c>
    </row>
    <row r="2416" customFormat="false" ht="15" hidden="false" customHeight="true" outlineLevel="0" collapsed="false">
      <c r="A2416" s="1" t="n">
        <v>2472</v>
      </c>
      <c r="B2416" s="1" t="n">
        <v>197</v>
      </c>
      <c r="C2416" s="1" t="n">
        <v>52</v>
      </c>
      <c r="D2416" s="1" t="s">
        <v>1467</v>
      </c>
      <c r="E2416" s="1" t="n">
        <v>8</v>
      </c>
      <c r="F2416" s="1" t="n">
        <v>207.67</v>
      </c>
      <c r="G2416" s="1" t="n">
        <v>0.2</v>
      </c>
      <c r="H2416" s="1" t="s">
        <v>1336</v>
      </c>
      <c r="I2416" s="1" t="n">
        <v>1329.09</v>
      </c>
      <c r="J2416" s="1" t="str">
        <f aca="false">VLOOKUP(B2416,Customers!$A$2:$G$502,6,FALSE())</f>
        <v>Small Business</v>
      </c>
      <c r="K2416" s="1" t="str">
        <f aca="false">VLOOKUP(C2416,Products!$A$2:$E$62,3,FALSE())</f>
        <v>Software</v>
      </c>
      <c r="L2416" s="1" t="str">
        <f aca="false">TEXT(D2416,"yyyy-mm")</f>
        <v>2023-09</v>
      </c>
    </row>
    <row r="2417" customFormat="false" ht="15" hidden="false" customHeight="true" outlineLevel="0" collapsed="false">
      <c r="A2417" s="1" t="n">
        <v>2473</v>
      </c>
      <c r="B2417" s="1" t="n">
        <v>341</v>
      </c>
      <c r="C2417" s="1" t="n">
        <v>47</v>
      </c>
      <c r="D2417" s="1" t="s">
        <v>390</v>
      </c>
      <c r="E2417" s="1" t="n">
        <v>2</v>
      </c>
      <c r="F2417" s="1" t="n">
        <v>506.19</v>
      </c>
      <c r="G2417" s="1" t="n">
        <v>0</v>
      </c>
      <c r="H2417" s="1" t="s">
        <v>1336</v>
      </c>
      <c r="I2417" s="1" t="n">
        <v>1012.38</v>
      </c>
      <c r="J2417" s="1" t="str">
        <f aca="false">VLOOKUP(B2417,Customers!$A$2:$G$502,6,FALSE())</f>
        <v>Small Business</v>
      </c>
      <c r="K2417" s="1" t="str">
        <f aca="false">VLOOKUP(C2417,Products!$A$2:$E$62,3,FALSE())</f>
        <v>Software</v>
      </c>
      <c r="L2417" s="1" t="str">
        <f aca="false">TEXT(D2417,"yyyy-mm")</f>
        <v>2023-03</v>
      </c>
    </row>
    <row r="2418" customFormat="false" ht="15" hidden="false" customHeight="true" outlineLevel="0" collapsed="false">
      <c r="A2418" s="1" t="n">
        <v>2474</v>
      </c>
      <c r="B2418" s="1" t="n">
        <v>398</v>
      </c>
      <c r="C2418" s="1" t="n">
        <v>12</v>
      </c>
      <c r="D2418" s="1" t="s">
        <v>1442</v>
      </c>
      <c r="E2418" s="1" t="n">
        <v>7</v>
      </c>
      <c r="F2418" s="1" t="n">
        <v>179.23</v>
      </c>
      <c r="G2418" s="1" t="n">
        <v>0</v>
      </c>
      <c r="H2418" s="1" t="s">
        <v>1336</v>
      </c>
      <c r="I2418" s="1" t="n">
        <v>1254.61</v>
      </c>
      <c r="J2418" s="1" t="str">
        <f aca="false">VLOOKUP(B2418,Customers!$A$2:$G$502,6,FALSE())</f>
        <v>Small Business</v>
      </c>
      <c r="K2418" s="1" t="str">
        <f aca="false">VLOOKUP(C2418,Products!$A$2:$E$62,3,FALSE())</f>
        <v>Electronics</v>
      </c>
      <c r="L2418" s="1" t="str">
        <f aca="false">TEXT(D2418,"yyyy-mm")</f>
        <v>2024-03</v>
      </c>
    </row>
    <row r="2419" customFormat="false" ht="15" hidden="false" customHeight="true" outlineLevel="0" collapsed="false">
      <c r="A2419" s="1" t="n">
        <v>2475</v>
      </c>
      <c r="B2419" s="1" t="n">
        <v>236</v>
      </c>
      <c r="C2419" s="1" t="n">
        <v>43</v>
      </c>
      <c r="D2419" s="1" t="s">
        <v>1078</v>
      </c>
      <c r="E2419" s="1" t="n">
        <v>9</v>
      </c>
      <c r="F2419" s="1" t="n">
        <v>186.31</v>
      </c>
      <c r="G2419" s="1" t="n">
        <v>0.05</v>
      </c>
      <c r="H2419" s="1" t="s">
        <v>1336</v>
      </c>
      <c r="I2419" s="1" t="n">
        <v>1592.95</v>
      </c>
      <c r="J2419" s="1" t="str">
        <f aca="false">VLOOKUP(B2419,Customers!$A$2:$G$502,6,FALSE())</f>
        <v>Corporate</v>
      </c>
      <c r="K2419" s="1" t="str">
        <f aca="false">VLOOKUP(C2419,Products!$A$2:$E$62,3,FALSE())</f>
        <v>Software</v>
      </c>
      <c r="L2419" s="1" t="str">
        <f aca="false">TEXT(D2419,"yyyy-mm")</f>
        <v>2023-07</v>
      </c>
    </row>
    <row r="2420" customFormat="false" ht="15" hidden="false" customHeight="true" outlineLevel="0" collapsed="false">
      <c r="A2420" s="1" t="n">
        <v>2476</v>
      </c>
      <c r="B2420" s="1" t="n">
        <v>202</v>
      </c>
      <c r="C2420" s="1" t="n">
        <v>44</v>
      </c>
      <c r="D2420" s="1" t="s">
        <v>1490</v>
      </c>
      <c r="E2420" s="1" t="n">
        <v>1</v>
      </c>
      <c r="F2420" s="1" t="n">
        <v>508.26</v>
      </c>
      <c r="G2420" s="1" t="n">
        <v>0.05</v>
      </c>
      <c r="H2420" s="1" t="s">
        <v>1370</v>
      </c>
      <c r="I2420" s="1" t="n">
        <v>482.85</v>
      </c>
      <c r="J2420" s="1" t="str">
        <f aca="false">VLOOKUP(B2420,Customers!$A$2:$G$502,6,FALSE())</f>
        <v>Corporate</v>
      </c>
      <c r="K2420" s="1" t="str">
        <f aca="false">VLOOKUP(C2420,Products!$A$2:$E$62,3,FALSE())</f>
        <v>Software</v>
      </c>
      <c r="L2420" s="1" t="str">
        <f aca="false">TEXT(D2420,"yyyy-mm")</f>
        <v>2024-06</v>
      </c>
    </row>
    <row r="2421" customFormat="false" ht="15" hidden="false" customHeight="true" outlineLevel="0" collapsed="false">
      <c r="A2421" s="1" t="n">
        <v>2477</v>
      </c>
      <c r="B2421" s="1" t="n">
        <v>154</v>
      </c>
      <c r="C2421" s="1" t="n">
        <v>3</v>
      </c>
      <c r="D2421" s="1" t="s">
        <v>671</v>
      </c>
      <c r="E2421" s="1" t="n">
        <v>8</v>
      </c>
      <c r="F2421" s="1" t="n">
        <v>89.39</v>
      </c>
      <c r="G2421" s="1" t="n">
        <v>0.05</v>
      </c>
      <c r="H2421" s="1" t="s">
        <v>1336</v>
      </c>
      <c r="I2421" s="1" t="n">
        <v>679.36</v>
      </c>
      <c r="J2421" s="1" t="str">
        <f aca="false">VLOOKUP(B2421,Customers!$A$2:$G$502,6,FALSE())</f>
        <v>Small Business</v>
      </c>
      <c r="K2421" s="1" t="str">
        <f aca="false">VLOOKUP(C2421,Products!$A$2:$E$62,3,FALSE())</f>
        <v>Electronics</v>
      </c>
      <c r="L2421" s="1" t="str">
        <f aca="false">TEXT(D2421,"yyyy-mm")</f>
        <v>2024-04</v>
      </c>
    </row>
    <row r="2422" customFormat="false" ht="15" hidden="false" customHeight="true" outlineLevel="0" collapsed="false">
      <c r="A2422" s="1" t="n">
        <v>2478</v>
      </c>
      <c r="B2422" s="1" t="n">
        <v>350</v>
      </c>
      <c r="C2422" s="1" t="n">
        <v>14</v>
      </c>
      <c r="D2422" s="1" t="s">
        <v>1638</v>
      </c>
      <c r="E2422" s="1" t="n">
        <v>7</v>
      </c>
      <c r="F2422" s="1" t="n">
        <v>135.27</v>
      </c>
      <c r="G2422" s="1" t="n">
        <v>0.05</v>
      </c>
      <c r="H2422" s="1" t="s">
        <v>1370</v>
      </c>
      <c r="I2422" s="1" t="n">
        <v>899.55</v>
      </c>
      <c r="J2422" s="1" t="str">
        <f aca="false">VLOOKUP(B2422,Customers!$A$2:$G$502,6,FALSE())</f>
        <v>Consumer</v>
      </c>
      <c r="K2422" s="1" t="str">
        <f aca="false">VLOOKUP(C2422,Products!$A$2:$E$62,3,FALSE())</f>
        <v>Electronics</v>
      </c>
      <c r="L2422" s="1" t="str">
        <f aca="false">TEXT(D2422,"yyyy-mm")</f>
        <v>2023-05</v>
      </c>
    </row>
    <row r="2423" customFormat="false" ht="15" hidden="false" customHeight="true" outlineLevel="0" collapsed="false">
      <c r="A2423" s="1" t="n">
        <v>2479</v>
      </c>
      <c r="B2423" s="1" t="n">
        <v>107</v>
      </c>
      <c r="C2423" s="1" t="n">
        <v>47</v>
      </c>
      <c r="D2423" s="1" t="s">
        <v>1340</v>
      </c>
      <c r="E2423" s="1" t="n">
        <v>6</v>
      </c>
      <c r="F2423" s="1" t="n">
        <v>506.19</v>
      </c>
      <c r="G2423" s="1" t="n">
        <v>0.05</v>
      </c>
      <c r="H2423" s="1" t="s">
        <v>1336</v>
      </c>
      <c r="I2423" s="1" t="n">
        <v>2885.28</v>
      </c>
      <c r="J2423" s="1" t="str">
        <f aca="false">VLOOKUP(B2423,Customers!$A$2:$G$502,6,FALSE())</f>
        <v>Consumer</v>
      </c>
      <c r="K2423" s="1" t="str">
        <f aca="false">VLOOKUP(C2423,Products!$A$2:$E$62,3,FALSE())</f>
        <v>Software</v>
      </c>
      <c r="L2423" s="1" t="str">
        <f aca="false">TEXT(D2423,"yyyy-mm")</f>
        <v>2024-07</v>
      </c>
    </row>
    <row r="2424" customFormat="false" ht="15" hidden="false" customHeight="true" outlineLevel="0" collapsed="false">
      <c r="A2424" s="1" t="n">
        <v>2480</v>
      </c>
      <c r="B2424" s="1" t="n">
        <v>458</v>
      </c>
      <c r="C2424" s="1" t="n">
        <v>34</v>
      </c>
      <c r="D2424" s="1" t="s">
        <v>333</v>
      </c>
      <c r="E2424" s="1" t="n">
        <v>6</v>
      </c>
      <c r="F2424" s="1" t="n">
        <v>116.85</v>
      </c>
      <c r="G2424" s="1" t="n">
        <v>0.15</v>
      </c>
      <c r="H2424" s="1" t="s">
        <v>1336</v>
      </c>
      <c r="I2424" s="1" t="n">
        <v>595.93</v>
      </c>
      <c r="J2424" s="1" t="str">
        <f aca="false">VLOOKUP(B2424,Customers!$A$2:$G$502,6,FALSE())</f>
        <v>Small Business</v>
      </c>
      <c r="K2424" s="1" t="str">
        <f aca="false">VLOOKUP(C2424,Products!$A$2:$E$62,3,FALSE())</f>
        <v>Office Supplies</v>
      </c>
      <c r="L2424" s="1" t="str">
        <f aca="false">TEXT(D2424,"yyyy-mm")</f>
        <v>2024-03</v>
      </c>
    </row>
    <row r="2425" customFormat="false" ht="15" hidden="false" customHeight="true" outlineLevel="0" collapsed="false">
      <c r="A2425" s="1" t="n">
        <v>2481</v>
      </c>
      <c r="B2425" s="1" t="n">
        <v>356</v>
      </c>
      <c r="C2425" s="1" t="n">
        <v>2</v>
      </c>
      <c r="D2425" s="1" t="s">
        <v>1467</v>
      </c>
      <c r="E2425" s="1" t="n">
        <v>6</v>
      </c>
      <c r="F2425" s="1" t="n">
        <v>498.15</v>
      </c>
      <c r="G2425" s="1" t="n">
        <v>0.1</v>
      </c>
      <c r="H2425" s="1" t="s">
        <v>1346</v>
      </c>
      <c r="I2425" s="1" t="n">
        <v>2690.01</v>
      </c>
      <c r="J2425" s="1" t="str">
        <f aca="false">VLOOKUP(B2425,Customers!$A$2:$G$502,6,FALSE())</f>
        <v>Consumer</v>
      </c>
      <c r="K2425" s="1" t="str">
        <f aca="false">VLOOKUP(C2425,Products!$A$2:$E$62,3,FALSE())</f>
        <v>Electronics</v>
      </c>
      <c r="L2425" s="1" t="str">
        <f aca="false">TEXT(D2425,"yyyy-mm")</f>
        <v>2023-09</v>
      </c>
    </row>
    <row r="2426" customFormat="false" ht="15" hidden="false" customHeight="true" outlineLevel="0" collapsed="false">
      <c r="A2426" s="1" t="n">
        <v>2482</v>
      </c>
      <c r="B2426" s="1" t="n">
        <v>91</v>
      </c>
      <c r="C2426" s="1" t="n">
        <v>4</v>
      </c>
      <c r="D2426" s="1" t="s">
        <v>952</v>
      </c>
      <c r="E2426" s="1" t="n">
        <v>9</v>
      </c>
      <c r="F2426" s="1" t="n">
        <v>56.24</v>
      </c>
      <c r="G2426" s="1" t="n">
        <v>0</v>
      </c>
      <c r="H2426" s="1" t="s">
        <v>1336</v>
      </c>
      <c r="I2426" s="1" t="n">
        <v>506.16</v>
      </c>
      <c r="J2426" s="1" t="str">
        <f aca="false">VLOOKUP(B2426,Customers!$A$2:$G$502,6,FALSE())</f>
        <v>Consumer</v>
      </c>
      <c r="K2426" s="1" t="str">
        <f aca="false">VLOOKUP(C2426,Products!$A$2:$E$62,3,FALSE())</f>
        <v>Electronics</v>
      </c>
      <c r="L2426" s="1" t="str">
        <f aca="false">TEXT(D2426,"yyyy-mm")</f>
        <v>2024-12</v>
      </c>
    </row>
    <row r="2427" customFormat="false" ht="15" hidden="false" customHeight="true" outlineLevel="0" collapsed="false">
      <c r="A2427" s="1" t="n">
        <v>2483</v>
      </c>
      <c r="B2427" s="1" t="n">
        <v>14</v>
      </c>
      <c r="C2427" s="1" t="n">
        <v>44</v>
      </c>
      <c r="D2427" s="1" t="s">
        <v>1589</v>
      </c>
      <c r="E2427" s="1" t="n">
        <v>2</v>
      </c>
      <c r="F2427" s="1" t="n">
        <v>508.26</v>
      </c>
      <c r="G2427" s="1" t="n">
        <v>0.2</v>
      </c>
      <c r="H2427" s="1" t="s">
        <v>1336</v>
      </c>
      <c r="I2427" s="1" t="n">
        <v>813.22</v>
      </c>
      <c r="J2427" s="1" t="str">
        <f aca="false">VLOOKUP(B2427,Customers!$A$2:$G$502,6,FALSE())</f>
        <v>Small Business</v>
      </c>
      <c r="K2427" s="1" t="str">
        <f aca="false">VLOOKUP(C2427,Products!$A$2:$E$62,3,FALSE())</f>
        <v>Software</v>
      </c>
      <c r="L2427" s="1" t="str">
        <f aca="false">TEXT(D2427,"yyyy-mm")</f>
        <v>2024-06</v>
      </c>
    </row>
    <row r="2428" customFormat="false" ht="15" hidden="false" customHeight="true" outlineLevel="0" collapsed="false">
      <c r="A2428" s="1" t="n">
        <v>2485</v>
      </c>
      <c r="B2428" s="1" t="n">
        <v>99</v>
      </c>
      <c r="C2428" s="1" t="n">
        <v>44</v>
      </c>
      <c r="D2428" s="1" t="s">
        <v>1547</v>
      </c>
      <c r="E2428" s="1" t="n">
        <v>6</v>
      </c>
      <c r="F2428" s="1" t="n">
        <v>508.26</v>
      </c>
      <c r="G2428" s="1" t="n">
        <v>0.15</v>
      </c>
      <c r="H2428" s="1" t="s">
        <v>1336</v>
      </c>
      <c r="I2428" s="1" t="n">
        <v>2592.13</v>
      </c>
      <c r="J2428" s="1" t="str">
        <f aca="false">VLOOKUP(B2428,Customers!$A$2:$G$502,6,FALSE())</f>
        <v>Small Business</v>
      </c>
      <c r="K2428" s="1" t="str">
        <f aca="false">VLOOKUP(C2428,Products!$A$2:$E$62,3,FALSE())</f>
        <v>Software</v>
      </c>
      <c r="L2428" s="1" t="str">
        <f aca="false">TEXT(D2428,"yyyy-mm")</f>
        <v>2024-11</v>
      </c>
    </row>
    <row r="2429" customFormat="false" ht="15" hidden="false" customHeight="true" outlineLevel="0" collapsed="false">
      <c r="A2429" s="1" t="n">
        <v>2486</v>
      </c>
      <c r="B2429" s="1" t="n">
        <v>452</v>
      </c>
      <c r="C2429" s="1" t="n">
        <v>30</v>
      </c>
      <c r="D2429" s="1" t="s">
        <v>1466</v>
      </c>
      <c r="E2429" s="1" t="n">
        <v>8</v>
      </c>
      <c r="F2429" s="1" t="n">
        <v>33.32</v>
      </c>
      <c r="G2429" s="1" t="n">
        <v>0.15</v>
      </c>
      <c r="H2429" s="1" t="s">
        <v>1336</v>
      </c>
      <c r="I2429" s="1" t="n">
        <v>226.58</v>
      </c>
      <c r="J2429" s="1" t="str">
        <f aca="false">VLOOKUP(B2429,Customers!$A$2:$G$502,6,FALSE())</f>
        <v>Consumer</v>
      </c>
      <c r="K2429" s="1" t="str">
        <f aca="false">VLOOKUP(C2429,Products!$A$2:$E$62,3,FALSE())</f>
        <v>Office Supplies</v>
      </c>
      <c r="L2429" s="1" t="str">
        <f aca="false">TEXT(D2429,"yyyy-mm")</f>
        <v>2024-05</v>
      </c>
    </row>
    <row r="2430" customFormat="false" ht="15" hidden="false" customHeight="true" outlineLevel="0" collapsed="false">
      <c r="A2430" s="1" t="n">
        <v>2487</v>
      </c>
      <c r="B2430" s="1" t="n">
        <v>361</v>
      </c>
      <c r="C2430" s="1" t="n">
        <v>56</v>
      </c>
      <c r="D2430" s="1" t="s">
        <v>1452</v>
      </c>
      <c r="E2430" s="1" t="n">
        <v>3</v>
      </c>
      <c r="F2430" s="1" t="n">
        <v>160.64</v>
      </c>
      <c r="G2430" s="1" t="n">
        <v>0</v>
      </c>
      <c r="H2430" s="1" t="s">
        <v>1336</v>
      </c>
      <c r="I2430" s="1" t="n">
        <v>481.92</v>
      </c>
      <c r="J2430" s="1" t="str">
        <f aca="false">VLOOKUP(B2430,Customers!$A$2:$G$502,6,FALSE())</f>
        <v>Small Business</v>
      </c>
      <c r="K2430" s="1" t="str">
        <f aca="false">VLOOKUP(C2430,Products!$A$2:$E$62,3,FALSE())</f>
        <v>Furniture</v>
      </c>
      <c r="L2430" s="1" t="str">
        <f aca="false">TEXT(D2430,"yyyy-mm")</f>
        <v>2023-01</v>
      </c>
    </row>
    <row r="2431" customFormat="false" ht="15" hidden="false" customHeight="true" outlineLevel="0" collapsed="false">
      <c r="A2431" s="1" t="n">
        <v>2488</v>
      </c>
      <c r="B2431" s="1" t="n">
        <v>108</v>
      </c>
      <c r="C2431" s="1" t="n">
        <v>56</v>
      </c>
      <c r="D2431" s="1" t="s">
        <v>1486</v>
      </c>
      <c r="E2431" s="1" t="n">
        <v>1</v>
      </c>
      <c r="F2431" s="1" t="n">
        <v>160.64</v>
      </c>
      <c r="G2431" s="1" t="n">
        <v>0.15</v>
      </c>
      <c r="H2431" s="1" t="s">
        <v>1336</v>
      </c>
      <c r="I2431" s="1" t="n">
        <v>136.54</v>
      </c>
      <c r="J2431" s="1" t="str">
        <f aca="false">VLOOKUP(B2431,Customers!$A$2:$G$502,6,FALSE())</f>
        <v>Consumer</v>
      </c>
      <c r="K2431" s="1" t="str">
        <f aca="false">VLOOKUP(C2431,Products!$A$2:$E$62,3,FALSE())</f>
        <v>Furniture</v>
      </c>
      <c r="L2431" s="1" t="str">
        <f aca="false">TEXT(D2431,"yyyy-mm")</f>
        <v>2024-02</v>
      </c>
    </row>
    <row r="2432" customFormat="false" ht="15" hidden="false" customHeight="true" outlineLevel="0" collapsed="false">
      <c r="A2432" s="1" t="n">
        <v>2489</v>
      </c>
      <c r="B2432" s="1" t="n">
        <v>91</v>
      </c>
      <c r="C2432" s="1" t="n">
        <v>12</v>
      </c>
      <c r="D2432" s="1" t="s">
        <v>1089</v>
      </c>
      <c r="E2432" s="1" t="n">
        <v>9</v>
      </c>
      <c r="F2432" s="1" t="n">
        <v>179.23</v>
      </c>
      <c r="G2432" s="1" t="n">
        <v>0</v>
      </c>
      <c r="H2432" s="1" t="s">
        <v>1336</v>
      </c>
      <c r="I2432" s="1" t="n">
        <v>1613.07</v>
      </c>
      <c r="J2432" s="1" t="str">
        <f aca="false">VLOOKUP(B2432,Customers!$A$2:$G$502,6,FALSE())</f>
        <v>Consumer</v>
      </c>
      <c r="K2432" s="1" t="str">
        <f aca="false">VLOOKUP(C2432,Products!$A$2:$E$62,3,FALSE())</f>
        <v>Electronics</v>
      </c>
      <c r="L2432" s="1" t="str">
        <f aca="false">TEXT(D2432,"yyyy-mm")</f>
        <v>2024-10</v>
      </c>
    </row>
    <row r="2433" customFormat="false" ht="15" hidden="false" customHeight="true" outlineLevel="0" collapsed="false">
      <c r="A2433" s="1" t="n">
        <v>2490</v>
      </c>
      <c r="B2433" s="1" t="n">
        <v>190</v>
      </c>
      <c r="C2433" s="1" t="n">
        <v>42</v>
      </c>
      <c r="D2433" s="1" t="s">
        <v>1038</v>
      </c>
      <c r="E2433" s="1" t="n">
        <v>1</v>
      </c>
      <c r="F2433" s="1" t="n">
        <v>174.48</v>
      </c>
      <c r="G2433" s="1" t="n">
        <v>0.05</v>
      </c>
      <c r="H2433" s="1" t="s">
        <v>1336</v>
      </c>
      <c r="I2433" s="1" t="n">
        <v>165.76</v>
      </c>
      <c r="J2433" s="1" t="str">
        <f aca="false">VLOOKUP(B2433,Customers!$A$2:$G$502,6,FALSE())</f>
        <v>Corporate</v>
      </c>
      <c r="K2433" s="1" t="str">
        <f aca="false">VLOOKUP(C2433,Products!$A$2:$E$62,3,FALSE())</f>
        <v>Software</v>
      </c>
      <c r="L2433" s="1" t="str">
        <f aca="false">TEXT(D2433,"yyyy-mm")</f>
        <v>2024-05</v>
      </c>
    </row>
    <row r="2434" customFormat="false" ht="15" hidden="false" customHeight="true" outlineLevel="0" collapsed="false">
      <c r="A2434" s="1" t="n">
        <v>2491</v>
      </c>
      <c r="B2434" s="1" t="n">
        <v>400</v>
      </c>
      <c r="C2434" s="1" t="n">
        <v>19</v>
      </c>
      <c r="D2434" s="1" t="s">
        <v>572</v>
      </c>
      <c r="E2434" s="1" t="n">
        <v>3</v>
      </c>
      <c r="F2434" s="1" t="n">
        <v>163.64</v>
      </c>
      <c r="G2434" s="1" t="n">
        <v>0.1</v>
      </c>
      <c r="H2434" s="1" t="s">
        <v>1346</v>
      </c>
      <c r="I2434" s="1" t="n">
        <v>441.83</v>
      </c>
      <c r="J2434" s="1" t="str">
        <f aca="false">VLOOKUP(B2434,Customers!$A$2:$G$502,6,FALSE())</f>
        <v>Small Business</v>
      </c>
      <c r="K2434" s="1" t="str">
        <f aca="false">VLOOKUP(C2434,Products!$A$2:$E$62,3,FALSE())</f>
        <v>Office Supplies</v>
      </c>
      <c r="L2434" s="1" t="str">
        <f aca="false">TEXT(D2434,"yyyy-mm")</f>
        <v>2023-06</v>
      </c>
    </row>
    <row r="2435" customFormat="false" ht="15" hidden="false" customHeight="true" outlineLevel="0" collapsed="false">
      <c r="A2435" s="1" t="n">
        <v>2492</v>
      </c>
      <c r="B2435" s="1" t="n">
        <v>207</v>
      </c>
      <c r="C2435" s="1" t="n">
        <v>37</v>
      </c>
      <c r="D2435" s="1" t="s">
        <v>897</v>
      </c>
      <c r="E2435" s="1" t="n">
        <v>8</v>
      </c>
      <c r="F2435" s="1" t="n">
        <v>13.95</v>
      </c>
      <c r="G2435" s="1" t="n">
        <v>0</v>
      </c>
      <c r="H2435" s="1" t="s">
        <v>1336</v>
      </c>
      <c r="I2435" s="1" t="n">
        <v>111.6</v>
      </c>
      <c r="J2435" s="1" t="str">
        <f aca="false">VLOOKUP(B2435,Customers!$A$2:$G$502,6,FALSE())</f>
        <v>Corporate</v>
      </c>
      <c r="K2435" s="1" t="str">
        <f aca="false">VLOOKUP(C2435,Products!$A$2:$E$62,3,FALSE())</f>
        <v>Software</v>
      </c>
      <c r="L2435" s="1" t="str">
        <f aca="false">TEXT(D2435,"yyyy-mm")</f>
        <v>2024-07</v>
      </c>
    </row>
    <row r="2436" customFormat="false" ht="15" hidden="false" customHeight="true" outlineLevel="0" collapsed="false">
      <c r="A2436" s="1" t="n">
        <v>2493</v>
      </c>
      <c r="B2436" s="1" t="n">
        <v>297</v>
      </c>
      <c r="C2436" s="1" t="n">
        <v>1</v>
      </c>
      <c r="D2436" s="1" t="s">
        <v>1386</v>
      </c>
      <c r="E2436" s="1" t="n">
        <v>3</v>
      </c>
      <c r="F2436" s="1" t="n">
        <v>327.32</v>
      </c>
      <c r="G2436" s="1" t="n">
        <v>0</v>
      </c>
      <c r="H2436" s="1" t="s">
        <v>1336</v>
      </c>
      <c r="I2436" s="1" t="n">
        <v>981.96</v>
      </c>
      <c r="J2436" s="1" t="str">
        <f aca="false">VLOOKUP(B2436,Customers!$A$2:$G$502,6,FALSE())</f>
        <v>Corporate</v>
      </c>
      <c r="K2436" s="1" t="str">
        <f aca="false">VLOOKUP(C2436,Products!$A$2:$E$62,3,FALSE())</f>
        <v>Electronics</v>
      </c>
      <c r="L2436" s="1" t="str">
        <f aca="false">TEXT(D2436,"yyyy-mm")</f>
        <v>2023-08</v>
      </c>
    </row>
    <row r="2437" customFormat="false" ht="15" hidden="false" customHeight="true" outlineLevel="0" collapsed="false">
      <c r="A2437" s="1" t="n">
        <v>2494</v>
      </c>
      <c r="B2437" s="1" t="n">
        <v>212</v>
      </c>
      <c r="C2437" s="1" t="n">
        <v>37</v>
      </c>
      <c r="D2437" s="1" t="s">
        <v>300</v>
      </c>
      <c r="E2437" s="1" t="n">
        <v>4</v>
      </c>
      <c r="F2437" s="1" t="n">
        <v>13.95</v>
      </c>
      <c r="G2437" s="1" t="n">
        <v>0</v>
      </c>
      <c r="H2437" s="1" t="s">
        <v>1336</v>
      </c>
      <c r="I2437" s="1" t="n">
        <v>55.8</v>
      </c>
      <c r="J2437" s="1" t="str">
        <f aca="false">VLOOKUP(B2437,Customers!$A$2:$G$502,6,FALSE())</f>
        <v>Consumer</v>
      </c>
      <c r="K2437" s="1" t="str">
        <f aca="false">VLOOKUP(C2437,Products!$A$2:$E$62,3,FALSE())</f>
        <v>Software</v>
      </c>
      <c r="L2437" s="1" t="str">
        <f aca="false">TEXT(D2437,"yyyy-mm")</f>
        <v>2024-07</v>
      </c>
    </row>
    <row r="2438" customFormat="false" ht="15" hidden="false" customHeight="true" outlineLevel="0" collapsed="false">
      <c r="A2438" s="1" t="n">
        <v>2495</v>
      </c>
      <c r="B2438" s="1" t="n">
        <v>138</v>
      </c>
      <c r="C2438" s="1" t="n">
        <v>32</v>
      </c>
      <c r="D2438" s="1" t="s">
        <v>196</v>
      </c>
      <c r="E2438" s="1" t="n">
        <v>8</v>
      </c>
      <c r="F2438" s="1" t="n">
        <v>492.27</v>
      </c>
      <c r="G2438" s="1" t="n">
        <v>0</v>
      </c>
      <c r="H2438" s="1" t="s">
        <v>1336</v>
      </c>
      <c r="I2438" s="1" t="n">
        <v>3938.16</v>
      </c>
      <c r="J2438" s="1" t="str">
        <f aca="false">VLOOKUP(B2438,Customers!$A$2:$G$502,6,FALSE())</f>
        <v>Consumer</v>
      </c>
      <c r="K2438" s="1" t="str">
        <f aca="false">VLOOKUP(C2438,Products!$A$2:$E$62,3,FALSE())</f>
        <v>Office Supplies</v>
      </c>
      <c r="L2438" s="1" t="str">
        <f aca="false">TEXT(D2438,"yyyy-mm")</f>
        <v>2023-03</v>
      </c>
    </row>
    <row r="2439" customFormat="false" ht="15" hidden="false" customHeight="true" outlineLevel="0" collapsed="false">
      <c r="A2439" s="1" t="n">
        <v>2496</v>
      </c>
      <c r="B2439" s="1" t="n">
        <v>455</v>
      </c>
      <c r="C2439" s="1" t="n">
        <v>49</v>
      </c>
      <c r="D2439" s="1" t="s">
        <v>499</v>
      </c>
      <c r="E2439" s="1" t="n">
        <v>1</v>
      </c>
      <c r="F2439" s="1" t="n">
        <v>325.17</v>
      </c>
      <c r="G2439" s="1" t="n">
        <v>0</v>
      </c>
      <c r="H2439" s="1" t="s">
        <v>1336</v>
      </c>
      <c r="I2439" s="1" t="n">
        <v>325.17</v>
      </c>
      <c r="J2439" s="1" t="str">
        <f aca="false">VLOOKUP(B2439,Customers!$A$2:$G$502,6,FALSE())</f>
        <v>Consumer</v>
      </c>
      <c r="K2439" s="1" t="str">
        <f aca="false">VLOOKUP(C2439,Products!$A$2:$E$62,3,FALSE())</f>
        <v>Software</v>
      </c>
      <c r="L2439" s="1" t="str">
        <f aca="false">TEXT(D2439,"yyyy-mm")</f>
        <v>2023-01</v>
      </c>
    </row>
    <row r="2440" customFormat="false" ht="15" hidden="false" customHeight="true" outlineLevel="0" collapsed="false">
      <c r="A2440" s="1" t="n">
        <v>2497</v>
      </c>
      <c r="B2440" s="1" t="n">
        <v>399</v>
      </c>
      <c r="C2440" s="1" t="n">
        <v>3</v>
      </c>
      <c r="D2440" s="1" t="s">
        <v>1033</v>
      </c>
      <c r="E2440" s="1" t="n">
        <v>6</v>
      </c>
      <c r="F2440" s="1" t="n">
        <v>89.39</v>
      </c>
      <c r="G2440" s="1" t="n">
        <v>0.15</v>
      </c>
      <c r="H2440" s="1" t="s">
        <v>1336</v>
      </c>
      <c r="I2440" s="1" t="n">
        <v>455.89</v>
      </c>
      <c r="J2440" s="1" t="str">
        <f aca="false">VLOOKUP(B2440,Customers!$A$2:$G$502,6,FALSE())</f>
        <v>Corporate</v>
      </c>
      <c r="K2440" s="1" t="str">
        <f aca="false">VLOOKUP(C2440,Products!$A$2:$E$62,3,FALSE())</f>
        <v>Electronics</v>
      </c>
      <c r="L2440" s="1" t="str">
        <f aca="false">TEXT(D2440,"yyyy-mm")</f>
        <v>2023-12</v>
      </c>
    </row>
    <row r="2441" customFormat="false" ht="15" hidden="false" customHeight="true" outlineLevel="0" collapsed="false">
      <c r="A2441" s="1" t="n">
        <v>2498</v>
      </c>
      <c r="B2441" s="1" t="n">
        <v>212</v>
      </c>
      <c r="C2441" s="1" t="n">
        <v>54</v>
      </c>
      <c r="D2441" s="1" t="s">
        <v>1262</v>
      </c>
      <c r="E2441" s="1" t="n">
        <v>1</v>
      </c>
      <c r="F2441" s="1" t="n">
        <v>312.01</v>
      </c>
      <c r="G2441" s="1" t="n">
        <v>0</v>
      </c>
      <c r="H2441" s="1" t="s">
        <v>1336</v>
      </c>
      <c r="I2441" s="1" t="n">
        <v>312.01</v>
      </c>
      <c r="J2441" s="1" t="str">
        <f aca="false">VLOOKUP(B2441,Customers!$A$2:$G$502,6,FALSE())</f>
        <v>Consumer</v>
      </c>
      <c r="K2441" s="1" t="str">
        <f aca="false">VLOOKUP(C2441,Products!$A$2:$E$62,3,FALSE())</f>
        <v>Software</v>
      </c>
      <c r="L2441" s="1" t="str">
        <f aca="false">TEXT(D2441,"yyyy-mm")</f>
        <v>2024-04</v>
      </c>
    </row>
    <row r="2442" customFormat="false" ht="15" hidden="false" customHeight="true" outlineLevel="0" collapsed="false">
      <c r="A2442" s="1" t="n">
        <v>2499</v>
      </c>
      <c r="B2442" s="1" t="n">
        <v>442</v>
      </c>
      <c r="C2442" s="1" t="n">
        <v>52</v>
      </c>
      <c r="D2442" s="1" t="s">
        <v>1690</v>
      </c>
      <c r="E2442" s="1" t="n">
        <v>1</v>
      </c>
      <c r="F2442" s="1" t="n">
        <v>207.67</v>
      </c>
      <c r="G2442" s="1" t="n">
        <v>0</v>
      </c>
      <c r="H2442" s="1" t="s">
        <v>1336</v>
      </c>
      <c r="I2442" s="1" t="n">
        <v>207.67</v>
      </c>
      <c r="J2442" s="1" t="str">
        <f aca="false">VLOOKUP(B2442,Customers!$A$2:$G$502,6,FALSE())</f>
        <v>Small Business</v>
      </c>
      <c r="K2442" s="1" t="str">
        <f aca="false">VLOOKUP(C2442,Products!$A$2:$E$62,3,FALSE())</f>
        <v>Software</v>
      </c>
      <c r="L2442" s="1" t="str">
        <f aca="false">TEXT(D2442,"yyyy-mm")</f>
        <v>2024-03</v>
      </c>
    </row>
    <row r="2443" customFormat="false" ht="15" hidden="false" customHeight="true" outlineLevel="0" collapsed="false">
      <c r="A2443" s="1" t="n">
        <v>2500</v>
      </c>
      <c r="B2443" s="1" t="n">
        <v>285</v>
      </c>
      <c r="C2443" s="1" t="n">
        <v>1</v>
      </c>
      <c r="D2443" s="1" t="s">
        <v>217</v>
      </c>
      <c r="E2443" s="1" t="n">
        <v>8</v>
      </c>
      <c r="F2443" s="1" t="n">
        <v>327.32</v>
      </c>
      <c r="G2443" s="1" t="n">
        <v>0</v>
      </c>
      <c r="H2443" s="1" t="s">
        <v>1370</v>
      </c>
      <c r="I2443" s="1" t="n">
        <v>2618.56</v>
      </c>
      <c r="J2443" s="1" t="str">
        <f aca="false">VLOOKUP(B2443,Customers!$A$2:$G$502,6,FALSE())</f>
        <v>Consumer</v>
      </c>
      <c r="K2443" s="1" t="str">
        <f aca="false">VLOOKUP(C2443,Products!$A$2:$E$62,3,FALSE())</f>
        <v>Electronics</v>
      </c>
      <c r="L2443" s="1" t="str">
        <f aca="false">TEXT(D2443,"yyyy-mm")</f>
        <v>2024-07</v>
      </c>
    </row>
    <row r="2444" customFormat="false" ht="15" hidden="false" customHeight="true" outlineLevel="0" collapsed="false">
      <c r="A2444" s="1" t="n">
        <v>2501</v>
      </c>
      <c r="B2444" s="1" t="n">
        <v>134</v>
      </c>
      <c r="C2444" s="1" t="n">
        <v>4</v>
      </c>
      <c r="D2444" s="1" t="s">
        <v>1590</v>
      </c>
      <c r="E2444" s="1" t="n">
        <v>4</v>
      </c>
      <c r="F2444" s="1" t="n">
        <v>56.24</v>
      </c>
      <c r="G2444" s="1" t="n">
        <v>0</v>
      </c>
      <c r="H2444" s="1" t="s">
        <v>1336</v>
      </c>
      <c r="I2444" s="1" t="n">
        <v>224.96</v>
      </c>
      <c r="J2444" s="1" t="str">
        <f aca="false">VLOOKUP(B2444,Customers!$A$2:$G$502,6,FALSE())</f>
        <v>Corporate</v>
      </c>
      <c r="K2444" s="1" t="str">
        <f aca="false">VLOOKUP(C2444,Products!$A$2:$E$62,3,FALSE())</f>
        <v>Electronics</v>
      </c>
      <c r="L2444" s="1" t="str">
        <f aca="false">TEXT(D2444,"yyyy-mm")</f>
        <v>2023-06</v>
      </c>
    </row>
    <row r="2445" customFormat="false" ht="15" hidden="false" customHeight="true" outlineLevel="0" collapsed="false">
      <c r="A2445" s="1" t="n">
        <v>2502</v>
      </c>
      <c r="B2445" s="1" t="n">
        <v>358</v>
      </c>
      <c r="C2445" s="1" t="n">
        <v>39</v>
      </c>
      <c r="D2445" s="1" t="s">
        <v>59</v>
      </c>
      <c r="E2445" s="1" t="n">
        <v>1</v>
      </c>
      <c r="F2445" s="1" t="n">
        <v>400.02</v>
      </c>
      <c r="G2445" s="1" t="n">
        <v>0.15</v>
      </c>
      <c r="H2445" s="1" t="s">
        <v>1336</v>
      </c>
      <c r="I2445" s="1" t="n">
        <v>340.02</v>
      </c>
      <c r="J2445" s="1" t="str">
        <f aca="false">VLOOKUP(B2445,Customers!$A$2:$G$502,6,FALSE())</f>
        <v>Corporate</v>
      </c>
      <c r="K2445" s="1" t="str">
        <f aca="false">VLOOKUP(C2445,Products!$A$2:$E$62,3,FALSE())</f>
        <v>Software</v>
      </c>
      <c r="L2445" s="1" t="str">
        <f aca="false">TEXT(D2445,"yyyy-mm")</f>
        <v>2023-08</v>
      </c>
    </row>
    <row r="2446" customFormat="false" ht="15" hidden="false" customHeight="true" outlineLevel="0" collapsed="false">
      <c r="A2446" s="1" t="n">
        <v>2503</v>
      </c>
      <c r="B2446" s="1" t="n">
        <v>253</v>
      </c>
      <c r="C2446" s="1" t="n">
        <v>12</v>
      </c>
      <c r="D2446" s="1" t="s">
        <v>1154</v>
      </c>
      <c r="E2446" s="1" t="n">
        <v>7</v>
      </c>
      <c r="F2446" s="1" t="n">
        <v>179.23</v>
      </c>
      <c r="G2446" s="1" t="n">
        <v>0.2</v>
      </c>
      <c r="H2446" s="1" t="s">
        <v>1336</v>
      </c>
      <c r="I2446" s="1" t="n">
        <v>1003.69</v>
      </c>
      <c r="J2446" s="1" t="str">
        <f aca="false">VLOOKUP(B2446,Customers!$A$2:$G$502,6,FALSE())</f>
        <v>Consumer</v>
      </c>
      <c r="K2446" s="1" t="str">
        <f aca="false">VLOOKUP(C2446,Products!$A$2:$E$62,3,FALSE())</f>
        <v>Electronics</v>
      </c>
      <c r="L2446" s="1" t="str">
        <f aca="false">TEXT(D2446,"yyyy-mm")</f>
        <v>2024-07</v>
      </c>
    </row>
    <row r="2447" customFormat="false" ht="15" hidden="false" customHeight="true" outlineLevel="0" collapsed="false">
      <c r="A2447" s="1" t="n">
        <v>2504</v>
      </c>
      <c r="B2447" s="1" t="n">
        <v>179</v>
      </c>
      <c r="C2447" s="1" t="n">
        <v>42</v>
      </c>
      <c r="D2447" s="1" t="s">
        <v>1569</v>
      </c>
      <c r="E2447" s="1" t="n">
        <v>5</v>
      </c>
      <c r="F2447" s="1" t="n">
        <v>174.48</v>
      </c>
      <c r="G2447" s="1" t="n">
        <v>0</v>
      </c>
      <c r="H2447" s="1" t="s">
        <v>1370</v>
      </c>
      <c r="I2447" s="1" t="n">
        <v>872.4</v>
      </c>
      <c r="J2447" s="1" t="str">
        <f aca="false">VLOOKUP(B2447,Customers!$A$2:$G$502,6,FALSE())</f>
        <v>Small Business</v>
      </c>
      <c r="K2447" s="1" t="str">
        <f aca="false">VLOOKUP(C2447,Products!$A$2:$E$62,3,FALSE())</f>
        <v>Software</v>
      </c>
      <c r="L2447" s="1" t="str">
        <f aca="false">TEXT(D2447,"yyyy-mm")</f>
        <v>2023-02</v>
      </c>
    </row>
    <row r="2448" customFormat="false" ht="15" hidden="false" customHeight="true" outlineLevel="0" collapsed="false">
      <c r="A2448" s="1" t="n">
        <v>2505</v>
      </c>
      <c r="B2448" s="1" t="n">
        <v>221</v>
      </c>
      <c r="C2448" s="1" t="n">
        <v>46</v>
      </c>
      <c r="D2448" s="1" t="s">
        <v>120</v>
      </c>
      <c r="E2448" s="1" t="n">
        <v>5</v>
      </c>
      <c r="F2448" s="1" t="n">
        <v>94.92</v>
      </c>
      <c r="G2448" s="1" t="n">
        <v>0.05</v>
      </c>
      <c r="H2448" s="1" t="s">
        <v>1336</v>
      </c>
      <c r="I2448" s="1" t="n">
        <v>450.87</v>
      </c>
      <c r="J2448" s="1" t="str">
        <f aca="false">VLOOKUP(B2448,Customers!$A$2:$G$502,6,FALSE())</f>
        <v>Consumer</v>
      </c>
      <c r="K2448" s="1" t="str">
        <f aca="false">VLOOKUP(C2448,Products!$A$2:$E$62,3,FALSE())</f>
        <v>Software</v>
      </c>
      <c r="L2448" s="1" t="str">
        <f aca="false">TEXT(D2448,"yyyy-mm")</f>
        <v>2024-03</v>
      </c>
    </row>
    <row r="2449" customFormat="false" ht="15" hidden="false" customHeight="true" outlineLevel="0" collapsed="false">
      <c r="A2449" s="1" t="n">
        <v>2506</v>
      </c>
      <c r="B2449" s="1" t="n">
        <v>284</v>
      </c>
      <c r="C2449" s="1" t="n">
        <v>42</v>
      </c>
      <c r="D2449" s="1" t="s">
        <v>1406</v>
      </c>
      <c r="E2449" s="1" t="n">
        <v>1</v>
      </c>
      <c r="F2449" s="1" t="n">
        <v>174.48</v>
      </c>
      <c r="G2449" s="1" t="n">
        <v>0</v>
      </c>
      <c r="H2449" s="1" t="s">
        <v>1370</v>
      </c>
      <c r="I2449" s="1" t="n">
        <v>174.48</v>
      </c>
      <c r="J2449" s="1" t="str">
        <f aca="false">VLOOKUP(B2449,Customers!$A$2:$G$502,6,FALSE())</f>
        <v>Consumer</v>
      </c>
      <c r="K2449" s="1" t="str">
        <f aca="false">VLOOKUP(C2449,Products!$A$2:$E$62,3,FALSE())</f>
        <v>Software</v>
      </c>
      <c r="L2449" s="1" t="str">
        <f aca="false">TEXT(D2449,"yyyy-mm")</f>
        <v>2023-11</v>
      </c>
    </row>
    <row r="2450" customFormat="false" ht="15" hidden="false" customHeight="true" outlineLevel="0" collapsed="false">
      <c r="A2450" s="1" t="n">
        <v>2507</v>
      </c>
      <c r="B2450" s="1" t="n">
        <v>301</v>
      </c>
      <c r="C2450" s="1" t="n">
        <v>24</v>
      </c>
      <c r="D2450" s="1" t="s">
        <v>1432</v>
      </c>
      <c r="E2450" s="1" t="n">
        <v>6</v>
      </c>
      <c r="F2450" s="1" t="n">
        <v>207.34</v>
      </c>
      <c r="G2450" s="1" t="n">
        <v>0.05</v>
      </c>
      <c r="H2450" s="1" t="s">
        <v>1336</v>
      </c>
      <c r="I2450" s="1" t="n">
        <v>1181.84</v>
      </c>
      <c r="J2450" s="1" t="str">
        <f aca="false">VLOOKUP(B2450,Customers!$A$2:$G$502,6,FALSE())</f>
        <v>Corporate</v>
      </c>
      <c r="K2450" s="1" t="str">
        <f aca="false">VLOOKUP(C2450,Products!$A$2:$E$62,3,FALSE())</f>
        <v>Office Supplies</v>
      </c>
      <c r="L2450" s="1" t="str">
        <f aca="false">TEXT(D2450,"yyyy-mm")</f>
        <v>2023-01</v>
      </c>
    </row>
    <row r="2451" customFormat="false" ht="15" hidden="false" customHeight="true" outlineLevel="0" collapsed="false">
      <c r="A2451" s="1" t="n">
        <v>2508</v>
      </c>
      <c r="B2451" s="1" t="n">
        <v>2</v>
      </c>
      <c r="C2451" s="1" t="n">
        <v>27</v>
      </c>
      <c r="D2451" s="1" t="s">
        <v>1575</v>
      </c>
      <c r="E2451" s="1" t="n">
        <v>9</v>
      </c>
      <c r="F2451" s="1" t="n">
        <v>772.58</v>
      </c>
      <c r="G2451" s="1" t="n">
        <v>0</v>
      </c>
      <c r="H2451" s="1" t="s">
        <v>1336</v>
      </c>
      <c r="I2451" s="1" t="n">
        <v>6953.22</v>
      </c>
      <c r="J2451" s="1" t="str">
        <f aca="false">VLOOKUP(B2451,Customers!$A$2:$G$502,6,FALSE())</f>
        <v>Small Business</v>
      </c>
      <c r="K2451" s="1" t="str">
        <f aca="false">VLOOKUP(C2451,Products!$A$2:$E$62,3,FALSE())</f>
        <v>Office Supplies</v>
      </c>
      <c r="L2451" s="1" t="str">
        <f aca="false">TEXT(D2451,"yyyy-mm")</f>
        <v>2024-05</v>
      </c>
    </row>
    <row r="2452" customFormat="false" ht="15" hidden="false" customHeight="true" outlineLevel="0" collapsed="false">
      <c r="A2452" s="1" t="n">
        <v>2509</v>
      </c>
      <c r="B2452" s="1" t="n">
        <v>6</v>
      </c>
      <c r="C2452" s="1" t="n">
        <v>43</v>
      </c>
      <c r="D2452" s="1" t="s">
        <v>260</v>
      </c>
      <c r="E2452" s="1" t="n">
        <v>9</v>
      </c>
      <c r="F2452" s="1" t="n">
        <v>186.31</v>
      </c>
      <c r="G2452" s="1" t="n">
        <v>0.1</v>
      </c>
      <c r="H2452" s="1" t="s">
        <v>1370</v>
      </c>
      <c r="I2452" s="1" t="n">
        <v>1509.11</v>
      </c>
      <c r="J2452" s="1" t="str">
        <f aca="false">VLOOKUP(B2452,Customers!$A$2:$G$502,6,FALSE())</f>
        <v>Corporate</v>
      </c>
      <c r="K2452" s="1" t="str">
        <f aca="false">VLOOKUP(C2452,Products!$A$2:$E$62,3,FALSE())</f>
        <v>Software</v>
      </c>
      <c r="L2452" s="1" t="str">
        <f aca="false">TEXT(D2452,"yyyy-mm")</f>
        <v>2023-04</v>
      </c>
    </row>
    <row r="2453" customFormat="false" ht="15" hidden="false" customHeight="true" outlineLevel="0" collapsed="false">
      <c r="A2453" s="1" t="n">
        <v>2510</v>
      </c>
      <c r="B2453" s="1" t="n">
        <v>396</v>
      </c>
      <c r="C2453" s="1" t="n">
        <v>5</v>
      </c>
      <c r="D2453" s="1" t="s">
        <v>1487</v>
      </c>
      <c r="E2453" s="1" t="n">
        <v>8</v>
      </c>
      <c r="F2453" s="1" t="n">
        <v>439.06</v>
      </c>
      <c r="G2453" s="1" t="n">
        <v>0.2</v>
      </c>
      <c r="H2453" s="1" t="s">
        <v>1336</v>
      </c>
      <c r="I2453" s="1" t="n">
        <v>2809.98</v>
      </c>
      <c r="J2453" s="1" t="str">
        <f aca="false">VLOOKUP(B2453,Customers!$A$2:$G$502,6,FALSE())</f>
        <v>Small Business</v>
      </c>
      <c r="K2453" s="1" t="str">
        <f aca="false">VLOOKUP(C2453,Products!$A$2:$E$62,3,FALSE())</f>
        <v>Electronics</v>
      </c>
      <c r="L2453" s="1" t="str">
        <f aca="false">TEXT(D2453,"yyyy-mm")</f>
        <v>2024-01</v>
      </c>
    </row>
    <row r="2454" customFormat="false" ht="15" hidden="false" customHeight="true" outlineLevel="0" collapsed="false">
      <c r="A2454" s="1" t="n">
        <v>2511</v>
      </c>
      <c r="B2454" s="1" t="n">
        <v>144</v>
      </c>
      <c r="C2454" s="1" t="n">
        <v>17</v>
      </c>
      <c r="D2454" s="1" t="s">
        <v>112</v>
      </c>
      <c r="E2454" s="1" t="n">
        <v>5</v>
      </c>
      <c r="F2454" s="1" t="n">
        <v>65.61</v>
      </c>
      <c r="G2454" s="1" t="n">
        <v>0.1</v>
      </c>
      <c r="H2454" s="1" t="s">
        <v>1346</v>
      </c>
      <c r="I2454" s="1" t="n">
        <v>295.24</v>
      </c>
      <c r="J2454" s="1" t="str">
        <f aca="false">VLOOKUP(B2454,Customers!$A$2:$G$502,6,FALSE())</f>
        <v>Small Business</v>
      </c>
      <c r="K2454" s="1" t="str">
        <f aca="false">VLOOKUP(C2454,Products!$A$2:$E$62,3,FALSE())</f>
        <v>Electronics</v>
      </c>
      <c r="L2454" s="1" t="str">
        <f aca="false">TEXT(D2454,"yyyy-mm")</f>
        <v>2024-07</v>
      </c>
    </row>
    <row r="2455" customFormat="false" ht="15" hidden="false" customHeight="true" outlineLevel="0" collapsed="false">
      <c r="A2455" s="1" t="n">
        <v>2512</v>
      </c>
      <c r="B2455" s="1" t="n">
        <v>491</v>
      </c>
      <c r="C2455" s="1" t="n">
        <v>13</v>
      </c>
      <c r="D2455" s="1" t="s">
        <v>1427</v>
      </c>
      <c r="E2455" s="1" t="n">
        <v>1</v>
      </c>
      <c r="F2455" s="1" t="n">
        <v>352.54</v>
      </c>
      <c r="G2455" s="1" t="n">
        <v>0</v>
      </c>
      <c r="H2455" s="1" t="s">
        <v>1336</v>
      </c>
      <c r="I2455" s="1" t="n">
        <v>352.54</v>
      </c>
      <c r="J2455" s="1" t="str">
        <f aca="false">VLOOKUP(B2455,Customers!$A$2:$G$502,6,FALSE())</f>
        <v>Small Business</v>
      </c>
      <c r="K2455" s="1" t="str">
        <f aca="false">VLOOKUP(C2455,Products!$A$2:$E$62,3,FALSE())</f>
        <v>Electronics</v>
      </c>
      <c r="L2455" s="1" t="str">
        <f aca="false">TEXT(D2455,"yyyy-mm")</f>
        <v>2023-09</v>
      </c>
    </row>
    <row r="2456" customFormat="false" ht="15" hidden="false" customHeight="true" outlineLevel="0" collapsed="false">
      <c r="A2456" s="1" t="n">
        <v>2513</v>
      </c>
      <c r="B2456" s="1" t="n">
        <v>79</v>
      </c>
      <c r="C2456" s="1" t="n">
        <v>52</v>
      </c>
      <c r="D2456" s="1" t="s">
        <v>1525</v>
      </c>
      <c r="E2456" s="1" t="n">
        <v>9</v>
      </c>
      <c r="F2456" s="1" t="n">
        <v>207.67</v>
      </c>
      <c r="G2456" s="1" t="n">
        <v>0.15</v>
      </c>
      <c r="H2456" s="1" t="s">
        <v>1336</v>
      </c>
      <c r="I2456" s="1" t="n">
        <v>1588.68</v>
      </c>
      <c r="J2456" s="1" t="str">
        <f aca="false">VLOOKUP(B2456,Customers!$A$2:$G$502,6,FALSE())</f>
        <v>Small Business</v>
      </c>
      <c r="K2456" s="1" t="str">
        <f aca="false">VLOOKUP(C2456,Products!$A$2:$E$62,3,FALSE())</f>
        <v>Software</v>
      </c>
      <c r="L2456" s="1" t="str">
        <f aca="false">TEXT(D2456,"yyyy-mm")</f>
        <v>2024-01</v>
      </c>
    </row>
    <row r="2457" customFormat="false" ht="15" hidden="false" customHeight="true" outlineLevel="0" collapsed="false">
      <c r="A2457" s="1" t="n">
        <v>2514</v>
      </c>
      <c r="B2457" s="1" t="n">
        <v>453</v>
      </c>
      <c r="C2457" s="1" t="n">
        <v>47</v>
      </c>
      <c r="D2457" s="1" t="s">
        <v>1043</v>
      </c>
      <c r="E2457" s="1" t="n">
        <v>1</v>
      </c>
      <c r="F2457" s="1" t="n">
        <v>506.19</v>
      </c>
      <c r="G2457" s="1" t="n">
        <v>0</v>
      </c>
      <c r="H2457" s="1" t="s">
        <v>1336</v>
      </c>
      <c r="I2457" s="1" t="n">
        <v>506.19</v>
      </c>
      <c r="J2457" s="1" t="str">
        <f aca="false">VLOOKUP(B2457,Customers!$A$2:$G$502,6,FALSE())</f>
        <v>Small Business</v>
      </c>
      <c r="K2457" s="1" t="str">
        <f aca="false">VLOOKUP(C2457,Products!$A$2:$E$62,3,FALSE())</f>
        <v>Software</v>
      </c>
      <c r="L2457" s="1" t="str">
        <f aca="false">TEXT(D2457,"yyyy-mm")</f>
        <v>2023-08</v>
      </c>
    </row>
    <row r="2458" customFormat="false" ht="15" hidden="false" customHeight="true" outlineLevel="0" collapsed="false">
      <c r="A2458" s="1" t="n">
        <v>2515</v>
      </c>
      <c r="B2458" s="1" t="n">
        <v>438</v>
      </c>
      <c r="C2458" s="1" t="n">
        <v>26</v>
      </c>
      <c r="D2458" s="1" t="s">
        <v>455</v>
      </c>
      <c r="E2458" s="1" t="n">
        <v>8</v>
      </c>
      <c r="F2458" s="1" t="n">
        <v>733.85</v>
      </c>
      <c r="G2458" s="1" t="n">
        <v>0.1</v>
      </c>
      <c r="H2458" s="1" t="s">
        <v>1336</v>
      </c>
      <c r="I2458" s="1" t="n">
        <v>5283.72</v>
      </c>
      <c r="J2458" s="1" t="str">
        <f aca="false">VLOOKUP(B2458,Customers!$A$2:$G$502,6,FALSE())</f>
        <v>Consumer</v>
      </c>
      <c r="K2458" s="1" t="str">
        <f aca="false">VLOOKUP(C2458,Products!$A$2:$E$62,3,FALSE())</f>
        <v>Office Supplies</v>
      </c>
      <c r="L2458" s="1" t="str">
        <f aca="false">TEXT(D2458,"yyyy-mm")</f>
        <v>2024-08</v>
      </c>
    </row>
    <row r="2459" customFormat="false" ht="15" hidden="false" customHeight="true" outlineLevel="0" collapsed="false">
      <c r="A2459" s="1" t="n">
        <v>2516</v>
      </c>
      <c r="B2459" s="1" t="n">
        <v>320</v>
      </c>
      <c r="C2459" s="1" t="n">
        <v>13</v>
      </c>
      <c r="D2459" s="1" t="s">
        <v>1489</v>
      </c>
      <c r="E2459" s="1" t="n">
        <v>5</v>
      </c>
      <c r="F2459" s="1" t="n">
        <v>352.54</v>
      </c>
      <c r="G2459" s="1" t="n">
        <v>0</v>
      </c>
      <c r="H2459" s="1" t="s">
        <v>1336</v>
      </c>
      <c r="I2459" s="1" t="n">
        <v>1762.7</v>
      </c>
      <c r="J2459" s="1" t="str">
        <f aca="false">VLOOKUP(B2459,Customers!$A$2:$G$502,6,FALSE())</f>
        <v>Corporate</v>
      </c>
      <c r="K2459" s="1" t="str">
        <f aca="false">VLOOKUP(C2459,Products!$A$2:$E$62,3,FALSE())</f>
        <v>Electronics</v>
      </c>
      <c r="L2459" s="1" t="str">
        <f aca="false">TEXT(D2459,"yyyy-mm")</f>
        <v>2023-09</v>
      </c>
    </row>
    <row r="2460" customFormat="false" ht="15" hidden="false" customHeight="true" outlineLevel="0" collapsed="false">
      <c r="A2460" s="1" t="n">
        <v>2517</v>
      </c>
      <c r="B2460" s="1" t="n">
        <v>304</v>
      </c>
      <c r="C2460" s="1" t="n">
        <v>28</v>
      </c>
      <c r="D2460" s="1" t="s">
        <v>1465</v>
      </c>
      <c r="E2460" s="1" t="n">
        <v>3</v>
      </c>
      <c r="F2460" s="1" t="n">
        <v>505.23</v>
      </c>
      <c r="G2460" s="1" t="n">
        <v>0</v>
      </c>
      <c r="H2460" s="1" t="s">
        <v>1336</v>
      </c>
      <c r="I2460" s="1" t="n">
        <v>1515.69</v>
      </c>
      <c r="J2460" s="1" t="str">
        <f aca="false">VLOOKUP(B2460,Customers!$A$2:$G$502,6,FALSE())</f>
        <v>Small Business</v>
      </c>
      <c r="K2460" s="1" t="str">
        <f aca="false">VLOOKUP(C2460,Products!$A$2:$E$62,3,FALSE())</f>
        <v>Office Supplies</v>
      </c>
      <c r="L2460" s="1" t="str">
        <f aca="false">TEXT(D2460,"yyyy-mm")</f>
        <v>2023-05</v>
      </c>
    </row>
    <row r="2461" customFormat="false" ht="15" hidden="false" customHeight="true" outlineLevel="0" collapsed="false">
      <c r="A2461" s="1" t="n">
        <v>2518</v>
      </c>
      <c r="B2461" s="1" t="n">
        <v>331</v>
      </c>
      <c r="C2461" s="1" t="n">
        <v>15</v>
      </c>
      <c r="D2461" s="1" t="s">
        <v>1688</v>
      </c>
      <c r="E2461" s="1" t="n">
        <v>7</v>
      </c>
      <c r="F2461" s="1" t="n">
        <v>304.95</v>
      </c>
      <c r="G2461" s="1" t="n">
        <v>0</v>
      </c>
      <c r="H2461" s="1" t="s">
        <v>1336</v>
      </c>
      <c r="I2461" s="1" t="n">
        <v>2134.65</v>
      </c>
      <c r="J2461" s="1" t="str">
        <f aca="false">VLOOKUP(B2461,Customers!$A$2:$G$502,6,FALSE())</f>
        <v>Consumer</v>
      </c>
      <c r="K2461" s="1" t="str">
        <f aca="false">VLOOKUP(C2461,Products!$A$2:$E$62,3,FALSE())</f>
        <v>Electronics</v>
      </c>
      <c r="L2461" s="1" t="str">
        <f aca="false">TEXT(D2461,"yyyy-mm")</f>
        <v>2023-05</v>
      </c>
    </row>
    <row r="2462" customFormat="false" ht="15" hidden="false" customHeight="true" outlineLevel="0" collapsed="false">
      <c r="A2462" s="1" t="n">
        <v>2519</v>
      </c>
      <c r="B2462" s="1" t="n">
        <v>451</v>
      </c>
      <c r="C2462" s="1" t="n">
        <v>38</v>
      </c>
      <c r="D2462" s="1" t="s">
        <v>1527</v>
      </c>
      <c r="E2462" s="1" t="n">
        <v>7</v>
      </c>
      <c r="F2462" s="1" t="n">
        <v>521.63</v>
      </c>
      <c r="G2462" s="1" t="n">
        <v>0.05</v>
      </c>
      <c r="H2462" s="1" t="s">
        <v>1336</v>
      </c>
      <c r="I2462" s="1" t="n">
        <v>3468.84</v>
      </c>
      <c r="J2462" s="1" t="str">
        <f aca="false">VLOOKUP(B2462,Customers!$A$2:$G$502,6,FALSE())</f>
        <v>Corporate</v>
      </c>
      <c r="K2462" s="1" t="str">
        <f aca="false">VLOOKUP(C2462,Products!$A$2:$E$62,3,FALSE())</f>
        <v>Software</v>
      </c>
      <c r="L2462" s="1" t="str">
        <f aca="false">TEXT(D2462,"yyyy-mm")</f>
        <v>2023-02</v>
      </c>
    </row>
    <row r="2463" customFormat="false" ht="15" hidden="false" customHeight="true" outlineLevel="0" collapsed="false">
      <c r="A2463" s="1" t="n">
        <v>2520</v>
      </c>
      <c r="B2463" s="1" t="n">
        <v>314</v>
      </c>
      <c r="C2463" s="1" t="n">
        <v>39</v>
      </c>
      <c r="D2463" s="1" t="s">
        <v>530</v>
      </c>
      <c r="E2463" s="1" t="n">
        <v>9</v>
      </c>
      <c r="F2463" s="1" t="n">
        <v>400.02</v>
      </c>
      <c r="G2463" s="1" t="n">
        <v>0</v>
      </c>
      <c r="H2463" s="1" t="s">
        <v>1370</v>
      </c>
      <c r="I2463" s="1" t="n">
        <v>3600.18</v>
      </c>
      <c r="J2463" s="1" t="str">
        <f aca="false">VLOOKUP(B2463,Customers!$A$2:$G$502,6,FALSE())</f>
        <v>Small Business</v>
      </c>
      <c r="K2463" s="1" t="str">
        <f aca="false">VLOOKUP(C2463,Products!$A$2:$E$62,3,FALSE())</f>
        <v>Software</v>
      </c>
      <c r="L2463" s="1" t="str">
        <f aca="false">TEXT(D2463,"yyyy-mm")</f>
        <v>2024-09</v>
      </c>
    </row>
    <row r="2464" customFormat="false" ht="15" hidden="false" customHeight="true" outlineLevel="0" collapsed="false">
      <c r="A2464" s="1" t="n">
        <v>2521</v>
      </c>
      <c r="B2464" s="1" t="n">
        <v>102</v>
      </c>
      <c r="C2464" s="1" t="n">
        <v>5</v>
      </c>
      <c r="D2464" s="1" t="s">
        <v>1439</v>
      </c>
      <c r="E2464" s="1" t="n">
        <v>7</v>
      </c>
      <c r="F2464" s="1" t="n">
        <v>439.06</v>
      </c>
      <c r="G2464" s="1" t="n">
        <v>0.05</v>
      </c>
      <c r="H2464" s="1" t="s">
        <v>1336</v>
      </c>
      <c r="I2464" s="1" t="n">
        <v>2919.75</v>
      </c>
      <c r="J2464" s="1" t="str">
        <f aca="false">VLOOKUP(B2464,Customers!$A$2:$G$502,6,FALSE())</f>
        <v>Consumer</v>
      </c>
      <c r="K2464" s="1" t="str">
        <f aca="false">VLOOKUP(C2464,Products!$A$2:$E$62,3,FALSE())</f>
        <v>Electronics</v>
      </c>
      <c r="L2464" s="1" t="str">
        <f aca="false">TEXT(D2464,"yyyy-mm")</f>
        <v>2024-05</v>
      </c>
    </row>
    <row r="2465" customFormat="false" ht="15" hidden="false" customHeight="true" outlineLevel="0" collapsed="false">
      <c r="A2465" s="1" t="n">
        <v>2522</v>
      </c>
      <c r="B2465" s="1" t="n">
        <v>197</v>
      </c>
      <c r="C2465" s="1" t="n">
        <v>12</v>
      </c>
      <c r="D2465" s="1" t="s">
        <v>1368</v>
      </c>
      <c r="E2465" s="1" t="n">
        <v>3</v>
      </c>
      <c r="F2465" s="1" t="n">
        <v>179.23</v>
      </c>
      <c r="G2465" s="1" t="n">
        <v>0.2</v>
      </c>
      <c r="H2465" s="1" t="s">
        <v>1336</v>
      </c>
      <c r="I2465" s="1" t="n">
        <v>430.15</v>
      </c>
      <c r="J2465" s="1" t="str">
        <f aca="false">VLOOKUP(B2465,Customers!$A$2:$G$502,6,FALSE())</f>
        <v>Small Business</v>
      </c>
      <c r="K2465" s="1" t="str">
        <f aca="false">VLOOKUP(C2465,Products!$A$2:$E$62,3,FALSE())</f>
        <v>Electronics</v>
      </c>
      <c r="L2465" s="1" t="str">
        <f aca="false">TEXT(D2465,"yyyy-mm")</f>
        <v>2024-09</v>
      </c>
    </row>
    <row r="2466" customFormat="false" ht="15" hidden="false" customHeight="true" outlineLevel="0" collapsed="false">
      <c r="A2466" s="1" t="n">
        <v>2523</v>
      </c>
      <c r="B2466" s="1" t="n">
        <v>176</v>
      </c>
      <c r="C2466" s="1" t="n">
        <v>40</v>
      </c>
      <c r="D2466" s="1" t="s">
        <v>1450</v>
      </c>
      <c r="E2466" s="1" t="n">
        <v>1</v>
      </c>
      <c r="F2466" s="1" t="n">
        <v>193.02</v>
      </c>
      <c r="G2466" s="1" t="n">
        <v>0.1</v>
      </c>
      <c r="H2466" s="1" t="s">
        <v>1336</v>
      </c>
      <c r="I2466" s="1" t="n">
        <v>173.72</v>
      </c>
      <c r="J2466" s="1" t="str">
        <f aca="false">VLOOKUP(B2466,Customers!$A$2:$G$502,6,FALSE())</f>
        <v>Corporate</v>
      </c>
      <c r="K2466" s="1" t="str">
        <f aca="false">VLOOKUP(C2466,Products!$A$2:$E$62,3,FALSE())</f>
        <v>Software</v>
      </c>
      <c r="L2466" s="1" t="str">
        <f aca="false">TEXT(D2466,"yyyy-mm")</f>
        <v>2023-04</v>
      </c>
    </row>
    <row r="2467" customFormat="false" ht="15" hidden="false" customHeight="true" outlineLevel="0" collapsed="false">
      <c r="A2467" s="1" t="n">
        <v>2524</v>
      </c>
      <c r="B2467" s="1" t="n">
        <v>247</v>
      </c>
      <c r="C2467" s="1" t="n">
        <v>24</v>
      </c>
      <c r="D2467" s="1" t="s">
        <v>1579</v>
      </c>
      <c r="E2467" s="1" t="n">
        <v>8</v>
      </c>
      <c r="F2467" s="1" t="n">
        <v>207.34</v>
      </c>
      <c r="G2467" s="1" t="n">
        <v>0.15</v>
      </c>
      <c r="H2467" s="1" t="s">
        <v>1336</v>
      </c>
      <c r="I2467" s="1" t="n">
        <v>1409.91</v>
      </c>
      <c r="J2467" s="1" t="str">
        <f aca="false">VLOOKUP(B2467,Customers!$A$2:$G$502,6,FALSE())</f>
        <v>Small Business</v>
      </c>
      <c r="K2467" s="1" t="str">
        <f aca="false">VLOOKUP(C2467,Products!$A$2:$E$62,3,FALSE())</f>
        <v>Office Supplies</v>
      </c>
      <c r="L2467" s="1" t="str">
        <f aca="false">TEXT(D2467,"yyyy-mm")</f>
        <v>2023-08</v>
      </c>
    </row>
    <row r="2468" customFormat="false" ht="15" hidden="false" customHeight="true" outlineLevel="0" collapsed="false">
      <c r="A2468" s="1" t="n">
        <v>2525</v>
      </c>
      <c r="B2468" s="1" t="n">
        <v>164</v>
      </c>
      <c r="C2468" s="1" t="n">
        <v>10</v>
      </c>
      <c r="D2468" s="1" t="s">
        <v>427</v>
      </c>
      <c r="E2468" s="1" t="n">
        <v>3</v>
      </c>
      <c r="F2468" s="1" t="n">
        <v>251.58</v>
      </c>
      <c r="G2468" s="1" t="n">
        <v>0.2</v>
      </c>
      <c r="H2468" s="1" t="s">
        <v>1336</v>
      </c>
      <c r="I2468" s="1" t="n">
        <v>603.79</v>
      </c>
      <c r="J2468" s="1" t="str">
        <f aca="false">VLOOKUP(B2468,Customers!$A$2:$G$502,6,FALSE())</f>
        <v>Consumer</v>
      </c>
      <c r="K2468" s="1" t="str">
        <f aca="false">VLOOKUP(C2468,Products!$A$2:$E$62,3,FALSE())</f>
        <v>Electronics</v>
      </c>
      <c r="L2468" s="1" t="str">
        <f aca="false">TEXT(D2468,"yyyy-mm")</f>
        <v>2024-11</v>
      </c>
    </row>
    <row r="2469" customFormat="false" ht="15" hidden="false" customHeight="true" outlineLevel="0" collapsed="false">
      <c r="A2469" s="1" t="n">
        <v>2526</v>
      </c>
      <c r="B2469" s="1" t="n">
        <v>464</v>
      </c>
      <c r="C2469" s="1" t="n">
        <v>10</v>
      </c>
      <c r="D2469" s="1" t="s">
        <v>783</v>
      </c>
      <c r="E2469" s="1" t="n">
        <v>8</v>
      </c>
      <c r="F2469" s="1" t="n">
        <v>251.58</v>
      </c>
      <c r="G2469" s="1" t="n">
        <v>0</v>
      </c>
      <c r="H2469" s="1" t="s">
        <v>1346</v>
      </c>
      <c r="I2469" s="1" t="n">
        <v>2012.64</v>
      </c>
      <c r="J2469" s="1" t="str">
        <f aca="false">VLOOKUP(B2469,Customers!$A$2:$G$502,6,FALSE())</f>
        <v>Consumer</v>
      </c>
      <c r="K2469" s="1" t="str">
        <f aca="false">VLOOKUP(C2469,Products!$A$2:$E$62,3,FALSE())</f>
        <v>Electronics</v>
      </c>
      <c r="L2469" s="1" t="str">
        <f aca="false">TEXT(D2469,"yyyy-mm")</f>
        <v>2024-12</v>
      </c>
    </row>
    <row r="2470" customFormat="false" ht="15" hidden="false" customHeight="true" outlineLevel="0" collapsed="false">
      <c r="A2470" s="1" t="n">
        <v>2527</v>
      </c>
      <c r="B2470" s="1" t="n">
        <v>14</v>
      </c>
      <c r="C2470" s="1" t="n">
        <v>1</v>
      </c>
      <c r="D2470" s="1" t="s">
        <v>1367</v>
      </c>
      <c r="E2470" s="1" t="n">
        <v>8</v>
      </c>
      <c r="F2470" s="1" t="n">
        <v>327.32</v>
      </c>
      <c r="G2470" s="1" t="n">
        <v>0.1</v>
      </c>
      <c r="H2470" s="1" t="s">
        <v>1336</v>
      </c>
      <c r="I2470" s="1" t="n">
        <v>2356.7</v>
      </c>
      <c r="J2470" s="1" t="str">
        <f aca="false">VLOOKUP(B2470,Customers!$A$2:$G$502,6,FALSE())</f>
        <v>Small Business</v>
      </c>
      <c r="K2470" s="1" t="str">
        <f aca="false">VLOOKUP(C2470,Products!$A$2:$E$62,3,FALSE())</f>
        <v>Electronics</v>
      </c>
      <c r="L2470" s="1" t="str">
        <f aca="false">TEXT(D2470,"yyyy-mm")</f>
        <v>2024-08</v>
      </c>
    </row>
    <row r="2471" customFormat="false" ht="15" hidden="false" customHeight="true" outlineLevel="0" collapsed="false">
      <c r="A2471" s="1" t="n">
        <v>2528</v>
      </c>
      <c r="B2471" s="1" t="n">
        <v>448</v>
      </c>
      <c r="C2471" s="1" t="n">
        <v>9</v>
      </c>
      <c r="D2471" s="1" t="s">
        <v>1691</v>
      </c>
      <c r="E2471" s="1" t="n">
        <v>5</v>
      </c>
      <c r="F2471" s="1" t="n">
        <v>203.1</v>
      </c>
      <c r="G2471" s="1" t="n">
        <v>0</v>
      </c>
      <c r="H2471" s="1" t="s">
        <v>1336</v>
      </c>
      <c r="I2471" s="1" t="n">
        <v>1015.5</v>
      </c>
      <c r="J2471" s="1" t="str">
        <f aca="false">VLOOKUP(B2471,Customers!$A$2:$G$502,6,FALSE())</f>
        <v>Corporate</v>
      </c>
      <c r="K2471" s="1" t="str">
        <f aca="false">VLOOKUP(C2471,Products!$A$2:$E$62,3,FALSE())</f>
        <v>Electronics</v>
      </c>
      <c r="L2471" s="1" t="str">
        <f aca="false">TEXT(D2471,"yyyy-mm")</f>
        <v>2023-10</v>
      </c>
    </row>
    <row r="2472" customFormat="false" ht="15" hidden="false" customHeight="true" outlineLevel="0" collapsed="false">
      <c r="A2472" s="1" t="n">
        <v>2529</v>
      </c>
      <c r="B2472" s="1" t="n">
        <v>441</v>
      </c>
      <c r="C2472" s="1" t="n">
        <v>22</v>
      </c>
      <c r="D2472" s="1" t="s">
        <v>44</v>
      </c>
      <c r="E2472" s="1" t="n">
        <v>1</v>
      </c>
      <c r="F2472" s="1" t="n">
        <v>38.57</v>
      </c>
      <c r="G2472" s="1" t="n">
        <v>0</v>
      </c>
      <c r="H2472" s="1" t="s">
        <v>1336</v>
      </c>
      <c r="I2472" s="1" t="n">
        <v>38.57</v>
      </c>
      <c r="J2472" s="1" t="str">
        <f aca="false">VLOOKUP(B2472,Customers!$A$2:$G$502,6,FALSE())</f>
        <v>Corporate</v>
      </c>
      <c r="K2472" s="1" t="str">
        <f aca="false">VLOOKUP(C2472,Products!$A$2:$E$62,3,FALSE())</f>
        <v>Office Supplies</v>
      </c>
      <c r="L2472" s="1" t="str">
        <f aca="false">TEXT(D2472,"yyyy-mm")</f>
        <v>2023-12</v>
      </c>
    </row>
    <row r="2473" customFormat="false" ht="15" hidden="false" customHeight="true" outlineLevel="0" collapsed="false">
      <c r="A2473" s="1" t="n">
        <v>2530</v>
      </c>
      <c r="B2473" s="1" t="n">
        <v>298</v>
      </c>
      <c r="C2473" s="1" t="n">
        <v>41</v>
      </c>
      <c r="D2473" s="1" t="s">
        <v>1570</v>
      </c>
      <c r="E2473" s="1" t="n">
        <v>7</v>
      </c>
      <c r="F2473" s="1" t="n">
        <v>594.54</v>
      </c>
      <c r="G2473" s="1" t="n">
        <v>0</v>
      </c>
      <c r="H2473" s="1" t="s">
        <v>1336</v>
      </c>
      <c r="I2473" s="1" t="n">
        <v>4161.78</v>
      </c>
      <c r="J2473" s="1" t="str">
        <f aca="false">VLOOKUP(B2473,Customers!$A$2:$G$502,6,FALSE())</f>
        <v>Consumer</v>
      </c>
      <c r="K2473" s="1" t="str">
        <f aca="false">VLOOKUP(C2473,Products!$A$2:$E$62,3,FALSE())</f>
        <v>Software</v>
      </c>
      <c r="L2473" s="1" t="str">
        <f aca="false">TEXT(D2473,"yyyy-mm")</f>
        <v>2023-04</v>
      </c>
    </row>
    <row r="2474" customFormat="false" ht="15" hidden="false" customHeight="true" outlineLevel="0" collapsed="false">
      <c r="A2474" s="1" t="n">
        <v>2531</v>
      </c>
      <c r="B2474" s="1" t="n">
        <v>470</v>
      </c>
      <c r="C2474" s="1" t="n">
        <v>38</v>
      </c>
      <c r="D2474" s="1" t="s">
        <v>927</v>
      </c>
      <c r="E2474" s="1" t="n">
        <v>5</v>
      </c>
      <c r="F2474" s="1" t="n">
        <v>521.63</v>
      </c>
      <c r="G2474" s="1" t="n">
        <v>0.15</v>
      </c>
      <c r="H2474" s="1" t="s">
        <v>1336</v>
      </c>
      <c r="I2474" s="1" t="n">
        <v>2216.93</v>
      </c>
      <c r="J2474" s="1" t="str">
        <f aca="false">VLOOKUP(B2474,Customers!$A$2:$G$502,6,FALSE())</f>
        <v>Corporate</v>
      </c>
      <c r="K2474" s="1" t="str">
        <f aca="false">VLOOKUP(C2474,Products!$A$2:$E$62,3,FALSE())</f>
        <v>Software</v>
      </c>
      <c r="L2474" s="1" t="str">
        <f aca="false">TEXT(D2474,"yyyy-mm")</f>
        <v>2024-04</v>
      </c>
    </row>
    <row r="2475" customFormat="false" ht="15" hidden="false" customHeight="true" outlineLevel="0" collapsed="false">
      <c r="A2475" s="1" t="n">
        <v>2532</v>
      </c>
      <c r="B2475" s="1" t="n">
        <v>380</v>
      </c>
      <c r="C2475" s="1" t="n">
        <v>17</v>
      </c>
      <c r="D2475" s="1" t="s">
        <v>124</v>
      </c>
      <c r="E2475" s="1" t="n">
        <v>8</v>
      </c>
      <c r="F2475" s="1" t="n">
        <v>65.61</v>
      </c>
      <c r="G2475" s="1" t="n">
        <v>0</v>
      </c>
      <c r="H2475" s="1" t="s">
        <v>1370</v>
      </c>
      <c r="I2475" s="1" t="n">
        <v>524.88</v>
      </c>
      <c r="J2475" s="1" t="str">
        <f aca="false">VLOOKUP(B2475,Customers!$A$2:$G$502,6,FALSE())</f>
        <v>Small Business</v>
      </c>
      <c r="K2475" s="1" t="str">
        <f aca="false">VLOOKUP(C2475,Products!$A$2:$E$62,3,FALSE())</f>
        <v>Electronics</v>
      </c>
      <c r="L2475" s="1" t="str">
        <f aca="false">TEXT(D2475,"yyyy-mm")</f>
        <v>2023-05</v>
      </c>
    </row>
    <row r="2476" customFormat="false" ht="15" hidden="false" customHeight="true" outlineLevel="0" collapsed="false">
      <c r="A2476" s="1" t="n">
        <v>2533</v>
      </c>
      <c r="B2476" s="1" t="n">
        <v>322</v>
      </c>
      <c r="C2476" s="1" t="n">
        <v>52</v>
      </c>
      <c r="D2476" s="1" t="s">
        <v>1399</v>
      </c>
      <c r="E2476" s="1" t="n">
        <v>9</v>
      </c>
      <c r="F2476" s="1" t="n">
        <v>207.67</v>
      </c>
      <c r="G2476" s="1" t="n">
        <v>0</v>
      </c>
      <c r="H2476" s="1" t="s">
        <v>1336</v>
      </c>
      <c r="I2476" s="1" t="n">
        <v>1869.03</v>
      </c>
      <c r="J2476" s="1" t="str">
        <f aca="false">VLOOKUP(B2476,Customers!$A$2:$G$502,6,FALSE())</f>
        <v>Consumer</v>
      </c>
      <c r="K2476" s="1" t="str">
        <f aca="false">VLOOKUP(C2476,Products!$A$2:$E$62,3,FALSE())</f>
        <v>Software</v>
      </c>
      <c r="L2476" s="1" t="str">
        <f aca="false">TEXT(D2476,"yyyy-mm")</f>
        <v>2024-11</v>
      </c>
    </row>
    <row r="2477" customFormat="false" ht="15" hidden="false" customHeight="true" outlineLevel="0" collapsed="false">
      <c r="A2477" s="1" t="n">
        <v>2534</v>
      </c>
      <c r="B2477" s="1" t="n">
        <v>475</v>
      </c>
      <c r="C2477" s="1" t="n">
        <v>1</v>
      </c>
      <c r="D2477" s="1" t="s">
        <v>1366</v>
      </c>
      <c r="E2477" s="1" t="n">
        <v>7</v>
      </c>
      <c r="F2477" s="1" t="n">
        <v>327.32</v>
      </c>
      <c r="G2477" s="1" t="n">
        <v>0.2</v>
      </c>
      <c r="H2477" s="1" t="s">
        <v>1336</v>
      </c>
      <c r="I2477" s="1" t="n">
        <v>1832.99</v>
      </c>
      <c r="J2477" s="1" t="str">
        <f aca="false">VLOOKUP(B2477,Customers!$A$2:$G$502,6,FALSE())</f>
        <v>Small Business</v>
      </c>
      <c r="K2477" s="1" t="str">
        <f aca="false">VLOOKUP(C2477,Products!$A$2:$E$62,3,FALSE())</f>
        <v>Electronics</v>
      </c>
      <c r="L2477" s="1" t="str">
        <f aca="false">TEXT(D2477,"yyyy-mm")</f>
        <v>2023-11</v>
      </c>
    </row>
    <row r="2478" customFormat="false" ht="15" hidden="false" customHeight="true" outlineLevel="0" collapsed="false">
      <c r="A2478" s="1" t="n">
        <v>2535</v>
      </c>
      <c r="B2478" s="1" t="n">
        <v>425</v>
      </c>
      <c r="C2478" s="1" t="n">
        <v>37</v>
      </c>
      <c r="D2478" s="1" t="s">
        <v>1673</v>
      </c>
      <c r="E2478" s="1" t="n">
        <v>7</v>
      </c>
      <c r="F2478" s="1" t="n">
        <v>13.95</v>
      </c>
      <c r="G2478" s="1" t="n">
        <v>0</v>
      </c>
      <c r="H2478" s="1" t="s">
        <v>1346</v>
      </c>
      <c r="I2478" s="1" t="n">
        <v>97.65</v>
      </c>
      <c r="J2478" s="1" t="str">
        <f aca="false">VLOOKUP(B2478,Customers!$A$2:$G$502,6,FALSE())</f>
        <v>Unknown</v>
      </c>
      <c r="K2478" s="1" t="str">
        <f aca="false">VLOOKUP(C2478,Products!$A$2:$E$62,3,FALSE())</f>
        <v>Software</v>
      </c>
      <c r="L2478" s="1" t="str">
        <f aca="false">TEXT(D2478,"yyyy-mm")</f>
        <v>2023-07</v>
      </c>
    </row>
    <row r="2479" customFormat="false" ht="15" hidden="false" customHeight="true" outlineLevel="0" collapsed="false">
      <c r="A2479" s="1" t="n">
        <v>2536</v>
      </c>
      <c r="B2479" s="1" t="n">
        <v>221</v>
      </c>
      <c r="C2479" s="1" t="n">
        <v>23</v>
      </c>
      <c r="D2479" s="1" t="s">
        <v>1617</v>
      </c>
      <c r="E2479" s="1" t="n">
        <v>1</v>
      </c>
      <c r="F2479" s="1" t="n">
        <v>188.73</v>
      </c>
      <c r="G2479" s="1" t="n">
        <v>0</v>
      </c>
      <c r="H2479" s="1" t="s">
        <v>1336</v>
      </c>
      <c r="I2479" s="1" t="n">
        <v>188.73</v>
      </c>
      <c r="J2479" s="1" t="str">
        <f aca="false">VLOOKUP(B2479,Customers!$A$2:$G$502,6,FALSE())</f>
        <v>Consumer</v>
      </c>
      <c r="K2479" s="1" t="str">
        <f aca="false">VLOOKUP(C2479,Products!$A$2:$E$62,3,FALSE())</f>
        <v>Office Supplies</v>
      </c>
      <c r="L2479" s="1" t="str">
        <f aca="false">TEXT(D2479,"yyyy-mm")</f>
        <v>2023-04</v>
      </c>
    </row>
    <row r="2480" customFormat="false" ht="15" hidden="false" customHeight="true" outlineLevel="0" collapsed="false">
      <c r="A2480" s="1" t="n">
        <v>2537</v>
      </c>
      <c r="B2480" s="1" t="n">
        <v>278</v>
      </c>
      <c r="C2480" s="1" t="n">
        <v>43</v>
      </c>
      <c r="D2480" s="1" t="s">
        <v>39</v>
      </c>
      <c r="E2480" s="1" t="n">
        <v>4</v>
      </c>
      <c r="F2480" s="1" t="n">
        <v>186.31</v>
      </c>
      <c r="G2480" s="1" t="n">
        <v>0.05</v>
      </c>
      <c r="H2480" s="1" t="s">
        <v>1336</v>
      </c>
      <c r="I2480" s="1" t="n">
        <v>707.98</v>
      </c>
      <c r="J2480" s="1" t="str">
        <f aca="false">VLOOKUP(B2480,Customers!$A$2:$G$502,6,FALSE())</f>
        <v>Consumer</v>
      </c>
      <c r="K2480" s="1" t="str">
        <f aca="false">VLOOKUP(C2480,Products!$A$2:$E$62,3,FALSE())</f>
        <v>Software</v>
      </c>
      <c r="L2480" s="1" t="str">
        <f aca="false">TEXT(D2480,"yyyy-mm")</f>
        <v>2023-10</v>
      </c>
    </row>
    <row r="2481" customFormat="false" ht="15" hidden="false" customHeight="true" outlineLevel="0" collapsed="false">
      <c r="A2481" s="1" t="n">
        <v>2538</v>
      </c>
      <c r="B2481" s="1" t="n">
        <v>402</v>
      </c>
      <c r="C2481" s="1" t="n">
        <v>23</v>
      </c>
      <c r="D2481" s="1" t="s">
        <v>1626</v>
      </c>
      <c r="E2481" s="1" t="n">
        <v>2</v>
      </c>
      <c r="F2481" s="1" t="n">
        <v>188.73</v>
      </c>
      <c r="G2481" s="1" t="n">
        <v>0.1</v>
      </c>
      <c r="H2481" s="1" t="s">
        <v>1336</v>
      </c>
      <c r="I2481" s="1" t="n">
        <v>339.71</v>
      </c>
      <c r="J2481" s="1" t="str">
        <f aca="false">VLOOKUP(B2481,Customers!$A$2:$G$502,6,FALSE())</f>
        <v>Unknown</v>
      </c>
      <c r="K2481" s="1" t="str">
        <f aca="false">VLOOKUP(C2481,Products!$A$2:$E$62,3,FALSE())</f>
        <v>Office Supplies</v>
      </c>
      <c r="L2481" s="1" t="str">
        <f aca="false">TEXT(D2481,"yyyy-mm")</f>
        <v>2024-06</v>
      </c>
    </row>
    <row r="2482" customFormat="false" ht="15" hidden="false" customHeight="true" outlineLevel="0" collapsed="false">
      <c r="A2482" s="1" t="n">
        <v>2539</v>
      </c>
      <c r="B2482" s="1" t="n">
        <v>359</v>
      </c>
      <c r="C2482" s="1" t="n">
        <v>28</v>
      </c>
      <c r="D2482" s="1" t="s">
        <v>832</v>
      </c>
      <c r="E2482" s="1" t="n">
        <v>2</v>
      </c>
      <c r="F2482" s="1" t="n">
        <v>505.23</v>
      </c>
      <c r="G2482" s="1" t="n">
        <v>0.2</v>
      </c>
      <c r="H2482" s="1" t="s">
        <v>1336</v>
      </c>
      <c r="I2482" s="1" t="n">
        <v>808.37</v>
      </c>
      <c r="J2482" s="1" t="str">
        <f aca="false">VLOOKUP(B2482,Customers!$A$2:$G$502,6,FALSE())</f>
        <v>Small Business</v>
      </c>
      <c r="K2482" s="1" t="str">
        <f aca="false">VLOOKUP(C2482,Products!$A$2:$E$62,3,FALSE())</f>
        <v>Office Supplies</v>
      </c>
      <c r="L2482" s="1" t="str">
        <f aca="false">TEXT(D2482,"yyyy-mm")</f>
        <v>2024-12</v>
      </c>
    </row>
    <row r="2483" customFormat="false" ht="15" hidden="false" customHeight="true" outlineLevel="0" collapsed="false">
      <c r="A2483" s="1" t="n">
        <v>2540</v>
      </c>
      <c r="B2483" s="1" t="n">
        <v>137</v>
      </c>
      <c r="C2483" s="1" t="n">
        <v>26</v>
      </c>
      <c r="D2483" s="1" t="s">
        <v>1086</v>
      </c>
      <c r="E2483" s="1" t="n">
        <v>2</v>
      </c>
      <c r="F2483" s="1" t="n">
        <v>733.85</v>
      </c>
      <c r="G2483" s="1" t="n">
        <v>0</v>
      </c>
      <c r="H2483" s="1" t="s">
        <v>1336</v>
      </c>
      <c r="I2483" s="1" t="n">
        <v>1467.7</v>
      </c>
      <c r="J2483" s="1" t="str">
        <f aca="false">VLOOKUP(B2483,Customers!$A$2:$G$502,6,FALSE())</f>
        <v>Consumer</v>
      </c>
      <c r="K2483" s="1" t="str">
        <f aca="false">VLOOKUP(C2483,Products!$A$2:$E$62,3,FALSE())</f>
        <v>Office Supplies</v>
      </c>
      <c r="L2483" s="1" t="str">
        <f aca="false">TEXT(D2483,"yyyy-mm")</f>
        <v>2024-05</v>
      </c>
    </row>
    <row r="2484" customFormat="false" ht="15" hidden="false" customHeight="true" outlineLevel="0" collapsed="false">
      <c r="A2484" s="1" t="n">
        <v>2541</v>
      </c>
      <c r="B2484" s="1" t="n">
        <v>442</v>
      </c>
      <c r="C2484" s="1" t="n">
        <v>50</v>
      </c>
      <c r="D2484" s="1" t="s">
        <v>1219</v>
      </c>
      <c r="E2484" s="1" t="n">
        <v>4</v>
      </c>
      <c r="F2484" s="1" t="n">
        <v>19.73</v>
      </c>
      <c r="G2484" s="1" t="n">
        <v>0.2</v>
      </c>
      <c r="H2484" s="1" t="s">
        <v>1336</v>
      </c>
      <c r="I2484" s="1" t="n">
        <v>63.14</v>
      </c>
      <c r="J2484" s="1" t="str">
        <f aca="false">VLOOKUP(B2484,Customers!$A$2:$G$502,6,FALSE())</f>
        <v>Small Business</v>
      </c>
      <c r="K2484" s="1" t="str">
        <f aca="false">VLOOKUP(C2484,Products!$A$2:$E$62,3,FALSE())</f>
        <v>Software</v>
      </c>
      <c r="L2484" s="1" t="str">
        <f aca="false">TEXT(D2484,"yyyy-mm")</f>
        <v>2024-10</v>
      </c>
    </row>
    <row r="2485" customFormat="false" ht="15" hidden="false" customHeight="true" outlineLevel="0" collapsed="false">
      <c r="A2485" s="1" t="n">
        <v>2542</v>
      </c>
      <c r="B2485" s="1" t="n">
        <v>285</v>
      </c>
      <c r="C2485" s="1" t="n">
        <v>11</v>
      </c>
      <c r="D2485" s="1" t="s">
        <v>1599</v>
      </c>
      <c r="E2485" s="1" t="n">
        <v>1</v>
      </c>
      <c r="F2485" s="1" t="n">
        <v>328.39</v>
      </c>
      <c r="G2485" s="1" t="n">
        <v>0</v>
      </c>
      <c r="H2485" s="1" t="s">
        <v>1336</v>
      </c>
      <c r="I2485" s="1" t="n">
        <v>328.39</v>
      </c>
      <c r="J2485" s="1" t="str">
        <f aca="false">VLOOKUP(B2485,Customers!$A$2:$G$502,6,FALSE())</f>
        <v>Consumer</v>
      </c>
      <c r="K2485" s="1" t="str">
        <f aca="false">VLOOKUP(C2485,Products!$A$2:$E$62,3,FALSE())</f>
        <v>Electronics</v>
      </c>
      <c r="L2485" s="1" t="str">
        <f aca="false">TEXT(D2485,"yyyy-mm")</f>
        <v>2023-06</v>
      </c>
    </row>
    <row r="2486" customFormat="false" ht="15" hidden="false" customHeight="true" outlineLevel="0" collapsed="false">
      <c r="A2486" s="1" t="n">
        <v>2543</v>
      </c>
      <c r="B2486" s="1" t="n">
        <v>374</v>
      </c>
      <c r="C2486" s="1" t="n">
        <v>51</v>
      </c>
      <c r="D2486" s="1" t="s">
        <v>179</v>
      </c>
      <c r="E2486" s="1" t="n">
        <v>4</v>
      </c>
      <c r="F2486" s="1" t="n">
        <v>30.16</v>
      </c>
      <c r="G2486" s="1" t="n">
        <v>0.15</v>
      </c>
      <c r="H2486" s="1" t="s">
        <v>1336</v>
      </c>
      <c r="I2486" s="1" t="n">
        <v>102.54</v>
      </c>
      <c r="J2486" s="1" t="str">
        <f aca="false">VLOOKUP(B2486,Customers!$A$2:$G$502,6,FALSE())</f>
        <v>Consumer</v>
      </c>
      <c r="K2486" s="1" t="str">
        <f aca="false">VLOOKUP(C2486,Products!$A$2:$E$62,3,FALSE())</f>
        <v>Software</v>
      </c>
      <c r="L2486" s="1" t="str">
        <f aca="false">TEXT(D2486,"yyyy-mm")</f>
        <v>2024-11</v>
      </c>
    </row>
    <row r="2487" customFormat="false" ht="15" hidden="false" customHeight="true" outlineLevel="0" collapsed="false">
      <c r="A2487" s="1" t="n">
        <v>2544</v>
      </c>
      <c r="B2487" s="1" t="n">
        <v>283</v>
      </c>
      <c r="C2487" s="1" t="n">
        <v>27</v>
      </c>
      <c r="D2487" s="1" t="s">
        <v>1345</v>
      </c>
      <c r="E2487" s="1" t="n">
        <v>2</v>
      </c>
      <c r="F2487" s="1" t="n">
        <v>772.58</v>
      </c>
      <c r="G2487" s="1" t="n">
        <v>0.1</v>
      </c>
      <c r="H2487" s="1" t="s">
        <v>1336</v>
      </c>
      <c r="I2487" s="1" t="n">
        <v>1390.64</v>
      </c>
      <c r="J2487" s="1" t="str">
        <f aca="false">VLOOKUP(B2487,Customers!$A$2:$G$502,6,FALSE())</f>
        <v>Small Business</v>
      </c>
      <c r="K2487" s="1" t="str">
        <f aca="false">VLOOKUP(C2487,Products!$A$2:$E$62,3,FALSE())</f>
        <v>Office Supplies</v>
      </c>
      <c r="L2487" s="1" t="str">
        <f aca="false">TEXT(D2487,"yyyy-mm")</f>
        <v>2023-07</v>
      </c>
    </row>
    <row r="2488" customFormat="false" ht="15" hidden="false" customHeight="true" outlineLevel="0" collapsed="false">
      <c r="A2488" s="1" t="n">
        <v>2545</v>
      </c>
      <c r="B2488" s="1" t="n">
        <v>485</v>
      </c>
      <c r="C2488" s="1" t="n">
        <v>11</v>
      </c>
      <c r="D2488" s="1" t="s">
        <v>148</v>
      </c>
      <c r="E2488" s="1" t="n">
        <v>5</v>
      </c>
      <c r="F2488" s="1" t="n">
        <v>328.39</v>
      </c>
      <c r="G2488" s="1" t="n">
        <v>0</v>
      </c>
      <c r="H2488" s="1" t="s">
        <v>1346</v>
      </c>
      <c r="I2488" s="1" t="n">
        <v>1641.95</v>
      </c>
      <c r="J2488" s="1" t="str">
        <f aca="false">VLOOKUP(B2488,Customers!$A$2:$G$502,6,FALSE())</f>
        <v>Corporate</v>
      </c>
      <c r="K2488" s="1" t="str">
        <f aca="false">VLOOKUP(C2488,Products!$A$2:$E$62,3,FALSE())</f>
        <v>Electronics</v>
      </c>
      <c r="L2488" s="1" t="str">
        <f aca="false">TEXT(D2488,"yyyy-mm")</f>
        <v>2023-06</v>
      </c>
    </row>
    <row r="2489" customFormat="false" ht="15" hidden="false" customHeight="true" outlineLevel="0" collapsed="false">
      <c r="A2489" s="1" t="n">
        <v>2546</v>
      </c>
      <c r="B2489" s="1" t="n">
        <v>6</v>
      </c>
      <c r="C2489" s="1" t="n">
        <v>51</v>
      </c>
      <c r="D2489" s="1" t="s">
        <v>1136</v>
      </c>
      <c r="E2489" s="1" t="n">
        <v>3</v>
      </c>
      <c r="F2489" s="1" t="n">
        <v>30.16</v>
      </c>
      <c r="G2489" s="1" t="n">
        <v>0.1</v>
      </c>
      <c r="H2489" s="1" t="s">
        <v>1336</v>
      </c>
      <c r="I2489" s="1" t="n">
        <v>81.43</v>
      </c>
      <c r="J2489" s="1" t="str">
        <f aca="false">VLOOKUP(B2489,Customers!$A$2:$G$502,6,FALSE())</f>
        <v>Corporate</v>
      </c>
      <c r="K2489" s="1" t="str">
        <f aca="false">VLOOKUP(C2489,Products!$A$2:$E$62,3,FALSE())</f>
        <v>Software</v>
      </c>
      <c r="L2489" s="1" t="str">
        <f aca="false">TEXT(D2489,"yyyy-mm")</f>
        <v>2023-01</v>
      </c>
    </row>
    <row r="2490" customFormat="false" ht="15" hidden="false" customHeight="true" outlineLevel="0" collapsed="false">
      <c r="A2490" s="1" t="n">
        <v>2547</v>
      </c>
      <c r="B2490" s="1" t="n">
        <v>21</v>
      </c>
      <c r="C2490" s="1" t="n">
        <v>9</v>
      </c>
      <c r="D2490" s="1" t="s">
        <v>322</v>
      </c>
      <c r="E2490" s="1" t="n">
        <v>8</v>
      </c>
      <c r="F2490" s="1" t="n">
        <v>203.1</v>
      </c>
      <c r="G2490" s="1" t="n">
        <v>0.05</v>
      </c>
      <c r="H2490" s="1" t="s">
        <v>1336</v>
      </c>
      <c r="I2490" s="1" t="n">
        <v>1543.56</v>
      </c>
      <c r="J2490" s="1" t="str">
        <f aca="false">VLOOKUP(B2490,Customers!$A$2:$G$502,6,FALSE())</f>
        <v>Corporate</v>
      </c>
      <c r="K2490" s="1" t="str">
        <f aca="false">VLOOKUP(C2490,Products!$A$2:$E$62,3,FALSE())</f>
        <v>Electronics</v>
      </c>
      <c r="L2490" s="1" t="str">
        <f aca="false">TEXT(D2490,"yyyy-mm")</f>
        <v>2024-02</v>
      </c>
    </row>
    <row r="2491" customFormat="false" ht="15" hidden="false" customHeight="true" outlineLevel="0" collapsed="false">
      <c r="A2491" s="1" t="n">
        <v>2548</v>
      </c>
      <c r="B2491" s="1" t="n">
        <v>27</v>
      </c>
      <c r="C2491" s="1" t="n">
        <v>38</v>
      </c>
      <c r="D2491" s="1" t="s">
        <v>1362</v>
      </c>
      <c r="E2491" s="1" t="n">
        <v>4</v>
      </c>
      <c r="F2491" s="1" t="n">
        <v>521.63</v>
      </c>
      <c r="G2491" s="1" t="n">
        <v>0.05</v>
      </c>
      <c r="H2491" s="1" t="s">
        <v>1336</v>
      </c>
      <c r="I2491" s="1" t="n">
        <v>1982.19</v>
      </c>
      <c r="J2491" s="1" t="str">
        <f aca="false">VLOOKUP(B2491,Customers!$A$2:$G$502,6,FALSE())</f>
        <v>Small Business</v>
      </c>
      <c r="K2491" s="1" t="str">
        <f aca="false">VLOOKUP(C2491,Products!$A$2:$E$62,3,FALSE())</f>
        <v>Software</v>
      </c>
      <c r="L2491" s="1" t="str">
        <f aca="false">TEXT(D2491,"yyyy-mm")</f>
        <v>2024-01</v>
      </c>
    </row>
    <row r="2492" customFormat="false" ht="15" hidden="false" customHeight="true" outlineLevel="0" collapsed="false">
      <c r="A2492" s="1" t="n">
        <v>2549</v>
      </c>
      <c r="B2492" s="1" t="n">
        <v>10</v>
      </c>
      <c r="C2492" s="1" t="n">
        <v>46</v>
      </c>
      <c r="D2492" s="1" t="s">
        <v>1579</v>
      </c>
      <c r="E2492" s="1" t="n">
        <v>1</v>
      </c>
      <c r="F2492" s="1" t="n">
        <v>94.92</v>
      </c>
      <c r="G2492" s="1" t="n">
        <v>0.1</v>
      </c>
      <c r="H2492" s="1" t="s">
        <v>1336</v>
      </c>
      <c r="I2492" s="1" t="n">
        <v>85.43</v>
      </c>
      <c r="J2492" s="1" t="str">
        <f aca="false">VLOOKUP(B2492,Customers!$A$2:$G$502,6,FALSE())</f>
        <v>Small Business</v>
      </c>
      <c r="K2492" s="1" t="str">
        <f aca="false">VLOOKUP(C2492,Products!$A$2:$E$62,3,FALSE())</f>
        <v>Software</v>
      </c>
      <c r="L2492" s="1" t="str">
        <f aca="false">TEXT(D2492,"yyyy-mm")</f>
        <v>2023-08</v>
      </c>
    </row>
    <row r="2493" customFormat="false" ht="15" hidden="false" customHeight="true" outlineLevel="0" collapsed="false">
      <c r="A2493" s="1" t="n">
        <v>2550</v>
      </c>
      <c r="B2493" s="1" t="n">
        <v>190</v>
      </c>
      <c r="C2493" s="1" t="n">
        <v>49</v>
      </c>
      <c r="D2493" s="1" t="s">
        <v>1578</v>
      </c>
      <c r="E2493" s="1" t="n">
        <v>1</v>
      </c>
      <c r="F2493" s="1" t="n">
        <v>325.17</v>
      </c>
      <c r="G2493" s="1" t="n">
        <v>0.1</v>
      </c>
      <c r="H2493" s="1" t="s">
        <v>1336</v>
      </c>
      <c r="I2493" s="1" t="n">
        <v>292.65</v>
      </c>
      <c r="J2493" s="1" t="str">
        <f aca="false">VLOOKUP(B2493,Customers!$A$2:$G$502,6,FALSE())</f>
        <v>Corporate</v>
      </c>
      <c r="K2493" s="1" t="str">
        <f aca="false">VLOOKUP(C2493,Products!$A$2:$E$62,3,FALSE())</f>
        <v>Software</v>
      </c>
      <c r="L2493" s="1" t="str">
        <f aca="false">TEXT(D2493,"yyyy-mm")</f>
        <v>2023-07</v>
      </c>
    </row>
    <row r="2494" customFormat="false" ht="15" hidden="false" customHeight="true" outlineLevel="0" collapsed="false">
      <c r="A2494" s="1" t="n">
        <v>2551</v>
      </c>
      <c r="B2494" s="1" t="n">
        <v>45</v>
      </c>
      <c r="C2494" s="1" t="n">
        <v>38</v>
      </c>
      <c r="D2494" s="1" t="s">
        <v>1273</v>
      </c>
      <c r="E2494" s="1" t="n">
        <v>3</v>
      </c>
      <c r="F2494" s="1" t="n">
        <v>521.63</v>
      </c>
      <c r="G2494" s="1" t="n">
        <v>0.05</v>
      </c>
      <c r="H2494" s="1" t="s">
        <v>1336</v>
      </c>
      <c r="I2494" s="1" t="n">
        <v>1486.65</v>
      </c>
      <c r="J2494" s="1" t="str">
        <f aca="false">VLOOKUP(B2494,Customers!$A$2:$G$502,6,FALSE())</f>
        <v>Corporate</v>
      </c>
      <c r="K2494" s="1" t="str">
        <f aca="false">VLOOKUP(C2494,Products!$A$2:$E$62,3,FALSE())</f>
        <v>Software</v>
      </c>
      <c r="L2494" s="1" t="str">
        <f aca="false">TEXT(D2494,"yyyy-mm")</f>
        <v>2023-08</v>
      </c>
    </row>
    <row r="2495" customFormat="false" ht="15" hidden="false" customHeight="true" outlineLevel="0" collapsed="false">
      <c r="A2495" s="1" t="n">
        <v>2552</v>
      </c>
      <c r="B2495" s="1" t="n">
        <v>271</v>
      </c>
      <c r="C2495" s="1" t="n">
        <v>10</v>
      </c>
      <c r="D2495" s="1" t="s">
        <v>927</v>
      </c>
      <c r="E2495" s="1" t="n">
        <v>9</v>
      </c>
      <c r="F2495" s="1" t="n">
        <v>251.58</v>
      </c>
      <c r="G2495" s="1" t="n">
        <v>0.05</v>
      </c>
      <c r="H2495" s="1" t="s">
        <v>1336</v>
      </c>
      <c r="I2495" s="1" t="n">
        <v>2151.01</v>
      </c>
      <c r="J2495" s="1" t="str">
        <f aca="false">VLOOKUP(B2495,Customers!$A$2:$G$502,6,FALSE())</f>
        <v>Small Business</v>
      </c>
      <c r="K2495" s="1" t="str">
        <f aca="false">VLOOKUP(C2495,Products!$A$2:$E$62,3,FALSE())</f>
        <v>Electronics</v>
      </c>
      <c r="L2495" s="1" t="str">
        <f aca="false">TEXT(D2495,"yyyy-mm")</f>
        <v>2024-04</v>
      </c>
    </row>
    <row r="2496" customFormat="false" ht="15" hidden="false" customHeight="true" outlineLevel="0" collapsed="false">
      <c r="A2496" s="1" t="n">
        <v>2553</v>
      </c>
      <c r="B2496" s="1" t="n">
        <v>351</v>
      </c>
      <c r="C2496" s="1" t="n">
        <v>48</v>
      </c>
      <c r="D2496" s="1" t="s">
        <v>1114</v>
      </c>
      <c r="E2496" s="1" t="n">
        <v>7</v>
      </c>
      <c r="F2496" s="1" t="n">
        <v>493.53</v>
      </c>
      <c r="G2496" s="1" t="n">
        <v>0.2</v>
      </c>
      <c r="H2496" s="1" t="s">
        <v>1336</v>
      </c>
      <c r="I2496" s="1" t="n">
        <v>2763.77</v>
      </c>
      <c r="J2496" s="1" t="str">
        <f aca="false">VLOOKUP(B2496,Customers!$A$2:$G$502,6,FALSE())</f>
        <v>Small Business</v>
      </c>
      <c r="K2496" s="1" t="str">
        <f aca="false">VLOOKUP(C2496,Products!$A$2:$E$62,3,FALSE())</f>
        <v>Software</v>
      </c>
      <c r="L2496" s="1" t="str">
        <f aca="false">TEXT(D2496,"yyyy-mm")</f>
        <v>2024-03</v>
      </c>
    </row>
    <row r="2497" customFormat="false" ht="15" hidden="false" customHeight="true" outlineLevel="0" collapsed="false">
      <c r="A2497" s="1" t="n">
        <v>2554</v>
      </c>
      <c r="B2497" s="1" t="n">
        <v>145</v>
      </c>
      <c r="C2497" s="1" t="n">
        <v>14</v>
      </c>
      <c r="D2497" s="1" t="s">
        <v>958</v>
      </c>
      <c r="E2497" s="1" t="n">
        <v>2</v>
      </c>
      <c r="F2497" s="1" t="n">
        <v>135.27</v>
      </c>
      <c r="G2497" s="1" t="n">
        <v>0</v>
      </c>
      <c r="H2497" s="1" t="s">
        <v>1336</v>
      </c>
      <c r="I2497" s="1" t="n">
        <v>270.54</v>
      </c>
      <c r="J2497" s="1" t="str">
        <f aca="false">VLOOKUP(B2497,Customers!$A$2:$G$502,6,FALSE())</f>
        <v>Corporate</v>
      </c>
      <c r="K2497" s="1" t="str">
        <f aca="false">VLOOKUP(C2497,Products!$A$2:$E$62,3,FALSE())</f>
        <v>Electronics</v>
      </c>
      <c r="L2497" s="1" t="str">
        <f aca="false">TEXT(D2497,"yyyy-mm")</f>
        <v>2024-12</v>
      </c>
    </row>
    <row r="2498" customFormat="false" ht="15" hidden="false" customHeight="true" outlineLevel="0" collapsed="false">
      <c r="A2498" s="1" t="n">
        <v>2555</v>
      </c>
      <c r="B2498" s="1" t="n">
        <v>238</v>
      </c>
      <c r="C2498" s="1" t="n">
        <v>12</v>
      </c>
      <c r="D2498" s="1" t="s">
        <v>1127</v>
      </c>
      <c r="E2498" s="1" t="n">
        <v>9</v>
      </c>
      <c r="F2498" s="1" t="n">
        <v>179.23</v>
      </c>
      <c r="G2498" s="1" t="n">
        <v>0</v>
      </c>
      <c r="H2498" s="1" t="s">
        <v>1336</v>
      </c>
      <c r="I2498" s="1" t="n">
        <v>1613.07</v>
      </c>
      <c r="J2498" s="1" t="str">
        <f aca="false">VLOOKUP(B2498,Customers!$A$2:$G$502,6,FALSE())</f>
        <v>Corporate</v>
      </c>
      <c r="K2498" s="1" t="str">
        <f aca="false">VLOOKUP(C2498,Products!$A$2:$E$62,3,FALSE())</f>
        <v>Electronics</v>
      </c>
      <c r="L2498" s="1" t="str">
        <f aca="false">TEXT(D2498,"yyyy-mm")</f>
        <v>2023-07</v>
      </c>
    </row>
    <row r="2499" customFormat="false" ht="15" hidden="false" customHeight="true" outlineLevel="0" collapsed="false">
      <c r="A2499" s="1" t="n">
        <v>2556</v>
      </c>
      <c r="B2499" s="1" t="n">
        <v>115</v>
      </c>
      <c r="C2499" s="1" t="n">
        <v>44</v>
      </c>
      <c r="D2499" s="1" t="s">
        <v>946</v>
      </c>
      <c r="E2499" s="1" t="n">
        <v>2</v>
      </c>
      <c r="F2499" s="1" t="n">
        <v>508.26</v>
      </c>
      <c r="G2499" s="1" t="n">
        <v>0</v>
      </c>
      <c r="H2499" s="1" t="s">
        <v>1370</v>
      </c>
      <c r="I2499" s="1" t="n">
        <v>1016.52</v>
      </c>
      <c r="J2499" s="1" t="str">
        <f aca="false">VLOOKUP(B2499,Customers!$A$2:$G$502,6,FALSE())</f>
        <v>Small Business</v>
      </c>
      <c r="K2499" s="1" t="str">
        <f aca="false">VLOOKUP(C2499,Products!$A$2:$E$62,3,FALSE())</f>
        <v>Software</v>
      </c>
      <c r="L2499" s="1" t="str">
        <f aca="false">TEXT(D2499,"yyyy-mm")</f>
        <v>2023-04</v>
      </c>
    </row>
    <row r="2500" customFormat="false" ht="15" hidden="false" customHeight="true" outlineLevel="0" collapsed="false">
      <c r="A2500" s="1" t="n">
        <v>2557</v>
      </c>
      <c r="B2500" s="1" t="n">
        <v>330</v>
      </c>
      <c r="C2500" s="1" t="n">
        <v>60</v>
      </c>
      <c r="D2500" s="1" t="s">
        <v>1463</v>
      </c>
      <c r="E2500" s="1" t="n">
        <v>3</v>
      </c>
      <c r="F2500" s="1" t="n">
        <v>584.98</v>
      </c>
      <c r="G2500" s="1" t="n">
        <v>0</v>
      </c>
      <c r="H2500" s="1" t="s">
        <v>1336</v>
      </c>
      <c r="I2500" s="1" t="n">
        <v>1754.94</v>
      </c>
      <c r="J2500" s="1" t="str">
        <f aca="false">VLOOKUP(B2500,Customers!$A$2:$G$502,6,FALSE())</f>
        <v>Corporate</v>
      </c>
      <c r="K2500" s="1" t="str">
        <f aca="false">VLOOKUP(C2500,Products!$A$2:$E$62,3,FALSE())</f>
        <v>Furniture</v>
      </c>
      <c r="L2500" s="1" t="str">
        <f aca="false">TEXT(D2500,"yyyy-mm")</f>
        <v>2024-09</v>
      </c>
    </row>
    <row r="2501" customFormat="false" ht="15" hidden="false" customHeight="true" outlineLevel="0" collapsed="false">
      <c r="A2501" s="1" t="n">
        <v>2558</v>
      </c>
      <c r="B2501" s="1" t="n">
        <v>103</v>
      </c>
      <c r="C2501" s="1" t="n">
        <v>46</v>
      </c>
      <c r="D2501" s="1" t="s">
        <v>1677</v>
      </c>
      <c r="E2501" s="1" t="n">
        <v>2</v>
      </c>
      <c r="F2501" s="1" t="n">
        <v>94.92</v>
      </c>
      <c r="G2501" s="1" t="n">
        <v>0.05</v>
      </c>
      <c r="H2501" s="1" t="s">
        <v>1336</v>
      </c>
      <c r="I2501" s="1" t="n">
        <v>180.35</v>
      </c>
      <c r="J2501" s="1" t="str">
        <f aca="false">VLOOKUP(B2501,Customers!$A$2:$G$502,6,FALSE())</f>
        <v>Small Business</v>
      </c>
      <c r="K2501" s="1" t="str">
        <f aca="false">VLOOKUP(C2501,Products!$A$2:$E$62,3,FALSE())</f>
        <v>Software</v>
      </c>
      <c r="L2501" s="1" t="str">
        <f aca="false">TEXT(D2501,"yyyy-mm")</f>
        <v>2023-04</v>
      </c>
    </row>
    <row r="2502" customFormat="false" ht="15" hidden="false" customHeight="true" outlineLevel="0" collapsed="false">
      <c r="A2502" s="1" t="n">
        <v>2559</v>
      </c>
      <c r="B2502" s="1" t="n">
        <v>101</v>
      </c>
      <c r="C2502" s="1" t="n">
        <v>30</v>
      </c>
      <c r="D2502" s="1" t="s">
        <v>1165</v>
      </c>
      <c r="E2502" s="1" t="n">
        <v>3</v>
      </c>
      <c r="F2502" s="1" t="n">
        <v>33.32</v>
      </c>
      <c r="G2502" s="1" t="n">
        <v>0.05</v>
      </c>
      <c r="H2502" s="1" t="s">
        <v>1336</v>
      </c>
      <c r="I2502" s="1" t="n">
        <v>94.96</v>
      </c>
      <c r="J2502" s="1" t="str">
        <f aca="false">VLOOKUP(B2502,Customers!$A$2:$G$502,6,FALSE())</f>
        <v>Corporate</v>
      </c>
      <c r="K2502" s="1" t="str">
        <f aca="false">VLOOKUP(C2502,Products!$A$2:$E$62,3,FALSE())</f>
        <v>Office Supplies</v>
      </c>
      <c r="L2502" s="1" t="str">
        <f aca="false">TEXT(D2502,"yyyy-mm")</f>
        <v>2023-07</v>
      </c>
    </row>
    <row r="2503" customFormat="false" ht="15" hidden="false" customHeight="true" outlineLevel="0" collapsed="false">
      <c r="A2503" s="1" t="n">
        <v>2560</v>
      </c>
      <c r="B2503" s="1" t="n">
        <v>216</v>
      </c>
      <c r="C2503" s="1" t="n">
        <v>58</v>
      </c>
      <c r="D2503" s="1" t="s">
        <v>89</v>
      </c>
      <c r="E2503" s="1" t="n">
        <v>6</v>
      </c>
      <c r="F2503" s="1" t="n">
        <v>515.55</v>
      </c>
      <c r="G2503" s="1" t="n">
        <v>0.05</v>
      </c>
      <c r="H2503" s="1" t="s">
        <v>1336</v>
      </c>
      <c r="I2503" s="1" t="n">
        <v>2938.64</v>
      </c>
      <c r="J2503" s="1" t="str">
        <f aca="false">VLOOKUP(B2503,Customers!$A$2:$G$502,6,FALSE())</f>
        <v>Consumer</v>
      </c>
      <c r="K2503" s="1" t="str">
        <f aca="false">VLOOKUP(C2503,Products!$A$2:$E$62,3,FALSE())</f>
        <v>Furniture</v>
      </c>
      <c r="L2503" s="1" t="str">
        <f aca="false">TEXT(D2503,"yyyy-mm")</f>
        <v>2023-02</v>
      </c>
    </row>
    <row r="2504" customFormat="false" ht="15" hidden="false" customHeight="true" outlineLevel="0" collapsed="false">
      <c r="A2504" s="1" t="n">
        <v>2561</v>
      </c>
      <c r="B2504" s="1" t="n">
        <v>320</v>
      </c>
      <c r="C2504" s="1" t="n">
        <v>3</v>
      </c>
      <c r="D2504" s="1" t="s">
        <v>24</v>
      </c>
      <c r="E2504" s="1" t="n">
        <v>9</v>
      </c>
      <c r="F2504" s="1" t="n">
        <v>89.39</v>
      </c>
      <c r="G2504" s="1" t="n">
        <v>0.05</v>
      </c>
      <c r="H2504" s="1" t="s">
        <v>1336</v>
      </c>
      <c r="I2504" s="1" t="n">
        <v>764.28</v>
      </c>
      <c r="J2504" s="1" t="str">
        <f aca="false">VLOOKUP(B2504,Customers!$A$2:$G$502,6,FALSE())</f>
        <v>Corporate</v>
      </c>
      <c r="K2504" s="1" t="str">
        <f aca="false">VLOOKUP(C2504,Products!$A$2:$E$62,3,FALSE())</f>
        <v>Electronics</v>
      </c>
      <c r="L2504" s="1" t="str">
        <f aca="false">TEXT(D2504,"yyyy-mm")</f>
        <v>2023-10</v>
      </c>
    </row>
    <row r="2505" customFormat="false" ht="15" hidden="false" customHeight="true" outlineLevel="0" collapsed="false">
      <c r="A2505" s="1" t="n">
        <v>2562</v>
      </c>
      <c r="B2505" s="1" t="n">
        <v>282</v>
      </c>
      <c r="C2505" s="1" t="n">
        <v>29</v>
      </c>
      <c r="D2505" s="1" t="s">
        <v>220</v>
      </c>
      <c r="E2505" s="1" t="n">
        <v>9</v>
      </c>
      <c r="F2505" s="1" t="n">
        <v>54.62</v>
      </c>
      <c r="G2505" s="1" t="n">
        <v>0</v>
      </c>
      <c r="H2505" s="1" t="s">
        <v>1336</v>
      </c>
      <c r="I2505" s="1" t="n">
        <v>491.58</v>
      </c>
      <c r="J2505" s="1" t="str">
        <f aca="false">VLOOKUP(B2505,Customers!$A$2:$G$502,6,FALSE())</f>
        <v>Corporate</v>
      </c>
      <c r="K2505" s="1" t="str">
        <f aca="false">VLOOKUP(C2505,Products!$A$2:$E$62,3,FALSE())</f>
        <v>Office Supplies</v>
      </c>
      <c r="L2505" s="1" t="str">
        <f aca="false">TEXT(D2505,"yyyy-mm")</f>
        <v>2023-01</v>
      </c>
    </row>
    <row r="2506" customFormat="false" ht="15" hidden="false" customHeight="true" outlineLevel="0" collapsed="false">
      <c r="A2506" s="1" t="n">
        <v>2563</v>
      </c>
      <c r="B2506" s="1" t="n">
        <v>154</v>
      </c>
      <c r="C2506" s="1" t="n">
        <v>45</v>
      </c>
      <c r="D2506" s="1" t="s">
        <v>1491</v>
      </c>
      <c r="E2506" s="1" t="n">
        <v>7</v>
      </c>
      <c r="F2506" s="1" t="n">
        <v>560.01</v>
      </c>
      <c r="G2506" s="1" t="n">
        <v>0</v>
      </c>
      <c r="H2506" s="1" t="s">
        <v>1346</v>
      </c>
      <c r="I2506" s="1" t="n">
        <v>3920.07</v>
      </c>
      <c r="J2506" s="1" t="str">
        <f aca="false">VLOOKUP(B2506,Customers!$A$2:$G$502,6,FALSE())</f>
        <v>Small Business</v>
      </c>
      <c r="K2506" s="1" t="str">
        <f aca="false">VLOOKUP(C2506,Products!$A$2:$E$62,3,FALSE())</f>
        <v>Software</v>
      </c>
      <c r="L2506" s="1" t="str">
        <f aca="false">TEXT(D2506,"yyyy-mm")</f>
        <v>2023-07</v>
      </c>
    </row>
    <row r="2507" customFormat="false" ht="15" hidden="false" customHeight="true" outlineLevel="0" collapsed="false">
      <c r="A2507" s="1" t="n">
        <v>2564</v>
      </c>
      <c r="B2507" s="1" t="n">
        <v>396</v>
      </c>
      <c r="C2507" s="1" t="n">
        <v>18</v>
      </c>
      <c r="D2507" s="1" t="s">
        <v>196</v>
      </c>
      <c r="E2507" s="1" t="n">
        <v>3</v>
      </c>
      <c r="F2507" s="1" t="n">
        <v>747.34</v>
      </c>
      <c r="G2507" s="1" t="n">
        <v>0.2</v>
      </c>
      <c r="H2507" s="1" t="s">
        <v>1336</v>
      </c>
      <c r="I2507" s="1" t="n">
        <v>1793.62</v>
      </c>
      <c r="J2507" s="1" t="str">
        <f aca="false">VLOOKUP(B2507,Customers!$A$2:$G$502,6,FALSE())</f>
        <v>Small Business</v>
      </c>
      <c r="K2507" s="1" t="str">
        <f aca="false">VLOOKUP(C2507,Products!$A$2:$E$62,3,FALSE())</f>
        <v>Electronics</v>
      </c>
      <c r="L2507" s="1" t="str">
        <f aca="false">TEXT(D2507,"yyyy-mm")</f>
        <v>2023-03</v>
      </c>
    </row>
    <row r="2508" customFormat="false" ht="15" hidden="false" customHeight="true" outlineLevel="0" collapsed="false">
      <c r="A2508" s="1" t="n">
        <v>2565</v>
      </c>
      <c r="B2508" s="1" t="n">
        <v>408</v>
      </c>
      <c r="C2508" s="1" t="n">
        <v>13</v>
      </c>
      <c r="D2508" s="1" t="s">
        <v>458</v>
      </c>
      <c r="E2508" s="1" t="n">
        <v>4</v>
      </c>
      <c r="F2508" s="1" t="n">
        <v>352.54</v>
      </c>
      <c r="G2508" s="1" t="n">
        <v>0.2</v>
      </c>
      <c r="H2508" s="1" t="s">
        <v>1336</v>
      </c>
      <c r="I2508" s="1" t="n">
        <v>1128.13</v>
      </c>
      <c r="J2508" s="1" t="str">
        <f aca="false">VLOOKUP(B2508,Customers!$A$2:$G$502,6,FALSE())</f>
        <v>Small Business</v>
      </c>
      <c r="K2508" s="1" t="str">
        <f aca="false">VLOOKUP(C2508,Products!$A$2:$E$62,3,FALSE())</f>
        <v>Electronics</v>
      </c>
      <c r="L2508" s="1" t="str">
        <f aca="false">TEXT(D2508,"yyyy-mm")</f>
        <v>2024-05</v>
      </c>
    </row>
    <row r="2509" customFormat="false" ht="15" hidden="false" customHeight="true" outlineLevel="0" collapsed="false">
      <c r="A2509" s="1" t="n">
        <v>2566</v>
      </c>
      <c r="B2509" s="1" t="n">
        <v>85</v>
      </c>
      <c r="C2509" s="1" t="n">
        <v>23</v>
      </c>
      <c r="D2509" s="1" t="s">
        <v>1601</v>
      </c>
      <c r="E2509" s="1" t="n">
        <v>6</v>
      </c>
      <c r="F2509" s="1" t="n">
        <v>188.73</v>
      </c>
      <c r="G2509" s="1" t="n">
        <v>0.2</v>
      </c>
      <c r="H2509" s="1" t="s">
        <v>1336</v>
      </c>
      <c r="I2509" s="1" t="n">
        <v>905.9</v>
      </c>
      <c r="J2509" s="1" t="str">
        <f aca="false">VLOOKUP(B2509,Customers!$A$2:$G$502,6,FALSE())</f>
        <v>Consumer</v>
      </c>
      <c r="K2509" s="1" t="str">
        <f aca="false">VLOOKUP(C2509,Products!$A$2:$E$62,3,FALSE())</f>
        <v>Office Supplies</v>
      </c>
      <c r="L2509" s="1" t="str">
        <f aca="false">TEXT(D2509,"yyyy-mm")</f>
        <v>2023-10</v>
      </c>
    </row>
    <row r="2510" customFormat="false" ht="15" hidden="false" customHeight="true" outlineLevel="0" collapsed="false">
      <c r="A2510" s="1" t="n">
        <v>2567</v>
      </c>
      <c r="B2510" s="1" t="n">
        <v>215</v>
      </c>
      <c r="C2510" s="1" t="n">
        <v>36</v>
      </c>
      <c r="D2510" s="1" t="s">
        <v>1583</v>
      </c>
      <c r="E2510" s="1" t="n">
        <v>5</v>
      </c>
      <c r="F2510" s="1" t="n">
        <v>424.45</v>
      </c>
      <c r="G2510" s="1" t="n">
        <v>0</v>
      </c>
      <c r="H2510" s="1" t="s">
        <v>1336</v>
      </c>
      <c r="I2510" s="1" t="n">
        <v>2122.25</v>
      </c>
      <c r="J2510" s="1" t="str">
        <f aca="false">VLOOKUP(B2510,Customers!$A$2:$G$502,6,FALSE())</f>
        <v>Corporate</v>
      </c>
      <c r="K2510" s="1" t="str">
        <f aca="false">VLOOKUP(C2510,Products!$A$2:$E$62,3,FALSE())</f>
        <v>Software</v>
      </c>
      <c r="L2510" s="1" t="str">
        <f aca="false">TEXT(D2510,"yyyy-mm")</f>
        <v>2024-08</v>
      </c>
    </row>
    <row r="2511" customFormat="false" ht="15" hidden="false" customHeight="true" outlineLevel="0" collapsed="false">
      <c r="A2511" s="1" t="n">
        <v>2568</v>
      </c>
      <c r="B2511" s="1" t="n">
        <v>362</v>
      </c>
      <c r="C2511" s="1" t="n">
        <v>18</v>
      </c>
      <c r="D2511" s="1" t="s">
        <v>1635</v>
      </c>
      <c r="E2511" s="1" t="n">
        <v>2</v>
      </c>
      <c r="F2511" s="1" t="n">
        <v>747.34</v>
      </c>
      <c r="G2511" s="1" t="n">
        <v>0.15</v>
      </c>
      <c r="H2511" s="1" t="s">
        <v>1336</v>
      </c>
      <c r="I2511" s="1" t="n">
        <v>1270.48</v>
      </c>
      <c r="J2511" s="1" t="str">
        <f aca="false">VLOOKUP(B2511,Customers!$A$2:$G$502,6,FALSE())</f>
        <v>Consumer</v>
      </c>
      <c r="K2511" s="1" t="str">
        <f aca="false">VLOOKUP(C2511,Products!$A$2:$E$62,3,FALSE())</f>
        <v>Electronics</v>
      </c>
      <c r="L2511" s="1" t="str">
        <f aca="false">TEXT(D2511,"yyyy-mm")</f>
        <v>2023-03</v>
      </c>
    </row>
    <row r="2512" customFormat="false" ht="15" hidden="false" customHeight="true" outlineLevel="0" collapsed="false">
      <c r="A2512" s="1" t="n">
        <v>2569</v>
      </c>
      <c r="B2512" s="1" t="n">
        <v>448</v>
      </c>
      <c r="C2512" s="1" t="n">
        <v>22</v>
      </c>
      <c r="D2512" s="1" t="s">
        <v>272</v>
      </c>
      <c r="E2512" s="1" t="n">
        <v>6</v>
      </c>
      <c r="F2512" s="1" t="n">
        <v>38.57</v>
      </c>
      <c r="G2512" s="1" t="n">
        <v>0</v>
      </c>
      <c r="H2512" s="1" t="s">
        <v>1336</v>
      </c>
      <c r="I2512" s="1" t="n">
        <v>231.42</v>
      </c>
      <c r="J2512" s="1" t="str">
        <f aca="false">VLOOKUP(B2512,Customers!$A$2:$G$502,6,FALSE())</f>
        <v>Corporate</v>
      </c>
      <c r="K2512" s="1" t="str">
        <f aca="false">VLOOKUP(C2512,Products!$A$2:$E$62,3,FALSE())</f>
        <v>Office Supplies</v>
      </c>
      <c r="L2512" s="1" t="str">
        <f aca="false">TEXT(D2512,"yyyy-mm")</f>
        <v>2024-10</v>
      </c>
    </row>
    <row r="2513" customFormat="false" ht="15" hidden="false" customHeight="true" outlineLevel="0" collapsed="false">
      <c r="A2513" s="1" t="n">
        <v>2570</v>
      </c>
      <c r="B2513" s="1" t="n">
        <v>143</v>
      </c>
      <c r="C2513" s="1" t="n">
        <v>16</v>
      </c>
      <c r="D2513" s="1" t="s">
        <v>1627</v>
      </c>
      <c r="E2513" s="1" t="n">
        <v>3</v>
      </c>
      <c r="F2513" s="1" t="n">
        <v>330.91</v>
      </c>
      <c r="G2513" s="1" t="n">
        <v>0.2</v>
      </c>
      <c r="H2513" s="1" t="s">
        <v>1336</v>
      </c>
      <c r="I2513" s="1" t="n">
        <v>794.18</v>
      </c>
      <c r="J2513" s="1" t="str">
        <f aca="false">VLOOKUP(B2513,Customers!$A$2:$G$502,6,FALSE())</f>
        <v>Small Business</v>
      </c>
      <c r="K2513" s="1" t="str">
        <f aca="false">VLOOKUP(C2513,Products!$A$2:$E$62,3,FALSE())</f>
        <v>Electronics</v>
      </c>
      <c r="L2513" s="1" t="str">
        <f aca="false">TEXT(D2513,"yyyy-mm")</f>
        <v>2023-11</v>
      </c>
    </row>
    <row r="2514" customFormat="false" ht="15" hidden="false" customHeight="true" outlineLevel="0" collapsed="false">
      <c r="A2514" s="1" t="n">
        <v>2571</v>
      </c>
      <c r="B2514" s="1" t="n">
        <v>113</v>
      </c>
      <c r="C2514" s="1" t="n">
        <v>31</v>
      </c>
      <c r="D2514" s="1" t="s">
        <v>1548</v>
      </c>
      <c r="E2514" s="1" t="n">
        <v>8</v>
      </c>
      <c r="F2514" s="1" t="n">
        <v>224.86</v>
      </c>
      <c r="G2514" s="1" t="n">
        <v>0</v>
      </c>
      <c r="H2514" s="1" t="s">
        <v>1336</v>
      </c>
      <c r="I2514" s="1" t="n">
        <v>1798.88</v>
      </c>
      <c r="J2514" s="1" t="str">
        <f aca="false">VLOOKUP(B2514,Customers!$A$2:$G$502,6,FALSE())</f>
        <v>Small Business</v>
      </c>
      <c r="K2514" s="1" t="str">
        <f aca="false">VLOOKUP(C2514,Products!$A$2:$E$62,3,FALSE())</f>
        <v>Office Supplies</v>
      </c>
      <c r="L2514" s="1" t="str">
        <f aca="false">TEXT(D2514,"yyyy-mm")</f>
        <v>2024-06</v>
      </c>
    </row>
    <row r="2515" customFormat="false" ht="15" hidden="false" customHeight="true" outlineLevel="0" collapsed="false">
      <c r="A2515" s="1" t="n">
        <v>2572</v>
      </c>
      <c r="B2515" s="1" t="n">
        <v>326</v>
      </c>
      <c r="C2515" s="1" t="n">
        <v>27</v>
      </c>
      <c r="D2515" s="1" t="s">
        <v>1352</v>
      </c>
      <c r="E2515" s="1" t="n">
        <v>2</v>
      </c>
      <c r="F2515" s="1" t="n">
        <v>772.58</v>
      </c>
      <c r="G2515" s="1" t="n">
        <v>0</v>
      </c>
      <c r="H2515" s="1" t="s">
        <v>1336</v>
      </c>
      <c r="I2515" s="1" t="n">
        <v>1545.16</v>
      </c>
      <c r="J2515" s="1" t="str">
        <f aca="false">VLOOKUP(B2515,Customers!$A$2:$G$502,6,FALSE())</f>
        <v>Corporate</v>
      </c>
      <c r="K2515" s="1" t="str">
        <f aca="false">VLOOKUP(C2515,Products!$A$2:$E$62,3,FALSE())</f>
        <v>Office Supplies</v>
      </c>
      <c r="L2515" s="1" t="str">
        <f aca="false">TEXT(D2515,"yyyy-mm")</f>
        <v>2023-04</v>
      </c>
    </row>
    <row r="2516" customFormat="false" ht="15" hidden="false" customHeight="true" outlineLevel="0" collapsed="false">
      <c r="A2516" s="1" t="n">
        <v>2573</v>
      </c>
      <c r="B2516" s="1" t="n">
        <v>109</v>
      </c>
      <c r="C2516" s="1" t="n">
        <v>30</v>
      </c>
      <c r="D2516" s="1" t="s">
        <v>408</v>
      </c>
      <c r="E2516" s="1" t="n">
        <v>1</v>
      </c>
      <c r="F2516" s="1" t="n">
        <v>33.32</v>
      </c>
      <c r="G2516" s="1" t="n">
        <v>0.05</v>
      </c>
      <c r="H2516" s="1" t="s">
        <v>1336</v>
      </c>
      <c r="I2516" s="1" t="n">
        <v>31.65</v>
      </c>
      <c r="J2516" s="1" t="str">
        <f aca="false">VLOOKUP(B2516,Customers!$A$2:$G$502,6,FALSE())</f>
        <v>Small Business</v>
      </c>
      <c r="K2516" s="1" t="str">
        <f aca="false">VLOOKUP(C2516,Products!$A$2:$E$62,3,FALSE())</f>
        <v>Office Supplies</v>
      </c>
      <c r="L2516" s="1" t="str">
        <f aca="false">TEXT(D2516,"yyyy-mm")</f>
        <v>2023-02</v>
      </c>
    </row>
    <row r="2517" customFormat="false" ht="15" hidden="false" customHeight="true" outlineLevel="0" collapsed="false">
      <c r="A2517" s="1" t="n">
        <v>2574</v>
      </c>
      <c r="B2517" s="1" t="n">
        <v>494</v>
      </c>
      <c r="C2517" s="1" t="n">
        <v>55</v>
      </c>
      <c r="D2517" s="1" t="s">
        <v>416</v>
      </c>
      <c r="E2517" s="1" t="n">
        <v>9</v>
      </c>
      <c r="F2517" s="1" t="n">
        <v>123.38</v>
      </c>
      <c r="G2517" s="1" t="n">
        <v>0.05</v>
      </c>
      <c r="H2517" s="1" t="s">
        <v>1336</v>
      </c>
      <c r="I2517" s="1" t="n">
        <v>1054.9</v>
      </c>
      <c r="J2517" s="1" t="str">
        <f aca="false">VLOOKUP(B2517,Customers!$A$2:$G$502,6,FALSE())</f>
        <v>Corporate</v>
      </c>
      <c r="K2517" s="1" t="str">
        <f aca="false">VLOOKUP(C2517,Products!$A$2:$E$62,3,FALSE())</f>
        <v>Furniture</v>
      </c>
      <c r="L2517" s="1" t="str">
        <f aca="false">TEXT(D2517,"yyyy-mm")</f>
        <v>2023-12</v>
      </c>
    </row>
    <row r="2518" customFormat="false" ht="15" hidden="false" customHeight="true" outlineLevel="0" collapsed="false">
      <c r="A2518" s="1" t="n">
        <v>2575</v>
      </c>
      <c r="B2518" s="1" t="n">
        <v>199</v>
      </c>
      <c r="C2518" s="1" t="n">
        <v>49</v>
      </c>
      <c r="D2518" s="1" t="s">
        <v>317</v>
      </c>
      <c r="E2518" s="1" t="n">
        <v>3</v>
      </c>
      <c r="F2518" s="1" t="n">
        <v>325.17</v>
      </c>
      <c r="G2518" s="1" t="n">
        <v>0.05</v>
      </c>
      <c r="H2518" s="1" t="s">
        <v>1336</v>
      </c>
      <c r="I2518" s="1" t="n">
        <v>926.73</v>
      </c>
      <c r="J2518" s="1" t="str">
        <f aca="false">VLOOKUP(B2518,Customers!$A$2:$G$502,6,FALSE())</f>
        <v>Corporate</v>
      </c>
      <c r="K2518" s="1" t="str">
        <f aca="false">VLOOKUP(C2518,Products!$A$2:$E$62,3,FALSE())</f>
        <v>Software</v>
      </c>
      <c r="L2518" s="1" t="str">
        <f aca="false">TEXT(D2518,"yyyy-mm")</f>
        <v>2023-08</v>
      </c>
    </row>
    <row r="2519" customFormat="false" ht="15" hidden="false" customHeight="true" outlineLevel="0" collapsed="false">
      <c r="A2519" s="1" t="n">
        <v>2576</v>
      </c>
      <c r="B2519" s="1" t="n">
        <v>338</v>
      </c>
      <c r="C2519" s="1" t="n">
        <v>20</v>
      </c>
      <c r="D2519" s="1" t="s">
        <v>952</v>
      </c>
      <c r="E2519" s="1" t="n">
        <v>1</v>
      </c>
      <c r="F2519" s="1" t="n">
        <v>426.15</v>
      </c>
      <c r="G2519" s="1" t="n">
        <v>0</v>
      </c>
      <c r="H2519" s="1" t="s">
        <v>1336</v>
      </c>
      <c r="I2519" s="1" t="n">
        <v>426.15</v>
      </c>
      <c r="J2519" s="1" t="str">
        <f aca="false">VLOOKUP(B2519,Customers!$A$2:$G$502,6,FALSE())</f>
        <v>Corporate</v>
      </c>
      <c r="K2519" s="1" t="str">
        <f aca="false">VLOOKUP(C2519,Products!$A$2:$E$62,3,FALSE())</f>
        <v>Office Supplies</v>
      </c>
      <c r="L2519" s="1" t="str">
        <f aca="false">TEXT(D2519,"yyyy-mm")</f>
        <v>2024-12</v>
      </c>
    </row>
    <row r="2520" customFormat="false" ht="15" hidden="false" customHeight="true" outlineLevel="0" collapsed="false">
      <c r="A2520" s="1" t="n">
        <v>2577</v>
      </c>
      <c r="B2520" s="1" t="n">
        <v>481</v>
      </c>
      <c r="C2520" s="1" t="n">
        <v>4</v>
      </c>
      <c r="D2520" s="1" t="s">
        <v>1651</v>
      </c>
      <c r="E2520" s="1" t="n">
        <v>7</v>
      </c>
      <c r="F2520" s="1" t="n">
        <v>56.24</v>
      </c>
      <c r="G2520" s="1" t="n">
        <v>0.05</v>
      </c>
      <c r="H2520" s="1" t="s">
        <v>1336</v>
      </c>
      <c r="I2520" s="1" t="n">
        <v>374</v>
      </c>
      <c r="J2520" s="1" t="str">
        <f aca="false">VLOOKUP(B2520,Customers!$A$2:$G$502,6,FALSE())</f>
        <v>Small Business</v>
      </c>
      <c r="K2520" s="1" t="str">
        <f aca="false">VLOOKUP(C2520,Products!$A$2:$E$62,3,FALSE())</f>
        <v>Electronics</v>
      </c>
      <c r="L2520" s="1" t="str">
        <f aca="false">TEXT(D2520,"yyyy-mm")</f>
        <v>2023-06</v>
      </c>
    </row>
    <row r="2521" customFormat="false" ht="15" hidden="false" customHeight="true" outlineLevel="0" collapsed="false">
      <c r="A2521" s="1" t="n">
        <v>2578</v>
      </c>
      <c r="B2521" s="1" t="n">
        <v>398</v>
      </c>
      <c r="C2521" s="1" t="n">
        <v>34</v>
      </c>
      <c r="D2521" s="1" t="s">
        <v>601</v>
      </c>
      <c r="E2521" s="1" t="n">
        <v>5</v>
      </c>
      <c r="F2521" s="1" t="n">
        <v>116.85</v>
      </c>
      <c r="G2521" s="1" t="n">
        <v>0</v>
      </c>
      <c r="H2521" s="1" t="s">
        <v>1336</v>
      </c>
      <c r="I2521" s="1" t="n">
        <v>584.25</v>
      </c>
      <c r="J2521" s="1" t="str">
        <f aca="false">VLOOKUP(B2521,Customers!$A$2:$G$502,6,FALSE())</f>
        <v>Small Business</v>
      </c>
      <c r="K2521" s="1" t="str">
        <f aca="false">VLOOKUP(C2521,Products!$A$2:$E$62,3,FALSE())</f>
        <v>Office Supplies</v>
      </c>
      <c r="L2521" s="1" t="str">
        <f aca="false">TEXT(D2521,"yyyy-mm")</f>
        <v>2023-11</v>
      </c>
    </row>
    <row r="2522" customFormat="false" ht="15" hidden="false" customHeight="true" outlineLevel="0" collapsed="false">
      <c r="A2522" s="1" t="n">
        <v>2579</v>
      </c>
      <c r="B2522" s="1" t="n">
        <v>11</v>
      </c>
      <c r="C2522" s="1" t="n">
        <v>19</v>
      </c>
      <c r="D2522" s="1" t="s">
        <v>443</v>
      </c>
      <c r="E2522" s="1" t="n">
        <v>5</v>
      </c>
      <c r="F2522" s="1" t="n">
        <v>163.64</v>
      </c>
      <c r="G2522" s="1" t="n">
        <v>0</v>
      </c>
      <c r="H2522" s="1" t="s">
        <v>1336</v>
      </c>
      <c r="I2522" s="1" t="n">
        <v>818.2</v>
      </c>
      <c r="J2522" s="1" t="str">
        <f aca="false">VLOOKUP(B2522,Customers!$A$2:$G$502,6,FALSE())</f>
        <v>Consumer</v>
      </c>
      <c r="K2522" s="1" t="str">
        <f aca="false">VLOOKUP(C2522,Products!$A$2:$E$62,3,FALSE())</f>
        <v>Office Supplies</v>
      </c>
      <c r="L2522" s="1" t="str">
        <f aca="false">TEXT(D2522,"yyyy-mm")</f>
        <v>2023-08</v>
      </c>
    </row>
    <row r="2523" customFormat="false" ht="15" hidden="false" customHeight="true" outlineLevel="0" collapsed="false">
      <c r="A2523" s="1" t="n">
        <v>2580</v>
      </c>
      <c r="B2523" s="1" t="n">
        <v>117</v>
      </c>
      <c r="C2523" s="1" t="n">
        <v>46</v>
      </c>
      <c r="D2523" s="1" t="s">
        <v>1427</v>
      </c>
      <c r="E2523" s="1" t="n">
        <v>1</v>
      </c>
      <c r="F2523" s="1" t="n">
        <v>94.92</v>
      </c>
      <c r="G2523" s="1" t="n">
        <v>0.05</v>
      </c>
      <c r="H2523" s="1" t="s">
        <v>1336</v>
      </c>
      <c r="I2523" s="1" t="n">
        <v>90.17</v>
      </c>
      <c r="J2523" s="1" t="str">
        <f aca="false">VLOOKUP(B2523,Customers!$A$2:$G$502,6,FALSE())</f>
        <v>Small Business</v>
      </c>
      <c r="K2523" s="1" t="str">
        <f aca="false">VLOOKUP(C2523,Products!$A$2:$E$62,3,FALSE())</f>
        <v>Software</v>
      </c>
      <c r="L2523" s="1" t="str">
        <f aca="false">TEXT(D2523,"yyyy-mm")</f>
        <v>2023-09</v>
      </c>
    </row>
    <row r="2524" customFormat="false" ht="15" hidden="false" customHeight="true" outlineLevel="0" collapsed="false">
      <c r="A2524" s="1" t="n">
        <v>2581</v>
      </c>
      <c r="B2524" s="1" t="n">
        <v>203</v>
      </c>
      <c r="C2524" s="1" t="n">
        <v>31</v>
      </c>
      <c r="D2524" s="1" t="s">
        <v>1338</v>
      </c>
      <c r="E2524" s="1" t="n">
        <v>9</v>
      </c>
      <c r="F2524" s="1" t="n">
        <v>224.86</v>
      </c>
      <c r="G2524" s="1" t="n">
        <v>0.05</v>
      </c>
      <c r="H2524" s="1" t="s">
        <v>1336</v>
      </c>
      <c r="I2524" s="1" t="n">
        <v>1922.55</v>
      </c>
      <c r="J2524" s="1" t="str">
        <f aca="false">VLOOKUP(B2524,Customers!$A$2:$G$502,6,FALSE())</f>
        <v>Corporate</v>
      </c>
      <c r="K2524" s="1" t="str">
        <f aca="false">VLOOKUP(C2524,Products!$A$2:$E$62,3,FALSE())</f>
        <v>Office Supplies</v>
      </c>
      <c r="L2524" s="1" t="str">
        <f aca="false">TEXT(D2524,"yyyy-mm")</f>
        <v>2024-10</v>
      </c>
    </row>
    <row r="2525" customFormat="false" ht="15" hidden="false" customHeight="true" outlineLevel="0" collapsed="false">
      <c r="A2525" s="1" t="n">
        <v>2582</v>
      </c>
      <c r="B2525" s="1" t="n">
        <v>455</v>
      </c>
      <c r="C2525" s="1" t="n">
        <v>58</v>
      </c>
      <c r="D2525" s="1" t="s">
        <v>1519</v>
      </c>
      <c r="E2525" s="1" t="n">
        <v>7</v>
      </c>
      <c r="F2525" s="1" t="n">
        <v>515.55</v>
      </c>
      <c r="G2525" s="1" t="n">
        <v>0.1</v>
      </c>
      <c r="H2525" s="1" t="s">
        <v>1346</v>
      </c>
      <c r="I2525" s="1" t="n">
        <v>3247.96</v>
      </c>
      <c r="J2525" s="1" t="str">
        <f aca="false">VLOOKUP(B2525,Customers!$A$2:$G$502,6,FALSE())</f>
        <v>Consumer</v>
      </c>
      <c r="K2525" s="1" t="str">
        <f aca="false">VLOOKUP(C2525,Products!$A$2:$E$62,3,FALSE())</f>
        <v>Furniture</v>
      </c>
      <c r="L2525" s="1" t="str">
        <f aca="false">TEXT(D2525,"yyyy-mm")</f>
        <v>2023-05</v>
      </c>
    </row>
    <row r="2526" customFormat="false" ht="15" hidden="false" customHeight="true" outlineLevel="0" collapsed="false">
      <c r="A2526" s="1" t="n">
        <v>2583</v>
      </c>
      <c r="B2526" s="1" t="n">
        <v>440</v>
      </c>
      <c r="C2526" s="1" t="n">
        <v>31</v>
      </c>
      <c r="D2526" s="1" t="s">
        <v>342</v>
      </c>
      <c r="E2526" s="1" t="n">
        <v>8</v>
      </c>
      <c r="F2526" s="1" t="n">
        <v>224.86</v>
      </c>
      <c r="G2526" s="1" t="n">
        <v>0</v>
      </c>
      <c r="H2526" s="1" t="s">
        <v>1336</v>
      </c>
      <c r="I2526" s="1" t="n">
        <v>1798.88</v>
      </c>
      <c r="J2526" s="1" t="str">
        <f aca="false">VLOOKUP(B2526,Customers!$A$2:$G$502,6,FALSE())</f>
        <v>Small Business</v>
      </c>
      <c r="K2526" s="1" t="str">
        <f aca="false">VLOOKUP(C2526,Products!$A$2:$E$62,3,FALSE())</f>
        <v>Office Supplies</v>
      </c>
      <c r="L2526" s="1" t="str">
        <f aca="false">TEXT(D2526,"yyyy-mm")</f>
        <v>2024-08</v>
      </c>
    </row>
    <row r="2527" customFormat="false" ht="15" hidden="false" customHeight="true" outlineLevel="0" collapsed="false">
      <c r="A2527" s="1" t="n">
        <v>2584</v>
      </c>
      <c r="B2527" s="1" t="n">
        <v>261</v>
      </c>
      <c r="C2527" s="1" t="n">
        <v>42</v>
      </c>
      <c r="D2527" s="1" t="s">
        <v>1481</v>
      </c>
      <c r="E2527" s="1" t="n">
        <v>9</v>
      </c>
      <c r="F2527" s="1" t="n">
        <v>174.48</v>
      </c>
      <c r="G2527" s="1" t="n">
        <v>0.05</v>
      </c>
      <c r="H2527" s="1" t="s">
        <v>1336</v>
      </c>
      <c r="I2527" s="1" t="n">
        <v>1491.8</v>
      </c>
      <c r="J2527" s="1" t="str">
        <f aca="false">VLOOKUP(B2527,Customers!$A$2:$G$502,6,FALSE())</f>
        <v>Consumer</v>
      </c>
      <c r="K2527" s="1" t="str">
        <f aca="false">VLOOKUP(C2527,Products!$A$2:$E$62,3,FALSE())</f>
        <v>Software</v>
      </c>
      <c r="L2527" s="1" t="str">
        <f aca="false">TEXT(D2527,"yyyy-mm")</f>
        <v>2024-06</v>
      </c>
    </row>
    <row r="2528" customFormat="false" ht="15" hidden="false" customHeight="true" outlineLevel="0" collapsed="false">
      <c r="A2528" s="1" t="n">
        <v>2585</v>
      </c>
      <c r="B2528" s="1" t="n">
        <v>424</v>
      </c>
      <c r="C2528" s="1" t="n">
        <v>3</v>
      </c>
      <c r="D2528" s="1" t="s">
        <v>1424</v>
      </c>
      <c r="E2528" s="1" t="n">
        <v>6</v>
      </c>
      <c r="F2528" s="1" t="n">
        <v>89.39</v>
      </c>
      <c r="G2528" s="1" t="n">
        <v>0.05</v>
      </c>
      <c r="H2528" s="1" t="s">
        <v>1336</v>
      </c>
      <c r="I2528" s="1" t="n">
        <v>509.52</v>
      </c>
      <c r="J2528" s="1" t="str">
        <f aca="false">VLOOKUP(B2528,Customers!$A$2:$G$502,6,FALSE())</f>
        <v>Small Business</v>
      </c>
      <c r="K2528" s="1" t="str">
        <f aca="false">VLOOKUP(C2528,Products!$A$2:$E$62,3,FALSE())</f>
        <v>Electronics</v>
      </c>
      <c r="L2528" s="1" t="str">
        <f aca="false">TEXT(D2528,"yyyy-mm")</f>
        <v>2024-02</v>
      </c>
    </row>
    <row r="2529" customFormat="false" ht="15" hidden="false" customHeight="true" outlineLevel="0" collapsed="false">
      <c r="A2529" s="1" t="n">
        <v>2586</v>
      </c>
      <c r="B2529" s="1" t="n">
        <v>87</v>
      </c>
      <c r="C2529" s="1" t="n">
        <v>45</v>
      </c>
      <c r="D2529" s="1" t="s">
        <v>645</v>
      </c>
      <c r="E2529" s="1" t="n">
        <v>5</v>
      </c>
      <c r="F2529" s="1" t="n">
        <v>560.01</v>
      </c>
      <c r="G2529" s="1" t="n">
        <v>0.15</v>
      </c>
      <c r="H2529" s="1" t="s">
        <v>1336</v>
      </c>
      <c r="I2529" s="1" t="n">
        <v>2380.04</v>
      </c>
      <c r="J2529" s="1" t="str">
        <f aca="false">VLOOKUP(B2529,Customers!$A$2:$G$502,6,FALSE())</f>
        <v>Corporate</v>
      </c>
      <c r="K2529" s="1" t="str">
        <f aca="false">VLOOKUP(C2529,Products!$A$2:$E$62,3,FALSE())</f>
        <v>Software</v>
      </c>
      <c r="L2529" s="1" t="str">
        <f aca="false">TEXT(D2529,"yyyy-mm")</f>
        <v>2024-06</v>
      </c>
    </row>
    <row r="2530" customFormat="false" ht="15" hidden="false" customHeight="true" outlineLevel="0" collapsed="false">
      <c r="A2530" s="1" t="n">
        <v>2587</v>
      </c>
      <c r="B2530" s="1" t="n">
        <v>13</v>
      </c>
      <c r="C2530" s="1" t="n">
        <v>48</v>
      </c>
      <c r="D2530" s="1" t="s">
        <v>863</v>
      </c>
      <c r="E2530" s="1" t="n">
        <v>6</v>
      </c>
      <c r="F2530" s="1" t="n">
        <v>493.53</v>
      </c>
      <c r="G2530" s="1" t="n">
        <v>0</v>
      </c>
      <c r="H2530" s="1" t="s">
        <v>1370</v>
      </c>
      <c r="I2530" s="1" t="n">
        <v>2961.18</v>
      </c>
      <c r="J2530" s="1" t="str">
        <f aca="false">VLOOKUP(B2530,Customers!$A$2:$G$502,6,FALSE())</f>
        <v>Corporate</v>
      </c>
      <c r="K2530" s="1" t="str">
        <f aca="false">VLOOKUP(C2530,Products!$A$2:$E$62,3,FALSE())</f>
        <v>Software</v>
      </c>
      <c r="L2530" s="1" t="str">
        <f aca="false">TEXT(D2530,"yyyy-mm")</f>
        <v>2023-11</v>
      </c>
    </row>
    <row r="2531" customFormat="false" ht="15" hidden="false" customHeight="true" outlineLevel="0" collapsed="false">
      <c r="A2531" s="1" t="n">
        <v>2588</v>
      </c>
      <c r="B2531" s="1" t="n">
        <v>155</v>
      </c>
      <c r="C2531" s="1" t="n">
        <v>37</v>
      </c>
      <c r="D2531" s="1" t="s">
        <v>1117</v>
      </c>
      <c r="E2531" s="1" t="n">
        <v>2</v>
      </c>
      <c r="F2531" s="1" t="n">
        <v>13.95</v>
      </c>
      <c r="G2531" s="1" t="n">
        <v>0</v>
      </c>
      <c r="H2531" s="1" t="s">
        <v>1336</v>
      </c>
      <c r="I2531" s="1" t="n">
        <v>27.9</v>
      </c>
      <c r="J2531" s="1" t="str">
        <f aca="false">VLOOKUP(B2531,Customers!$A$2:$G$502,6,FALSE())</f>
        <v>Consumer</v>
      </c>
      <c r="K2531" s="1" t="str">
        <f aca="false">VLOOKUP(C2531,Products!$A$2:$E$62,3,FALSE())</f>
        <v>Software</v>
      </c>
      <c r="L2531" s="1" t="str">
        <f aca="false">TEXT(D2531,"yyyy-mm")</f>
        <v>2023-05</v>
      </c>
    </row>
    <row r="2532" customFormat="false" ht="15" hidden="false" customHeight="true" outlineLevel="0" collapsed="false">
      <c r="A2532" s="1" t="n">
        <v>2589</v>
      </c>
      <c r="B2532" s="1" t="n">
        <v>288</v>
      </c>
      <c r="C2532" s="1" t="n">
        <v>28</v>
      </c>
      <c r="D2532" s="1" t="s">
        <v>1653</v>
      </c>
      <c r="E2532" s="1" t="n">
        <v>4</v>
      </c>
      <c r="F2532" s="1" t="n">
        <v>505.23</v>
      </c>
      <c r="G2532" s="1" t="n">
        <v>0.2</v>
      </c>
      <c r="H2532" s="1" t="s">
        <v>1336</v>
      </c>
      <c r="I2532" s="1" t="n">
        <v>1616.74</v>
      </c>
      <c r="J2532" s="1" t="str">
        <f aca="false">VLOOKUP(B2532,Customers!$A$2:$G$502,6,FALSE())</f>
        <v>Small Business</v>
      </c>
      <c r="K2532" s="1" t="str">
        <f aca="false">VLOOKUP(C2532,Products!$A$2:$E$62,3,FALSE())</f>
        <v>Office Supplies</v>
      </c>
      <c r="L2532" s="1" t="str">
        <f aca="false">TEXT(D2532,"yyyy-mm")</f>
        <v>2024-12</v>
      </c>
    </row>
    <row r="2533" customFormat="false" ht="15" hidden="false" customHeight="true" outlineLevel="0" collapsed="false">
      <c r="A2533" s="1" t="n">
        <v>2590</v>
      </c>
      <c r="B2533" s="1" t="n">
        <v>209</v>
      </c>
      <c r="C2533" s="1" t="n">
        <v>26</v>
      </c>
      <c r="D2533" s="1" t="s">
        <v>1444</v>
      </c>
      <c r="E2533" s="1" t="n">
        <v>3</v>
      </c>
      <c r="F2533" s="1" t="n">
        <v>733.85</v>
      </c>
      <c r="G2533" s="1" t="n">
        <v>0</v>
      </c>
      <c r="H2533" s="1" t="s">
        <v>1336</v>
      </c>
      <c r="I2533" s="1" t="n">
        <v>2201.55</v>
      </c>
      <c r="J2533" s="1" t="str">
        <f aca="false">VLOOKUP(B2533,Customers!$A$2:$G$502,6,FALSE())</f>
        <v>Small Business</v>
      </c>
      <c r="K2533" s="1" t="str">
        <f aca="false">VLOOKUP(C2533,Products!$A$2:$E$62,3,FALSE())</f>
        <v>Office Supplies</v>
      </c>
      <c r="L2533" s="1" t="str">
        <f aca="false">TEXT(D2533,"yyyy-mm")</f>
        <v>2023-07</v>
      </c>
    </row>
    <row r="2534" customFormat="false" ht="15" hidden="false" customHeight="true" outlineLevel="0" collapsed="false">
      <c r="A2534" s="1" t="n">
        <v>2591</v>
      </c>
      <c r="B2534" s="1" t="n">
        <v>477</v>
      </c>
      <c r="C2534" s="1" t="n">
        <v>44</v>
      </c>
      <c r="D2534" s="1" t="s">
        <v>1573</v>
      </c>
      <c r="E2534" s="1" t="n">
        <v>7</v>
      </c>
      <c r="F2534" s="1" t="n">
        <v>508.26</v>
      </c>
      <c r="G2534" s="1" t="n">
        <v>0.05</v>
      </c>
      <c r="H2534" s="1" t="s">
        <v>1336</v>
      </c>
      <c r="I2534" s="1" t="n">
        <v>3379.93</v>
      </c>
      <c r="J2534" s="1" t="str">
        <f aca="false">VLOOKUP(B2534,Customers!$A$2:$G$502,6,FALSE())</f>
        <v>Corporate</v>
      </c>
      <c r="K2534" s="1" t="str">
        <f aca="false">VLOOKUP(C2534,Products!$A$2:$E$62,3,FALSE())</f>
        <v>Software</v>
      </c>
      <c r="L2534" s="1" t="str">
        <f aca="false">TEXT(D2534,"yyyy-mm")</f>
        <v>2023-01</v>
      </c>
    </row>
    <row r="2535" customFormat="false" ht="15" hidden="false" customHeight="true" outlineLevel="0" collapsed="false">
      <c r="A2535" s="1" t="n">
        <v>2592</v>
      </c>
      <c r="B2535" s="1" t="n">
        <v>261</v>
      </c>
      <c r="C2535" s="1" t="n">
        <v>54</v>
      </c>
      <c r="D2535" s="1" t="s">
        <v>173</v>
      </c>
      <c r="E2535" s="1" t="n">
        <v>9</v>
      </c>
      <c r="F2535" s="1" t="n">
        <v>312.01</v>
      </c>
      <c r="G2535" s="1" t="n">
        <v>0</v>
      </c>
      <c r="H2535" s="1" t="s">
        <v>1336</v>
      </c>
      <c r="I2535" s="1" t="n">
        <v>2808.09</v>
      </c>
      <c r="J2535" s="1" t="str">
        <f aca="false">VLOOKUP(B2535,Customers!$A$2:$G$502,6,FALSE())</f>
        <v>Consumer</v>
      </c>
      <c r="K2535" s="1" t="str">
        <f aca="false">VLOOKUP(C2535,Products!$A$2:$E$62,3,FALSE())</f>
        <v>Software</v>
      </c>
      <c r="L2535" s="1" t="str">
        <f aca="false">TEXT(D2535,"yyyy-mm")</f>
        <v>2024-09</v>
      </c>
    </row>
    <row r="2536" customFormat="false" ht="15" hidden="false" customHeight="true" outlineLevel="0" collapsed="false">
      <c r="A2536" s="1" t="n">
        <v>2593</v>
      </c>
      <c r="B2536" s="1" t="n">
        <v>62</v>
      </c>
      <c r="C2536" s="1" t="n">
        <v>36</v>
      </c>
      <c r="D2536" s="1" t="s">
        <v>565</v>
      </c>
      <c r="E2536" s="1" t="n">
        <v>5</v>
      </c>
      <c r="F2536" s="1" t="n">
        <v>424.45</v>
      </c>
      <c r="G2536" s="1" t="n">
        <v>0.05</v>
      </c>
      <c r="H2536" s="1" t="s">
        <v>1336</v>
      </c>
      <c r="I2536" s="1" t="n">
        <v>2016.14</v>
      </c>
      <c r="J2536" s="1" t="str">
        <f aca="false">VLOOKUP(B2536,Customers!$A$2:$G$502,6,FALSE())</f>
        <v>Consumer</v>
      </c>
      <c r="K2536" s="1" t="str">
        <f aca="false">VLOOKUP(C2536,Products!$A$2:$E$62,3,FALSE())</f>
        <v>Software</v>
      </c>
      <c r="L2536" s="1" t="str">
        <f aca="false">TEXT(D2536,"yyyy-mm")</f>
        <v>2023-06</v>
      </c>
    </row>
    <row r="2537" customFormat="false" ht="15" hidden="false" customHeight="true" outlineLevel="0" collapsed="false">
      <c r="A2537" s="1" t="n">
        <v>2594</v>
      </c>
      <c r="B2537" s="1" t="n">
        <v>120</v>
      </c>
      <c r="C2537" s="1" t="n">
        <v>30</v>
      </c>
      <c r="D2537" s="1" t="s">
        <v>915</v>
      </c>
      <c r="E2537" s="1" t="n">
        <v>6</v>
      </c>
      <c r="F2537" s="1" t="n">
        <v>33.32</v>
      </c>
      <c r="G2537" s="1" t="n">
        <v>0.05</v>
      </c>
      <c r="H2537" s="1" t="s">
        <v>1336</v>
      </c>
      <c r="I2537" s="1" t="n">
        <v>189.92</v>
      </c>
      <c r="J2537" s="1" t="str">
        <f aca="false">VLOOKUP(B2537,Customers!$A$2:$G$502,6,FALSE())</f>
        <v>Consumer</v>
      </c>
      <c r="K2537" s="1" t="str">
        <f aca="false">VLOOKUP(C2537,Products!$A$2:$E$62,3,FALSE())</f>
        <v>Office Supplies</v>
      </c>
      <c r="L2537" s="1" t="str">
        <f aca="false">TEXT(D2537,"yyyy-mm")</f>
        <v>2023-04</v>
      </c>
    </row>
    <row r="2538" customFormat="false" ht="15" hidden="false" customHeight="true" outlineLevel="0" collapsed="false">
      <c r="A2538" s="1" t="n">
        <v>2595</v>
      </c>
      <c r="B2538" s="1" t="n">
        <v>158</v>
      </c>
      <c r="C2538" s="1" t="n">
        <v>40</v>
      </c>
      <c r="D2538" s="1" t="s">
        <v>807</v>
      </c>
      <c r="E2538" s="1" t="n">
        <v>2</v>
      </c>
      <c r="F2538" s="1" t="n">
        <v>193.02</v>
      </c>
      <c r="G2538" s="1" t="n">
        <v>0</v>
      </c>
      <c r="H2538" s="1" t="s">
        <v>1336</v>
      </c>
      <c r="I2538" s="1" t="n">
        <v>386.04</v>
      </c>
      <c r="J2538" s="1" t="str">
        <f aca="false">VLOOKUP(B2538,Customers!$A$2:$G$502,6,FALSE())</f>
        <v>Small Business</v>
      </c>
      <c r="K2538" s="1" t="str">
        <f aca="false">VLOOKUP(C2538,Products!$A$2:$E$62,3,FALSE())</f>
        <v>Software</v>
      </c>
      <c r="L2538" s="1" t="str">
        <f aca="false">TEXT(D2538,"yyyy-mm")</f>
        <v>2023-09</v>
      </c>
    </row>
    <row r="2539" customFormat="false" ht="15" hidden="false" customHeight="true" outlineLevel="0" collapsed="false">
      <c r="A2539" s="1" t="n">
        <v>2596</v>
      </c>
      <c r="B2539" s="1" t="n">
        <v>303</v>
      </c>
      <c r="C2539" s="1" t="n">
        <v>35</v>
      </c>
      <c r="D2539" s="1" t="s">
        <v>1692</v>
      </c>
      <c r="E2539" s="1" t="n">
        <v>3</v>
      </c>
      <c r="F2539" s="1" t="n">
        <v>75.78</v>
      </c>
      <c r="G2539" s="1" t="n">
        <v>0.15</v>
      </c>
      <c r="H2539" s="1" t="s">
        <v>1336</v>
      </c>
      <c r="I2539" s="1" t="n">
        <v>193.24</v>
      </c>
      <c r="J2539" s="1" t="str">
        <f aca="false">VLOOKUP(B2539,Customers!$A$2:$G$502,6,FALSE())</f>
        <v>Corporate</v>
      </c>
      <c r="K2539" s="1" t="str">
        <f aca="false">VLOOKUP(C2539,Products!$A$2:$E$62,3,FALSE())</f>
        <v>Software</v>
      </c>
      <c r="L2539" s="1" t="str">
        <f aca="false">TEXT(D2539,"yyyy-mm")</f>
        <v>2024-12</v>
      </c>
    </row>
    <row r="2540" customFormat="false" ht="15" hidden="false" customHeight="true" outlineLevel="0" collapsed="false">
      <c r="A2540" s="1" t="n">
        <v>2597</v>
      </c>
      <c r="B2540" s="1" t="n">
        <v>168</v>
      </c>
      <c r="C2540" s="1" t="n">
        <v>20</v>
      </c>
      <c r="D2540" s="1" t="s">
        <v>1692</v>
      </c>
      <c r="E2540" s="1" t="n">
        <v>3</v>
      </c>
      <c r="F2540" s="1" t="n">
        <v>426.15</v>
      </c>
      <c r="G2540" s="1" t="n">
        <v>0.15</v>
      </c>
      <c r="H2540" s="1" t="s">
        <v>1336</v>
      </c>
      <c r="I2540" s="1" t="n">
        <v>1086.68</v>
      </c>
      <c r="J2540" s="1" t="str">
        <f aca="false">VLOOKUP(B2540,Customers!$A$2:$G$502,6,FALSE())</f>
        <v>Consumer</v>
      </c>
      <c r="K2540" s="1" t="str">
        <f aca="false">VLOOKUP(C2540,Products!$A$2:$E$62,3,FALSE())</f>
        <v>Office Supplies</v>
      </c>
      <c r="L2540" s="1" t="str">
        <f aca="false">TEXT(D2540,"yyyy-mm")</f>
        <v>2024-12</v>
      </c>
    </row>
    <row r="2541" customFormat="false" ht="15" hidden="false" customHeight="true" outlineLevel="0" collapsed="false">
      <c r="A2541" s="1" t="n">
        <v>2598</v>
      </c>
      <c r="B2541" s="1" t="n">
        <v>313</v>
      </c>
      <c r="C2541" s="1" t="n">
        <v>27</v>
      </c>
      <c r="D2541" s="1" t="s">
        <v>194</v>
      </c>
      <c r="E2541" s="1" t="n">
        <v>9</v>
      </c>
      <c r="F2541" s="1" t="n">
        <v>772.58</v>
      </c>
      <c r="G2541" s="1" t="n">
        <v>0</v>
      </c>
      <c r="H2541" s="1" t="s">
        <v>1370</v>
      </c>
      <c r="I2541" s="1" t="n">
        <v>6953.22</v>
      </c>
      <c r="J2541" s="1" t="str">
        <f aca="false">VLOOKUP(B2541,Customers!$A$2:$G$502,6,FALSE())</f>
        <v>Consumer</v>
      </c>
      <c r="K2541" s="1" t="str">
        <f aca="false">VLOOKUP(C2541,Products!$A$2:$E$62,3,FALSE())</f>
        <v>Office Supplies</v>
      </c>
      <c r="L2541" s="1" t="str">
        <f aca="false">TEXT(D2541,"yyyy-mm")</f>
        <v>2024-04</v>
      </c>
    </row>
    <row r="2542" customFormat="false" ht="15" hidden="false" customHeight="true" outlineLevel="0" collapsed="false">
      <c r="A2542" s="1" t="n">
        <v>2599</v>
      </c>
      <c r="B2542" s="1" t="n">
        <v>276</v>
      </c>
      <c r="C2542" s="1" t="n">
        <v>29</v>
      </c>
      <c r="D2542" s="1" t="s">
        <v>581</v>
      </c>
      <c r="E2542" s="1" t="n">
        <v>7</v>
      </c>
      <c r="F2542" s="1" t="n">
        <v>54.62</v>
      </c>
      <c r="G2542" s="1" t="n">
        <v>0</v>
      </c>
      <c r="H2542" s="1" t="s">
        <v>1336</v>
      </c>
      <c r="I2542" s="1" t="n">
        <v>382.34</v>
      </c>
      <c r="J2542" s="1" t="str">
        <f aca="false">VLOOKUP(B2542,Customers!$A$2:$G$502,6,FALSE())</f>
        <v>Corporate</v>
      </c>
      <c r="K2542" s="1" t="str">
        <f aca="false">VLOOKUP(C2542,Products!$A$2:$E$62,3,FALSE())</f>
        <v>Office Supplies</v>
      </c>
      <c r="L2542" s="1" t="str">
        <f aca="false">TEXT(D2542,"yyyy-mm")</f>
        <v>2023-07</v>
      </c>
    </row>
    <row r="2543" customFormat="false" ht="15" hidden="false" customHeight="true" outlineLevel="0" collapsed="false">
      <c r="A2543" s="1" t="n">
        <v>2600</v>
      </c>
      <c r="B2543" s="1" t="n">
        <v>140</v>
      </c>
      <c r="C2543" s="1" t="n">
        <v>15</v>
      </c>
      <c r="D2543" s="1" t="s">
        <v>1369</v>
      </c>
      <c r="E2543" s="1" t="n">
        <v>8</v>
      </c>
      <c r="F2543" s="1" t="n">
        <v>304.95</v>
      </c>
      <c r="G2543" s="1" t="n">
        <v>0.1</v>
      </c>
      <c r="H2543" s="1" t="s">
        <v>1336</v>
      </c>
      <c r="I2543" s="1" t="n">
        <v>2195.64</v>
      </c>
      <c r="J2543" s="1" t="str">
        <f aca="false">VLOOKUP(B2543,Customers!$A$2:$G$502,6,FALSE())</f>
        <v>Unknown</v>
      </c>
      <c r="K2543" s="1" t="str">
        <f aca="false">VLOOKUP(C2543,Products!$A$2:$E$62,3,FALSE())</f>
        <v>Electronics</v>
      </c>
      <c r="L2543" s="1" t="str">
        <f aca="false">TEXT(D2543,"yyyy-mm")</f>
        <v>2024-07</v>
      </c>
    </row>
    <row r="2544" customFormat="false" ht="15" hidden="false" customHeight="true" outlineLevel="0" collapsed="false">
      <c r="A2544" s="1" t="n">
        <v>2601</v>
      </c>
      <c r="B2544" s="1" t="n">
        <v>358</v>
      </c>
      <c r="C2544" s="1" t="n">
        <v>10</v>
      </c>
      <c r="D2544" s="1" t="s">
        <v>952</v>
      </c>
      <c r="E2544" s="1" t="n">
        <v>9</v>
      </c>
      <c r="F2544" s="1" t="n">
        <v>251.58</v>
      </c>
      <c r="G2544" s="1" t="n">
        <v>0.15</v>
      </c>
      <c r="H2544" s="1" t="s">
        <v>1336</v>
      </c>
      <c r="I2544" s="1" t="n">
        <v>1924.59</v>
      </c>
      <c r="J2544" s="1" t="str">
        <f aca="false">VLOOKUP(B2544,Customers!$A$2:$G$502,6,FALSE())</f>
        <v>Corporate</v>
      </c>
      <c r="K2544" s="1" t="str">
        <f aca="false">VLOOKUP(C2544,Products!$A$2:$E$62,3,FALSE())</f>
        <v>Electronics</v>
      </c>
      <c r="L2544" s="1" t="str">
        <f aca="false">TEXT(D2544,"yyyy-mm")</f>
        <v>2024-12</v>
      </c>
    </row>
    <row r="2545" customFormat="false" ht="15" hidden="false" customHeight="true" outlineLevel="0" collapsed="false">
      <c r="A2545" s="1" t="n">
        <v>2602</v>
      </c>
      <c r="B2545" s="1" t="n">
        <v>242</v>
      </c>
      <c r="C2545" s="1" t="n">
        <v>33</v>
      </c>
      <c r="D2545" s="1" t="s">
        <v>1235</v>
      </c>
      <c r="E2545" s="1" t="n">
        <v>6</v>
      </c>
      <c r="F2545" s="1" t="n">
        <v>190.1</v>
      </c>
      <c r="G2545" s="1" t="n">
        <v>0.05</v>
      </c>
      <c r="H2545" s="1" t="s">
        <v>1336</v>
      </c>
      <c r="I2545" s="1" t="n">
        <v>1083.57</v>
      </c>
      <c r="J2545" s="1" t="str">
        <f aca="false">VLOOKUP(B2545,Customers!$A$2:$G$502,6,FALSE())</f>
        <v>Corporate</v>
      </c>
      <c r="K2545" s="1" t="str">
        <f aca="false">VLOOKUP(C2545,Products!$A$2:$E$62,3,FALSE())</f>
        <v>Office Supplies</v>
      </c>
      <c r="L2545" s="1" t="str">
        <f aca="false">TEXT(D2545,"yyyy-mm")</f>
        <v>2023-01</v>
      </c>
    </row>
    <row r="2546" customFormat="false" ht="15" hidden="false" customHeight="true" outlineLevel="0" collapsed="false">
      <c r="A2546" s="1" t="n">
        <v>2603</v>
      </c>
      <c r="B2546" s="1" t="n">
        <v>59</v>
      </c>
      <c r="C2546" s="1" t="n">
        <v>22</v>
      </c>
      <c r="D2546" s="1" t="s">
        <v>1338</v>
      </c>
      <c r="E2546" s="1" t="n">
        <v>4</v>
      </c>
      <c r="F2546" s="1" t="n">
        <v>38.57</v>
      </c>
      <c r="G2546" s="1" t="n">
        <v>0.1</v>
      </c>
      <c r="H2546" s="1" t="s">
        <v>1336</v>
      </c>
      <c r="I2546" s="1" t="n">
        <v>138.85</v>
      </c>
      <c r="J2546" s="1" t="str">
        <f aca="false">VLOOKUP(B2546,Customers!$A$2:$G$502,6,FALSE())</f>
        <v>Corporate</v>
      </c>
      <c r="K2546" s="1" t="str">
        <f aca="false">VLOOKUP(C2546,Products!$A$2:$E$62,3,FALSE())</f>
        <v>Office Supplies</v>
      </c>
      <c r="L2546" s="1" t="str">
        <f aca="false">TEXT(D2546,"yyyy-mm")</f>
        <v>2024-10</v>
      </c>
    </row>
    <row r="2547" customFormat="false" ht="15" hidden="false" customHeight="true" outlineLevel="0" collapsed="false">
      <c r="A2547" s="1" t="n">
        <v>2604</v>
      </c>
      <c r="B2547" s="1" t="n">
        <v>195</v>
      </c>
      <c r="C2547" s="1" t="n">
        <v>42</v>
      </c>
      <c r="D2547" s="1" t="s">
        <v>1542</v>
      </c>
      <c r="E2547" s="1" t="n">
        <v>1</v>
      </c>
      <c r="F2547" s="1" t="n">
        <v>174.48</v>
      </c>
      <c r="G2547" s="1" t="n">
        <v>0.2</v>
      </c>
      <c r="H2547" s="1" t="s">
        <v>1336</v>
      </c>
      <c r="I2547" s="1" t="n">
        <v>139.58</v>
      </c>
      <c r="J2547" s="1" t="str">
        <f aca="false">VLOOKUP(B2547,Customers!$A$2:$G$502,6,FALSE())</f>
        <v>Corporate</v>
      </c>
      <c r="K2547" s="1" t="str">
        <f aca="false">VLOOKUP(C2547,Products!$A$2:$E$62,3,FALSE())</f>
        <v>Software</v>
      </c>
      <c r="L2547" s="1" t="str">
        <f aca="false">TEXT(D2547,"yyyy-mm")</f>
        <v>2023-09</v>
      </c>
    </row>
    <row r="2548" customFormat="false" ht="15" hidden="false" customHeight="true" outlineLevel="0" collapsed="false">
      <c r="A2548" s="1" t="n">
        <v>2605</v>
      </c>
      <c r="B2548" s="1" t="n">
        <v>262</v>
      </c>
      <c r="C2548" s="1" t="n">
        <v>6</v>
      </c>
      <c r="D2548" s="1" t="s">
        <v>325</v>
      </c>
      <c r="E2548" s="1" t="n">
        <v>8</v>
      </c>
      <c r="F2548" s="1" t="n">
        <v>28.51</v>
      </c>
      <c r="G2548" s="1" t="n">
        <v>0</v>
      </c>
      <c r="H2548" s="1" t="s">
        <v>1336</v>
      </c>
      <c r="I2548" s="1" t="n">
        <v>228.08</v>
      </c>
      <c r="J2548" s="1" t="str">
        <f aca="false">VLOOKUP(B2548,Customers!$A$2:$G$502,6,FALSE())</f>
        <v>Small Business</v>
      </c>
      <c r="K2548" s="1" t="str">
        <f aca="false">VLOOKUP(C2548,Products!$A$2:$E$62,3,FALSE())</f>
        <v>Electronics</v>
      </c>
      <c r="L2548" s="1" t="str">
        <f aca="false">TEXT(D2548,"yyyy-mm")</f>
        <v>2023-12</v>
      </c>
    </row>
    <row r="2549" customFormat="false" ht="15" hidden="false" customHeight="true" outlineLevel="0" collapsed="false">
      <c r="A2549" s="1" t="n">
        <v>2606</v>
      </c>
      <c r="B2549" s="1" t="n">
        <v>480</v>
      </c>
      <c r="C2549" s="1" t="n">
        <v>39</v>
      </c>
      <c r="D2549" s="1" t="s">
        <v>1341</v>
      </c>
      <c r="E2549" s="1" t="n">
        <v>7</v>
      </c>
      <c r="F2549" s="1" t="n">
        <v>400.02</v>
      </c>
      <c r="G2549" s="1" t="n">
        <v>0.05</v>
      </c>
      <c r="H2549" s="1" t="s">
        <v>1336</v>
      </c>
      <c r="I2549" s="1" t="n">
        <v>2660.13</v>
      </c>
      <c r="J2549" s="1" t="str">
        <f aca="false">VLOOKUP(B2549,Customers!$A$2:$G$502,6,FALSE())</f>
        <v>Unknown</v>
      </c>
      <c r="K2549" s="1" t="str">
        <f aca="false">VLOOKUP(C2549,Products!$A$2:$E$62,3,FALSE())</f>
        <v>Software</v>
      </c>
      <c r="L2549" s="1" t="str">
        <f aca="false">TEXT(D2549,"yyyy-mm")</f>
        <v>2023-06</v>
      </c>
    </row>
    <row r="2550" customFormat="false" ht="15" hidden="false" customHeight="true" outlineLevel="0" collapsed="false">
      <c r="A2550" s="1" t="n">
        <v>2607</v>
      </c>
      <c r="B2550" s="1" t="n">
        <v>263</v>
      </c>
      <c r="C2550" s="1" t="n">
        <v>41</v>
      </c>
      <c r="D2550" s="1" t="s">
        <v>217</v>
      </c>
      <c r="E2550" s="1" t="n">
        <v>2</v>
      </c>
      <c r="F2550" s="1" t="n">
        <v>594.54</v>
      </c>
      <c r="G2550" s="1" t="n">
        <v>0</v>
      </c>
      <c r="H2550" s="1" t="s">
        <v>1336</v>
      </c>
      <c r="I2550" s="1" t="n">
        <v>1189.08</v>
      </c>
      <c r="J2550" s="1" t="str">
        <f aca="false">VLOOKUP(B2550,Customers!$A$2:$G$502,6,FALSE())</f>
        <v>Consumer</v>
      </c>
      <c r="K2550" s="1" t="str">
        <f aca="false">VLOOKUP(C2550,Products!$A$2:$E$62,3,FALSE())</f>
        <v>Software</v>
      </c>
      <c r="L2550" s="1" t="str">
        <f aca="false">TEXT(D2550,"yyyy-mm")</f>
        <v>2024-07</v>
      </c>
    </row>
    <row r="2551" customFormat="false" ht="15" hidden="false" customHeight="true" outlineLevel="0" collapsed="false">
      <c r="A2551" s="1" t="n">
        <v>2608</v>
      </c>
      <c r="B2551" s="1" t="n">
        <v>82</v>
      </c>
      <c r="C2551" s="1" t="n">
        <v>26</v>
      </c>
      <c r="D2551" s="1" t="s">
        <v>1285</v>
      </c>
      <c r="E2551" s="1" t="n">
        <v>8</v>
      </c>
      <c r="F2551" s="1" t="n">
        <v>733.85</v>
      </c>
      <c r="G2551" s="1" t="n">
        <v>0.1</v>
      </c>
      <c r="H2551" s="1" t="s">
        <v>1336</v>
      </c>
      <c r="I2551" s="1" t="n">
        <v>5283.72</v>
      </c>
      <c r="J2551" s="1" t="str">
        <f aca="false">VLOOKUP(B2551,Customers!$A$2:$G$502,6,FALSE())</f>
        <v>Consumer</v>
      </c>
      <c r="K2551" s="1" t="str">
        <f aca="false">VLOOKUP(C2551,Products!$A$2:$E$62,3,FALSE())</f>
        <v>Office Supplies</v>
      </c>
      <c r="L2551" s="1" t="str">
        <f aca="false">TEXT(D2551,"yyyy-mm")</f>
        <v>2023-06</v>
      </c>
    </row>
    <row r="2552" customFormat="false" ht="15" hidden="false" customHeight="true" outlineLevel="0" collapsed="false">
      <c r="A2552" s="1" t="n">
        <v>2609</v>
      </c>
      <c r="B2552" s="1" t="n">
        <v>395</v>
      </c>
      <c r="C2552" s="1" t="n">
        <v>19</v>
      </c>
      <c r="D2552" s="1" t="s">
        <v>761</v>
      </c>
      <c r="E2552" s="1" t="n">
        <v>5</v>
      </c>
      <c r="F2552" s="1" t="n">
        <v>163.64</v>
      </c>
      <c r="G2552" s="1" t="n">
        <v>0.2</v>
      </c>
      <c r="H2552" s="1" t="s">
        <v>1336</v>
      </c>
      <c r="I2552" s="1" t="n">
        <v>654.56</v>
      </c>
      <c r="J2552" s="1" t="str">
        <f aca="false">VLOOKUP(B2552,Customers!$A$2:$G$502,6,FALSE())</f>
        <v>Consumer</v>
      </c>
      <c r="K2552" s="1" t="str">
        <f aca="false">VLOOKUP(C2552,Products!$A$2:$E$62,3,FALSE())</f>
        <v>Office Supplies</v>
      </c>
      <c r="L2552" s="1" t="str">
        <f aca="false">TEXT(D2552,"yyyy-mm")</f>
        <v>2023-11</v>
      </c>
    </row>
    <row r="2553" customFormat="false" ht="15" hidden="false" customHeight="true" outlineLevel="0" collapsed="false">
      <c r="A2553" s="1" t="n">
        <v>2610</v>
      </c>
      <c r="B2553" s="1" t="n">
        <v>235</v>
      </c>
      <c r="C2553" s="1" t="n">
        <v>10</v>
      </c>
      <c r="D2553" s="1" t="s">
        <v>799</v>
      </c>
      <c r="E2553" s="1" t="n">
        <v>7</v>
      </c>
      <c r="F2553" s="1" t="n">
        <v>251.58</v>
      </c>
      <c r="G2553" s="1" t="n">
        <v>0.1</v>
      </c>
      <c r="H2553" s="1" t="s">
        <v>1336</v>
      </c>
      <c r="I2553" s="1" t="n">
        <v>1584.95</v>
      </c>
      <c r="J2553" s="1" t="str">
        <f aca="false">VLOOKUP(B2553,Customers!$A$2:$G$502,6,FALSE())</f>
        <v>Small Business</v>
      </c>
      <c r="K2553" s="1" t="str">
        <f aca="false">VLOOKUP(C2553,Products!$A$2:$E$62,3,FALSE())</f>
        <v>Electronics</v>
      </c>
      <c r="L2553" s="1" t="str">
        <f aca="false">TEXT(D2553,"yyyy-mm")</f>
        <v>2024-06</v>
      </c>
    </row>
    <row r="2554" customFormat="false" ht="15" hidden="false" customHeight="true" outlineLevel="0" collapsed="false">
      <c r="A2554" s="1" t="n">
        <v>2611</v>
      </c>
      <c r="B2554" s="1" t="n">
        <v>332</v>
      </c>
      <c r="C2554" s="1" t="n">
        <v>30</v>
      </c>
      <c r="D2554" s="1" t="s">
        <v>1612</v>
      </c>
      <c r="E2554" s="1" t="n">
        <v>4</v>
      </c>
      <c r="F2554" s="1" t="n">
        <v>33.32</v>
      </c>
      <c r="G2554" s="1" t="n">
        <v>0</v>
      </c>
      <c r="H2554" s="1" t="s">
        <v>1336</v>
      </c>
      <c r="I2554" s="1" t="n">
        <v>133.28</v>
      </c>
      <c r="J2554" s="1" t="str">
        <f aca="false">VLOOKUP(B2554,Customers!$A$2:$G$502,6,FALSE())</f>
        <v>Consumer</v>
      </c>
      <c r="K2554" s="1" t="str">
        <f aca="false">VLOOKUP(C2554,Products!$A$2:$E$62,3,FALSE())</f>
        <v>Office Supplies</v>
      </c>
      <c r="L2554" s="1" t="str">
        <f aca="false">TEXT(D2554,"yyyy-mm")</f>
        <v>2024-10</v>
      </c>
    </row>
    <row r="2555" customFormat="false" ht="15" hidden="false" customHeight="true" outlineLevel="0" collapsed="false">
      <c r="A2555" s="1" t="n">
        <v>2612</v>
      </c>
      <c r="B2555" s="1" t="n">
        <v>351</v>
      </c>
      <c r="C2555" s="1" t="n">
        <v>8</v>
      </c>
      <c r="D2555" s="1" t="s">
        <v>1563</v>
      </c>
      <c r="E2555" s="1" t="n">
        <v>5</v>
      </c>
      <c r="F2555" s="1" t="n">
        <v>104.4</v>
      </c>
      <c r="G2555" s="1" t="n">
        <v>0.05</v>
      </c>
      <c r="H2555" s="1" t="s">
        <v>1336</v>
      </c>
      <c r="I2555" s="1" t="n">
        <v>495.9</v>
      </c>
      <c r="J2555" s="1" t="str">
        <f aca="false">VLOOKUP(B2555,Customers!$A$2:$G$502,6,FALSE())</f>
        <v>Small Business</v>
      </c>
      <c r="K2555" s="1" t="str">
        <f aca="false">VLOOKUP(C2555,Products!$A$2:$E$62,3,FALSE())</f>
        <v>Electronics</v>
      </c>
      <c r="L2555" s="1" t="str">
        <f aca="false">TEXT(D2555,"yyyy-mm")</f>
        <v>2024-09</v>
      </c>
    </row>
    <row r="2556" customFormat="false" ht="15" hidden="false" customHeight="true" outlineLevel="0" collapsed="false">
      <c r="A2556" s="1" t="n">
        <v>2613</v>
      </c>
      <c r="B2556" s="1" t="n">
        <v>8</v>
      </c>
      <c r="C2556" s="1" t="n">
        <v>36</v>
      </c>
      <c r="D2556" s="1" t="s">
        <v>1130</v>
      </c>
      <c r="E2556" s="1" t="n">
        <v>8</v>
      </c>
      <c r="F2556" s="1" t="n">
        <v>424.45</v>
      </c>
      <c r="G2556" s="1" t="n">
        <v>0.1</v>
      </c>
      <c r="H2556" s="1" t="s">
        <v>1336</v>
      </c>
      <c r="I2556" s="1" t="n">
        <v>3056.04</v>
      </c>
      <c r="J2556" s="1" t="str">
        <f aca="false">VLOOKUP(B2556,Customers!$A$2:$G$502,6,FALSE())</f>
        <v>Consumer</v>
      </c>
      <c r="K2556" s="1" t="str">
        <f aca="false">VLOOKUP(C2556,Products!$A$2:$E$62,3,FALSE())</f>
        <v>Software</v>
      </c>
      <c r="L2556" s="1" t="str">
        <f aca="false">TEXT(D2556,"yyyy-mm")</f>
        <v>2023-02</v>
      </c>
    </row>
    <row r="2557" customFormat="false" ht="15" hidden="false" customHeight="true" outlineLevel="0" collapsed="false">
      <c r="A2557" s="1" t="n">
        <v>2614</v>
      </c>
      <c r="B2557" s="1" t="n">
        <v>326</v>
      </c>
      <c r="C2557" s="1" t="n">
        <v>49</v>
      </c>
      <c r="D2557" s="1" t="s">
        <v>289</v>
      </c>
      <c r="E2557" s="1" t="n">
        <v>1</v>
      </c>
      <c r="F2557" s="1" t="n">
        <v>325.17</v>
      </c>
      <c r="G2557" s="1" t="n">
        <v>0.05</v>
      </c>
      <c r="H2557" s="1" t="s">
        <v>1336</v>
      </c>
      <c r="I2557" s="1" t="n">
        <v>308.91</v>
      </c>
      <c r="J2557" s="1" t="str">
        <f aca="false">VLOOKUP(B2557,Customers!$A$2:$G$502,6,FALSE())</f>
        <v>Corporate</v>
      </c>
      <c r="K2557" s="1" t="str">
        <f aca="false">VLOOKUP(C2557,Products!$A$2:$E$62,3,FALSE())</f>
        <v>Software</v>
      </c>
      <c r="L2557" s="1" t="str">
        <f aca="false">TEXT(D2557,"yyyy-mm")</f>
        <v>2023-06</v>
      </c>
    </row>
    <row r="2558" customFormat="false" ht="15" hidden="false" customHeight="true" outlineLevel="0" collapsed="false">
      <c r="A2558" s="1" t="n">
        <v>2615</v>
      </c>
      <c r="B2558" s="1" t="n">
        <v>167</v>
      </c>
      <c r="C2558" s="1" t="n">
        <v>52</v>
      </c>
      <c r="D2558" s="1" t="s">
        <v>1368</v>
      </c>
      <c r="E2558" s="1" t="n">
        <v>1</v>
      </c>
      <c r="F2558" s="1" t="n">
        <v>207.67</v>
      </c>
      <c r="G2558" s="1" t="n">
        <v>0.05</v>
      </c>
      <c r="H2558" s="1" t="s">
        <v>1336</v>
      </c>
      <c r="I2558" s="1" t="n">
        <v>197.29</v>
      </c>
      <c r="J2558" s="1" t="str">
        <f aca="false">VLOOKUP(B2558,Customers!$A$2:$G$502,6,FALSE())</f>
        <v>Unknown</v>
      </c>
      <c r="K2558" s="1" t="str">
        <f aca="false">VLOOKUP(C2558,Products!$A$2:$E$62,3,FALSE())</f>
        <v>Software</v>
      </c>
      <c r="L2558" s="1" t="str">
        <f aca="false">TEXT(D2558,"yyyy-mm")</f>
        <v>2024-09</v>
      </c>
    </row>
    <row r="2559" customFormat="false" ht="15" hidden="false" customHeight="true" outlineLevel="0" collapsed="false">
      <c r="A2559" s="1" t="n">
        <v>2616</v>
      </c>
      <c r="B2559" s="1" t="n">
        <v>349</v>
      </c>
      <c r="C2559" s="1" t="n">
        <v>53</v>
      </c>
      <c r="D2559" s="1" t="s">
        <v>1591</v>
      </c>
      <c r="E2559" s="1" t="n">
        <v>4</v>
      </c>
      <c r="F2559" s="1" t="n">
        <v>509.98</v>
      </c>
      <c r="G2559" s="1" t="n">
        <v>0</v>
      </c>
      <c r="H2559" s="1" t="s">
        <v>1336</v>
      </c>
      <c r="I2559" s="1" t="n">
        <v>2039.92</v>
      </c>
      <c r="J2559" s="1" t="str">
        <f aca="false">VLOOKUP(B2559,Customers!$A$2:$G$502,6,FALSE())</f>
        <v>Consumer</v>
      </c>
      <c r="K2559" s="1" t="str">
        <f aca="false">VLOOKUP(C2559,Products!$A$2:$E$62,3,FALSE())</f>
        <v>Software</v>
      </c>
      <c r="L2559" s="1" t="str">
        <f aca="false">TEXT(D2559,"yyyy-mm")</f>
        <v>2024-05</v>
      </c>
    </row>
    <row r="2560" customFormat="false" ht="15" hidden="false" customHeight="true" outlineLevel="0" collapsed="false">
      <c r="A2560" s="1" t="n">
        <v>2617</v>
      </c>
      <c r="B2560" s="1" t="n">
        <v>477</v>
      </c>
      <c r="C2560" s="1" t="n">
        <v>43</v>
      </c>
      <c r="D2560" s="1" t="s">
        <v>56</v>
      </c>
      <c r="E2560" s="1" t="n">
        <v>3</v>
      </c>
      <c r="F2560" s="1" t="n">
        <v>186.31</v>
      </c>
      <c r="G2560" s="1" t="n">
        <v>0</v>
      </c>
      <c r="H2560" s="1" t="s">
        <v>1336</v>
      </c>
      <c r="I2560" s="1" t="n">
        <v>558.93</v>
      </c>
      <c r="J2560" s="1" t="str">
        <f aca="false">VLOOKUP(B2560,Customers!$A$2:$G$502,6,FALSE())</f>
        <v>Corporate</v>
      </c>
      <c r="K2560" s="1" t="str">
        <f aca="false">VLOOKUP(C2560,Products!$A$2:$E$62,3,FALSE())</f>
        <v>Software</v>
      </c>
      <c r="L2560" s="1" t="str">
        <f aca="false">TEXT(D2560,"yyyy-mm")</f>
        <v>2023-05</v>
      </c>
    </row>
    <row r="2561" customFormat="false" ht="15" hidden="false" customHeight="true" outlineLevel="0" collapsed="false">
      <c r="A2561" s="1" t="n">
        <v>2618</v>
      </c>
      <c r="B2561" s="1" t="n">
        <v>300</v>
      </c>
      <c r="C2561" s="1" t="n">
        <v>6</v>
      </c>
      <c r="D2561" s="1" t="s">
        <v>1341</v>
      </c>
      <c r="E2561" s="1" t="n">
        <v>2</v>
      </c>
      <c r="F2561" s="1" t="n">
        <v>28.51</v>
      </c>
      <c r="G2561" s="1" t="n">
        <v>0</v>
      </c>
      <c r="H2561" s="1" t="s">
        <v>1336</v>
      </c>
      <c r="I2561" s="1" t="n">
        <v>57.02</v>
      </c>
      <c r="J2561" s="1" t="str">
        <f aca="false">VLOOKUP(B2561,Customers!$A$2:$G$502,6,FALSE())</f>
        <v>Consumer</v>
      </c>
      <c r="K2561" s="1" t="str">
        <f aca="false">VLOOKUP(C2561,Products!$A$2:$E$62,3,FALSE())</f>
        <v>Electronics</v>
      </c>
      <c r="L2561" s="1" t="str">
        <f aca="false">TEXT(D2561,"yyyy-mm")</f>
        <v>2023-06</v>
      </c>
    </row>
    <row r="2562" customFormat="false" ht="15" hidden="false" customHeight="true" outlineLevel="0" collapsed="false">
      <c r="A2562" s="1" t="n">
        <v>2619</v>
      </c>
      <c r="B2562" s="1" t="n">
        <v>292</v>
      </c>
      <c r="C2562" s="1" t="n">
        <v>29</v>
      </c>
      <c r="D2562" s="1" t="s">
        <v>1571</v>
      </c>
      <c r="E2562" s="1" t="n">
        <v>3</v>
      </c>
      <c r="F2562" s="1" t="n">
        <v>54.62</v>
      </c>
      <c r="G2562" s="1" t="n">
        <v>0.2</v>
      </c>
      <c r="H2562" s="1" t="s">
        <v>1336</v>
      </c>
      <c r="I2562" s="1" t="n">
        <v>131.09</v>
      </c>
      <c r="J2562" s="1" t="str">
        <f aca="false">VLOOKUP(B2562,Customers!$A$2:$G$502,6,FALSE())</f>
        <v>Small Business</v>
      </c>
      <c r="K2562" s="1" t="str">
        <f aca="false">VLOOKUP(C2562,Products!$A$2:$E$62,3,FALSE())</f>
        <v>Office Supplies</v>
      </c>
      <c r="L2562" s="1" t="str">
        <f aca="false">TEXT(D2562,"yyyy-mm")</f>
        <v>2024-02</v>
      </c>
    </row>
    <row r="2563" customFormat="false" ht="15" hidden="false" customHeight="true" outlineLevel="0" collapsed="false">
      <c r="A2563" s="1" t="n">
        <v>2620</v>
      </c>
      <c r="B2563" s="1" t="n">
        <v>390</v>
      </c>
      <c r="C2563" s="1" t="n">
        <v>29</v>
      </c>
      <c r="D2563" s="1" t="s">
        <v>1494</v>
      </c>
      <c r="E2563" s="1" t="n">
        <v>1</v>
      </c>
      <c r="F2563" s="1" t="n">
        <v>54.62</v>
      </c>
      <c r="G2563" s="1" t="n">
        <v>0</v>
      </c>
      <c r="H2563" s="1" t="s">
        <v>1346</v>
      </c>
      <c r="I2563" s="1" t="n">
        <v>54.62</v>
      </c>
      <c r="J2563" s="1" t="str">
        <f aca="false">VLOOKUP(B2563,Customers!$A$2:$G$502,6,FALSE())</f>
        <v>Small Business</v>
      </c>
      <c r="K2563" s="1" t="str">
        <f aca="false">VLOOKUP(C2563,Products!$A$2:$E$62,3,FALSE())</f>
        <v>Office Supplies</v>
      </c>
      <c r="L2563" s="1" t="str">
        <f aca="false">TEXT(D2563,"yyyy-mm")</f>
        <v>2023-01</v>
      </c>
    </row>
    <row r="2564" customFormat="false" ht="15" hidden="false" customHeight="true" outlineLevel="0" collapsed="false">
      <c r="A2564" s="1" t="n">
        <v>2621</v>
      </c>
      <c r="B2564" s="1" t="n">
        <v>392</v>
      </c>
      <c r="C2564" s="1" t="n">
        <v>58</v>
      </c>
      <c r="D2564" s="1" t="s">
        <v>84</v>
      </c>
      <c r="E2564" s="1" t="n">
        <v>1</v>
      </c>
      <c r="F2564" s="1" t="n">
        <v>515.55</v>
      </c>
      <c r="G2564" s="1" t="n">
        <v>0</v>
      </c>
      <c r="H2564" s="1" t="s">
        <v>1336</v>
      </c>
      <c r="I2564" s="1" t="n">
        <v>515.55</v>
      </c>
      <c r="J2564" s="1" t="str">
        <f aca="false">VLOOKUP(B2564,Customers!$A$2:$G$502,6,FALSE())</f>
        <v>Corporate</v>
      </c>
      <c r="K2564" s="1" t="str">
        <f aca="false">VLOOKUP(C2564,Products!$A$2:$E$62,3,FALSE())</f>
        <v>Furniture</v>
      </c>
      <c r="L2564" s="1" t="str">
        <f aca="false">TEXT(D2564,"yyyy-mm")</f>
        <v>2024-12</v>
      </c>
    </row>
    <row r="2565" customFormat="false" ht="15" hidden="false" customHeight="true" outlineLevel="0" collapsed="false">
      <c r="A2565" s="1" t="n">
        <v>2622</v>
      </c>
      <c r="B2565" s="1" t="n">
        <v>257</v>
      </c>
      <c r="C2565" s="1" t="n">
        <v>49</v>
      </c>
      <c r="D2565" s="1" t="s">
        <v>1247</v>
      </c>
      <c r="E2565" s="1" t="n">
        <v>6</v>
      </c>
      <c r="F2565" s="1" t="n">
        <v>325.17</v>
      </c>
      <c r="G2565" s="1" t="n">
        <v>0.15</v>
      </c>
      <c r="H2565" s="1" t="s">
        <v>1336</v>
      </c>
      <c r="I2565" s="1" t="n">
        <v>1658.37</v>
      </c>
      <c r="J2565" s="1" t="str">
        <f aca="false">VLOOKUP(B2565,Customers!$A$2:$G$502,6,FALSE())</f>
        <v>Small Business</v>
      </c>
      <c r="K2565" s="1" t="str">
        <f aca="false">VLOOKUP(C2565,Products!$A$2:$E$62,3,FALSE())</f>
        <v>Software</v>
      </c>
      <c r="L2565" s="1" t="str">
        <f aca="false">TEXT(D2565,"yyyy-mm")</f>
        <v>2023-03</v>
      </c>
    </row>
    <row r="2566" customFormat="false" ht="15" hidden="false" customHeight="true" outlineLevel="0" collapsed="false">
      <c r="A2566" s="1" t="n">
        <v>2623</v>
      </c>
      <c r="B2566" s="1" t="n">
        <v>348</v>
      </c>
      <c r="C2566" s="1" t="n">
        <v>2</v>
      </c>
      <c r="D2566" s="1" t="s">
        <v>94</v>
      </c>
      <c r="E2566" s="1" t="n">
        <v>5</v>
      </c>
      <c r="F2566" s="1" t="n">
        <v>498.15</v>
      </c>
      <c r="G2566" s="1" t="n">
        <v>0.2</v>
      </c>
      <c r="H2566" s="1" t="s">
        <v>1336</v>
      </c>
      <c r="I2566" s="1" t="n">
        <v>1992.6</v>
      </c>
      <c r="J2566" s="1" t="str">
        <f aca="false">VLOOKUP(B2566,Customers!$A$2:$G$502,6,FALSE())</f>
        <v>Consumer</v>
      </c>
      <c r="K2566" s="1" t="str">
        <f aca="false">VLOOKUP(C2566,Products!$A$2:$E$62,3,FALSE())</f>
        <v>Electronics</v>
      </c>
      <c r="L2566" s="1" t="str">
        <f aca="false">TEXT(D2566,"yyyy-mm")</f>
        <v>2023-09</v>
      </c>
    </row>
    <row r="2567" customFormat="false" ht="15" hidden="false" customHeight="true" outlineLevel="0" collapsed="false">
      <c r="A2567" s="1" t="n">
        <v>2624</v>
      </c>
      <c r="B2567" s="1" t="n">
        <v>280</v>
      </c>
      <c r="C2567" s="1" t="n">
        <v>10</v>
      </c>
      <c r="D2567" s="1" t="s">
        <v>673</v>
      </c>
      <c r="E2567" s="1" t="n">
        <v>8</v>
      </c>
      <c r="F2567" s="1" t="n">
        <v>251.58</v>
      </c>
      <c r="G2567" s="1" t="n">
        <v>0</v>
      </c>
      <c r="H2567" s="1" t="s">
        <v>1336</v>
      </c>
      <c r="I2567" s="1" t="n">
        <v>2012.64</v>
      </c>
      <c r="J2567" s="1" t="str">
        <f aca="false">VLOOKUP(B2567,Customers!$A$2:$G$502,6,FALSE())</f>
        <v>Consumer</v>
      </c>
      <c r="K2567" s="1" t="str">
        <f aca="false">VLOOKUP(C2567,Products!$A$2:$E$62,3,FALSE())</f>
        <v>Electronics</v>
      </c>
      <c r="L2567" s="1" t="str">
        <f aca="false">TEXT(D2567,"yyyy-mm")</f>
        <v>2023-05</v>
      </c>
    </row>
    <row r="2568" customFormat="false" ht="15" hidden="false" customHeight="true" outlineLevel="0" collapsed="false">
      <c r="A2568" s="1" t="n">
        <v>2625</v>
      </c>
      <c r="B2568" s="1" t="n">
        <v>190</v>
      </c>
      <c r="C2568" s="1" t="n">
        <v>18</v>
      </c>
      <c r="D2568" s="1" t="s">
        <v>1013</v>
      </c>
      <c r="E2568" s="1" t="n">
        <v>2</v>
      </c>
      <c r="F2568" s="1" t="n">
        <v>747.34</v>
      </c>
      <c r="G2568" s="1" t="n">
        <v>0.05</v>
      </c>
      <c r="H2568" s="1" t="s">
        <v>1336</v>
      </c>
      <c r="I2568" s="1" t="n">
        <v>1419.95</v>
      </c>
      <c r="J2568" s="1" t="str">
        <f aca="false">VLOOKUP(B2568,Customers!$A$2:$G$502,6,FALSE())</f>
        <v>Corporate</v>
      </c>
      <c r="K2568" s="1" t="str">
        <f aca="false">VLOOKUP(C2568,Products!$A$2:$E$62,3,FALSE())</f>
        <v>Electronics</v>
      </c>
      <c r="L2568" s="1" t="str">
        <f aca="false">TEXT(D2568,"yyyy-mm")</f>
        <v>2024-12</v>
      </c>
    </row>
    <row r="2569" customFormat="false" ht="15" hidden="false" customHeight="true" outlineLevel="0" collapsed="false">
      <c r="A2569" s="1" t="n">
        <v>2626</v>
      </c>
      <c r="B2569" s="1" t="n">
        <v>20</v>
      </c>
      <c r="C2569" s="1" t="n">
        <v>25</v>
      </c>
      <c r="D2569" s="1" t="s">
        <v>1486</v>
      </c>
      <c r="E2569" s="1" t="n">
        <v>4</v>
      </c>
      <c r="F2569" s="1" t="n">
        <v>300.49</v>
      </c>
      <c r="G2569" s="1" t="n">
        <v>0.2</v>
      </c>
      <c r="H2569" s="1" t="s">
        <v>1336</v>
      </c>
      <c r="I2569" s="1" t="n">
        <v>961.57</v>
      </c>
      <c r="J2569" s="1" t="str">
        <f aca="false">VLOOKUP(B2569,Customers!$A$2:$G$502,6,FALSE())</f>
        <v>Consumer</v>
      </c>
      <c r="K2569" s="1" t="str">
        <f aca="false">VLOOKUP(C2569,Products!$A$2:$E$62,3,FALSE())</f>
        <v>Office Supplies</v>
      </c>
      <c r="L2569" s="1" t="str">
        <f aca="false">TEXT(D2569,"yyyy-mm")</f>
        <v>2024-02</v>
      </c>
    </row>
    <row r="2570" customFormat="false" ht="15" hidden="false" customHeight="true" outlineLevel="0" collapsed="false">
      <c r="A2570" s="1" t="n">
        <v>2627</v>
      </c>
      <c r="B2570" s="1" t="n">
        <v>300</v>
      </c>
      <c r="C2570" s="1" t="n">
        <v>5</v>
      </c>
      <c r="D2570" s="1" t="s">
        <v>470</v>
      </c>
      <c r="E2570" s="1" t="n">
        <v>8</v>
      </c>
      <c r="F2570" s="1" t="n">
        <v>439.06</v>
      </c>
      <c r="G2570" s="1" t="n">
        <v>0</v>
      </c>
      <c r="H2570" s="1" t="s">
        <v>1336</v>
      </c>
      <c r="I2570" s="1" t="n">
        <v>3512.48</v>
      </c>
      <c r="J2570" s="1" t="str">
        <f aca="false">VLOOKUP(B2570,Customers!$A$2:$G$502,6,FALSE())</f>
        <v>Consumer</v>
      </c>
      <c r="K2570" s="1" t="str">
        <f aca="false">VLOOKUP(C2570,Products!$A$2:$E$62,3,FALSE())</f>
        <v>Electronics</v>
      </c>
      <c r="L2570" s="1" t="str">
        <f aca="false">TEXT(D2570,"yyyy-mm")</f>
        <v>2023-05</v>
      </c>
    </row>
    <row r="2571" customFormat="false" ht="15" hidden="false" customHeight="true" outlineLevel="0" collapsed="false">
      <c r="A2571" s="1" t="n">
        <v>2628</v>
      </c>
      <c r="B2571" s="1" t="n">
        <v>455</v>
      </c>
      <c r="C2571" s="1" t="n">
        <v>43</v>
      </c>
      <c r="D2571" s="1" t="s">
        <v>1407</v>
      </c>
      <c r="E2571" s="1" t="n">
        <v>6</v>
      </c>
      <c r="F2571" s="1" t="n">
        <v>186.31</v>
      </c>
      <c r="G2571" s="1" t="n">
        <v>0</v>
      </c>
      <c r="H2571" s="1" t="s">
        <v>1336</v>
      </c>
      <c r="I2571" s="1" t="n">
        <v>1117.86</v>
      </c>
      <c r="J2571" s="1" t="str">
        <f aca="false">VLOOKUP(B2571,Customers!$A$2:$G$502,6,FALSE())</f>
        <v>Consumer</v>
      </c>
      <c r="K2571" s="1" t="str">
        <f aca="false">VLOOKUP(C2571,Products!$A$2:$E$62,3,FALSE())</f>
        <v>Software</v>
      </c>
      <c r="L2571" s="1" t="str">
        <f aca="false">TEXT(D2571,"yyyy-mm")</f>
        <v>2023-06</v>
      </c>
    </row>
    <row r="2572" customFormat="false" ht="15" hidden="false" customHeight="true" outlineLevel="0" collapsed="false">
      <c r="A2572" s="1" t="n">
        <v>2629</v>
      </c>
      <c r="B2572" s="1" t="n">
        <v>95</v>
      </c>
      <c r="C2572" s="1" t="n">
        <v>11</v>
      </c>
      <c r="D2572" s="1" t="s">
        <v>1687</v>
      </c>
      <c r="E2572" s="1" t="n">
        <v>1</v>
      </c>
      <c r="F2572" s="1" t="n">
        <v>328.39</v>
      </c>
      <c r="G2572" s="1" t="n">
        <v>0.1</v>
      </c>
      <c r="H2572" s="1" t="s">
        <v>1336</v>
      </c>
      <c r="I2572" s="1" t="n">
        <v>295.55</v>
      </c>
      <c r="J2572" s="1" t="str">
        <f aca="false">VLOOKUP(B2572,Customers!$A$2:$G$502,6,FALSE())</f>
        <v>Corporate</v>
      </c>
      <c r="K2572" s="1" t="str">
        <f aca="false">VLOOKUP(C2572,Products!$A$2:$E$62,3,FALSE())</f>
        <v>Electronics</v>
      </c>
      <c r="L2572" s="1" t="str">
        <f aca="false">TEXT(D2572,"yyyy-mm")</f>
        <v>2024-02</v>
      </c>
    </row>
    <row r="2573" customFormat="false" ht="15" hidden="false" customHeight="true" outlineLevel="0" collapsed="false">
      <c r="A2573" s="1" t="n">
        <v>2630</v>
      </c>
      <c r="B2573" s="1" t="n">
        <v>233</v>
      </c>
      <c r="C2573" s="1" t="n">
        <v>60</v>
      </c>
      <c r="D2573" s="1" t="s">
        <v>870</v>
      </c>
      <c r="E2573" s="1" t="n">
        <v>4</v>
      </c>
      <c r="F2573" s="1" t="n">
        <v>584.98</v>
      </c>
      <c r="G2573" s="1" t="n">
        <v>0.1</v>
      </c>
      <c r="H2573" s="1" t="s">
        <v>1336</v>
      </c>
      <c r="I2573" s="1" t="n">
        <v>2105.93</v>
      </c>
      <c r="J2573" s="1" t="str">
        <f aca="false">VLOOKUP(B2573,Customers!$A$2:$G$502,6,FALSE())</f>
        <v>Corporate</v>
      </c>
      <c r="K2573" s="1" t="str">
        <f aca="false">VLOOKUP(C2573,Products!$A$2:$E$62,3,FALSE())</f>
        <v>Furniture</v>
      </c>
      <c r="L2573" s="1" t="str">
        <f aca="false">TEXT(D2573,"yyyy-mm")</f>
        <v>2024-08</v>
      </c>
    </row>
    <row r="2574" customFormat="false" ht="15" hidden="false" customHeight="true" outlineLevel="0" collapsed="false">
      <c r="A2574" s="1" t="n">
        <v>2631</v>
      </c>
      <c r="B2574" s="1" t="n">
        <v>303</v>
      </c>
      <c r="C2574" s="1" t="n">
        <v>59</v>
      </c>
      <c r="D2574" s="1" t="s">
        <v>1529</v>
      </c>
      <c r="E2574" s="1" t="n">
        <v>1</v>
      </c>
      <c r="F2574" s="1" t="n">
        <v>438.89</v>
      </c>
      <c r="G2574" s="1" t="n">
        <v>0.15</v>
      </c>
      <c r="H2574" s="1" t="s">
        <v>1336</v>
      </c>
      <c r="I2574" s="1" t="n">
        <v>373.06</v>
      </c>
      <c r="J2574" s="1" t="str">
        <f aca="false">VLOOKUP(B2574,Customers!$A$2:$G$502,6,FALSE())</f>
        <v>Corporate</v>
      </c>
      <c r="K2574" s="1" t="str">
        <f aca="false">VLOOKUP(C2574,Products!$A$2:$E$62,3,FALSE())</f>
        <v>Furniture</v>
      </c>
      <c r="L2574" s="1" t="str">
        <f aca="false">TEXT(D2574,"yyyy-mm")</f>
        <v>2024-09</v>
      </c>
    </row>
    <row r="2575" customFormat="false" ht="15" hidden="false" customHeight="true" outlineLevel="0" collapsed="false">
      <c r="A2575" s="1" t="n">
        <v>2632</v>
      </c>
      <c r="B2575" s="1" t="n">
        <v>376</v>
      </c>
      <c r="C2575" s="1" t="n">
        <v>36</v>
      </c>
      <c r="D2575" s="1" t="s">
        <v>1427</v>
      </c>
      <c r="E2575" s="1" t="n">
        <v>2</v>
      </c>
      <c r="F2575" s="1" t="n">
        <v>424.45</v>
      </c>
      <c r="G2575" s="1" t="n">
        <v>0</v>
      </c>
      <c r="H2575" s="1" t="s">
        <v>1336</v>
      </c>
      <c r="I2575" s="1" t="n">
        <v>848.9</v>
      </c>
      <c r="J2575" s="1" t="str">
        <f aca="false">VLOOKUP(B2575,Customers!$A$2:$G$502,6,FALSE())</f>
        <v>Consumer</v>
      </c>
      <c r="K2575" s="1" t="str">
        <f aca="false">VLOOKUP(C2575,Products!$A$2:$E$62,3,FALSE())</f>
        <v>Software</v>
      </c>
      <c r="L2575" s="1" t="str">
        <f aca="false">TEXT(D2575,"yyyy-mm")</f>
        <v>2023-09</v>
      </c>
    </row>
    <row r="2576" customFormat="false" ht="15" hidden="false" customHeight="true" outlineLevel="0" collapsed="false">
      <c r="A2576" s="1" t="n">
        <v>2633</v>
      </c>
      <c r="B2576" s="1" t="n">
        <v>285</v>
      </c>
      <c r="C2576" s="1" t="n">
        <v>33</v>
      </c>
      <c r="D2576" s="1" t="s">
        <v>188</v>
      </c>
      <c r="E2576" s="1" t="n">
        <v>5</v>
      </c>
      <c r="F2576" s="1" t="n">
        <v>190.1</v>
      </c>
      <c r="G2576" s="1" t="n">
        <v>0.15</v>
      </c>
      <c r="H2576" s="1" t="s">
        <v>1336</v>
      </c>
      <c r="I2576" s="1" t="n">
        <v>807.92</v>
      </c>
      <c r="J2576" s="1" t="str">
        <f aca="false">VLOOKUP(B2576,Customers!$A$2:$G$502,6,FALSE())</f>
        <v>Consumer</v>
      </c>
      <c r="K2576" s="1" t="str">
        <f aca="false">VLOOKUP(C2576,Products!$A$2:$E$62,3,FALSE())</f>
        <v>Office Supplies</v>
      </c>
      <c r="L2576" s="1" t="str">
        <f aca="false">TEXT(D2576,"yyyy-mm")</f>
        <v>2024-04</v>
      </c>
    </row>
    <row r="2577" customFormat="false" ht="15" hidden="false" customHeight="true" outlineLevel="0" collapsed="false">
      <c r="A2577" s="1" t="n">
        <v>2634</v>
      </c>
      <c r="B2577" s="1" t="n">
        <v>7</v>
      </c>
      <c r="C2577" s="1" t="n">
        <v>20</v>
      </c>
      <c r="D2577" s="1" t="s">
        <v>501</v>
      </c>
      <c r="E2577" s="1" t="n">
        <v>8</v>
      </c>
      <c r="F2577" s="1" t="n">
        <v>426.15</v>
      </c>
      <c r="G2577" s="1" t="n">
        <v>0</v>
      </c>
      <c r="H2577" s="1" t="s">
        <v>1336</v>
      </c>
      <c r="I2577" s="1" t="n">
        <v>3409.2</v>
      </c>
      <c r="J2577" s="1" t="str">
        <f aca="false">VLOOKUP(B2577,Customers!$A$2:$G$502,6,FALSE())</f>
        <v>Small Business</v>
      </c>
      <c r="K2577" s="1" t="str">
        <f aca="false">VLOOKUP(C2577,Products!$A$2:$E$62,3,FALSE())</f>
        <v>Office Supplies</v>
      </c>
      <c r="L2577" s="1" t="str">
        <f aca="false">TEXT(D2577,"yyyy-mm")</f>
        <v>2023-05</v>
      </c>
    </row>
    <row r="2578" customFormat="false" ht="15" hidden="false" customHeight="true" outlineLevel="0" collapsed="false">
      <c r="A2578" s="1" t="n">
        <v>2635</v>
      </c>
      <c r="B2578" s="1" t="n">
        <v>129</v>
      </c>
      <c r="C2578" s="1" t="n">
        <v>58</v>
      </c>
      <c r="D2578" s="1" t="s">
        <v>1384</v>
      </c>
      <c r="E2578" s="1" t="n">
        <v>8</v>
      </c>
      <c r="F2578" s="1" t="n">
        <v>515.55</v>
      </c>
      <c r="G2578" s="1" t="n">
        <v>0.2</v>
      </c>
      <c r="H2578" s="1" t="s">
        <v>1336</v>
      </c>
      <c r="I2578" s="1" t="n">
        <v>3299.52</v>
      </c>
      <c r="J2578" s="1" t="str">
        <f aca="false">VLOOKUP(B2578,Customers!$A$2:$G$502,6,FALSE())</f>
        <v>Corporate</v>
      </c>
      <c r="K2578" s="1" t="str">
        <f aca="false">VLOOKUP(C2578,Products!$A$2:$E$62,3,FALSE())</f>
        <v>Furniture</v>
      </c>
      <c r="L2578" s="1" t="str">
        <f aca="false">TEXT(D2578,"yyyy-mm")</f>
        <v>2024-09</v>
      </c>
    </row>
    <row r="2579" customFormat="false" ht="15" hidden="false" customHeight="true" outlineLevel="0" collapsed="false">
      <c r="A2579" s="1" t="n">
        <v>2637</v>
      </c>
      <c r="B2579" s="1" t="n">
        <v>35</v>
      </c>
      <c r="C2579" s="1" t="n">
        <v>19</v>
      </c>
      <c r="D2579" s="1" t="s">
        <v>269</v>
      </c>
      <c r="E2579" s="1" t="n">
        <v>4</v>
      </c>
      <c r="F2579" s="1" t="n">
        <v>163.64</v>
      </c>
      <c r="G2579" s="1" t="n">
        <v>0</v>
      </c>
      <c r="H2579" s="1" t="s">
        <v>1336</v>
      </c>
      <c r="I2579" s="1" t="n">
        <v>654.56</v>
      </c>
      <c r="J2579" s="1" t="str">
        <f aca="false">VLOOKUP(B2579,Customers!$A$2:$G$502,6,FALSE())</f>
        <v>Corporate</v>
      </c>
      <c r="K2579" s="1" t="str">
        <f aca="false">VLOOKUP(C2579,Products!$A$2:$E$62,3,FALSE())</f>
        <v>Office Supplies</v>
      </c>
      <c r="L2579" s="1" t="str">
        <f aca="false">TEXT(D2579,"yyyy-mm")</f>
        <v>2023-11</v>
      </c>
    </row>
    <row r="2580" customFormat="false" ht="15" hidden="false" customHeight="true" outlineLevel="0" collapsed="false">
      <c r="A2580" s="1" t="n">
        <v>2638</v>
      </c>
      <c r="B2580" s="1" t="n">
        <v>431</v>
      </c>
      <c r="C2580" s="1" t="n">
        <v>40</v>
      </c>
      <c r="D2580" s="1" t="s">
        <v>986</v>
      </c>
      <c r="E2580" s="1" t="n">
        <v>6</v>
      </c>
      <c r="F2580" s="1" t="n">
        <v>193.02</v>
      </c>
      <c r="G2580" s="1" t="n">
        <v>0.2</v>
      </c>
      <c r="H2580" s="1" t="s">
        <v>1336</v>
      </c>
      <c r="I2580" s="1" t="n">
        <v>926.5</v>
      </c>
      <c r="J2580" s="1" t="str">
        <f aca="false">VLOOKUP(B2580,Customers!$A$2:$G$502,6,FALSE())</f>
        <v>Consumer</v>
      </c>
      <c r="K2580" s="1" t="str">
        <f aca="false">VLOOKUP(C2580,Products!$A$2:$E$62,3,FALSE())</f>
        <v>Software</v>
      </c>
      <c r="L2580" s="1" t="str">
        <f aca="false">TEXT(D2580,"yyyy-mm")</f>
        <v>2023-03</v>
      </c>
    </row>
    <row r="2581" customFormat="false" ht="15" hidden="false" customHeight="true" outlineLevel="0" collapsed="false">
      <c r="A2581" s="1" t="n">
        <v>2639</v>
      </c>
      <c r="B2581" s="1" t="n">
        <v>146</v>
      </c>
      <c r="C2581" s="1" t="n">
        <v>47</v>
      </c>
      <c r="D2581" s="1" t="s">
        <v>1666</v>
      </c>
      <c r="E2581" s="1" t="n">
        <v>3</v>
      </c>
      <c r="F2581" s="1" t="n">
        <v>506.19</v>
      </c>
      <c r="G2581" s="1" t="n">
        <v>0</v>
      </c>
      <c r="H2581" s="1" t="s">
        <v>1336</v>
      </c>
      <c r="I2581" s="1" t="n">
        <v>1518.57</v>
      </c>
      <c r="J2581" s="1" t="str">
        <f aca="false">VLOOKUP(B2581,Customers!$A$2:$G$502,6,FALSE())</f>
        <v>Consumer</v>
      </c>
      <c r="K2581" s="1" t="str">
        <f aca="false">VLOOKUP(C2581,Products!$A$2:$E$62,3,FALSE())</f>
        <v>Software</v>
      </c>
      <c r="L2581" s="1" t="str">
        <f aca="false">TEXT(D2581,"yyyy-mm")</f>
        <v>2024-07</v>
      </c>
    </row>
    <row r="2582" customFormat="false" ht="15" hidden="false" customHeight="true" outlineLevel="0" collapsed="false">
      <c r="A2582" s="1" t="n">
        <v>2640</v>
      </c>
      <c r="B2582" s="1" t="n">
        <v>254</v>
      </c>
      <c r="C2582" s="1" t="n">
        <v>21</v>
      </c>
      <c r="D2582" s="1" t="s">
        <v>1553</v>
      </c>
      <c r="E2582" s="1" t="n">
        <v>2</v>
      </c>
      <c r="F2582" s="1" t="n">
        <v>84.91</v>
      </c>
      <c r="G2582" s="1" t="n">
        <v>0.15</v>
      </c>
      <c r="H2582" s="1" t="s">
        <v>1336</v>
      </c>
      <c r="I2582" s="1" t="n">
        <v>144.35</v>
      </c>
      <c r="J2582" s="1" t="str">
        <f aca="false">VLOOKUP(B2582,Customers!$A$2:$G$502,6,FALSE())</f>
        <v>Small Business</v>
      </c>
      <c r="K2582" s="1" t="str">
        <f aca="false">VLOOKUP(C2582,Products!$A$2:$E$62,3,FALSE())</f>
        <v>Office Supplies</v>
      </c>
      <c r="L2582" s="1" t="str">
        <f aca="false">TEXT(D2582,"yyyy-mm")</f>
        <v>2023-06</v>
      </c>
    </row>
    <row r="2583" customFormat="false" ht="15" hidden="false" customHeight="true" outlineLevel="0" collapsed="false">
      <c r="A2583" s="1" t="n">
        <v>2641</v>
      </c>
      <c r="B2583" s="1" t="n">
        <v>223</v>
      </c>
      <c r="C2583" s="1" t="n">
        <v>42</v>
      </c>
      <c r="D2583" s="1" t="s">
        <v>527</v>
      </c>
      <c r="E2583" s="1" t="n">
        <v>6</v>
      </c>
      <c r="F2583" s="1" t="n">
        <v>174.48</v>
      </c>
      <c r="G2583" s="1" t="n">
        <v>0.2</v>
      </c>
      <c r="H2583" s="1" t="s">
        <v>1336</v>
      </c>
      <c r="I2583" s="1" t="n">
        <v>837.5</v>
      </c>
      <c r="J2583" s="1" t="str">
        <f aca="false">VLOOKUP(B2583,Customers!$A$2:$G$502,6,FALSE())</f>
        <v>Consumer</v>
      </c>
      <c r="K2583" s="1" t="str">
        <f aca="false">VLOOKUP(C2583,Products!$A$2:$E$62,3,FALSE())</f>
        <v>Software</v>
      </c>
      <c r="L2583" s="1" t="str">
        <f aca="false">TEXT(D2583,"yyyy-mm")</f>
        <v>2023-12</v>
      </c>
    </row>
    <row r="2584" customFormat="false" ht="15" hidden="false" customHeight="true" outlineLevel="0" collapsed="false">
      <c r="A2584" s="1" t="n">
        <v>2642</v>
      </c>
      <c r="B2584" s="1" t="n">
        <v>358</v>
      </c>
      <c r="C2584" s="1" t="n">
        <v>9</v>
      </c>
      <c r="D2584" s="1" t="s">
        <v>1157</v>
      </c>
      <c r="E2584" s="1" t="n">
        <v>5</v>
      </c>
      <c r="F2584" s="1" t="n">
        <v>203.1</v>
      </c>
      <c r="G2584" s="1" t="n">
        <v>0</v>
      </c>
      <c r="H2584" s="1" t="s">
        <v>1336</v>
      </c>
      <c r="I2584" s="1" t="n">
        <v>1015.5</v>
      </c>
      <c r="J2584" s="1" t="str">
        <f aca="false">VLOOKUP(B2584,Customers!$A$2:$G$502,6,FALSE())</f>
        <v>Corporate</v>
      </c>
      <c r="K2584" s="1" t="str">
        <f aca="false">VLOOKUP(C2584,Products!$A$2:$E$62,3,FALSE())</f>
        <v>Electronics</v>
      </c>
      <c r="L2584" s="1" t="str">
        <f aca="false">TEXT(D2584,"yyyy-mm")</f>
        <v>2023-10</v>
      </c>
    </row>
    <row r="2585" customFormat="false" ht="15" hidden="false" customHeight="true" outlineLevel="0" collapsed="false">
      <c r="A2585" s="1" t="n">
        <v>2643</v>
      </c>
      <c r="B2585" s="1" t="n">
        <v>94</v>
      </c>
      <c r="C2585" s="1" t="n">
        <v>15</v>
      </c>
      <c r="D2585" s="1" t="s">
        <v>208</v>
      </c>
      <c r="E2585" s="1" t="n">
        <v>5</v>
      </c>
      <c r="F2585" s="1" t="n">
        <v>304.95</v>
      </c>
      <c r="G2585" s="1" t="n">
        <v>0.2</v>
      </c>
      <c r="H2585" s="1" t="s">
        <v>1336</v>
      </c>
      <c r="I2585" s="1" t="n">
        <v>1219.8</v>
      </c>
      <c r="J2585" s="1" t="str">
        <f aca="false">VLOOKUP(B2585,Customers!$A$2:$G$502,6,FALSE())</f>
        <v>Small Business</v>
      </c>
      <c r="K2585" s="1" t="str">
        <f aca="false">VLOOKUP(C2585,Products!$A$2:$E$62,3,FALSE())</f>
        <v>Electronics</v>
      </c>
      <c r="L2585" s="1" t="str">
        <f aca="false">TEXT(D2585,"yyyy-mm")</f>
        <v>2023-12</v>
      </c>
    </row>
    <row r="2586" customFormat="false" ht="15" hidden="false" customHeight="true" outlineLevel="0" collapsed="false">
      <c r="A2586" s="1" t="n">
        <v>2644</v>
      </c>
      <c r="B2586" s="1" t="n">
        <v>312</v>
      </c>
      <c r="C2586" s="1" t="n">
        <v>52</v>
      </c>
      <c r="D2586" s="1" t="s">
        <v>29</v>
      </c>
      <c r="E2586" s="1" t="n">
        <v>5</v>
      </c>
      <c r="F2586" s="1" t="n">
        <v>207.67</v>
      </c>
      <c r="G2586" s="1" t="n">
        <v>0.1</v>
      </c>
      <c r="H2586" s="1" t="s">
        <v>1370</v>
      </c>
      <c r="I2586" s="1" t="n">
        <v>934.52</v>
      </c>
      <c r="J2586" s="1" t="str">
        <f aca="false">VLOOKUP(B2586,Customers!$A$2:$G$502,6,FALSE())</f>
        <v>Small Business</v>
      </c>
      <c r="K2586" s="1" t="str">
        <f aca="false">VLOOKUP(C2586,Products!$A$2:$E$62,3,FALSE())</f>
        <v>Software</v>
      </c>
      <c r="L2586" s="1" t="str">
        <f aca="false">TEXT(D2586,"yyyy-mm")</f>
        <v>2023-04</v>
      </c>
    </row>
    <row r="2587" customFormat="false" ht="15" hidden="false" customHeight="true" outlineLevel="0" collapsed="false">
      <c r="A2587" s="1" t="n">
        <v>2645</v>
      </c>
      <c r="B2587" s="1" t="n">
        <v>481</v>
      </c>
      <c r="C2587" s="1" t="n">
        <v>37</v>
      </c>
      <c r="D2587" s="1" t="s">
        <v>143</v>
      </c>
      <c r="E2587" s="1" t="n">
        <v>5</v>
      </c>
      <c r="F2587" s="1" t="n">
        <v>13.95</v>
      </c>
      <c r="G2587" s="1" t="n">
        <v>0.2</v>
      </c>
      <c r="H2587" s="1" t="s">
        <v>1336</v>
      </c>
      <c r="I2587" s="1" t="n">
        <v>55.8</v>
      </c>
      <c r="J2587" s="1" t="str">
        <f aca="false">VLOOKUP(B2587,Customers!$A$2:$G$502,6,FALSE())</f>
        <v>Small Business</v>
      </c>
      <c r="K2587" s="1" t="str">
        <f aca="false">VLOOKUP(C2587,Products!$A$2:$E$62,3,FALSE())</f>
        <v>Software</v>
      </c>
      <c r="L2587" s="1" t="str">
        <f aca="false">TEXT(D2587,"yyyy-mm")</f>
        <v>2024-07</v>
      </c>
    </row>
    <row r="2588" customFormat="false" ht="15" hidden="false" customHeight="true" outlineLevel="0" collapsed="false">
      <c r="A2588" s="1" t="n">
        <v>2646</v>
      </c>
      <c r="B2588" s="1" t="n">
        <v>451</v>
      </c>
      <c r="C2588" s="1" t="n">
        <v>1</v>
      </c>
      <c r="D2588" s="1" t="s">
        <v>1372</v>
      </c>
      <c r="E2588" s="1" t="n">
        <v>3</v>
      </c>
      <c r="F2588" s="1" t="n">
        <v>327.32</v>
      </c>
      <c r="G2588" s="1" t="n">
        <v>0.05</v>
      </c>
      <c r="H2588" s="1" t="s">
        <v>1336</v>
      </c>
      <c r="I2588" s="1" t="n">
        <v>932.86</v>
      </c>
      <c r="J2588" s="1" t="str">
        <f aca="false">VLOOKUP(B2588,Customers!$A$2:$G$502,6,FALSE())</f>
        <v>Corporate</v>
      </c>
      <c r="K2588" s="1" t="str">
        <f aca="false">VLOOKUP(C2588,Products!$A$2:$E$62,3,FALSE())</f>
        <v>Electronics</v>
      </c>
      <c r="L2588" s="1" t="str">
        <f aca="false">TEXT(D2588,"yyyy-mm")</f>
        <v>2023-03</v>
      </c>
    </row>
    <row r="2589" customFormat="false" ht="15" hidden="false" customHeight="true" outlineLevel="0" collapsed="false">
      <c r="A2589" s="1" t="n">
        <v>2647</v>
      </c>
      <c r="B2589" s="1" t="n">
        <v>210</v>
      </c>
      <c r="C2589" s="1" t="n">
        <v>27</v>
      </c>
      <c r="D2589" s="1" t="s">
        <v>629</v>
      </c>
      <c r="E2589" s="1" t="n">
        <v>7</v>
      </c>
      <c r="F2589" s="1" t="n">
        <v>772.58</v>
      </c>
      <c r="G2589" s="1" t="n">
        <v>0.1</v>
      </c>
      <c r="H2589" s="1" t="s">
        <v>1336</v>
      </c>
      <c r="I2589" s="1" t="n">
        <v>4867.25</v>
      </c>
      <c r="J2589" s="1" t="str">
        <f aca="false">VLOOKUP(B2589,Customers!$A$2:$G$502,6,FALSE())</f>
        <v>Corporate</v>
      </c>
      <c r="K2589" s="1" t="str">
        <f aca="false">VLOOKUP(C2589,Products!$A$2:$E$62,3,FALSE())</f>
        <v>Office Supplies</v>
      </c>
      <c r="L2589" s="1" t="str">
        <f aca="false">TEXT(D2589,"yyyy-mm")</f>
        <v>2023-04</v>
      </c>
    </row>
    <row r="2590" customFormat="false" ht="15" hidden="false" customHeight="true" outlineLevel="0" collapsed="false">
      <c r="A2590" s="1" t="n">
        <v>2648</v>
      </c>
      <c r="B2590" s="1" t="n">
        <v>334</v>
      </c>
      <c r="C2590" s="1" t="n">
        <v>59</v>
      </c>
      <c r="D2590" s="1" t="s">
        <v>713</v>
      </c>
      <c r="E2590" s="1" t="n">
        <v>6</v>
      </c>
      <c r="F2590" s="1" t="n">
        <v>438.89</v>
      </c>
      <c r="G2590" s="1" t="n">
        <v>0.2</v>
      </c>
      <c r="H2590" s="1" t="s">
        <v>1336</v>
      </c>
      <c r="I2590" s="1" t="n">
        <v>2106.67</v>
      </c>
      <c r="J2590" s="1" t="str">
        <f aca="false">VLOOKUP(B2590,Customers!$A$2:$G$502,6,FALSE())</f>
        <v>Unknown</v>
      </c>
      <c r="K2590" s="1" t="str">
        <f aca="false">VLOOKUP(C2590,Products!$A$2:$E$62,3,FALSE())</f>
        <v>Furniture</v>
      </c>
      <c r="L2590" s="1" t="str">
        <f aca="false">TEXT(D2590,"yyyy-mm")</f>
        <v>2024-10</v>
      </c>
    </row>
    <row r="2591" customFormat="false" ht="15" hidden="false" customHeight="true" outlineLevel="0" collapsed="false">
      <c r="A2591" s="1" t="n">
        <v>2649</v>
      </c>
      <c r="B2591" s="1" t="n">
        <v>158</v>
      </c>
      <c r="C2591" s="1" t="n">
        <v>32</v>
      </c>
      <c r="D2591" s="1" t="s">
        <v>1259</v>
      </c>
      <c r="E2591" s="1" t="n">
        <v>4</v>
      </c>
      <c r="F2591" s="1" t="n">
        <v>492.27</v>
      </c>
      <c r="G2591" s="1" t="n">
        <v>0</v>
      </c>
      <c r="H2591" s="1" t="s">
        <v>1336</v>
      </c>
      <c r="I2591" s="1" t="n">
        <v>1969.08</v>
      </c>
      <c r="J2591" s="1" t="str">
        <f aca="false">VLOOKUP(B2591,Customers!$A$2:$G$502,6,FALSE())</f>
        <v>Small Business</v>
      </c>
      <c r="K2591" s="1" t="str">
        <f aca="false">VLOOKUP(C2591,Products!$A$2:$E$62,3,FALSE())</f>
        <v>Office Supplies</v>
      </c>
      <c r="L2591" s="1" t="str">
        <f aca="false">TEXT(D2591,"yyyy-mm")</f>
        <v>2023-09</v>
      </c>
    </row>
    <row r="2592" customFormat="false" ht="15" hidden="false" customHeight="true" outlineLevel="0" collapsed="false">
      <c r="A2592" s="1" t="n">
        <v>2650</v>
      </c>
      <c r="B2592" s="1" t="n">
        <v>247</v>
      </c>
      <c r="C2592" s="1" t="n">
        <v>43</v>
      </c>
      <c r="D2592" s="1" t="s">
        <v>1661</v>
      </c>
      <c r="E2592" s="1" t="n">
        <v>2</v>
      </c>
      <c r="F2592" s="1" t="n">
        <v>186.31</v>
      </c>
      <c r="G2592" s="1" t="n">
        <v>0</v>
      </c>
      <c r="H2592" s="1" t="s">
        <v>1336</v>
      </c>
      <c r="I2592" s="1" t="n">
        <v>372.62</v>
      </c>
      <c r="J2592" s="1" t="str">
        <f aca="false">VLOOKUP(B2592,Customers!$A$2:$G$502,6,FALSE())</f>
        <v>Small Business</v>
      </c>
      <c r="K2592" s="1" t="str">
        <f aca="false">VLOOKUP(C2592,Products!$A$2:$E$62,3,FALSE())</f>
        <v>Software</v>
      </c>
      <c r="L2592" s="1" t="str">
        <f aca="false">TEXT(D2592,"yyyy-mm")</f>
        <v>2024-09</v>
      </c>
    </row>
    <row r="2593" customFormat="false" ht="15" hidden="false" customHeight="true" outlineLevel="0" collapsed="false">
      <c r="A2593" s="1" t="n">
        <v>2651</v>
      </c>
      <c r="B2593" s="1" t="n">
        <v>101</v>
      </c>
      <c r="C2593" s="1" t="n">
        <v>42</v>
      </c>
      <c r="D2593" s="1" t="s">
        <v>758</v>
      </c>
      <c r="E2593" s="1" t="n">
        <v>9</v>
      </c>
      <c r="F2593" s="1" t="n">
        <v>174.48</v>
      </c>
      <c r="G2593" s="1" t="n">
        <v>0</v>
      </c>
      <c r="H2593" s="1" t="s">
        <v>1336</v>
      </c>
      <c r="I2593" s="1" t="n">
        <v>1570.32</v>
      </c>
      <c r="J2593" s="1" t="str">
        <f aca="false">VLOOKUP(B2593,Customers!$A$2:$G$502,6,FALSE())</f>
        <v>Corporate</v>
      </c>
      <c r="K2593" s="1" t="str">
        <f aca="false">VLOOKUP(C2593,Products!$A$2:$E$62,3,FALSE())</f>
        <v>Software</v>
      </c>
      <c r="L2593" s="1" t="str">
        <f aca="false">TEXT(D2593,"yyyy-mm")</f>
        <v>2023-06</v>
      </c>
    </row>
    <row r="2594" customFormat="false" ht="15" hidden="false" customHeight="true" outlineLevel="0" collapsed="false">
      <c r="A2594" s="1" t="n">
        <v>2652</v>
      </c>
      <c r="B2594" s="1" t="n">
        <v>388</v>
      </c>
      <c r="C2594" s="1" t="n">
        <v>37</v>
      </c>
      <c r="D2594" s="1" t="s">
        <v>179</v>
      </c>
      <c r="E2594" s="1" t="n">
        <v>1</v>
      </c>
      <c r="F2594" s="1" t="n">
        <v>13.95</v>
      </c>
      <c r="G2594" s="1" t="n">
        <v>0</v>
      </c>
      <c r="H2594" s="1" t="s">
        <v>1370</v>
      </c>
      <c r="I2594" s="1" t="n">
        <v>13.95</v>
      </c>
      <c r="J2594" s="1" t="str">
        <f aca="false">VLOOKUP(B2594,Customers!$A$2:$G$502,6,FALSE())</f>
        <v>Corporate</v>
      </c>
      <c r="K2594" s="1" t="str">
        <f aca="false">VLOOKUP(C2594,Products!$A$2:$E$62,3,FALSE())</f>
        <v>Software</v>
      </c>
      <c r="L2594" s="1" t="str">
        <f aca="false">TEXT(D2594,"yyyy-mm")</f>
        <v>2024-11</v>
      </c>
    </row>
    <row r="2595" customFormat="false" ht="15" hidden="false" customHeight="true" outlineLevel="0" collapsed="false">
      <c r="A2595" s="1" t="n">
        <v>2653</v>
      </c>
      <c r="B2595" s="1" t="n">
        <v>428</v>
      </c>
      <c r="C2595" s="1" t="n">
        <v>38</v>
      </c>
      <c r="D2595" s="1" t="s">
        <v>479</v>
      </c>
      <c r="E2595" s="1" t="n">
        <v>4</v>
      </c>
      <c r="F2595" s="1" t="n">
        <v>521.63</v>
      </c>
      <c r="G2595" s="1" t="n">
        <v>0.15</v>
      </c>
      <c r="H2595" s="1" t="s">
        <v>1336</v>
      </c>
      <c r="I2595" s="1" t="n">
        <v>1773.54</v>
      </c>
      <c r="J2595" s="1" t="str">
        <f aca="false">VLOOKUP(B2595,Customers!$A$2:$G$502,6,FALSE())</f>
        <v>Corporate</v>
      </c>
      <c r="K2595" s="1" t="str">
        <f aca="false">VLOOKUP(C2595,Products!$A$2:$E$62,3,FALSE())</f>
        <v>Software</v>
      </c>
      <c r="L2595" s="1" t="str">
        <f aca="false">TEXT(D2595,"yyyy-mm")</f>
        <v>2024-09</v>
      </c>
    </row>
    <row r="2596" customFormat="false" ht="15" hidden="false" customHeight="true" outlineLevel="0" collapsed="false">
      <c r="A2596" s="1" t="n">
        <v>2654</v>
      </c>
      <c r="B2596" s="1" t="n">
        <v>21</v>
      </c>
      <c r="C2596" s="1" t="n">
        <v>13</v>
      </c>
      <c r="D2596" s="1" t="s">
        <v>1016</v>
      </c>
      <c r="E2596" s="1" t="n">
        <v>1</v>
      </c>
      <c r="F2596" s="1" t="n">
        <v>352.54</v>
      </c>
      <c r="G2596" s="1" t="n">
        <v>0.15</v>
      </c>
      <c r="H2596" s="1" t="s">
        <v>1336</v>
      </c>
      <c r="I2596" s="1" t="n">
        <v>299.66</v>
      </c>
      <c r="J2596" s="1" t="str">
        <f aca="false">VLOOKUP(B2596,Customers!$A$2:$G$502,6,FALSE())</f>
        <v>Corporate</v>
      </c>
      <c r="K2596" s="1" t="str">
        <f aca="false">VLOOKUP(C2596,Products!$A$2:$E$62,3,FALSE())</f>
        <v>Electronics</v>
      </c>
      <c r="L2596" s="1" t="str">
        <f aca="false">TEXT(D2596,"yyyy-mm")</f>
        <v>2023-11</v>
      </c>
    </row>
    <row r="2597" customFormat="false" ht="15" hidden="false" customHeight="true" outlineLevel="0" collapsed="false">
      <c r="A2597" s="1" t="n">
        <v>2655</v>
      </c>
      <c r="B2597" s="1" t="n">
        <v>230</v>
      </c>
      <c r="C2597" s="1" t="n">
        <v>19</v>
      </c>
      <c r="D2597" s="1" t="s">
        <v>295</v>
      </c>
      <c r="E2597" s="1" t="n">
        <v>6</v>
      </c>
      <c r="F2597" s="1" t="n">
        <v>163.64</v>
      </c>
      <c r="G2597" s="1" t="n">
        <v>0.1</v>
      </c>
      <c r="H2597" s="1" t="s">
        <v>1336</v>
      </c>
      <c r="I2597" s="1" t="n">
        <v>883.66</v>
      </c>
      <c r="J2597" s="1" t="str">
        <f aca="false">VLOOKUP(B2597,Customers!$A$2:$G$502,6,FALSE())</f>
        <v>Corporate</v>
      </c>
      <c r="K2597" s="1" t="str">
        <f aca="false">VLOOKUP(C2597,Products!$A$2:$E$62,3,FALSE())</f>
        <v>Office Supplies</v>
      </c>
      <c r="L2597" s="1" t="str">
        <f aca="false">TEXT(D2597,"yyyy-mm")</f>
        <v>2024-07</v>
      </c>
    </row>
    <row r="2598" customFormat="false" ht="15" hidden="false" customHeight="true" outlineLevel="0" collapsed="false">
      <c r="A2598" s="1" t="n">
        <v>2656</v>
      </c>
      <c r="B2598" s="1" t="n">
        <v>491</v>
      </c>
      <c r="C2598" s="1" t="n">
        <v>35</v>
      </c>
      <c r="D2598" s="1" t="s">
        <v>656</v>
      </c>
      <c r="E2598" s="1" t="n">
        <v>4</v>
      </c>
      <c r="F2598" s="1" t="n">
        <v>75.78</v>
      </c>
      <c r="G2598" s="1" t="n">
        <v>0.2</v>
      </c>
      <c r="H2598" s="1" t="s">
        <v>1336</v>
      </c>
      <c r="I2598" s="1" t="n">
        <v>242.5</v>
      </c>
      <c r="J2598" s="1" t="str">
        <f aca="false">VLOOKUP(B2598,Customers!$A$2:$G$502,6,FALSE())</f>
        <v>Small Business</v>
      </c>
      <c r="K2598" s="1" t="str">
        <f aca="false">VLOOKUP(C2598,Products!$A$2:$E$62,3,FALSE())</f>
        <v>Software</v>
      </c>
      <c r="L2598" s="1" t="str">
        <f aca="false">TEXT(D2598,"yyyy-mm")</f>
        <v>2024-03</v>
      </c>
    </row>
    <row r="2599" customFormat="false" ht="15" hidden="false" customHeight="true" outlineLevel="0" collapsed="false">
      <c r="A2599" s="1" t="n">
        <v>2657</v>
      </c>
      <c r="B2599" s="1" t="n">
        <v>454</v>
      </c>
      <c r="C2599" s="1" t="n">
        <v>1</v>
      </c>
      <c r="D2599" s="1" t="s">
        <v>1111</v>
      </c>
      <c r="E2599" s="1" t="n">
        <v>5</v>
      </c>
      <c r="F2599" s="1" t="n">
        <v>327.32</v>
      </c>
      <c r="G2599" s="1" t="n">
        <v>0.2</v>
      </c>
      <c r="H2599" s="1" t="s">
        <v>1336</v>
      </c>
      <c r="I2599" s="1" t="n">
        <v>1309.28</v>
      </c>
      <c r="J2599" s="1" t="str">
        <f aca="false">VLOOKUP(B2599,Customers!$A$2:$G$502,6,FALSE())</f>
        <v>Consumer</v>
      </c>
      <c r="K2599" s="1" t="str">
        <f aca="false">VLOOKUP(C2599,Products!$A$2:$E$62,3,FALSE())</f>
        <v>Electronics</v>
      </c>
      <c r="L2599" s="1" t="str">
        <f aca="false">TEXT(D2599,"yyyy-mm")</f>
        <v>2024-12</v>
      </c>
    </row>
    <row r="2600" customFormat="false" ht="15" hidden="false" customHeight="true" outlineLevel="0" collapsed="false">
      <c r="A2600" s="1" t="n">
        <v>2658</v>
      </c>
      <c r="B2600" s="1" t="n">
        <v>403</v>
      </c>
      <c r="C2600" s="1" t="n">
        <v>31</v>
      </c>
      <c r="D2600" s="1" t="s">
        <v>1216</v>
      </c>
      <c r="E2600" s="1" t="n">
        <v>5</v>
      </c>
      <c r="F2600" s="1" t="n">
        <v>224.86</v>
      </c>
      <c r="G2600" s="1" t="n">
        <v>0</v>
      </c>
      <c r="H2600" s="1" t="s">
        <v>1370</v>
      </c>
      <c r="I2600" s="1" t="n">
        <v>1124.3</v>
      </c>
      <c r="J2600" s="1" t="str">
        <f aca="false">VLOOKUP(B2600,Customers!$A$2:$G$502,6,FALSE())</f>
        <v>Consumer</v>
      </c>
      <c r="K2600" s="1" t="str">
        <f aca="false">VLOOKUP(C2600,Products!$A$2:$E$62,3,FALSE())</f>
        <v>Office Supplies</v>
      </c>
      <c r="L2600" s="1" t="str">
        <f aca="false">TEXT(D2600,"yyyy-mm")</f>
        <v>2024-10</v>
      </c>
    </row>
    <row r="2601" customFormat="false" ht="15" hidden="false" customHeight="true" outlineLevel="0" collapsed="false">
      <c r="A2601" s="1" t="n">
        <v>2659</v>
      </c>
      <c r="B2601" s="1" t="n">
        <v>46</v>
      </c>
      <c r="C2601" s="1" t="n">
        <v>31</v>
      </c>
      <c r="D2601" s="1" t="s">
        <v>1374</v>
      </c>
      <c r="E2601" s="1" t="n">
        <v>9</v>
      </c>
      <c r="F2601" s="1" t="n">
        <v>224.86</v>
      </c>
      <c r="G2601" s="1" t="n">
        <v>0</v>
      </c>
      <c r="H2601" s="1" t="s">
        <v>1370</v>
      </c>
      <c r="I2601" s="1" t="n">
        <v>2023.74</v>
      </c>
      <c r="J2601" s="1" t="str">
        <f aca="false">VLOOKUP(B2601,Customers!$A$2:$G$502,6,FALSE())</f>
        <v>Consumer</v>
      </c>
      <c r="K2601" s="1" t="str">
        <f aca="false">VLOOKUP(C2601,Products!$A$2:$E$62,3,FALSE())</f>
        <v>Office Supplies</v>
      </c>
      <c r="L2601" s="1" t="str">
        <f aca="false">TEXT(D2601,"yyyy-mm")</f>
        <v>2024-12</v>
      </c>
    </row>
    <row r="2602" customFormat="false" ht="15" hidden="false" customHeight="true" outlineLevel="0" collapsed="false">
      <c r="A2602" s="1" t="n">
        <v>2660</v>
      </c>
      <c r="B2602" s="1" t="n">
        <v>138</v>
      </c>
      <c r="C2602" s="1" t="n">
        <v>23</v>
      </c>
      <c r="D2602" s="1" t="s">
        <v>648</v>
      </c>
      <c r="E2602" s="1" t="n">
        <v>1</v>
      </c>
      <c r="F2602" s="1" t="n">
        <v>188.73</v>
      </c>
      <c r="G2602" s="1" t="n">
        <v>0</v>
      </c>
      <c r="H2602" s="1" t="s">
        <v>1370</v>
      </c>
      <c r="I2602" s="1" t="n">
        <v>188.73</v>
      </c>
      <c r="J2602" s="1" t="str">
        <f aca="false">VLOOKUP(B2602,Customers!$A$2:$G$502,6,FALSE())</f>
        <v>Consumer</v>
      </c>
      <c r="K2602" s="1" t="str">
        <f aca="false">VLOOKUP(C2602,Products!$A$2:$E$62,3,FALSE())</f>
        <v>Office Supplies</v>
      </c>
      <c r="L2602" s="1" t="str">
        <f aca="false">TEXT(D2602,"yyyy-mm")</f>
        <v>2024-01</v>
      </c>
    </row>
    <row r="2603" customFormat="false" ht="15" hidden="false" customHeight="true" outlineLevel="0" collapsed="false">
      <c r="A2603" s="1" t="n">
        <v>2661</v>
      </c>
      <c r="B2603" s="1" t="n">
        <v>182</v>
      </c>
      <c r="C2603" s="1" t="n">
        <v>33</v>
      </c>
      <c r="D2603" s="1" t="s">
        <v>955</v>
      </c>
      <c r="E2603" s="1" t="n">
        <v>2</v>
      </c>
      <c r="F2603" s="1" t="n">
        <v>190.1</v>
      </c>
      <c r="G2603" s="1" t="n">
        <v>0</v>
      </c>
      <c r="H2603" s="1" t="s">
        <v>1336</v>
      </c>
      <c r="I2603" s="1" t="n">
        <v>380.2</v>
      </c>
      <c r="J2603" s="1" t="str">
        <f aca="false">VLOOKUP(B2603,Customers!$A$2:$G$502,6,FALSE())</f>
        <v>Unknown</v>
      </c>
      <c r="K2603" s="1" t="str">
        <f aca="false">VLOOKUP(C2603,Products!$A$2:$E$62,3,FALSE())</f>
        <v>Office Supplies</v>
      </c>
      <c r="L2603" s="1" t="str">
        <f aca="false">TEXT(D2603,"yyyy-mm")</f>
        <v>2023-01</v>
      </c>
    </row>
    <row r="2604" customFormat="false" ht="15" hidden="false" customHeight="true" outlineLevel="0" collapsed="false">
      <c r="A2604" s="1" t="n">
        <v>2662</v>
      </c>
      <c r="B2604" s="1" t="n">
        <v>165</v>
      </c>
      <c r="C2604" s="1" t="n">
        <v>58</v>
      </c>
      <c r="D2604" s="1" t="s">
        <v>387</v>
      </c>
      <c r="E2604" s="1" t="n">
        <v>6</v>
      </c>
      <c r="F2604" s="1" t="n">
        <v>515.55</v>
      </c>
      <c r="G2604" s="1" t="n">
        <v>0</v>
      </c>
      <c r="H2604" s="1" t="s">
        <v>1336</v>
      </c>
      <c r="I2604" s="1" t="n">
        <v>3093.3</v>
      </c>
      <c r="J2604" s="1" t="str">
        <f aca="false">VLOOKUP(B2604,Customers!$A$2:$G$502,6,FALSE())</f>
        <v>Consumer</v>
      </c>
      <c r="K2604" s="1" t="str">
        <f aca="false">VLOOKUP(C2604,Products!$A$2:$E$62,3,FALSE())</f>
        <v>Furniture</v>
      </c>
      <c r="L2604" s="1" t="str">
        <f aca="false">TEXT(D2604,"yyyy-mm")</f>
        <v>2024-04</v>
      </c>
    </row>
    <row r="2605" customFormat="false" ht="15" hidden="false" customHeight="true" outlineLevel="0" collapsed="false">
      <c r="A2605" s="1" t="n">
        <v>2663</v>
      </c>
      <c r="B2605" s="1" t="n">
        <v>309</v>
      </c>
      <c r="C2605" s="1" t="n">
        <v>43</v>
      </c>
      <c r="D2605" s="1" t="s">
        <v>1596</v>
      </c>
      <c r="E2605" s="1" t="n">
        <v>5</v>
      </c>
      <c r="F2605" s="1" t="n">
        <v>186.31</v>
      </c>
      <c r="G2605" s="1" t="n">
        <v>0.05</v>
      </c>
      <c r="H2605" s="1" t="s">
        <v>1336</v>
      </c>
      <c r="I2605" s="1" t="n">
        <v>884.97</v>
      </c>
      <c r="J2605" s="1" t="str">
        <f aca="false">VLOOKUP(B2605,Customers!$A$2:$G$502,6,FALSE())</f>
        <v>Unknown</v>
      </c>
      <c r="K2605" s="1" t="str">
        <f aca="false">VLOOKUP(C2605,Products!$A$2:$E$62,3,FALSE())</f>
        <v>Software</v>
      </c>
      <c r="L2605" s="1" t="str">
        <f aca="false">TEXT(D2605,"yyyy-mm")</f>
        <v>2023-04</v>
      </c>
    </row>
    <row r="2606" customFormat="false" ht="15" hidden="false" customHeight="true" outlineLevel="0" collapsed="false">
      <c r="A2606" s="1" t="n">
        <v>2664</v>
      </c>
      <c r="B2606" s="1" t="n">
        <v>6</v>
      </c>
      <c r="C2606" s="1" t="n">
        <v>38</v>
      </c>
      <c r="D2606" s="1" t="s">
        <v>1489</v>
      </c>
      <c r="E2606" s="1" t="n">
        <v>7</v>
      </c>
      <c r="F2606" s="1" t="n">
        <v>521.63</v>
      </c>
      <c r="G2606" s="1" t="n">
        <v>0.2</v>
      </c>
      <c r="H2606" s="1" t="s">
        <v>1336</v>
      </c>
      <c r="I2606" s="1" t="n">
        <v>2921.13</v>
      </c>
      <c r="J2606" s="1" t="str">
        <f aca="false">VLOOKUP(B2606,Customers!$A$2:$G$502,6,FALSE())</f>
        <v>Corporate</v>
      </c>
      <c r="K2606" s="1" t="str">
        <f aca="false">VLOOKUP(C2606,Products!$A$2:$E$62,3,FALSE())</f>
        <v>Software</v>
      </c>
      <c r="L2606" s="1" t="str">
        <f aca="false">TEXT(D2606,"yyyy-mm")</f>
        <v>2023-09</v>
      </c>
    </row>
    <row r="2607" customFormat="false" ht="15" hidden="false" customHeight="true" outlineLevel="0" collapsed="false">
      <c r="A2607" s="1" t="n">
        <v>2665</v>
      </c>
      <c r="B2607" s="1" t="n">
        <v>277</v>
      </c>
      <c r="C2607" s="1" t="n">
        <v>18</v>
      </c>
      <c r="D2607" s="1" t="s">
        <v>1376</v>
      </c>
      <c r="E2607" s="1" t="n">
        <v>3</v>
      </c>
      <c r="F2607" s="1" t="n">
        <v>747.34</v>
      </c>
      <c r="G2607" s="1" t="n">
        <v>0.2</v>
      </c>
      <c r="H2607" s="1" t="s">
        <v>1336</v>
      </c>
      <c r="I2607" s="1" t="n">
        <v>1793.62</v>
      </c>
      <c r="J2607" s="1" t="str">
        <f aca="false">VLOOKUP(B2607,Customers!$A$2:$G$502,6,FALSE())</f>
        <v>Corporate</v>
      </c>
      <c r="K2607" s="1" t="str">
        <f aca="false">VLOOKUP(C2607,Products!$A$2:$E$62,3,FALSE())</f>
        <v>Electronics</v>
      </c>
      <c r="L2607" s="1" t="str">
        <f aca="false">TEXT(D2607,"yyyy-mm")</f>
        <v>2023-01</v>
      </c>
    </row>
    <row r="2608" customFormat="false" ht="15" hidden="false" customHeight="true" outlineLevel="0" collapsed="false">
      <c r="A2608" s="1" t="n">
        <v>2666</v>
      </c>
      <c r="B2608" s="1" t="n">
        <v>42</v>
      </c>
      <c r="C2608" s="1" t="n">
        <v>52</v>
      </c>
      <c r="D2608" s="1" t="s">
        <v>217</v>
      </c>
      <c r="E2608" s="1" t="n">
        <v>3</v>
      </c>
      <c r="F2608" s="1" t="n">
        <v>207.67</v>
      </c>
      <c r="G2608" s="1" t="n">
        <v>0</v>
      </c>
      <c r="H2608" s="1" t="s">
        <v>1336</v>
      </c>
      <c r="I2608" s="1" t="n">
        <v>623.01</v>
      </c>
      <c r="J2608" s="1" t="str">
        <f aca="false">VLOOKUP(B2608,Customers!$A$2:$G$502,6,FALSE())</f>
        <v>Small Business</v>
      </c>
      <c r="K2608" s="1" t="str">
        <f aca="false">VLOOKUP(C2608,Products!$A$2:$E$62,3,FALSE())</f>
        <v>Software</v>
      </c>
      <c r="L2608" s="1" t="str">
        <f aca="false">TEXT(D2608,"yyyy-mm")</f>
        <v>2024-07</v>
      </c>
    </row>
    <row r="2609" customFormat="false" ht="15" hidden="false" customHeight="true" outlineLevel="0" collapsed="false">
      <c r="A2609" s="1" t="n">
        <v>2667</v>
      </c>
      <c r="B2609" s="1" t="n">
        <v>482</v>
      </c>
      <c r="C2609" s="1" t="n">
        <v>48</v>
      </c>
      <c r="D2609" s="1" t="s">
        <v>461</v>
      </c>
      <c r="E2609" s="1" t="n">
        <v>2</v>
      </c>
      <c r="F2609" s="1" t="n">
        <v>493.53</v>
      </c>
      <c r="G2609" s="1" t="n">
        <v>0</v>
      </c>
      <c r="H2609" s="1" t="s">
        <v>1336</v>
      </c>
      <c r="I2609" s="1" t="n">
        <v>987.06</v>
      </c>
      <c r="J2609" s="1" t="str">
        <f aca="false">VLOOKUP(B2609,Customers!$A$2:$G$502,6,FALSE())</f>
        <v>Small Business</v>
      </c>
      <c r="K2609" s="1" t="str">
        <f aca="false">VLOOKUP(C2609,Products!$A$2:$E$62,3,FALSE())</f>
        <v>Software</v>
      </c>
      <c r="L2609" s="1" t="str">
        <f aca="false">TEXT(D2609,"yyyy-mm")</f>
        <v>2023-02</v>
      </c>
    </row>
    <row r="2610" customFormat="false" ht="15" hidden="false" customHeight="true" outlineLevel="0" collapsed="false">
      <c r="A2610" s="1" t="n">
        <v>2669</v>
      </c>
      <c r="B2610" s="1" t="n">
        <v>201</v>
      </c>
      <c r="C2610" s="1" t="n">
        <v>21</v>
      </c>
      <c r="D2610" s="1" t="s">
        <v>572</v>
      </c>
      <c r="E2610" s="1" t="n">
        <v>1</v>
      </c>
      <c r="F2610" s="1" t="n">
        <v>84.91</v>
      </c>
      <c r="G2610" s="1" t="n">
        <v>0.1</v>
      </c>
      <c r="H2610" s="1" t="s">
        <v>1336</v>
      </c>
      <c r="I2610" s="1" t="n">
        <v>76.42</v>
      </c>
      <c r="J2610" s="1" t="str">
        <f aca="false">VLOOKUP(B2610,Customers!$A$2:$G$502,6,FALSE())</f>
        <v>Corporate</v>
      </c>
      <c r="K2610" s="1" t="str">
        <f aca="false">VLOOKUP(C2610,Products!$A$2:$E$62,3,FALSE())</f>
        <v>Office Supplies</v>
      </c>
      <c r="L2610" s="1" t="str">
        <f aca="false">TEXT(D2610,"yyyy-mm")</f>
        <v>2023-06</v>
      </c>
    </row>
    <row r="2611" customFormat="false" ht="15" hidden="false" customHeight="true" outlineLevel="0" collapsed="false">
      <c r="A2611" s="1" t="n">
        <v>2670</v>
      </c>
      <c r="B2611" s="1" t="n">
        <v>224</v>
      </c>
      <c r="C2611" s="1" t="n">
        <v>46</v>
      </c>
      <c r="D2611" s="1" t="s">
        <v>1563</v>
      </c>
      <c r="E2611" s="1" t="n">
        <v>5</v>
      </c>
      <c r="F2611" s="1" t="n">
        <v>94.92</v>
      </c>
      <c r="G2611" s="1" t="n">
        <v>0</v>
      </c>
      <c r="H2611" s="1" t="s">
        <v>1336</v>
      </c>
      <c r="I2611" s="1" t="n">
        <v>474.6</v>
      </c>
      <c r="J2611" s="1" t="str">
        <f aca="false">VLOOKUP(B2611,Customers!$A$2:$G$502,6,FALSE())</f>
        <v>Consumer</v>
      </c>
      <c r="K2611" s="1" t="str">
        <f aca="false">VLOOKUP(C2611,Products!$A$2:$E$62,3,FALSE())</f>
        <v>Software</v>
      </c>
      <c r="L2611" s="1" t="str">
        <f aca="false">TEXT(D2611,"yyyy-mm")</f>
        <v>2024-09</v>
      </c>
    </row>
    <row r="2612" customFormat="false" ht="15" hidden="false" customHeight="true" outlineLevel="0" collapsed="false">
      <c r="A2612" s="1" t="n">
        <v>2671</v>
      </c>
      <c r="B2612" s="1" t="n">
        <v>103</v>
      </c>
      <c r="C2612" s="1" t="n">
        <v>4</v>
      </c>
      <c r="D2612" s="1" t="s">
        <v>581</v>
      </c>
      <c r="E2612" s="1" t="n">
        <v>5</v>
      </c>
      <c r="F2612" s="1" t="n">
        <v>56.24</v>
      </c>
      <c r="G2612" s="1" t="n">
        <v>0.1</v>
      </c>
      <c r="H2612" s="1" t="s">
        <v>1370</v>
      </c>
      <c r="I2612" s="1" t="n">
        <v>253.08</v>
      </c>
      <c r="J2612" s="1" t="str">
        <f aca="false">VLOOKUP(B2612,Customers!$A$2:$G$502,6,FALSE())</f>
        <v>Small Business</v>
      </c>
      <c r="K2612" s="1" t="str">
        <f aca="false">VLOOKUP(C2612,Products!$A$2:$E$62,3,FALSE())</f>
        <v>Electronics</v>
      </c>
      <c r="L2612" s="1" t="str">
        <f aca="false">TEXT(D2612,"yyyy-mm")</f>
        <v>2023-07</v>
      </c>
    </row>
    <row r="2613" customFormat="false" ht="15" hidden="false" customHeight="true" outlineLevel="0" collapsed="false">
      <c r="A2613" s="1" t="n">
        <v>2672</v>
      </c>
      <c r="B2613" s="1" t="n">
        <v>260</v>
      </c>
      <c r="C2613" s="1" t="n">
        <v>58</v>
      </c>
      <c r="D2613" s="1" t="s">
        <v>742</v>
      </c>
      <c r="E2613" s="1" t="n">
        <v>7</v>
      </c>
      <c r="F2613" s="1" t="n">
        <v>515.55</v>
      </c>
      <c r="G2613" s="1" t="n">
        <v>0.2</v>
      </c>
      <c r="H2613" s="1" t="s">
        <v>1336</v>
      </c>
      <c r="I2613" s="1" t="n">
        <v>2887.08</v>
      </c>
      <c r="J2613" s="1" t="str">
        <f aca="false">VLOOKUP(B2613,Customers!$A$2:$G$502,6,FALSE())</f>
        <v>Corporate</v>
      </c>
      <c r="K2613" s="1" t="str">
        <f aca="false">VLOOKUP(C2613,Products!$A$2:$E$62,3,FALSE())</f>
        <v>Furniture</v>
      </c>
      <c r="L2613" s="1" t="str">
        <f aca="false">TEXT(D2613,"yyyy-mm")</f>
        <v>2023-02</v>
      </c>
    </row>
    <row r="2614" customFormat="false" ht="15" hidden="false" customHeight="true" outlineLevel="0" collapsed="false">
      <c r="A2614" s="1" t="n">
        <v>2673</v>
      </c>
      <c r="B2614" s="1" t="n">
        <v>310</v>
      </c>
      <c r="C2614" s="1" t="n">
        <v>36</v>
      </c>
      <c r="D2614" s="1" t="s">
        <v>1598</v>
      </c>
      <c r="E2614" s="1" t="n">
        <v>4</v>
      </c>
      <c r="F2614" s="1" t="n">
        <v>424.45</v>
      </c>
      <c r="G2614" s="1" t="n">
        <v>0</v>
      </c>
      <c r="H2614" s="1" t="s">
        <v>1336</v>
      </c>
      <c r="I2614" s="1" t="n">
        <v>1697.8</v>
      </c>
      <c r="J2614" s="1" t="str">
        <f aca="false">VLOOKUP(B2614,Customers!$A$2:$G$502,6,FALSE())</f>
        <v>Small Business</v>
      </c>
      <c r="K2614" s="1" t="str">
        <f aca="false">VLOOKUP(C2614,Products!$A$2:$E$62,3,FALSE())</f>
        <v>Software</v>
      </c>
      <c r="L2614" s="1" t="str">
        <f aca="false">TEXT(D2614,"yyyy-mm")</f>
        <v>2024-05</v>
      </c>
    </row>
    <row r="2615" customFormat="false" ht="15" hidden="false" customHeight="true" outlineLevel="0" collapsed="false">
      <c r="A2615" s="1" t="n">
        <v>2674</v>
      </c>
      <c r="B2615" s="1" t="n">
        <v>359</v>
      </c>
      <c r="C2615" s="1" t="n">
        <v>40</v>
      </c>
      <c r="D2615" s="1" t="s">
        <v>1395</v>
      </c>
      <c r="E2615" s="1" t="n">
        <v>3</v>
      </c>
      <c r="F2615" s="1" t="n">
        <v>193.02</v>
      </c>
      <c r="G2615" s="1" t="n">
        <v>0.1</v>
      </c>
      <c r="H2615" s="1" t="s">
        <v>1336</v>
      </c>
      <c r="I2615" s="1" t="n">
        <v>521.15</v>
      </c>
      <c r="J2615" s="1" t="str">
        <f aca="false">VLOOKUP(B2615,Customers!$A$2:$G$502,6,FALSE())</f>
        <v>Small Business</v>
      </c>
      <c r="K2615" s="1" t="str">
        <f aca="false">VLOOKUP(C2615,Products!$A$2:$E$62,3,FALSE())</f>
        <v>Software</v>
      </c>
      <c r="L2615" s="1" t="str">
        <f aca="false">TEXT(D2615,"yyyy-mm")</f>
        <v>2023-04</v>
      </c>
    </row>
    <row r="2616" customFormat="false" ht="15" hidden="false" customHeight="true" outlineLevel="0" collapsed="false">
      <c r="A2616" s="1" t="n">
        <v>2675</v>
      </c>
      <c r="B2616" s="1" t="n">
        <v>444</v>
      </c>
      <c r="C2616" s="1" t="n">
        <v>15</v>
      </c>
      <c r="D2616" s="1" t="s">
        <v>34</v>
      </c>
      <c r="E2616" s="1" t="n">
        <v>1</v>
      </c>
      <c r="F2616" s="1" t="n">
        <v>304.95</v>
      </c>
      <c r="G2616" s="1" t="n">
        <v>0</v>
      </c>
      <c r="H2616" s="1" t="s">
        <v>1336</v>
      </c>
      <c r="I2616" s="1" t="n">
        <v>304.95</v>
      </c>
      <c r="J2616" s="1" t="str">
        <f aca="false">VLOOKUP(B2616,Customers!$A$2:$G$502,6,FALSE())</f>
        <v>Small Business</v>
      </c>
      <c r="K2616" s="1" t="str">
        <f aca="false">VLOOKUP(C2616,Products!$A$2:$E$62,3,FALSE())</f>
        <v>Electronics</v>
      </c>
      <c r="L2616" s="1" t="str">
        <f aca="false">TEXT(D2616,"yyyy-mm")</f>
        <v>2023-03</v>
      </c>
    </row>
    <row r="2617" customFormat="false" ht="15" hidden="false" customHeight="true" outlineLevel="0" collapsed="false">
      <c r="A2617" s="1" t="n">
        <v>2676</v>
      </c>
      <c r="B2617" s="1" t="n">
        <v>52</v>
      </c>
      <c r="C2617" s="1" t="n">
        <v>7</v>
      </c>
      <c r="D2617" s="1" t="s">
        <v>1408</v>
      </c>
      <c r="E2617" s="1" t="n">
        <v>8</v>
      </c>
      <c r="F2617" s="1" t="n">
        <v>460</v>
      </c>
      <c r="G2617" s="1" t="n">
        <v>0.1</v>
      </c>
      <c r="H2617" s="1" t="s">
        <v>1336</v>
      </c>
      <c r="I2617" s="1" t="n">
        <v>3312</v>
      </c>
      <c r="J2617" s="1" t="str">
        <f aca="false">VLOOKUP(B2617,Customers!$A$2:$G$502,6,FALSE())</f>
        <v>Small Business</v>
      </c>
      <c r="K2617" s="1" t="str">
        <f aca="false">VLOOKUP(C2617,Products!$A$2:$E$62,3,FALSE())</f>
        <v>Electronics</v>
      </c>
      <c r="L2617" s="1" t="str">
        <f aca="false">TEXT(D2617,"yyyy-mm")</f>
        <v>2023-12</v>
      </c>
    </row>
    <row r="2618" customFormat="false" ht="15" hidden="false" customHeight="true" outlineLevel="0" collapsed="false">
      <c r="A2618" s="1" t="n">
        <v>2677</v>
      </c>
      <c r="B2618" s="1" t="n">
        <v>205</v>
      </c>
      <c r="C2618" s="1" t="n">
        <v>16</v>
      </c>
      <c r="D2618" s="1" t="s">
        <v>1472</v>
      </c>
      <c r="E2618" s="1" t="n">
        <v>3</v>
      </c>
      <c r="F2618" s="1" t="n">
        <v>330.91</v>
      </c>
      <c r="G2618" s="1" t="n">
        <v>0.15</v>
      </c>
      <c r="H2618" s="1" t="s">
        <v>1336</v>
      </c>
      <c r="I2618" s="1" t="n">
        <v>843.82</v>
      </c>
      <c r="J2618" s="1" t="str">
        <f aca="false">VLOOKUP(B2618,Customers!$A$2:$G$502,6,FALSE())</f>
        <v>Corporate</v>
      </c>
      <c r="K2618" s="1" t="str">
        <f aca="false">VLOOKUP(C2618,Products!$A$2:$E$62,3,FALSE())</f>
        <v>Electronics</v>
      </c>
      <c r="L2618" s="1" t="str">
        <f aca="false">TEXT(D2618,"yyyy-mm")</f>
        <v>2023-07</v>
      </c>
    </row>
    <row r="2619" customFormat="false" ht="15" hidden="false" customHeight="true" outlineLevel="0" collapsed="false">
      <c r="A2619" s="1" t="n">
        <v>2678</v>
      </c>
      <c r="B2619" s="1" t="n">
        <v>233</v>
      </c>
      <c r="C2619" s="1" t="n">
        <v>52</v>
      </c>
      <c r="D2619" s="1" t="s">
        <v>229</v>
      </c>
      <c r="E2619" s="1" t="n">
        <v>2</v>
      </c>
      <c r="F2619" s="1" t="n">
        <v>207.67</v>
      </c>
      <c r="G2619" s="1" t="n">
        <v>0.15</v>
      </c>
      <c r="H2619" s="1" t="s">
        <v>1370</v>
      </c>
      <c r="I2619" s="1" t="n">
        <v>353.04</v>
      </c>
      <c r="J2619" s="1" t="str">
        <f aca="false">VLOOKUP(B2619,Customers!$A$2:$G$502,6,FALSE())</f>
        <v>Corporate</v>
      </c>
      <c r="K2619" s="1" t="str">
        <f aca="false">VLOOKUP(C2619,Products!$A$2:$E$62,3,FALSE())</f>
        <v>Software</v>
      </c>
      <c r="L2619" s="1" t="str">
        <f aca="false">TEXT(D2619,"yyyy-mm")</f>
        <v>2024-12</v>
      </c>
    </row>
    <row r="2620" customFormat="false" ht="15" hidden="false" customHeight="true" outlineLevel="0" collapsed="false">
      <c r="A2620" s="1" t="n">
        <v>2679</v>
      </c>
      <c r="B2620" s="1" t="n">
        <v>241</v>
      </c>
      <c r="C2620" s="1" t="n">
        <v>44</v>
      </c>
      <c r="D2620" s="1" t="s">
        <v>1559</v>
      </c>
      <c r="E2620" s="1" t="n">
        <v>4</v>
      </c>
      <c r="F2620" s="1" t="n">
        <v>508.26</v>
      </c>
      <c r="G2620" s="1" t="n">
        <v>0.05</v>
      </c>
      <c r="H2620" s="1" t="s">
        <v>1336</v>
      </c>
      <c r="I2620" s="1" t="n">
        <v>1931.39</v>
      </c>
      <c r="J2620" s="1" t="str">
        <f aca="false">VLOOKUP(B2620,Customers!$A$2:$G$502,6,FALSE())</f>
        <v>Small Business</v>
      </c>
      <c r="K2620" s="1" t="str">
        <f aca="false">VLOOKUP(C2620,Products!$A$2:$E$62,3,FALSE())</f>
        <v>Software</v>
      </c>
      <c r="L2620" s="1" t="str">
        <f aca="false">TEXT(D2620,"yyyy-mm")</f>
        <v>2023-01</v>
      </c>
    </row>
    <row r="2621" customFormat="false" ht="15" hidden="false" customHeight="true" outlineLevel="0" collapsed="false">
      <c r="A2621" s="1" t="n">
        <v>2680</v>
      </c>
      <c r="B2621" s="1" t="n">
        <v>372</v>
      </c>
      <c r="C2621" s="1" t="n">
        <v>45</v>
      </c>
      <c r="D2621" s="1" t="s">
        <v>1527</v>
      </c>
      <c r="E2621" s="1" t="n">
        <v>3</v>
      </c>
      <c r="F2621" s="1" t="n">
        <v>560.01</v>
      </c>
      <c r="G2621" s="1" t="n">
        <v>0.2</v>
      </c>
      <c r="H2621" s="1" t="s">
        <v>1336</v>
      </c>
      <c r="I2621" s="1" t="n">
        <v>1344.02</v>
      </c>
      <c r="J2621" s="1" t="str">
        <f aca="false">VLOOKUP(B2621,Customers!$A$2:$G$502,6,FALSE())</f>
        <v>Corporate</v>
      </c>
      <c r="K2621" s="1" t="str">
        <f aca="false">VLOOKUP(C2621,Products!$A$2:$E$62,3,FALSE())</f>
        <v>Software</v>
      </c>
      <c r="L2621" s="1" t="str">
        <f aca="false">TEXT(D2621,"yyyy-mm")</f>
        <v>2023-02</v>
      </c>
    </row>
    <row r="2622" customFormat="false" ht="15" hidden="false" customHeight="true" outlineLevel="0" collapsed="false">
      <c r="A2622" s="1" t="n">
        <v>2681</v>
      </c>
      <c r="B2622" s="1" t="n">
        <v>459</v>
      </c>
      <c r="C2622" s="1" t="n">
        <v>13</v>
      </c>
      <c r="D2622" s="1" t="s">
        <v>1247</v>
      </c>
      <c r="E2622" s="1" t="n">
        <v>1</v>
      </c>
      <c r="F2622" s="1" t="n">
        <v>352.54</v>
      </c>
      <c r="G2622" s="1" t="n">
        <v>0.05</v>
      </c>
      <c r="H2622" s="1" t="s">
        <v>1336</v>
      </c>
      <c r="I2622" s="1" t="n">
        <v>334.91</v>
      </c>
      <c r="J2622" s="1" t="str">
        <f aca="false">VLOOKUP(B2622,Customers!$A$2:$G$502,6,FALSE())</f>
        <v>Small Business</v>
      </c>
      <c r="K2622" s="1" t="str">
        <f aca="false">VLOOKUP(C2622,Products!$A$2:$E$62,3,FALSE())</f>
        <v>Electronics</v>
      </c>
      <c r="L2622" s="1" t="str">
        <f aca="false">TEXT(D2622,"yyyy-mm")</f>
        <v>2023-03</v>
      </c>
    </row>
    <row r="2623" customFormat="false" ht="15" hidden="false" customHeight="true" outlineLevel="0" collapsed="false">
      <c r="A2623" s="1" t="n">
        <v>2682</v>
      </c>
      <c r="B2623" s="1" t="n">
        <v>294</v>
      </c>
      <c r="C2623" s="1" t="n">
        <v>22</v>
      </c>
      <c r="D2623" s="1" t="s">
        <v>726</v>
      </c>
      <c r="E2623" s="1" t="n">
        <v>3</v>
      </c>
      <c r="F2623" s="1" t="n">
        <v>38.57</v>
      </c>
      <c r="G2623" s="1" t="n">
        <v>0.1</v>
      </c>
      <c r="H2623" s="1" t="s">
        <v>1336</v>
      </c>
      <c r="I2623" s="1" t="n">
        <v>104.14</v>
      </c>
      <c r="J2623" s="1" t="str">
        <f aca="false">VLOOKUP(B2623,Customers!$A$2:$G$502,6,FALSE())</f>
        <v>Consumer</v>
      </c>
      <c r="K2623" s="1" t="str">
        <f aca="false">VLOOKUP(C2623,Products!$A$2:$E$62,3,FALSE())</f>
        <v>Office Supplies</v>
      </c>
      <c r="L2623" s="1" t="str">
        <f aca="false">TEXT(D2623,"yyyy-mm")</f>
        <v>2023-09</v>
      </c>
    </row>
    <row r="2624" customFormat="false" ht="15" hidden="false" customHeight="true" outlineLevel="0" collapsed="false">
      <c r="A2624" s="1" t="n">
        <v>2683</v>
      </c>
      <c r="B2624" s="1" t="n">
        <v>209</v>
      </c>
      <c r="C2624" s="1" t="n">
        <v>9</v>
      </c>
      <c r="D2624" s="1" t="s">
        <v>1662</v>
      </c>
      <c r="E2624" s="1" t="n">
        <v>2</v>
      </c>
      <c r="F2624" s="1" t="n">
        <v>203.1</v>
      </c>
      <c r="G2624" s="1" t="n">
        <v>0</v>
      </c>
      <c r="H2624" s="1" t="s">
        <v>1336</v>
      </c>
      <c r="I2624" s="1" t="n">
        <v>406.2</v>
      </c>
      <c r="J2624" s="1" t="str">
        <f aca="false">VLOOKUP(B2624,Customers!$A$2:$G$502,6,FALSE())</f>
        <v>Small Business</v>
      </c>
      <c r="K2624" s="1" t="str">
        <f aca="false">VLOOKUP(C2624,Products!$A$2:$E$62,3,FALSE())</f>
        <v>Electronics</v>
      </c>
      <c r="L2624" s="1" t="str">
        <f aca="false">TEXT(D2624,"yyyy-mm")</f>
        <v>2024-02</v>
      </c>
    </row>
    <row r="2625" customFormat="false" ht="15" hidden="false" customHeight="true" outlineLevel="0" collapsed="false">
      <c r="A2625" s="1" t="n">
        <v>2685</v>
      </c>
      <c r="B2625" s="1" t="n">
        <v>192</v>
      </c>
      <c r="C2625" s="1" t="n">
        <v>32</v>
      </c>
      <c r="D2625" s="1" t="s">
        <v>1670</v>
      </c>
      <c r="E2625" s="1" t="n">
        <v>6</v>
      </c>
      <c r="F2625" s="1" t="n">
        <v>492.27</v>
      </c>
      <c r="G2625" s="1" t="n">
        <v>0.05</v>
      </c>
      <c r="H2625" s="1" t="s">
        <v>1336</v>
      </c>
      <c r="I2625" s="1" t="n">
        <v>2805.94</v>
      </c>
      <c r="J2625" s="1" t="str">
        <f aca="false">VLOOKUP(B2625,Customers!$A$2:$G$502,6,FALSE())</f>
        <v>Corporate</v>
      </c>
      <c r="K2625" s="1" t="str">
        <f aca="false">VLOOKUP(C2625,Products!$A$2:$E$62,3,FALSE())</f>
        <v>Office Supplies</v>
      </c>
      <c r="L2625" s="1" t="str">
        <f aca="false">TEXT(D2625,"yyyy-mm")</f>
        <v>2024-07</v>
      </c>
    </row>
    <row r="2626" customFormat="false" ht="15" hidden="false" customHeight="true" outlineLevel="0" collapsed="false">
      <c r="A2626" s="1" t="n">
        <v>2686</v>
      </c>
      <c r="B2626" s="1" t="n">
        <v>476</v>
      </c>
      <c r="C2626" s="1" t="n">
        <v>53</v>
      </c>
      <c r="D2626" s="1" t="s">
        <v>384</v>
      </c>
      <c r="E2626" s="1" t="n">
        <v>9</v>
      </c>
      <c r="F2626" s="1" t="n">
        <v>509.98</v>
      </c>
      <c r="G2626" s="1" t="n">
        <v>0.05</v>
      </c>
      <c r="H2626" s="1" t="s">
        <v>1336</v>
      </c>
      <c r="I2626" s="1" t="n">
        <v>4360.33</v>
      </c>
      <c r="J2626" s="1" t="str">
        <f aca="false">VLOOKUP(B2626,Customers!$A$2:$G$502,6,FALSE())</f>
        <v>Small Business</v>
      </c>
      <c r="K2626" s="1" t="str">
        <f aca="false">VLOOKUP(C2626,Products!$A$2:$E$62,3,FALSE())</f>
        <v>Software</v>
      </c>
      <c r="L2626" s="1" t="str">
        <f aca="false">TEXT(D2626,"yyyy-mm")</f>
        <v>2023-02</v>
      </c>
    </row>
    <row r="2627" customFormat="false" ht="15" hidden="false" customHeight="true" outlineLevel="0" collapsed="false">
      <c r="A2627" s="1" t="n">
        <v>2687</v>
      </c>
      <c r="B2627" s="1" t="n">
        <v>190</v>
      </c>
      <c r="C2627" s="1" t="n">
        <v>3</v>
      </c>
      <c r="D2627" s="1" t="s">
        <v>470</v>
      </c>
      <c r="E2627" s="1" t="n">
        <v>8</v>
      </c>
      <c r="F2627" s="1" t="n">
        <v>89.39</v>
      </c>
      <c r="G2627" s="1" t="n">
        <v>0.15</v>
      </c>
      <c r="H2627" s="1" t="s">
        <v>1336</v>
      </c>
      <c r="I2627" s="1" t="n">
        <v>607.85</v>
      </c>
      <c r="J2627" s="1" t="str">
        <f aca="false">VLOOKUP(B2627,Customers!$A$2:$G$502,6,FALSE())</f>
        <v>Corporate</v>
      </c>
      <c r="K2627" s="1" t="str">
        <f aca="false">VLOOKUP(C2627,Products!$A$2:$E$62,3,FALSE())</f>
        <v>Electronics</v>
      </c>
      <c r="L2627" s="1" t="str">
        <f aca="false">TEXT(D2627,"yyyy-mm")</f>
        <v>2023-05</v>
      </c>
    </row>
    <row r="2628" customFormat="false" ht="15" hidden="false" customHeight="true" outlineLevel="0" collapsed="false">
      <c r="A2628" s="1" t="n">
        <v>2688</v>
      </c>
      <c r="B2628" s="1" t="n">
        <v>429</v>
      </c>
      <c r="C2628" s="1" t="n">
        <v>1</v>
      </c>
      <c r="D2628" s="1" t="s">
        <v>1052</v>
      </c>
      <c r="E2628" s="1" t="n">
        <v>3</v>
      </c>
      <c r="F2628" s="1" t="n">
        <v>327.32</v>
      </c>
      <c r="G2628" s="1" t="n">
        <v>0.1</v>
      </c>
      <c r="H2628" s="1" t="s">
        <v>1336</v>
      </c>
      <c r="I2628" s="1" t="n">
        <v>883.76</v>
      </c>
      <c r="J2628" s="1" t="str">
        <f aca="false">VLOOKUP(B2628,Customers!$A$2:$G$502,6,FALSE())</f>
        <v>Corporate</v>
      </c>
      <c r="K2628" s="1" t="str">
        <f aca="false">VLOOKUP(C2628,Products!$A$2:$E$62,3,FALSE())</f>
        <v>Electronics</v>
      </c>
      <c r="L2628" s="1" t="str">
        <f aca="false">TEXT(D2628,"yyyy-mm")</f>
        <v>2024-09</v>
      </c>
    </row>
    <row r="2629" customFormat="false" ht="15" hidden="false" customHeight="true" outlineLevel="0" collapsed="false">
      <c r="A2629" s="1" t="n">
        <v>2689</v>
      </c>
      <c r="B2629" s="1" t="n">
        <v>61</v>
      </c>
      <c r="C2629" s="1" t="n">
        <v>11</v>
      </c>
      <c r="D2629" s="1" t="s">
        <v>1674</v>
      </c>
      <c r="E2629" s="1" t="n">
        <v>5</v>
      </c>
      <c r="F2629" s="1" t="n">
        <v>328.39</v>
      </c>
      <c r="G2629" s="1" t="n">
        <v>0.2</v>
      </c>
      <c r="H2629" s="1" t="s">
        <v>1336</v>
      </c>
      <c r="I2629" s="1" t="n">
        <v>1313.56</v>
      </c>
      <c r="J2629" s="1" t="str">
        <f aca="false">VLOOKUP(B2629,Customers!$A$2:$G$502,6,FALSE())</f>
        <v>Small Business</v>
      </c>
      <c r="K2629" s="1" t="str">
        <f aca="false">VLOOKUP(C2629,Products!$A$2:$E$62,3,FALSE())</f>
        <v>Electronics</v>
      </c>
      <c r="L2629" s="1" t="str">
        <f aca="false">TEXT(D2629,"yyyy-mm")</f>
        <v>2023-03</v>
      </c>
    </row>
    <row r="2630" customFormat="false" ht="15" hidden="false" customHeight="true" outlineLevel="0" collapsed="false">
      <c r="A2630" s="1" t="n">
        <v>2690</v>
      </c>
      <c r="B2630" s="1" t="n">
        <v>312</v>
      </c>
      <c r="C2630" s="1" t="n">
        <v>17</v>
      </c>
      <c r="D2630" s="1" t="s">
        <v>440</v>
      </c>
      <c r="E2630" s="1" t="n">
        <v>7</v>
      </c>
      <c r="F2630" s="1" t="n">
        <v>65.61</v>
      </c>
      <c r="G2630" s="1" t="n">
        <v>0</v>
      </c>
      <c r="H2630" s="1" t="s">
        <v>1336</v>
      </c>
      <c r="I2630" s="1" t="n">
        <v>459.27</v>
      </c>
      <c r="J2630" s="1" t="str">
        <f aca="false">VLOOKUP(B2630,Customers!$A$2:$G$502,6,FALSE())</f>
        <v>Small Business</v>
      </c>
      <c r="K2630" s="1" t="str">
        <f aca="false">VLOOKUP(C2630,Products!$A$2:$E$62,3,FALSE())</f>
        <v>Electronics</v>
      </c>
      <c r="L2630" s="1" t="str">
        <f aca="false">TEXT(D2630,"yyyy-mm")</f>
        <v>2023-12</v>
      </c>
    </row>
    <row r="2631" customFormat="false" ht="15" hidden="false" customHeight="true" outlineLevel="0" collapsed="false">
      <c r="A2631" s="1" t="n">
        <v>2691</v>
      </c>
      <c r="B2631" s="1" t="n">
        <v>240</v>
      </c>
      <c r="C2631" s="1" t="n">
        <v>45</v>
      </c>
      <c r="D2631" s="1" t="s">
        <v>479</v>
      </c>
      <c r="E2631" s="1" t="n">
        <v>5</v>
      </c>
      <c r="F2631" s="1" t="n">
        <v>560.01</v>
      </c>
      <c r="G2631" s="1" t="n">
        <v>0</v>
      </c>
      <c r="H2631" s="1" t="s">
        <v>1336</v>
      </c>
      <c r="I2631" s="1" t="n">
        <v>2800.05</v>
      </c>
      <c r="J2631" s="1" t="str">
        <f aca="false">VLOOKUP(B2631,Customers!$A$2:$G$502,6,FALSE())</f>
        <v>Corporate</v>
      </c>
      <c r="K2631" s="1" t="str">
        <f aca="false">VLOOKUP(C2631,Products!$A$2:$E$62,3,FALSE())</f>
        <v>Software</v>
      </c>
      <c r="L2631" s="1" t="str">
        <f aca="false">TEXT(D2631,"yyyy-mm")</f>
        <v>2024-09</v>
      </c>
    </row>
    <row r="2632" customFormat="false" ht="15" hidden="false" customHeight="true" outlineLevel="0" collapsed="false">
      <c r="A2632" s="1" t="n">
        <v>2692</v>
      </c>
      <c r="B2632" s="1" t="n">
        <v>201</v>
      </c>
      <c r="C2632" s="1" t="n">
        <v>3</v>
      </c>
      <c r="D2632" s="1" t="s">
        <v>994</v>
      </c>
      <c r="E2632" s="1" t="n">
        <v>8</v>
      </c>
      <c r="F2632" s="1" t="n">
        <v>89.39</v>
      </c>
      <c r="G2632" s="1" t="n">
        <v>0.1</v>
      </c>
      <c r="H2632" s="1" t="s">
        <v>1336</v>
      </c>
      <c r="I2632" s="1" t="n">
        <v>643.61</v>
      </c>
      <c r="J2632" s="1" t="str">
        <f aca="false">VLOOKUP(B2632,Customers!$A$2:$G$502,6,FALSE())</f>
        <v>Corporate</v>
      </c>
      <c r="K2632" s="1" t="str">
        <f aca="false">VLOOKUP(C2632,Products!$A$2:$E$62,3,FALSE())</f>
        <v>Electronics</v>
      </c>
      <c r="L2632" s="1" t="str">
        <f aca="false">TEXT(D2632,"yyyy-mm")</f>
        <v>2023-02</v>
      </c>
    </row>
    <row r="2633" customFormat="false" ht="15" hidden="false" customHeight="true" outlineLevel="0" collapsed="false">
      <c r="A2633" s="1" t="n">
        <v>2693</v>
      </c>
      <c r="B2633" s="1" t="n">
        <v>179</v>
      </c>
      <c r="C2633" s="1" t="n">
        <v>59</v>
      </c>
      <c r="D2633" s="1" t="s">
        <v>1271</v>
      </c>
      <c r="E2633" s="1" t="n">
        <v>5</v>
      </c>
      <c r="F2633" s="1" t="n">
        <v>438.89</v>
      </c>
      <c r="G2633" s="1" t="n">
        <v>0</v>
      </c>
      <c r="H2633" s="1" t="s">
        <v>1336</v>
      </c>
      <c r="I2633" s="1" t="n">
        <v>2194.45</v>
      </c>
      <c r="J2633" s="1" t="str">
        <f aca="false">VLOOKUP(B2633,Customers!$A$2:$G$502,6,FALSE())</f>
        <v>Small Business</v>
      </c>
      <c r="K2633" s="1" t="str">
        <f aca="false">VLOOKUP(C2633,Products!$A$2:$E$62,3,FALSE())</f>
        <v>Furniture</v>
      </c>
      <c r="L2633" s="1" t="str">
        <f aca="false">TEXT(D2633,"yyyy-mm")</f>
        <v>2024-05</v>
      </c>
    </row>
    <row r="2634" customFormat="false" ht="15" hidden="false" customHeight="true" outlineLevel="0" collapsed="false">
      <c r="A2634" s="1" t="n">
        <v>2694</v>
      </c>
      <c r="B2634" s="1" t="n">
        <v>488</v>
      </c>
      <c r="C2634" s="1" t="n">
        <v>9</v>
      </c>
      <c r="D2634" s="1" t="s">
        <v>1230</v>
      </c>
      <c r="E2634" s="1" t="n">
        <v>1</v>
      </c>
      <c r="F2634" s="1" t="n">
        <v>203.1</v>
      </c>
      <c r="G2634" s="1" t="n">
        <v>0</v>
      </c>
      <c r="H2634" s="1" t="s">
        <v>1336</v>
      </c>
      <c r="I2634" s="1" t="n">
        <v>203.1</v>
      </c>
      <c r="J2634" s="1" t="str">
        <f aca="false">VLOOKUP(B2634,Customers!$A$2:$G$502,6,FALSE())</f>
        <v>Consumer</v>
      </c>
      <c r="K2634" s="1" t="str">
        <f aca="false">VLOOKUP(C2634,Products!$A$2:$E$62,3,FALSE())</f>
        <v>Electronics</v>
      </c>
      <c r="L2634" s="1" t="str">
        <f aca="false">TEXT(D2634,"yyyy-mm")</f>
        <v>2023-02</v>
      </c>
    </row>
    <row r="2635" customFormat="false" ht="15" hidden="false" customHeight="true" outlineLevel="0" collapsed="false">
      <c r="A2635" s="1" t="n">
        <v>2695</v>
      </c>
      <c r="B2635" s="1" t="n">
        <v>474</v>
      </c>
      <c r="C2635" s="1" t="n">
        <v>22</v>
      </c>
      <c r="D2635" s="1" t="s">
        <v>87</v>
      </c>
      <c r="E2635" s="1" t="n">
        <v>5</v>
      </c>
      <c r="F2635" s="1" t="n">
        <v>38.57</v>
      </c>
      <c r="G2635" s="1" t="n">
        <v>0.1</v>
      </c>
      <c r="H2635" s="1" t="s">
        <v>1336</v>
      </c>
      <c r="I2635" s="1" t="n">
        <v>173.56</v>
      </c>
      <c r="J2635" s="1" t="str">
        <f aca="false">VLOOKUP(B2635,Customers!$A$2:$G$502,6,FALSE())</f>
        <v>Consumer</v>
      </c>
      <c r="K2635" s="1" t="str">
        <f aca="false">VLOOKUP(C2635,Products!$A$2:$E$62,3,FALSE())</f>
        <v>Office Supplies</v>
      </c>
      <c r="L2635" s="1" t="str">
        <f aca="false">TEXT(D2635,"yyyy-mm")</f>
        <v>2023-08</v>
      </c>
    </row>
    <row r="2636" customFormat="false" ht="15" hidden="false" customHeight="true" outlineLevel="0" collapsed="false">
      <c r="A2636" s="1" t="n">
        <v>2696</v>
      </c>
      <c r="B2636" s="1" t="n">
        <v>281</v>
      </c>
      <c r="C2636" s="1" t="n">
        <v>39</v>
      </c>
      <c r="D2636" s="1" t="s">
        <v>750</v>
      </c>
      <c r="E2636" s="1" t="n">
        <v>4</v>
      </c>
      <c r="F2636" s="1" t="n">
        <v>400.02</v>
      </c>
      <c r="G2636" s="1" t="n">
        <v>0</v>
      </c>
      <c r="H2636" s="1" t="s">
        <v>1336</v>
      </c>
      <c r="I2636" s="1" t="n">
        <v>1600.08</v>
      </c>
      <c r="J2636" s="1" t="str">
        <f aca="false">VLOOKUP(B2636,Customers!$A$2:$G$502,6,FALSE())</f>
        <v>Corporate</v>
      </c>
      <c r="K2636" s="1" t="str">
        <f aca="false">VLOOKUP(C2636,Products!$A$2:$E$62,3,FALSE())</f>
        <v>Software</v>
      </c>
      <c r="L2636" s="1" t="str">
        <f aca="false">TEXT(D2636,"yyyy-mm")</f>
        <v>2024-02</v>
      </c>
    </row>
    <row r="2637" customFormat="false" ht="15" hidden="false" customHeight="true" outlineLevel="0" collapsed="false">
      <c r="A2637" s="1" t="n">
        <v>2697</v>
      </c>
      <c r="B2637" s="1" t="n">
        <v>145</v>
      </c>
      <c r="C2637" s="1" t="n">
        <v>49</v>
      </c>
      <c r="D2637" s="1" t="s">
        <v>1092</v>
      </c>
      <c r="E2637" s="1" t="n">
        <v>6</v>
      </c>
      <c r="F2637" s="1" t="n">
        <v>325.17</v>
      </c>
      <c r="G2637" s="1" t="n">
        <v>0.05</v>
      </c>
      <c r="H2637" s="1" t="s">
        <v>1370</v>
      </c>
      <c r="I2637" s="1" t="n">
        <v>1853.47</v>
      </c>
      <c r="J2637" s="1" t="str">
        <f aca="false">VLOOKUP(B2637,Customers!$A$2:$G$502,6,FALSE())</f>
        <v>Corporate</v>
      </c>
      <c r="K2637" s="1" t="str">
        <f aca="false">VLOOKUP(C2637,Products!$A$2:$E$62,3,FALSE())</f>
        <v>Software</v>
      </c>
      <c r="L2637" s="1" t="str">
        <f aca="false">TEXT(D2637,"yyyy-mm")</f>
        <v>2023-12</v>
      </c>
    </row>
    <row r="2638" customFormat="false" ht="15" hidden="false" customHeight="true" outlineLevel="0" collapsed="false">
      <c r="A2638" s="1" t="n">
        <v>2698</v>
      </c>
      <c r="B2638" s="1" t="n">
        <v>190</v>
      </c>
      <c r="C2638" s="1" t="n">
        <v>10</v>
      </c>
      <c r="D2638" s="1" t="s">
        <v>1385</v>
      </c>
      <c r="E2638" s="1" t="n">
        <v>3</v>
      </c>
      <c r="F2638" s="1" t="n">
        <v>251.58</v>
      </c>
      <c r="G2638" s="1" t="n">
        <v>0.05</v>
      </c>
      <c r="H2638" s="1" t="s">
        <v>1336</v>
      </c>
      <c r="I2638" s="1" t="n">
        <v>717</v>
      </c>
      <c r="J2638" s="1" t="str">
        <f aca="false">VLOOKUP(B2638,Customers!$A$2:$G$502,6,FALSE())</f>
        <v>Corporate</v>
      </c>
      <c r="K2638" s="1" t="str">
        <f aca="false">VLOOKUP(C2638,Products!$A$2:$E$62,3,FALSE())</f>
        <v>Electronics</v>
      </c>
      <c r="L2638" s="1" t="str">
        <f aca="false">TEXT(D2638,"yyyy-mm")</f>
        <v>2023-05</v>
      </c>
    </row>
    <row r="2639" customFormat="false" ht="15" hidden="false" customHeight="true" outlineLevel="0" collapsed="false">
      <c r="A2639" s="1" t="n">
        <v>2699</v>
      </c>
      <c r="B2639" s="1" t="n">
        <v>121</v>
      </c>
      <c r="C2639" s="1" t="n">
        <v>52</v>
      </c>
      <c r="D2639" s="1" t="s">
        <v>1237</v>
      </c>
      <c r="E2639" s="1" t="n">
        <v>5</v>
      </c>
      <c r="F2639" s="1" t="n">
        <v>207.67</v>
      </c>
      <c r="G2639" s="1" t="n">
        <v>0</v>
      </c>
      <c r="H2639" s="1" t="s">
        <v>1336</v>
      </c>
      <c r="I2639" s="1" t="n">
        <v>1038.35</v>
      </c>
      <c r="J2639" s="1" t="str">
        <f aca="false">VLOOKUP(B2639,Customers!$A$2:$G$502,6,FALSE())</f>
        <v>Consumer</v>
      </c>
      <c r="K2639" s="1" t="str">
        <f aca="false">VLOOKUP(C2639,Products!$A$2:$E$62,3,FALSE())</f>
        <v>Software</v>
      </c>
      <c r="L2639" s="1" t="str">
        <f aca="false">TEXT(D2639,"yyyy-mm")</f>
        <v>2024-02</v>
      </c>
    </row>
    <row r="2640" customFormat="false" ht="15" hidden="false" customHeight="true" outlineLevel="0" collapsed="false">
      <c r="A2640" s="1" t="n">
        <v>2700</v>
      </c>
      <c r="B2640" s="1" t="n">
        <v>230</v>
      </c>
      <c r="C2640" s="1" t="n">
        <v>1</v>
      </c>
      <c r="D2640" s="1" t="s">
        <v>1157</v>
      </c>
      <c r="E2640" s="1" t="n">
        <v>2</v>
      </c>
      <c r="F2640" s="1" t="n">
        <v>327.32</v>
      </c>
      <c r="G2640" s="1" t="n">
        <v>0.05</v>
      </c>
      <c r="H2640" s="1" t="s">
        <v>1336</v>
      </c>
      <c r="I2640" s="1" t="n">
        <v>621.91</v>
      </c>
      <c r="J2640" s="1" t="str">
        <f aca="false">VLOOKUP(B2640,Customers!$A$2:$G$502,6,FALSE())</f>
        <v>Corporate</v>
      </c>
      <c r="K2640" s="1" t="str">
        <f aca="false">VLOOKUP(C2640,Products!$A$2:$E$62,3,FALSE())</f>
        <v>Electronics</v>
      </c>
      <c r="L2640" s="1" t="str">
        <f aca="false">TEXT(D2640,"yyyy-mm")</f>
        <v>2023-10</v>
      </c>
    </row>
    <row r="2641" customFormat="false" ht="15" hidden="false" customHeight="true" outlineLevel="0" collapsed="false">
      <c r="A2641" s="1" t="n">
        <v>2701</v>
      </c>
      <c r="B2641" s="1" t="n">
        <v>9</v>
      </c>
      <c r="C2641" s="1" t="n">
        <v>9</v>
      </c>
      <c r="D2641" s="1" t="s">
        <v>1574</v>
      </c>
      <c r="E2641" s="1" t="n">
        <v>6</v>
      </c>
      <c r="F2641" s="1" t="n">
        <v>203.1</v>
      </c>
      <c r="G2641" s="1" t="n">
        <v>0</v>
      </c>
      <c r="H2641" s="1" t="s">
        <v>1336</v>
      </c>
      <c r="I2641" s="1" t="n">
        <v>1218.6</v>
      </c>
      <c r="J2641" s="1" t="str">
        <f aca="false">VLOOKUP(B2641,Customers!$A$2:$G$502,6,FALSE())</f>
        <v>Small Business</v>
      </c>
      <c r="K2641" s="1" t="str">
        <f aca="false">VLOOKUP(C2641,Products!$A$2:$E$62,3,FALSE())</f>
        <v>Electronics</v>
      </c>
      <c r="L2641" s="1" t="str">
        <f aca="false">TEXT(D2641,"yyyy-mm")</f>
        <v>2023-07</v>
      </c>
    </row>
    <row r="2642" customFormat="false" ht="15" hidden="false" customHeight="true" outlineLevel="0" collapsed="false">
      <c r="A2642" s="1" t="n">
        <v>2702</v>
      </c>
      <c r="B2642" s="1" t="n">
        <v>192</v>
      </c>
      <c r="C2642" s="1" t="n">
        <v>13</v>
      </c>
      <c r="D2642" s="1" t="s">
        <v>1554</v>
      </c>
      <c r="E2642" s="1" t="n">
        <v>6</v>
      </c>
      <c r="F2642" s="1" t="n">
        <v>352.54</v>
      </c>
      <c r="G2642" s="1" t="n">
        <v>0</v>
      </c>
      <c r="H2642" s="1" t="s">
        <v>1336</v>
      </c>
      <c r="I2642" s="1" t="n">
        <v>2115.24</v>
      </c>
      <c r="J2642" s="1" t="str">
        <f aca="false">VLOOKUP(B2642,Customers!$A$2:$G$502,6,FALSE())</f>
        <v>Corporate</v>
      </c>
      <c r="K2642" s="1" t="str">
        <f aca="false">VLOOKUP(C2642,Products!$A$2:$E$62,3,FALSE())</f>
        <v>Electronics</v>
      </c>
      <c r="L2642" s="1" t="str">
        <f aca="false">TEXT(D2642,"yyyy-mm")</f>
        <v>2024-11</v>
      </c>
    </row>
    <row r="2643" customFormat="false" ht="15" hidden="false" customHeight="true" outlineLevel="0" collapsed="false">
      <c r="A2643" s="1" t="n">
        <v>2703</v>
      </c>
      <c r="B2643" s="1" t="n">
        <v>217</v>
      </c>
      <c r="C2643" s="1" t="n">
        <v>32</v>
      </c>
      <c r="D2643" s="1" t="s">
        <v>1352</v>
      </c>
      <c r="E2643" s="1" t="n">
        <v>5</v>
      </c>
      <c r="F2643" s="1" t="n">
        <v>492.27</v>
      </c>
      <c r="G2643" s="1" t="n">
        <v>0</v>
      </c>
      <c r="H2643" s="1" t="s">
        <v>1336</v>
      </c>
      <c r="I2643" s="1" t="n">
        <v>2461.35</v>
      </c>
      <c r="J2643" s="1" t="str">
        <f aca="false">VLOOKUP(B2643,Customers!$A$2:$G$502,6,FALSE())</f>
        <v>Consumer</v>
      </c>
      <c r="K2643" s="1" t="str">
        <f aca="false">VLOOKUP(C2643,Products!$A$2:$E$62,3,FALSE())</f>
        <v>Office Supplies</v>
      </c>
      <c r="L2643" s="1" t="str">
        <f aca="false">TEXT(D2643,"yyyy-mm")</f>
        <v>2023-04</v>
      </c>
    </row>
    <row r="2644" customFormat="false" ht="15" hidden="false" customHeight="true" outlineLevel="0" collapsed="false">
      <c r="A2644" s="1" t="n">
        <v>2704</v>
      </c>
      <c r="B2644" s="1" t="n">
        <v>67</v>
      </c>
      <c r="C2644" s="1" t="n">
        <v>12</v>
      </c>
      <c r="D2644" s="1" t="s">
        <v>429</v>
      </c>
      <c r="E2644" s="1" t="n">
        <v>6</v>
      </c>
      <c r="F2644" s="1" t="n">
        <v>179.23</v>
      </c>
      <c r="G2644" s="1" t="n">
        <v>0</v>
      </c>
      <c r="H2644" s="1" t="s">
        <v>1336</v>
      </c>
      <c r="I2644" s="1" t="n">
        <v>1075.38</v>
      </c>
      <c r="J2644" s="1" t="str">
        <f aca="false">VLOOKUP(B2644,Customers!$A$2:$G$502,6,FALSE())</f>
        <v>Small Business</v>
      </c>
      <c r="K2644" s="1" t="str">
        <f aca="false">VLOOKUP(C2644,Products!$A$2:$E$62,3,FALSE())</f>
        <v>Electronics</v>
      </c>
      <c r="L2644" s="1" t="str">
        <f aca="false">TEXT(D2644,"yyyy-mm")</f>
        <v>2023-09</v>
      </c>
    </row>
    <row r="2645" customFormat="false" ht="15" hidden="false" customHeight="true" outlineLevel="0" collapsed="false">
      <c r="A2645" s="1" t="n">
        <v>2705</v>
      </c>
      <c r="B2645" s="1" t="n">
        <v>136</v>
      </c>
      <c r="C2645" s="1" t="n">
        <v>4</v>
      </c>
      <c r="D2645" s="1" t="s">
        <v>303</v>
      </c>
      <c r="E2645" s="1" t="n">
        <v>7</v>
      </c>
      <c r="F2645" s="1" t="n">
        <v>56.24</v>
      </c>
      <c r="G2645" s="1" t="n">
        <v>0.05</v>
      </c>
      <c r="H2645" s="1" t="s">
        <v>1370</v>
      </c>
      <c r="I2645" s="1" t="n">
        <v>374</v>
      </c>
      <c r="J2645" s="1" t="str">
        <f aca="false">VLOOKUP(B2645,Customers!$A$2:$G$502,6,FALSE())</f>
        <v>Corporate</v>
      </c>
      <c r="K2645" s="1" t="str">
        <f aca="false">VLOOKUP(C2645,Products!$A$2:$E$62,3,FALSE())</f>
        <v>Electronics</v>
      </c>
      <c r="L2645" s="1" t="str">
        <f aca="false">TEXT(D2645,"yyyy-mm")</f>
        <v>2024-12</v>
      </c>
    </row>
    <row r="2646" customFormat="false" ht="15" hidden="false" customHeight="true" outlineLevel="0" collapsed="false">
      <c r="A2646" s="1" t="n">
        <v>2706</v>
      </c>
      <c r="B2646" s="1" t="n">
        <v>416</v>
      </c>
      <c r="C2646" s="1" t="n">
        <v>21</v>
      </c>
      <c r="D2646" s="1" t="s">
        <v>1374</v>
      </c>
      <c r="E2646" s="1" t="n">
        <v>5</v>
      </c>
      <c r="F2646" s="1" t="n">
        <v>84.91</v>
      </c>
      <c r="G2646" s="1" t="n">
        <v>0.05</v>
      </c>
      <c r="H2646" s="1" t="s">
        <v>1336</v>
      </c>
      <c r="I2646" s="1" t="n">
        <v>403.32</v>
      </c>
      <c r="J2646" s="1" t="str">
        <f aca="false">VLOOKUP(B2646,Customers!$A$2:$G$502,6,FALSE())</f>
        <v>Small Business</v>
      </c>
      <c r="K2646" s="1" t="str">
        <f aca="false">VLOOKUP(C2646,Products!$A$2:$E$62,3,FALSE())</f>
        <v>Office Supplies</v>
      </c>
      <c r="L2646" s="1" t="str">
        <f aca="false">TEXT(D2646,"yyyy-mm")</f>
        <v>2024-12</v>
      </c>
    </row>
    <row r="2647" customFormat="false" ht="15" hidden="false" customHeight="true" outlineLevel="0" collapsed="false">
      <c r="A2647" s="1" t="n">
        <v>2707</v>
      </c>
      <c r="B2647" s="1" t="n">
        <v>377</v>
      </c>
      <c r="C2647" s="1" t="n">
        <v>6</v>
      </c>
      <c r="D2647" s="1" t="s">
        <v>1089</v>
      </c>
      <c r="E2647" s="1" t="n">
        <v>1</v>
      </c>
      <c r="F2647" s="1" t="n">
        <v>28.51</v>
      </c>
      <c r="G2647" s="1" t="n">
        <v>0.1</v>
      </c>
      <c r="H2647" s="1" t="s">
        <v>1336</v>
      </c>
      <c r="I2647" s="1" t="n">
        <v>25.66</v>
      </c>
      <c r="J2647" s="1" t="str">
        <f aca="false">VLOOKUP(B2647,Customers!$A$2:$G$502,6,FALSE())</f>
        <v>Corporate</v>
      </c>
      <c r="K2647" s="1" t="str">
        <f aca="false">VLOOKUP(C2647,Products!$A$2:$E$62,3,FALSE())</f>
        <v>Electronics</v>
      </c>
      <c r="L2647" s="1" t="str">
        <f aca="false">TEXT(D2647,"yyyy-mm")</f>
        <v>2024-10</v>
      </c>
    </row>
    <row r="2648" customFormat="false" ht="15" hidden="false" customHeight="true" outlineLevel="0" collapsed="false">
      <c r="A2648" s="1" t="n">
        <v>2708</v>
      </c>
      <c r="B2648" s="1" t="n">
        <v>154</v>
      </c>
      <c r="C2648" s="1" t="n">
        <v>55</v>
      </c>
      <c r="D2648" s="1" t="s">
        <v>1571</v>
      </c>
      <c r="E2648" s="1" t="n">
        <v>8</v>
      </c>
      <c r="F2648" s="1" t="n">
        <v>123.38</v>
      </c>
      <c r="G2648" s="1" t="n">
        <v>0.1</v>
      </c>
      <c r="H2648" s="1" t="s">
        <v>1336</v>
      </c>
      <c r="I2648" s="1" t="n">
        <v>888.34</v>
      </c>
      <c r="J2648" s="1" t="str">
        <f aca="false">VLOOKUP(B2648,Customers!$A$2:$G$502,6,FALSE())</f>
        <v>Small Business</v>
      </c>
      <c r="K2648" s="1" t="str">
        <f aca="false">VLOOKUP(C2648,Products!$A$2:$E$62,3,FALSE())</f>
        <v>Furniture</v>
      </c>
      <c r="L2648" s="1" t="str">
        <f aca="false">TEXT(D2648,"yyyy-mm")</f>
        <v>2024-02</v>
      </c>
    </row>
    <row r="2649" customFormat="false" ht="15" hidden="false" customHeight="true" outlineLevel="0" collapsed="false">
      <c r="A2649" s="1" t="n">
        <v>2709</v>
      </c>
      <c r="B2649" s="1" t="n">
        <v>100</v>
      </c>
      <c r="C2649" s="1" t="n">
        <v>57</v>
      </c>
      <c r="D2649" s="1" t="s">
        <v>949</v>
      </c>
      <c r="E2649" s="1" t="n">
        <v>4</v>
      </c>
      <c r="F2649" s="1" t="n">
        <v>719.76</v>
      </c>
      <c r="G2649" s="1" t="n">
        <v>0.15</v>
      </c>
      <c r="H2649" s="1" t="s">
        <v>1336</v>
      </c>
      <c r="I2649" s="1" t="n">
        <v>2447.18</v>
      </c>
      <c r="J2649" s="1" t="str">
        <f aca="false">VLOOKUP(B2649,Customers!$A$2:$G$502,6,FALSE())</f>
        <v>Consumer</v>
      </c>
      <c r="K2649" s="1" t="str">
        <f aca="false">VLOOKUP(C2649,Products!$A$2:$E$62,3,FALSE())</f>
        <v>Furniture</v>
      </c>
      <c r="L2649" s="1" t="str">
        <f aca="false">TEXT(D2649,"yyyy-mm")</f>
        <v>2023-11</v>
      </c>
    </row>
    <row r="2650" customFormat="false" ht="15" hidden="false" customHeight="true" outlineLevel="0" collapsed="false">
      <c r="A2650" s="1" t="n">
        <v>2710</v>
      </c>
      <c r="B2650" s="1" t="n">
        <v>281</v>
      </c>
      <c r="C2650" s="1" t="n">
        <v>1</v>
      </c>
      <c r="D2650" s="1" t="s">
        <v>1525</v>
      </c>
      <c r="E2650" s="1" t="n">
        <v>9</v>
      </c>
      <c r="F2650" s="1" t="n">
        <v>327.32</v>
      </c>
      <c r="G2650" s="1" t="n">
        <v>0.15</v>
      </c>
      <c r="H2650" s="1" t="s">
        <v>1336</v>
      </c>
      <c r="I2650" s="1" t="n">
        <v>2504</v>
      </c>
      <c r="J2650" s="1" t="str">
        <f aca="false">VLOOKUP(B2650,Customers!$A$2:$G$502,6,FALSE())</f>
        <v>Corporate</v>
      </c>
      <c r="K2650" s="1" t="str">
        <f aca="false">VLOOKUP(C2650,Products!$A$2:$E$62,3,FALSE())</f>
        <v>Electronics</v>
      </c>
      <c r="L2650" s="1" t="str">
        <f aca="false">TEXT(D2650,"yyyy-mm")</f>
        <v>2024-01</v>
      </c>
    </row>
    <row r="2651" customFormat="false" ht="15" hidden="false" customHeight="true" outlineLevel="0" collapsed="false">
      <c r="A2651" s="1" t="n">
        <v>2712</v>
      </c>
      <c r="B2651" s="1" t="n">
        <v>329</v>
      </c>
      <c r="C2651" s="1" t="n">
        <v>7</v>
      </c>
      <c r="D2651" s="1" t="s">
        <v>1666</v>
      </c>
      <c r="E2651" s="1" t="n">
        <v>1</v>
      </c>
      <c r="F2651" s="1" t="n">
        <v>460</v>
      </c>
      <c r="G2651" s="1" t="n">
        <v>0</v>
      </c>
      <c r="H2651" s="1" t="s">
        <v>1336</v>
      </c>
      <c r="I2651" s="1" t="n">
        <v>460</v>
      </c>
      <c r="J2651" s="1" t="str">
        <f aca="false">VLOOKUP(B2651,Customers!$A$2:$G$502,6,FALSE())</f>
        <v>Consumer</v>
      </c>
      <c r="K2651" s="1" t="str">
        <f aca="false">VLOOKUP(C2651,Products!$A$2:$E$62,3,FALSE())</f>
        <v>Electronics</v>
      </c>
      <c r="L2651" s="1" t="str">
        <f aca="false">TEXT(D2651,"yyyy-mm")</f>
        <v>2024-07</v>
      </c>
    </row>
    <row r="2652" customFormat="false" ht="15" hidden="false" customHeight="true" outlineLevel="0" collapsed="false">
      <c r="A2652" s="1" t="n">
        <v>2713</v>
      </c>
      <c r="B2652" s="1" t="n">
        <v>98</v>
      </c>
      <c r="C2652" s="1" t="n">
        <v>55</v>
      </c>
      <c r="D2652" s="1" t="s">
        <v>1638</v>
      </c>
      <c r="E2652" s="1" t="n">
        <v>3</v>
      </c>
      <c r="F2652" s="1" t="n">
        <v>123.38</v>
      </c>
      <c r="G2652" s="1" t="n">
        <v>0.15</v>
      </c>
      <c r="H2652" s="1" t="s">
        <v>1336</v>
      </c>
      <c r="I2652" s="1" t="n">
        <v>314.62</v>
      </c>
      <c r="J2652" s="1" t="str">
        <f aca="false">VLOOKUP(B2652,Customers!$A$2:$G$502,6,FALSE())</f>
        <v>Corporate</v>
      </c>
      <c r="K2652" s="1" t="str">
        <f aca="false">VLOOKUP(C2652,Products!$A$2:$E$62,3,FALSE())</f>
        <v>Furniture</v>
      </c>
      <c r="L2652" s="1" t="str">
        <f aca="false">TEXT(D2652,"yyyy-mm")</f>
        <v>2023-05</v>
      </c>
    </row>
    <row r="2653" customFormat="false" ht="15" hidden="false" customHeight="true" outlineLevel="0" collapsed="false">
      <c r="A2653" s="1" t="n">
        <v>2714</v>
      </c>
      <c r="B2653" s="1" t="n">
        <v>108</v>
      </c>
      <c r="C2653" s="1" t="n">
        <v>37</v>
      </c>
      <c r="D2653" s="1" t="s">
        <v>1571</v>
      </c>
      <c r="E2653" s="1" t="n">
        <v>3</v>
      </c>
      <c r="F2653" s="1" t="n">
        <v>13.95</v>
      </c>
      <c r="G2653" s="1" t="n">
        <v>0</v>
      </c>
      <c r="H2653" s="1" t="s">
        <v>1336</v>
      </c>
      <c r="I2653" s="1" t="n">
        <v>41.85</v>
      </c>
      <c r="J2653" s="1" t="str">
        <f aca="false">VLOOKUP(B2653,Customers!$A$2:$G$502,6,FALSE())</f>
        <v>Consumer</v>
      </c>
      <c r="K2653" s="1" t="str">
        <f aca="false">VLOOKUP(C2653,Products!$A$2:$E$62,3,FALSE())</f>
        <v>Software</v>
      </c>
      <c r="L2653" s="1" t="str">
        <f aca="false">TEXT(D2653,"yyyy-mm")</f>
        <v>2024-02</v>
      </c>
    </row>
    <row r="2654" customFormat="false" ht="15" hidden="false" customHeight="true" outlineLevel="0" collapsed="false">
      <c r="A2654" s="1" t="n">
        <v>2715</v>
      </c>
      <c r="B2654" s="1" t="n">
        <v>123</v>
      </c>
      <c r="C2654" s="1" t="n">
        <v>49</v>
      </c>
      <c r="D2654" s="1" t="s">
        <v>47</v>
      </c>
      <c r="E2654" s="1" t="n">
        <v>4</v>
      </c>
      <c r="F2654" s="1" t="n">
        <v>325.17</v>
      </c>
      <c r="G2654" s="1" t="n">
        <v>0.2</v>
      </c>
      <c r="H2654" s="1" t="s">
        <v>1336</v>
      </c>
      <c r="I2654" s="1" t="n">
        <v>1040.54</v>
      </c>
      <c r="J2654" s="1" t="str">
        <f aca="false">VLOOKUP(B2654,Customers!$A$2:$G$502,6,FALSE())</f>
        <v>Small Business</v>
      </c>
      <c r="K2654" s="1" t="str">
        <f aca="false">VLOOKUP(C2654,Products!$A$2:$E$62,3,FALSE())</f>
        <v>Software</v>
      </c>
      <c r="L2654" s="1" t="str">
        <f aca="false">TEXT(D2654,"yyyy-mm")</f>
        <v>2023-06</v>
      </c>
    </row>
    <row r="2655" customFormat="false" ht="15" hidden="false" customHeight="true" outlineLevel="0" collapsed="false">
      <c r="A2655" s="1" t="n">
        <v>2716</v>
      </c>
      <c r="B2655" s="1" t="n">
        <v>441</v>
      </c>
      <c r="C2655" s="1" t="n">
        <v>38</v>
      </c>
      <c r="D2655" s="1" t="s">
        <v>1479</v>
      </c>
      <c r="E2655" s="1" t="n">
        <v>6</v>
      </c>
      <c r="F2655" s="1" t="n">
        <v>521.63</v>
      </c>
      <c r="G2655" s="1" t="n">
        <v>0</v>
      </c>
      <c r="H2655" s="1" t="s">
        <v>1336</v>
      </c>
      <c r="I2655" s="1" t="n">
        <v>3129.78</v>
      </c>
      <c r="J2655" s="1" t="str">
        <f aca="false">VLOOKUP(B2655,Customers!$A$2:$G$502,6,FALSE())</f>
        <v>Corporate</v>
      </c>
      <c r="K2655" s="1" t="str">
        <f aca="false">VLOOKUP(C2655,Products!$A$2:$E$62,3,FALSE())</f>
        <v>Software</v>
      </c>
      <c r="L2655" s="1" t="str">
        <f aca="false">TEXT(D2655,"yyyy-mm")</f>
        <v>2024-10</v>
      </c>
    </row>
    <row r="2656" customFormat="false" ht="15" hidden="false" customHeight="true" outlineLevel="0" collapsed="false">
      <c r="A2656" s="1" t="n">
        <v>2717</v>
      </c>
      <c r="B2656" s="1" t="n">
        <v>364</v>
      </c>
      <c r="C2656" s="1" t="n">
        <v>11</v>
      </c>
      <c r="D2656" s="1" t="s">
        <v>1437</v>
      </c>
      <c r="E2656" s="1" t="n">
        <v>7</v>
      </c>
      <c r="F2656" s="1" t="n">
        <v>328.39</v>
      </c>
      <c r="G2656" s="1" t="n">
        <v>0.15</v>
      </c>
      <c r="H2656" s="1" t="s">
        <v>1336</v>
      </c>
      <c r="I2656" s="1" t="n">
        <v>1953.92</v>
      </c>
      <c r="J2656" s="1" t="str">
        <f aca="false">VLOOKUP(B2656,Customers!$A$2:$G$502,6,FALSE())</f>
        <v>Small Business</v>
      </c>
      <c r="K2656" s="1" t="str">
        <f aca="false">VLOOKUP(C2656,Products!$A$2:$E$62,3,FALSE())</f>
        <v>Electronics</v>
      </c>
      <c r="L2656" s="1" t="str">
        <f aca="false">TEXT(D2656,"yyyy-mm")</f>
        <v>2023-08</v>
      </c>
    </row>
    <row r="2657" customFormat="false" ht="15" hidden="false" customHeight="true" outlineLevel="0" collapsed="false">
      <c r="A2657" s="1" t="n">
        <v>2718</v>
      </c>
      <c r="B2657" s="1" t="n">
        <v>352</v>
      </c>
      <c r="C2657" s="1" t="n">
        <v>12</v>
      </c>
      <c r="D2657" s="1" t="s">
        <v>924</v>
      </c>
      <c r="E2657" s="1" t="n">
        <v>4</v>
      </c>
      <c r="F2657" s="1" t="n">
        <v>179.23</v>
      </c>
      <c r="G2657" s="1" t="n">
        <v>0</v>
      </c>
      <c r="H2657" s="1" t="s">
        <v>1336</v>
      </c>
      <c r="I2657" s="1" t="n">
        <v>716.92</v>
      </c>
      <c r="J2657" s="1" t="str">
        <f aca="false">VLOOKUP(B2657,Customers!$A$2:$G$502,6,FALSE())</f>
        <v>Corporate</v>
      </c>
      <c r="K2657" s="1" t="str">
        <f aca="false">VLOOKUP(C2657,Products!$A$2:$E$62,3,FALSE())</f>
        <v>Electronics</v>
      </c>
      <c r="L2657" s="1" t="str">
        <f aca="false">TEXT(D2657,"yyyy-mm")</f>
        <v>2023-01</v>
      </c>
    </row>
    <row r="2658" customFormat="false" ht="15" hidden="false" customHeight="true" outlineLevel="0" collapsed="false">
      <c r="A2658" s="1" t="n">
        <v>2719</v>
      </c>
      <c r="B2658" s="1" t="n">
        <v>97</v>
      </c>
      <c r="C2658" s="1" t="n">
        <v>15</v>
      </c>
      <c r="D2658" s="1" t="s">
        <v>289</v>
      </c>
      <c r="E2658" s="1" t="n">
        <v>6</v>
      </c>
      <c r="F2658" s="1" t="n">
        <v>304.95</v>
      </c>
      <c r="G2658" s="1" t="n">
        <v>0.1</v>
      </c>
      <c r="H2658" s="1" t="s">
        <v>1336</v>
      </c>
      <c r="I2658" s="1" t="n">
        <v>1646.73</v>
      </c>
      <c r="J2658" s="1" t="str">
        <f aca="false">VLOOKUP(B2658,Customers!$A$2:$G$502,6,FALSE())</f>
        <v>Corporate</v>
      </c>
      <c r="K2658" s="1" t="str">
        <f aca="false">VLOOKUP(C2658,Products!$A$2:$E$62,3,FALSE())</f>
        <v>Electronics</v>
      </c>
      <c r="L2658" s="1" t="str">
        <f aca="false">TEXT(D2658,"yyyy-mm")</f>
        <v>2023-06</v>
      </c>
    </row>
    <row r="2659" customFormat="false" ht="15" hidden="false" customHeight="true" outlineLevel="0" collapsed="false">
      <c r="A2659" s="1" t="n">
        <v>2720</v>
      </c>
      <c r="B2659" s="1" t="n">
        <v>37</v>
      </c>
      <c r="C2659" s="1" t="n">
        <v>39</v>
      </c>
      <c r="D2659" s="1" t="s">
        <v>941</v>
      </c>
      <c r="E2659" s="1" t="n">
        <v>1</v>
      </c>
      <c r="F2659" s="1" t="n">
        <v>400.02</v>
      </c>
      <c r="G2659" s="1" t="n">
        <v>0.1</v>
      </c>
      <c r="H2659" s="1" t="s">
        <v>1336</v>
      </c>
      <c r="I2659" s="1" t="n">
        <v>360.02</v>
      </c>
      <c r="J2659" s="1" t="str">
        <f aca="false">VLOOKUP(B2659,Customers!$A$2:$G$502,6,FALSE())</f>
        <v>Corporate</v>
      </c>
      <c r="K2659" s="1" t="str">
        <f aca="false">VLOOKUP(C2659,Products!$A$2:$E$62,3,FALSE())</f>
        <v>Software</v>
      </c>
      <c r="L2659" s="1" t="str">
        <f aca="false">TEXT(D2659,"yyyy-mm")</f>
        <v>2024-08</v>
      </c>
    </row>
    <row r="2660" customFormat="false" ht="15" hidden="false" customHeight="true" outlineLevel="0" collapsed="false">
      <c r="A2660" s="1" t="n">
        <v>2721</v>
      </c>
      <c r="B2660" s="1" t="n">
        <v>420</v>
      </c>
      <c r="C2660" s="1" t="n">
        <v>21</v>
      </c>
      <c r="D2660" s="1" t="s">
        <v>1533</v>
      </c>
      <c r="E2660" s="1" t="n">
        <v>8</v>
      </c>
      <c r="F2660" s="1" t="n">
        <v>84.91</v>
      </c>
      <c r="G2660" s="1" t="n">
        <v>0</v>
      </c>
      <c r="H2660" s="1" t="s">
        <v>1336</v>
      </c>
      <c r="I2660" s="1" t="n">
        <v>679.28</v>
      </c>
      <c r="J2660" s="1" t="str">
        <f aca="false">VLOOKUP(B2660,Customers!$A$2:$G$502,6,FALSE())</f>
        <v>Small Business</v>
      </c>
      <c r="K2660" s="1" t="str">
        <f aca="false">VLOOKUP(C2660,Products!$A$2:$E$62,3,FALSE())</f>
        <v>Office Supplies</v>
      </c>
      <c r="L2660" s="1" t="str">
        <f aca="false">TEXT(D2660,"yyyy-mm")</f>
        <v>2023-03</v>
      </c>
    </row>
    <row r="2661" customFormat="false" ht="15" hidden="false" customHeight="true" outlineLevel="0" collapsed="false">
      <c r="A2661" s="1" t="n">
        <v>2722</v>
      </c>
      <c r="B2661" s="1" t="n">
        <v>469</v>
      </c>
      <c r="C2661" s="1" t="n">
        <v>60</v>
      </c>
      <c r="D2661" s="1" t="s">
        <v>191</v>
      </c>
      <c r="E2661" s="1" t="n">
        <v>7</v>
      </c>
      <c r="F2661" s="1" t="n">
        <v>584.98</v>
      </c>
      <c r="G2661" s="1" t="n">
        <v>0</v>
      </c>
      <c r="H2661" s="1" t="s">
        <v>1336</v>
      </c>
      <c r="I2661" s="1" t="n">
        <v>4094.86</v>
      </c>
      <c r="J2661" s="1" t="str">
        <f aca="false">VLOOKUP(B2661,Customers!$A$2:$G$502,6,FALSE())</f>
        <v>Small Business</v>
      </c>
      <c r="K2661" s="1" t="str">
        <f aca="false">VLOOKUP(C2661,Products!$A$2:$E$62,3,FALSE())</f>
        <v>Furniture</v>
      </c>
      <c r="L2661" s="1" t="str">
        <f aca="false">TEXT(D2661,"yyyy-mm")</f>
        <v>2024-03</v>
      </c>
    </row>
    <row r="2662" customFormat="false" ht="15" hidden="false" customHeight="true" outlineLevel="0" collapsed="false">
      <c r="A2662" s="1" t="n">
        <v>2723</v>
      </c>
      <c r="B2662" s="1" t="n">
        <v>492</v>
      </c>
      <c r="C2662" s="1" t="n">
        <v>15</v>
      </c>
      <c r="D2662" s="1" t="s">
        <v>1438</v>
      </c>
      <c r="E2662" s="1" t="n">
        <v>9</v>
      </c>
      <c r="F2662" s="1" t="n">
        <v>304.95</v>
      </c>
      <c r="G2662" s="1" t="n">
        <v>0</v>
      </c>
      <c r="H2662" s="1" t="s">
        <v>1336</v>
      </c>
      <c r="I2662" s="1" t="n">
        <v>2744.55</v>
      </c>
      <c r="J2662" s="1" t="str">
        <f aca="false">VLOOKUP(B2662,Customers!$A$2:$G$502,6,FALSE())</f>
        <v>Consumer</v>
      </c>
      <c r="K2662" s="1" t="str">
        <f aca="false">VLOOKUP(C2662,Products!$A$2:$E$62,3,FALSE())</f>
        <v>Electronics</v>
      </c>
      <c r="L2662" s="1" t="str">
        <f aca="false">TEXT(D2662,"yyyy-mm")</f>
        <v>2023-05</v>
      </c>
    </row>
    <row r="2663" customFormat="false" ht="15" hidden="false" customHeight="true" outlineLevel="0" collapsed="false">
      <c r="A2663" s="1" t="n">
        <v>2724</v>
      </c>
      <c r="B2663" s="1" t="n">
        <v>110</v>
      </c>
      <c r="C2663" s="1" t="n">
        <v>44</v>
      </c>
      <c r="D2663" s="1" t="s">
        <v>368</v>
      </c>
      <c r="E2663" s="1" t="n">
        <v>3</v>
      </c>
      <c r="F2663" s="1" t="n">
        <v>508.26</v>
      </c>
      <c r="G2663" s="1" t="n">
        <v>0</v>
      </c>
      <c r="H2663" s="1" t="s">
        <v>1336</v>
      </c>
      <c r="I2663" s="1" t="n">
        <v>1524.78</v>
      </c>
      <c r="J2663" s="1" t="str">
        <f aca="false">VLOOKUP(B2663,Customers!$A$2:$G$502,6,FALSE())</f>
        <v>Corporate</v>
      </c>
      <c r="K2663" s="1" t="str">
        <f aca="false">VLOOKUP(C2663,Products!$A$2:$E$62,3,FALSE())</f>
        <v>Software</v>
      </c>
      <c r="L2663" s="1" t="str">
        <f aca="false">TEXT(D2663,"yyyy-mm")</f>
        <v>2023-06</v>
      </c>
    </row>
    <row r="2664" customFormat="false" ht="15" hidden="false" customHeight="true" outlineLevel="0" collapsed="false">
      <c r="A2664" s="1" t="n">
        <v>2725</v>
      </c>
      <c r="B2664" s="1" t="n">
        <v>468</v>
      </c>
      <c r="C2664" s="1" t="n">
        <v>9</v>
      </c>
      <c r="D2664" s="1" t="s">
        <v>1271</v>
      </c>
      <c r="E2664" s="1" t="n">
        <v>2</v>
      </c>
      <c r="F2664" s="1" t="n">
        <v>203.1</v>
      </c>
      <c r="G2664" s="1" t="n">
        <v>0.05</v>
      </c>
      <c r="H2664" s="1" t="s">
        <v>1336</v>
      </c>
      <c r="I2664" s="1" t="n">
        <v>385.89</v>
      </c>
      <c r="J2664" s="1" t="str">
        <f aca="false">VLOOKUP(B2664,Customers!$A$2:$G$502,6,FALSE())</f>
        <v>Small Business</v>
      </c>
      <c r="K2664" s="1" t="str">
        <f aca="false">VLOOKUP(C2664,Products!$A$2:$E$62,3,FALSE())</f>
        <v>Electronics</v>
      </c>
      <c r="L2664" s="1" t="str">
        <f aca="false">TEXT(D2664,"yyyy-mm")</f>
        <v>2024-05</v>
      </c>
    </row>
    <row r="2665" customFormat="false" ht="15" hidden="false" customHeight="true" outlineLevel="0" collapsed="false">
      <c r="A2665" s="1" t="n">
        <v>2726</v>
      </c>
      <c r="B2665" s="1" t="n">
        <v>372</v>
      </c>
      <c r="C2665" s="1" t="n">
        <v>33</v>
      </c>
      <c r="D2665" s="1" t="s">
        <v>1653</v>
      </c>
      <c r="E2665" s="1" t="n">
        <v>1</v>
      </c>
      <c r="F2665" s="1" t="n">
        <v>190.1</v>
      </c>
      <c r="G2665" s="1" t="n">
        <v>0</v>
      </c>
      <c r="H2665" s="1" t="s">
        <v>1370</v>
      </c>
      <c r="I2665" s="1" t="n">
        <v>190.1</v>
      </c>
      <c r="J2665" s="1" t="str">
        <f aca="false">VLOOKUP(B2665,Customers!$A$2:$G$502,6,FALSE())</f>
        <v>Corporate</v>
      </c>
      <c r="K2665" s="1" t="str">
        <f aca="false">VLOOKUP(C2665,Products!$A$2:$E$62,3,FALSE())</f>
        <v>Office Supplies</v>
      </c>
      <c r="L2665" s="1" t="str">
        <f aca="false">TEXT(D2665,"yyyy-mm")</f>
        <v>2024-12</v>
      </c>
    </row>
    <row r="2666" customFormat="false" ht="15" hidden="false" customHeight="true" outlineLevel="0" collapsed="false">
      <c r="A2666" s="1" t="n">
        <v>2727</v>
      </c>
      <c r="B2666" s="1" t="n">
        <v>474</v>
      </c>
      <c r="C2666" s="1" t="n">
        <v>52</v>
      </c>
      <c r="D2666" s="1" t="s">
        <v>191</v>
      </c>
      <c r="E2666" s="1" t="n">
        <v>3</v>
      </c>
      <c r="F2666" s="1" t="n">
        <v>207.67</v>
      </c>
      <c r="G2666" s="1" t="n">
        <v>0</v>
      </c>
      <c r="H2666" s="1" t="s">
        <v>1336</v>
      </c>
      <c r="I2666" s="1" t="n">
        <v>623.01</v>
      </c>
      <c r="J2666" s="1" t="str">
        <f aca="false">VLOOKUP(B2666,Customers!$A$2:$G$502,6,FALSE())</f>
        <v>Consumer</v>
      </c>
      <c r="K2666" s="1" t="str">
        <f aca="false">VLOOKUP(C2666,Products!$A$2:$E$62,3,FALSE())</f>
        <v>Software</v>
      </c>
      <c r="L2666" s="1" t="str">
        <f aca="false">TEXT(D2666,"yyyy-mm")</f>
        <v>2024-03</v>
      </c>
    </row>
    <row r="2667" customFormat="false" ht="15" hidden="false" customHeight="true" outlineLevel="0" collapsed="false">
      <c r="A2667" s="1" t="n">
        <v>2728</v>
      </c>
      <c r="B2667" s="1" t="n">
        <v>172</v>
      </c>
      <c r="C2667" s="1" t="n">
        <v>40</v>
      </c>
      <c r="D2667" s="1" t="s">
        <v>813</v>
      </c>
      <c r="E2667" s="1" t="n">
        <v>5</v>
      </c>
      <c r="F2667" s="1" t="n">
        <v>193.02</v>
      </c>
      <c r="G2667" s="1" t="n">
        <v>0</v>
      </c>
      <c r="H2667" s="1" t="s">
        <v>1336</v>
      </c>
      <c r="I2667" s="1" t="n">
        <v>965.1</v>
      </c>
      <c r="J2667" s="1" t="str">
        <f aca="false">VLOOKUP(B2667,Customers!$A$2:$G$502,6,FALSE())</f>
        <v>Consumer</v>
      </c>
      <c r="K2667" s="1" t="str">
        <f aca="false">VLOOKUP(C2667,Products!$A$2:$E$62,3,FALSE())</f>
        <v>Software</v>
      </c>
      <c r="L2667" s="1" t="str">
        <f aca="false">TEXT(D2667,"yyyy-mm")</f>
        <v>2023-11</v>
      </c>
    </row>
    <row r="2668" customFormat="false" ht="15" hidden="false" customHeight="true" outlineLevel="0" collapsed="false">
      <c r="A2668" s="1" t="n">
        <v>2729</v>
      </c>
      <c r="B2668" s="1" t="n">
        <v>373</v>
      </c>
      <c r="C2668" s="1" t="n">
        <v>53</v>
      </c>
      <c r="D2668" s="1" t="s">
        <v>452</v>
      </c>
      <c r="E2668" s="1" t="n">
        <v>2</v>
      </c>
      <c r="F2668" s="1" t="n">
        <v>509.98</v>
      </c>
      <c r="G2668" s="1" t="n">
        <v>0.15</v>
      </c>
      <c r="H2668" s="1" t="s">
        <v>1336</v>
      </c>
      <c r="I2668" s="1" t="n">
        <v>866.97</v>
      </c>
      <c r="J2668" s="1" t="str">
        <f aca="false">VLOOKUP(B2668,Customers!$A$2:$G$502,6,FALSE())</f>
        <v>Corporate</v>
      </c>
      <c r="K2668" s="1" t="str">
        <f aca="false">VLOOKUP(C2668,Products!$A$2:$E$62,3,FALSE())</f>
        <v>Software</v>
      </c>
      <c r="L2668" s="1" t="str">
        <f aca="false">TEXT(D2668,"yyyy-mm")</f>
        <v>2023-02</v>
      </c>
    </row>
    <row r="2669" customFormat="false" ht="15" hidden="false" customHeight="true" outlineLevel="0" collapsed="false">
      <c r="A2669" s="1" t="n">
        <v>2730</v>
      </c>
      <c r="B2669" s="1" t="n">
        <v>254</v>
      </c>
      <c r="C2669" s="1" t="n">
        <v>18</v>
      </c>
      <c r="D2669" s="1" t="s">
        <v>1376</v>
      </c>
      <c r="E2669" s="1" t="n">
        <v>3</v>
      </c>
      <c r="F2669" s="1" t="n">
        <v>747.34</v>
      </c>
      <c r="G2669" s="1" t="n">
        <v>0.15</v>
      </c>
      <c r="H2669" s="1" t="s">
        <v>1336</v>
      </c>
      <c r="I2669" s="1" t="n">
        <v>1905.72</v>
      </c>
      <c r="J2669" s="1" t="str">
        <f aca="false">VLOOKUP(B2669,Customers!$A$2:$G$502,6,FALSE())</f>
        <v>Small Business</v>
      </c>
      <c r="K2669" s="1" t="str">
        <f aca="false">VLOOKUP(C2669,Products!$A$2:$E$62,3,FALSE())</f>
        <v>Electronics</v>
      </c>
      <c r="L2669" s="1" t="str">
        <f aca="false">TEXT(D2669,"yyyy-mm")</f>
        <v>2023-01</v>
      </c>
    </row>
    <row r="2670" customFormat="false" ht="15" hidden="false" customHeight="true" outlineLevel="0" collapsed="false">
      <c r="A2670" s="1" t="n">
        <v>2731</v>
      </c>
      <c r="B2670" s="1" t="n">
        <v>86</v>
      </c>
      <c r="C2670" s="1" t="n">
        <v>28</v>
      </c>
      <c r="D2670" s="1" t="s">
        <v>1618</v>
      </c>
      <c r="E2670" s="1" t="n">
        <v>4</v>
      </c>
      <c r="F2670" s="1" t="n">
        <v>505.23</v>
      </c>
      <c r="G2670" s="1" t="n">
        <v>0</v>
      </c>
      <c r="H2670" s="1" t="s">
        <v>1336</v>
      </c>
      <c r="I2670" s="1" t="n">
        <v>2020.92</v>
      </c>
      <c r="J2670" s="1" t="str">
        <f aca="false">VLOOKUP(B2670,Customers!$A$2:$G$502,6,FALSE())</f>
        <v>Small Business</v>
      </c>
      <c r="K2670" s="1" t="str">
        <f aca="false">VLOOKUP(C2670,Products!$A$2:$E$62,3,FALSE())</f>
        <v>Office Supplies</v>
      </c>
      <c r="L2670" s="1" t="str">
        <f aca="false">TEXT(D2670,"yyyy-mm")</f>
        <v>2024-04</v>
      </c>
    </row>
    <row r="2671" customFormat="false" ht="15" hidden="false" customHeight="true" outlineLevel="0" collapsed="false">
      <c r="A2671" s="1" t="n">
        <v>2732</v>
      </c>
      <c r="B2671" s="1" t="n">
        <v>426</v>
      </c>
      <c r="C2671" s="1" t="n">
        <v>11</v>
      </c>
      <c r="D2671" s="1" t="s">
        <v>642</v>
      </c>
      <c r="E2671" s="1" t="n">
        <v>7</v>
      </c>
      <c r="F2671" s="1" t="n">
        <v>328.39</v>
      </c>
      <c r="G2671" s="1" t="n">
        <v>0.2</v>
      </c>
      <c r="H2671" s="1" t="s">
        <v>1336</v>
      </c>
      <c r="I2671" s="1" t="n">
        <v>1838.98</v>
      </c>
      <c r="J2671" s="1" t="str">
        <f aca="false">VLOOKUP(B2671,Customers!$A$2:$G$502,6,FALSE())</f>
        <v>Consumer</v>
      </c>
      <c r="K2671" s="1" t="str">
        <f aca="false">VLOOKUP(C2671,Products!$A$2:$E$62,3,FALSE())</f>
        <v>Electronics</v>
      </c>
      <c r="L2671" s="1" t="str">
        <f aca="false">TEXT(D2671,"yyyy-mm")</f>
        <v>2023-01</v>
      </c>
    </row>
    <row r="2672" customFormat="false" ht="15" hidden="false" customHeight="true" outlineLevel="0" collapsed="false">
      <c r="A2672" s="1" t="n">
        <v>2733</v>
      </c>
      <c r="B2672" s="1" t="n">
        <v>183</v>
      </c>
      <c r="C2672" s="1" t="n">
        <v>41</v>
      </c>
      <c r="D2672" s="1" t="s">
        <v>1605</v>
      </c>
      <c r="E2672" s="1" t="n">
        <v>3</v>
      </c>
      <c r="F2672" s="1" t="n">
        <v>594.54</v>
      </c>
      <c r="G2672" s="1" t="n">
        <v>0.2</v>
      </c>
      <c r="H2672" s="1" t="s">
        <v>1336</v>
      </c>
      <c r="I2672" s="1" t="n">
        <v>1426.9</v>
      </c>
      <c r="J2672" s="1" t="str">
        <f aca="false">VLOOKUP(B2672,Customers!$A$2:$G$502,6,FALSE())</f>
        <v>Corporate</v>
      </c>
      <c r="K2672" s="1" t="str">
        <f aca="false">VLOOKUP(C2672,Products!$A$2:$E$62,3,FALSE())</f>
        <v>Software</v>
      </c>
      <c r="L2672" s="1" t="str">
        <f aca="false">TEXT(D2672,"yyyy-mm")</f>
        <v>2024-02</v>
      </c>
    </row>
    <row r="2673" customFormat="false" ht="15" hidden="false" customHeight="true" outlineLevel="0" collapsed="false">
      <c r="A2673" s="1" t="n">
        <v>2734</v>
      </c>
      <c r="B2673" s="1" t="n">
        <v>137</v>
      </c>
      <c r="C2673" s="1" t="n">
        <v>21</v>
      </c>
      <c r="D2673" s="1" t="s">
        <v>1368</v>
      </c>
      <c r="E2673" s="1" t="n">
        <v>9</v>
      </c>
      <c r="F2673" s="1" t="n">
        <v>84.91</v>
      </c>
      <c r="G2673" s="1" t="n">
        <v>0.05</v>
      </c>
      <c r="H2673" s="1" t="s">
        <v>1336</v>
      </c>
      <c r="I2673" s="1" t="n">
        <v>725.98</v>
      </c>
      <c r="J2673" s="1" t="str">
        <f aca="false">VLOOKUP(B2673,Customers!$A$2:$G$502,6,FALSE())</f>
        <v>Consumer</v>
      </c>
      <c r="K2673" s="1" t="str">
        <f aca="false">VLOOKUP(C2673,Products!$A$2:$E$62,3,FALSE())</f>
        <v>Office Supplies</v>
      </c>
      <c r="L2673" s="1" t="str">
        <f aca="false">TEXT(D2673,"yyyy-mm")</f>
        <v>2024-09</v>
      </c>
    </row>
    <row r="2674" customFormat="false" ht="15" hidden="false" customHeight="true" outlineLevel="0" collapsed="false">
      <c r="A2674" s="1" t="n">
        <v>2735</v>
      </c>
      <c r="B2674" s="1" t="n">
        <v>301</v>
      </c>
      <c r="C2674" s="1" t="n">
        <v>45</v>
      </c>
      <c r="D2674" s="1" t="s">
        <v>1367</v>
      </c>
      <c r="E2674" s="1" t="n">
        <v>8</v>
      </c>
      <c r="F2674" s="1" t="n">
        <v>560.01</v>
      </c>
      <c r="G2674" s="1" t="n">
        <v>0.15</v>
      </c>
      <c r="H2674" s="1" t="s">
        <v>1336</v>
      </c>
      <c r="I2674" s="1" t="n">
        <v>3808.07</v>
      </c>
      <c r="J2674" s="1" t="str">
        <f aca="false">VLOOKUP(B2674,Customers!$A$2:$G$502,6,FALSE())</f>
        <v>Corporate</v>
      </c>
      <c r="K2674" s="1" t="str">
        <f aca="false">VLOOKUP(C2674,Products!$A$2:$E$62,3,FALSE())</f>
        <v>Software</v>
      </c>
      <c r="L2674" s="1" t="str">
        <f aca="false">TEXT(D2674,"yyyy-mm")</f>
        <v>2024-08</v>
      </c>
    </row>
    <row r="2675" customFormat="false" ht="15" hidden="false" customHeight="true" outlineLevel="0" collapsed="false">
      <c r="A2675" s="1" t="n">
        <v>2736</v>
      </c>
      <c r="B2675" s="1" t="n">
        <v>307</v>
      </c>
      <c r="C2675" s="1" t="n">
        <v>51</v>
      </c>
      <c r="D2675" s="1" t="s">
        <v>196</v>
      </c>
      <c r="E2675" s="1" t="n">
        <v>4</v>
      </c>
      <c r="F2675" s="1" t="n">
        <v>30.16</v>
      </c>
      <c r="G2675" s="1" t="n">
        <v>0</v>
      </c>
      <c r="H2675" s="1" t="s">
        <v>1336</v>
      </c>
      <c r="I2675" s="1" t="n">
        <v>120.64</v>
      </c>
      <c r="J2675" s="1" t="str">
        <f aca="false">VLOOKUP(B2675,Customers!$A$2:$G$502,6,FALSE())</f>
        <v>Corporate</v>
      </c>
      <c r="K2675" s="1" t="str">
        <f aca="false">VLOOKUP(C2675,Products!$A$2:$E$62,3,FALSE())</f>
        <v>Software</v>
      </c>
      <c r="L2675" s="1" t="str">
        <f aca="false">TEXT(D2675,"yyyy-mm")</f>
        <v>2023-03</v>
      </c>
    </row>
    <row r="2676" customFormat="false" ht="15" hidden="false" customHeight="true" outlineLevel="0" collapsed="false">
      <c r="A2676" s="1" t="n">
        <v>2737</v>
      </c>
      <c r="B2676" s="1" t="n">
        <v>318</v>
      </c>
      <c r="C2676" s="1" t="n">
        <v>57</v>
      </c>
      <c r="D2676" s="1" t="s">
        <v>863</v>
      </c>
      <c r="E2676" s="1" t="n">
        <v>1</v>
      </c>
      <c r="F2676" s="1" t="n">
        <v>719.76</v>
      </c>
      <c r="G2676" s="1" t="n">
        <v>0.2</v>
      </c>
      <c r="H2676" s="1" t="s">
        <v>1336</v>
      </c>
      <c r="I2676" s="1" t="n">
        <v>575.81</v>
      </c>
      <c r="J2676" s="1" t="str">
        <f aca="false">VLOOKUP(B2676,Customers!$A$2:$G$502,6,FALSE())</f>
        <v>Consumer</v>
      </c>
      <c r="K2676" s="1" t="str">
        <f aca="false">VLOOKUP(C2676,Products!$A$2:$E$62,3,FALSE())</f>
        <v>Furniture</v>
      </c>
      <c r="L2676" s="1" t="str">
        <f aca="false">TEXT(D2676,"yyyy-mm")</f>
        <v>2023-11</v>
      </c>
    </row>
    <row r="2677" customFormat="false" ht="15" hidden="false" customHeight="true" outlineLevel="0" collapsed="false">
      <c r="A2677" s="1" t="n">
        <v>2738</v>
      </c>
      <c r="B2677" s="1" t="n">
        <v>107</v>
      </c>
      <c r="C2677" s="1" t="n">
        <v>10</v>
      </c>
      <c r="D2677" s="1" t="s">
        <v>1550</v>
      </c>
      <c r="E2677" s="1" t="n">
        <v>1</v>
      </c>
      <c r="F2677" s="1" t="n">
        <v>251.58</v>
      </c>
      <c r="G2677" s="1" t="n">
        <v>0.2</v>
      </c>
      <c r="H2677" s="1" t="s">
        <v>1336</v>
      </c>
      <c r="I2677" s="1" t="n">
        <v>201.26</v>
      </c>
      <c r="J2677" s="1" t="str">
        <f aca="false">VLOOKUP(B2677,Customers!$A$2:$G$502,6,FALSE())</f>
        <v>Consumer</v>
      </c>
      <c r="K2677" s="1" t="str">
        <f aca="false">VLOOKUP(C2677,Products!$A$2:$E$62,3,FALSE())</f>
        <v>Electronics</v>
      </c>
      <c r="L2677" s="1" t="str">
        <f aca="false">TEXT(D2677,"yyyy-mm")</f>
        <v>2024-03</v>
      </c>
    </row>
    <row r="2678" customFormat="false" ht="15" hidden="false" customHeight="true" outlineLevel="0" collapsed="false">
      <c r="A2678" s="1" t="n">
        <v>2739</v>
      </c>
      <c r="B2678" s="1" t="n">
        <v>500</v>
      </c>
      <c r="C2678" s="1" t="n">
        <v>38</v>
      </c>
      <c r="D2678" s="1" t="s">
        <v>1259</v>
      </c>
      <c r="E2678" s="1" t="n">
        <v>1</v>
      </c>
      <c r="F2678" s="1" t="n">
        <v>521.63</v>
      </c>
      <c r="G2678" s="1" t="n">
        <v>0.05</v>
      </c>
      <c r="H2678" s="1" t="s">
        <v>1336</v>
      </c>
      <c r="I2678" s="1" t="n">
        <v>495.55</v>
      </c>
      <c r="J2678" s="1" t="str">
        <f aca="false">VLOOKUP(B2678,Customers!$A$2:$G$502,6,FALSE())</f>
        <v>Small Business</v>
      </c>
      <c r="K2678" s="1" t="str">
        <f aca="false">VLOOKUP(C2678,Products!$A$2:$E$62,3,FALSE())</f>
        <v>Software</v>
      </c>
      <c r="L2678" s="1" t="str">
        <f aca="false">TEXT(D2678,"yyyy-mm")</f>
        <v>2023-09</v>
      </c>
    </row>
    <row r="2679" customFormat="false" ht="15" hidden="false" customHeight="true" outlineLevel="0" collapsed="false">
      <c r="A2679" s="1" t="n">
        <v>2740</v>
      </c>
      <c r="B2679" s="1" t="n">
        <v>479</v>
      </c>
      <c r="C2679" s="1" t="n">
        <v>57</v>
      </c>
      <c r="D2679" s="1" t="s">
        <v>1548</v>
      </c>
      <c r="E2679" s="1" t="n">
        <v>1</v>
      </c>
      <c r="F2679" s="1" t="n">
        <v>719.76</v>
      </c>
      <c r="G2679" s="1" t="n">
        <v>0.2</v>
      </c>
      <c r="H2679" s="1" t="s">
        <v>1336</v>
      </c>
      <c r="I2679" s="1" t="n">
        <v>575.81</v>
      </c>
      <c r="J2679" s="1" t="str">
        <f aca="false">VLOOKUP(B2679,Customers!$A$2:$G$502,6,FALSE())</f>
        <v>Small Business</v>
      </c>
      <c r="K2679" s="1" t="str">
        <f aca="false">VLOOKUP(C2679,Products!$A$2:$E$62,3,FALSE())</f>
        <v>Furniture</v>
      </c>
      <c r="L2679" s="1" t="str">
        <f aca="false">TEXT(D2679,"yyyy-mm")</f>
        <v>2024-06</v>
      </c>
    </row>
    <row r="2680" customFormat="false" ht="15" hidden="false" customHeight="true" outlineLevel="0" collapsed="false">
      <c r="A2680" s="1" t="n">
        <v>2741</v>
      </c>
      <c r="B2680" s="1" t="n">
        <v>148</v>
      </c>
      <c r="C2680" s="1" t="n">
        <v>36</v>
      </c>
      <c r="D2680" s="1" t="s">
        <v>440</v>
      </c>
      <c r="E2680" s="1" t="n">
        <v>8</v>
      </c>
      <c r="F2680" s="1" t="n">
        <v>424.45</v>
      </c>
      <c r="G2680" s="1" t="n">
        <v>0</v>
      </c>
      <c r="H2680" s="1" t="s">
        <v>1336</v>
      </c>
      <c r="I2680" s="1" t="n">
        <v>3395.6</v>
      </c>
      <c r="J2680" s="1" t="str">
        <f aca="false">VLOOKUP(B2680,Customers!$A$2:$G$502,6,FALSE())</f>
        <v>Corporate</v>
      </c>
      <c r="K2680" s="1" t="str">
        <f aca="false">VLOOKUP(C2680,Products!$A$2:$E$62,3,FALSE())</f>
        <v>Software</v>
      </c>
      <c r="L2680" s="1" t="str">
        <f aca="false">TEXT(D2680,"yyyy-mm")</f>
        <v>2023-12</v>
      </c>
    </row>
    <row r="2681" customFormat="false" ht="15" hidden="false" customHeight="true" outlineLevel="0" collapsed="false">
      <c r="A2681" s="1" t="n">
        <v>2742</v>
      </c>
      <c r="B2681" s="1" t="n">
        <v>224</v>
      </c>
      <c r="C2681" s="1" t="n">
        <v>48</v>
      </c>
      <c r="D2681" s="1" t="s">
        <v>1513</v>
      </c>
      <c r="E2681" s="1" t="n">
        <v>3</v>
      </c>
      <c r="F2681" s="1" t="n">
        <v>493.53</v>
      </c>
      <c r="G2681" s="1" t="n">
        <v>0</v>
      </c>
      <c r="H2681" s="1" t="s">
        <v>1336</v>
      </c>
      <c r="I2681" s="1" t="n">
        <v>1480.59</v>
      </c>
      <c r="J2681" s="1" t="str">
        <f aca="false">VLOOKUP(B2681,Customers!$A$2:$G$502,6,FALSE())</f>
        <v>Consumer</v>
      </c>
      <c r="K2681" s="1" t="str">
        <f aca="false">VLOOKUP(C2681,Products!$A$2:$E$62,3,FALSE())</f>
        <v>Software</v>
      </c>
      <c r="L2681" s="1" t="str">
        <f aca="false">TEXT(D2681,"yyyy-mm")</f>
        <v>2024-12</v>
      </c>
    </row>
    <row r="2682" customFormat="false" ht="15" hidden="false" customHeight="true" outlineLevel="0" collapsed="false">
      <c r="A2682" s="1" t="n">
        <v>2743</v>
      </c>
      <c r="B2682" s="1" t="n">
        <v>469</v>
      </c>
      <c r="C2682" s="1" t="n">
        <v>20</v>
      </c>
      <c r="D2682" s="1" t="s">
        <v>1414</v>
      </c>
      <c r="E2682" s="1" t="n">
        <v>6</v>
      </c>
      <c r="F2682" s="1" t="n">
        <v>426.15</v>
      </c>
      <c r="G2682" s="1" t="n">
        <v>0</v>
      </c>
      <c r="H2682" s="1" t="s">
        <v>1336</v>
      </c>
      <c r="I2682" s="1" t="n">
        <v>2556.9</v>
      </c>
      <c r="J2682" s="1" t="str">
        <f aca="false">VLOOKUP(B2682,Customers!$A$2:$G$502,6,FALSE())</f>
        <v>Small Business</v>
      </c>
      <c r="K2682" s="1" t="str">
        <f aca="false">VLOOKUP(C2682,Products!$A$2:$E$62,3,FALSE())</f>
        <v>Office Supplies</v>
      </c>
      <c r="L2682" s="1" t="str">
        <f aca="false">TEXT(D2682,"yyyy-mm")</f>
        <v>2024-05</v>
      </c>
    </row>
    <row r="2683" customFormat="false" ht="15" hidden="false" customHeight="true" outlineLevel="0" collapsed="false">
      <c r="A2683" s="1" t="n">
        <v>2744</v>
      </c>
      <c r="B2683" s="1" t="n">
        <v>367</v>
      </c>
      <c r="C2683" s="1" t="n">
        <v>30</v>
      </c>
      <c r="D2683" s="1" t="s">
        <v>1226</v>
      </c>
      <c r="E2683" s="1" t="n">
        <v>3</v>
      </c>
      <c r="F2683" s="1" t="n">
        <v>33.32</v>
      </c>
      <c r="G2683" s="1" t="n">
        <v>0.15</v>
      </c>
      <c r="H2683" s="1" t="s">
        <v>1336</v>
      </c>
      <c r="I2683" s="1" t="n">
        <v>84.97</v>
      </c>
      <c r="J2683" s="1" t="str">
        <f aca="false">VLOOKUP(B2683,Customers!$A$2:$G$502,6,FALSE())</f>
        <v>Corporate</v>
      </c>
      <c r="K2683" s="1" t="str">
        <f aca="false">VLOOKUP(C2683,Products!$A$2:$E$62,3,FALSE())</f>
        <v>Office Supplies</v>
      </c>
      <c r="L2683" s="1" t="str">
        <f aca="false">TEXT(D2683,"yyyy-mm")</f>
        <v>2024-05</v>
      </c>
    </row>
    <row r="2684" customFormat="false" ht="15" hidden="false" customHeight="true" outlineLevel="0" collapsed="false">
      <c r="A2684" s="1" t="n">
        <v>2745</v>
      </c>
      <c r="B2684" s="1" t="n">
        <v>466</v>
      </c>
      <c r="C2684" s="1" t="n">
        <v>9</v>
      </c>
      <c r="D2684" s="1" t="s">
        <v>1639</v>
      </c>
      <c r="E2684" s="1" t="n">
        <v>5</v>
      </c>
      <c r="F2684" s="1" t="n">
        <v>203.1</v>
      </c>
      <c r="G2684" s="1" t="n">
        <v>0.05</v>
      </c>
      <c r="H2684" s="1" t="s">
        <v>1336</v>
      </c>
      <c r="I2684" s="1" t="n">
        <v>964.72</v>
      </c>
      <c r="J2684" s="1" t="str">
        <f aca="false">VLOOKUP(B2684,Customers!$A$2:$G$502,6,FALSE())</f>
        <v>Consumer</v>
      </c>
      <c r="K2684" s="1" t="str">
        <f aca="false">VLOOKUP(C2684,Products!$A$2:$E$62,3,FALSE())</f>
        <v>Electronics</v>
      </c>
      <c r="L2684" s="1" t="str">
        <f aca="false">TEXT(D2684,"yyyy-mm")</f>
        <v>2023-07</v>
      </c>
    </row>
    <row r="2685" customFormat="false" ht="15" hidden="false" customHeight="true" outlineLevel="0" collapsed="false">
      <c r="A2685" s="1" t="n">
        <v>2746</v>
      </c>
      <c r="B2685" s="1" t="n">
        <v>280</v>
      </c>
      <c r="C2685" s="1" t="n">
        <v>55</v>
      </c>
      <c r="D2685" s="1" t="s">
        <v>1196</v>
      </c>
      <c r="E2685" s="1" t="n">
        <v>7</v>
      </c>
      <c r="F2685" s="1" t="n">
        <v>123.38</v>
      </c>
      <c r="G2685" s="1" t="n">
        <v>0</v>
      </c>
      <c r="H2685" s="1" t="s">
        <v>1336</v>
      </c>
      <c r="I2685" s="1" t="n">
        <v>863.66</v>
      </c>
      <c r="J2685" s="1" t="str">
        <f aca="false">VLOOKUP(B2685,Customers!$A$2:$G$502,6,FALSE())</f>
        <v>Consumer</v>
      </c>
      <c r="K2685" s="1" t="str">
        <f aca="false">VLOOKUP(C2685,Products!$A$2:$E$62,3,FALSE())</f>
        <v>Furniture</v>
      </c>
      <c r="L2685" s="1" t="str">
        <f aca="false">TEXT(D2685,"yyyy-mm")</f>
        <v>2023-10</v>
      </c>
    </row>
    <row r="2686" customFormat="false" ht="15" hidden="false" customHeight="true" outlineLevel="0" collapsed="false">
      <c r="A2686" s="1" t="n">
        <v>2747</v>
      </c>
      <c r="B2686" s="1" t="n">
        <v>103</v>
      </c>
      <c r="C2686" s="1" t="n">
        <v>45</v>
      </c>
      <c r="D2686" s="1" t="s">
        <v>429</v>
      </c>
      <c r="E2686" s="1" t="n">
        <v>2</v>
      </c>
      <c r="F2686" s="1" t="n">
        <v>560.01</v>
      </c>
      <c r="G2686" s="1" t="n">
        <v>0.1</v>
      </c>
      <c r="H2686" s="1" t="s">
        <v>1336</v>
      </c>
      <c r="I2686" s="1" t="n">
        <v>1008.02</v>
      </c>
      <c r="J2686" s="1" t="str">
        <f aca="false">VLOOKUP(B2686,Customers!$A$2:$G$502,6,FALSE())</f>
        <v>Small Business</v>
      </c>
      <c r="K2686" s="1" t="str">
        <f aca="false">VLOOKUP(C2686,Products!$A$2:$E$62,3,FALSE())</f>
        <v>Software</v>
      </c>
      <c r="L2686" s="1" t="str">
        <f aca="false">TEXT(D2686,"yyyy-mm")</f>
        <v>2023-09</v>
      </c>
    </row>
    <row r="2687" customFormat="false" ht="15" hidden="false" customHeight="true" outlineLevel="0" collapsed="false">
      <c r="A2687" s="1" t="n">
        <v>2748</v>
      </c>
      <c r="B2687" s="1" t="n">
        <v>307</v>
      </c>
      <c r="C2687" s="1" t="n">
        <v>35</v>
      </c>
      <c r="D2687" s="1" t="s">
        <v>1581</v>
      </c>
      <c r="E2687" s="1" t="n">
        <v>6</v>
      </c>
      <c r="F2687" s="1" t="n">
        <v>75.78</v>
      </c>
      <c r="G2687" s="1" t="n">
        <v>0.05</v>
      </c>
      <c r="H2687" s="1" t="s">
        <v>1336</v>
      </c>
      <c r="I2687" s="1" t="n">
        <v>431.95</v>
      </c>
      <c r="J2687" s="1" t="str">
        <f aca="false">VLOOKUP(B2687,Customers!$A$2:$G$502,6,FALSE())</f>
        <v>Corporate</v>
      </c>
      <c r="K2687" s="1" t="str">
        <f aca="false">VLOOKUP(C2687,Products!$A$2:$E$62,3,FALSE())</f>
        <v>Software</v>
      </c>
      <c r="L2687" s="1" t="str">
        <f aca="false">TEXT(D2687,"yyyy-mm")</f>
        <v>2023-10</v>
      </c>
    </row>
    <row r="2688" customFormat="false" ht="15" hidden="false" customHeight="true" outlineLevel="0" collapsed="false">
      <c r="A2688" s="1" t="n">
        <v>2749</v>
      </c>
      <c r="B2688" s="1" t="n">
        <v>320</v>
      </c>
      <c r="C2688" s="1" t="n">
        <v>18</v>
      </c>
      <c r="D2688" s="1" t="s">
        <v>1462</v>
      </c>
      <c r="E2688" s="1" t="n">
        <v>6</v>
      </c>
      <c r="F2688" s="1" t="n">
        <v>747.34</v>
      </c>
      <c r="G2688" s="1" t="n">
        <v>0.2</v>
      </c>
      <c r="H2688" s="1" t="s">
        <v>1336</v>
      </c>
      <c r="I2688" s="1" t="n">
        <v>3587.23</v>
      </c>
      <c r="J2688" s="1" t="str">
        <f aca="false">VLOOKUP(B2688,Customers!$A$2:$G$502,6,FALSE())</f>
        <v>Corporate</v>
      </c>
      <c r="K2688" s="1" t="str">
        <f aca="false">VLOOKUP(C2688,Products!$A$2:$E$62,3,FALSE())</f>
        <v>Electronics</v>
      </c>
      <c r="L2688" s="1" t="str">
        <f aca="false">TEXT(D2688,"yyyy-mm")</f>
        <v>2024-08</v>
      </c>
    </row>
    <row r="2689" customFormat="false" ht="15" hidden="false" customHeight="true" outlineLevel="0" collapsed="false">
      <c r="A2689" s="1" t="n">
        <v>2750</v>
      </c>
      <c r="B2689" s="1" t="n">
        <v>2</v>
      </c>
      <c r="C2689" s="1" t="n">
        <v>55</v>
      </c>
      <c r="D2689" s="1" t="s">
        <v>348</v>
      </c>
      <c r="E2689" s="1" t="n">
        <v>3</v>
      </c>
      <c r="F2689" s="1" t="n">
        <v>123.38</v>
      </c>
      <c r="G2689" s="1" t="n">
        <v>0.2</v>
      </c>
      <c r="H2689" s="1" t="s">
        <v>1346</v>
      </c>
      <c r="I2689" s="1" t="n">
        <v>296.11</v>
      </c>
      <c r="J2689" s="1" t="str">
        <f aca="false">VLOOKUP(B2689,Customers!$A$2:$G$502,6,FALSE())</f>
        <v>Small Business</v>
      </c>
      <c r="K2689" s="1" t="str">
        <f aca="false">VLOOKUP(C2689,Products!$A$2:$E$62,3,FALSE())</f>
        <v>Furniture</v>
      </c>
      <c r="L2689" s="1" t="str">
        <f aca="false">TEXT(D2689,"yyyy-mm")</f>
        <v>2024-09</v>
      </c>
    </row>
    <row r="2690" customFormat="false" ht="15" hidden="false" customHeight="true" outlineLevel="0" collapsed="false">
      <c r="A2690" s="1" t="n">
        <v>2751</v>
      </c>
      <c r="B2690" s="1" t="n">
        <v>430</v>
      </c>
      <c r="C2690" s="1" t="n">
        <v>35</v>
      </c>
      <c r="D2690" s="1" t="s">
        <v>1674</v>
      </c>
      <c r="E2690" s="1" t="n">
        <v>6</v>
      </c>
      <c r="F2690" s="1" t="n">
        <v>75.78</v>
      </c>
      <c r="G2690" s="1" t="n">
        <v>0.1</v>
      </c>
      <c r="H2690" s="1" t="s">
        <v>1346</v>
      </c>
      <c r="I2690" s="1" t="n">
        <v>409.21</v>
      </c>
      <c r="J2690" s="1" t="str">
        <f aca="false">VLOOKUP(B2690,Customers!$A$2:$G$502,6,FALSE())</f>
        <v>Corporate</v>
      </c>
      <c r="K2690" s="1" t="str">
        <f aca="false">VLOOKUP(C2690,Products!$A$2:$E$62,3,FALSE())</f>
        <v>Software</v>
      </c>
      <c r="L2690" s="1" t="str">
        <f aca="false">TEXT(D2690,"yyyy-mm")</f>
        <v>2023-03</v>
      </c>
    </row>
    <row r="2691" customFormat="false" ht="15" hidden="false" customHeight="true" outlineLevel="0" collapsed="false">
      <c r="A2691" s="1" t="n">
        <v>2752</v>
      </c>
      <c r="B2691" s="1" t="n">
        <v>51</v>
      </c>
      <c r="C2691" s="1" t="n">
        <v>27</v>
      </c>
      <c r="D2691" s="1" t="s">
        <v>949</v>
      </c>
      <c r="E2691" s="1" t="n">
        <v>5</v>
      </c>
      <c r="F2691" s="1" t="n">
        <v>772.58</v>
      </c>
      <c r="G2691" s="1" t="n">
        <v>0</v>
      </c>
      <c r="H2691" s="1" t="s">
        <v>1346</v>
      </c>
      <c r="I2691" s="1" t="n">
        <v>3862.9</v>
      </c>
      <c r="J2691" s="1" t="str">
        <f aca="false">VLOOKUP(B2691,Customers!$A$2:$G$502,6,FALSE())</f>
        <v>Corporate</v>
      </c>
      <c r="K2691" s="1" t="str">
        <f aca="false">VLOOKUP(C2691,Products!$A$2:$E$62,3,FALSE())</f>
        <v>Office Supplies</v>
      </c>
      <c r="L2691" s="1" t="str">
        <f aca="false">TEXT(D2691,"yyyy-mm")</f>
        <v>2023-11</v>
      </c>
    </row>
    <row r="2692" customFormat="false" ht="15" hidden="false" customHeight="true" outlineLevel="0" collapsed="false">
      <c r="A2692" s="1" t="n">
        <v>2753</v>
      </c>
      <c r="B2692" s="1" t="n">
        <v>143</v>
      </c>
      <c r="C2692" s="1" t="n">
        <v>22</v>
      </c>
      <c r="D2692" s="1" t="s">
        <v>1466</v>
      </c>
      <c r="E2692" s="1" t="n">
        <v>2</v>
      </c>
      <c r="F2692" s="1" t="n">
        <v>38.57</v>
      </c>
      <c r="G2692" s="1" t="n">
        <v>0.15</v>
      </c>
      <c r="H2692" s="1" t="s">
        <v>1346</v>
      </c>
      <c r="I2692" s="1" t="n">
        <v>65.57</v>
      </c>
      <c r="J2692" s="1" t="str">
        <f aca="false">VLOOKUP(B2692,Customers!$A$2:$G$502,6,FALSE())</f>
        <v>Small Business</v>
      </c>
      <c r="K2692" s="1" t="str">
        <f aca="false">VLOOKUP(C2692,Products!$A$2:$E$62,3,FALSE())</f>
        <v>Office Supplies</v>
      </c>
      <c r="L2692" s="1" t="str">
        <f aca="false">TEXT(D2692,"yyyy-mm")</f>
        <v>2024-05</v>
      </c>
    </row>
    <row r="2693" customFormat="false" ht="15" hidden="false" customHeight="true" outlineLevel="0" collapsed="false">
      <c r="A2693" s="1" t="n">
        <v>2754</v>
      </c>
      <c r="B2693" s="1" t="n">
        <v>184</v>
      </c>
      <c r="C2693" s="1" t="n">
        <v>57</v>
      </c>
      <c r="D2693" s="1" t="s">
        <v>899</v>
      </c>
      <c r="E2693" s="1" t="n">
        <v>9</v>
      </c>
      <c r="F2693" s="1" t="n">
        <v>719.76</v>
      </c>
      <c r="G2693" s="1" t="n">
        <v>0</v>
      </c>
      <c r="H2693" s="1" t="s">
        <v>1336</v>
      </c>
      <c r="I2693" s="1" t="n">
        <v>6477.84</v>
      </c>
      <c r="J2693" s="1" t="str">
        <f aca="false">VLOOKUP(B2693,Customers!$A$2:$G$502,6,FALSE())</f>
        <v>Corporate</v>
      </c>
      <c r="K2693" s="1" t="str">
        <f aca="false">VLOOKUP(C2693,Products!$A$2:$E$62,3,FALSE())</f>
        <v>Furniture</v>
      </c>
      <c r="L2693" s="1" t="str">
        <f aca="false">TEXT(D2693,"yyyy-mm")</f>
        <v>2024-05</v>
      </c>
    </row>
    <row r="2694" customFormat="false" ht="15" hidden="false" customHeight="true" outlineLevel="0" collapsed="false">
      <c r="A2694" s="1" t="n">
        <v>2755</v>
      </c>
      <c r="B2694" s="1" t="n">
        <v>3</v>
      </c>
      <c r="C2694" s="1" t="n">
        <v>1</v>
      </c>
      <c r="D2694" s="1" t="s">
        <v>384</v>
      </c>
      <c r="E2694" s="1" t="n">
        <v>8</v>
      </c>
      <c r="F2694" s="1" t="n">
        <v>327.32</v>
      </c>
      <c r="G2694" s="1" t="n">
        <v>0.05</v>
      </c>
      <c r="H2694" s="1" t="s">
        <v>1336</v>
      </c>
      <c r="I2694" s="1" t="n">
        <v>2487.63</v>
      </c>
      <c r="J2694" s="1" t="str">
        <f aca="false">VLOOKUP(B2694,Customers!$A$2:$G$502,6,FALSE())</f>
        <v>Corporate</v>
      </c>
      <c r="K2694" s="1" t="str">
        <f aca="false">VLOOKUP(C2694,Products!$A$2:$E$62,3,FALSE())</f>
        <v>Electronics</v>
      </c>
      <c r="L2694" s="1" t="str">
        <f aca="false">TEXT(D2694,"yyyy-mm")</f>
        <v>2023-02</v>
      </c>
    </row>
    <row r="2695" customFormat="false" ht="15" hidden="false" customHeight="true" outlineLevel="0" collapsed="false">
      <c r="A2695" s="1" t="n">
        <v>2756</v>
      </c>
      <c r="B2695" s="1" t="n">
        <v>272</v>
      </c>
      <c r="C2695" s="1" t="n">
        <v>55</v>
      </c>
      <c r="D2695" s="1" t="s">
        <v>1465</v>
      </c>
      <c r="E2695" s="1" t="n">
        <v>3</v>
      </c>
      <c r="F2695" s="1" t="n">
        <v>123.38</v>
      </c>
      <c r="G2695" s="1" t="n">
        <v>0</v>
      </c>
      <c r="H2695" s="1" t="s">
        <v>1336</v>
      </c>
      <c r="I2695" s="1" t="n">
        <v>370.14</v>
      </c>
      <c r="J2695" s="1" t="str">
        <f aca="false">VLOOKUP(B2695,Customers!$A$2:$G$502,6,FALSE())</f>
        <v>Consumer</v>
      </c>
      <c r="K2695" s="1" t="str">
        <f aca="false">VLOOKUP(C2695,Products!$A$2:$E$62,3,FALSE())</f>
        <v>Furniture</v>
      </c>
      <c r="L2695" s="1" t="str">
        <f aca="false">TEXT(D2695,"yyyy-mm")</f>
        <v>2023-05</v>
      </c>
    </row>
    <row r="2696" customFormat="false" ht="15" hidden="false" customHeight="true" outlineLevel="0" collapsed="false">
      <c r="A2696" s="1" t="n">
        <v>2757</v>
      </c>
      <c r="B2696" s="1" t="n">
        <v>167</v>
      </c>
      <c r="C2696" s="1" t="n">
        <v>7</v>
      </c>
      <c r="D2696" s="1" t="s">
        <v>565</v>
      </c>
      <c r="E2696" s="1" t="n">
        <v>8</v>
      </c>
      <c r="F2696" s="1" t="n">
        <v>460</v>
      </c>
      <c r="G2696" s="1" t="n">
        <v>0</v>
      </c>
      <c r="H2696" s="1" t="s">
        <v>1346</v>
      </c>
      <c r="I2696" s="1" t="n">
        <v>3680</v>
      </c>
      <c r="J2696" s="1" t="str">
        <f aca="false">VLOOKUP(B2696,Customers!$A$2:$G$502,6,FALSE())</f>
        <v>Unknown</v>
      </c>
      <c r="K2696" s="1" t="str">
        <f aca="false">VLOOKUP(C2696,Products!$A$2:$E$62,3,FALSE())</f>
        <v>Electronics</v>
      </c>
      <c r="L2696" s="1" t="str">
        <f aca="false">TEXT(D2696,"yyyy-mm")</f>
        <v>2023-06</v>
      </c>
    </row>
    <row r="2697" customFormat="false" ht="15" hidden="false" customHeight="true" outlineLevel="0" collapsed="false">
      <c r="A2697" s="1" t="n">
        <v>2758</v>
      </c>
      <c r="B2697" s="1" t="n">
        <v>302</v>
      </c>
      <c r="C2697" s="1" t="n">
        <v>40</v>
      </c>
      <c r="D2697" s="1" t="s">
        <v>1586</v>
      </c>
      <c r="E2697" s="1" t="n">
        <v>9</v>
      </c>
      <c r="F2697" s="1" t="n">
        <v>193.02</v>
      </c>
      <c r="G2697" s="1" t="n">
        <v>0</v>
      </c>
      <c r="H2697" s="1" t="s">
        <v>1336</v>
      </c>
      <c r="I2697" s="1" t="n">
        <v>1737.18</v>
      </c>
      <c r="J2697" s="1" t="str">
        <f aca="false">VLOOKUP(B2697,Customers!$A$2:$G$502,6,FALSE())</f>
        <v>Corporate</v>
      </c>
      <c r="K2697" s="1" t="str">
        <f aca="false">VLOOKUP(C2697,Products!$A$2:$E$62,3,FALSE())</f>
        <v>Software</v>
      </c>
      <c r="L2697" s="1" t="str">
        <f aca="false">TEXT(D2697,"yyyy-mm")</f>
        <v>2024-04</v>
      </c>
    </row>
    <row r="2698" customFormat="false" ht="15" hidden="false" customHeight="true" outlineLevel="0" collapsed="false">
      <c r="A2698" s="1" t="n">
        <v>2759</v>
      </c>
      <c r="B2698" s="1" t="n">
        <v>209</v>
      </c>
      <c r="C2698" s="1" t="n">
        <v>59</v>
      </c>
      <c r="D2698" s="1" t="s">
        <v>846</v>
      </c>
      <c r="E2698" s="1" t="n">
        <v>3</v>
      </c>
      <c r="F2698" s="1" t="n">
        <v>438.89</v>
      </c>
      <c r="G2698" s="1" t="n">
        <v>0.05</v>
      </c>
      <c r="H2698" s="1" t="s">
        <v>1336</v>
      </c>
      <c r="I2698" s="1" t="n">
        <v>1250.84</v>
      </c>
      <c r="J2698" s="1" t="str">
        <f aca="false">VLOOKUP(B2698,Customers!$A$2:$G$502,6,FALSE())</f>
        <v>Small Business</v>
      </c>
      <c r="K2698" s="1" t="str">
        <f aca="false">VLOOKUP(C2698,Products!$A$2:$E$62,3,FALSE())</f>
        <v>Furniture</v>
      </c>
      <c r="L2698" s="1" t="str">
        <f aca="false">TEXT(D2698,"yyyy-mm")</f>
        <v>2024-07</v>
      </c>
    </row>
    <row r="2699" customFormat="false" ht="15" hidden="false" customHeight="true" outlineLevel="0" collapsed="false">
      <c r="A2699" s="1" t="n">
        <v>2760</v>
      </c>
      <c r="B2699" s="1" t="n">
        <v>445</v>
      </c>
      <c r="C2699" s="1" t="n">
        <v>3</v>
      </c>
      <c r="D2699" s="1" t="s">
        <v>885</v>
      </c>
      <c r="E2699" s="1" t="n">
        <v>3</v>
      </c>
      <c r="F2699" s="1" t="n">
        <v>89.39</v>
      </c>
      <c r="G2699" s="1" t="n">
        <v>0.05</v>
      </c>
      <c r="H2699" s="1" t="s">
        <v>1336</v>
      </c>
      <c r="I2699" s="1" t="n">
        <v>254.76</v>
      </c>
      <c r="J2699" s="1" t="str">
        <f aca="false">VLOOKUP(B2699,Customers!$A$2:$G$502,6,FALSE())</f>
        <v>Small Business</v>
      </c>
      <c r="K2699" s="1" t="str">
        <f aca="false">VLOOKUP(C2699,Products!$A$2:$E$62,3,FALSE())</f>
        <v>Electronics</v>
      </c>
      <c r="L2699" s="1" t="str">
        <f aca="false">TEXT(D2699,"yyyy-mm")</f>
        <v>2023-03</v>
      </c>
    </row>
    <row r="2700" customFormat="false" ht="15" hidden="false" customHeight="true" outlineLevel="0" collapsed="false">
      <c r="A2700" s="1" t="n">
        <v>2761</v>
      </c>
      <c r="B2700" s="1" t="n">
        <v>153</v>
      </c>
      <c r="C2700" s="1" t="n">
        <v>52</v>
      </c>
      <c r="D2700" s="1" t="s">
        <v>238</v>
      </c>
      <c r="E2700" s="1" t="n">
        <v>2</v>
      </c>
      <c r="F2700" s="1" t="n">
        <v>207.67</v>
      </c>
      <c r="G2700" s="1" t="n">
        <v>0</v>
      </c>
      <c r="H2700" s="1" t="s">
        <v>1346</v>
      </c>
      <c r="I2700" s="1" t="n">
        <v>415.34</v>
      </c>
      <c r="J2700" s="1" t="str">
        <f aca="false">VLOOKUP(B2700,Customers!$A$2:$G$502,6,FALSE())</f>
        <v>Corporate</v>
      </c>
      <c r="K2700" s="1" t="str">
        <f aca="false">VLOOKUP(C2700,Products!$A$2:$E$62,3,FALSE())</f>
        <v>Software</v>
      </c>
      <c r="L2700" s="1" t="str">
        <f aca="false">TEXT(D2700,"yyyy-mm")</f>
        <v>2023-10</v>
      </c>
    </row>
    <row r="2701" customFormat="false" ht="15" hidden="false" customHeight="true" outlineLevel="0" collapsed="false">
      <c r="A2701" s="1" t="n">
        <v>2762</v>
      </c>
      <c r="B2701" s="1" t="n">
        <v>409</v>
      </c>
      <c r="C2701" s="1" t="n">
        <v>45</v>
      </c>
      <c r="D2701" s="1" t="s">
        <v>1431</v>
      </c>
      <c r="E2701" s="1" t="n">
        <v>8</v>
      </c>
      <c r="F2701" s="1" t="n">
        <v>560.01</v>
      </c>
      <c r="G2701" s="1" t="n">
        <v>0.15</v>
      </c>
      <c r="H2701" s="1" t="s">
        <v>1336</v>
      </c>
      <c r="I2701" s="1" t="n">
        <v>3808.07</v>
      </c>
      <c r="J2701" s="1" t="str">
        <f aca="false">VLOOKUP(B2701,Customers!$A$2:$G$502,6,FALSE())</f>
        <v>Small Business</v>
      </c>
      <c r="K2701" s="1" t="str">
        <f aca="false">VLOOKUP(C2701,Products!$A$2:$E$62,3,FALSE())</f>
        <v>Software</v>
      </c>
      <c r="L2701" s="1" t="str">
        <f aca="false">TEXT(D2701,"yyyy-mm")</f>
        <v>2023-12</v>
      </c>
    </row>
    <row r="2702" customFormat="false" ht="15" hidden="false" customHeight="true" outlineLevel="0" collapsed="false">
      <c r="A2702" s="1" t="n">
        <v>2763</v>
      </c>
      <c r="B2702" s="1" t="n">
        <v>312</v>
      </c>
      <c r="C2702" s="1" t="n">
        <v>50</v>
      </c>
      <c r="D2702" s="1" t="s">
        <v>24</v>
      </c>
      <c r="E2702" s="1" t="n">
        <v>1</v>
      </c>
      <c r="F2702" s="1" t="n">
        <v>19.73</v>
      </c>
      <c r="G2702" s="1" t="n">
        <v>0.15</v>
      </c>
      <c r="H2702" s="1" t="s">
        <v>1336</v>
      </c>
      <c r="I2702" s="1" t="n">
        <v>16.77</v>
      </c>
      <c r="J2702" s="1" t="str">
        <f aca="false">VLOOKUP(B2702,Customers!$A$2:$G$502,6,FALSE())</f>
        <v>Small Business</v>
      </c>
      <c r="K2702" s="1" t="str">
        <f aca="false">VLOOKUP(C2702,Products!$A$2:$E$62,3,FALSE())</f>
        <v>Software</v>
      </c>
      <c r="L2702" s="1" t="str">
        <f aca="false">TEXT(D2702,"yyyy-mm")</f>
        <v>2023-10</v>
      </c>
    </row>
    <row r="2703" customFormat="false" ht="15" hidden="false" customHeight="true" outlineLevel="0" collapsed="false">
      <c r="A2703" s="1" t="n">
        <v>2764</v>
      </c>
      <c r="B2703" s="1" t="n">
        <v>222</v>
      </c>
      <c r="C2703" s="1" t="n">
        <v>41</v>
      </c>
      <c r="D2703" s="1" t="s">
        <v>1001</v>
      </c>
      <c r="E2703" s="1" t="n">
        <v>8</v>
      </c>
      <c r="F2703" s="1" t="n">
        <v>594.54</v>
      </c>
      <c r="G2703" s="1" t="n">
        <v>0.2</v>
      </c>
      <c r="H2703" s="1" t="s">
        <v>1336</v>
      </c>
      <c r="I2703" s="1" t="n">
        <v>3805.06</v>
      </c>
      <c r="J2703" s="1" t="str">
        <f aca="false">VLOOKUP(B2703,Customers!$A$2:$G$502,6,FALSE())</f>
        <v>Consumer</v>
      </c>
      <c r="K2703" s="1" t="str">
        <f aca="false">VLOOKUP(C2703,Products!$A$2:$E$62,3,FALSE())</f>
        <v>Software</v>
      </c>
      <c r="L2703" s="1" t="str">
        <f aca="false">TEXT(D2703,"yyyy-mm")</f>
        <v>2023-03</v>
      </c>
    </row>
    <row r="2704" customFormat="false" ht="15" hidden="false" customHeight="true" outlineLevel="0" collapsed="false">
      <c r="A2704" s="1" t="n">
        <v>2765</v>
      </c>
      <c r="B2704" s="1" t="n">
        <v>459</v>
      </c>
      <c r="C2704" s="1" t="n">
        <v>37</v>
      </c>
      <c r="D2704" s="1" t="s">
        <v>1693</v>
      </c>
      <c r="E2704" s="1" t="n">
        <v>7</v>
      </c>
      <c r="F2704" s="1" t="n">
        <v>13.95</v>
      </c>
      <c r="G2704" s="1" t="n">
        <v>0</v>
      </c>
      <c r="H2704" s="1" t="s">
        <v>1336</v>
      </c>
      <c r="I2704" s="1" t="n">
        <v>97.65</v>
      </c>
      <c r="J2704" s="1" t="str">
        <f aca="false">VLOOKUP(B2704,Customers!$A$2:$G$502,6,FALSE())</f>
        <v>Small Business</v>
      </c>
      <c r="K2704" s="1" t="str">
        <f aca="false">VLOOKUP(C2704,Products!$A$2:$E$62,3,FALSE())</f>
        <v>Software</v>
      </c>
      <c r="L2704" s="1" t="str">
        <f aca="false">TEXT(D2704,"yyyy-mm")</f>
        <v>2024-05</v>
      </c>
    </row>
    <row r="2705" customFormat="false" ht="15" hidden="false" customHeight="true" outlineLevel="0" collapsed="false">
      <c r="A2705" s="1" t="n">
        <v>2766</v>
      </c>
      <c r="B2705" s="1" t="n">
        <v>108</v>
      </c>
      <c r="C2705" s="1" t="n">
        <v>24</v>
      </c>
      <c r="D2705" s="1" t="s">
        <v>750</v>
      </c>
      <c r="E2705" s="1" t="n">
        <v>7</v>
      </c>
      <c r="F2705" s="1" t="n">
        <v>207.34</v>
      </c>
      <c r="G2705" s="1" t="n">
        <v>0.1</v>
      </c>
      <c r="H2705" s="1" t="s">
        <v>1336</v>
      </c>
      <c r="I2705" s="1" t="n">
        <v>1306.24</v>
      </c>
      <c r="J2705" s="1" t="str">
        <f aca="false">VLOOKUP(B2705,Customers!$A$2:$G$502,6,FALSE())</f>
        <v>Consumer</v>
      </c>
      <c r="K2705" s="1" t="str">
        <f aca="false">VLOOKUP(C2705,Products!$A$2:$E$62,3,FALSE())</f>
        <v>Office Supplies</v>
      </c>
      <c r="L2705" s="1" t="str">
        <f aca="false">TEXT(D2705,"yyyy-mm")</f>
        <v>2024-02</v>
      </c>
    </row>
    <row r="2706" customFormat="false" ht="15" hidden="false" customHeight="true" outlineLevel="0" collapsed="false">
      <c r="A2706" s="1" t="n">
        <v>2767</v>
      </c>
      <c r="B2706" s="1" t="n">
        <v>105</v>
      </c>
      <c r="C2706" s="1" t="n">
        <v>23</v>
      </c>
      <c r="D2706" s="1" t="s">
        <v>1358</v>
      </c>
      <c r="E2706" s="1" t="n">
        <v>3</v>
      </c>
      <c r="F2706" s="1" t="n">
        <v>188.73</v>
      </c>
      <c r="G2706" s="1" t="n">
        <v>0.2</v>
      </c>
      <c r="H2706" s="1" t="s">
        <v>1336</v>
      </c>
      <c r="I2706" s="1" t="n">
        <v>452.95</v>
      </c>
      <c r="J2706" s="1" t="str">
        <f aca="false">VLOOKUP(B2706,Customers!$A$2:$G$502,6,FALSE())</f>
        <v>Corporate</v>
      </c>
      <c r="K2706" s="1" t="str">
        <f aca="false">VLOOKUP(C2706,Products!$A$2:$E$62,3,FALSE())</f>
        <v>Office Supplies</v>
      </c>
      <c r="L2706" s="1" t="str">
        <f aca="false">TEXT(D2706,"yyyy-mm")</f>
        <v>2024-01</v>
      </c>
    </row>
    <row r="2707" customFormat="false" ht="15" hidden="false" customHeight="true" outlineLevel="0" collapsed="false">
      <c r="A2707" s="1" t="n">
        <v>2770</v>
      </c>
      <c r="B2707" s="1" t="n">
        <v>368</v>
      </c>
      <c r="C2707" s="1" t="n">
        <v>40</v>
      </c>
      <c r="D2707" s="1" t="s">
        <v>1694</v>
      </c>
      <c r="E2707" s="1" t="n">
        <v>9</v>
      </c>
      <c r="F2707" s="1" t="n">
        <v>193.02</v>
      </c>
      <c r="G2707" s="1" t="n">
        <v>0</v>
      </c>
      <c r="H2707" s="1" t="s">
        <v>1336</v>
      </c>
      <c r="I2707" s="1" t="n">
        <v>1737.18</v>
      </c>
      <c r="J2707" s="1" t="str">
        <f aca="false">VLOOKUP(B2707,Customers!$A$2:$G$502,6,FALSE())</f>
        <v>Corporate</v>
      </c>
      <c r="K2707" s="1" t="str">
        <f aca="false">VLOOKUP(C2707,Products!$A$2:$E$62,3,FALSE())</f>
        <v>Software</v>
      </c>
      <c r="L2707" s="1" t="str">
        <f aca="false">TEXT(D2707,"yyyy-mm")</f>
        <v>2023-09</v>
      </c>
    </row>
    <row r="2708" customFormat="false" ht="15" hidden="false" customHeight="true" outlineLevel="0" collapsed="false">
      <c r="A2708" s="1" t="n">
        <v>2771</v>
      </c>
      <c r="B2708" s="1" t="n">
        <v>497</v>
      </c>
      <c r="C2708" s="1" t="n">
        <v>6</v>
      </c>
      <c r="D2708" s="1" t="s">
        <v>1394</v>
      </c>
      <c r="E2708" s="1" t="n">
        <v>5</v>
      </c>
      <c r="F2708" s="1" t="n">
        <v>28.51</v>
      </c>
      <c r="G2708" s="1" t="n">
        <v>0.1</v>
      </c>
      <c r="H2708" s="1" t="s">
        <v>1336</v>
      </c>
      <c r="I2708" s="1" t="n">
        <v>128.3</v>
      </c>
      <c r="J2708" s="1" t="str">
        <f aca="false">VLOOKUP(B2708,Customers!$A$2:$G$502,6,FALSE())</f>
        <v>Consumer</v>
      </c>
      <c r="K2708" s="1" t="str">
        <f aca="false">VLOOKUP(C2708,Products!$A$2:$E$62,3,FALSE())</f>
        <v>Electronics</v>
      </c>
      <c r="L2708" s="1" t="str">
        <f aca="false">TEXT(D2708,"yyyy-mm")</f>
        <v>2023-12</v>
      </c>
    </row>
    <row r="2709" customFormat="false" ht="15" hidden="false" customHeight="true" outlineLevel="0" collapsed="false">
      <c r="A2709" s="1" t="n">
        <v>2772</v>
      </c>
      <c r="B2709" s="1" t="n">
        <v>431</v>
      </c>
      <c r="C2709" s="1" t="n">
        <v>56</v>
      </c>
      <c r="D2709" s="1" t="s">
        <v>1549</v>
      </c>
      <c r="E2709" s="1" t="n">
        <v>1</v>
      </c>
      <c r="F2709" s="1" t="n">
        <v>160.64</v>
      </c>
      <c r="G2709" s="1" t="n">
        <v>0.05</v>
      </c>
      <c r="H2709" s="1" t="s">
        <v>1336</v>
      </c>
      <c r="I2709" s="1" t="n">
        <v>152.61</v>
      </c>
      <c r="J2709" s="1" t="str">
        <f aca="false">VLOOKUP(B2709,Customers!$A$2:$G$502,6,FALSE())</f>
        <v>Consumer</v>
      </c>
      <c r="K2709" s="1" t="str">
        <f aca="false">VLOOKUP(C2709,Products!$A$2:$E$62,3,FALSE())</f>
        <v>Furniture</v>
      </c>
      <c r="L2709" s="1" t="str">
        <f aca="false">TEXT(D2709,"yyyy-mm")</f>
        <v>2023-01</v>
      </c>
    </row>
    <row r="2710" customFormat="false" ht="15" hidden="false" customHeight="true" outlineLevel="0" collapsed="false">
      <c r="A2710" s="1" t="n">
        <v>2773</v>
      </c>
      <c r="B2710" s="1" t="n">
        <v>381</v>
      </c>
      <c r="C2710" s="1" t="n">
        <v>29</v>
      </c>
      <c r="D2710" s="1" t="s">
        <v>1522</v>
      </c>
      <c r="E2710" s="1" t="n">
        <v>5</v>
      </c>
      <c r="F2710" s="1" t="n">
        <v>54.62</v>
      </c>
      <c r="G2710" s="1" t="n">
        <v>0.05</v>
      </c>
      <c r="H2710" s="1" t="s">
        <v>1336</v>
      </c>
      <c r="I2710" s="1" t="n">
        <v>259.44</v>
      </c>
      <c r="J2710" s="1" t="str">
        <f aca="false">VLOOKUP(B2710,Customers!$A$2:$G$502,6,FALSE())</f>
        <v>Corporate</v>
      </c>
      <c r="K2710" s="1" t="str">
        <f aca="false">VLOOKUP(C2710,Products!$A$2:$E$62,3,FALSE())</f>
        <v>Office Supplies</v>
      </c>
      <c r="L2710" s="1" t="str">
        <f aca="false">TEXT(D2710,"yyyy-mm")</f>
        <v>2024-11</v>
      </c>
    </row>
    <row r="2711" customFormat="false" ht="15" hidden="false" customHeight="true" outlineLevel="0" collapsed="false">
      <c r="A2711" s="1" t="n">
        <v>2774</v>
      </c>
      <c r="B2711" s="1" t="n">
        <v>490</v>
      </c>
      <c r="C2711" s="1" t="n">
        <v>8</v>
      </c>
      <c r="D2711" s="1" t="s">
        <v>467</v>
      </c>
      <c r="E2711" s="1" t="n">
        <v>8</v>
      </c>
      <c r="F2711" s="1" t="n">
        <v>104.4</v>
      </c>
      <c r="G2711" s="1" t="n">
        <v>0</v>
      </c>
      <c r="H2711" s="1" t="s">
        <v>1336</v>
      </c>
      <c r="I2711" s="1" t="n">
        <v>835.2</v>
      </c>
      <c r="J2711" s="1" t="str">
        <f aca="false">VLOOKUP(B2711,Customers!$A$2:$G$502,6,FALSE())</f>
        <v>Consumer</v>
      </c>
      <c r="K2711" s="1" t="str">
        <f aca="false">VLOOKUP(C2711,Products!$A$2:$E$62,3,FALSE())</f>
        <v>Electronics</v>
      </c>
      <c r="L2711" s="1" t="str">
        <f aca="false">TEXT(D2711,"yyyy-mm")</f>
        <v>2024-11</v>
      </c>
    </row>
    <row r="2712" customFormat="false" ht="15" hidden="false" customHeight="true" outlineLevel="0" collapsed="false">
      <c r="A2712" s="1" t="n">
        <v>2775</v>
      </c>
      <c r="B2712" s="1" t="n">
        <v>352</v>
      </c>
      <c r="C2712" s="1" t="n">
        <v>34</v>
      </c>
      <c r="D2712" s="1" t="s">
        <v>1353</v>
      </c>
      <c r="E2712" s="1" t="n">
        <v>8</v>
      </c>
      <c r="F2712" s="1" t="n">
        <v>116.85</v>
      </c>
      <c r="G2712" s="1" t="n">
        <v>0</v>
      </c>
      <c r="H2712" s="1" t="s">
        <v>1336</v>
      </c>
      <c r="I2712" s="1" t="n">
        <v>934.8</v>
      </c>
      <c r="J2712" s="1" t="str">
        <f aca="false">VLOOKUP(B2712,Customers!$A$2:$G$502,6,FALSE())</f>
        <v>Corporate</v>
      </c>
      <c r="K2712" s="1" t="str">
        <f aca="false">VLOOKUP(C2712,Products!$A$2:$E$62,3,FALSE())</f>
        <v>Office Supplies</v>
      </c>
      <c r="L2712" s="1" t="str">
        <f aca="false">TEXT(D2712,"yyyy-mm")</f>
        <v>2023-06</v>
      </c>
    </row>
    <row r="2713" customFormat="false" ht="15" hidden="false" customHeight="true" outlineLevel="0" collapsed="false">
      <c r="A2713" s="1" t="n">
        <v>2776</v>
      </c>
      <c r="B2713" s="1" t="n">
        <v>164</v>
      </c>
      <c r="C2713" s="1" t="n">
        <v>51</v>
      </c>
      <c r="D2713" s="1" t="s">
        <v>567</v>
      </c>
      <c r="E2713" s="1" t="n">
        <v>5</v>
      </c>
      <c r="F2713" s="1" t="n">
        <v>30.16</v>
      </c>
      <c r="G2713" s="1" t="n">
        <v>0.1</v>
      </c>
      <c r="H2713" s="1" t="s">
        <v>1336</v>
      </c>
      <c r="I2713" s="1" t="n">
        <v>135.72</v>
      </c>
      <c r="J2713" s="1" t="str">
        <f aca="false">VLOOKUP(B2713,Customers!$A$2:$G$502,6,FALSE())</f>
        <v>Consumer</v>
      </c>
      <c r="K2713" s="1" t="str">
        <f aca="false">VLOOKUP(C2713,Products!$A$2:$E$62,3,FALSE())</f>
        <v>Software</v>
      </c>
      <c r="L2713" s="1" t="str">
        <f aca="false">TEXT(D2713,"yyyy-mm")</f>
        <v>2024-10</v>
      </c>
    </row>
    <row r="2714" customFormat="false" ht="15" hidden="false" customHeight="true" outlineLevel="0" collapsed="false">
      <c r="A2714" s="1" t="n">
        <v>2777</v>
      </c>
      <c r="B2714" s="1" t="n">
        <v>293</v>
      </c>
      <c r="C2714" s="1" t="n">
        <v>27</v>
      </c>
      <c r="D2714" s="1" t="s">
        <v>1353</v>
      </c>
      <c r="E2714" s="1" t="n">
        <v>9</v>
      </c>
      <c r="F2714" s="1" t="n">
        <v>772.58</v>
      </c>
      <c r="G2714" s="1" t="n">
        <v>0</v>
      </c>
      <c r="H2714" s="1" t="s">
        <v>1336</v>
      </c>
      <c r="I2714" s="1" t="n">
        <v>6953.22</v>
      </c>
      <c r="J2714" s="1" t="str">
        <f aca="false">VLOOKUP(B2714,Customers!$A$2:$G$502,6,FALSE())</f>
        <v>Small Business</v>
      </c>
      <c r="K2714" s="1" t="str">
        <f aca="false">VLOOKUP(C2714,Products!$A$2:$E$62,3,FALSE())</f>
        <v>Office Supplies</v>
      </c>
      <c r="L2714" s="1" t="str">
        <f aca="false">TEXT(D2714,"yyyy-mm")</f>
        <v>2023-06</v>
      </c>
    </row>
    <row r="2715" customFormat="false" ht="15" hidden="false" customHeight="true" outlineLevel="0" collapsed="false">
      <c r="A2715" s="1" t="n">
        <v>2778</v>
      </c>
      <c r="B2715" s="1" t="n">
        <v>378</v>
      </c>
      <c r="C2715" s="1" t="n">
        <v>42</v>
      </c>
      <c r="D2715" s="1" t="s">
        <v>1362</v>
      </c>
      <c r="E2715" s="1" t="n">
        <v>1</v>
      </c>
      <c r="F2715" s="1" t="n">
        <v>174.48</v>
      </c>
      <c r="G2715" s="1" t="n">
        <v>0.15</v>
      </c>
      <c r="H2715" s="1" t="s">
        <v>1336</v>
      </c>
      <c r="I2715" s="1" t="n">
        <v>148.31</v>
      </c>
      <c r="J2715" s="1" t="str">
        <f aca="false">VLOOKUP(B2715,Customers!$A$2:$G$502,6,FALSE())</f>
        <v>Small Business</v>
      </c>
      <c r="K2715" s="1" t="str">
        <f aca="false">VLOOKUP(C2715,Products!$A$2:$E$62,3,FALSE())</f>
        <v>Software</v>
      </c>
      <c r="L2715" s="1" t="str">
        <f aca="false">TEXT(D2715,"yyyy-mm")</f>
        <v>2024-01</v>
      </c>
    </row>
    <row r="2716" customFormat="false" ht="15" hidden="false" customHeight="true" outlineLevel="0" collapsed="false">
      <c r="A2716" s="1" t="n">
        <v>2779</v>
      </c>
      <c r="B2716" s="1" t="n">
        <v>216</v>
      </c>
      <c r="C2716" s="1" t="n">
        <v>54</v>
      </c>
      <c r="D2716" s="1" t="s">
        <v>1439</v>
      </c>
      <c r="E2716" s="1" t="n">
        <v>4</v>
      </c>
      <c r="F2716" s="1" t="n">
        <v>312.01</v>
      </c>
      <c r="G2716" s="1" t="n">
        <v>0</v>
      </c>
      <c r="H2716" s="1" t="s">
        <v>1346</v>
      </c>
      <c r="I2716" s="1" t="n">
        <v>1248.04</v>
      </c>
      <c r="J2716" s="1" t="str">
        <f aca="false">VLOOKUP(B2716,Customers!$A$2:$G$502,6,FALSE())</f>
        <v>Consumer</v>
      </c>
      <c r="K2716" s="1" t="str">
        <f aca="false">VLOOKUP(C2716,Products!$A$2:$E$62,3,FALSE())</f>
        <v>Software</v>
      </c>
      <c r="L2716" s="1" t="str">
        <f aca="false">TEXT(D2716,"yyyy-mm")</f>
        <v>2024-05</v>
      </c>
    </row>
    <row r="2717" customFormat="false" ht="15" hidden="false" customHeight="true" outlineLevel="0" collapsed="false">
      <c r="A2717" s="1" t="n">
        <v>2780</v>
      </c>
      <c r="B2717" s="1" t="n">
        <v>359</v>
      </c>
      <c r="C2717" s="1" t="n">
        <v>1</v>
      </c>
      <c r="D2717" s="1" t="s">
        <v>1584</v>
      </c>
      <c r="E2717" s="1" t="n">
        <v>3</v>
      </c>
      <c r="F2717" s="1" t="n">
        <v>327.32</v>
      </c>
      <c r="G2717" s="1" t="n">
        <v>0.05</v>
      </c>
      <c r="H2717" s="1" t="s">
        <v>1336</v>
      </c>
      <c r="I2717" s="1" t="n">
        <v>932.86</v>
      </c>
      <c r="J2717" s="1" t="str">
        <f aca="false">VLOOKUP(B2717,Customers!$A$2:$G$502,6,FALSE())</f>
        <v>Small Business</v>
      </c>
      <c r="K2717" s="1" t="str">
        <f aca="false">VLOOKUP(C2717,Products!$A$2:$E$62,3,FALSE())</f>
        <v>Electronics</v>
      </c>
      <c r="L2717" s="1" t="str">
        <f aca="false">TEXT(D2717,"yyyy-mm")</f>
        <v>2024-01</v>
      </c>
    </row>
    <row r="2718" customFormat="false" ht="15" hidden="false" customHeight="true" outlineLevel="0" collapsed="false">
      <c r="A2718" s="1" t="n">
        <v>2781</v>
      </c>
      <c r="B2718" s="1" t="n">
        <v>349</v>
      </c>
      <c r="C2718" s="1" t="n">
        <v>6</v>
      </c>
      <c r="D2718" s="1" t="s">
        <v>1487</v>
      </c>
      <c r="E2718" s="1" t="n">
        <v>2</v>
      </c>
      <c r="F2718" s="1" t="n">
        <v>28.51</v>
      </c>
      <c r="G2718" s="1" t="n">
        <v>0</v>
      </c>
      <c r="H2718" s="1" t="s">
        <v>1370</v>
      </c>
      <c r="I2718" s="1" t="n">
        <v>57.02</v>
      </c>
      <c r="J2718" s="1" t="str">
        <f aca="false">VLOOKUP(B2718,Customers!$A$2:$G$502,6,FALSE())</f>
        <v>Consumer</v>
      </c>
      <c r="K2718" s="1" t="str">
        <f aca="false">VLOOKUP(C2718,Products!$A$2:$E$62,3,FALSE())</f>
        <v>Electronics</v>
      </c>
      <c r="L2718" s="1" t="str">
        <f aca="false">TEXT(D2718,"yyyy-mm")</f>
        <v>2024-01</v>
      </c>
    </row>
    <row r="2719" customFormat="false" ht="15" hidden="false" customHeight="true" outlineLevel="0" collapsed="false">
      <c r="A2719" s="1" t="n">
        <v>2782</v>
      </c>
      <c r="B2719" s="1" t="n">
        <v>240</v>
      </c>
      <c r="C2719" s="1" t="n">
        <v>35</v>
      </c>
      <c r="D2719" s="1" t="s">
        <v>71</v>
      </c>
      <c r="E2719" s="1" t="n">
        <v>8</v>
      </c>
      <c r="F2719" s="1" t="n">
        <v>75.78</v>
      </c>
      <c r="G2719" s="1" t="n">
        <v>0</v>
      </c>
      <c r="H2719" s="1" t="s">
        <v>1336</v>
      </c>
      <c r="I2719" s="1" t="n">
        <v>606.24</v>
      </c>
      <c r="J2719" s="1" t="str">
        <f aca="false">VLOOKUP(B2719,Customers!$A$2:$G$502,6,FALSE())</f>
        <v>Corporate</v>
      </c>
      <c r="K2719" s="1" t="str">
        <f aca="false">VLOOKUP(C2719,Products!$A$2:$E$62,3,FALSE())</f>
        <v>Software</v>
      </c>
      <c r="L2719" s="1" t="str">
        <f aca="false">TEXT(D2719,"yyyy-mm")</f>
        <v>2024-05</v>
      </c>
    </row>
    <row r="2720" customFormat="false" ht="15" hidden="false" customHeight="true" outlineLevel="0" collapsed="false">
      <c r="A2720" s="1" t="n">
        <v>2783</v>
      </c>
      <c r="B2720" s="1" t="n">
        <v>175</v>
      </c>
      <c r="C2720" s="1" t="n">
        <v>37</v>
      </c>
      <c r="D2720" s="1" t="s">
        <v>226</v>
      </c>
      <c r="E2720" s="1" t="n">
        <v>7</v>
      </c>
      <c r="F2720" s="1" t="n">
        <v>13.95</v>
      </c>
      <c r="G2720" s="1" t="n">
        <v>0</v>
      </c>
      <c r="H2720" s="1" t="s">
        <v>1336</v>
      </c>
      <c r="I2720" s="1" t="n">
        <v>97.65</v>
      </c>
      <c r="J2720" s="1" t="str">
        <f aca="false">VLOOKUP(B2720,Customers!$A$2:$G$502,6,FALSE())</f>
        <v>Consumer</v>
      </c>
      <c r="K2720" s="1" t="str">
        <f aca="false">VLOOKUP(C2720,Products!$A$2:$E$62,3,FALSE())</f>
        <v>Software</v>
      </c>
      <c r="L2720" s="1" t="str">
        <f aca="false">TEXT(D2720,"yyyy-mm")</f>
        <v>2023-11</v>
      </c>
    </row>
    <row r="2721" customFormat="false" ht="15" hidden="false" customHeight="true" outlineLevel="0" collapsed="false">
      <c r="A2721" s="1" t="n">
        <v>2784</v>
      </c>
      <c r="B2721" s="1" t="n">
        <v>79</v>
      </c>
      <c r="C2721" s="1" t="n">
        <v>16</v>
      </c>
      <c r="D2721" s="1" t="s">
        <v>1464</v>
      </c>
      <c r="E2721" s="1" t="n">
        <v>9</v>
      </c>
      <c r="F2721" s="1" t="n">
        <v>330.91</v>
      </c>
      <c r="G2721" s="1" t="n">
        <v>0.05</v>
      </c>
      <c r="H2721" s="1" t="s">
        <v>1336</v>
      </c>
      <c r="I2721" s="1" t="n">
        <v>2829.28</v>
      </c>
      <c r="J2721" s="1" t="str">
        <f aca="false">VLOOKUP(B2721,Customers!$A$2:$G$502,6,FALSE())</f>
        <v>Small Business</v>
      </c>
      <c r="K2721" s="1" t="str">
        <f aca="false">VLOOKUP(C2721,Products!$A$2:$E$62,3,FALSE())</f>
        <v>Electronics</v>
      </c>
      <c r="L2721" s="1" t="str">
        <f aca="false">TEXT(D2721,"yyyy-mm")</f>
        <v>2023-05</v>
      </c>
    </row>
    <row r="2722" customFormat="false" ht="15" hidden="false" customHeight="true" outlineLevel="0" collapsed="false">
      <c r="A2722" s="1" t="n">
        <v>2785</v>
      </c>
      <c r="B2722" s="1" t="n">
        <v>258</v>
      </c>
      <c r="C2722" s="1" t="n">
        <v>38</v>
      </c>
      <c r="D2722" s="1" t="s">
        <v>775</v>
      </c>
      <c r="E2722" s="1" t="n">
        <v>2</v>
      </c>
      <c r="F2722" s="1" t="n">
        <v>521.63</v>
      </c>
      <c r="G2722" s="1" t="n">
        <v>0</v>
      </c>
      <c r="H2722" s="1" t="s">
        <v>1346</v>
      </c>
      <c r="I2722" s="1" t="n">
        <v>1043.26</v>
      </c>
      <c r="J2722" s="1" t="str">
        <f aca="false">VLOOKUP(B2722,Customers!$A$2:$G$502,6,FALSE())</f>
        <v>Small Business</v>
      </c>
      <c r="K2722" s="1" t="str">
        <f aca="false">VLOOKUP(C2722,Products!$A$2:$E$62,3,FALSE())</f>
        <v>Software</v>
      </c>
      <c r="L2722" s="1" t="str">
        <f aca="false">TEXT(D2722,"yyyy-mm")</f>
        <v>2023-01</v>
      </c>
    </row>
    <row r="2723" customFormat="false" ht="15" hidden="false" customHeight="true" outlineLevel="0" collapsed="false">
      <c r="A2723" s="1" t="n">
        <v>2786</v>
      </c>
      <c r="B2723" s="1" t="n">
        <v>19</v>
      </c>
      <c r="C2723" s="1" t="n">
        <v>46</v>
      </c>
      <c r="D2723" s="1" t="s">
        <v>1449</v>
      </c>
      <c r="E2723" s="1" t="n">
        <v>4</v>
      </c>
      <c r="F2723" s="1" t="n">
        <v>94.92</v>
      </c>
      <c r="G2723" s="1" t="n">
        <v>0</v>
      </c>
      <c r="H2723" s="1" t="s">
        <v>1336</v>
      </c>
      <c r="I2723" s="1" t="n">
        <v>379.68</v>
      </c>
      <c r="J2723" s="1" t="str">
        <f aca="false">VLOOKUP(B2723,Customers!$A$2:$G$502,6,FALSE())</f>
        <v>Consumer</v>
      </c>
      <c r="K2723" s="1" t="str">
        <f aca="false">VLOOKUP(C2723,Products!$A$2:$E$62,3,FALSE())</f>
        <v>Software</v>
      </c>
      <c r="L2723" s="1" t="str">
        <f aca="false">TEXT(D2723,"yyyy-mm")</f>
        <v>2024-03</v>
      </c>
    </row>
    <row r="2724" customFormat="false" ht="15" hidden="false" customHeight="true" outlineLevel="0" collapsed="false">
      <c r="A2724" s="1" t="n">
        <v>2787</v>
      </c>
      <c r="B2724" s="1" t="n">
        <v>230</v>
      </c>
      <c r="C2724" s="1" t="n">
        <v>4</v>
      </c>
      <c r="D2724" s="1" t="s">
        <v>1567</v>
      </c>
      <c r="E2724" s="1" t="n">
        <v>6</v>
      </c>
      <c r="F2724" s="1" t="n">
        <v>56.24</v>
      </c>
      <c r="G2724" s="1" t="n">
        <v>0.1</v>
      </c>
      <c r="H2724" s="1" t="s">
        <v>1336</v>
      </c>
      <c r="I2724" s="1" t="n">
        <v>303.7</v>
      </c>
      <c r="J2724" s="1" t="str">
        <f aca="false">VLOOKUP(B2724,Customers!$A$2:$G$502,6,FALSE())</f>
        <v>Corporate</v>
      </c>
      <c r="K2724" s="1" t="str">
        <f aca="false">VLOOKUP(C2724,Products!$A$2:$E$62,3,FALSE())</f>
        <v>Electronics</v>
      </c>
      <c r="L2724" s="1" t="str">
        <f aca="false">TEXT(D2724,"yyyy-mm")</f>
        <v>2024-11</v>
      </c>
    </row>
    <row r="2725" customFormat="false" ht="15" hidden="false" customHeight="true" outlineLevel="0" collapsed="false">
      <c r="A2725" s="1" t="n">
        <v>2788</v>
      </c>
      <c r="B2725" s="1" t="n">
        <v>133</v>
      </c>
      <c r="C2725" s="1" t="n">
        <v>5</v>
      </c>
      <c r="D2725" s="1" t="s">
        <v>1484</v>
      </c>
      <c r="E2725" s="1" t="n">
        <v>3</v>
      </c>
      <c r="F2725" s="1" t="n">
        <v>439.06</v>
      </c>
      <c r="G2725" s="1" t="n">
        <v>0.2</v>
      </c>
      <c r="H2725" s="1" t="s">
        <v>1336</v>
      </c>
      <c r="I2725" s="1" t="n">
        <v>1053.74</v>
      </c>
      <c r="J2725" s="1" t="str">
        <f aca="false">VLOOKUP(B2725,Customers!$A$2:$G$502,6,FALSE())</f>
        <v>Consumer</v>
      </c>
      <c r="K2725" s="1" t="str">
        <f aca="false">VLOOKUP(C2725,Products!$A$2:$E$62,3,FALSE())</f>
        <v>Electronics</v>
      </c>
      <c r="L2725" s="1" t="str">
        <f aca="false">TEXT(D2725,"yyyy-mm")</f>
        <v>2024-10</v>
      </c>
    </row>
    <row r="2726" customFormat="false" ht="15" hidden="false" customHeight="true" outlineLevel="0" collapsed="false">
      <c r="A2726" s="1" t="n">
        <v>2789</v>
      </c>
      <c r="B2726" s="1" t="n">
        <v>40</v>
      </c>
      <c r="C2726" s="1" t="n">
        <v>53</v>
      </c>
      <c r="D2726" s="1" t="s">
        <v>1558</v>
      </c>
      <c r="E2726" s="1" t="n">
        <v>8</v>
      </c>
      <c r="F2726" s="1" t="n">
        <v>509.98</v>
      </c>
      <c r="G2726" s="1" t="n">
        <v>0.1</v>
      </c>
      <c r="H2726" s="1" t="s">
        <v>1336</v>
      </c>
      <c r="I2726" s="1" t="n">
        <v>3671.86</v>
      </c>
      <c r="J2726" s="1" t="str">
        <f aca="false">VLOOKUP(B2726,Customers!$A$2:$G$502,6,FALSE())</f>
        <v>Consumer</v>
      </c>
      <c r="K2726" s="1" t="str">
        <f aca="false">VLOOKUP(C2726,Products!$A$2:$E$62,3,FALSE())</f>
        <v>Software</v>
      </c>
      <c r="L2726" s="1" t="str">
        <f aca="false">TEXT(D2726,"yyyy-mm")</f>
        <v>2024-07</v>
      </c>
    </row>
    <row r="2727" customFormat="false" ht="15" hidden="false" customHeight="true" outlineLevel="0" collapsed="false">
      <c r="A2727" s="1" t="n">
        <v>2790</v>
      </c>
      <c r="B2727" s="1" t="n">
        <v>264</v>
      </c>
      <c r="C2727" s="1" t="n">
        <v>5</v>
      </c>
      <c r="D2727" s="1" t="s">
        <v>1433</v>
      </c>
      <c r="E2727" s="1" t="n">
        <v>3</v>
      </c>
      <c r="F2727" s="1" t="n">
        <v>439.06</v>
      </c>
      <c r="G2727" s="1" t="n">
        <v>0.1</v>
      </c>
      <c r="H2727" s="1" t="s">
        <v>1336</v>
      </c>
      <c r="I2727" s="1" t="n">
        <v>1185.46</v>
      </c>
      <c r="J2727" s="1" t="str">
        <f aca="false">VLOOKUP(B2727,Customers!$A$2:$G$502,6,FALSE())</f>
        <v>Small Business</v>
      </c>
      <c r="K2727" s="1" t="str">
        <f aca="false">VLOOKUP(C2727,Products!$A$2:$E$62,3,FALSE())</f>
        <v>Electronics</v>
      </c>
      <c r="L2727" s="1" t="str">
        <f aca="false">TEXT(D2727,"yyyy-mm")</f>
        <v>2023-12</v>
      </c>
    </row>
    <row r="2728" customFormat="false" ht="15" hidden="false" customHeight="true" outlineLevel="0" collapsed="false">
      <c r="A2728" s="1" t="n">
        <v>2791</v>
      </c>
      <c r="B2728" s="1" t="n">
        <v>190</v>
      </c>
      <c r="C2728" s="1" t="n">
        <v>33</v>
      </c>
      <c r="D2728" s="1" t="s">
        <v>1665</v>
      </c>
      <c r="E2728" s="1" t="n">
        <v>2</v>
      </c>
      <c r="F2728" s="1" t="n">
        <v>190.1</v>
      </c>
      <c r="G2728" s="1" t="n">
        <v>0.2</v>
      </c>
      <c r="H2728" s="1" t="s">
        <v>1336</v>
      </c>
      <c r="I2728" s="1" t="n">
        <v>304.16</v>
      </c>
      <c r="J2728" s="1" t="str">
        <f aca="false">VLOOKUP(B2728,Customers!$A$2:$G$502,6,FALSE())</f>
        <v>Corporate</v>
      </c>
      <c r="K2728" s="1" t="str">
        <f aca="false">VLOOKUP(C2728,Products!$A$2:$E$62,3,FALSE())</f>
        <v>Office Supplies</v>
      </c>
      <c r="L2728" s="1" t="str">
        <f aca="false">TEXT(D2728,"yyyy-mm")</f>
        <v>2024-09</v>
      </c>
    </row>
    <row r="2729" customFormat="false" ht="15" hidden="false" customHeight="true" outlineLevel="0" collapsed="false">
      <c r="A2729" s="1" t="n">
        <v>2792</v>
      </c>
      <c r="B2729" s="1" t="n">
        <v>259</v>
      </c>
      <c r="C2729" s="1" t="n">
        <v>17</v>
      </c>
      <c r="D2729" s="1" t="s">
        <v>295</v>
      </c>
      <c r="E2729" s="1" t="n">
        <v>3</v>
      </c>
      <c r="F2729" s="1" t="n">
        <v>65.61</v>
      </c>
      <c r="G2729" s="1" t="n">
        <v>0</v>
      </c>
      <c r="H2729" s="1" t="s">
        <v>1336</v>
      </c>
      <c r="I2729" s="1" t="n">
        <v>196.83</v>
      </c>
      <c r="J2729" s="1" t="str">
        <f aca="false">VLOOKUP(B2729,Customers!$A$2:$G$502,6,FALSE())</f>
        <v>Consumer</v>
      </c>
      <c r="K2729" s="1" t="str">
        <f aca="false">VLOOKUP(C2729,Products!$A$2:$E$62,3,FALSE())</f>
        <v>Electronics</v>
      </c>
      <c r="L2729" s="1" t="str">
        <f aca="false">TEXT(D2729,"yyyy-mm")</f>
        <v>2024-07</v>
      </c>
    </row>
    <row r="2730" customFormat="false" ht="15" hidden="false" customHeight="true" outlineLevel="0" collapsed="false">
      <c r="A2730" s="1" t="n">
        <v>2793</v>
      </c>
      <c r="B2730" s="1" t="n">
        <v>9</v>
      </c>
      <c r="C2730" s="1" t="n">
        <v>44</v>
      </c>
      <c r="D2730" s="1" t="s">
        <v>623</v>
      </c>
      <c r="E2730" s="1" t="n">
        <v>6</v>
      </c>
      <c r="F2730" s="1" t="n">
        <v>508.26</v>
      </c>
      <c r="G2730" s="1" t="n">
        <v>0.05</v>
      </c>
      <c r="H2730" s="1" t="s">
        <v>1336</v>
      </c>
      <c r="I2730" s="1" t="n">
        <v>2897.08</v>
      </c>
      <c r="J2730" s="1" t="str">
        <f aca="false">VLOOKUP(B2730,Customers!$A$2:$G$502,6,FALSE())</f>
        <v>Small Business</v>
      </c>
      <c r="K2730" s="1" t="str">
        <f aca="false">VLOOKUP(C2730,Products!$A$2:$E$62,3,FALSE())</f>
        <v>Software</v>
      </c>
      <c r="L2730" s="1" t="str">
        <f aca="false">TEXT(D2730,"yyyy-mm")</f>
        <v>2024-05</v>
      </c>
    </row>
    <row r="2731" customFormat="false" ht="15" hidden="false" customHeight="true" outlineLevel="0" collapsed="false">
      <c r="A2731" s="1" t="n">
        <v>2794</v>
      </c>
      <c r="B2731" s="1" t="n">
        <v>59</v>
      </c>
      <c r="C2731" s="1" t="n">
        <v>60</v>
      </c>
      <c r="D2731" s="1" t="s">
        <v>1612</v>
      </c>
      <c r="E2731" s="1" t="n">
        <v>2</v>
      </c>
      <c r="F2731" s="1" t="n">
        <v>584.98</v>
      </c>
      <c r="G2731" s="1" t="n">
        <v>0.2</v>
      </c>
      <c r="H2731" s="1" t="s">
        <v>1336</v>
      </c>
      <c r="I2731" s="1" t="n">
        <v>935.97</v>
      </c>
      <c r="J2731" s="1" t="str">
        <f aca="false">VLOOKUP(B2731,Customers!$A$2:$G$502,6,FALSE())</f>
        <v>Corporate</v>
      </c>
      <c r="K2731" s="1" t="str">
        <f aca="false">VLOOKUP(C2731,Products!$A$2:$E$62,3,FALSE())</f>
        <v>Furniture</v>
      </c>
      <c r="L2731" s="1" t="str">
        <f aca="false">TEXT(D2731,"yyyy-mm")</f>
        <v>2024-10</v>
      </c>
    </row>
    <row r="2732" customFormat="false" ht="15" hidden="false" customHeight="true" outlineLevel="0" collapsed="false">
      <c r="A2732" s="1" t="n">
        <v>2795</v>
      </c>
      <c r="B2732" s="1" t="n">
        <v>281</v>
      </c>
      <c r="C2732" s="1" t="n">
        <v>57</v>
      </c>
      <c r="D2732" s="1" t="s">
        <v>828</v>
      </c>
      <c r="E2732" s="1" t="n">
        <v>8</v>
      </c>
      <c r="F2732" s="1" t="n">
        <v>719.76</v>
      </c>
      <c r="G2732" s="1" t="n">
        <v>0</v>
      </c>
      <c r="H2732" s="1" t="s">
        <v>1336</v>
      </c>
      <c r="I2732" s="1" t="n">
        <v>5758.08</v>
      </c>
      <c r="J2732" s="1" t="str">
        <f aca="false">VLOOKUP(B2732,Customers!$A$2:$G$502,6,FALSE())</f>
        <v>Corporate</v>
      </c>
      <c r="K2732" s="1" t="str">
        <f aca="false">VLOOKUP(C2732,Products!$A$2:$E$62,3,FALSE())</f>
        <v>Furniture</v>
      </c>
      <c r="L2732" s="1" t="str">
        <f aca="false">TEXT(D2732,"yyyy-mm")</f>
        <v>2024-07</v>
      </c>
    </row>
    <row r="2733" customFormat="false" ht="15" hidden="false" customHeight="true" outlineLevel="0" collapsed="false">
      <c r="A2733" s="1" t="n">
        <v>2796</v>
      </c>
      <c r="B2733" s="1" t="n">
        <v>199</v>
      </c>
      <c r="C2733" s="1" t="n">
        <v>55</v>
      </c>
      <c r="D2733" s="1" t="s">
        <v>1547</v>
      </c>
      <c r="E2733" s="1" t="n">
        <v>1</v>
      </c>
      <c r="F2733" s="1" t="n">
        <v>123.38</v>
      </c>
      <c r="G2733" s="1" t="n">
        <v>0.2</v>
      </c>
      <c r="H2733" s="1" t="s">
        <v>1336</v>
      </c>
      <c r="I2733" s="1" t="n">
        <v>98.7</v>
      </c>
      <c r="J2733" s="1" t="str">
        <f aca="false">VLOOKUP(B2733,Customers!$A$2:$G$502,6,FALSE())</f>
        <v>Corporate</v>
      </c>
      <c r="K2733" s="1" t="str">
        <f aca="false">VLOOKUP(C2733,Products!$A$2:$E$62,3,FALSE())</f>
        <v>Furniture</v>
      </c>
      <c r="L2733" s="1" t="str">
        <f aca="false">TEXT(D2733,"yyyy-mm")</f>
        <v>2024-11</v>
      </c>
    </row>
    <row r="2734" customFormat="false" ht="15" hidden="false" customHeight="true" outlineLevel="0" collapsed="false">
      <c r="A2734" s="1" t="n">
        <v>2797</v>
      </c>
      <c r="B2734" s="1" t="n">
        <v>333</v>
      </c>
      <c r="C2734" s="1" t="n">
        <v>53</v>
      </c>
      <c r="D2734" s="1" t="s">
        <v>1488</v>
      </c>
      <c r="E2734" s="1" t="n">
        <v>7</v>
      </c>
      <c r="F2734" s="1" t="n">
        <v>509.98</v>
      </c>
      <c r="G2734" s="1" t="n">
        <v>0</v>
      </c>
      <c r="H2734" s="1" t="s">
        <v>1346</v>
      </c>
      <c r="I2734" s="1" t="n">
        <v>3569.86</v>
      </c>
      <c r="J2734" s="1" t="str">
        <f aca="false">VLOOKUP(B2734,Customers!$A$2:$G$502,6,FALSE())</f>
        <v>Consumer</v>
      </c>
      <c r="K2734" s="1" t="str">
        <f aca="false">VLOOKUP(C2734,Products!$A$2:$E$62,3,FALSE())</f>
        <v>Software</v>
      </c>
      <c r="L2734" s="1" t="str">
        <f aca="false">TEXT(D2734,"yyyy-mm")</f>
        <v>2024-05</v>
      </c>
    </row>
    <row r="2735" customFormat="false" ht="15" hidden="false" customHeight="true" outlineLevel="0" collapsed="false">
      <c r="A2735" s="1" t="n">
        <v>2798</v>
      </c>
      <c r="B2735" s="1" t="n">
        <v>19</v>
      </c>
      <c r="C2735" s="1" t="n">
        <v>56</v>
      </c>
      <c r="D2735" s="1" t="s">
        <v>673</v>
      </c>
      <c r="E2735" s="1" t="n">
        <v>2</v>
      </c>
      <c r="F2735" s="1" t="n">
        <v>160.64</v>
      </c>
      <c r="G2735" s="1" t="n">
        <v>0</v>
      </c>
      <c r="H2735" s="1" t="s">
        <v>1336</v>
      </c>
      <c r="I2735" s="1" t="n">
        <v>321.28</v>
      </c>
      <c r="J2735" s="1" t="str">
        <f aca="false">VLOOKUP(B2735,Customers!$A$2:$G$502,6,FALSE())</f>
        <v>Consumer</v>
      </c>
      <c r="K2735" s="1" t="str">
        <f aca="false">VLOOKUP(C2735,Products!$A$2:$E$62,3,FALSE())</f>
        <v>Furniture</v>
      </c>
      <c r="L2735" s="1" t="str">
        <f aca="false">TEXT(D2735,"yyyy-mm")</f>
        <v>2023-05</v>
      </c>
    </row>
    <row r="2736" customFormat="false" ht="15" hidden="false" customHeight="true" outlineLevel="0" collapsed="false">
      <c r="A2736" s="1" t="n">
        <v>2799</v>
      </c>
      <c r="B2736" s="1" t="n">
        <v>285</v>
      </c>
      <c r="C2736" s="1" t="n">
        <v>10</v>
      </c>
      <c r="D2736" s="1" t="s">
        <v>1424</v>
      </c>
      <c r="E2736" s="1" t="n">
        <v>6</v>
      </c>
      <c r="F2736" s="1" t="n">
        <v>251.58</v>
      </c>
      <c r="G2736" s="1" t="n">
        <v>0.1</v>
      </c>
      <c r="H2736" s="1" t="s">
        <v>1336</v>
      </c>
      <c r="I2736" s="1" t="n">
        <v>1358.53</v>
      </c>
      <c r="J2736" s="1" t="str">
        <f aca="false">VLOOKUP(B2736,Customers!$A$2:$G$502,6,FALSE())</f>
        <v>Consumer</v>
      </c>
      <c r="K2736" s="1" t="str">
        <f aca="false">VLOOKUP(C2736,Products!$A$2:$E$62,3,FALSE())</f>
        <v>Electronics</v>
      </c>
      <c r="L2736" s="1" t="str">
        <f aca="false">TEXT(D2736,"yyyy-mm")</f>
        <v>2024-02</v>
      </c>
    </row>
    <row r="2737" customFormat="false" ht="15" hidden="false" customHeight="true" outlineLevel="0" collapsed="false">
      <c r="A2737" s="1" t="n">
        <v>2800</v>
      </c>
      <c r="B2737" s="1" t="n">
        <v>340</v>
      </c>
      <c r="C2737" s="1" t="n">
        <v>60</v>
      </c>
      <c r="D2737" s="1" t="s">
        <v>522</v>
      </c>
      <c r="E2737" s="1" t="n">
        <v>2</v>
      </c>
      <c r="F2737" s="1" t="n">
        <v>584.98</v>
      </c>
      <c r="G2737" s="1" t="n">
        <v>0.15</v>
      </c>
      <c r="H2737" s="1" t="s">
        <v>1336</v>
      </c>
      <c r="I2737" s="1" t="n">
        <v>994.47</v>
      </c>
      <c r="J2737" s="1" t="str">
        <f aca="false">VLOOKUP(B2737,Customers!$A$2:$G$502,6,FALSE())</f>
        <v>Consumer</v>
      </c>
      <c r="K2737" s="1" t="str">
        <f aca="false">VLOOKUP(C2737,Products!$A$2:$E$62,3,FALSE())</f>
        <v>Furniture</v>
      </c>
      <c r="L2737" s="1" t="str">
        <f aca="false">TEXT(D2737,"yyyy-mm")</f>
        <v>2024-03</v>
      </c>
    </row>
    <row r="2738" customFormat="false" ht="15" hidden="false" customHeight="true" outlineLevel="0" collapsed="false">
      <c r="A2738" s="1" t="n">
        <v>2801</v>
      </c>
      <c r="B2738" s="1" t="n">
        <v>162</v>
      </c>
      <c r="C2738" s="1" t="n">
        <v>3</v>
      </c>
      <c r="D2738" s="1" t="s">
        <v>1501</v>
      </c>
      <c r="E2738" s="1" t="n">
        <v>2</v>
      </c>
      <c r="F2738" s="1" t="n">
        <v>89.39</v>
      </c>
      <c r="G2738" s="1" t="n">
        <v>0.05</v>
      </c>
      <c r="H2738" s="1" t="s">
        <v>1336</v>
      </c>
      <c r="I2738" s="1" t="n">
        <v>169.84</v>
      </c>
      <c r="J2738" s="1" t="str">
        <f aca="false">VLOOKUP(B2738,Customers!$A$2:$G$502,6,FALSE())</f>
        <v>Small Business</v>
      </c>
      <c r="K2738" s="1" t="str">
        <f aca="false">VLOOKUP(C2738,Products!$A$2:$E$62,3,FALSE())</f>
        <v>Electronics</v>
      </c>
      <c r="L2738" s="1" t="str">
        <f aca="false">TEXT(D2738,"yyyy-mm")</f>
        <v>2024-03</v>
      </c>
    </row>
    <row r="2739" customFormat="false" ht="15" hidden="false" customHeight="true" outlineLevel="0" collapsed="false">
      <c r="A2739" s="1" t="n">
        <v>2802</v>
      </c>
      <c r="B2739" s="1" t="n">
        <v>374</v>
      </c>
      <c r="C2739" s="1" t="n">
        <v>56</v>
      </c>
      <c r="D2739" s="1" t="s">
        <v>87</v>
      </c>
      <c r="E2739" s="1" t="n">
        <v>8</v>
      </c>
      <c r="F2739" s="1" t="n">
        <v>160.64</v>
      </c>
      <c r="G2739" s="1" t="n">
        <v>0</v>
      </c>
      <c r="H2739" s="1" t="s">
        <v>1336</v>
      </c>
      <c r="I2739" s="1" t="n">
        <v>1285.12</v>
      </c>
      <c r="J2739" s="1" t="str">
        <f aca="false">VLOOKUP(B2739,Customers!$A$2:$G$502,6,FALSE())</f>
        <v>Consumer</v>
      </c>
      <c r="K2739" s="1" t="str">
        <f aca="false">VLOOKUP(C2739,Products!$A$2:$E$62,3,FALSE())</f>
        <v>Furniture</v>
      </c>
      <c r="L2739" s="1" t="str">
        <f aca="false">TEXT(D2739,"yyyy-mm")</f>
        <v>2023-08</v>
      </c>
    </row>
    <row r="2740" customFormat="false" ht="15" hidden="false" customHeight="true" outlineLevel="0" collapsed="false">
      <c r="A2740" s="1" t="n">
        <v>2803</v>
      </c>
      <c r="B2740" s="1" t="n">
        <v>121</v>
      </c>
      <c r="C2740" s="1" t="n">
        <v>48</v>
      </c>
      <c r="D2740" s="1" t="s">
        <v>1505</v>
      </c>
      <c r="E2740" s="1" t="n">
        <v>2</v>
      </c>
      <c r="F2740" s="1" t="n">
        <v>493.53</v>
      </c>
      <c r="G2740" s="1" t="n">
        <v>0.2</v>
      </c>
      <c r="H2740" s="1" t="s">
        <v>1336</v>
      </c>
      <c r="I2740" s="1" t="n">
        <v>789.65</v>
      </c>
      <c r="J2740" s="1" t="str">
        <f aca="false">VLOOKUP(B2740,Customers!$A$2:$G$502,6,FALSE())</f>
        <v>Consumer</v>
      </c>
      <c r="K2740" s="1" t="str">
        <f aca="false">VLOOKUP(C2740,Products!$A$2:$E$62,3,FALSE())</f>
        <v>Software</v>
      </c>
      <c r="L2740" s="1" t="str">
        <f aca="false">TEXT(D2740,"yyyy-mm")</f>
        <v>2023-04</v>
      </c>
    </row>
    <row r="2741" customFormat="false" ht="15" hidden="false" customHeight="true" outlineLevel="0" collapsed="false">
      <c r="A2741" s="1" t="n">
        <v>2804</v>
      </c>
      <c r="B2741" s="1" t="n">
        <v>166</v>
      </c>
      <c r="C2741" s="1" t="n">
        <v>22</v>
      </c>
      <c r="D2741" s="1" t="s">
        <v>1657</v>
      </c>
      <c r="E2741" s="1" t="n">
        <v>7</v>
      </c>
      <c r="F2741" s="1" t="n">
        <v>38.57</v>
      </c>
      <c r="G2741" s="1" t="n">
        <v>0.15</v>
      </c>
      <c r="H2741" s="1" t="s">
        <v>1336</v>
      </c>
      <c r="I2741" s="1" t="n">
        <v>229.49</v>
      </c>
      <c r="J2741" s="1" t="str">
        <f aca="false">VLOOKUP(B2741,Customers!$A$2:$G$502,6,FALSE())</f>
        <v>Small Business</v>
      </c>
      <c r="K2741" s="1" t="str">
        <f aca="false">VLOOKUP(C2741,Products!$A$2:$E$62,3,FALSE())</f>
        <v>Office Supplies</v>
      </c>
      <c r="L2741" s="1" t="str">
        <f aca="false">TEXT(D2741,"yyyy-mm")</f>
        <v>2023-12</v>
      </c>
    </row>
    <row r="2742" customFormat="false" ht="15" hidden="false" customHeight="true" outlineLevel="0" collapsed="false">
      <c r="A2742" s="1" t="n">
        <v>2805</v>
      </c>
      <c r="B2742" s="1" t="n">
        <v>17</v>
      </c>
      <c r="C2742" s="1" t="n">
        <v>23</v>
      </c>
      <c r="D2742" s="1" t="s">
        <v>1425</v>
      </c>
      <c r="E2742" s="1" t="n">
        <v>3</v>
      </c>
      <c r="F2742" s="1" t="n">
        <v>188.73</v>
      </c>
      <c r="G2742" s="1" t="n">
        <v>0.15</v>
      </c>
      <c r="H2742" s="1" t="s">
        <v>1336</v>
      </c>
      <c r="I2742" s="1" t="n">
        <v>481.26</v>
      </c>
      <c r="J2742" s="1" t="str">
        <f aca="false">VLOOKUP(B2742,Customers!$A$2:$G$502,6,FALSE())</f>
        <v>Small Business</v>
      </c>
      <c r="K2742" s="1" t="str">
        <f aca="false">VLOOKUP(C2742,Products!$A$2:$E$62,3,FALSE())</f>
        <v>Office Supplies</v>
      </c>
      <c r="L2742" s="1" t="str">
        <f aca="false">TEXT(D2742,"yyyy-mm")</f>
        <v>2023-05</v>
      </c>
    </row>
    <row r="2743" customFormat="false" ht="15" hidden="false" customHeight="true" outlineLevel="0" collapsed="false">
      <c r="A2743" s="1" t="n">
        <v>2806</v>
      </c>
      <c r="B2743" s="1" t="n">
        <v>114</v>
      </c>
      <c r="C2743" s="1" t="n">
        <v>34</v>
      </c>
      <c r="D2743" s="1" t="s">
        <v>1614</v>
      </c>
      <c r="E2743" s="1" t="n">
        <v>8</v>
      </c>
      <c r="F2743" s="1" t="n">
        <v>116.85</v>
      </c>
      <c r="G2743" s="1" t="n">
        <v>0.15</v>
      </c>
      <c r="H2743" s="1" t="s">
        <v>1336</v>
      </c>
      <c r="I2743" s="1" t="n">
        <v>794.58</v>
      </c>
      <c r="J2743" s="1" t="str">
        <f aca="false">VLOOKUP(B2743,Customers!$A$2:$G$502,6,FALSE())</f>
        <v>Consumer</v>
      </c>
      <c r="K2743" s="1" t="str">
        <f aca="false">VLOOKUP(C2743,Products!$A$2:$E$62,3,FALSE())</f>
        <v>Office Supplies</v>
      </c>
      <c r="L2743" s="1" t="str">
        <f aca="false">TEXT(D2743,"yyyy-mm")</f>
        <v>2023-10</v>
      </c>
    </row>
    <row r="2744" customFormat="false" ht="15" hidden="false" customHeight="true" outlineLevel="0" collapsed="false">
      <c r="A2744" s="1" t="n">
        <v>2807</v>
      </c>
      <c r="B2744" s="1" t="n">
        <v>276</v>
      </c>
      <c r="C2744" s="1" t="n">
        <v>14</v>
      </c>
      <c r="D2744" s="1" t="s">
        <v>1570</v>
      </c>
      <c r="E2744" s="1" t="n">
        <v>7</v>
      </c>
      <c r="F2744" s="1" t="n">
        <v>135.27</v>
      </c>
      <c r="G2744" s="1" t="n">
        <v>0</v>
      </c>
      <c r="H2744" s="1" t="s">
        <v>1336</v>
      </c>
      <c r="I2744" s="1" t="n">
        <v>946.89</v>
      </c>
      <c r="J2744" s="1" t="str">
        <f aca="false">VLOOKUP(B2744,Customers!$A$2:$G$502,6,FALSE())</f>
        <v>Corporate</v>
      </c>
      <c r="K2744" s="1" t="str">
        <f aca="false">VLOOKUP(C2744,Products!$A$2:$E$62,3,FALSE())</f>
        <v>Electronics</v>
      </c>
      <c r="L2744" s="1" t="str">
        <f aca="false">TEXT(D2744,"yyyy-mm")</f>
        <v>2023-04</v>
      </c>
    </row>
    <row r="2745" customFormat="false" ht="15" hidden="false" customHeight="true" outlineLevel="0" collapsed="false">
      <c r="A2745" s="1" t="n">
        <v>2808</v>
      </c>
      <c r="B2745" s="1" t="n">
        <v>471</v>
      </c>
      <c r="C2745" s="1" t="n">
        <v>45</v>
      </c>
      <c r="D2745" s="1" t="s">
        <v>29</v>
      </c>
      <c r="E2745" s="1" t="n">
        <v>8</v>
      </c>
      <c r="F2745" s="1" t="n">
        <v>560.01</v>
      </c>
      <c r="G2745" s="1" t="n">
        <v>0.2</v>
      </c>
      <c r="H2745" s="1" t="s">
        <v>1336</v>
      </c>
      <c r="I2745" s="1" t="n">
        <v>3584.06</v>
      </c>
      <c r="J2745" s="1" t="str">
        <f aca="false">VLOOKUP(B2745,Customers!$A$2:$G$502,6,FALSE())</f>
        <v>Small Business</v>
      </c>
      <c r="K2745" s="1" t="str">
        <f aca="false">VLOOKUP(C2745,Products!$A$2:$E$62,3,FALSE())</f>
        <v>Software</v>
      </c>
      <c r="L2745" s="1" t="str">
        <f aca="false">TEXT(D2745,"yyyy-mm")</f>
        <v>2023-04</v>
      </c>
    </row>
    <row r="2746" customFormat="false" ht="15" hidden="false" customHeight="true" outlineLevel="0" collapsed="false">
      <c r="A2746" s="1" t="n">
        <v>2809</v>
      </c>
      <c r="B2746" s="1" t="n">
        <v>26</v>
      </c>
      <c r="C2746" s="1" t="n">
        <v>13</v>
      </c>
      <c r="D2746" s="1" t="s">
        <v>106</v>
      </c>
      <c r="E2746" s="1" t="n">
        <v>7</v>
      </c>
      <c r="F2746" s="1" t="n">
        <v>352.54</v>
      </c>
      <c r="G2746" s="1" t="n">
        <v>0.1</v>
      </c>
      <c r="H2746" s="1" t="s">
        <v>1370</v>
      </c>
      <c r="I2746" s="1" t="n">
        <v>2221</v>
      </c>
      <c r="J2746" s="1" t="str">
        <f aca="false">VLOOKUP(B2746,Customers!$A$2:$G$502,6,FALSE())</f>
        <v>Consumer</v>
      </c>
      <c r="K2746" s="1" t="str">
        <f aca="false">VLOOKUP(C2746,Products!$A$2:$E$62,3,FALSE())</f>
        <v>Electronics</v>
      </c>
      <c r="L2746" s="1" t="str">
        <f aca="false">TEXT(D2746,"yyyy-mm")</f>
        <v>2024-02</v>
      </c>
    </row>
    <row r="2747" customFormat="false" ht="15" hidden="false" customHeight="true" outlineLevel="0" collapsed="false">
      <c r="A2747" s="1" t="n">
        <v>2810</v>
      </c>
      <c r="B2747" s="1" t="n">
        <v>479</v>
      </c>
      <c r="C2747" s="1" t="n">
        <v>50</v>
      </c>
      <c r="D2747" s="1" t="s">
        <v>1548</v>
      </c>
      <c r="E2747" s="1" t="n">
        <v>6</v>
      </c>
      <c r="F2747" s="1" t="n">
        <v>19.73</v>
      </c>
      <c r="G2747" s="1" t="n">
        <v>0.1</v>
      </c>
      <c r="H2747" s="1" t="s">
        <v>1336</v>
      </c>
      <c r="I2747" s="1" t="n">
        <v>106.54</v>
      </c>
      <c r="J2747" s="1" t="str">
        <f aca="false">VLOOKUP(B2747,Customers!$A$2:$G$502,6,FALSE())</f>
        <v>Small Business</v>
      </c>
      <c r="K2747" s="1" t="str">
        <f aca="false">VLOOKUP(C2747,Products!$A$2:$E$62,3,FALSE())</f>
        <v>Software</v>
      </c>
      <c r="L2747" s="1" t="str">
        <f aca="false">TEXT(D2747,"yyyy-mm")</f>
        <v>2024-06</v>
      </c>
    </row>
    <row r="2748" customFormat="false" ht="15" hidden="false" customHeight="true" outlineLevel="0" collapsed="false">
      <c r="A2748" s="1" t="n">
        <v>2811</v>
      </c>
      <c r="B2748" s="1" t="n">
        <v>231</v>
      </c>
      <c r="C2748" s="1" t="n">
        <v>40</v>
      </c>
      <c r="D2748" s="1" t="s">
        <v>680</v>
      </c>
      <c r="E2748" s="1" t="n">
        <v>7</v>
      </c>
      <c r="F2748" s="1" t="n">
        <v>193.02</v>
      </c>
      <c r="G2748" s="1" t="n">
        <v>0.1</v>
      </c>
      <c r="H2748" s="1" t="s">
        <v>1336</v>
      </c>
      <c r="I2748" s="1" t="n">
        <v>1216.03</v>
      </c>
      <c r="J2748" s="1" t="str">
        <f aca="false">VLOOKUP(B2748,Customers!$A$2:$G$502,6,FALSE())</f>
        <v>Consumer</v>
      </c>
      <c r="K2748" s="1" t="str">
        <f aca="false">VLOOKUP(C2748,Products!$A$2:$E$62,3,FALSE())</f>
        <v>Software</v>
      </c>
      <c r="L2748" s="1" t="str">
        <f aca="false">TEXT(D2748,"yyyy-mm")</f>
        <v>2024-04</v>
      </c>
    </row>
    <row r="2749" customFormat="false" ht="15" hidden="false" customHeight="true" outlineLevel="0" collapsed="false">
      <c r="A2749" s="1" t="n">
        <v>2812</v>
      </c>
      <c r="B2749" s="1" t="n">
        <v>412</v>
      </c>
      <c r="C2749" s="1" t="n">
        <v>50</v>
      </c>
      <c r="D2749" s="1" t="s">
        <v>1484</v>
      </c>
      <c r="E2749" s="1" t="n">
        <v>5</v>
      </c>
      <c r="F2749" s="1" t="n">
        <v>19.73</v>
      </c>
      <c r="G2749" s="1" t="n">
        <v>0</v>
      </c>
      <c r="H2749" s="1" t="s">
        <v>1336</v>
      </c>
      <c r="I2749" s="1" t="n">
        <v>98.65</v>
      </c>
      <c r="J2749" s="1" t="str">
        <f aca="false">VLOOKUP(B2749,Customers!$A$2:$G$502,6,FALSE())</f>
        <v>Corporate</v>
      </c>
      <c r="K2749" s="1" t="str">
        <f aca="false">VLOOKUP(C2749,Products!$A$2:$E$62,3,FALSE())</f>
        <v>Software</v>
      </c>
      <c r="L2749" s="1" t="str">
        <f aca="false">TEXT(D2749,"yyyy-mm")</f>
        <v>2024-10</v>
      </c>
    </row>
    <row r="2750" customFormat="false" ht="15" hidden="false" customHeight="true" outlineLevel="0" collapsed="false">
      <c r="A2750" s="1" t="n">
        <v>2813</v>
      </c>
      <c r="B2750" s="1" t="n">
        <v>295</v>
      </c>
      <c r="C2750" s="1" t="n">
        <v>52</v>
      </c>
      <c r="D2750" s="1" t="s">
        <v>1601</v>
      </c>
      <c r="E2750" s="1" t="n">
        <v>7</v>
      </c>
      <c r="F2750" s="1" t="n">
        <v>207.67</v>
      </c>
      <c r="G2750" s="1" t="n">
        <v>0</v>
      </c>
      <c r="H2750" s="1" t="s">
        <v>1346</v>
      </c>
      <c r="I2750" s="1" t="n">
        <v>1453.69</v>
      </c>
      <c r="J2750" s="1" t="str">
        <f aca="false">VLOOKUP(B2750,Customers!$A$2:$G$502,6,FALSE())</f>
        <v>Small Business</v>
      </c>
      <c r="K2750" s="1" t="str">
        <f aca="false">VLOOKUP(C2750,Products!$A$2:$E$62,3,FALSE())</f>
        <v>Software</v>
      </c>
      <c r="L2750" s="1" t="str">
        <f aca="false">TEXT(D2750,"yyyy-mm")</f>
        <v>2023-10</v>
      </c>
    </row>
    <row r="2751" customFormat="false" ht="15" hidden="false" customHeight="true" outlineLevel="0" collapsed="false">
      <c r="A2751" s="1" t="n">
        <v>2814</v>
      </c>
      <c r="B2751" s="1" t="n">
        <v>439</v>
      </c>
      <c r="C2751" s="1" t="n">
        <v>28</v>
      </c>
      <c r="D2751" s="1" t="s">
        <v>1016</v>
      </c>
      <c r="E2751" s="1" t="n">
        <v>1</v>
      </c>
      <c r="F2751" s="1" t="n">
        <v>505.23</v>
      </c>
      <c r="G2751" s="1" t="n">
        <v>0.2</v>
      </c>
      <c r="H2751" s="1" t="s">
        <v>1336</v>
      </c>
      <c r="I2751" s="1" t="n">
        <v>404.18</v>
      </c>
      <c r="J2751" s="1" t="str">
        <f aca="false">VLOOKUP(B2751,Customers!$A$2:$G$502,6,FALSE())</f>
        <v>Corporate</v>
      </c>
      <c r="K2751" s="1" t="str">
        <f aca="false">VLOOKUP(C2751,Products!$A$2:$E$62,3,FALSE())</f>
        <v>Office Supplies</v>
      </c>
      <c r="L2751" s="1" t="str">
        <f aca="false">TEXT(D2751,"yyyy-mm")</f>
        <v>2023-11</v>
      </c>
    </row>
    <row r="2752" customFormat="false" ht="15" hidden="false" customHeight="true" outlineLevel="0" collapsed="false">
      <c r="A2752" s="1" t="n">
        <v>2815</v>
      </c>
      <c r="B2752" s="1" t="n">
        <v>246</v>
      </c>
      <c r="C2752" s="1" t="n">
        <v>14</v>
      </c>
      <c r="D2752" s="1" t="s">
        <v>306</v>
      </c>
      <c r="E2752" s="1" t="n">
        <v>1</v>
      </c>
      <c r="F2752" s="1" t="n">
        <v>135.27</v>
      </c>
      <c r="G2752" s="1" t="n">
        <v>0.1</v>
      </c>
      <c r="H2752" s="1" t="s">
        <v>1336</v>
      </c>
      <c r="I2752" s="1" t="n">
        <v>121.74</v>
      </c>
      <c r="J2752" s="1" t="str">
        <f aca="false">VLOOKUP(B2752,Customers!$A$2:$G$502,6,FALSE())</f>
        <v>Small Business</v>
      </c>
      <c r="K2752" s="1" t="str">
        <f aca="false">VLOOKUP(C2752,Products!$A$2:$E$62,3,FALSE())</f>
        <v>Electronics</v>
      </c>
      <c r="L2752" s="1" t="str">
        <f aca="false">TEXT(D2752,"yyyy-mm")</f>
        <v>2024-05</v>
      </c>
    </row>
    <row r="2753" customFormat="false" ht="15" hidden="false" customHeight="true" outlineLevel="0" collapsed="false">
      <c r="A2753" s="1" t="n">
        <v>2816</v>
      </c>
      <c r="B2753" s="1" t="n">
        <v>188</v>
      </c>
      <c r="C2753" s="1" t="n">
        <v>29</v>
      </c>
      <c r="D2753" s="1" t="s">
        <v>199</v>
      </c>
      <c r="E2753" s="1" t="n">
        <v>9</v>
      </c>
      <c r="F2753" s="1" t="n">
        <v>54.62</v>
      </c>
      <c r="G2753" s="1" t="n">
        <v>0</v>
      </c>
      <c r="H2753" s="1" t="s">
        <v>1336</v>
      </c>
      <c r="I2753" s="1" t="n">
        <v>491.58</v>
      </c>
      <c r="J2753" s="1" t="str">
        <f aca="false">VLOOKUP(B2753,Customers!$A$2:$G$502,6,FALSE())</f>
        <v>Small Business</v>
      </c>
      <c r="K2753" s="1" t="str">
        <f aca="false">VLOOKUP(C2753,Products!$A$2:$E$62,3,FALSE())</f>
        <v>Office Supplies</v>
      </c>
      <c r="L2753" s="1" t="str">
        <f aca="false">TEXT(D2753,"yyyy-mm")</f>
        <v>2024-12</v>
      </c>
    </row>
    <row r="2754" customFormat="false" ht="15" hidden="false" customHeight="true" outlineLevel="0" collapsed="false">
      <c r="A2754" s="1" t="n">
        <v>2817</v>
      </c>
      <c r="B2754" s="1" t="n">
        <v>54</v>
      </c>
      <c r="C2754" s="1" t="n">
        <v>33</v>
      </c>
      <c r="D2754" s="1" t="s">
        <v>1461</v>
      </c>
      <c r="E2754" s="1" t="n">
        <v>5</v>
      </c>
      <c r="F2754" s="1" t="n">
        <v>190.1</v>
      </c>
      <c r="G2754" s="1" t="n">
        <v>0.1</v>
      </c>
      <c r="H2754" s="1" t="s">
        <v>1336</v>
      </c>
      <c r="I2754" s="1" t="n">
        <v>855.45</v>
      </c>
      <c r="J2754" s="1" t="str">
        <f aca="false">VLOOKUP(B2754,Customers!$A$2:$G$502,6,FALSE())</f>
        <v>Consumer</v>
      </c>
      <c r="K2754" s="1" t="str">
        <f aca="false">VLOOKUP(C2754,Products!$A$2:$E$62,3,FALSE())</f>
        <v>Office Supplies</v>
      </c>
      <c r="L2754" s="1" t="str">
        <f aca="false">TEXT(D2754,"yyyy-mm")</f>
        <v>2024-02</v>
      </c>
    </row>
    <row r="2755" customFormat="false" ht="15" hidden="false" customHeight="true" outlineLevel="0" collapsed="false">
      <c r="A2755" s="1" t="n">
        <v>2818</v>
      </c>
      <c r="B2755" s="1" t="n">
        <v>46</v>
      </c>
      <c r="C2755" s="1" t="n">
        <v>22</v>
      </c>
      <c r="D2755" s="1" t="s">
        <v>1255</v>
      </c>
      <c r="E2755" s="1" t="n">
        <v>5</v>
      </c>
      <c r="F2755" s="1" t="n">
        <v>38.57</v>
      </c>
      <c r="G2755" s="1" t="n">
        <v>0</v>
      </c>
      <c r="H2755" s="1" t="s">
        <v>1346</v>
      </c>
      <c r="I2755" s="1" t="n">
        <v>192.85</v>
      </c>
      <c r="J2755" s="1" t="str">
        <f aca="false">VLOOKUP(B2755,Customers!$A$2:$G$502,6,FALSE())</f>
        <v>Consumer</v>
      </c>
      <c r="K2755" s="1" t="str">
        <f aca="false">VLOOKUP(C2755,Products!$A$2:$E$62,3,FALSE())</f>
        <v>Office Supplies</v>
      </c>
      <c r="L2755" s="1" t="str">
        <f aca="false">TEXT(D2755,"yyyy-mm")</f>
        <v>2024-07</v>
      </c>
    </row>
    <row r="2756" customFormat="false" ht="15" hidden="false" customHeight="true" outlineLevel="0" collapsed="false">
      <c r="A2756" s="1" t="n">
        <v>2819</v>
      </c>
      <c r="B2756" s="1" t="n">
        <v>117</v>
      </c>
      <c r="C2756" s="1" t="n">
        <v>15</v>
      </c>
      <c r="D2756" s="1" t="s">
        <v>289</v>
      </c>
      <c r="E2756" s="1" t="n">
        <v>3</v>
      </c>
      <c r="F2756" s="1" t="n">
        <v>304.95</v>
      </c>
      <c r="G2756" s="1" t="n">
        <v>0</v>
      </c>
      <c r="H2756" s="1" t="s">
        <v>1336</v>
      </c>
      <c r="I2756" s="1" t="n">
        <v>914.85</v>
      </c>
      <c r="J2756" s="1" t="str">
        <f aca="false">VLOOKUP(B2756,Customers!$A$2:$G$502,6,FALSE())</f>
        <v>Small Business</v>
      </c>
      <c r="K2756" s="1" t="str">
        <f aca="false">VLOOKUP(C2756,Products!$A$2:$E$62,3,FALSE())</f>
        <v>Electronics</v>
      </c>
      <c r="L2756" s="1" t="str">
        <f aca="false">TEXT(D2756,"yyyy-mm")</f>
        <v>2023-06</v>
      </c>
    </row>
    <row r="2757" customFormat="false" ht="15" hidden="false" customHeight="true" outlineLevel="0" collapsed="false">
      <c r="A2757" s="1" t="n">
        <v>2820</v>
      </c>
      <c r="B2757" s="1" t="n">
        <v>178</v>
      </c>
      <c r="C2757" s="1" t="n">
        <v>41</v>
      </c>
      <c r="D2757" s="1" t="s">
        <v>1695</v>
      </c>
      <c r="E2757" s="1" t="n">
        <v>5</v>
      </c>
      <c r="F2757" s="1" t="n">
        <v>594.54</v>
      </c>
      <c r="G2757" s="1" t="n">
        <v>0.1</v>
      </c>
      <c r="H2757" s="1" t="s">
        <v>1336</v>
      </c>
      <c r="I2757" s="1" t="n">
        <v>2675.43</v>
      </c>
      <c r="J2757" s="1" t="str">
        <f aca="false">VLOOKUP(B2757,Customers!$A$2:$G$502,6,FALSE())</f>
        <v>Consumer</v>
      </c>
      <c r="K2757" s="1" t="str">
        <f aca="false">VLOOKUP(C2757,Products!$A$2:$E$62,3,FALSE())</f>
        <v>Software</v>
      </c>
      <c r="L2757" s="1" t="str">
        <f aca="false">TEXT(D2757,"yyyy-mm")</f>
        <v>2023-09</v>
      </c>
    </row>
    <row r="2758" customFormat="false" ht="15" hidden="false" customHeight="true" outlineLevel="0" collapsed="false">
      <c r="A2758" s="1" t="n">
        <v>2821</v>
      </c>
      <c r="B2758" s="1" t="n">
        <v>467</v>
      </c>
      <c r="C2758" s="1" t="n">
        <v>14</v>
      </c>
      <c r="D2758" s="1" t="s">
        <v>689</v>
      </c>
      <c r="E2758" s="1" t="n">
        <v>3</v>
      </c>
      <c r="F2758" s="1" t="n">
        <v>135.27</v>
      </c>
      <c r="G2758" s="1" t="n">
        <v>0</v>
      </c>
      <c r="H2758" s="1" t="s">
        <v>1336</v>
      </c>
      <c r="I2758" s="1" t="n">
        <v>405.81</v>
      </c>
      <c r="J2758" s="1" t="str">
        <f aca="false">VLOOKUP(B2758,Customers!$A$2:$G$502,6,FALSE())</f>
        <v>Corporate</v>
      </c>
      <c r="K2758" s="1" t="str">
        <f aca="false">VLOOKUP(C2758,Products!$A$2:$E$62,3,FALSE())</f>
        <v>Electronics</v>
      </c>
      <c r="L2758" s="1" t="str">
        <f aca="false">TEXT(D2758,"yyyy-mm")</f>
        <v>2023-11</v>
      </c>
    </row>
    <row r="2759" customFormat="false" ht="15" hidden="false" customHeight="true" outlineLevel="0" collapsed="false">
      <c r="A2759" s="1" t="n">
        <v>2822</v>
      </c>
      <c r="B2759" s="1" t="n">
        <v>373</v>
      </c>
      <c r="C2759" s="1" t="n">
        <v>8</v>
      </c>
      <c r="D2759" s="1" t="s">
        <v>620</v>
      </c>
      <c r="E2759" s="1" t="n">
        <v>9</v>
      </c>
      <c r="F2759" s="1" t="n">
        <v>104.4</v>
      </c>
      <c r="G2759" s="1" t="n">
        <v>0.15</v>
      </c>
      <c r="H2759" s="1" t="s">
        <v>1336</v>
      </c>
      <c r="I2759" s="1" t="n">
        <v>798.66</v>
      </c>
      <c r="J2759" s="1" t="str">
        <f aca="false">VLOOKUP(B2759,Customers!$A$2:$G$502,6,FALSE())</f>
        <v>Corporate</v>
      </c>
      <c r="K2759" s="1" t="str">
        <f aca="false">VLOOKUP(C2759,Products!$A$2:$E$62,3,FALSE())</f>
        <v>Electronics</v>
      </c>
      <c r="L2759" s="1" t="str">
        <f aca="false">TEXT(D2759,"yyyy-mm")</f>
        <v>2023-12</v>
      </c>
    </row>
    <row r="2760" customFormat="false" ht="15" hidden="false" customHeight="true" outlineLevel="0" collapsed="false">
      <c r="A2760" s="1" t="n">
        <v>2823</v>
      </c>
      <c r="B2760" s="1" t="n">
        <v>322</v>
      </c>
      <c r="C2760" s="1" t="n">
        <v>32</v>
      </c>
      <c r="D2760" s="1" t="s">
        <v>238</v>
      </c>
      <c r="E2760" s="1" t="n">
        <v>9</v>
      </c>
      <c r="F2760" s="1" t="n">
        <v>492.27</v>
      </c>
      <c r="G2760" s="1" t="n">
        <v>0.15</v>
      </c>
      <c r="H2760" s="1" t="s">
        <v>1346</v>
      </c>
      <c r="I2760" s="1" t="n">
        <v>3765.87</v>
      </c>
      <c r="J2760" s="1" t="str">
        <f aca="false">VLOOKUP(B2760,Customers!$A$2:$G$502,6,FALSE())</f>
        <v>Consumer</v>
      </c>
      <c r="K2760" s="1" t="str">
        <f aca="false">VLOOKUP(C2760,Products!$A$2:$E$62,3,FALSE())</f>
        <v>Office Supplies</v>
      </c>
      <c r="L2760" s="1" t="str">
        <f aca="false">TEXT(D2760,"yyyy-mm")</f>
        <v>2023-10</v>
      </c>
    </row>
    <row r="2761" customFormat="false" ht="15" hidden="false" customHeight="true" outlineLevel="0" collapsed="false">
      <c r="A2761" s="1" t="n">
        <v>2824</v>
      </c>
      <c r="B2761" s="1" t="n">
        <v>2</v>
      </c>
      <c r="C2761" s="1" t="n">
        <v>22</v>
      </c>
      <c r="D2761" s="1" t="s">
        <v>1136</v>
      </c>
      <c r="E2761" s="1" t="n">
        <v>6</v>
      </c>
      <c r="F2761" s="1" t="n">
        <v>38.57</v>
      </c>
      <c r="G2761" s="1" t="n">
        <v>0</v>
      </c>
      <c r="H2761" s="1" t="s">
        <v>1346</v>
      </c>
      <c r="I2761" s="1" t="n">
        <v>231.42</v>
      </c>
      <c r="J2761" s="1" t="str">
        <f aca="false">VLOOKUP(B2761,Customers!$A$2:$G$502,6,FALSE())</f>
        <v>Small Business</v>
      </c>
      <c r="K2761" s="1" t="str">
        <f aca="false">VLOOKUP(C2761,Products!$A$2:$E$62,3,FALSE())</f>
        <v>Office Supplies</v>
      </c>
      <c r="L2761" s="1" t="str">
        <f aca="false">TEXT(D2761,"yyyy-mm")</f>
        <v>2023-01</v>
      </c>
    </row>
    <row r="2762" customFormat="false" ht="15" hidden="false" customHeight="true" outlineLevel="0" collapsed="false">
      <c r="A2762" s="1" t="n">
        <v>2825</v>
      </c>
      <c r="B2762" s="1" t="n">
        <v>283</v>
      </c>
      <c r="C2762" s="1" t="n">
        <v>5</v>
      </c>
      <c r="D2762" s="1" t="s">
        <v>245</v>
      </c>
      <c r="E2762" s="1" t="n">
        <v>1</v>
      </c>
      <c r="F2762" s="1" t="n">
        <v>439.06</v>
      </c>
      <c r="G2762" s="1" t="n">
        <v>0.2</v>
      </c>
      <c r="H2762" s="1" t="s">
        <v>1370</v>
      </c>
      <c r="I2762" s="1" t="n">
        <v>351.25</v>
      </c>
      <c r="J2762" s="1" t="str">
        <f aca="false">VLOOKUP(B2762,Customers!$A$2:$G$502,6,FALSE())</f>
        <v>Small Business</v>
      </c>
      <c r="K2762" s="1" t="str">
        <f aca="false">VLOOKUP(C2762,Products!$A$2:$E$62,3,FALSE())</f>
        <v>Electronics</v>
      </c>
      <c r="L2762" s="1" t="str">
        <f aca="false">TEXT(D2762,"yyyy-mm")</f>
        <v>2024-10</v>
      </c>
    </row>
    <row r="2763" customFormat="false" ht="15" hidden="false" customHeight="true" outlineLevel="0" collapsed="false">
      <c r="A2763" s="1" t="n">
        <v>2826</v>
      </c>
      <c r="B2763" s="1" t="n">
        <v>154</v>
      </c>
      <c r="C2763" s="1" t="n">
        <v>54</v>
      </c>
      <c r="D2763" s="1" t="s">
        <v>1614</v>
      </c>
      <c r="E2763" s="1" t="n">
        <v>7</v>
      </c>
      <c r="F2763" s="1" t="n">
        <v>312.01</v>
      </c>
      <c r="G2763" s="1" t="n">
        <v>0.15</v>
      </c>
      <c r="H2763" s="1" t="s">
        <v>1336</v>
      </c>
      <c r="I2763" s="1" t="n">
        <v>1856.46</v>
      </c>
      <c r="J2763" s="1" t="str">
        <f aca="false">VLOOKUP(B2763,Customers!$A$2:$G$502,6,FALSE())</f>
        <v>Small Business</v>
      </c>
      <c r="K2763" s="1" t="str">
        <f aca="false">VLOOKUP(C2763,Products!$A$2:$E$62,3,FALSE())</f>
        <v>Software</v>
      </c>
      <c r="L2763" s="1" t="str">
        <f aca="false">TEXT(D2763,"yyyy-mm")</f>
        <v>2023-10</v>
      </c>
    </row>
    <row r="2764" customFormat="false" ht="15" hidden="false" customHeight="true" outlineLevel="0" collapsed="false">
      <c r="A2764" s="1" t="n">
        <v>2827</v>
      </c>
      <c r="B2764" s="1" t="n">
        <v>419</v>
      </c>
      <c r="C2764" s="1" t="n">
        <v>36</v>
      </c>
      <c r="D2764" s="1" t="s">
        <v>1545</v>
      </c>
      <c r="E2764" s="1" t="n">
        <v>7</v>
      </c>
      <c r="F2764" s="1" t="n">
        <v>424.45</v>
      </c>
      <c r="G2764" s="1" t="n">
        <v>0</v>
      </c>
      <c r="H2764" s="1" t="s">
        <v>1336</v>
      </c>
      <c r="I2764" s="1" t="n">
        <v>2971.15</v>
      </c>
      <c r="J2764" s="1" t="str">
        <f aca="false">VLOOKUP(B2764,Customers!$A$2:$G$502,6,FALSE())</f>
        <v>Small Business</v>
      </c>
      <c r="K2764" s="1" t="str">
        <f aca="false">VLOOKUP(C2764,Products!$A$2:$E$62,3,FALSE())</f>
        <v>Software</v>
      </c>
      <c r="L2764" s="1" t="str">
        <f aca="false">TEXT(D2764,"yyyy-mm")</f>
        <v>2023-07</v>
      </c>
    </row>
    <row r="2765" customFormat="false" ht="15" hidden="false" customHeight="true" outlineLevel="0" collapsed="false">
      <c r="A2765" s="1" t="n">
        <v>2828</v>
      </c>
      <c r="B2765" s="1" t="n">
        <v>303</v>
      </c>
      <c r="C2765" s="1" t="n">
        <v>52</v>
      </c>
      <c r="D2765" s="1" t="s">
        <v>81</v>
      </c>
      <c r="E2765" s="1" t="n">
        <v>4</v>
      </c>
      <c r="F2765" s="1" t="n">
        <v>207.67</v>
      </c>
      <c r="G2765" s="1" t="n">
        <v>0.1</v>
      </c>
      <c r="H2765" s="1" t="s">
        <v>1336</v>
      </c>
      <c r="I2765" s="1" t="n">
        <v>747.61</v>
      </c>
      <c r="J2765" s="1" t="str">
        <f aca="false">VLOOKUP(B2765,Customers!$A$2:$G$502,6,FALSE())</f>
        <v>Corporate</v>
      </c>
      <c r="K2765" s="1" t="str">
        <f aca="false">VLOOKUP(C2765,Products!$A$2:$E$62,3,FALSE())</f>
        <v>Software</v>
      </c>
      <c r="L2765" s="1" t="str">
        <f aca="false">TEXT(D2765,"yyyy-mm")</f>
        <v>2023-05</v>
      </c>
    </row>
    <row r="2766" customFormat="false" ht="15" hidden="false" customHeight="true" outlineLevel="0" collapsed="false">
      <c r="A2766" s="1" t="n">
        <v>2829</v>
      </c>
      <c r="B2766" s="1" t="n">
        <v>395</v>
      </c>
      <c r="C2766" s="1" t="n">
        <v>60</v>
      </c>
      <c r="D2766" s="1" t="s">
        <v>1393</v>
      </c>
      <c r="E2766" s="1" t="n">
        <v>8</v>
      </c>
      <c r="F2766" s="1" t="n">
        <v>584.98</v>
      </c>
      <c r="G2766" s="1" t="n">
        <v>0.2</v>
      </c>
      <c r="H2766" s="1" t="s">
        <v>1336</v>
      </c>
      <c r="I2766" s="1" t="n">
        <v>3743.87</v>
      </c>
      <c r="J2766" s="1" t="str">
        <f aca="false">VLOOKUP(B2766,Customers!$A$2:$G$502,6,FALSE())</f>
        <v>Consumer</v>
      </c>
      <c r="K2766" s="1" t="str">
        <f aca="false">VLOOKUP(C2766,Products!$A$2:$E$62,3,FALSE())</f>
        <v>Furniture</v>
      </c>
      <c r="L2766" s="1" t="str">
        <f aca="false">TEXT(D2766,"yyyy-mm")</f>
        <v>2023-01</v>
      </c>
    </row>
    <row r="2767" customFormat="false" ht="15" hidden="false" customHeight="true" outlineLevel="0" collapsed="false">
      <c r="A2767" s="1" t="n">
        <v>2830</v>
      </c>
      <c r="B2767" s="1" t="n">
        <v>384</v>
      </c>
      <c r="C2767" s="1" t="n">
        <v>2</v>
      </c>
      <c r="D2767" s="1" t="s">
        <v>342</v>
      </c>
      <c r="E2767" s="1" t="n">
        <v>6</v>
      </c>
      <c r="F2767" s="1" t="n">
        <v>498.15</v>
      </c>
      <c r="G2767" s="1" t="n">
        <v>0.15</v>
      </c>
      <c r="H2767" s="1" t="s">
        <v>1336</v>
      </c>
      <c r="I2767" s="1" t="n">
        <v>2540.56</v>
      </c>
      <c r="J2767" s="1" t="str">
        <f aca="false">VLOOKUP(B2767,Customers!$A$2:$G$502,6,FALSE())</f>
        <v>Corporate</v>
      </c>
      <c r="K2767" s="1" t="str">
        <f aca="false">VLOOKUP(C2767,Products!$A$2:$E$62,3,FALSE())</f>
        <v>Electronics</v>
      </c>
      <c r="L2767" s="1" t="str">
        <f aca="false">TEXT(D2767,"yyyy-mm")</f>
        <v>2024-08</v>
      </c>
    </row>
    <row r="2768" customFormat="false" ht="15" hidden="false" customHeight="true" outlineLevel="0" collapsed="false">
      <c r="A2768" s="1" t="n">
        <v>2831</v>
      </c>
      <c r="B2768" s="1" t="n">
        <v>457</v>
      </c>
      <c r="C2768" s="1" t="n">
        <v>13</v>
      </c>
      <c r="D2768" s="1" t="s">
        <v>656</v>
      </c>
      <c r="E2768" s="1" t="n">
        <v>4</v>
      </c>
      <c r="F2768" s="1" t="n">
        <v>352.54</v>
      </c>
      <c r="G2768" s="1" t="n">
        <v>0.05</v>
      </c>
      <c r="H2768" s="1" t="s">
        <v>1336</v>
      </c>
      <c r="I2768" s="1" t="n">
        <v>1339.65</v>
      </c>
      <c r="J2768" s="1" t="str">
        <f aca="false">VLOOKUP(B2768,Customers!$A$2:$G$502,6,FALSE())</f>
        <v>Small Business</v>
      </c>
      <c r="K2768" s="1" t="str">
        <f aca="false">VLOOKUP(C2768,Products!$A$2:$E$62,3,FALSE())</f>
        <v>Electronics</v>
      </c>
      <c r="L2768" s="1" t="str">
        <f aca="false">TEXT(D2768,"yyyy-mm")</f>
        <v>2024-03</v>
      </c>
    </row>
    <row r="2769" customFormat="false" ht="15" hidden="false" customHeight="true" outlineLevel="0" collapsed="false">
      <c r="A2769" s="1" t="n">
        <v>2832</v>
      </c>
      <c r="B2769" s="1" t="n">
        <v>212</v>
      </c>
      <c r="C2769" s="1" t="n">
        <v>28</v>
      </c>
      <c r="D2769" s="1" t="s">
        <v>196</v>
      </c>
      <c r="E2769" s="1" t="n">
        <v>4</v>
      </c>
      <c r="F2769" s="1" t="n">
        <v>505.23</v>
      </c>
      <c r="G2769" s="1" t="n">
        <v>0</v>
      </c>
      <c r="H2769" s="1" t="s">
        <v>1336</v>
      </c>
      <c r="I2769" s="1" t="n">
        <v>2020.92</v>
      </c>
      <c r="J2769" s="1" t="str">
        <f aca="false">VLOOKUP(B2769,Customers!$A$2:$G$502,6,FALSE())</f>
        <v>Consumer</v>
      </c>
      <c r="K2769" s="1" t="str">
        <f aca="false">VLOOKUP(C2769,Products!$A$2:$E$62,3,FALSE())</f>
        <v>Office Supplies</v>
      </c>
      <c r="L2769" s="1" t="str">
        <f aca="false">TEXT(D2769,"yyyy-mm")</f>
        <v>2023-03</v>
      </c>
    </row>
    <row r="2770" customFormat="false" ht="15" hidden="false" customHeight="true" outlineLevel="0" collapsed="false">
      <c r="A2770" s="1" t="n">
        <v>2833</v>
      </c>
      <c r="B2770" s="1" t="n">
        <v>90</v>
      </c>
      <c r="C2770" s="1" t="n">
        <v>52</v>
      </c>
      <c r="D2770" s="1" t="s">
        <v>89</v>
      </c>
      <c r="E2770" s="1" t="n">
        <v>2</v>
      </c>
      <c r="F2770" s="1" t="n">
        <v>207.67</v>
      </c>
      <c r="G2770" s="1" t="n">
        <v>0</v>
      </c>
      <c r="H2770" s="1" t="s">
        <v>1336</v>
      </c>
      <c r="I2770" s="1" t="n">
        <v>415.34</v>
      </c>
      <c r="J2770" s="1" t="str">
        <f aca="false">VLOOKUP(B2770,Customers!$A$2:$G$502,6,FALSE())</f>
        <v>Consumer</v>
      </c>
      <c r="K2770" s="1" t="str">
        <f aca="false">VLOOKUP(C2770,Products!$A$2:$E$62,3,FALSE())</f>
        <v>Software</v>
      </c>
      <c r="L2770" s="1" t="str">
        <f aca="false">TEXT(D2770,"yyyy-mm")</f>
        <v>2023-02</v>
      </c>
    </row>
    <row r="2771" customFormat="false" ht="15" hidden="false" customHeight="true" outlineLevel="0" collapsed="false">
      <c r="A2771" s="1" t="n">
        <v>2834</v>
      </c>
      <c r="B2771" s="1" t="n">
        <v>113</v>
      </c>
      <c r="C2771" s="1" t="n">
        <v>18</v>
      </c>
      <c r="D2771" s="1" t="s">
        <v>1669</v>
      </c>
      <c r="E2771" s="1" t="n">
        <v>2</v>
      </c>
      <c r="F2771" s="1" t="n">
        <v>747.34</v>
      </c>
      <c r="G2771" s="1" t="n">
        <v>0.1</v>
      </c>
      <c r="H2771" s="1" t="s">
        <v>1336</v>
      </c>
      <c r="I2771" s="1" t="n">
        <v>1345.21</v>
      </c>
      <c r="J2771" s="1" t="str">
        <f aca="false">VLOOKUP(B2771,Customers!$A$2:$G$502,6,FALSE())</f>
        <v>Small Business</v>
      </c>
      <c r="K2771" s="1" t="str">
        <f aca="false">VLOOKUP(C2771,Products!$A$2:$E$62,3,FALSE())</f>
        <v>Electronics</v>
      </c>
      <c r="L2771" s="1" t="str">
        <f aca="false">TEXT(D2771,"yyyy-mm")</f>
        <v>2024-09</v>
      </c>
    </row>
    <row r="2772" customFormat="false" ht="15" hidden="false" customHeight="true" outlineLevel="0" collapsed="false">
      <c r="A2772" s="1" t="n">
        <v>2836</v>
      </c>
      <c r="B2772" s="1" t="n">
        <v>243</v>
      </c>
      <c r="C2772" s="1" t="n">
        <v>56</v>
      </c>
      <c r="D2772" s="1" t="s">
        <v>919</v>
      </c>
      <c r="E2772" s="1" t="n">
        <v>5</v>
      </c>
      <c r="F2772" s="1" t="n">
        <v>160.64</v>
      </c>
      <c r="G2772" s="1" t="n">
        <v>0.1</v>
      </c>
      <c r="H2772" s="1" t="s">
        <v>1336</v>
      </c>
      <c r="I2772" s="1" t="n">
        <v>722.88</v>
      </c>
      <c r="J2772" s="1" t="str">
        <f aca="false">VLOOKUP(B2772,Customers!$A$2:$G$502,6,FALSE())</f>
        <v>Small Business</v>
      </c>
      <c r="K2772" s="1" t="str">
        <f aca="false">VLOOKUP(C2772,Products!$A$2:$E$62,3,FALSE())</f>
        <v>Furniture</v>
      </c>
      <c r="L2772" s="1" t="str">
        <f aca="false">TEXT(D2772,"yyyy-mm")</f>
        <v>2024-04</v>
      </c>
    </row>
    <row r="2773" customFormat="false" ht="15" hidden="false" customHeight="true" outlineLevel="0" collapsed="false">
      <c r="A2773" s="1" t="n">
        <v>2837</v>
      </c>
      <c r="B2773" s="1" t="n">
        <v>62</v>
      </c>
      <c r="C2773" s="1" t="n">
        <v>18</v>
      </c>
      <c r="D2773" s="1" t="s">
        <v>1601</v>
      </c>
      <c r="E2773" s="1" t="n">
        <v>8</v>
      </c>
      <c r="F2773" s="1" t="n">
        <v>747.34</v>
      </c>
      <c r="G2773" s="1" t="n">
        <v>0</v>
      </c>
      <c r="H2773" s="1" t="s">
        <v>1336</v>
      </c>
      <c r="I2773" s="1" t="n">
        <v>5978.72</v>
      </c>
      <c r="J2773" s="1" t="str">
        <f aca="false">VLOOKUP(B2773,Customers!$A$2:$G$502,6,FALSE())</f>
        <v>Consumer</v>
      </c>
      <c r="K2773" s="1" t="str">
        <f aca="false">VLOOKUP(C2773,Products!$A$2:$E$62,3,FALSE())</f>
        <v>Electronics</v>
      </c>
      <c r="L2773" s="1" t="str">
        <f aca="false">TEXT(D2773,"yyyy-mm")</f>
        <v>2023-10</v>
      </c>
    </row>
    <row r="2774" customFormat="false" ht="15" hidden="false" customHeight="true" outlineLevel="0" collapsed="false">
      <c r="A2774" s="1" t="n">
        <v>2838</v>
      </c>
      <c r="B2774" s="1" t="n">
        <v>235</v>
      </c>
      <c r="C2774" s="1" t="n">
        <v>20</v>
      </c>
      <c r="D2774" s="1" t="s">
        <v>1629</v>
      </c>
      <c r="E2774" s="1" t="n">
        <v>6</v>
      </c>
      <c r="F2774" s="1" t="n">
        <v>426.15</v>
      </c>
      <c r="G2774" s="1" t="n">
        <v>0</v>
      </c>
      <c r="H2774" s="1" t="s">
        <v>1336</v>
      </c>
      <c r="I2774" s="1" t="n">
        <v>2556.9</v>
      </c>
      <c r="J2774" s="1" t="str">
        <f aca="false">VLOOKUP(B2774,Customers!$A$2:$G$502,6,FALSE())</f>
        <v>Small Business</v>
      </c>
      <c r="K2774" s="1" t="str">
        <f aca="false">VLOOKUP(C2774,Products!$A$2:$E$62,3,FALSE())</f>
        <v>Office Supplies</v>
      </c>
      <c r="L2774" s="1" t="str">
        <f aca="false">TEXT(D2774,"yyyy-mm")</f>
        <v>2024-02</v>
      </c>
    </row>
    <row r="2775" customFormat="false" ht="15" hidden="false" customHeight="true" outlineLevel="0" collapsed="false">
      <c r="A2775" s="1" t="n">
        <v>2839</v>
      </c>
      <c r="B2775" s="1" t="n">
        <v>27</v>
      </c>
      <c r="C2775" s="1" t="n">
        <v>8</v>
      </c>
      <c r="D2775" s="1" t="s">
        <v>300</v>
      </c>
      <c r="E2775" s="1" t="n">
        <v>4</v>
      </c>
      <c r="F2775" s="1" t="n">
        <v>104.4</v>
      </c>
      <c r="G2775" s="1" t="n">
        <v>0.05</v>
      </c>
      <c r="H2775" s="1" t="s">
        <v>1336</v>
      </c>
      <c r="I2775" s="1" t="n">
        <v>396.72</v>
      </c>
      <c r="J2775" s="1" t="str">
        <f aca="false">VLOOKUP(B2775,Customers!$A$2:$G$502,6,FALSE())</f>
        <v>Small Business</v>
      </c>
      <c r="K2775" s="1" t="str">
        <f aca="false">VLOOKUP(C2775,Products!$A$2:$E$62,3,FALSE())</f>
        <v>Electronics</v>
      </c>
      <c r="L2775" s="1" t="str">
        <f aca="false">TEXT(D2775,"yyyy-mm")</f>
        <v>2024-07</v>
      </c>
    </row>
    <row r="2776" customFormat="false" ht="15" hidden="false" customHeight="true" outlineLevel="0" collapsed="false">
      <c r="A2776" s="1" t="n">
        <v>2840</v>
      </c>
      <c r="B2776" s="1" t="n">
        <v>300</v>
      </c>
      <c r="C2776" s="1" t="n">
        <v>51</v>
      </c>
      <c r="D2776" s="1" t="s">
        <v>1480</v>
      </c>
      <c r="E2776" s="1" t="n">
        <v>7</v>
      </c>
      <c r="F2776" s="1" t="n">
        <v>30.16</v>
      </c>
      <c r="G2776" s="1" t="n">
        <v>0.15</v>
      </c>
      <c r="H2776" s="1" t="s">
        <v>1346</v>
      </c>
      <c r="I2776" s="1" t="n">
        <v>179.45</v>
      </c>
      <c r="J2776" s="1" t="str">
        <f aca="false">VLOOKUP(B2776,Customers!$A$2:$G$502,6,FALSE())</f>
        <v>Consumer</v>
      </c>
      <c r="K2776" s="1" t="str">
        <f aca="false">VLOOKUP(C2776,Products!$A$2:$E$62,3,FALSE())</f>
        <v>Software</v>
      </c>
      <c r="L2776" s="1" t="str">
        <f aca="false">TEXT(D2776,"yyyy-mm")</f>
        <v>2024-01</v>
      </c>
    </row>
    <row r="2777" customFormat="false" ht="15" hidden="false" customHeight="true" outlineLevel="0" collapsed="false">
      <c r="A2777" s="1" t="n">
        <v>2841</v>
      </c>
      <c r="B2777" s="1" t="n">
        <v>299</v>
      </c>
      <c r="C2777" s="1" t="n">
        <v>49</v>
      </c>
      <c r="D2777" s="1" t="s">
        <v>572</v>
      </c>
      <c r="E2777" s="1" t="n">
        <v>8</v>
      </c>
      <c r="F2777" s="1" t="n">
        <v>325.17</v>
      </c>
      <c r="G2777" s="1" t="n">
        <v>0.15</v>
      </c>
      <c r="H2777" s="1" t="s">
        <v>1336</v>
      </c>
      <c r="I2777" s="1" t="n">
        <v>2211.16</v>
      </c>
      <c r="J2777" s="1" t="str">
        <f aca="false">VLOOKUP(B2777,Customers!$A$2:$G$502,6,FALSE())</f>
        <v>Small Business</v>
      </c>
      <c r="K2777" s="1" t="str">
        <f aca="false">VLOOKUP(C2777,Products!$A$2:$E$62,3,FALSE())</f>
        <v>Software</v>
      </c>
      <c r="L2777" s="1" t="str">
        <f aca="false">TEXT(D2777,"yyyy-mm")</f>
        <v>2023-06</v>
      </c>
    </row>
    <row r="2778" customFormat="false" ht="15" hidden="false" customHeight="true" outlineLevel="0" collapsed="false">
      <c r="A2778" s="1" t="n">
        <v>2842</v>
      </c>
      <c r="B2778" s="1" t="n">
        <v>416</v>
      </c>
      <c r="C2778" s="1" t="n">
        <v>6</v>
      </c>
      <c r="D2778" s="1" t="s">
        <v>1016</v>
      </c>
      <c r="E2778" s="1" t="n">
        <v>2</v>
      </c>
      <c r="F2778" s="1" t="n">
        <v>28.51</v>
      </c>
      <c r="G2778" s="1" t="n">
        <v>0.1</v>
      </c>
      <c r="H2778" s="1" t="s">
        <v>1336</v>
      </c>
      <c r="I2778" s="1" t="n">
        <v>51.32</v>
      </c>
      <c r="J2778" s="1" t="str">
        <f aca="false">VLOOKUP(B2778,Customers!$A$2:$G$502,6,FALSE())</f>
        <v>Small Business</v>
      </c>
      <c r="K2778" s="1" t="str">
        <f aca="false">VLOOKUP(C2778,Products!$A$2:$E$62,3,FALSE())</f>
        <v>Electronics</v>
      </c>
      <c r="L2778" s="1" t="str">
        <f aca="false">TEXT(D2778,"yyyy-mm")</f>
        <v>2023-11</v>
      </c>
    </row>
    <row r="2779" customFormat="false" ht="15" hidden="false" customHeight="true" outlineLevel="0" collapsed="false">
      <c r="A2779" s="1" t="n">
        <v>2843</v>
      </c>
      <c r="B2779" s="1" t="n">
        <v>417</v>
      </c>
      <c r="C2779" s="1" t="n">
        <v>36</v>
      </c>
      <c r="D2779" s="1" t="s">
        <v>1469</v>
      </c>
      <c r="E2779" s="1" t="n">
        <v>7</v>
      </c>
      <c r="F2779" s="1" t="n">
        <v>424.45</v>
      </c>
      <c r="G2779" s="1" t="n">
        <v>0</v>
      </c>
      <c r="H2779" s="1" t="s">
        <v>1370</v>
      </c>
      <c r="I2779" s="1" t="n">
        <v>2971.15</v>
      </c>
      <c r="J2779" s="1" t="str">
        <f aca="false">VLOOKUP(B2779,Customers!$A$2:$G$502,6,FALSE())</f>
        <v>Consumer</v>
      </c>
      <c r="K2779" s="1" t="str">
        <f aca="false">VLOOKUP(C2779,Products!$A$2:$E$62,3,FALSE())</f>
        <v>Software</v>
      </c>
      <c r="L2779" s="1" t="str">
        <f aca="false">TEXT(D2779,"yyyy-mm")</f>
        <v>2023-11</v>
      </c>
    </row>
    <row r="2780" customFormat="false" ht="15" hidden="false" customHeight="true" outlineLevel="0" collapsed="false">
      <c r="A2780" s="1" t="n">
        <v>2844</v>
      </c>
      <c r="B2780" s="1" t="n">
        <v>370</v>
      </c>
      <c r="C2780" s="1" t="n">
        <v>14</v>
      </c>
      <c r="D2780" s="1" t="s">
        <v>1581</v>
      </c>
      <c r="E2780" s="1" t="n">
        <v>2</v>
      </c>
      <c r="F2780" s="1" t="n">
        <v>135.27</v>
      </c>
      <c r="G2780" s="1" t="n">
        <v>0.2</v>
      </c>
      <c r="H2780" s="1" t="s">
        <v>1336</v>
      </c>
      <c r="I2780" s="1" t="n">
        <v>216.43</v>
      </c>
      <c r="J2780" s="1" t="str">
        <f aca="false">VLOOKUP(B2780,Customers!$A$2:$G$502,6,FALSE())</f>
        <v>Small Business</v>
      </c>
      <c r="K2780" s="1" t="str">
        <f aca="false">VLOOKUP(C2780,Products!$A$2:$E$62,3,FALSE())</f>
        <v>Electronics</v>
      </c>
      <c r="L2780" s="1" t="str">
        <f aca="false">TEXT(D2780,"yyyy-mm")</f>
        <v>2023-10</v>
      </c>
    </row>
    <row r="2781" customFormat="false" ht="15" hidden="false" customHeight="true" outlineLevel="0" collapsed="false">
      <c r="A2781" s="1" t="n">
        <v>2845</v>
      </c>
      <c r="B2781" s="1" t="n">
        <v>73</v>
      </c>
      <c r="C2781" s="1" t="n">
        <v>12</v>
      </c>
      <c r="D2781" s="1" t="s">
        <v>1548</v>
      </c>
      <c r="E2781" s="1" t="n">
        <v>2</v>
      </c>
      <c r="F2781" s="1" t="n">
        <v>179.23</v>
      </c>
      <c r="G2781" s="1" t="n">
        <v>0.1</v>
      </c>
      <c r="H2781" s="1" t="s">
        <v>1336</v>
      </c>
      <c r="I2781" s="1" t="n">
        <v>322.61</v>
      </c>
      <c r="J2781" s="1" t="str">
        <f aca="false">VLOOKUP(B2781,Customers!$A$2:$G$502,6,FALSE())</f>
        <v>Small Business</v>
      </c>
      <c r="K2781" s="1" t="str">
        <f aca="false">VLOOKUP(C2781,Products!$A$2:$E$62,3,FALSE())</f>
        <v>Electronics</v>
      </c>
      <c r="L2781" s="1" t="str">
        <f aca="false">TEXT(D2781,"yyyy-mm")</f>
        <v>2024-06</v>
      </c>
    </row>
    <row r="2782" customFormat="false" ht="15" hidden="false" customHeight="true" outlineLevel="0" collapsed="false">
      <c r="A2782" s="1" t="n">
        <v>2846</v>
      </c>
      <c r="B2782" s="1" t="n">
        <v>120</v>
      </c>
      <c r="C2782" s="1" t="n">
        <v>5</v>
      </c>
      <c r="D2782" s="1" t="s">
        <v>1542</v>
      </c>
      <c r="E2782" s="1" t="n">
        <v>8</v>
      </c>
      <c r="F2782" s="1" t="n">
        <v>439.06</v>
      </c>
      <c r="G2782" s="1" t="n">
        <v>0</v>
      </c>
      <c r="H2782" s="1" t="s">
        <v>1336</v>
      </c>
      <c r="I2782" s="1" t="n">
        <v>3512.48</v>
      </c>
      <c r="J2782" s="1" t="str">
        <f aca="false">VLOOKUP(B2782,Customers!$A$2:$G$502,6,FALSE())</f>
        <v>Consumer</v>
      </c>
      <c r="K2782" s="1" t="str">
        <f aca="false">VLOOKUP(C2782,Products!$A$2:$E$62,3,FALSE())</f>
        <v>Electronics</v>
      </c>
      <c r="L2782" s="1" t="str">
        <f aca="false">TEXT(D2782,"yyyy-mm")</f>
        <v>2023-09</v>
      </c>
    </row>
    <row r="2783" customFormat="false" ht="15" hidden="false" customHeight="true" outlineLevel="0" collapsed="false">
      <c r="A2783" s="1" t="n">
        <v>2847</v>
      </c>
      <c r="B2783" s="1" t="n">
        <v>247</v>
      </c>
      <c r="C2783" s="1" t="n">
        <v>19</v>
      </c>
      <c r="D2783" s="1" t="s">
        <v>455</v>
      </c>
      <c r="E2783" s="1" t="n">
        <v>2</v>
      </c>
      <c r="F2783" s="1" t="n">
        <v>163.64</v>
      </c>
      <c r="G2783" s="1" t="n">
        <v>0.2</v>
      </c>
      <c r="H2783" s="1" t="s">
        <v>1336</v>
      </c>
      <c r="I2783" s="1" t="n">
        <v>261.82</v>
      </c>
      <c r="J2783" s="1" t="str">
        <f aca="false">VLOOKUP(B2783,Customers!$A$2:$G$502,6,FALSE())</f>
        <v>Small Business</v>
      </c>
      <c r="K2783" s="1" t="str">
        <f aca="false">VLOOKUP(C2783,Products!$A$2:$E$62,3,FALSE())</f>
        <v>Office Supplies</v>
      </c>
      <c r="L2783" s="1" t="str">
        <f aca="false">TEXT(D2783,"yyyy-mm")</f>
        <v>2024-08</v>
      </c>
    </row>
    <row r="2784" customFormat="false" ht="15" hidden="false" customHeight="true" outlineLevel="0" collapsed="false">
      <c r="A2784" s="1" t="n">
        <v>2848</v>
      </c>
      <c r="B2784" s="1" t="n">
        <v>302</v>
      </c>
      <c r="C2784" s="1" t="n">
        <v>30</v>
      </c>
      <c r="D2784" s="1" t="s">
        <v>659</v>
      </c>
      <c r="E2784" s="1" t="n">
        <v>9</v>
      </c>
      <c r="F2784" s="1" t="n">
        <v>33.32</v>
      </c>
      <c r="G2784" s="1" t="n">
        <v>0.1</v>
      </c>
      <c r="H2784" s="1" t="s">
        <v>1336</v>
      </c>
      <c r="I2784" s="1" t="n">
        <v>269.89</v>
      </c>
      <c r="J2784" s="1" t="str">
        <f aca="false">VLOOKUP(B2784,Customers!$A$2:$G$502,6,FALSE())</f>
        <v>Corporate</v>
      </c>
      <c r="K2784" s="1" t="str">
        <f aca="false">VLOOKUP(C2784,Products!$A$2:$E$62,3,FALSE())</f>
        <v>Office Supplies</v>
      </c>
      <c r="L2784" s="1" t="str">
        <f aca="false">TEXT(D2784,"yyyy-mm")</f>
        <v>2024-06</v>
      </c>
    </row>
    <row r="2785" customFormat="false" ht="15" hidden="false" customHeight="true" outlineLevel="0" collapsed="false">
      <c r="A2785" s="1" t="n">
        <v>2849</v>
      </c>
      <c r="B2785" s="1" t="n">
        <v>353</v>
      </c>
      <c r="C2785" s="1" t="n">
        <v>1</v>
      </c>
      <c r="D2785" s="1" t="s">
        <v>39</v>
      </c>
      <c r="E2785" s="1" t="n">
        <v>1</v>
      </c>
      <c r="F2785" s="1" t="n">
        <v>327.32</v>
      </c>
      <c r="G2785" s="1" t="n">
        <v>0</v>
      </c>
      <c r="H2785" s="1" t="s">
        <v>1336</v>
      </c>
      <c r="I2785" s="1" t="n">
        <v>327.32</v>
      </c>
      <c r="J2785" s="1" t="str">
        <f aca="false">VLOOKUP(B2785,Customers!$A$2:$G$502,6,FALSE())</f>
        <v>Corporate</v>
      </c>
      <c r="K2785" s="1" t="str">
        <f aca="false">VLOOKUP(C2785,Products!$A$2:$E$62,3,FALSE())</f>
        <v>Electronics</v>
      </c>
      <c r="L2785" s="1" t="str">
        <f aca="false">TEXT(D2785,"yyyy-mm")</f>
        <v>2023-10</v>
      </c>
    </row>
    <row r="2786" customFormat="false" ht="15" hidden="false" customHeight="true" outlineLevel="0" collapsed="false">
      <c r="A2786" s="1" t="n">
        <v>2850</v>
      </c>
      <c r="B2786" s="1" t="n">
        <v>218</v>
      </c>
      <c r="C2786" s="1" t="n">
        <v>7</v>
      </c>
      <c r="D2786" s="1" t="s">
        <v>1141</v>
      </c>
      <c r="E2786" s="1" t="n">
        <v>9</v>
      </c>
      <c r="F2786" s="1" t="n">
        <v>460</v>
      </c>
      <c r="G2786" s="1" t="n">
        <v>0</v>
      </c>
      <c r="H2786" s="1" t="s">
        <v>1336</v>
      </c>
      <c r="I2786" s="1" t="n">
        <v>4140</v>
      </c>
      <c r="J2786" s="1" t="str">
        <f aca="false">VLOOKUP(B2786,Customers!$A$2:$G$502,6,FALSE())</f>
        <v>Corporate</v>
      </c>
      <c r="K2786" s="1" t="str">
        <f aca="false">VLOOKUP(C2786,Products!$A$2:$E$62,3,FALSE())</f>
        <v>Electronics</v>
      </c>
      <c r="L2786" s="1" t="str">
        <f aca="false">TEXT(D2786,"yyyy-mm")</f>
        <v>2024-06</v>
      </c>
    </row>
    <row r="2787" customFormat="false" ht="15" hidden="false" customHeight="true" outlineLevel="0" collapsed="false">
      <c r="A2787" s="1" t="n">
        <v>2851</v>
      </c>
      <c r="B2787" s="1" t="n">
        <v>52</v>
      </c>
      <c r="C2787" s="1" t="n">
        <v>47</v>
      </c>
      <c r="D2787" s="1" t="s">
        <v>109</v>
      </c>
      <c r="E2787" s="1" t="n">
        <v>1</v>
      </c>
      <c r="F2787" s="1" t="n">
        <v>506.19</v>
      </c>
      <c r="G2787" s="1" t="n">
        <v>0.1</v>
      </c>
      <c r="H2787" s="1" t="s">
        <v>1336</v>
      </c>
      <c r="I2787" s="1" t="n">
        <v>455.57</v>
      </c>
      <c r="J2787" s="1" t="str">
        <f aca="false">VLOOKUP(B2787,Customers!$A$2:$G$502,6,FALSE())</f>
        <v>Small Business</v>
      </c>
      <c r="K2787" s="1" t="str">
        <f aca="false">VLOOKUP(C2787,Products!$A$2:$E$62,3,FALSE())</f>
        <v>Software</v>
      </c>
      <c r="L2787" s="1" t="str">
        <f aca="false">TEXT(D2787,"yyyy-mm")</f>
        <v>2024-12</v>
      </c>
    </row>
    <row r="2788" customFormat="false" ht="15" hidden="false" customHeight="true" outlineLevel="0" collapsed="false">
      <c r="A2788" s="1" t="n">
        <v>2852</v>
      </c>
      <c r="B2788" s="1" t="n">
        <v>167</v>
      </c>
      <c r="C2788" s="1" t="n">
        <v>6</v>
      </c>
      <c r="D2788" s="1" t="s">
        <v>1631</v>
      </c>
      <c r="E2788" s="1" t="n">
        <v>2</v>
      </c>
      <c r="F2788" s="1" t="n">
        <v>28.51</v>
      </c>
      <c r="G2788" s="1" t="n">
        <v>0</v>
      </c>
      <c r="H2788" s="1" t="s">
        <v>1336</v>
      </c>
      <c r="I2788" s="1" t="n">
        <v>57.02</v>
      </c>
      <c r="J2788" s="1" t="str">
        <f aca="false">VLOOKUP(B2788,Customers!$A$2:$G$502,6,FALSE())</f>
        <v>Unknown</v>
      </c>
      <c r="K2788" s="1" t="str">
        <f aca="false">VLOOKUP(C2788,Products!$A$2:$E$62,3,FALSE())</f>
        <v>Electronics</v>
      </c>
      <c r="L2788" s="1" t="str">
        <f aca="false">TEXT(D2788,"yyyy-mm")</f>
        <v>2023-03</v>
      </c>
    </row>
    <row r="2789" customFormat="false" ht="15" hidden="false" customHeight="true" outlineLevel="0" collapsed="false">
      <c r="A2789" s="1" t="n">
        <v>2853</v>
      </c>
      <c r="B2789" s="1" t="n">
        <v>484</v>
      </c>
      <c r="C2789" s="1" t="n">
        <v>52</v>
      </c>
      <c r="D2789" s="1" t="s">
        <v>1573</v>
      </c>
      <c r="E2789" s="1" t="n">
        <v>6</v>
      </c>
      <c r="F2789" s="1" t="n">
        <v>207.67</v>
      </c>
      <c r="G2789" s="1" t="n">
        <v>0.05</v>
      </c>
      <c r="H2789" s="1" t="s">
        <v>1336</v>
      </c>
      <c r="I2789" s="1" t="n">
        <v>1183.72</v>
      </c>
      <c r="J2789" s="1" t="str">
        <f aca="false">VLOOKUP(B2789,Customers!$A$2:$G$502,6,FALSE())</f>
        <v>Corporate</v>
      </c>
      <c r="K2789" s="1" t="str">
        <f aca="false">VLOOKUP(C2789,Products!$A$2:$E$62,3,FALSE())</f>
        <v>Software</v>
      </c>
      <c r="L2789" s="1" t="str">
        <f aca="false">TEXT(D2789,"yyyy-mm")</f>
        <v>2023-01</v>
      </c>
    </row>
    <row r="2790" customFormat="false" ht="15" hidden="false" customHeight="true" outlineLevel="0" collapsed="false">
      <c r="A2790" s="1" t="n">
        <v>2854</v>
      </c>
      <c r="B2790" s="1" t="n">
        <v>344</v>
      </c>
      <c r="C2790" s="1" t="n">
        <v>26</v>
      </c>
      <c r="D2790" s="1" t="s">
        <v>1612</v>
      </c>
      <c r="E2790" s="1" t="n">
        <v>6</v>
      </c>
      <c r="F2790" s="1" t="n">
        <v>733.85</v>
      </c>
      <c r="G2790" s="1" t="n">
        <v>0.1</v>
      </c>
      <c r="H2790" s="1" t="s">
        <v>1336</v>
      </c>
      <c r="I2790" s="1" t="n">
        <v>3962.79</v>
      </c>
      <c r="J2790" s="1" t="str">
        <f aca="false">VLOOKUP(B2790,Customers!$A$2:$G$502,6,FALSE())</f>
        <v>Small Business</v>
      </c>
      <c r="K2790" s="1" t="str">
        <f aca="false">VLOOKUP(C2790,Products!$A$2:$E$62,3,FALSE())</f>
        <v>Office Supplies</v>
      </c>
      <c r="L2790" s="1" t="str">
        <f aca="false">TEXT(D2790,"yyyy-mm")</f>
        <v>2024-10</v>
      </c>
    </row>
    <row r="2791" customFormat="false" ht="15" hidden="false" customHeight="true" outlineLevel="0" collapsed="false">
      <c r="A2791" s="1" t="n">
        <v>2855</v>
      </c>
      <c r="B2791" s="1" t="n">
        <v>28</v>
      </c>
      <c r="C2791" s="1" t="n">
        <v>27</v>
      </c>
      <c r="D2791" s="1" t="s">
        <v>713</v>
      </c>
      <c r="E2791" s="1" t="n">
        <v>1</v>
      </c>
      <c r="F2791" s="1" t="n">
        <v>772.58</v>
      </c>
      <c r="G2791" s="1" t="n">
        <v>0.1</v>
      </c>
      <c r="H2791" s="1" t="s">
        <v>1336</v>
      </c>
      <c r="I2791" s="1" t="n">
        <v>695.32</v>
      </c>
      <c r="J2791" s="1" t="str">
        <f aca="false">VLOOKUP(B2791,Customers!$A$2:$G$502,6,FALSE())</f>
        <v>Small Business</v>
      </c>
      <c r="K2791" s="1" t="str">
        <f aca="false">VLOOKUP(C2791,Products!$A$2:$E$62,3,FALSE())</f>
        <v>Office Supplies</v>
      </c>
      <c r="L2791" s="1" t="str">
        <f aca="false">TEXT(D2791,"yyyy-mm")</f>
        <v>2024-10</v>
      </c>
    </row>
    <row r="2792" customFormat="false" ht="15" hidden="false" customHeight="true" outlineLevel="0" collapsed="false">
      <c r="A2792" s="1" t="n">
        <v>2856</v>
      </c>
      <c r="B2792" s="1" t="n">
        <v>337</v>
      </c>
      <c r="C2792" s="1" t="n">
        <v>13</v>
      </c>
      <c r="D2792" s="1" t="s">
        <v>12</v>
      </c>
      <c r="E2792" s="1" t="n">
        <v>7</v>
      </c>
      <c r="F2792" s="1" t="n">
        <v>352.54</v>
      </c>
      <c r="G2792" s="1" t="n">
        <v>0.2</v>
      </c>
      <c r="H2792" s="1" t="s">
        <v>1336</v>
      </c>
      <c r="I2792" s="1" t="n">
        <v>1974.22</v>
      </c>
      <c r="J2792" s="1" t="str">
        <f aca="false">VLOOKUP(B2792,Customers!$A$2:$G$502,6,FALSE())</f>
        <v>Corporate</v>
      </c>
      <c r="K2792" s="1" t="str">
        <f aca="false">VLOOKUP(C2792,Products!$A$2:$E$62,3,FALSE())</f>
        <v>Electronics</v>
      </c>
      <c r="L2792" s="1" t="str">
        <f aca="false">TEXT(D2792,"yyyy-mm")</f>
        <v>2023-09</v>
      </c>
    </row>
    <row r="2793" customFormat="false" ht="15" hidden="false" customHeight="true" outlineLevel="0" collapsed="false">
      <c r="A2793" s="1" t="n">
        <v>2857</v>
      </c>
      <c r="B2793" s="1" t="n">
        <v>101</v>
      </c>
      <c r="C2793" s="1" t="n">
        <v>1</v>
      </c>
      <c r="D2793" s="1" t="s">
        <v>1605</v>
      </c>
      <c r="E2793" s="1" t="n">
        <v>8</v>
      </c>
      <c r="F2793" s="1" t="n">
        <v>327.32</v>
      </c>
      <c r="G2793" s="1" t="n">
        <v>0</v>
      </c>
      <c r="H2793" s="1" t="s">
        <v>1336</v>
      </c>
      <c r="I2793" s="1" t="n">
        <v>2618.56</v>
      </c>
      <c r="J2793" s="1" t="str">
        <f aca="false">VLOOKUP(B2793,Customers!$A$2:$G$502,6,FALSE())</f>
        <v>Corporate</v>
      </c>
      <c r="K2793" s="1" t="str">
        <f aca="false">VLOOKUP(C2793,Products!$A$2:$E$62,3,FALSE())</f>
        <v>Electronics</v>
      </c>
      <c r="L2793" s="1" t="str">
        <f aca="false">TEXT(D2793,"yyyy-mm")</f>
        <v>2024-02</v>
      </c>
    </row>
    <row r="2794" customFormat="false" ht="15" hidden="false" customHeight="true" outlineLevel="0" collapsed="false">
      <c r="A2794" s="1" t="n">
        <v>2858</v>
      </c>
      <c r="B2794" s="1" t="n">
        <v>448</v>
      </c>
      <c r="C2794" s="1" t="n">
        <v>22</v>
      </c>
      <c r="D2794" s="1" t="s">
        <v>1162</v>
      </c>
      <c r="E2794" s="1" t="n">
        <v>2</v>
      </c>
      <c r="F2794" s="1" t="n">
        <v>38.57</v>
      </c>
      <c r="G2794" s="1" t="n">
        <v>0</v>
      </c>
      <c r="H2794" s="1" t="s">
        <v>1370</v>
      </c>
      <c r="I2794" s="1" t="n">
        <v>77.14</v>
      </c>
      <c r="J2794" s="1" t="str">
        <f aca="false">VLOOKUP(B2794,Customers!$A$2:$G$502,6,FALSE())</f>
        <v>Corporate</v>
      </c>
      <c r="K2794" s="1" t="str">
        <f aca="false">VLOOKUP(C2794,Products!$A$2:$E$62,3,FALSE())</f>
        <v>Office Supplies</v>
      </c>
      <c r="L2794" s="1" t="str">
        <f aca="false">TEXT(D2794,"yyyy-mm")</f>
        <v>2024-10</v>
      </c>
    </row>
    <row r="2795" customFormat="false" ht="15" hidden="false" customHeight="true" outlineLevel="0" collapsed="false">
      <c r="A2795" s="1" t="n">
        <v>2859</v>
      </c>
      <c r="B2795" s="1" t="n">
        <v>426</v>
      </c>
      <c r="C2795" s="1" t="n">
        <v>9</v>
      </c>
      <c r="D2795" s="1" t="s">
        <v>1418</v>
      </c>
      <c r="E2795" s="1" t="n">
        <v>8</v>
      </c>
      <c r="F2795" s="1" t="n">
        <v>203.1</v>
      </c>
      <c r="G2795" s="1" t="n">
        <v>0</v>
      </c>
      <c r="H2795" s="1" t="s">
        <v>1336</v>
      </c>
      <c r="I2795" s="1" t="n">
        <v>1624.8</v>
      </c>
      <c r="J2795" s="1" t="str">
        <f aca="false">VLOOKUP(B2795,Customers!$A$2:$G$502,6,FALSE())</f>
        <v>Consumer</v>
      </c>
      <c r="K2795" s="1" t="str">
        <f aca="false">VLOOKUP(C2795,Products!$A$2:$E$62,3,FALSE())</f>
        <v>Electronics</v>
      </c>
      <c r="L2795" s="1" t="str">
        <f aca="false">TEXT(D2795,"yyyy-mm")</f>
        <v>2023-06</v>
      </c>
    </row>
    <row r="2796" customFormat="false" ht="15" hidden="false" customHeight="true" outlineLevel="0" collapsed="false">
      <c r="A2796" s="1" t="n">
        <v>2860</v>
      </c>
      <c r="B2796" s="1" t="n">
        <v>210</v>
      </c>
      <c r="C2796" s="1" t="n">
        <v>31</v>
      </c>
      <c r="D2796" s="1" t="s">
        <v>519</v>
      </c>
      <c r="E2796" s="1" t="n">
        <v>9</v>
      </c>
      <c r="F2796" s="1" t="n">
        <v>224.86</v>
      </c>
      <c r="G2796" s="1" t="n">
        <v>0</v>
      </c>
      <c r="H2796" s="1" t="s">
        <v>1336</v>
      </c>
      <c r="I2796" s="1" t="n">
        <v>2023.74</v>
      </c>
      <c r="J2796" s="1" t="str">
        <f aca="false">VLOOKUP(B2796,Customers!$A$2:$G$502,6,FALSE())</f>
        <v>Corporate</v>
      </c>
      <c r="K2796" s="1" t="str">
        <f aca="false">VLOOKUP(C2796,Products!$A$2:$E$62,3,FALSE())</f>
        <v>Office Supplies</v>
      </c>
      <c r="L2796" s="1" t="str">
        <f aca="false">TEXT(D2796,"yyyy-mm")</f>
        <v>2023-02</v>
      </c>
    </row>
    <row r="2797" customFormat="false" ht="15" hidden="false" customHeight="true" outlineLevel="0" collapsed="false">
      <c r="A2797" s="1" t="n">
        <v>2861</v>
      </c>
      <c r="B2797" s="1" t="n">
        <v>10</v>
      </c>
      <c r="C2797" s="1" t="n">
        <v>7</v>
      </c>
      <c r="D2797" s="1" t="s">
        <v>594</v>
      </c>
      <c r="E2797" s="1" t="n">
        <v>6</v>
      </c>
      <c r="F2797" s="1" t="n">
        <v>460</v>
      </c>
      <c r="G2797" s="1" t="n">
        <v>0.05</v>
      </c>
      <c r="H2797" s="1" t="s">
        <v>1346</v>
      </c>
      <c r="I2797" s="1" t="n">
        <v>2622</v>
      </c>
      <c r="J2797" s="1" t="str">
        <f aca="false">VLOOKUP(B2797,Customers!$A$2:$G$502,6,FALSE())</f>
        <v>Small Business</v>
      </c>
      <c r="K2797" s="1" t="str">
        <f aca="false">VLOOKUP(C2797,Products!$A$2:$E$62,3,FALSE())</f>
        <v>Electronics</v>
      </c>
      <c r="L2797" s="1" t="str">
        <f aca="false">TEXT(D2797,"yyyy-mm")</f>
        <v>2024-02</v>
      </c>
    </row>
    <row r="2798" customFormat="false" ht="15" hidden="false" customHeight="true" outlineLevel="0" collapsed="false">
      <c r="A2798" s="1" t="n">
        <v>2862</v>
      </c>
      <c r="B2798" s="1" t="n">
        <v>70</v>
      </c>
      <c r="C2798" s="1" t="n">
        <v>55</v>
      </c>
      <c r="D2798" s="1" t="s">
        <v>1344</v>
      </c>
      <c r="E2798" s="1" t="n">
        <v>5</v>
      </c>
      <c r="F2798" s="1" t="n">
        <v>123.38</v>
      </c>
      <c r="G2798" s="1" t="n">
        <v>0</v>
      </c>
      <c r="H2798" s="1" t="s">
        <v>1336</v>
      </c>
      <c r="I2798" s="1" t="n">
        <v>616.9</v>
      </c>
      <c r="J2798" s="1" t="str">
        <f aca="false">VLOOKUP(B2798,Customers!$A$2:$G$502,6,FALSE())</f>
        <v>Corporate</v>
      </c>
      <c r="K2798" s="1" t="str">
        <f aca="false">VLOOKUP(C2798,Products!$A$2:$E$62,3,FALSE())</f>
        <v>Furniture</v>
      </c>
      <c r="L2798" s="1" t="str">
        <f aca="false">TEXT(D2798,"yyyy-mm")</f>
        <v>2023-05</v>
      </c>
    </row>
    <row r="2799" customFormat="false" ht="15" hidden="false" customHeight="true" outlineLevel="0" collapsed="false">
      <c r="A2799" s="1" t="n">
        <v>2863</v>
      </c>
      <c r="B2799" s="1" t="n">
        <v>67</v>
      </c>
      <c r="C2799" s="1" t="n">
        <v>12</v>
      </c>
      <c r="D2799" s="1" t="s">
        <v>1522</v>
      </c>
      <c r="E2799" s="1" t="n">
        <v>9</v>
      </c>
      <c r="F2799" s="1" t="n">
        <v>179.23</v>
      </c>
      <c r="G2799" s="1" t="n">
        <v>0</v>
      </c>
      <c r="H2799" s="1" t="s">
        <v>1336</v>
      </c>
      <c r="I2799" s="1" t="n">
        <v>1613.07</v>
      </c>
      <c r="J2799" s="1" t="str">
        <f aca="false">VLOOKUP(B2799,Customers!$A$2:$G$502,6,FALSE())</f>
        <v>Small Business</v>
      </c>
      <c r="K2799" s="1" t="str">
        <f aca="false">VLOOKUP(C2799,Products!$A$2:$E$62,3,FALSE())</f>
        <v>Electronics</v>
      </c>
      <c r="L2799" s="1" t="str">
        <f aca="false">TEXT(D2799,"yyyy-mm")</f>
        <v>2024-11</v>
      </c>
    </row>
    <row r="2800" customFormat="false" ht="15" hidden="false" customHeight="true" outlineLevel="0" collapsed="false">
      <c r="A2800" s="1" t="n">
        <v>2864</v>
      </c>
      <c r="B2800" s="1" t="n">
        <v>340</v>
      </c>
      <c r="C2800" s="1" t="n">
        <v>48</v>
      </c>
      <c r="D2800" s="1" t="s">
        <v>1669</v>
      </c>
      <c r="E2800" s="1" t="n">
        <v>9</v>
      </c>
      <c r="F2800" s="1" t="n">
        <v>493.53</v>
      </c>
      <c r="G2800" s="1" t="n">
        <v>0.2</v>
      </c>
      <c r="H2800" s="1" t="s">
        <v>1336</v>
      </c>
      <c r="I2800" s="1" t="n">
        <v>3553.42</v>
      </c>
      <c r="J2800" s="1" t="str">
        <f aca="false">VLOOKUP(B2800,Customers!$A$2:$G$502,6,FALSE())</f>
        <v>Consumer</v>
      </c>
      <c r="K2800" s="1" t="str">
        <f aca="false">VLOOKUP(C2800,Products!$A$2:$E$62,3,FALSE())</f>
        <v>Software</v>
      </c>
      <c r="L2800" s="1" t="str">
        <f aca="false">TEXT(D2800,"yyyy-mm")</f>
        <v>2024-09</v>
      </c>
    </row>
    <row r="2801" customFormat="false" ht="15" hidden="false" customHeight="true" outlineLevel="0" collapsed="false">
      <c r="A2801" s="1" t="n">
        <v>2865</v>
      </c>
      <c r="B2801" s="1" t="n">
        <v>158</v>
      </c>
      <c r="C2801" s="1" t="n">
        <v>14</v>
      </c>
      <c r="D2801" s="1" t="s">
        <v>1636</v>
      </c>
      <c r="E2801" s="1" t="n">
        <v>1</v>
      </c>
      <c r="F2801" s="1" t="n">
        <v>135.27</v>
      </c>
      <c r="G2801" s="1" t="n">
        <v>0.1</v>
      </c>
      <c r="H2801" s="1" t="s">
        <v>1336</v>
      </c>
      <c r="I2801" s="1" t="n">
        <v>121.74</v>
      </c>
      <c r="J2801" s="1" t="str">
        <f aca="false">VLOOKUP(B2801,Customers!$A$2:$G$502,6,FALSE())</f>
        <v>Small Business</v>
      </c>
      <c r="K2801" s="1" t="str">
        <f aca="false">VLOOKUP(C2801,Products!$A$2:$E$62,3,FALSE())</f>
        <v>Electronics</v>
      </c>
      <c r="L2801" s="1" t="str">
        <f aca="false">TEXT(D2801,"yyyy-mm")</f>
        <v>2023-08</v>
      </c>
    </row>
    <row r="2802" customFormat="false" ht="15" hidden="false" customHeight="true" outlineLevel="0" collapsed="false">
      <c r="A2802" s="1" t="n">
        <v>2866</v>
      </c>
      <c r="B2802" s="1" t="n">
        <v>194</v>
      </c>
      <c r="C2802" s="1" t="n">
        <v>8</v>
      </c>
      <c r="D2802" s="1" t="s">
        <v>929</v>
      </c>
      <c r="E2802" s="1" t="n">
        <v>3</v>
      </c>
      <c r="F2802" s="1" t="n">
        <v>104.4</v>
      </c>
      <c r="G2802" s="1" t="n">
        <v>0</v>
      </c>
      <c r="H2802" s="1" t="s">
        <v>1336</v>
      </c>
      <c r="I2802" s="1" t="n">
        <v>313.2</v>
      </c>
      <c r="J2802" s="1" t="str">
        <f aca="false">VLOOKUP(B2802,Customers!$A$2:$G$502,6,FALSE())</f>
        <v>Corporate</v>
      </c>
      <c r="K2802" s="1" t="str">
        <f aca="false">VLOOKUP(C2802,Products!$A$2:$E$62,3,FALSE())</f>
        <v>Electronics</v>
      </c>
      <c r="L2802" s="1" t="str">
        <f aca="false">TEXT(D2802,"yyyy-mm")</f>
        <v>2023-08</v>
      </c>
    </row>
    <row r="2803" customFormat="false" ht="15" hidden="false" customHeight="true" outlineLevel="0" collapsed="false">
      <c r="A2803" s="1" t="n">
        <v>2867</v>
      </c>
      <c r="B2803" s="1" t="n">
        <v>348</v>
      </c>
      <c r="C2803" s="1" t="n">
        <v>19</v>
      </c>
      <c r="D2803" s="1" t="s">
        <v>377</v>
      </c>
      <c r="E2803" s="1" t="n">
        <v>9</v>
      </c>
      <c r="F2803" s="1" t="n">
        <v>163.64</v>
      </c>
      <c r="G2803" s="1" t="n">
        <v>0</v>
      </c>
      <c r="H2803" s="1" t="s">
        <v>1336</v>
      </c>
      <c r="I2803" s="1" t="n">
        <v>1472.76</v>
      </c>
      <c r="J2803" s="1" t="str">
        <f aca="false">VLOOKUP(B2803,Customers!$A$2:$G$502,6,FALSE())</f>
        <v>Consumer</v>
      </c>
      <c r="K2803" s="1" t="str">
        <f aca="false">VLOOKUP(C2803,Products!$A$2:$E$62,3,FALSE())</f>
        <v>Office Supplies</v>
      </c>
      <c r="L2803" s="1" t="str">
        <f aca="false">TEXT(D2803,"yyyy-mm")</f>
        <v>2023-12</v>
      </c>
    </row>
    <row r="2804" customFormat="false" ht="15" hidden="false" customHeight="true" outlineLevel="0" collapsed="false">
      <c r="A2804" s="1" t="n">
        <v>2868</v>
      </c>
      <c r="B2804" s="1" t="n">
        <v>153</v>
      </c>
      <c r="C2804" s="1" t="n">
        <v>40</v>
      </c>
      <c r="D2804" s="1" t="s">
        <v>191</v>
      </c>
      <c r="E2804" s="1" t="n">
        <v>2</v>
      </c>
      <c r="F2804" s="1" t="n">
        <v>193.02</v>
      </c>
      <c r="G2804" s="1" t="n">
        <v>0.05</v>
      </c>
      <c r="H2804" s="1" t="s">
        <v>1336</v>
      </c>
      <c r="I2804" s="1" t="n">
        <v>366.74</v>
      </c>
      <c r="J2804" s="1" t="str">
        <f aca="false">VLOOKUP(B2804,Customers!$A$2:$G$502,6,FALSE())</f>
        <v>Corporate</v>
      </c>
      <c r="K2804" s="1" t="str">
        <f aca="false">VLOOKUP(C2804,Products!$A$2:$E$62,3,FALSE())</f>
        <v>Software</v>
      </c>
      <c r="L2804" s="1" t="str">
        <f aca="false">TEXT(D2804,"yyyy-mm")</f>
        <v>2024-03</v>
      </c>
    </row>
    <row r="2805" customFormat="false" ht="15" hidden="false" customHeight="true" outlineLevel="0" collapsed="false">
      <c r="A2805" s="1" t="n">
        <v>2869</v>
      </c>
      <c r="B2805" s="1" t="n">
        <v>99</v>
      </c>
      <c r="C2805" s="1" t="n">
        <v>18</v>
      </c>
      <c r="D2805" s="1" t="s">
        <v>1407</v>
      </c>
      <c r="E2805" s="1" t="n">
        <v>4</v>
      </c>
      <c r="F2805" s="1" t="n">
        <v>747.34</v>
      </c>
      <c r="G2805" s="1" t="n">
        <v>0.15</v>
      </c>
      <c r="H2805" s="1" t="s">
        <v>1336</v>
      </c>
      <c r="I2805" s="1" t="n">
        <v>2540.96</v>
      </c>
      <c r="J2805" s="1" t="str">
        <f aca="false">VLOOKUP(B2805,Customers!$A$2:$G$502,6,FALSE())</f>
        <v>Small Business</v>
      </c>
      <c r="K2805" s="1" t="str">
        <f aca="false">VLOOKUP(C2805,Products!$A$2:$E$62,3,FALSE())</f>
        <v>Electronics</v>
      </c>
      <c r="L2805" s="1" t="str">
        <f aca="false">TEXT(D2805,"yyyy-mm")</f>
        <v>2023-06</v>
      </c>
    </row>
    <row r="2806" customFormat="false" ht="15" hidden="false" customHeight="true" outlineLevel="0" collapsed="false">
      <c r="A2806" s="1" t="n">
        <v>2870</v>
      </c>
      <c r="B2806" s="1" t="n">
        <v>385</v>
      </c>
      <c r="C2806" s="1" t="n">
        <v>30</v>
      </c>
      <c r="D2806" s="1" t="s">
        <v>1244</v>
      </c>
      <c r="E2806" s="1" t="n">
        <v>4</v>
      </c>
      <c r="F2806" s="1" t="n">
        <v>33.32</v>
      </c>
      <c r="G2806" s="1" t="n">
        <v>0.15</v>
      </c>
      <c r="H2806" s="1" t="s">
        <v>1336</v>
      </c>
      <c r="I2806" s="1" t="n">
        <v>113.29</v>
      </c>
      <c r="J2806" s="1" t="str">
        <f aca="false">VLOOKUP(B2806,Customers!$A$2:$G$502,6,FALSE())</f>
        <v>Small Business</v>
      </c>
      <c r="K2806" s="1" t="str">
        <f aca="false">VLOOKUP(C2806,Products!$A$2:$E$62,3,FALSE())</f>
        <v>Office Supplies</v>
      </c>
      <c r="L2806" s="1" t="str">
        <f aca="false">TEXT(D2806,"yyyy-mm")</f>
        <v>2024-10</v>
      </c>
    </row>
    <row r="2807" customFormat="false" ht="15" hidden="false" customHeight="true" outlineLevel="0" collapsed="false">
      <c r="A2807" s="1" t="n">
        <v>2871</v>
      </c>
      <c r="B2807" s="1" t="n">
        <v>294</v>
      </c>
      <c r="C2807" s="1" t="n">
        <v>36</v>
      </c>
      <c r="D2807" s="1" t="s">
        <v>1219</v>
      </c>
      <c r="E2807" s="1" t="n">
        <v>2</v>
      </c>
      <c r="F2807" s="1" t="n">
        <v>424.45</v>
      </c>
      <c r="G2807" s="1" t="n">
        <v>0.15</v>
      </c>
      <c r="H2807" s="1" t="s">
        <v>1336</v>
      </c>
      <c r="I2807" s="1" t="n">
        <v>721.56</v>
      </c>
      <c r="J2807" s="1" t="str">
        <f aca="false">VLOOKUP(B2807,Customers!$A$2:$G$502,6,FALSE())</f>
        <v>Consumer</v>
      </c>
      <c r="K2807" s="1" t="str">
        <f aca="false">VLOOKUP(C2807,Products!$A$2:$E$62,3,FALSE())</f>
        <v>Software</v>
      </c>
      <c r="L2807" s="1" t="str">
        <f aca="false">TEXT(D2807,"yyyy-mm")</f>
        <v>2024-10</v>
      </c>
    </row>
    <row r="2808" customFormat="false" ht="15" hidden="false" customHeight="true" outlineLevel="0" collapsed="false">
      <c r="A2808" s="1" t="n">
        <v>2872</v>
      </c>
      <c r="B2808" s="1" t="n">
        <v>428</v>
      </c>
      <c r="C2808" s="1" t="n">
        <v>50</v>
      </c>
      <c r="D2808" s="1" t="s">
        <v>1395</v>
      </c>
      <c r="E2808" s="1" t="n">
        <v>3</v>
      </c>
      <c r="F2808" s="1" t="n">
        <v>19.73</v>
      </c>
      <c r="G2808" s="1" t="n">
        <v>0</v>
      </c>
      <c r="H2808" s="1" t="s">
        <v>1336</v>
      </c>
      <c r="I2808" s="1" t="n">
        <v>59.19</v>
      </c>
      <c r="J2808" s="1" t="str">
        <f aca="false">VLOOKUP(B2808,Customers!$A$2:$G$502,6,FALSE())</f>
        <v>Corporate</v>
      </c>
      <c r="K2808" s="1" t="str">
        <f aca="false">VLOOKUP(C2808,Products!$A$2:$E$62,3,FALSE())</f>
        <v>Software</v>
      </c>
      <c r="L2808" s="1" t="str">
        <f aca="false">TEXT(D2808,"yyyy-mm")</f>
        <v>2023-04</v>
      </c>
    </row>
    <row r="2809" customFormat="false" ht="15" hidden="false" customHeight="true" outlineLevel="0" collapsed="false">
      <c r="A2809" s="1" t="n">
        <v>2873</v>
      </c>
      <c r="B2809" s="1" t="n">
        <v>417</v>
      </c>
      <c r="C2809" s="1" t="n">
        <v>22</v>
      </c>
      <c r="D2809" s="1" t="s">
        <v>786</v>
      </c>
      <c r="E2809" s="1" t="n">
        <v>3</v>
      </c>
      <c r="F2809" s="1" t="n">
        <v>38.57</v>
      </c>
      <c r="G2809" s="1" t="n">
        <v>0.2</v>
      </c>
      <c r="H2809" s="1" t="s">
        <v>1336</v>
      </c>
      <c r="I2809" s="1" t="n">
        <v>92.57</v>
      </c>
      <c r="J2809" s="1" t="str">
        <f aca="false">VLOOKUP(B2809,Customers!$A$2:$G$502,6,FALSE())</f>
        <v>Consumer</v>
      </c>
      <c r="K2809" s="1" t="str">
        <f aca="false">VLOOKUP(C2809,Products!$A$2:$E$62,3,FALSE())</f>
        <v>Office Supplies</v>
      </c>
      <c r="L2809" s="1" t="str">
        <f aca="false">TEXT(D2809,"yyyy-mm")</f>
        <v>2024-07</v>
      </c>
    </row>
    <row r="2810" customFormat="false" ht="15" hidden="false" customHeight="true" outlineLevel="0" collapsed="false">
      <c r="A2810" s="1" t="n">
        <v>2874</v>
      </c>
      <c r="B2810" s="1" t="n">
        <v>190</v>
      </c>
      <c r="C2810" s="1" t="n">
        <v>51</v>
      </c>
      <c r="D2810" s="1" t="s">
        <v>1526</v>
      </c>
      <c r="E2810" s="1" t="n">
        <v>1</v>
      </c>
      <c r="F2810" s="1" t="n">
        <v>30.16</v>
      </c>
      <c r="G2810" s="1" t="n">
        <v>0.2</v>
      </c>
      <c r="H2810" s="1" t="s">
        <v>1336</v>
      </c>
      <c r="I2810" s="1" t="n">
        <v>24.13</v>
      </c>
      <c r="J2810" s="1" t="str">
        <f aca="false">VLOOKUP(B2810,Customers!$A$2:$G$502,6,FALSE())</f>
        <v>Corporate</v>
      </c>
      <c r="K2810" s="1" t="str">
        <f aca="false">VLOOKUP(C2810,Products!$A$2:$E$62,3,FALSE())</f>
        <v>Software</v>
      </c>
      <c r="L2810" s="1" t="str">
        <f aca="false">TEXT(D2810,"yyyy-mm")</f>
        <v>2023-09</v>
      </c>
    </row>
    <row r="2811" customFormat="false" ht="15" hidden="false" customHeight="true" outlineLevel="0" collapsed="false">
      <c r="A2811" s="1" t="n">
        <v>2875</v>
      </c>
      <c r="B2811" s="1" t="n">
        <v>54</v>
      </c>
      <c r="C2811" s="1" t="n">
        <v>18</v>
      </c>
      <c r="D2811" s="1" t="s">
        <v>1681</v>
      </c>
      <c r="E2811" s="1" t="n">
        <v>6</v>
      </c>
      <c r="F2811" s="1" t="n">
        <v>747.34</v>
      </c>
      <c r="G2811" s="1" t="n">
        <v>0.2</v>
      </c>
      <c r="H2811" s="1" t="s">
        <v>1370</v>
      </c>
      <c r="I2811" s="1" t="n">
        <v>3587.23</v>
      </c>
      <c r="J2811" s="1" t="str">
        <f aca="false">VLOOKUP(B2811,Customers!$A$2:$G$502,6,FALSE())</f>
        <v>Consumer</v>
      </c>
      <c r="K2811" s="1" t="str">
        <f aca="false">VLOOKUP(C2811,Products!$A$2:$E$62,3,FALSE())</f>
        <v>Electronics</v>
      </c>
      <c r="L2811" s="1" t="str">
        <f aca="false">TEXT(D2811,"yyyy-mm")</f>
        <v>2024-04</v>
      </c>
    </row>
    <row r="2812" customFormat="false" ht="15" hidden="false" customHeight="true" outlineLevel="0" collapsed="false">
      <c r="A2812" s="1" t="n">
        <v>2876</v>
      </c>
      <c r="B2812" s="1" t="n">
        <v>190</v>
      </c>
      <c r="C2812" s="1" t="n">
        <v>11</v>
      </c>
      <c r="D2812" s="1" t="s">
        <v>1521</v>
      </c>
      <c r="E2812" s="1" t="n">
        <v>8</v>
      </c>
      <c r="F2812" s="1" t="n">
        <v>328.39</v>
      </c>
      <c r="G2812" s="1" t="n">
        <v>0.05</v>
      </c>
      <c r="H2812" s="1" t="s">
        <v>1336</v>
      </c>
      <c r="I2812" s="1" t="n">
        <v>2495.76</v>
      </c>
      <c r="J2812" s="1" t="str">
        <f aca="false">VLOOKUP(B2812,Customers!$A$2:$G$502,6,FALSE())</f>
        <v>Corporate</v>
      </c>
      <c r="K2812" s="1" t="str">
        <f aca="false">VLOOKUP(C2812,Products!$A$2:$E$62,3,FALSE())</f>
        <v>Electronics</v>
      </c>
      <c r="L2812" s="1" t="str">
        <f aca="false">TEXT(D2812,"yyyy-mm")</f>
        <v>2023-10</v>
      </c>
    </row>
    <row r="2813" customFormat="false" ht="15" hidden="false" customHeight="true" outlineLevel="0" collapsed="false">
      <c r="A2813" s="1" t="n">
        <v>2877</v>
      </c>
      <c r="B2813" s="1" t="n">
        <v>369</v>
      </c>
      <c r="C2813" s="1" t="n">
        <v>21</v>
      </c>
      <c r="D2813" s="1" t="s">
        <v>170</v>
      </c>
      <c r="E2813" s="1" t="n">
        <v>3</v>
      </c>
      <c r="F2813" s="1" t="n">
        <v>84.91</v>
      </c>
      <c r="G2813" s="1" t="n">
        <v>0</v>
      </c>
      <c r="H2813" s="1" t="s">
        <v>1336</v>
      </c>
      <c r="I2813" s="1" t="n">
        <v>254.73</v>
      </c>
      <c r="J2813" s="1" t="str">
        <f aca="false">VLOOKUP(B2813,Customers!$A$2:$G$502,6,FALSE())</f>
        <v>Corporate</v>
      </c>
      <c r="K2813" s="1" t="str">
        <f aca="false">VLOOKUP(C2813,Products!$A$2:$E$62,3,FALSE())</f>
        <v>Office Supplies</v>
      </c>
      <c r="L2813" s="1" t="str">
        <f aca="false">TEXT(D2813,"yyyy-mm")</f>
        <v>2024-11</v>
      </c>
    </row>
    <row r="2814" customFormat="false" ht="15" hidden="false" customHeight="true" outlineLevel="0" collapsed="false">
      <c r="A2814" s="1" t="n">
        <v>2878</v>
      </c>
      <c r="B2814" s="1" t="n">
        <v>209</v>
      </c>
      <c r="C2814" s="1" t="n">
        <v>9</v>
      </c>
      <c r="D2814" s="1" t="s">
        <v>1538</v>
      </c>
      <c r="E2814" s="1" t="n">
        <v>5</v>
      </c>
      <c r="F2814" s="1" t="n">
        <v>203.1</v>
      </c>
      <c r="G2814" s="1" t="n">
        <v>0.2</v>
      </c>
      <c r="H2814" s="1" t="s">
        <v>1336</v>
      </c>
      <c r="I2814" s="1" t="n">
        <v>812.4</v>
      </c>
      <c r="J2814" s="1" t="str">
        <f aca="false">VLOOKUP(B2814,Customers!$A$2:$G$502,6,FALSE())</f>
        <v>Small Business</v>
      </c>
      <c r="K2814" s="1" t="str">
        <f aca="false">VLOOKUP(C2814,Products!$A$2:$E$62,3,FALSE())</f>
        <v>Electronics</v>
      </c>
      <c r="L2814" s="1" t="str">
        <f aca="false">TEXT(D2814,"yyyy-mm")</f>
        <v>2024-10</v>
      </c>
    </row>
    <row r="2815" customFormat="false" ht="15" hidden="false" customHeight="true" outlineLevel="0" collapsed="false">
      <c r="A2815" s="1" t="n">
        <v>2879</v>
      </c>
      <c r="B2815" s="1" t="n">
        <v>104</v>
      </c>
      <c r="C2815" s="1" t="n">
        <v>57</v>
      </c>
      <c r="D2815" s="1" t="s">
        <v>881</v>
      </c>
      <c r="E2815" s="1" t="n">
        <v>1</v>
      </c>
      <c r="F2815" s="1" t="n">
        <v>719.76</v>
      </c>
      <c r="G2815" s="1" t="n">
        <v>0.2</v>
      </c>
      <c r="H2815" s="1" t="s">
        <v>1370</v>
      </c>
      <c r="I2815" s="1" t="n">
        <v>575.81</v>
      </c>
      <c r="J2815" s="1" t="str">
        <f aca="false">VLOOKUP(B2815,Customers!$A$2:$G$502,6,FALSE())</f>
        <v>Corporate</v>
      </c>
      <c r="K2815" s="1" t="str">
        <f aca="false">VLOOKUP(C2815,Products!$A$2:$E$62,3,FALSE())</f>
        <v>Furniture</v>
      </c>
      <c r="L2815" s="1" t="str">
        <f aca="false">TEXT(D2815,"yyyy-mm")</f>
        <v>2024-12</v>
      </c>
    </row>
    <row r="2816" customFormat="false" ht="15" hidden="false" customHeight="true" outlineLevel="0" collapsed="false">
      <c r="A2816" s="1" t="n">
        <v>2880</v>
      </c>
      <c r="B2816" s="1" t="n">
        <v>174</v>
      </c>
      <c r="C2816" s="1" t="n">
        <v>31</v>
      </c>
      <c r="D2816" s="1" t="s">
        <v>1498</v>
      </c>
      <c r="E2816" s="1" t="n">
        <v>7</v>
      </c>
      <c r="F2816" s="1" t="n">
        <v>224.86</v>
      </c>
      <c r="G2816" s="1" t="n">
        <v>0</v>
      </c>
      <c r="H2816" s="1" t="s">
        <v>1336</v>
      </c>
      <c r="I2816" s="1" t="n">
        <v>1574.02</v>
      </c>
      <c r="J2816" s="1" t="str">
        <f aca="false">VLOOKUP(B2816,Customers!$A$2:$G$502,6,FALSE())</f>
        <v>Small Business</v>
      </c>
      <c r="K2816" s="1" t="str">
        <f aca="false">VLOOKUP(C2816,Products!$A$2:$E$62,3,FALSE())</f>
        <v>Office Supplies</v>
      </c>
      <c r="L2816" s="1" t="str">
        <f aca="false">TEXT(D2816,"yyyy-mm")</f>
        <v>2023-03</v>
      </c>
    </row>
    <row r="2817" customFormat="false" ht="15" hidden="false" customHeight="true" outlineLevel="0" collapsed="false">
      <c r="A2817" s="1" t="n">
        <v>2881</v>
      </c>
      <c r="B2817" s="1" t="n">
        <v>101</v>
      </c>
      <c r="C2817" s="1" t="n">
        <v>48</v>
      </c>
      <c r="D2817" s="1" t="s">
        <v>272</v>
      </c>
      <c r="E2817" s="1" t="n">
        <v>1</v>
      </c>
      <c r="F2817" s="1" t="n">
        <v>493.53</v>
      </c>
      <c r="G2817" s="1" t="n">
        <v>0.1</v>
      </c>
      <c r="H2817" s="1" t="s">
        <v>1346</v>
      </c>
      <c r="I2817" s="1" t="n">
        <v>444.18</v>
      </c>
      <c r="J2817" s="1" t="str">
        <f aca="false">VLOOKUP(B2817,Customers!$A$2:$G$502,6,FALSE())</f>
        <v>Corporate</v>
      </c>
      <c r="K2817" s="1" t="str">
        <f aca="false">VLOOKUP(C2817,Products!$A$2:$E$62,3,FALSE())</f>
        <v>Software</v>
      </c>
      <c r="L2817" s="1" t="str">
        <f aca="false">TEXT(D2817,"yyyy-mm")</f>
        <v>2024-10</v>
      </c>
    </row>
    <row r="2818" customFormat="false" ht="15" hidden="false" customHeight="true" outlineLevel="0" collapsed="false">
      <c r="A2818" s="1" t="n">
        <v>2882</v>
      </c>
      <c r="B2818" s="1" t="n">
        <v>211</v>
      </c>
      <c r="C2818" s="1" t="n">
        <v>36</v>
      </c>
      <c r="D2818" s="1" t="s">
        <v>325</v>
      </c>
      <c r="E2818" s="1" t="n">
        <v>9</v>
      </c>
      <c r="F2818" s="1" t="n">
        <v>424.45</v>
      </c>
      <c r="G2818" s="1" t="n">
        <v>0.1</v>
      </c>
      <c r="H2818" s="1" t="s">
        <v>1336</v>
      </c>
      <c r="I2818" s="1" t="n">
        <v>3438.04</v>
      </c>
      <c r="J2818" s="1" t="str">
        <f aca="false">VLOOKUP(B2818,Customers!$A$2:$G$502,6,FALSE())</f>
        <v>Consumer</v>
      </c>
      <c r="K2818" s="1" t="str">
        <f aca="false">VLOOKUP(C2818,Products!$A$2:$E$62,3,FALSE())</f>
        <v>Software</v>
      </c>
      <c r="L2818" s="1" t="str">
        <f aca="false">TEXT(D2818,"yyyy-mm")</f>
        <v>2023-12</v>
      </c>
    </row>
    <row r="2819" customFormat="false" ht="15" hidden="false" customHeight="true" outlineLevel="0" collapsed="false">
      <c r="A2819" s="1" t="n">
        <v>2883</v>
      </c>
      <c r="B2819" s="1" t="n">
        <v>52</v>
      </c>
      <c r="C2819" s="1" t="n">
        <v>26</v>
      </c>
      <c r="D2819" s="1" t="s">
        <v>205</v>
      </c>
      <c r="E2819" s="1" t="n">
        <v>8</v>
      </c>
      <c r="F2819" s="1" t="n">
        <v>733.85</v>
      </c>
      <c r="G2819" s="1" t="n">
        <v>0</v>
      </c>
      <c r="H2819" s="1" t="s">
        <v>1336</v>
      </c>
      <c r="I2819" s="1" t="n">
        <v>5870.8</v>
      </c>
      <c r="J2819" s="1" t="str">
        <f aca="false">VLOOKUP(B2819,Customers!$A$2:$G$502,6,FALSE())</f>
        <v>Small Business</v>
      </c>
      <c r="K2819" s="1" t="str">
        <f aca="false">VLOOKUP(C2819,Products!$A$2:$E$62,3,FALSE())</f>
        <v>Office Supplies</v>
      </c>
      <c r="L2819" s="1" t="str">
        <f aca="false">TEXT(D2819,"yyyy-mm")</f>
        <v>2024-07</v>
      </c>
    </row>
    <row r="2820" customFormat="false" ht="15" hidden="false" customHeight="true" outlineLevel="0" collapsed="false">
      <c r="A2820" s="1" t="n">
        <v>2884</v>
      </c>
      <c r="B2820" s="1" t="n">
        <v>386</v>
      </c>
      <c r="C2820" s="1" t="n">
        <v>57</v>
      </c>
      <c r="D2820" s="1" t="s">
        <v>828</v>
      </c>
      <c r="E2820" s="1" t="n">
        <v>7</v>
      </c>
      <c r="F2820" s="1" t="n">
        <v>719.76</v>
      </c>
      <c r="G2820" s="1" t="n">
        <v>0.2</v>
      </c>
      <c r="H2820" s="1" t="s">
        <v>1336</v>
      </c>
      <c r="I2820" s="1" t="n">
        <v>4030.66</v>
      </c>
      <c r="J2820" s="1" t="str">
        <f aca="false">VLOOKUP(B2820,Customers!$A$2:$G$502,6,FALSE())</f>
        <v>Consumer</v>
      </c>
      <c r="K2820" s="1" t="str">
        <f aca="false">VLOOKUP(C2820,Products!$A$2:$E$62,3,FALSE())</f>
        <v>Furniture</v>
      </c>
      <c r="L2820" s="1" t="str">
        <f aca="false">TEXT(D2820,"yyyy-mm")</f>
        <v>2024-07</v>
      </c>
    </row>
    <row r="2821" customFormat="false" ht="15" hidden="false" customHeight="true" outlineLevel="0" collapsed="false">
      <c r="A2821" s="1" t="n">
        <v>2885</v>
      </c>
      <c r="B2821" s="1" t="n">
        <v>485</v>
      </c>
      <c r="C2821" s="1" t="n">
        <v>33</v>
      </c>
      <c r="D2821" s="1" t="s">
        <v>1453</v>
      </c>
      <c r="E2821" s="1" t="n">
        <v>7</v>
      </c>
      <c r="F2821" s="1" t="n">
        <v>190.1</v>
      </c>
      <c r="G2821" s="1" t="n">
        <v>0</v>
      </c>
      <c r="H2821" s="1" t="s">
        <v>1336</v>
      </c>
      <c r="I2821" s="1" t="n">
        <v>1330.7</v>
      </c>
      <c r="J2821" s="1" t="str">
        <f aca="false">VLOOKUP(B2821,Customers!$A$2:$G$502,6,FALSE())</f>
        <v>Corporate</v>
      </c>
      <c r="K2821" s="1" t="str">
        <f aca="false">VLOOKUP(C2821,Products!$A$2:$E$62,3,FALSE())</f>
        <v>Office Supplies</v>
      </c>
      <c r="L2821" s="1" t="str">
        <f aca="false">TEXT(D2821,"yyyy-mm")</f>
        <v>2023-03</v>
      </c>
    </row>
    <row r="2822" customFormat="false" ht="15" hidden="false" customHeight="true" outlineLevel="0" collapsed="false">
      <c r="A2822" s="1" t="n">
        <v>2886</v>
      </c>
      <c r="B2822" s="1" t="n">
        <v>46</v>
      </c>
      <c r="C2822" s="1" t="n">
        <v>2</v>
      </c>
      <c r="D2822" s="1" t="s">
        <v>12</v>
      </c>
      <c r="E2822" s="1" t="n">
        <v>5</v>
      </c>
      <c r="F2822" s="1" t="n">
        <v>498.15</v>
      </c>
      <c r="G2822" s="1" t="n">
        <v>0</v>
      </c>
      <c r="H2822" s="1" t="s">
        <v>1336</v>
      </c>
      <c r="I2822" s="1" t="n">
        <v>2490.75</v>
      </c>
      <c r="J2822" s="1" t="str">
        <f aca="false">VLOOKUP(B2822,Customers!$A$2:$G$502,6,FALSE())</f>
        <v>Consumer</v>
      </c>
      <c r="K2822" s="1" t="str">
        <f aca="false">VLOOKUP(C2822,Products!$A$2:$E$62,3,FALSE())</f>
        <v>Electronics</v>
      </c>
      <c r="L2822" s="1" t="str">
        <f aca="false">TEXT(D2822,"yyyy-mm")</f>
        <v>2023-09</v>
      </c>
    </row>
    <row r="2823" customFormat="false" ht="15" hidden="false" customHeight="true" outlineLevel="0" collapsed="false">
      <c r="A2823" s="1" t="n">
        <v>2887</v>
      </c>
      <c r="B2823" s="1" t="n">
        <v>354</v>
      </c>
      <c r="C2823" s="1" t="n">
        <v>11</v>
      </c>
      <c r="D2823" s="1" t="s">
        <v>1696</v>
      </c>
      <c r="E2823" s="1" t="n">
        <v>5</v>
      </c>
      <c r="F2823" s="1" t="n">
        <v>328.39</v>
      </c>
      <c r="G2823" s="1" t="n">
        <v>0</v>
      </c>
      <c r="H2823" s="1" t="s">
        <v>1336</v>
      </c>
      <c r="I2823" s="1" t="n">
        <v>1641.95</v>
      </c>
      <c r="J2823" s="1" t="str">
        <f aca="false">VLOOKUP(B2823,Customers!$A$2:$G$502,6,FALSE())</f>
        <v>Consumer</v>
      </c>
      <c r="K2823" s="1" t="str">
        <f aca="false">VLOOKUP(C2823,Products!$A$2:$E$62,3,FALSE())</f>
        <v>Electronics</v>
      </c>
      <c r="L2823" s="1" t="str">
        <f aca="false">TEXT(D2823,"yyyy-mm")</f>
        <v>2023-01</v>
      </c>
    </row>
    <row r="2824" customFormat="false" ht="15" hidden="false" customHeight="true" outlineLevel="0" collapsed="false">
      <c r="A2824" s="1" t="n">
        <v>2888</v>
      </c>
      <c r="B2824" s="1" t="n">
        <v>463</v>
      </c>
      <c r="C2824" s="1" t="n">
        <v>46</v>
      </c>
      <c r="D2824" s="1" t="s">
        <v>499</v>
      </c>
      <c r="E2824" s="1" t="n">
        <v>5</v>
      </c>
      <c r="F2824" s="1" t="n">
        <v>94.92</v>
      </c>
      <c r="G2824" s="1" t="n">
        <v>0.1</v>
      </c>
      <c r="H2824" s="1" t="s">
        <v>1346</v>
      </c>
      <c r="I2824" s="1" t="n">
        <v>427.14</v>
      </c>
      <c r="J2824" s="1" t="str">
        <f aca="false">VLOOKUP(B2824,Customers!$A$2:$G$502,6,FALSE())</f>
        <v>Consumer</v>
      </c>
      <c r="K2824" s="1" t="str">
        <f aca="false">VLOOKUP(C2824,Products!$A$2:$E$62,3,FALSE())</f>
        <v>Software</v>
      </c>
      <c r="L2824" s="1" t="str">
        <f aca="false">TEXT(D2824,"yyyy-mm")</f>
        <v>2023-01</v>
      </c>
    </row>
    <row r="2825" customFormat="false" ht="15" hidden="false" customHeight="true" outlineLevel="0" collapsed="false">
      <c r="A2825" s="1" t="n">
        <v>2889</v>
      </c>
      <c r="B2825" s="1" t="n">
        <v>68</v>
      </c>
      <c r="C2825" s="1" t="n">
        <v>8</v>
      </c>
      <c r="D2825" s="1" t="s">
        <v>1124</v>
      </c>
      <c r="E2825" s="1" t="n">
        <v>1</v>
      </c>
      <c r="F2825" s="1" t="n">
        <v>104.4</v>
      </c>
      <c r="G2825" s="1" t="n">
        <v>0.05</v>
      </c>
      <c r="H2825" s="1" t="s">
        <v>1336</v>
      </c>
      <c r="I2825" s="1" t="n">
        <v>99.18</v>
      </c>
      <c r="J2825" s="1" t="str">
        <f aca="false">VLOOKUP(B2825,Customers!$A$2:$G$502,6,FALSE())</f>
        <v>Corporate</v>
      </c>
      <c r="K2825" s="1" t="str">
        <f aca="false">VLOOKUP(C2825,Products!$A$2:$E$62,3,FALSE())</f>
        <v>Electronics</v>
      </c>
      <c r="L2825" s="1" t="str">
        <f aca="false">TEXT(D2825,"yyyy-mm")</f>
        <v>2023-10</v>
      </c>
    </row>
    <row r="2826" customFormat="false" ht="15" hidden="false" customHeight="true" outlineLevel="0" collapsed="false">
      <c r="A2826" s="1" t="n">
        <v>2890</v>
      </c>
      <c r="B2826" s="1" t="n">
        <v>204</v>
      </c>
      <c r="C2826" s="1" t="n">
        <v>12</v>
      </c>
      <c r="D2826" s="1" t="s">
        <v>1469</v>
      </c>
      <c r="E2826" s="1" t="n">
        <v>8</v>
      </c>
      <c r="F2826" s="1" t="n">
        <v>179.23</v>
      </c>
      <c r="G2826" s="1" t="n">
        <v>0.15</v>
      </c>
      <c r="H2826" s="1" t="s">
        <v>1336</v>
      </c>
      <c r="I2826" s="1" t="n">
        <v>1218.76</v>
      </c>
      <c r="J2826" s="1" t="str">
        <f aca="false">VLOOKUP(B2826,Customers!$A$2:$G$502,6,FALSE())</f>
        <v>Small Business</v>
      </c>
      <c r="K2826" s="1" t="str">
        <f aca="false">VLOOKUP(C2826,Products!$A$2:$E$62,3,FALSE())</f>
        <v>Electronics</v>
      </c>
      <c r="L2826" s="1" t="str">
        <f aca="false">TEXT(D2826,"yyyy-mm")</f>
        <v>2023-11</v>
      </c>
    </row>
    <row r="2827" customFormat="false" ht="15" hidden="false" customHeight="true" outlineLevel="0" collapsed="false">
      <c r="A2827" s="1" t="n">
        <v>2891</v>
      </c>
      <c r="B2827" s="1" t="n">
        <v>85</v>
      </c>
      <c r="C2827" s="1" t="n">
        <v>25</v>
      </c>
      <c r="D2827" s="1" t="s">
        <v>1642</v>
      </c>
      <c r="E2827" s="1" t="n">
        <v>1</v>
      </c>
      <c r="F2827" s="1" t="n">
        <v>300.49</v>
      </c>
      <c r="G2827" s="1" t="n">
        <v>0</v>
      </c>
      <c r="H2827" s="1" t="s">
        <v>1336</v>
      </c>
      <c r="I2827" s="1" t="n">
        <v>300.49</v>
      </c>
      <c r="J2827" s="1" t="str">
        <f aca="false">VLOOKUP(B2827,Customers!$A$2:$G$502,6,FALSE())</f>
        <v>Consumer</v>
      </c>
      <c r="K2827" s="1" t="str">
        <f aca="false">VLOOKUP(C2827,Products!$A$2:$E$62,3,FALSE())</f>
        <v>Office Supplies</v>
      </c>
      <c r="L2827" s="1" t="str">
        <f aca="false">TEXT(D2827,"yyyy-mm")</f>
        <v>2024-12</v>
      </c>
    </row>
    <row r="2828" customFormat="false" ht="15" hidden="false" customHeight="true" outlineLevel="0" collapsed="false">
      <c r="A2828" s="1" t="n">
        <v>2892</v>
      </c>
      <c r="B2828" s="1" t="n">
        <v>56</v>
      </c>
      <c r="C2828" s="1" t="n">
        <v>30</v>
      </c>
      <c r="D2828" s="1" t="s">
        <v>1528</v>
      </c>
      <c r="E2828" s="1" t="n">
        <v>4</v>
      </c>
      <c r="F2828" s="1" t="n">
        <v>33.32</v>
      </c>
      <c r="G2828" s="1" t="n">
        <v>0.15</v>
      </c>
      <c r="H2828" s="1" t="s">
        <v>1346</v>
      </c>
      <c r="I2828" s="1" t="n">
        <v>113.29</v>
      </c>
      <c r="J2828" s="1" t="str">
        <f aca="false">VLOOKUP(B2828,Customers!$A$2:$G$502,6,FALSE())</f>
        <v>Corporate</v>
      </c>
      <c r="K2828" s="1" t="str">
        <f aca="false">VLOOKUP(C2828,Products!$A$2:$E$62,3,FALSE())</f>
        <v>Office Supplies</v>
      </c>
      <c r="L2828" s="1" t="str">
        <f aca="false">TEXT(D2828,"yyyy-mm")</f>
        <v>2023-05</v>
      </c>
    </row>
    <row r="2829" customFormat="false" ht="15" hidden="false" customHeight="true" outlineLevel="0" collapsed="false">
      <c r="A2829" s="1" t="n">
        <v>2893</v>
      </c>
      <c r="B2829" s="1" t="n">
        <v>6</v>
      </c>
      <c r="C2829" s="1" t="n">
        <v>14</v>
      </c>
      <c r="D2829" s="1" t="s">
        <v>1629</v>
      </c>
      <c r="E2829" s="1" t="n">
        <v>9</v>
      </c>
      <c r="F2829" s="1" t="n">
        <v>135.27</v>
      </c>
      <c r="G2829" s="1" t="n">
        <v>0.2</v>
      </c>
      <c r="H2829" s="1" t="s">
        <v>1336</v>
      </c>
      <c r="I2829" s="1" t="n">
        <v>973.94</v>
      </c>
      <c r="J2829" s="1" t="str">
        <f aca="false">VLOOKUP(B2829,Customers!$A$2:$G$502,6,FALSE())</f>
        <v>Corporate</v>
      </c>
      <c r="K2829" s="1" t="str">
        <f aca="false">VLOOKUP(C2829,Products!$A$2:$E$62,3,FALSE())</f>
        <v>Electronics</v>
      </c>
      <c r="L2829" s="1" t="str">
        <f aca="false">TEXT(D2829,"yyyy-mm")</f>
        <v>2024-02</v>
      </c>
    </row>
    <row r="2830" customFormat="false" ht="15" hidden="false" customHeight="true" outlineLevel="0" collapsed="false">
      <c r="A2830" s="1" t="n">
        <v>2894</v>
      </c>
      <c r="B2830" s="1" t="n">
        <v>57</v>
      </c>
      <c r="C2830" s="1" t="n">
        <v>12</v>
      </c>
      <c r="D2830" s="1" t="s">
        <v>713</v>
      </c>
      <c r="E2830" s="1" t="n">
        <v>9</v>
      </c>
      <c r="F2830" s="1" t="n">
        <v>179.23</v>
      </c>
      <c r="G2830" s="1" t="n">
        <v>0.05</v>
      </c>
      <c r="H2830" s="1" t="s">
        <v>1336</v>
      </c>
      <c r="I2830" s="1" t="n">
        <v>1532.42</v>
      </c>
      <c r="J2830" s="1" t="str">
        <f aca="false">VLOOKUP(B2830,Customers!$A$2:$G$502,6,FALSE())</f>
        <v>Consumer</v>
      </c>
      <c r="K2830" s="1" t="str">
        <f aca="false">VLOOKUP(C2830,Products!$A$2:$E$62,3,FALSE())</f>
        <v>Electronics</v>
      </c>
      <c r="L2830" s="1" t="str">
        <f aca="false">TEXT(D2830,"yyyy-mm")</f>
        <v>2024-10</v>
      </c>
    </row>
    <row r="2831" customFormat="false" ht="15" hidden="false" customHeight="true" outlineLevel="0" collapsed="false">
      <c r="A2831" s="1" t="n">
        <v>2895</v>
      </c>
      <c r="B2831" s="1" t="n">
        <v>318</v>
      </c>
      <c r="C2831" s="1" t="n">
        <v>27</v>
      </c>
      <c r="D2831" s="1" t="s">
        <v>387</v>
      </c>
      <c r="E2831" s="1" t="n">
        <v>5</v>
      </c>
      <c r="F2831" s="1" t="n">
        <v>772.58</v>
      </c>
      <c r="G2831" s="1" t="n">
        <v>0.15</v>
      </c>
      <c r="H2831" s="1" t="s">
        <v>1336</v>
      </c>
      <c r="I2831" s="1" t="n">
        <v>3283.46</v>
      </c>
      <c r="J2831" s="1" t="str">
        <f aca="false">VLOOKUP(B2831,Customers!$A$2:$G$502,6,FALSE())</f>
        <v>Consumer</v>
      </c>
      <c r="K2831" s="1" t="str">
        <f aca="false">VLOOKUP(C2831,Products!$A$2:$E$62,3,FALSE())</f>
        <v>Office Supplies</v>
      </c>
      <c r="L2831" s="1" t="str">
        <f aca="false">TEXT(D2831,"yyyy-mm")</f>
        <v>2024-04</v>
      </c>
    </row>
    <row r="2832" customFormat="false" ht="15" hidden="false" customHeight="true" outlineLevel="0" collapsed="false">
      <c r="A2832" s="1" t="n">
        <v>2896</v>
      </c>
      <c r="B2832" s="1" t="n">
        <v>113</v>
      </c>
      <c r="C2832" s="1" t="n">
        <v>39</v>
      </c>
      <c r="D2832" s="1" t="s">
        <v>946</v>
      </c>
      <c r="E2832" s="1" t="n">
        <v>4</v>
      </c>
      <c r="F2832" s="1" t="n">
        <v>400.02</v>
      </c>
      <c r="G2832" s="1" t="n">
        <v>0</v>
      </c>
      <c r="H2832" s="1" t="s">
        <v>1336</v>
      </c>
      <c r="I2832" s="1" t="n">
        <v>1600.08</v>
      </c>
      <c r="J2832" s="1" t="str">
        <f aca="false">VLOOKUP(B2832,Customers!$A$2:$G$502,6,FALSE())</f>
        <v>Small Business</v>
      </c>
      <c r="K2832" s="1" t="str">
        <f aca="false">VLOOKUP(C2832,Products!$A$2:$E$62,3,FALSE())</f>
        <v>Software</v>
      </c>
      <c r="L2832" s="1" t="str">
        <f aca="false">TEXT(D2832,"yyyy-mm")</f>
        <v>2023-04</v>
      </c>
    </row>
    <row r="2833" customFormat="false" ht="15" hidden="false" customHeight="true" outlineLevel="0" collapsed="false">
      <c r="A2833" s="1" t="n">
        <v>2897</v>
      </c>
      <c r="B2833" s="1" t="n">
        <v>293</v>
      </c>
      <c r="C2833" s="1" t="n">
        <v>2</v>
      </c>
      <c r="D2833" s="1" t="s">
        <v>263</v>
      </c>
      <c r="E2833" s="1" t="n">
        <v>3</v>
      </c>
      <c r="F2833" s="1" t="n">
        <v>498.15</v>
      </c>
      <c r="G2833" s="1" t="n">
        <v>0.05</v>
      </c>
      <c r="H2833" s="1" t="s">
        <v>1336</v>
      </c>
      <c r="I2833" s="1" t="n">
        <v>1419.73</v>
      </c>
      <c r="J2833" s="1" t="str">
        <f aca="false">VLOOKUP(B2833,Customers!$A$2:$G$502,6,FALSE())</f>
        <v>Small Business</v>
      </c>
      <c r="K2833" s="1" t="str">
        <f aca="false">VLOOKUP(C2833,Products!$A$2:$E$62,3,FALSE())</f>
        <v>Electronics</v>
      </c>
      <c r="L2833" s="1" t="str">
        <f aca="false">TEXT(D2833,"yyyy-mm")</f>
        <v>2023-04</v>
      </c>
    </row>
    <row r="2834" customFormat="false" ht="15" hidden="false" customHeight="true" outlineLevel="0" collapsed="false">
      <c r="A2834" s="1" t="n">
        <v>2898</v>
      </c>
      <c r="B2834" s="1" t="n">
        <v>18</v>
      </c>
      <c r="C2834" s="1" t="n">
        <v>49</v>
      </c>
      <c r="D2834" s="1" t="s">
        <v>1498</v>
      </c>
      <c r="E2834" s="1" t="n">
        <v>3</v>
      </c>
      <c r="F2834" s="1" t="n">
        <v>325.17</v>
      </c>
      <c r="G2834" s="1" t="n">
        <v>0</v>
      </c>
      <c r="H2834" s="1" t="s">
        <v>1336</v>
      </c>
      <c r="I2834" s="1" t="n">
        <v>975.51</v>
      </c>
      <c r="J2834" s="1" t="str">
        <f aca="false">VLOOKUP(B2834,Customers!$A$2:$G$502,6,FALSE())</f>
        <v>Corporate</v>
      </c>
      <c r="K2834" s="1" t="str">
        <f aca="false">VLOOKUP(C2834,Products!$A$2:$E$62,3,FALSE())</f>
        <v>Software</v>
      </c>
      <c r="L2834" s="1" t="str">
        <f aca="false">TEXT(D2834,"yyyy-mm")</f>
        <v>2023-03</v>
      </c>
    </row>
    <row r="2835" customFormat="false" ht="15" hidden="false" customHeight="true" outlineLevel="0" collapsed="false">
      <c r="A2835" s="1" t="n">
        <v>2899</v>
      </c>
      <c r="B2835" s="1" t="n">
        <v>341</v>
      </c>
      <c r="C2835" s="1" t="n">
        <v>27</v>
      </c>
      <c r="D2835" s="1" t="s">
        <v>1086</v>
      </c>
      <c r="E2835" s="1" t="n">
        <v>5</v>
      </c>
      <c r="F2835" s="1" t="n">
        <v>772.58</v>
      </c>
      <c r="G2835" s="1" t="n">
        <v>0.15</v>
      </c>
      <c r="H2835" s="1" t="s">
        <v>1336</v>
      </c>
      <c r="I2835" s="1" t="n">
        <v>3283.46</v>
      </c>
      <c r="J2835" s="1" t="str">
        <f aca="false">VLOOKUP(B2835,Customers!$A$2:$G$502,6,FALSE())</f>
        <v>Small Business</v>
      </c>
      <c r="K2835" s="1" t="str">
        <f aca="false">VLOOKUP(C2835,Products!$A$2:$E$62,3,FALSE())</f>
        <v>Office Supplies</v>
      </c>
      <c r="L2835" s="1" t="str">
        <f aca="false">TEXT(D2835,"yyyy-mm")</f>
        <v>2024-05</v>
      </c>
    </row>
    <row r="2836" customFormat="false" ht="15" hidden="false" customHeight="true" outlineLevel="0" collapsed="false">
      <c r="A2836" s="1" t="n">
        <v>2900</v>
      </c>
      <c r="B2836" s="1" t="n">
        <v>145</v>
      </c>
      <c r="C2836" s="1" t="n">
        <v>3</v>
      </c>
      <c r="D2836" s="1" t="s">
        <v>786</v>
      </c>
      <c r="E2836" s="1" t="n">
        <v>1</v>
      </c>
      <c r="F2836" s="1" t="n">
        <v>89.39</v>
      </c>
      <c r="G2836" s="1" t="n">
        <v>0.1</v>
      </c>
      <c r="H2836" s="1" t="s">
        <v>1336</v>
      </c>
      <c r="I2836" s="1" t="n">
        <v>80.45</v>
      </c>
      <c r="J2836" s="1" t="str">
        <f aca="false">VLOOKUP(B2836,Customers!$A$2:$G$502,6,FALSE())</f>
        <v>Corporate</v>
      </c>
      <c r="K2836" s="1" t="str">
        <f aca="false">VLOOKUP(C2836,Products!$A$2:$E$62,3,FALSE())</f>
        <v>Electronics</v>
      </c>
      <c r="L2836" s="1" t="str">
        <f aca="false">TEXT(D2836,"yyyy-mm")</f>
        <v>2024-07</v>
      </c>
    </row>
    <row r="2837" customFormat="false" ht="15" hidden="false" customHeight="true" outlineLevel="0" collapsed="false">
      <c r="A2837" s="1" t="n">
        <v>2901</v>
      </c>
      <c r="B2837" s="1" t="n">
        <v>443</v>
      </c>
      <c r="C2837" s="1" t="n">
        <v>28</v>
      </c>
      <c r="D2837" s="1" t="s">
        <v>899</v>
      </c>
      <c r="E2837" s="1" t="n">
        <v>5</v>
      </c>
      <c r="F2837" s="1" t="n">
        <v>505.23</v>
      </c>
      <c r="G2837" s="1" t="n">
        <v>0.1</v>
      </c>
      <c r="H2837" s="1" t="s">
        <v>1336</v>
      </c>
      <c r="I2837" s="1" t="n">
        <v>2273.54</v>
      </c>
      <c r="J2837" s="1" t="str">
        <f aca="false">VLOOKUP(B2837,Customers!$A$2:$G$502,6,FALSE())</f>
        <v>Consumer</v>
      </c>
      <c r="K2837" s="1" t="str">
        <f aca="false">VLOOKUP(C2837,Products!$A$2:$E$62,3,FALSE())</f>
        <v>Office Supplies</v>
      </c>
      <c r="L2837" s="1" t="str">
        <f aca="false">TEXT(D2837,"yyyy-mm")</f>
        <v>2024-05</v>
      </c>
    </row>
    <row r="2838" customFormat="false" ht="15" hidden="false" customHeight="true" outlineLevel="0" collapsed="false">
      <c r="A2838" s="1" t="n">
        <v>2902</v>
      </c>
      <c r="B2838" s="1" t="n">
        <v>54</v>
      </c>
      <c r="C2838" s="1" t="n">
        <v>26</v>
      </c>
      <c r="D2838" s="1" t="s">
        <v>1515</v>
      </c>
      <c r="E2838" s="1" t="n">
        <v>6</v>
      </c>
      <c r="F2838" s="1" t="n">
        <v>733.85</v>
      </c>
      <c r="G2838" s="1" t="n">
        <v>0</v>
      </c>
      <c r="H2838" s="1" t="s">
        <v>1336</v>
      </c>
      <c r="I2838" s="1" t="n">
        <v>4403.1</v>
      </c>
      <c r="J2838" s="1" t="str">
        <f aca="false">VLOOKUP(B2838,Customers!$A$2:$G$502,6,FALSE())</f>
        <v>Consumer</v>
      </c>
      <c r="K2838" s="1" t="str">
        <f aca="false">VLOOKUP(C2838,Products!$A$2:$E$62,3,FALSE())</f>
        <v>Office Supplies</v>
      </c>
      <c r="L2838" s="1" t="str">
        <f aca="false">TEXT(D2838,"yyyy-mm")</f>
        <v>2023-01</v>
      </c>
    </row>
    <row r="2839" customFormat="false" ht="15" hidden="false" customHeight="true" outlineLevel="0" collapsed="false">
      <c r="A2839" s="1" t="n">
        <v>2903</v>
      </c>
      <c r="B2839" s="1" t="n">
        <v>13</v>
      </c>
      <c r="C2839" s="1" t="n">
        <v>4</v>
      </c>
      <c r="D2839" s="1" t="s">
        <v>226</v>
      </c>
      <c r="E2839" s="1" t="n">
        <v>7</v>
      </c>
      <c r="F2839" s="1" t="n">
        <v>56.24</v>
      </c>
      <c r="G2839" s="1" t="n">
        <v>0.15</v>
      </c>
      <c r="H2839" s="1" t="s">
        <v>1346</v>
      </c>
      <c r="I2839" s="1" t="n">
        <v>334.63</v>
      </c>
      <c r="J2839" s="1" t="str">
        <f aca="false">VLOOKUP(B2839,Customers!$A$2:$G$502,6,FALSE())</f>
        <v>Corporate</v>
      </c>
      <c r="K2839" s="1" t="str">
        <f aca="false">VLOOKUP(C2839,Products!$A$2:$E$62,3,FALSE())</f>
        <v>Electronics</v>
      </c>
      <c r="L2839" s="1" t="str">
        <f aca="false">TEXT(D2839,"yyyy-mm")</f>
        <v>2023-11</v>
      </c>
    </row>
    <row r="2840" customFormat="false" ht="15" hidden="false" customHeight="true" outlineLevel="0" collapsed="false">
      <c r="A2840" s="1" t="n">
        <v>2904</v>
      </c>
      <c r="B2840" s="1" t="n">
        <v>288</v>
      </c>
      <c r="C2840" s="1" t="n">
        <v>54</v>
      </c>
      <c r="D2840" s="1" t="s">
        <v>635</v>
      </c>
      <c r="E2840" s="1" t="n">
        <v>9</v>
      </c>
      <c r="F2840" s="1" t="n">
        <v>312.01</v>
      </c>
      <c r="G2840" s="1" t="n">
        <v>0.2</v>
      </c>
      <c r="H2840" s="1" t="s">
        <v>1336</v>
      </c>
      <c r="I2840" s="1" t="n">
        <v>2246.47</v>
      </c>
      <c r="J2840" s="1" t="str">
        <f aca="false">VLOOKUP(B2840,Customers!$A$2:$G$502,6,FALSE())</f>
        <v>Small Business</v>
      </c>
      <c r="K2840" s="1" t="str">
        <f aca="false">VLOOKUP(C2840,Products!$A$2:$E$62,3,FALSE())</f>
        <v>Software</v>
      </c>
      <c r="L2840" s="1" t="str">
        <f aca="false">TEXT(D2840,"yyyy-mm")</f>
        <v>2024-03</v>
      </c>
    </row>
    <row r="2841" customFormat="false" ht="15" hidden="false" customHeight="true" outlineLevel="0" collapsed="false">
      <c r="A2841" s="1" t="n">
        <v>2905</v>
      </c>
      <c r="B2841" s="1" t="n">
        <v>383</v>
      </c>
      <c r="C2841" s="1" t="n">
        <v>5</v>
      </c>
      <c r="D2841" s="1" t="s">
        <v>348</v>
      </c>
      <c r="E2841" s="1" t="n">
        <v>3</v>
      </c>
      <c r="F2841" s="1" t="n">
        <v>439.06</v>
      </c>
      <c r="G2841" s="1" t="n">
        <v>0.1</v>
      </c>
      <c r="H2841" s="1" t="s">
        <v>1336</v>
      </c>
      <c r="I2841" s="1" t="n">
        <v>1185.46</v>
      </c>
      <c r="J2841" s="1" t="str">
        <f aca="false">VLOOKUP(B2841,Customers!$A$2:$G$502,6,FALSE())</f>
        <v>Consumer</v>
      </c>
      <c r="K2841" s="1" t="str">
        <f aca="false">VLOOKUP(C2841,Products!$A$2:$E$62,3,FALSE())</f>
        <v>Electronics</v>
      </c>
      <c r="L2841" s="1" t="str">
        <f aca="false">TEXT(D2841,"yyyy-mm")</f>
        <v>2024-09</v>
      </c>
    </row>
    <row r="2842" customFormat="false" ht="15" hidden="false" customHeight="true" outlineLevel="0" collapsed="false">
      <c r="A2842" s="1" t="n">
        <v>2906</v>
      </c>
      <c r="B2842" s="1" t="n">
        <v>103</v>
      </c>
      <c r="C2842" s="1" t="n">
        <v>17</v>
      </c>
      <c r="D2842" s="1" t="s">
        <v>458</v>
      </c>
      <c r="E2842" s="1" t="n">
        <v>2</v>
      </c>
      <c r="F2842" s="1" t="n">
        <v>65.61</v>
      </c>
      <c r="G2842" s="1" t="n">
        <v>0.15</v>
      </c>
      <c r="H2842" s="1" t="s">
        <v>1346</v>
      </c>
      <c r="I2842" s="1" t="n">
        <v>111.54</v>
      </c>
      <c r="J2842" s="1" t="str">
        <f aca="false">VLOOKUP(B2842,Customers!$A$2:$G$502,6,FALSE())</f>
        <v>Small Business</v>
      </c>
      <c r="K2842" s="1" t="str">
        <f aca="false">VLOOKUP(C2842,Products!$A$2:$E$62,3,FALSE())</f>
        <v>Electronics</v>
      </c>
      <c r="L2842" s="1" t="str">
        <f aca="false">TEXT(D2842,"yyyy-mm")</f>
        <v>2024-05</v>
      </c>
    </row>
    <row r="2843" customFormat="false" ht="15" hidden="false" customHeight="true" outlineLevel="0" collapsed="false">
      <c r="A2843" s="1" t="n">
        <v>2907</v>
      </c>
      <c r="B2843" s="1" t="n">
        <v>31</v>
      </c>
      <c r="C2843" s="1" t="n">
        <v>14</v>
      </c>
      <c r="D2843" s="1" t="s">
        <v>1682</v>
      </c>
      <c r="E2843" s="1" t="n">
        <v>3</v>
      </c>
      <c r="F2843" s="1" t="n">
        <v>135.27</v>
      </c>
      <c r="G2843" s="1" t="n">
        <v>0</v>
      </c>
      <c r="H2843" s="1" t="s">
        <v>1336</v>
      </c>
      <c r="I2843" s="1" t="n">
        <v>405.81</v>
      </c>
      <c r="J2843" s="1" t="str">
        <f aca="false">VLOOKUP(B2843,Customers!$A$2:$G$502,6,FALSE())</f>
        <v>Consumer</v>
      </c>
      <c r="K2843" s="1" t="str">
        <f aca="false">VLOOKUP(C2843,Products!$A$2:$E$62,3,FALSE())</f>
        <v>Electronics</v>
      </c>
      <c r="L2843" s="1" t="str">
        <f aca="false">TEXT(D2843,"yyyy-mm")</f>
        <v>2023-11</v>
      </c>
    </row>
    <row r="2844" customFormat="false" ht="15" hidden="false" customHeight="true" outlineLevel="0" collapsed="false">
      <c r="A2844" s="1" t="n">
        <v>2908</v>
      </c>
      <c r="B2844" s="1" t="n">
        <v>50</v>
      </c>
      <c r="C2844" s="1" t="n">
        <v>32</v>
      </c>
      <c r="D2844" s="1" t="s">
        <v>941</v>
      </c>
      <c r="E2844" s="1" t="n">
        <v>9</v>
      </c>
      <c r="F2844" s="1" t="n">
        <v>492.27</v>
      </c>
      <c r="G2844" s="1" t="n">
        <v>0</v>
      </c>
      <c r="H2844" s="1" t="s">
        <v>1336</v>
      </c>
      <c r="I2844" s="1" t="n">
        <v>4430.43</v>
      </c>
      <c r="J2844" s="1" t="str">
        <f aca="false">VLOOKUP(B2844,Customers!$A$2:$G$502,6,FALSE())</f>
        <v>Consumer</v>
      </c>
      <c r="K2844" s="1" t="str">
        <f aca="false">VLOOKUP(C2844,Products!$A$2:$E$62,3,FALSE())</f>
        <v>Office Supplies</v>
      </c>
      <c r="L2844" s="1" t="str">
        <f aca="false">TEXT(D2844,"yyyy-mm")</f>
        <v>2024-08</v>
      </c>
    </row>
    <row r="2845" customFormat="false" ht="15" hidden="false" customHeight="true" outlineLevel="0" collapsed="false">
      <c r="A2845" s="1" t="n">
        <v>2909</v>
      </c>
      <c r="B2845" s="1" t="n">
        <v>247</v>
      </c>
      <c r="C2845" s="1" t="n">
        <v>7</v>
      </c>
      <c r="D2845" s="1" t="s">
        <v>783</v>
      </c>
      <c r="E2845" s="1" t="n">
        <v>7</v>
      </c>
      <c r="F2845" s="1" t="n">
        <v>460</v>
      </c>
      <c r="G2845" s="1" t="n">
        <v>0</v>
      </c>
      <c r="H2845" s="1" t="s">
        <v>1336</v>
      </c>
      <c r="I2845" s="1" t="n">
        <v>3220</v>
      </c>
      <c r="J2845" s="1" t="str">
        <f aca="false">VLOOKUP(B2845,Customers!$A$2:$G$502,6,FALSE())</f>
        <v>Small Business</v>
      </c>
      <c r="K2845" s="1" t="str">
        <f aca="false">VLOOKUP(C2845,Products!$A$2:$E$62,3,FALSE())</f>
        <v>Electronics</v>
      </c>
      <c r="L2845" s="1" t="str">
        <f aca="false">TEXT(D2845,"yyyy-mm")</f>
        <v>2024-12</v>
      </c>
    </row>
    <row r="2846" customFormat="false" ht="15" hidden="false" customHeight="true" outlineLevel="0" collapsed="false">
      <c r="A2846" s="1" t="n">
        <v>2910</v>
      </c>
      <c r="B2846" s="1" t="n">
        <v>51</v>
      </c>
      <c r="C2846" s="1" t="n">
        <v>38</v>
      </c>
      <c r="D2846" s="1" t="s">
        <v>68</v>
      </c>
      <c r="E2846" s="1" t="n">
        <v>9</v>
      </c>
      <c r="F2846" s="1" t="n">
        <v>521.63</v>
      </c>
      <c r="G2846" s="1" t="n">
        <v>0</v>
      </c>
      <c r="H2846" s="1" t="s">
        <v>1346</v>
      </c>
      <c r="I2846" s="1" t="n">
        <v>4694.67</v>
      </c>
      <c r="J2846" s="1" t="str">
        <f aca="false">VLOOKUP(B2846,Customers!$A$2:$G$502,6,FALSE())</f>
        <v>Corporate</v>
      </c>
      <c r="K2846" s="1" t="str">
        <f aca="false">VLOOKUP(C2846,Products!$A$2:$E$62,3,FALSE())</f>
        <v>Software</v>
      </c>
      <c r="L2846" s="1" t="str">
        <f aca="false">TEXT(D2846,"yyyy-mm")</f>
        <v>2024-11</v>
      </c>
    </row>
    <row r="2847" customFormat="false" ht="15" hidden="false" customHeight="true" outlineLevel="0" collapsed="false">
      <c r="A2847" s="1" t="n">
        <v>2911</v>
      </c>
      <c r="B2847" s="1" t="n">
        <v>238</v>
      </c>
      <c r="C2847" s="1" t="n">
        <v>43</v>
      </c>
      <c r="D2847" s="1" t="s">
        <v>1696</v>
      </c>
      <c r="E2847" s="1" t="n">
        <v>2</v>
      </c>
      <c r="F2847" s="1" t="n">
        <v>186.31</v>
      </c>
      <c r="G2847" s="1" t="n">
        <v>0</v>
      </c>
      <c r="H2847" s="1" t="s">
        <v>1370</v>
      </c>
      <c r="I2847" s="1" t="n">
        <v>372.62</v>
      </c>
      <c r="J2847" s="1" t="str">
        <f aca="false">VLOOKUP(B2847,Customers!$A$2:$G$502,6,FALSE())</f>
        <v>Corporate</v>
      </c>
      <c r="K2847" s="1" t="str">
        <f aca="false">VLOOKUP(C2847,Products!$A$2:$E$62,3,FALSE())</f>
        <v>Software</v>
      </c>
      <c r="L2847" s="1" t="str">
        <f aca="false">TEXT(D2847,"yyyy-mm")</f>
        <v>2023-01</v>
      </c>
    </row>
    <row r="2848" customFormat="false" ht="15" hidden="false" customHeight="true" outlineLevel="0" collapsed="false">
      <c r="A2848" s="1" t="n">
        <v>2912</v>
      </c>
      <c r="B2848" s="1" t="n">
        <v>48</v>
      </c>
      <c r="C2848" s="1" t="n">
        <v>8</v>
      </c>
      <c r="D2848" s="1" t="s">
        <v>1465</v>
      </c>
      <c r="E2848" s="1" t="n">
        <v>5</v>
      </c>
      <c r="F2848" s="1" t="n">
        <v>104.4</v>
      </c>
      <c r="G2848" s="1" t="n">
        <v>0.2</v>
      </c>
      <c r="H2848" s="1" t="s">
        <v>1336</v>
      </c>
      <c r="I2848" s="1" t="n">
        <v>417.6</v>
      </c>
      <c r="J2848" s="1" t="str">
        <f aca="false">VLOOKUP(B2848,Customers!$A$2:$G$502,6,FALSE())</f>
        <v>Small Business</v>
      </c>
      <c r="K2848" s="1" t="str">
        <f aca="false">VLOOKUP(C2848,Products!$A$2:$E$62,3,FALSE())</f>
        <v>Electronics</v>
      </c>
      <c r="L2848" s="1" t="str">
        <f aca="false">TEXT(D2848,"yyyy-mm")</f>
        <v>2023-05</v>
      </c>
    </row>
    <row r="2849" customFormat="false" ht="15" hidden="false" customHeight="true" outlineLevel="0" collapsed="false">
      <c r="A2849" s="1" t="n">
        <v>2913</v>
      </c>
      <c r="B2849" s="1" t="n">
        <v>249</v>
      </c>
      <c r="C2849" s="1" t="n">
        <v>60</v>
      </c>
      <c r="D2849" s="1" t="s">
        <v>109</v>
      </c>
      <c r="E2849" s="1" t="n">
        <v>4</v>
      </c>
      <c r="F2849" s="1" t="n">
        <v>584.98</v>
      </c>
      <c r="G2849" s="1" t="n">
        <v>0</v>
      </c>
      <c r="H2849" s="1" t="s">
        <v>1336</v>
      </c>
      <c r="I2849" s="1" t="n">
        <v>2339.92</v>
      </c>
      <c r="J2849" s="1" t="str">
        <f aca="false">VLOOKUP(B2849,Customers!$A$2:$G$502,6,FALSE())</f>
        <v>Consumer</v>
      </c>
      <c r="K2849" s="1" t="str">
        <f aca="false">VLOOKUP(C2849,Products!$A$2:$E$62,3,FALSE())</f>
        <v>Furniture</v>
      </c>
      <c r="L2849" s="1" t="str">
        <f aca="false">TEXT(D2849,"yyyy-mm")</f>
        <v>2024-12</v>
      </c>
    </row>
    <row r="2850" customFormat="false" ht="15" hidden="false" customHeight="true" outlineLevel="0" collapsed="false">
      <c r="A2850" s="1" t="n">
        <v>2914</v>
      </c>
      <c r="B2850" s="1" t="n">
        <v>262</v>
      </c>
      <c r="C2850" s="1" t="n">
        <v>24</v>
      </c>
      <c r="D2850" s="1" t="s">
        <v>1147</v>
      </c>
      <c r="E2850" s="1" t="n">
        <v>2</v>
      </c>
      <c r="F2850" s="1" t="n">
        <v>207.34</v>
      </c>
      <c r="G2850" s="1" t="n">
        <v>0.05</v>
      </c>
      <c r="H2850" s="1" t="s">
        <v>1336</v>
      </c>
      <c r="I2850" s="1" t="n">
        <v>393.95</v>
      </c>
      <c r="J2850" s="1" t="str">
        <f aca="false">VLOOKUP(B2850,Customers!$A$2:$G$502,6,FALSE())</f>
        <v>Small Business</v>
      </c>
      <c r="K2850" s="1" t="str">
        <f aca="false">VLOOKUP(C2850,Products!$A$2:$E$62,3,FALSE())</f>
        <v>Office Supplies</v>
      </c>
      <c r="L2850" s="1" t="str">
        <f aca="false">TEXT(D2850,"yyyy-mm")</f>
        <v>2024-05</v>
      </c>
    </row>
    <row r="2851" customFormat="false" ht="15" hidden="false" customHeight="true" outlineLevel="0" collapsed="false">
      <c r="A2851" s="1" t="n">
        <v>2915</v>
      </c>
      <c r="B2851" s="1" t="n">
        <v>404</v>
      </c>
      <c r="C2851" s="1" t="n">
        <v>6</v>
      </c>
      <c r="D2851" s="1" t="s">
        <v>452</v>
      </c>
      <c r="E2851" s="1" t="n">
        <v>9</v>
      </c>
      <c r="F2851" s="1" t="n">
        <v>28.51</v>
      </c>
      <c r="G2851" s="1" t="n">
        <v>0.15</v>
      </c>
      <c r="H2851" s="1" t="s">
        <v>1336</v>
      </c>
      <c r="I2851" s="1" t="n">
        <v>218.1</v>
      </c>
      <c r="J2851" s="1" t="str">
        <f aca="false">VLOOKUP(B2851,Customers!$A$2:$G$502,6,FALSE())</f>
        <v>Corporate</v>
      </c>
      <c r="K2851" s="1" t="str">
        <f aca="false">VLOOKUP(C2851,Products!$A$2:$E$62,3,FALSE())</f>
        <v>Electronics</v>
      </c>
      <c r="L2851" s="1" t="str">
        <f aca="false">TEXT(D2851,"yyyy-mm")</f>
        <v>2023-02</v>
      </c>
    </row>
    <row r="2852" customFormat="false" ht="15" hidden="false" customHeight="true" outlineLevel="0" collapsed="false">
      <c r="A2852" s="1" t="n">
        <v>2916</v>
      </c>
      <c r="B2852" s="1" t="n">
        <v>63</v>
      </c>
      <c r="C2852" s="1" t="n">
        <v>51</v>
      </c>
      <c r="D2852" s="1" t="s">
        <v>1387</v>
      </c>
      <c r="E2852" s="1" t="n">
        <v>9</v>
      </c>
      <c r="F2852" s="1" t="n">
        <v>30.16</v>
      </c>
      <c r="G2852" s="1" t="n">
        <v>0</v>
      </c>
      <c r="H2852" s="1" t="s">
        <v>1336</v>
      </c>
      <c r="I2852" s="1" t="n">
        <v>271.44</v>
      </c>
      <c r="J2852" s="1" t="str">
        <f aca="false">VLOOKUP(B2852,Customers!$A$2:$G$502,6,FALSE())</f>
        <v>Consumer</v>
      </c>
      <c r="K2852" s="1" t="str">
        <f aca="false">VLOOKUP(C2852,Products!$A$2:$E$62,3,FALSE())</f>
        <v>Software</v>
      </c>
      <c r="L2852" s="1" t="str">
        <f aca="false">TEXT(D2852,"yyyy-mm")</f>
        <v>2024-08</v>
      </c>
    </row>
    <row r="2853" customFormat="false" ht="15" hidden="false" customHeight="true" outlineLevel="0" collapsed="false">
      <c r="A2853" s="1" t="n">
        <v>2917</v>
      </c>
      <c r="B2853" s="1" t="n">
        <v>25</v>
      </c>
      <c r="C2853" s="1" t="n">
        <v>5</v>
      </c>
      <c r="D2853" s="1" t="s">
        <v>832</v>
      </c>
      <c r="E2853" s="1" t="n">
        <v>6</v>
      </c>
      <c r="F2853" s="1" t="n">
        <v>439.06</v>
      </c>
      <c r="G2853" s="1" t="n">
        <v>0</v>
      </c>
      <c r="H2853" s="1" t="s">
        <v>1336</v>
      </c>
      <c r="I2853" s="1" t="n">
        <v>2634.36</v>
      </c>
      <c r="J2853" s="1" t="str">
        <f aca="false">VLOOKUP(B2853,Customers!$A$2:$G$502,6,FALSE())</f>
        <v>Corporate</v>
      </c>
      <c r="K2853" s="1" t="str">
        <f aca="false">VLOOKUP(C2853,Products!$A$2:$E$62,3,FALSE())</f>
        <v>Electronics</v>
      </c>
      <c r="L2853" s="1" t="str">
        <f aca="false">TEXT(D2853,"yyyy-mm")</f>
        <v>2024-12</v>
      </c>
    </row>
    <row r="2854" customFormat="false" ht="15" hidden="false" customHeight="true" outlineLevel="0" collapsed="false">
      <c r="A2854" s="1" t="n">
        <v>2918</v>
      </c>
      <c r="B2854" s="1" t="n">
        <v>340</v>
      </c>
      <c r="C2854" s="1" t="n">
        <v>28</v>
      </c>
      <c r="D2854" s="1" t="s">
        <v>277</v>
      </c>
      <c r="E2854" s="1" t="n">
        <v>6</v>
      </c>
      <c r="F2854" s="1" t="n">
        <v>505.23</v>
      </c>
      <c r="G2854" s="1" t="n">
        <v>0</v>
      </c>
      <c r="H2854" s="1" t="s">
        <v>1336</v>
      </c>
      <c r="I2854" s="1" t="n">
        <v>3031.38</v>
      </c>
      <c r="J2854" s="1" t="str">
        <f aca="false">VLOOKUP(B2854,Customers!$A$2:$G$502,6,FALSE())</f>
        <v>Consumer</v>
      </c>
      <c r="K2854" s="1" t="str">
        <f aca="false">VLOOKUP(C2854,Products!$A$2:$E$62,3,FALSE())</f>
        <v>Office Supplies</v>
      </c>
      <c r="L2854" s="1" t="str">
        <f aca="false">TEXT(D2854,"yyyy-mm")</f>
        <v>2024-11</v>
      </c>
    </row>
    <row r="2855" customFormat="false" ht="15" hidden="false" customHeight="true" outlineLevel="0" collapsed="false">
      <c r="A2855" s="1" t="n">
        <v>2920</v>
      </c>
      <c r="B2855" s="1" t="n">
        <v>325</v>
      </c>
      <c r="C2855" s="1" t="n">
        <v>24</v>
      </c>
      <c r="D2855" s="1" t="s">
        <v>1668</v>
      </c>
      <c r="E2855" s="1" t="n">
        <v>6</v>
      </c>
      <c r="F2855" s="1" t="n">
        <v>207.34</v>
      </c>
      <c r="G2855" s="1" t="n">
        <v>0.05</v>
      </c>
      <c r="H2855" s="1" t="s">
        <v>1336</v>
      </c>
      <c r="I2855" s="1" t="n">
        <v>1181.84</v>
      </c>
      <c r="J2855" s="1" t="str">
        <f aca="false">VLOOKUP(B2855,Customers!$A$2:$G$502,6,FALSE())</f>
        <v>Small Business</v>
      </c>
      <c r="K2855" s="1" t="str">
        <f aca="false">VLOOKUP(C2855,Products!$A$2:$E$62,3,FALSE())</f>
        <v>Office Supplies</v>
      </c>
      <c r="L2855" s="1" t="str">
        <f aca="false">TEXT(D2855,"yyyy-mm")</f>
        <v>2023-10</v>
      </c>
    </row>
    <row r="2856" customFormat="false" ht="15" hidden="false" customHeight="true" outlineLevel="0" collapsed="false">
      <c r="A2856" s="1" t="n">
        <v>2921</v>
      </c>
      <c r="B2856" s="1" t="n">
        <v>306</v>
      </c>
      <c r="C2856" s="1" t="n">
        <v>46</v>
      </c>
      <c r="D2856" s="1" t="s">
        <v>1669</v>
      </c>
      <c r="E2856" s="1" t="n">
        <v>1</v>
      </c>
      <c r="F2856" s="1" t="n">
        <v>94.92</v>
      </c>
      <c r="G2856" s="1" t="n">
        <v>0</v>
      </c>
      <c r="H2856" s="1" t="s">
        <v>1336</v>
      </c>
      <c r="I2856" s="1" t="n">
        <v>94.92</v>
      </c>
      <c r="J2856" s="1" t="str">
        <f aca="false">VLOOKUP(B2856,Customers!$A$2:$G$502,6,FALSE())</f>
        <v>Small Business</v>
      </c>
      <c r="K2856" s="1" t="str">
        <f aca="false">VLOOKUP(C2856,Products!$A$2:$E$62,3,FALSE())</f>
        <v>Software</v>
      </c>
      <c r="L2856" s="1" t="str">
        <f aca="false">TEXT(D2856,"yyyy-mm")</f>
        <v>2024-09</v>
      </c>
    </row>
    <row r="2857" customFormat="false" ht="15" hidden="false" customHeight="true" outlineLevel="0" collapsed="false">
      <c r="A2857" s="1" t="n">
        <v>2922</v>
      </c>
      <c r="B2857" s="1" t="n">
        <v>145</v>
      </c>
      <c r="C2857" s="1" t="n">
        <v>33</v>
      </c>
      <c r="D2857" s="1" t="s">
        <v>1445</v>
      </c>
      <c r="E2857" s="1" t="n">
        <v>4</v>
      </c>
      <c r="F2857" s="1" t="n">
        <v>190.1</v>
      </c>
      <c r="G2857" s="1" t="n">
        <v>0.1</v>
      </c>
      <c r="H2857" s="1" t="s">
        <v>1336</v>
      </c>
      <c r="I2857" s="1" t="n">
        <v>684.36</v>
      </c>
      <c r="J2857" s="1" t="str">
        <f aca="false">VLOOKUP(B2857,Customers!$A$2:$G$502,6,FALSE())</f>
        <v>Corporate</v>
      </c>
      <c r="K2857" s="1" t="str">
        <f aca="false">VLOOKUP(C2857,Products!$A$2:$E$62,3,FALSE())</f>
        <v>Office Supplies</v>
      </c>
      <c r="L2857" s="1" t="str">
        <f aca="false">TEXT(D2857,"yyyy-mm")</f>
        <v>2024-08</v>
      </c>
    </row>
    <row r="2858" customFormat="false" ht="15" hidden="false" customHeight="true" outlineLevel="0" collapsed="false">
      <c r="A2858" s="1" t="n">
        <v>2923</v>
      </c>
      <c r="B2858" s="1" t="n">
        <v>322</v>
      </c>
      <c r="C2858" s="1" t="n">
        <v>45</v>
      </c>
      <c r="D2858" s="1" t="s">
        <v>1657</v>
      </c>
      <c r="E2858" s="1" t="n">
        <v>7</v>
      </c>
      <c r="F2858" s="1" t="n">
        <v>560.01</v>
      </c>
      <c r="G2858" s="1" t="n">
        <v>0.05</v>
      </c>
      <c r="H2858" s="1" t="s">
        <v>1336</v>
      </c>
      <c r="I2858" s="1" t="n">
        <v>3724.07</v>
      </c>
      <c r="J2858" s="1" t="str">
        <f aca="false">VLOOKUP(B2858,Customers!$A$2:$G$502,6,FALSE())</f>
        <v>Consumer</v>
      </c>
      <c r="K2858" s="1" t="str">
        <f aca="false">VLOOKUP(C2858,Products!$A$2:$E$62,3,FALSE())</f>
        <v>Software</v>
      </c>
      <c r="L2858" s="1" t="str">
        <f aca="false">TEXT(D2858,"yyyy-mm")</f>
        <v>2023-12</v>
      </c>
    </row>
    <row r="2859" customFormat="false" ht="15" hidden="false" customHeight="true" outlineLevel="0" collapsed="false">
      <c r="A2859" s="1" t="n">
        <v>2924</v>
      </c>
      <c r="B2859" s="1" t="n">
        <v>187</v>
      </c>
      <c r="C2859" s="1" t="n">
        <v>50</v>
      </c>
      <c r="D2859" s="1" t="s">
        <v>1226</v>
      </c>
      <c r="E2859" s="1" t="n">
        <v>2</v>
      </c>
      <c r="F2859" s="1" t="n">
        <v>19.73</v>
      </c>
      <c r="G2859" s="1" t="n">
        <v>0</v>
      </c>
      <c r="H2859" s="1" t="s">
        <v>1346</v>
      </c>
      <c r="I2859" s="1" t="n">
        <v>39.46</v>
      </c>
      <c r="J2859" s="1" t="str">
        <f aca="false">VLOOKUP(B2859,Customers!$A$2:$G$502,6,FALSE())</f>
        <v>Consumer</v>
      </c>
      <c r="K2859" s="1" t="str">
        <f aca="false">VLOOKUP(C2859,Products!$A$2:$E$62,3,FALSE())</f>
        <v>Software</v>
      </c>
      <c r="L2859" s="1" t="str">
        <f aca="false">TEXT(D2859,"yyyy-mm")</f>
        <v>2024-05</v>
      </c>
    </row>
    <row r="2860" customFormat="false" ht="15" hidden="false" customHeight="true" outlineLevel="0" collapsed="false">
      <c r="A2860" s="1" t="n">
        <v>2925</v>
      </c>
      <c r="B2860" s="1" t="n">
        <v>45</v>
      </c>
      <c r="C2860" s="1" t="n">
        <v>30</v>
      </c>
      <c r="D2860" s="1" t="s">
        <v>1341</v>
      </c>
      <c r="E2860" s="1" t="n">
        <v>9</v>
      </c>
      <c r="F2860" s="1" t="n">
        <v>33.32</v>
      </c>
      <c r="G2860" s="1" t="n">
        <v>0.05</v>
      </c>
      <c r="H2860" s="1" t="s">
        <v>1336</v>
      </c>
      <c r="I2860" s="1" t="n">
        <v>284.89</v>
      </c>
      <c r="J2860" s="1" t="str">
        <f aca="false">VLOOKUP(B2860,Customers!$A$2:$G$502,6,FALSE())</f>
        <v>Corporate</v>
      </c>
      <c r="K2860" s="1" t="str">
        <f aca="false">VLOOKUP(C2860,Products!$A$2:$E$62,3,FALSE())</f>
        <v>Office Supplies</v>
      </c>
      <c r="L2860" s="1" t="str">
        <f aca="false">TEXT(D2860,"yyyy-mm")</f>
        <v>2023-06</v>
      </c>
    </row>
    <row r="2861" customFormat="false" ht="15" hidden="false" customHeight="true" outlineLevel="0" collapsed="false">
      <c r="A2861" s="1" t="n">
        <v>2926</v>
      </c>
      <c r="B2861" s="1" t="n">
        <v>133</v>
      </c>
      <c r="C2861" s="1" t="n">
        <v>25</v>
      </c>
      <c r="D2861" s="1" t="s">
        <v>586</v>
      </c>
      <c r="E2861" s="1" t="n">
        <v>8</v>
      </c>
      <c r="F2861" s="1" t="n">
        <v>300.49</v>
      </c>
      <c r="G2861" s="1" t="n">
        <v>0.05</v>
      </c>
      <c r="H2861" s="1" t="s">
        <v>1336</v>
      </c>
      <c r="I2861" s="1" t="n">
        <v>2283.72</v>
      </c>
      <c r="J2861" s="1" t="str">
        <f aca="false">VLOOKUP(B2861,Customers!$A$2:$G$502,6,FALSE())</f>
        <v>Consumer</v>
      </c>
      <c r="K2861" s="1" t="str">
        <f aca="false">VLOOKUP(C2861,Products!$A$2:$E$62,3,FALSE())</f>
        <v>Office Supplies</v>
      </c>
      <c r="L2861" s="1" t="str">
        <f aca="false">TEXT(D2861,"yyyy-mm")</f>
        <v>2023-01</v>
      </c>
    </row>
    <row r="2862" customFormat="false" ht="15" hidden="false" customHeight="true" outlineLevel="0" collapsed="false">
      <c r="A2862" s="1" t="n">
        <v>2927</v>
      </c>
      <c r="B2862" s="1" t="n">
        <v>472</v>
      </c>
      <c r="C2862" s="1" t="n">
        <v>18</v>
      </c>
      <c r="D2862" s="1" t="s">
        <v>946</v>
      </c>
      <c r="E2862" s="1" t="n">
        <v>8</v>
      </c>
      <c r="F2862" s="1" t="n">
        <v>747.34</v>
      </c>
      <c r="G2862" s="1" t="n">
        <v>0.2</v>
      </c>
      <c r="H2862" s="1" t="s">
        <v>1336</v>
      </c>
      <c r="I2862" s="1" t="n">
        <v>4782.98</v>
      </c>
      <c r="J2862" s="1" t="str">
        <f aca="false">VLOOKUP(B2862,Customers!$A$2:$G$502,6,FALSE())</f>
        <v>Consumer</v>
      </c>
      <c r="K2862" s="1" t="str">
        <f aca="false">VLOOKUP(C2862,Products!$A$2:$E$62,3,FALSE())</f>
        <v>Electronics</v>
      </c>
      <c r="L2862" s="1" t="str">
        <f aca="false">TEXT(D2862,"yyyy-mm")</f>
        <v>2023-04</v>
      </c>
    </row>
    <row r="2863" customFormat="false" ht="15" hidden="false" customHeight="true" outlineLevel="0" collapsed="false">
      <c r="A2863" s="1" t="n">
        <v>2928</v>
      </c>
      <c r="B2863" s="1" t="n">
        <v>493</v>
      </c>
      <c r="C2863" s="1" t="n">
        <v>27</v>
      </c>
      <c r="D2863" s="1" t="s">
        <v>1562</v>
      </c>
      <c r="E2863" s="1" t="n">
        <v>7</v>
      </c>
      <c r="F2863" s="1" t="n">
        <v>772.58</v>
      </c>
      <c r="G2863" s="1" t="n">
        <v>0</v>
      </c>
      <c r="H2863" s="1" t="s">
        <v>1336</v>
      </c>
      <c r="I2863" s="1" t="n">
        <v>5408.06</v>
      </c>
      <c r="J2863" s="1" t="str">
        <f aca="false">VLOOKUP(B2863,Customers!$A$2:$G$502,6,FALSE())</f>
        <v>Corporate</v>
      </c>
      <c r="K2863" s="1" t="str">
        <f aca="false">VLOOKUP(C2863,Products!$A$2:$E$62,3,FALSE())</f>
        <v>Office Supplies</v>
      </c>
      <c r="L2863" s="1" t="str">
        <f aca="false">TEXT(D2863,"yyyy-mm")</f>
        <v>2023-07</v>
      </c>
    </row>
    <row r="2864" customFormat="false" ht="15" hidden="false" customHeight="true" outlineLevel="0" collapsed="false">
      <c r="A2864" s="1" t="n">
        <v>2929</v>
      </c>
      <c r="B2864" s="1" t="n">
        <v>449</v>
      </c>
      <c r="C2864" s="1" t="n">
        <v>1</v>
      </c>
      <c r="D2864" s="1" t="s">
        <v>1543</v>
      </c>
      <c r="E2864" s="1" t="n">
        <v>4</v>
      </c>
      <c r="F2864" s="1" t="n">
        <v>327.32</v>
      </c>
      <c r="G2864" s="1" t="n">
        <v>0.15</v>
      </c>
      <c r="H2864" s="1" t="s">
        <v>1370</v>
      </c>
      <c r="I2864" s="1" t="n">
        <v>1112.89</v>
      </c>
      <c r="J2864" s="1" t="str">
        <f aca="false">VLOOKUP(B2864,Customers!$A$2:$G$502,6,FALSE())</f>
        <v>Corporate</v>
      </c>
      <c r="K2864" s="1" t="str">
        <f aca="false">VLOOKUP(C2864,Products!$A$2:$E$62,3,FALSE())</f>
        <v>Electronics</v>
      </c>
      <c r="L2864" s="1" t="str">
        <f aca="false">TEXT(D2864,"yyyy-mm")</f>
        <v>2023-01</v>
      </c>
    </row>
    <row r="2865" customFormat="false" ht="15" hidden="false" customHeight="true" outlineLevel="0" collapsed="false">
      <c r="A2865" s="1" t="n">
        <v>2930</v>
      </c>
      <c r="B2865" s="1" t="n">
        <v>140</v>
      </c>
      <c r="C2865" s="1" t="n">
        <v>52</v>
      </c>
      <c r="D2865" s="1" t="s">
        <v>629</v>
      </c>
      <c r="E2865" s="1" t="n">
        <v>2</v>
      </c>
      <c r="F2865" s="1" t="n">
        <v>207.67</v>
      </c>
      <c r="G2865" s="1" t="n">
        <v>0.05</v>
      </c>
      <c r="H2865" s="1" t="s">
        <v>1336</v>
      </c>
      <c r="I2865" s="1" t="n">
        <v>394.57</v>
      </c>
      <c r="J2865" s="1" t="str">
        <f aca="false">VLOOKUP(B2865,Customers!$A$2:$G$502,6,FALSE())</f>
        <v>Unknown</v>
      </c>
      <c r="K2865" s="1" t="str">
        <f aca="false">VLOOKUP(C2865,Products!$A$2:$E$62,3,FALSE())</f>
        <v>Software</v>
      </c>
      <c r="L2865" s="1" t="str">
        <f aca="false">TEXT(D2865,"yyyy-mm")</f>
        <v>2023-04</v>
      </c>
    </row>
    <row r="2866" customFormat="false" ht="15" hidden="false" customHeight="true" outlineLevel="0" collapsed="false">
      <c r="A2866" s="1" t="n">
        <v>2931</v>
      </c>
      <c r="B2866" s="1" t="n">
        <v>257</v>
      </c>
      <c r="C2866" s="1" t="n">
        <v>47</v>
      </c>
      <c r="D2866" s="1" t="s">
        <v>946</v>
      </c>
      <c r="E2866" s="1" t="n">
        <v>3</v>
      </c>
      <c r="F2866" s="1" t="n">
        <v>506.19</v>
      </c>
      <c r="G2866" s="1" t="n">
        <v>0</v>
      </c>
      <c r="H2866" s="1" t="s">
        <v>1336</v>
      </c>
      <c r="I2866" s="1" t="n">
        <v>1518.57</v>
      </c>
      <c r="J2866" s="1" t="str">
        <f aca="false">VLOOKUP(B2866,Customers!$A$2:$G$502,6,FALSE())</f>
        <v>Small Business</v>
      </c>
      <c r="K2866" s="1" t="str">
        <f aca="false">VLOOKUP(C2866,Products!$A$2:$E$62,3,FALSE())</f>
        <v>Software</v>
      </c>
      <c r="L2866" s="1" t="str">
        <f aca="false">TEXT(D2866,"yyyy-mm")</f>
        <v>2023-04</v>
      </c>
    </row>
    <row r="2867" customFormat="false" ht="15" hidden="false" customHeight="true" outlineLevel="0" collapsed="false">
      <c r="A2867" s="1" t="n">
        <v>2932</v>
      </c>
      <c r="B2867" s="1" t="n">
        <v>283</v>
      </c>
      <c r="C2867" s="1" t="n">
        <v>10</v>
      </c>
      <c r="D2867" s="1" t="s">
        <v>1078</v>
      </c>
      <c r="E2867" s="1" t="n">
        <v>6</v>
      </c>
      <c r="F2867" s="1" t="n">
        <v>251.58</v>
      </c>
      <c r="G2867" s="1" t="n">
        <v>0</v>
      </c>
      <c r="H2867" s="1" t="s">
        <v>1336</v>
      </c>
      <c r="I2867" s="1" t="n">
        <v>1509.48</v>
      </c>
      <c r="J2867" s="1" t="str">
        <f aca="false">VLOOKUP(B2867,Customers!$A$2:$G$502,6,FALSE())</f>
        <v>Small Business</v>
      </c>
      <c r="K2867" s="1" t="str">
        <f aca="false">VLOOKUP(C2867,Products!$A$2:$E$62,3,FALSE())</f>
        <v>Electronics</v>
      </c>
      <c r="L2867" s="1" t="str">
        <f aca="false">TEXT(D2867,"yyyy-mm")</f>
        <v>2023-07</v>
      </c>
    </row>
    <row r="2868" customFormat="false" ht="15" hidden="false" customHeight="true" outlineLevel="0" collapsed="false">
      <c r="A2868" s="1" t="n">
        <v>2933</v>
      </c>
      <c r="B2868" s="1" t="n">
        <v>444</v>
      </c>
      <c r="C2868" s="1" t="n">
        <v>10</v>
      </c>
      <c r="D2868" s="1" t="s">
        <v>659</v>
      </c>
      <c r="E2868" s="1" t="n">
        <v>5</v>
      </c>
      <c r="F2868" s="1" t="n">
        <v>251.58</v>
      </c>
      <c r="G2868" s="1" t="n">
        <v>0</v>
      </c>
      <c r="H2868" s="1" t="s">
        <v>1336</v>
      </c>
      <c r="I2868" s="1" t="n">
        <v>1257.9</v>
      </c>
      <c r="J2868" s="1" t="str">
        <f aca="false">VLOOKUP(B2868,Customers!$A$2:$G$502,6,FALSE())</f>
        <v>Small Business</v>
      </c>
      <c r="K2868" s="1" t="str">
        <f aca="false">VLOOKUP(C2868,Products!$A$2:$E$62,3,FALSE())</f>
        <v>Electronics</v>
      </c>
      <c r="L2868" s="1" t="str">
        <f aca="false">TEXT(D2868,"yyyy-mm")</f>
        <v>2024-06</v>
      </c>
    </row>
    <row r="2869" customFormat="false" ht="15" hidden="false" customHeight="true" outlineLevel="0" collapsed="false">
      <c r="A2869" s="1" t="n">
        <v>2934</v>
      </c>
      <c r="B2869" s="1" t="n">
        <v>140</v>
      </c>
      <c r="C2869" s="1" t="n">
        <v>6</v>
      </c>
      <c r="D2869" s="1" t="s">
        <v>1697</v>
      </c>
      <c r="E2869" s="1" t="n">
        <v>8</v>
      </c>
      <c r="F2869" s="1" t="n">
        <v>28.51</v>
      </c>
      <c r="G2869" s="1" t="n">
        <v>0.15</v>
      </c>
      <c r="H2869" s="1" t="s">
        <v>1336</v>
      </c>
      <c r="I2869" s="1" t="n">
        <v>193.87</v>
      </c>
      <c r="J2869" s="1" t="str">
        <f aca="false">VLOOKUP(B2869,Customers!$A$2:$G$502,6,FALSE())</f>
        <v>Unknown</v>
      </c>
      <c r="K2869" s="1" t="str">
        <f aca="false">VLOOKUP(C2869,Products!$A$2:$E$62,3,FALSE())</f>
        <v>Electronics</v>
      </c>
      <c r="L2869" s="1" t="str">
        <f aca="false">TEXT(D2869,"yyyy-mm")</f>
        <v>2023-02</v>
      </c>
    </row>
    <row r="2870" customFormat="false" ht="15" hidden="false" customHeight="true" outlineLevel="0" collapsed="false">
      <c r="A2870" s="1" t="n">
        <v>2935</v>
      </c>
      <c r="B2870" s="1" t="n">
        <v>191</v>
      </c>
      <c r="C2870" s="1" t="n">
        <v>57</v>
      </c>
      <c r="D2870" s="1" t="s">
        <v>29</v>
      </c>
      <c r="E2870" s="1" t="n">
        <v>6</v>
      </c>
      <c r="F2870" s="1" t="n">
        <v>719.76</v>
      </c>
      <c r="G2870" s="1" t="n">
        <v>0.15</v>
      </c>
      <c r="H2870" s="1" t="s">
        <v>1336</v>
      </c>
      <c r="I2870" s="1" t="n">
        <v>3670.78</v>
      </c>
      <c r="J2870" s="1" t="str">
        <f aca="false">VLOOKUP(B2870,Customers!$A$2:$G$502,6,FALSE())</f>
        <v>Corporate</v>
      </c>
      <c r="K2870" s="1" t="str">
        <f aca="false">VLOOKUP(C2870,Products!$A$2:$E$62,3,FALSE())</f>
        <v>Furniture</v>
      </c>
      <c r="L2870" s="1" t="str">
        <f aca="false">TEXT(D2870,"yyyy-mm")</f>
        <v>2023-04</v>
      </c>
    </row>
    <row r="2871" customFormat="false" ht="15" hidden="false" customHeight="true" outlineLevel="0" collapsed="false">
      <c r="A2871" s="1" t="n">
        <v>2936</v>
      </c>
      <c r="B2871" s="1" t="n">
        <v>485</v>
      </c>
      <c r="C2871" s="1" t="n">
        <v>50</v>
      </c>
      <c r="D2871" s="1" t="s">
        <v>1482</v>
      </c>
      <c r="E2871" s="1" t="n">
        <v>6</v>
      </c>
      <c r="F2871" s="1" t="n">
        <v>19.73</v>
      </c>
      <c r="G2871" s="1" t="n">
        <v>0</v>
      </c>
      <c r="H2871" s="1" t="s">
        <v>1336</v>
      </c>
      <c r="I2871" s="1" t="n">
        <v>118.38</v>
      </c>
      <c r="J2871" s="1" t="str">
        <f aca="false">VLOOKUP(B2871,Customers!$A$2:$G$502,6,FALSE())</f>
        <v>Corporate</v>
      </c>
      <c r="K2871" s="1" t="str">
        <f aca="false">VLOOKUP(C2871,Products!$A$2:$E$62,3,FALSE())</f>
        <v>Software</v>
      </c>
      <c r="L2871" s="1" t="str">
        <f aca="false">TEXT(D2871,"yyyy-mm")</f>
        <v>2023-11</v>
      </c>
    </row>
    <row r="2872" customFormat="false" ht="15" hidden="false" customHeight="true" outlineLevel="0" collapsed="false">
      <c r="A2872" s="1" t="n">
        <v>2937</v>
      </c>
      <c r="B2872" s="1" t="n">
        <v>393</v>
      </c>
      <c r="C2872" s="1" t="n">
        <v>42</v>
      </c>
      <c r="D2872" s="1" t="s">
        <v>1428</v>
      </c>
      <c r="E2872" s="1" t="n">
        <v>1</v>
      </c>
      <c r="F2872" s="1" t="n">
        <v>174.48</v>
      </c>
      <c r="G2872" s="1" t="n">
        <v>0.1</v>
      </c>
      <c r="H2872" s="1" t="s">
        <v>1336</v>
      </c>
      <c r="I2872" s="1" t="n">
        <v>157.03</v>
      </c>
      <c r="J2872" s="1" t="str">
        <f aca="false">VLOOKUP(B2872,Customers!$A$2:$G$502,6,FALSE())</f>
        <v>Consumer</v>
      </c>
      <c r="K2872" s="1" t="str">
        <f aca="false">VLOOKUP(C2872,Products!$A$2:$E$62,3,FALSE())</f>
        <v>Software</v>
      </c>
      <c r="L2872" s="1" t="str">
        <f aca="false">TEXT(D2872,"yyyy-mm")</f>
        <v>2024-06</v>
      </c>
    </row>
    <row r="2873" customFormat="false" ht="15" hidden="false" customHeight="true" outlineLevel="0" collapsed="false">
      <c r="A2873" s="1" t="n">
        <v>2938</v>
      </c>
      <c r="B2873" s="1" t="n">
        <v>61</v>
      </c>
      <c r="C2873" s="1" t="n">
        <v>41</v>
      </c>
      <c r="D2873" s="1" t="s">
        <v>606</v>
      </c>
      <c r="E2873" s="1" t="n">
        <v>4</v>
      </c>
      <c r="F2873" s="1" t="n">
        <v>594.54</v>
      </c>
      <c r="G2873" s="1" t="n">
        <v>0.15</v>
      </c>
      <c r="H2873" s="1" t="s">
        <v>1336</v>
      </c>
      <c r="I2873" s="1" t="n">
        <v>2021.44</v>
      </c>
      <c r="J2873" s="1" t="str">
        <f aca="false">VLOOKUP(B2873,Customers!$A$2:$G$502,6,FALSE())</f>
        <v>Small Business</v>
      </c>
      <c r="K2873" s="1" t="str">
        <f aca="false">VLOOKUP(C2873,Products!$A$2:$E$62,3,FALSE())</f>
        <v>Software</v>
      </c>
      <c r="L2873" s="1" t="str">
        <f aca="false">TEXT(D2873,"yyyy-mm")</f>
        <v>2024-12</v>
      </c>
    </row>
    <row r="2874" customFormat="false" ht="15" hidden="false" customHeight="true" outlineLevel="0" collapsed="false">
      <c r="A2874" s="1" t="n">
        <v>2939</v>
      </c>
      <c r="B2874" s="1" t="n">
        <v>238</v>
      </c>
      <c r="C2874" s="1" t="n">
        <v>34</v>
      </c>
      <c r="D2874" s="1" t="s">
        <v>1365</v>
      </c>
      <c r="E2874" s="1" t="n">
        <v>5</v>
      </c>
      <c r="F2874" s="1" t="n">
        <v>116.85</v>
      </c>
      <c r="G2874" s="1" t="n">
        <v>0</v>
      </c>
      <c r="H2874" s="1" t="s">
        <v>1336</v>
      </c>
      <c r="I2874" s="1" t="n">
        <v>584.25</v>
      </c>
      <c r="J2874" s="1" t="str">
        <f aca="false">VLOOKUP(B2874,Customers!$A$2:$G$502,6,FALSE())</f>
        <v>Corporate</v>
      </c>
      <c r="K2874" s="1" t="str">
        <f aca="false">VLOOKUP(C2874,Products!$A$2:$E$62,3,FALSE())</f>
        <v>Office Supplies</v>
      </c>
      <c r="L2874" s="1" t="str">
        <f aca="false">TEXT(D2874,"yyyy-mm")</f>
        <v>2023-09</v>
      </c>
    </row>
    <row r="2875" customFormat="false" ht="15" hidden="false" customHeight="true" outlineLevel="0" collapsed="false">
      <c r="A2875" s="1" t="n">
        <v>2940</v>
      </c>
      <c r="B2875" s="1" t="n">
        <v>154</v>
      </c>
      <c r="C2875" s="1" t="n">
        <v>7</v>
      </c>
      <c r="D2875" s="1" t="s">
        <v>1507</v>
      </c>
      <c r="E2875" s="1" t="n">
        <v>3</v>
      </c>
      <c r="F2875" s="1" t="n">
        <v>460</v>
      </c>
      <c r="G2875" s="1" t="n">
        <v>0</v>
      </c>
      <c r="H2875" s="1" t="s">
        <v>1346</v>
      </c>
      <c r="I2875" s="1" t="n">
        <v>1380</v>
      </c>
      <c r="J2875" s="1" t="str">
        <f aca="false">VLOOKUP(B2875,Customers!$A$2:$G$502,6,FALSE())</f>
        <v>Small Business</v>
      </c>
      <c r="K2875" s="1" t="str">
        <f aca="false">VLOOKUP(C2875,Products!$A$2:$E$62,3,FALSE())</f>
        <v>Electronics</v>
      </c>
      <c r="L2875" s="1" t="str">
        <f aca="false">TEXT(D2875,"yyyy-mm")</f>
        <v>2024-09</v>
      </c>
    </row>
    <row r="2876" customFormat="false" ht="15" hidden="false" customHeight="true" outlineLevel="0" collapsed="false">
      <c r="A2876" s="1" t="n">
        <v>2941</v>
      </c>
      <c r="B2876" s="1" t="n">
        <v>314</v>
      </c>
      <c r="C2876" s="1" t="n">
        <v>22</v>
      </c>
      <c r="D2876" s="1" t="s">
        <v>320</v>
      </c>
      <c r="E2876" s="1" t="n">
        <v>9</v>
      </c>
      <c r="F2876" s="1" t="n">
        <v>38.57</v>
      </c>
      <c r="G2876" s="1" t="n">
        <v>0.2</v>
      </c>
      <c r="H2876" s="1" t="s">
        <v>1336</v>
      </c>
      <c r="I2876" s="1" t="n">
        <v>277.7</v>
      </c>
      <c r="J2876" s="1" t="str">
        <f aca="false">VLOOKUP(B2876,Customers!$A$2:$G$502,6,FALSE())</f>
        <v>Small Business</v>
      </c>
      <c r="K2876" s="1" t="str">
        <f aca="false">VLOOKUP(C2876,Products!$A$2:$E$62,3,FALSE())</f>
        <v>Office Supplies</v>
      </c>
      <c r="L2876" s="1" t="str">
        <f aca="false">TEXT(D2876,"yyyy-mm")</f>
        <v>2023-05</v>
      </c>
    </row>
    <row r="2877" customFormat="false" ht="15" hidden="false" customHeight="true" outlineLevel="0" collapsed="false">
      <c r="A2877" s="1" t="n">
        <v>2942</v>
      </c>
      <c r="B2877" s="1" t="n">
        <v>148</v>
      </c>
      <c r="C2877" s="1" t="n">
        <v>31</v>
      </c>
      <c r="D2877" s="1" t="s">
        <v>243</v>
      </c>
      <c r="E2877" s="1" t="n">
        <v>1</v>
      </c>
      <c r="F2877" s="1" t="n">
        <v>224.86</v>
      </c>
      <c r="G2877" s="1" t="n">
        <v>0.05</v>
      </c>
      <c r="H2877" s="1" t="s">
        <v>1336</v>
      </c>
      <c r="I2877" s="1" t="n">
        <v>213.62</v>
      </c>
      <c r="J2877" s="1" t="str">
        <f aca="false">VLOOKUP(B2877,Customers!$A$2:$G$502,6,FALSE())</f>
        <v>Corporate</v>
      </c>
      <c r="K2877" s="1" t="str">
        <f aca="false">VLOOKUP(C2877,Products!$A$2:$E$62,3,FALSE())</f>
        <v>Office Supplies</v>
      </c>
      <c r="L2877" s="1" t="str">
        <f aca="false">TEXT(D2877,"yyyy-mm")</f>
        <v>2024-07</v>
      </c>
    </row>
    <row r="2878" customFormat="false" ht="15" hidden="false" customHeight="true" outlineLevel="0" collapsed="false">
      <c r="A2878" s="1" t="n">
        <v>2943</v>
      </c>
      <c r="B2878" s="1" t="n">
        <v>19</v>
      </c>
      <c r="C2878" s="1" t="n">
        <v>12</v>
      </c>
      <c r="D2878" s="1" t="s">
        <v>1372</v>
      </c>
      <c r="E2878" s="1" t="n">
        <v>6</v>
      </c>
      <c r="F2878" s="1" t="n">
        <v>179.23</v>
      </c>
      <c r="G2878" s="1" t="n">
        <v>0.15</v>
      </c>
      <c r="H2878" s="1" t="s">
        <v>1336</v>
      </c>
      <c r="I2878" s="1" t="n">
        <v>914.07</v>
      </c>
      <c r="J2878" s="1" t="str">
        <f aca="false">VLOOKUP(B2878,Customers!$A$2:$G$502,6,FALSE())</f>
        <v>Consumer</v>
      </c>
      <c r="K2878" s="1" t="str">
        <f aca="false">VLOOKUP(C2878,Products!$A$2:$E$62,3,FALSE())</f>
        <v>Electronics</v>
      </c>
      <c r="L2878" s="1" t="str">
        <f aca="false">TEXT(D2878,"yyyy-mm")</f>
        <v>2023-03</v>
      </c>
    </row>
    <row r="2879" customFormat="false" ht="15" hidden="false" customHeight="true" outlineLevel="0" collapsed="false">
      <c r="A2879" s="1" t="n">
        <v>2944</v>
      </c>
      <c r="B2879" s="1" t="n">
        <v>114</v>
      </c>
      <c r="C2879" s="1" t="n">
        <v>49</v>
      </c>
      <c r="D2879" s="1" t="s">
        <v>1402</v>
      </c>
      <c r="E2879" s="1" t="n">
        <v>6</v>
      </c>
      <c r="F2879" s="1" t="n">
        <v>325.17</v>
      </c>
      <c r="G2879" s="1" t="n">
        <v>0.05</v>
      </c>
      <c r="H2879" s="1" t="s">
        <v>1370</v>
      </c>
      <c r="I2879" s="1" t="n">
        <v>1853.47</v>
      </c>
      <c r="J2879" s="1" t="str">
        <f aca="false">VLOOKUP(B2879,Customers!$A$2:$G$502,6,FALSE())</f>
        <v>Consumer</v>
      </c>
      <c r="K2879" s="1" t="str">
        <f aca="false">VLOOKUP(C2879,Products!$A$2:$E$62,3,FALSE())</f>
        <v>Software</v>
      </c>
      <c r="L2879" s="1" t="str">
        <f aca="false">TEXT(D2879,"yyyy-mm")</f>
        <v>2023-12</v>
      </c>
    </row>
    <row r="2880" customFormat="false" ht="15" hidden="false" customHeight="true" outlineLevel="0" collapsed="false">
      <c r="A2880" s="1" t="n">
        <v>2945</v>
      </c>
      <c r="B2880" s="1" t="n">
        <v>117</v>
      </c>
      <c r="C2880" s="1" t="n">
        <v>30</v>
      </c>
      <c r="D2880" s="1" t="s">
        <v>1357</v>
      </c>
      <c r="E2880" s="1" t="n">
        <v>5</v>
      </c>
      <c r="F2880" s="1" t="n">
        <v>33.32</v>
      </c>
      <c r="G2880" s="1" t="n">
        <v>0.1</v>
      </c>
      <c r="H2880" s="1" t="s">
        <v>1336</v>
      </c>
      <c r="I2880" s="1" t="n">
        <v>149.94</v>
      </c>
      <c r="J2880" s="1" t="str">
        <f aca="false">VLOOKUP(B2880,Customers!$A$2:$G$502,6,FALSE())</f>
        <v>Small Business</v>
      </c>
      <c r="K2880" s="1" t="str">
        <f aca="false">VLOOKUP(C2880,Products!$A$2:$E$62,3,FALSE())</f>
        <v>Office Supplies</v>
      </c>
      <c r="L2880" s="1" t="str">
        <f aca="false">TEXT(D2880,"yyyy-mm")</f>
        <v>2024-07</v>
      </c>
    </row>
    <row r="2881" customFormat="false" ht="15" hidden="false" customHeight="true" outlineLevel="0" collapsed="false">
      <c r="A2881" s="1" t="n">
        <v>2946</v>
      </c>
      <c r="B2881" s="1" t="n">
        <v>318</v>
      </c>
      <c r="C2881" s="1" t="n">
        <v>47</v>
      </c>
      <c r="D2881" s="1" t="s">
        <v>371</v>
      </c>
      <c r="E2881" s="1" t="n">
        <v>5</v>
      </c>
      <c r="F2881" s="1" t="n">
        <v>506.19</v>
      </c>
      <c r="G2881" s="1" t="n">
        <v>0</v>
      </c>
      <c r="H2881" s="1" t="s">
        <v>1346</v>
      </c>
      <c r="I2881" s="1" t="n">
        <v>2530.95</v>
      </c>
      <c r="J2881" s="1" t="str">
        <f aca="false">VLOOKUP(B2881,Customers!$A$2:$G$502,6,FALSE())</f>
        <v>Consumer</v>
      </c>
      <c r="K2881" s="1" t="str">
        <f aca="false">VLOOKUP(C2881,Products!$A$2:$E$62,3,FALSE())</f>
        <v>Software</v>
      </c>
      <c r="L2881" s="1" t="str">
        <f aca="false">TEXT(D2881,"yyyy-mm")</f>
        <v>2024-03</v>
      </c>
    </row>
    <row r="2882" customFormat="false" ht="15" hidden="false" customHeight="true" outlineLevel="0" collapsed="false">
      <c r="A2882" s="1" t="n">
        <v>2947</v>
      </c>
      <c r="B2882" s="1" t="n">
        <v>295</v>
      </c>
      <c r="C2882" s="1" t="n">
        <v>1</v>
      </c>
      <c r="D2882" s="1" t="s">
        <v>1682</v>
      </c>
      <c r="E2882" s="1" t="n">
        <v>5</v>
      </c>
      <c r="F2882" s="1" t="n">
        <v>327.32</v>
      </c>
      <c r="G2882" s="1" t="n">
        <v>0.2</v>
      </c>
      <c r="H2882" s="1" t="s">
        <v>1336</v>
      </c>
      <c r="I2882" s="1" t="n">
        <v>1309.28</v>
      </c>
      <c r="J2882" s="1" t="str">
        <f aca="false">VLOOKUP(B2882,Customers!$A$2:$G$502,6,FALSE())</f>
        <v>Small Business</v>
      </c>
      <c r="K2882" s="1" t="str">
        <f aca="false">VLOOKUP(C2882,Products!$A$2:$E$62,3,FALSE())</f>
        <v>Electronics</v>
      </c>
      <c r="L2882" s="1" t="str">
        <f aca="false">TEXT(D2882,"yyyy-mm")</f>
        <v>2023-11</v>
      </c>
    </row>
    <row r="2883" customFormat="false" ht="15" hidden="false" customHeight="true" outlineLevel="0" collapsed="false">
      <c r="A2883" s="1" t="n">
        <v>2948</v>
      </c>
      <c r="B2883" s="1" t="n">
        <v>191</v>
      </c>
      <c r="C2883" s="1" t="n">
        <v>38</v>
      </c>
      <c r="D2883" s="1" t="s">
        <v>969</v>
      </c>
      <c r="E2883" s="1" t="n">
        <v>6</v>
      </c>
      <c r="F2883" s="1" t="n">
        <v>521.63</v>
      </c>
      <c r="G2883" s="1" t="n">
        <v>0</v>
      </c>
      <c r="H2883" s="1" t="s">
        <v>1336</v>
      </c>
      <c r="I2883" s="1" t="n">
        <v>3129.78</v>
      </c>
      <c r="J2883" s="1" t="str">
        <f aca="false">VLOOKUP(B2883,Customers!$A$2:$G$502,6,FALSE())</f>
        <v>Corporate</v>
      </c>
      <c r="K2883" s="1" t="str">
        <f aca="false">VLOOKUP(C2883,Products!$A$2:$E$62,3,FALSE())</f>
        <v>Software</v>
      </c>
      <c r="L2883" s="1" t="str">
        <f aca="false">TEXT(D2883,"yyyy-mm")</f>
        <v>2024-08</v>
      </c>
    </row>
    <row r="2884" customFormat="false" ht="15" hidden="false" customHeight="true" outlineLevel="0" collapsed="false">
      <c r="A2884" s="1" t="n">
        <v>2949</v>
      </c>
      <c r="B2884" s="1" t="n">
        <v>459</v>
      </c>
      <c r="C2884" s="1" t="n">
        <v>48</v>
      </c>
      <c r="D2884" s="1" t="s">
        <v>1494</v>
      </c>
      <c r="E2884" s="1" t="n">
        <v>8</v>
      </c>
      <c r="F2884" s="1" t="n">
        <v>493.53</v>
      </c>
      <c r="G2884" s="1" t="n">
        <v>0.2</v>
      </c>
      <c r="H2884" s="1" t="s">
        <v>1336</v>
      </c>
      <c r="I2884" s="1" t="n">
        <v>3158.59</v>
      </c>
      <c r="J2884" s="1" t="str">
        <f aca="false">VLOOKUP(B2884,Customers!$A$2:$G$502,6,FALSE())</f>
        <v>Small Business</v>
      </c>
      <c r="K2884" s="1" t="str">
        <f aca="false">VLOOKUP(C2884,Products!$A$2:$E$62,3,FALSE())</f>
        <v>Software</v>
      </c>
      <c r="L2884" s="1" t="str">
        <f aca="false">TEXT(D2884,"yyyy-mm")</f>
        <v>2023-01</v>
      </c>
    </row>
    <row r="2885" customFormat="false" ht="15" hidden="false" customHeight="true" outlineLevel="0" collapsed="false">
      <c r="A2885" s="1" t="n">
        <v>2950</v>
      </c>
      <c r="B2885" s="1" t="n">
        <v>153</v>
      </c>
      <c r="C2885" s="1" t="n">
        <v>23</v>
      </c>
      <c r="D2885" s="1" t="s">
        <v>1183</v>
      </c>
      <c r="E2885" s="1" t="n">
        <v>2</v>
      </c>
      <c r="F2885" s="1" t="n">
        <v>188.73</v>
      </c>
      <c r="G2885" s="1" t="n">
        <v>0</v>
      </c>
      <c r="H2885" s="1" t="s">
        <v>1336</v>
      </c>
      <c r="I2885" s="1" t="n">
        <v>377.46</v>
      </c>
      <c r="J2885" s="1" t="str">
        <f aca="false">VLOOKUP(B2885,Customers!$A$2:$G$502,6,FALSE())</f>
        <v>Corporate</v>
      </c>
      <c r="K2885" s="1" t="str">
        <f aca="false">VLOOKUP(C2885,Products!$A$2:$E$62,3,FALSE())</f>
        <v>Office Supplies</v>
      </c>
      <c r="L2885" s="1" t="str">
        <f aca="false">TEXT(D2885,"yyyy-mm")</f>
        <v>2023-06</v>
      </c>
    </row>
    <row r="2886" customFormat="false" ht="15" hidden="false" customHeight="true" outlineLevel="0" collapsed="false">
      <c r="A2886" s="1" t="n">
        <v>2951</v>
      </c>
      <c r="B2886" s="1" t="n">
        <v>25</v>
      </c>
      <c r="C2886" s="1" t="n">
        <v>25</v>
      </c>
      <c r="D2886" s="1" t="s">
        <v>1504</v>
      </c>
      <c r="E2886" s="1" t="n">
        <v>6</v>
      </c>
      <c r="F2886" s="1" t="n">
        <v>300.49</v>
      </c>
      <c r="G2886" s="1" t="n">
        <v>0.05</v>
      </c>
      <c r="H2886" s="1" t="s">
        <v>1336</v>
      </c>
      <c r="I2886" s="1" t="n">
        <v>1712.79</v>
      </c>
      <c r="J2886" s="1" t="str">
        <f aca="false">VLOOKUP(B2886,Customers!$A$2:$G$502,6,FALSE())</f>
        <v>Corporate</v>
      </c>
      <c r="K2886" s="1" t="str">
        <f aca="false">VLOOKUP(C2886,Products!$A$2:$E$62,3,FALSE())</f>
        <v>Office Supplies</v>
      </c>
      <c r="L2886" s="1" t="str">
        <f aca="false">TEXT(D2886,"yyyy-mm")</f>
        <v>2023-12</v>
      </c>
    </row>
    <row r="2887" customFormat="false" ht="15" hidden="false" customHeight="true" outlineLevel="0" collapsed="false">
      <c r="A2887" s="1" t="n">
        <v>2952</v>
      </c>
      <c r="B2887" s="1" t="n">
        <v>458</v>
      </c>
      <c r="C2887" s="1" t="n">
        <v>3</v>
      </c>
      <c r="D2887" s="1" t="s">
        <v>874</v>
      </c>
      <c r="E2887" s="1" t="n">
        <v>1</v>
      </c>
      <c r="F2887" s="1" t="n">
        <v>89.39</v>
      </c>
      <c r="G2887" s="1" t="n">
        <v>0.05</v>
      </c>
      <c r="H2887" s="1" t="s">
        <v>1336</v>
      </c>
      <c r="I2887" s="1" t="n">
        <v>84.92</v>
      </c>
      <c r="J2887" s="1" t="str">
        <f aca="false">VLOOKUP(B2887,Customers!$A$2:$G$502,6,FALSE())</f>
        <v>Small Business</v>
      </c>
      <c r="K2887" s="1" t="str">
        <f aca="false">VLOOKUP(C2887,Products!$A$2:$E$62,3,FALSE())</f>
        <v>Electronics</v>
      </c>
      <c r="L2887" s="1" t="str">
        <f aca="false">TEXT(D2887,"yyyy-mm")</f>
        <v>2023-03</v>
      </c>
    </row>
    <row r="2888" customFormat="false" ht="15" hidden="false" customHeight="true" outlineLevel="0" collapsed="false">
      <c r="A2888" s="1" t="n">
        <v>2953</v>
      </c>
      <c r="B2888" s="1" t="n">
        <v>340</v>
      </c>
      <c r="C2888" s="1" t="n">
        <v>36</v>
      </c>
      <c r="D2888" s="1" t="s">
        <v>117</v>
      </c>
      <c r="E2888" s="1" t="n">
        <v>4</v>
      </c>
      <c r="F2888" s="1" t="n">
        <v>424.45</v>
      </c>
      <c r="G2888" s="1" t="n">
        <v>0</v>
      </c>
      <c r="H2888" s="1" t="s">
        <v>1336</v>
      </c>
      <c r="I2888" s="1" t="n">
        <v>1697.8</v>
      </c>
      <c r="J2888" s="1" t="str">
        <f aca="false">VLOOKUP(B2888,Customers!$A$2:$G$502,6,FALSE())</f>
        <v>Consumer</v>
      </c>
      <c r="K2888" s="1" t="str">
        <f aca="false">VLOOKUP(C2888,Products!$A$2:$E$62,3,FALSE())</f>
        <v>Software</v>
      </c>
      <c r="L2888" s="1" t="str">
        <f aca="false">TEXT(D2888,"yyyy-mm")</f>
        <v>2023-03</v>
      </c>
    </row>
    <row r="2889" customFormat="false" ht="15" hidden="false" customHeight="true" outlineLevel="0" collapsed="false">
      <c r="A2889" s="1" t="n">
        <v>2954</v>
      </c>
      <c r="B2889" s="1" t="n">
        <v>11</v>
      </c>
      <c r="C2889" s="1" t="n">
        <v>33</v>
      </c>
      <c r="D2889" s="1" t="s">
        <v>772</v>
      </c>
      <c r="E2889" s="1" t="n">
        <v>3</v>
      </c>
      <c r="F2889" s="1" t="n">
        <v>190.1</v>
      </c>
      <c r="G2889" s="1" t="n">
        <v>0</v>
      </c>
      <c r="H2889" s="1" t="s">
        <v>1336</v>
      </c>
      <c r="I2889" s="1" t="n">
        <v>570.3</v>
      </c>
      <c r="J2889" s="1" t="str">
        <f aca="false">VLOOKUP(B2889,Customers!$A$2:$G$502,6,FALSE())</f>
        <v>Consumer</v>
      </c>
      <c r="K2889" s="1" t="str">
        <f aca="false">VLOOKUP(C2889,Products!$A$2:$E$62,3,FALSE())</f>
        <v>Office Supplies</v>
      </c>
      <c r="L2889" s="1" t="str">
        <f aca="false">TEXT(D2889,"yyyy-mm")</f>
        <v>2023-10</v>
      </c>
    </row>
    <row r="2890" customFormat="false" ht="15" hidden="false" customHeight="true" outlineLevel="0" collapsed="false">
      <c r="A2890" s="1" t="n">
        <v>2955</v>
      </c>
      <c r="B2890" s="1" t="n">
        <v>435</v>
      </c>
      <c r="C2890" s="1" t="n">
        <v>26</v>
      </c>
      <c r="D2890" s="1" t="s">
        <v>476</v>
      </c>
      <c r="E2890" s="1" t="n">
        <v>9</v>
      </c>
      <c r="F2890" s="1" t="n">
        <v>733.85</v>
      </c>
      <c r="G2890" s="1" t="n">
        <v>0</v>
      </c>
      <c r="H2890" s="1" t="s">
        <v>1336</v>
      </c>
      <c r="I2890" s="1" t="n">
        <v>6604.65</v>
      </c>
      <c r="J2890" s="1" t="str">
        <f aca="false">VLOOKUP(B2890,Customers!$A$2:$G$502,6,FALSE())</f>
        <v>Unknown</v>
      </c>
      <c r="K2890" s="1" t="str">
        <f aca="false">VLOOKUP(C2890,Products!$A$2:$E$62,3,FALSE())</f>
        <v>Office Supplies</v>
      </c>
      <c r="L2890" s="1" t="str">
        <f aca="false">TEXT(D2890,"yyyy-mm")</f>
        <v>2023-10</v>
      </c>
    </row>
    <row r="2891" customFormat="false" ht="15" hidden="false" customHeight="true" outlineLevel="0" collapsed="false">
      <c r="A2891" s="1" t="n">
        <v>2956</v>
      </c>
      <c r="B2891" s="1" t="n">
        <v>166</v>
      </c>
      <c r="C2891" s="1" t="n">
        <v>52</v>
      </c>
      <c r="D2891" s="1" t="s">
        <v>1497</v>
      </c>
      <c r="E2891" s="1" t="n">
        <v>3</v>
      </c>
      <c r="F2891" s="1" t="n">
        <v>207.67</v>
      </c>
      <c r="G2891" s="1" t="n">
        <v>0.1</v>
      </c>
      <c r="H2891" s="1" t="s">
        <v>1336</v>
      </c>
      <c r="I2891" s="1" t="n">
        <v>560.71</v>
      </c>
      <c r="J2891" s="1" t="str">
        <f aca="false">VLOOKUP(B2891,Customers!$A$2:$G$502,6,FALSE())</f>
        <v>Small Business</v>
      </c>
      <c r="K2891" s="1" t="str">
        <f aca="false">VLOOKUP(C2891,Products!$A$2:$E$62,3,FALSE())</f>
        <v>Software</v>
      </c>
      <c r="L2891" s="1" t="str">
        <f aca="false">TEXT(D2891,"yyyy-mm")</f>
        <v>2023-01</v>
      </c>
    </row>
    <row r="2892" customFormat="false" ht="15" hidden="false" customHeight="true" outlineLevel="0" collapsed="false">
      <c r="A2892" s="1" t="n">
        <v>2957</v>
      </c>
      <c r="B2892" s="1" t="n">
        <v>90</v>
      </c>
      <c r="C2892" s="1" t="n">
        <v>14</v>
      </c>
      <c r="D2892" s="1" t="s">
        <v>1420</v>
      </c>
      <c r="E2892" s="1" t="n">
        <v>6</v>
      </c>
      <c r="F2892" s="1" t="n">
        <v>135.27</v>
      </c>
      <c r="G2892" s="1" t="n">
        <v>0.1</v>
      </c>
      <c r="H2892" s="1" t="s">
        <v>1336</v>
      </c>
      <c r="I2892" s="1" t="n">
        <v>730.46</v>
      </c>
      <c r="J2892" s="1" t="str">
        <f aca="false">VLOOKUP(B2892,Customers!$A$2:$G$502,6,FALSE())</f>
        <v>Consumer</v>
      </c>
      <c r="K2892" s="1" t="str">
        <f aca="false">VLOOKUP(C2892,Products!$A$2:$E$62,3,FALSE())</f>
        <v>Electronics</v>
      </c>
      <c r="L2892" s="1" t="str">
        <f aca="false">TEXT(D2892,"yyyy-mm")</f>
        <v>2023-11</v>
      </c>
    </row>
    <row r="2893" customFormat="false" ht="15" hidden="false" customHeight="true" outlineLevel="0" collapsed="false">
      <c r="A2893" s="1" t="n">
        <v>2958</v>
      </c>
      <c r="B2893" s="1" t="n">
        <v>158</v>
      </c>
      <c r="C2893" s="1" t="n">
        <v>8</v>
      </c>
      <c r="D2893" s="1" t="s">
        <v>1092</v>
      </c>
      <c r="E2893" s="1" t="n">
        <v>1</v>
      </c>
      <c r="F2893" s="1" t="n">
        <v>104.4</v>
      </c>
      <c r="G2893" s="1" t="n">
        <v>0</v>
      </c>
      <c r="H2893" s="1" t="s">
        <v>1336</v>
      </c>
      <c r="I2893" s="1" t="n">
        <v>104.4</v>
      </c>
      <c r="J2893" s="1" t="str">
        <f aca="false">VLOOKUP(B2893,Customers!$A$2:$G$502,6,FALSE())</f>
        <v>Small Business</v>
      </c>
      <c r="K2893" s="1" t="str">
        <f aca="false">VLOOKUP(C2893,Products!$A$2:$E$62,3,FALSE())</f>
        <v>Electronics</v>
      </c>
      <c r="L2893" s="1" t="str">
        <f aca="false">TEXT(D2893,"yyyy-mm")</f>
        <v>2023-12</v>
      </c>
    </row>
    <row r="2894" customFormat="false" ht="15" hidden="false" customHeight="true" outlineLevel="0" collapsed="false">
      <c r="A2894" s="1" t="n">
        <v>2959</v>
      </c>
      <c r="B2894" s="1" t="n">
        <v>174</v>
      </c>
      <c r="C2894" s="1" t="n">
        <v>21</v>
      </c>
      <c r="D2894" s="1" t="s">
        <v>1262</v>
      </c>
      <c r="E2894" s="1" t="n">
        <v>6</v>
      </c>
      <c r="F2894" s="1" t="n">
        <v>84.91</v>
      </c>
      <c r="G2894" s="1" t="n">
        <v>0</v>
      </c>
      <c r="H2894" s="1" t="s">
        <v>1336</v>
      </c>
      <c r="I2894" s="1" t="n">
        <v>509.46</v>
      </c>
      <c r="J2894" s="1" t="str">
        <f aca="false">VLOOKUP(B2894,Customers!$A$2:$G$502,6,FALSE())</f>
        <v>Small Business</v>
      </c>
      <c r="K2894" s="1" t="str">
        <f aca="false">VLOOKUP(C2894,Products!$A$2:$E$62,3,FALSE())</f>
        <v>Office Supplies</v>
      </c>
      <c r="L2894" s="1" t="str">
        <f aca="false">TEXT(D2894,"yyyy-mm")</f>
        <v>2024-04</v>
      </c>
    </row>
    <row r="2895" customFormat="false" ht="15" hidden="false" customHeight="true" outlineLevel="0" collapsed="false">
      <c r="A2895" s="1" t="n">
        <v>2960</v>
      </c>
      <c r="B2895" s="1" t="n">
        <v>256</v>
      </c>
      <c r="C2895" s="1" t="n">
        <v>37</v>
      </c>
      <c r="D2895" s="1" t="s">
        <v>1347</v>
      </c>
      <c r="E2895" s="1" t="n">
        <v>4</v>
      </c>
      <c r="F2895" s="1" t="n">
        <v>13.95</v>
      </c>
      <c r="G2895" s="1" t="n">
        <v>0</v>
      </c>
      <c r="H2895" s="1" t="s">
        <v>1336</v>
      </c>
      <c r="I2895" s="1" t="n">
        <v>55.8</v>
      </c>
      <c r="J2895" s="1" t="str">
        <f aca="false">VLOOKUP(B2895,Customers!$A$2:$G$502,6,FALSE())</f>
        <v>Small Business</v>
      </c>
      <c r="K2895" s="1" t="str">
        <f aca="false">VLOOKUP(C2895,Products!$A$2:$E$62,3,FALSE())</f>
        <v>Software</v>
      </c>
      <c r="L2895" s="1" t="str">
        <f aca="false">TEXT(D2895,"yyyy-mm")</f>
        <v>2024-01</v>
      </c>
    </row>
    <row r="2896" customFormat="false" ht="15" hidden="false" customHeight="true" outlineLevel="0" collapsed="false">
      <c r="A2896" s="1" t="n">
        <v>2961</v>
      </c>
      <c r="B2896" s="1" t="n">
        <v>391</v>
      </c>
      <c r="C2896" s="1" t="n">
        <v>14</v>
      </c>
      <c r="D2896" s="1" t="s">
        <v>1177</v>
      </c>
      <c r="E2896" s="1" t="n">
        <v>8</v>
      </c>
      <c r="F2896" s="1" t="n">
        <v>135.27</v>
      </c>
      <c r="G2896" s="1" t="n">
        <v>0.15</v>
      </c>
      <c r="H2896" s="1" t="s">
        <v>1336</v>
      </c>
      <c r="I2896" s="1" t="n">
        <v>919.84</v>
      </c>
      <c r="J2896" s="1" t="str">
        <f aca="false">VLOOKUP(B2896,Customers!$A$2:$G$502,6,FALSE())</f>
        <v>Small Business</v>
      </c>
      <c r="K2896" s="1" t="str">
        <f aca="false">VLOOKUP(C2896,Products!$A$2:$E$62,3,FALSE())</f>
        <v>Electronics</v>
      </c>
      <c r="L2896" s="1" t="str">
        <f aca="false">TEXT(D2896,"yyyy-mm")</f>
        <v>2023-08</v>
      </c>
    </row>
    <row r="2897" customFormat="false" ht="15" hidden="false" customHeight="true" outlineLevel="0" collapsed="false">
      <c r="A2897" s="1" t="n">
        <v>2962</v>
      </c>
      <c r="B2897" s="1" t="n">
        <v>93</v>
      </c>
      <c r="C2897" s="1" t="n">
        <v>60</v>
      </c>
      <c r="D2897" s="1" t="s">
        <v>1273</v>
      </c>
      <c r="E2897" s="1" t="n">
        <v>9</v>
      </c>
      <c r="F2897" s="1" t="n">
        <v>584.98</v>
      </c>
      <c r="G2897" s="1" t="n">
        <v>0.2</v>
      </c>
      <c r="H2897" s="1" t="s">
        <v>1336</v>
      </c>
      <c r="I2897" s="1" t="n">
        <v>4211.86</v>
      </c>
      <c r="J2897" s="1" t="str">
        <f aca="false">VLOOKUP(B2897,Customers!$A$2:$G$502,6,FALSE())</f>
        <v>Consumer</v>
      </c>
      <c r="K2897" s="1" t="str">
        <f aca="false">VLOOKUP(C2897,Products!$A$2:$E$62,3,FALSE())</f>
        <v>Furniture</v>
      </c>
      <c r="L2897" s="1" t="str">
        <f aca="false">TEXT(D2897,"yyyy-mm")</f>
        <v>2023-08</v>
      </c>
    </row>
    <row r="2898" customFormat="false" ht="15" hidden="false" customHeight="true" outlineLevel="0" collapsed="false">
      <c r="A2898" s="1" t="n">
        <v>2963</v>
      </c>
      <c r="B2898" s="1" t="n">
        <v>199</v>
      </c>
      <c r="C2898" s="1" t="n">
        <v>15</v>
      </c>
      <c r="D2898" s="1" t="s">
        <v>183</v>
      </c>
      <c r="E2898" s="1" t="n">
        <v>4</v>
      </c>
      <c r="F2898" s="1" t="n">
        <v>304.95</v>
      </c>
      <c r="G2898" s="1" t="n">
        <v>0</v>
      </c>
      <c r="H2898" s="1" t="s">
        <v>1336</v>
      </c>
      <c r="I2898" s="1" t="n">
        <v>1219.8</v>
      </c>
      <c r="J2898" s="1" t="str">
        <f aca="false">VLOOKUP(B2898,Customers!$A$2:$G$502,6,FALSE())</f>
        <v>Corporate</v>
      </c>
      <c r="K2898" s="1" t="str">
        <f aca="false">VLOOKUP(C2898,Products!$A$2:$E$62,3,FALSE())</f>
        <v>Electronics</v>
      </c>
      <c r="L2898" s="1" t="str">
        <f aca="false">TEXT(D2898,"yyyy-mm")</f>
        <v>2023-02</v>
      </c>
    </row>
    <row r="2899" customFormat="false" ht="15" hidden="false" customHeight="true" outlineLevel="0" collapsed="false">
      <c r="A2899" s="1" t="n">
        <v>2964</v>
      </c>
      <c r="B2899" s="1" t="n">
        <v>464</v>
      </c>
      <c r="C2899" s="1" t="n">
        <v>57</v>
      </c>
      <c r="D2899" s="1" t="s">
        <v>84</v>
      </c>
      <c r="E2899" s="1" t="n">
        <v>6</v>
      </c>
      <c r="F2899" s="1" t="n">
        <v>719.76</v>
      </c>
      <c r="G2899" s="1" t="n">
        <v>0.1</v>
      </c>
      <c r="H2899" s="1" t="s">
        <v>1336</v>
      </c>
      <c r="I2899" s="1" t="n">
        <v>3886.7</v>
      </c>
      <c r="J2899" s="1" t="str">
        <f aca="false">VLOOKUP(B2899,Customers!$A$2:$G$502,6,FALSE())</f>
        <v>Consumer</v>
      </c>
      <c r="K2899" s="1" t="str">
        <f aca="false">VLOOKUP(C2899,Products!$A$2:$E$62,3,FALSE())</f>
        <v>Furniture</v>
      </c>
      <c r="L2899" s="1" t="str">
        <f aca="false">TEXT(D2899,"yyyy-mm")</f>
        <v>2024-12</v>
      </c>
    </row>
    <row r="2900" customFormat="false" ht="15" hidden="false" customHeight="true" outlineLevel="0" collapsed="false">
      <c r="A2900" s="1" t="n">
        <v>2965</v>
      </c>
      <c r="B2900" s="1" t="n">
        <v>81</v>
      </c>
      <c r="C2900" s="1" t="n">
        <v>39</v>
      </c>
      <c r="D2900" s="1" t="s">
        <v>1528</v>
      </c>
      <c r="E2900" s="1" t="n">
        <v>1</v>
      </c>
      <c r="F2900" s="1" t="n">
        <v>400.02</v>
      </c>
      <c r="G2900" s="1" t="n">
        <v>0.2</v>
      </c>
      <c r="H2900" s="1" t="s">
        <v>1336</v>
      </c>
      <c r="I2900" s="1" t="n">
        <v>320.02</v>
      </c>
      <c r="J2900" s="1" t="str">
        <f aca="false">VLOOKUP(B2900,Customers!$A$2:$G$502,6,FALSE())</f>
        <v>Consumer</v>
      </c>
      <c r="K2900" s="1" t="str">
        <f aca="false">VLOOKUP(C2900,Products!$A$2:$E$62,3,FALSE())</f>
        <v>Software</v>
      </c>
      <c r="L2900" s="1" t="str">
        <f aca="false">TEXT(D2900,"yyyy-mm")</f>
        <v>2023-05</v>
      </c>
    </row>
    <row r="2901" customFormat="false" ht="15" hidden="false" customHeight="true" outlineLevel="0" collapsed="false">
      <c r="A2901" s="1" t="n">
        <v>2966</v>
      </c>
      <c r="B2901" s="1" t="n">
        <v>394</v>
      </c>
      <c r="C2901" s="1" t="n">
        <v>12</v>
      </c>
      <c r="D2901" s="1" t="s">
        <v>1269</v>
      </c>
      <c r="E2901" s="1" t="n">
        <v>4</v>
      </c>
      <c r="F2901" s="1" t="n">
        <v>179.23</v>
      </c>
      <c r="G2901" s="1" t="n">
        <v>0</v>
      </c>
      <c r="H2901" s="1" t="s">
        <v>1336</v>
      </c>
      <c r="I2901" s="1" t="n">
        <v>716.92</v>
      </c>
      <c r="J2901" s="1" t="str">
        <f aca="false">VLOOKUP(B2901,Customers!$A$2:$G$502,6,FALSE())</f>
        <v>Corporate</v>
      </c>
      <c r="K2901" s="1" t="str">
        <f aca="false">VLOOKUP(C2901,Products!$A$2:$E$62,3,FALSE())</f>
        <v>Electronics</v>
      </c>
      <c r="L2901" s="1" t="str">
        <f aca="false">TEXT(D2901,"yyyy-mm")</f>
        <v>2023-05</v>
      </c>
    </row>
    <row r="2902" customFormat="false" ht="15" hidden="false" customHeight="true" outlineLevel="0" collapsed="false">
      <c r="A2902" s="1" t="n">
        <v>2967</v>
      </c>
      <c r="B2902" s="1" t="n">
        <v>108</v>
      </c>
      <c r="C2902" s="1" t="n">
        <v>31</v>
      </c>
      <c r="D2902" s="1" t="s">
        <v>1235</v>
      </c>
      <c r="E2902" s="1" t="n">
        <v>7</v>
      </c>
      <c r="F2902" s="1" t="n">
        <v>224.86</v>
      </c>
      <c r="G2902" s="1" t="n">
        <v>0.05</v>
      </c>
      <c r="H2902" s="1" t="s">
        <v>1336</v>
      </c>
      <c r="I2902" s="1" t="n">
        <v>1495.32</v>
      </c>
      <c r="J2902" s="1" t="str">
        <f aca="false">VLOOKUP(B2902,Customers!$A$2:$G$502,6,FALSE())</f>
        <v>Consumer</v>
      </c>
      <c r="K2902" s="1" t="str">
        <f aca="false">VLOOKUP(C2902,Products!$A$2:$E$62,3,FALSE())</f>
        <v>Office Supplies</v>
      </c>
      <c r="L2902" s="1" t="str">
        <f aca="false">TEXT(D2902,"yyyy-mm")</f>
        <v>2023-01</v>
      </c>
    </row>
    <row r="2903" customFormat="false" ht="15" hidden="false" customHeight="true" outlineLevel="0" collapsed="false">
      <c r="A2903" s="1" t="n">
        <v>2968</v>
      </c>
      <c r="B2903" s="1" t="n">
        <v>111</v>
      </c>
      <c r="C2903" s="1" t="n">
        <v>8</v>
      </c>
      <c r="D2903" s="1" t="s">
        <v>1650</v>
      </c>
      <c r="E2903" s="1" t="n">
        <v>1</v>
      </c>
      <c r="F2903" s="1" t="n">
        <v>104.4</v>
      </c>
      <c r="G2903" s="1" t="n">
        <v>0.1</v>
      </c>
      <c r="H2903" s="1" t="s">
        <v>1336</v>
      </c>
      <c r="I2903" s="1" t="n">
        <v>93.96</v>
      </c>
      <c r="J2903" s="1" t="str">
        <f aca="false">VLOOKUP(B2903,Customers!$A$2:$G$502,6,FALSE())</f>
        <v>Small Business</v>
      </c>
      <c r="K2903" s="1" t="str">
        <f aca="false">VLOOKUP(C2903,Products!$A$2:$E$62,3,FALSE())</f>
        <v>Electronics</v>
      </c>
      <c r="L2903" s="1" t="str">
        <f aca="false">TEXT(D2903,"yyyy-mm")</f>
        <v>2023-08</v>
      </c>
    </row>
    <row r="2904" customFormat="false" ht="15" hidden="false" customHeight="true" outlineLevel="0" collapsed="false">
      <c r="A2904" s="1" t="n">
        <v>2969</v>
      </c>
      <c r="B2904" s="1" t="n">
        <v>184</v>
      </c>
      <c r="C2904" s="1" t="n">
        <v>1</v>
      </c>
      <c r="D2904" s="1" t="s">
        <v>1572</v>
      </c>
      <c r="E2904" s="1" t="n">
        <v>8</v>
      </c>
      <c r="F2904" s="1" t="n">
        <v>327.32</v>
      </c>
      <c r="G2904" s="1" t="n">
        <v>0</v>
      </c>
      <c r="H2904" s="1" t="s">
        <v>1336</v>
      </c>
      <c r="I2904" s="1" t="n">
        <v>2618.56</v>
      </c>
      <c r="J2904" s="1" t="str">
        <f aca="false">VLOOKUP(B2904,Customers!$A$2:$G$502,6,FALSE())</f>
        <v>Corporate</v>
      </c>
      <c r="K2904" s="1" t="str">
        <f aca="false">VLOOKUP(C2904,Products!$A$2:$E$62,3,FALSE())</f>
        <v>Electronics</v>
      </c>
      <c r="L2904" s="1" t="str">
        <f aca="false">TEXT(D2904,"yyyy-mm")</f>
        <v>2023-07</v>
      </c>
    </row>
    <row r="2905" customFormat="false" ht="15" hidden="false" customHeight="true" outlineLevel="0" collapsed="false">
      <c r="A2905" s="1" t="n">
        <v>2970</v>
      </c>
      <c r="B2905" s="1" t="n">
        <v>123</v>
      </c>
      <c r="C2905" s="1" t="n">
        <v>42</v>
      </c>
      <c r="D2905" s="1" t="s">
        <v>726</v>
      </c>
      <c r="E2905" s="1" t="n">
        <v>6</v>
      </c>
      <c r="F2905" s="1" t="n">
        <v>174.48</v>
      </c>
      <c r="G2905" s="1" t="n">
        <v>0</v>
      </c>
      <c r="H2905" s="1" t="s">
        <v>1336</v>
      </c>
      <c r="I2905" s="1" t="n">
        <v>1046.88</v>
      </c>
      <c r="J2905" s="1" t="str">
        <f aca="false">VLOOKUP(B2905,Customers!$A$2:$G$502,6,FALSE())</f>
        <v>Small Business</v>
      </c>
      <c r="K2905" s="1" t="str">
        <f aca="false">VLOOKUP(C2905,Products!$A$2:$E$62,3,FALSE())</f>
        <v>Software</v>
      </c>
      <c r="L2905" s="1" t="str">
        <f aca="false">TEXT(D2905,"yyyy-mm")</f>
        <v>2023-09</v>
      </c>
    </row>
    <row r="2906" customFormat="false" ht="15" hidden="false" customHeight="true" outlineLevel="0" collapsed="false">
      <c r="A2906" s="1" t="n">
        <v>2971</v>
      </c>
      <c r="B2906" s="1" t="n">
        <v>32</v>
      </c>
      <c r="C2906" s="1" t="n">
        <v>1</v>
      </c>
      <c r="D2906" s="1" t="s">
        <v>692</v>
      </c>
      <c r="E2906" s="1" t="n">
        <v>5</v>
      </c>
      <c r="F2906" s="1" t="n">
        <v>327.32</v>
      </c>
      <c r="G2906" s="1" t="n">
        <v>0.15</v>
      </c>
      <c r="H2906" s="1" t="s">
        <v>1336</v>
      </c>
      <c r="I2906" s="1" t="n">
        <v>1391.11</v>
      </c>
      <c r="J2906" s="1" t="str">
        <f aca="false">VLOOKUP(B2906,Customers!$A$2:$G$502,6,FALSE())</f>
        <v>Small Business</v>
      </c>
      <c r="K2906" s="1" t="str">
        <f aca="false">VLOOKUP(C2906,Products!$A$2:$E$62,3,FALSE())</f>
        <v>Electronics</v>
      </c>
      <c r="L2906" s="1" t="str">
        <f aca="false">TEXT(D2906,"yyyy-mm")</f>
        <v>2023-03</v>
      </c>
    </row>
    <row r="2907" customFormat="false" ht="15" hidden="false" customHeight="true" outlineLevel="0" collapsed="false">
      <c r="A2907" s="1" t="n">
        <v>2972</v>
      </c>
      <c r="B2907" s="1" t="n">
        <v>193</v>
      </c>
      <c r="C2907" s="1" t="n">
        <v>10</v>
      </c>
      <c r="D2907" s="1" t="s">
        <v>1280</v>
      </c>
      <c r="E2907" s="1" t="n">
        <v>9</v>
      </c>
      <c r="F2907" s="1" t="n">
        <v>251.58</v>
      </c>
      <c r="G2907" s="1" t="n">
        <v>0.2</v>
      </c>
      <c r="H2907" s="1" t="s">
        <v>1336</v>
      </c>
      <c r="I2907" s="1" t="n">
        <v>1811.38</v>
      </c>
      <c r="J2907" s="1" t="str">
        <f aca="false">VLOOKUP(B2907,Customers!$A$2:$G$502,6,FALSE())</f>
        <v>Consumer</v>
      </c>
      <c r="K2907" s="1" t="str">
        <f aca="false">VLOOKUP(C2907,Products!$A$2:$E$62,3,FALSE())</f>
        <v>Electronics</v>
      </c>
      <c r="L2907" s="1" t="str">
        <f aca="false">TEXT(D2907,"yyyy-mm")</f>
        <v>2023-07</v>
      </c>
    </row>
    <row r="2908" customFormat="false" ht="15" hidden="false" customHeight="true" outlineLevel="0" collapsed="false">
      <c r="A2908" s="1" t="n">
        <v>2973</v>
      </c>
      <c r="B2908" s="1" t="n">
        <v>33</v>
      </c>
      <c r="C2908" s="1" t="n">
        <v>33</v>
      </c>
      <c r="D2908" s="1" t="s">
        <v>248</v>
      </c>
      <c r="E2908" s="1" t="n">
        <v>2</v>
      </c>
      <c r="F2908" s="1" t="n">
        <v>190.1</v>
      </c>
      <c r="G2908" s="1" t="n">
        <v>0</v>
      </c>
      <c r="H2908" s="1" t="s">
        <v>1370</v>
      </c>
      <c r="I2908" s="1" t="n">
        <v>380.2</v>
      </c>
      <c r="J2908" s="1" t="str">
        <f aca="false">VLOOKUP(B2908,Customers!$A$2:$G$502,6,FALSE())</f>
        <v>Corporate</v>
      </c>
      <c r="K2908" s="1" t="str">
        <f aca="false">VLOOKUP(C2908,Products!$A$2:$E$62,3,FALSE())</f>
        <v>Office Supplies</v>
      </c>
      <c r="L2908" s="1" t="str">
        <f aca="false">TEXT(D2908,"yyyy-mm")</f>
        <v>2024-01</v>
      </c>
    </row>
    <row r="2909" customFormat="false" ht="15" hidden="false" customHeight="true" outlineLevel="0" collapsed="false">
      <c r="A2909" s="1" t="n">
        <v>2974</v>
      </c>
      <c r="B2909" s="1" t="n">
        <v>319</v>
      </c>
      <c r="C2909" s="1" t="n">
        <v>52</v>
      </c>
      <c r="D2909" s="1" t="s">
        <v>56</v>
      </c>
      <c r="E2909" s="1" t="n">
        <v>5</v>
      </c>
      <c r="F2909" s="1" t="n">
        <v>207.67</v>
      </c>
      <c r="G2909" s="1" t="n">
        <v>0</v>
      </c>
      <c r="H2909" s="1" t="s">
        <v>1336</v>
      </c>
      <c r="I2909" s="1" t="n">
        <v>1038.35</v>
      </c>
      <c r="J2909" s="1" t="str">
        <f aca="false">VLOOKUP(B2909,Customers!$A$2:$G$502,6,FALSE())</f>
        <v>Corporate</v>
      </c>
      <c r="K2909" s="1" t="str">
        <f aca="false">VLOOKUP(C2909,Products!$A$2:$E$62,3,FALSE())</f>
        <v>Software</v>
      </c>
      <c r="L2909" s="1" t="str">
        <f aca="false">TEXT(D2909,"yyyy-mm")</f>
        <v>2023-05</v>
      </c>
    </row>
    <row r="2910" customFormat="false" ht="15" hidden="false" customHeight="true" outlineLevel="0" collapsed="false">
      <c r="A2910" s="1" t="n">
        <v>2975</v>
      </c>
      <c r="B2910" s="1" t="n">
        <v>112</v>
      </c>
      <c r="C2910" s="1" t="n">
        <v>9</v>
      </c>
      <c r="D2910" s="1" t="s">
        <v>317</v>
      </c>
      <c r="E2910" s="1" t="n">
        <v>6</v>
      </c>
      <c r="F2910" s="1" t="n">
        <v>203.1</v>
      </c>
      <c r="G2910" s="1" t="n">
        <v>0</v>
      </c>
      <c r="H2910" s="1" t="s">
        <v>1370</v>
      </c>
      <c r="I2910" s="1" t="n">
        <v>1218.6</v>
      </c>
      <c r="J2910" s="1" t="str">
        <f aca="false">VLOOKUP(B2910,Customers!$A$2:$G$502,6,FALSE())</f>
        <v>Corporate</v>
      </c>
      <c r="K2910" s="1" t="str">
        <f aca="false">VLOOKUP(C2910,Products!$A$2:$E$62,3,FALSE())</f>
        <v>Electronics</v>
      </c>
      <c r="L2910" s="1" t="str">
        <f aca="false">TEXT(D2910,"yyyy-mm")</f>
        <v>2023-08</v>
      </c>
    </row>
    <row r="2911" customFormat="false" ht="15" hidden="false" customHeight="true" outlineLevel="0" collapsed="false">
      <c r="A2911" s="1" t="n">
        <v>2976</v>
      </c>
      <c r="B2911" s="1" t="n">
        <v>274</v>
      </c>
      <c r="C2911" s="1" t="n">
        <v>50</v>
      </c>
      <c r="D2911" s="1" t="s">
        <v>1191</v>
      </c>
      <c r="E2911" s="1" t="n">
        <v>7</v>
      </c>
      <c r="F2911" s="1" t="n">
        <v>19.73</v>
      </c>
      <c r="G2911" s="1" t="n">
        <v>0</v>
      </c>
      <c r="H2911" s="1" t="s">
        <v>1336</v>
      </c>
      <c r="I2911" s="1" t="n">
        <v>138.11</v>
      </c>
      <c r="J2911" s="1" t="str">
        <f aca="false">VLOOKUP(B2911,Customers!$A$2:$G$502,6,FALSE())</f>
        <v>Corporate</v>
      </c>
      <c r="K2911" s="1" t="str">
        <f aca="false">VLOOKUP(C2911,Products!$A$2:$E$62,3,FALSE())</f>
        <v>Software</v>
      </c>
      <c r="L2911" s="1" t="str">
        <f aca="false">TEXT(D2911,"yyyy-mm")</f>
        <v>2023-03</v>
      </c>
    </row>
    <row r="2912" customFormat="false" ht="15" hidden="false" customHeight="true" outlineLevel="0" collapsed="false">
      <c r="A2912" s="1" t="n">
        <v>2977</v>
      </c>
      <c r="B2912" s="1" t="n">
        <v>228</v>
      </c>
      <c r="C2912" s="1" t="n">
        <v>1</v>
      </c>
      <c r="D2912" s="1" t="s">
        <v>673</v>
      </c>
      <c r="E2912" s="1" t="n">
        <v>5</v>
      </c>
      <c r="F2912" s="1" t="n">
        <v>327.32</v>
      </c>
      <c r="G2912" s="1" t="n">
        <v>0.1</v>
      </c>
      <c r="H2912" s="1" t="s">
        <v>1336</v>
      </c>
      <c r="I2912" s="1" t="n">
        <v>1472.94</v>
      </c>
      <c r="J2912" s="1" t="str">
        <f aca="false">VLOOKUP(B2912,Customers!$A$2:$G$502,6,FALSE())</f>
        <v>Small Business</v>
      </c>
      <c r="K2912" s="1" t="str">
        <f aca="false">VLOOKUP(C2912,Products!$A$2:$E$62,3,FALSE())</f>
        <v>Electronics</v>
      </c>
      <c r="L2912" s="1" t="str">
        <f aca="false">TEXT(D2912,"yyyy-mm")</f>
        <v>2023-05</v>
      </c>
    </row>
    <row r="2913" customFormat="false" ht="15" hidden="false" customHeight="true" outlineLevel="0" collapsed="false">
      <c r="A2913" s="1" t="n">
        <v>2978</v>
      </c>
      <c r="B2913" s="1" t="n">
        <v>468</v>
      </c>
      <c r="C2913" s="1" t="n">
        <v>7</v>
      </c>
      <c r="D2913" s="1" t="s">
        <v>1458</v>
      </c>
      <c r="E2913" s="1" t="n">
        <v>9</v>
      </c>
      <c r="F2913" s="1" t="n">
        <v>460</v>
      </c>
      <c r="G2913" s="1" t="n">
        <v>0.15</v>
      </c>
      <c r="H2913" s="1" t="s">
        <v>1336</v>
      </c>
      <c r="I2913" s="1" t="n">
        <v>3519</v>
      </c>
      <c r="J2913" s="1" t="str">
        <f aca="false">VLOOKUP(B2913,Customers!$A$2:$G$502,6,FALSE())</f>
        <v>Small Business</v>
      </c>
      <c r="K2913" s="1" t="str">
        <f aca="false">VLOOKUP(C2913,Products!$A$2:$E$62,3,FALSE())</f>
        <v>Electronics</v>
      </c>
      <c r="L2913" s="1" t="str">
        <f aca="false">TEXT(D2913,"yyyy-mm")</f>
        <v>2023-03</v>
      </c>
    </row>
    <row r="2914" customFormat="false" ht="15" hidden="false" customHeight="true" outlineLevel="0" collapsed="false">
      <c r="A2914" s="1" t="n">
        <v>2979</v>
      </c>
      <c r="B2914" s="1" t="n">
        <v>175</v>
      </c>
      <c r="C2914" s="1" t="n">
        <v>4</v>
      </c>
      <c r="D2914" s="1" t="s">
        <v>1402</v>
      </c>
      <c r="E2914" s="1" t="n">
        <v>1</v>
      </c>
      <c r="F2914" s="1" t="n">
        <v>56.24</v>
      </c>
      <c r="G2914" s="1" t="n">
        <v>0</v>
      </c>
      <c r="H2914" s="1" t="s">
        <v>1336</v>
      </c>
      <c r="I2914" s="1" t="n">
        <v>56.24</v>
      </c>
      <c r="J2914" s="1" t="str">
        <f aca="false">VLOOKUP(B2914,Customers!$A$2:$G$502,6,FALSE())</f>
        <v>Consumer</v>
      </c>
      <c r="K2914" s="1" t="str">
        <f aca="false">VLOOKUP(C2914,Products!$A$2:$E$62,3,FALSE())</f>
        <v>Electronics</v>
      </c>
      <c r="L2914" s="1" t="str">
        <f aca="false">TEXT(D2914,"yyyy-mm")</f>
        <v>2023-12</v>
      </c>
    </row>
    <row r="2915" customFormat="false" ht="15" hidden="false" customHeight="true" outlineLevel="0" collapsed="false">
      <c r="A2915" s="1" t="n">
        <v>2980</v>
      </c>
      <c r="B2915" s="1" t="n">
        <v>14</v>
      </c>
      <c r="C2915" s="1" t="n">
        <v>51</v>
      </c>
      <c r="D2915" s="1" t="s">
        <v>435</v>
      </c>
      <c r="E2915" s="1" t="n">
        <v>7</v>
      </c>
      <c r="F2915" s="1" t="n">
        <v>30.16</v>
      </c>
      <c r="G2915" s="1" t="n">
        <v>0</v>
      </c>
      <c r="H2915" s="1" t="s">
        <v>1336</v>
      </c>
      <c r="I2915" s="1" t="n">
        <v>211.12</v>
      </c>
      <c r="J2915" s="1" t="str">
        <f aca="false">VLOOKUP(B2915,Customers!$A$2:$G$502,6,FALSE())</f>
        <v>Small Business</v>
      </c>
      <c r="K2915" s="1" t="str">
        <f aca="false">VLOOKUP(C2915,Products!$A$2:$E$62,3,FALSE())</f>
        <v>Software</v>
      </c>
      <c r="L2915" s="1" t="str">
        <f aca="false">TEXT(D2915,"yyyy-mm")</f>
        <v>2024-08</v>
      </c>
    </row>
    <row r="2916" customFormat="false" ht="15" hidden="false" customHeight="true" outlineLevel="0" collapsed="false">
      <c r="A2916" s="1" t="n">
        <v>2981</v>
      </c>
      <c r="B2916" s="1" t="n">
        <v>29</v>
      </c>
      <c r="C2916" s="1" t="n">
        <v>27</v>
      </c>
      <c r="D2916" s="1" t="s">
        <v>1057</v>
      </c>
      <c r="E2916" s="1" t="n">
        <v>7</v>
      </c>
      <c r="F2916" s="1" t="n">
        <v>772.58</v>
      </c>
      <c r="G2916" s="1" t="n">
        <v>0</v>
      </c>
      <c r="H2916" s="1" t="s">
        <v>1336</v>
      </c>
      <c r="I2916" s="1" t="n">
        <v>5408.06</v>
      </c>
      <c r="J2916" s="1" t="str">
        <f aca="false">VLOOKUP(B2916,Customers!$A$2:$G$502,6,FALSE())</f>
        <v>Small Business</v>
      </c>
      <c r="K2916" s="1" t="str">
        <f aca="false">VLOOKUP(C2916,Products!$A$2:$E$62,3,FALSE())</f>
        <v>Office Supplies</v>
      </c>
      <c r="L2916" s="1" t="str">
        <f aca="false">TEXT(D2916,"yyyy-mm")</f>
        <v>2024-11</v>
      </c>
    </row>
    <row r="2917" customFormat="false" ht="15" hidden="false" customHeight="true" outlineLevel="0" collapsed="false">
      <c r="A2917" s="1" t="n">
        <v>2982</v>
      </c>
      <c r="B2917" s="1" t="n">
        <v>346</v>
      </c>
      <c r="C2917" s="1" t="n">
        <v>8</v>
      </c>
      <c r="D2917" s="1" t="s">
        <v>1510</v>
      </c>
      <c r="E2917" s="1" t="n">
        <v>4</v>
      </c>
      <c r="F2917" s="1" t="n">
        <v>104.4</v>
      </c>
      <c r="G2917" s="1" t="n">
        <v>0.05</v>
      </c>
      <c r="H2917" s="1" t="s">
        <v>1336</v>
      </c>
      <c r="I2917" s="1" t="n">
        <v>396.72</v>
      </c>
      <c r="J2917" s="1" t="str">
        <f aca="false">VLOOKUP(B2917,Customers!$A$2:$G$502,6,FALSE())</f>
        <v>Consumer</v>
      </c>
      <c r="K2917" s="1" t="str">
        <f aca="false">VLOOKUP(C2917,Products!$A$2:$E$62,3,FALSE())</f>
        <v>Electronics</v>
      </c>
      <c r="L2917" s="1" t="str">
        <f aca="false">TEXT(D2917,"yyyy-mm")</f>
        <v>2024-02</v>
      </c>
    </row>
    <row r="2918" customFormat="false" ht="15" hidden="false" customHeight="true" outlineLevel="0" collapsed="false">
      <c r="A2918" s="1" t="n">
        <v>2983</v>
      </c>
      <c r="B2918" s="1" t="n">
        <v>423</v>
      </c>
      <c r="C2918" s="1" t="n">
        <v>31</v>
      </c>
      <c r="D2918" s="1" t="s">
        <v>1120</v>
      </c>
      <c r="E2918" s="1" t="n">
        <v>9</v>
      </c>
      <c r="F2918" s="1" t="n">
        <v>224.86</v>
      </c>
      <c r="G2918" s="1" t="n">
        <v>0.05</v>
      </c>
      <c r="H2918" s="1" t="s">
        <v>1336</v>
      </c>
      <c r="I2918" s="1" t="n">
        <v>1922.55</v>
      </c>
      <c r="J2918" s="1" t="str">
        <f aca="false">VLOOKUP(B2918,Customers!$A$2:$G$502,6,FALSE())</f>
        <v>Small Business</v>
      </c>
      <c r="K2918" s="1" t="str">
        <f aca="false">VLOOKUP(C2918,Products!$A$2:$E$62,3,FALSE())</f>
        <v>Office Supplies</v>
      </c>
      <c r="L2918" s="1" t="str">
        <f aca="false">TEXT(D2918,"yyyy-mm")</f>
        <v>2024-10</v>
      </c>
    </row>
    <row r="2919" customFormat="false" ht="15" hidden="false" customHeight="true" outlineLevel="0" collapsed="false">
      <c r="A2919" s="1" t="n">
        <v>2984</v>
      </c>
      <c r="B2919" s="1" t="n">
        <v>64</v>
      </c>
      <c r="C2919" s="1" t="n">
        <v>35</v>
      </c>
      <c r="D2919" s="1" t="s">
        <v>1683</v>
      </c>
      <c r="E2919" s="1" t="n">
        <v>5</v>
      </c>
      <c r="F2919" s="1" t="n">
        <v>75.78</v>
      </c>
      <c r="G2919" s="1" t="n">
        <v>0.1</v>
      </c>
      <c r="H2919" s="1" t="s">
        <v>1336</v>
      </c>
      <c r="I2919" s="1" t="n">
        <v>341.01</v>
      </c>
      <c r="J2919" s="1" t="str">
        <f aca="false">VLOOKUP(B2919,Customers!$A$2:$G$502,6,FALSE())</f>
        <v>Consumer</v>
      </c>
      <c r="K2919" s="1" t="str">
        <f aca="false">VLOOKUP(C2919,Products!$A$2:$E$62,3,FALSE())</f>
        <v>Software</v>
      </c>
      <c r="L2919" s="1" t="str">
        <f aca="false">TEXT(D2919,"yyyy-mm")</f>
        <v>2023-12</v>
      </c>
    </row>
    <row r="2920" customFormat="false" ht="15" hidden="false" customHeight="true" outlineLevel="0" collapsed="false">
      <c r="A2920" s="1" t="n">
        <v>2985</v>
      </c>
      <c r="B2920" s="1" t="n">
        <v>369</v>
      </c>
      <c r="C2920" s="1" t="n">
        <v>19</v>
      </c>
      <c r="D2920" s="1" t="s">
        <v>1162</v>
      </c>
      <c r="E2920" s="1" t="n">
        <v>4</v>
      </c>
      <c r="F2920" s="1" t="n">
        <v>163.64</v>
      </c>
      <c r="G2920" s="1" t="n">
        <v>0.1</v>
      </c>
      <c r="H2920" s="1" t="s">
        <v>1336</v>
      </c>
      <c r="I2920" s="1" t="n">
        <v>589.1</v>
      </c>
      <c r="J2920" s="1" t="str">
        <f aca="false">VLOOKUP(B2920,Customers!$A$2:$G$502,6,FALSE())</f>
        <v>Corporate</v>
      </c>
      <c r="K2920" s="1" t="str">
        <f aca="false">VLOOKUP(C2920,Products!$A$2:$E$62,3,FALSE())</f>
        <v>Office Supplies</v>
      </c>
      <c r="L2920" s="1" t="str">
        <f aca="false">TEXT(D2920,"yyyy-mm")</f>
        <v>2024-10</v>
      </c>
    </row>
    <row r="2921" customFormat="false" ht="15" hidden="false" customHeight="true" outlineLevel="0" collapsed="false">
      <c r="A2921" s="1" t="n">
        <v>2986</v>
      </c>
      <c r="B2921" s="1" t="n">
        <v>434</v>
      </c>
      <c r="C2921" s="1" t="n">
        <v>10</v>
      </c>
      <c r="D2921" s="1" t="s">
        <v>345</v>
      </c>
      <c r="E2921" s="1" t="n">
        <v>7</v>
      </c>
      <c r="F2921" s="1" t="n">
        <v>251.58</v>
      </c>
      <c r="G2921" s="1" t="n">
        <v>0</v>
      </c>
      <c r="H2921" s="1" t="s">
        <v>1336</v>
      </c>
      <c r="I2921" s="1" t="n">
        <v>1761.06</v>
      </c>
      <c r="J2921" s="1" t="str">
        <f aca="false">VLOOKUP(B2921,Customers!$A$2:$G$502,6,FALSE())</f>
        <v>Consumer</v>
      </c>
      <c r="K2921" s="1" t="str">
        <f aca="false">VLOOKUP(C2921,Products!$A$2:$E$62,3,FALSE())</f>
        <v>Electronics</v>
      </c>
      <c r="L2921" s="1" t="str">
        <f aca="false">TEXT(D2921,"yyyy-mm")</f>
        <v>2024-09</v>
      </c>
    </row>
    <row r="2922" customFormat="false" ht="15" hidden="false" customHeight="true" outlineLevel="0" collapsed="false">
      <c r="A2922" s="1" t="n">
        <v>2987</v>
      </c>
      <c r="B2922" s="1" t="n">
        <v>426</v>
      </c>
      <c r="C2922" s="1" t="n">
        <v>22</v>
      </c>
      <c r="D2922" s="1" t="s">
        <v>1489</v>
      </c>
      <c r="E2922" s="1" t="n">
        <v>4</v>
      </c>
      <c r="F2922" s="1" t="n">
        <v>38.57</v>
      </c>
      <c r="G2922" s="1" t="n">
        <v>0.1</v>
      </c>
      <c r="H2922" s="1" t="s">
        <v>1336</v>
      </c>
      <c r="I2922" s="1" t="n">
        <v>138.85</v>
      </c>
      <c r="J2922" s="1" t="str">
        <f aca="false">VLOOKUP(B2922,Customers!$A$2:$G$502,6,FALSE())</f>
        <v>Consumer</v>
      </c>
      <c r="K2922" s="1" t="str">
        <f aca="false">VLOOKUP(C2922,Products!$A$2:$E$62,3,FALSE())</f>
        <v>Office Supplies</v>
      </c>
      <c r="L2922" s="1" t="str">
        <f aca="false">TEXT(D2922,"yyyy-mm")</f>
        <v>2023-09</v>
      </c>
    </row>
    <row r="2923" customFormat="false" ht="15" hidden="false" customHeight="true" outlineLevel="0" collapsed="false">
      <c r="A2923" s="1" t="n">
        <v>2988</v>
      </c>
      <c r="B2923" s="1" t="n">
        <v>360</v>
      </c>
      <c r="C2923" s="1" t="n">
        <v>45</v>
      </c>
      <c r="D2923" s="1" t="s">
        <v>697</v>
      </c>
      <c r="E2923" s="1" t="n">
        <v>3</v>
      </c>
      <c r="F2923" s="1" t="n">
        <v>560.01</v>
      </c>
      <c r="G2923" s="1" t="n">
        <v>0</v>
      </c>
      <c r="H2923" s="1" t="s">
        <v>1336</v>
      </c>
      <c r="I2923" s="1" t="n">
        <v>1680.03</v>
      </c>
      <c r="J2923" s="1" t="str">
        <f aca="false">VLOOKUP(B2923,Customers!$A$2:$G$502,6,FALSE())</f>
        <v>Corporate</v>
      </c>
      <c r="K2923" s="1" t="str">
        <f aca="false">VLOOKUP(C2923,Products!$A$2:$E$62,3,FALSE())</f>
        <v>Software</v>
      </c>
      <c r="L2923" s="1" t="str">
        <f aca="false">TEXT(D2923,"yyyy-mm")</f>
        <v>2023-03</v>
      </c>
    </row>
    <row r="2924" customFormat="false" ht="15" hidden="false" customHeight="true" outlineLevel="0" collapsed="false">
      <c r="A2924" s="1" t="n">
        <v>2989</v>
      </c>
      <c r="B2924" s="1" t="n">
        <v>436</v>
      </c>
      <c r="C2924" s="1" t="n">
        <v>25</v>
      </c>
      <c r="D2924" s="1" t="s">
        <v>1054</v>
      </c>
      <c r="E2924" s="1" t="n">
        <v>9</v>
      </c>
      <c r="F2924" s="1" t="n">
        <v>300.49</v>
      </c>
      <c r="G2924" s="1" t="n">
        <v>0.1</v>
      </c>
      <c r="H2924" s="1" t="s">
        <v>1336</v>
      </c>
      <c r="I2924" s="1" t="n">
        <v>2433.97</v>
      </c>
      <c r="J2924" s="1" t="str">
        <f aca="false">VLOOKUP(B2924,Customers!$A$2:$G$502,6,FALSE())</f>
        <v>Corporate</v>
      </c>
      <c r="K2924" s="1" t="str">
        <f aca="false">VLOOKUP(C2924,Products!$A$2:$E$62,3,FALSE())</f>
        <v>Office Supplies</v>
      </c>
      <c r="L2924" s="1" t="str">
        <f aca="false">TEXT(D2924,"yyyy-mm")</f>
        <v>2024-01</v>
      </c>
    </row>
    <row r="2925" customFormat="false" ht="15" hidden="false" customHeight="true" outlineLevel="0" collapsed="false">
      <c r="A2925" s="1" t="n">
        <v>2990</v>
      </c>
      <c r="B2925" s="1" t="n">
        <v>133</v>
      </c>
      <c r="C2925" s="1" t="n">
        <v>7</v>
      </c>
      <c r="D2925" s="1" t="s">
        <v>1147</v>
      </c>
      <c r="E2925" s="1" t="n">
        <v>8</v>
      </c>
      <c r="F2925" s="1" t="n">
        <v>460</v>
      </c>
      <c r="G2925" s="1" t="n">
        <v>0.15</v>
      </c>
      <c r="H2925" s="1" t="s">
        <v>1336</v>
      </c>
      <c r="I2925" s="1" t="n">
        <v>3128</v>
      </c>
      <c r="J2925" s="1" t="str">
        <f aca="false">VLOOKUP(B2925,Customers!$A$2:$G$502,6,FALSE())</f>
        <v>Consumer</v>
      </c>
      <c r="K2925" s="1" t="str">
        <f aca="false">VLOOKUP(C2925,Products!$A$2:$E$62,3,FALSE())</f>
        <v>Electronics</v>
      </c>
      <c r="L2925" s="1" t="str">
        <f aca="false">TEXT(D2925,"yyyy-mm")</f>
        <v>2024-05</v>
      </c>
    </row>
    <row r="2926" customFormat="false" ht="15" hidden="false" customHeight="true" outlineLevel="0" collapsed="false">
      <c r="A2926" s="1" t="n">
        <v>2991</v>
      </c>
      <c r="B2926" s="1" t="n">
        <v>37</v>
      </c>
      <c r="C2926" s="1" t="n">
        <v>57</v>
      </c>
      <c r="D2926" s="1" t="s">
        <v>1622</v>
      </c>
      <c r="E2926" s="1" t="n">
        <v>1</v>
      </c>
      <c r="F2926" s="1" t="n">
        <v>719.76</v>
      </c>
      <c r="G2926" s="1" t="n">
        <v>0</v>
      </c>
      <c r="H2926" s="1" t="s">
        <v>1346</v>
      </c>
      <c r="I2926" s="1" t="n">
        <v>719.76</v>
      </c>
      <c r="J2926" s="1" t="str">
        <f aca="false">VLOOKUP(B2926,Customers!$A$2:$G$502,6,FALSE())</f>
        <v>Corporate</v>
      </c>
      <c r="K2926" s="1" t="str">
        <f aca="false">VLOOKUP(C2926,Products!$A$2:$E$62,3,FALSE())</f>
        <v>Furniture</v>
      </c>
      <c r="L2926" s="1" t="str">
        <f aca="false">TEXT(D2926,"yyyy-mm")</f>
        <v>2023-12</v>
      </c>
    </row>
    <row r="2927" customFormat="false" ht="15" hidden="false" customHeight="true" outlineLevel="0" collapsed="false">
      <c r="A2927" s="1" t="n">
        <v>2992</v>
      </c>
      <c r="B2927" s="1" t="n">
        <v>342</v>
      </c>
      <c r="C2927" s="1" t="n">
        <v>56</v>
      </c>
      <c r="D2927" s="1" t="s">
        <v>1625</v>
      </c>
      <c r="E2927" s="1" t="n">
        <v>7</v>
      </c>
      <c r="F2927" s="1" t="n">
        <v>160.64</v>
      </c>
      <c r="G2927" s="1" t="n">
        <v>0.2</v>
      </c>
      <c r="H2927" s="1" t="s">
        <v>1336</v>
      </c>
      <c r="I2927" s="1" t="n">
        <v>899.58</v>
      </c>
      <c r="J2927" s="1" t="str">
        <f aca="false">VLOOKUP(B2927,Customers!$A$2:$G$502,6,FALSE())</f>
        <v>Small Business</v>
      </c>
      <c r="K2927" s="1" t="str">
        <f aca="false">VLOOKUP(C2927,Products!$A$2:$E$62,3,FALSE())</f>
        <v>Furniture</v>
      </c>
      <c r="L2927" s="1" t="str">
        <f aca="false">TEXT(D2927,"yyyy-mm")</f>
        <v>2023-02</v>
      </c>
    </row>
    <row r="2928" customFormat="false" ht="15" hidden="false" customHeight="true" outlineLevel="0" collapsed="false">
      <c r="A2928" s="1" t="n">
        <v>2993</v>
      </c>
      <c r="B2928" s="1" t="n">
        <v>95</v>
      </c>
      <c r="C2928" s="1" t="n">
        <v>28</v>
      </c>
      <c r="D2928" s="1" t="s">
        <v>371</v>
      </c>
      <c r="E2928" s="1" t="n">
        <v>9</v>
      </c>
      <c r="F2928" s="1" t="n">
        <v>505.23</v>
      </c>
      <c r="G2928" s="1" t="n">
        <v>0.2</v>
      </c>
      <c r="H2928" s="1" t="s">
        <v>1336</v>
      </c>
      <c r="I2928" s="1" t="n">
        <v>3637.66</v>
      </c>
      <c r="J2928" s="1" t="str">
        <f aca="false">VLOOKUP(B2928,Customers!$A$2:$G$502,6,FALSE())</f>
        <v>Corporate</v>
      </c>
      <c r="K2928" s="1" t="str">
        <f aca="false">VLOOKUP(C2928,Products!$A$2:$E$62,3,FALSE())</f>
        <v>Office Supplies</v>
      </c>
      <c r="L2928" s="1" t="str">
        <f aca="false">TEXT(D2928,"yyyy-mm")</f>
        <v>2024-03</v>
      </c>
    </row>
    <row r="2929" customFormat="false" ht="15" hidden="false" customHeight="true" outlineLevel="0" collapsed="false">
      <c r="A2929" s="1" t="n">
        <v>2994</v>
      </c>
      <c r="B2929" s="1" t="n">
        <v>74</v>
      </c>
      <c r="C2929" s="1" t="n">
        <v>32</v>
      </c>
      <c r="D2929" s="1" t="s">
        <v>1491</v>
      </c>
      <c r="E2929" s="1" t="n">
        <v>8</v>
      </c>
      <c r="F2929" s="1" t="n">
        <v>492.27</v>
      </c>
      <c r="G2929" s="1" t="n">
        <v>0</v>
      </c>
      <c r="H2929" s="1" t="s">
        <v>1336</v>
      </c>
      <c r="I2929" s="1" t="n">
        <v>3938.16</v>
      </c>
      <c r="J2929" s="1" t="str">
        <f aca="false">VLOOKUP(B2929,Customers!$A$2:$G$502,6,FALSE())</f>
        <v>Consumer</v>
      </c>
      <c r="K2929" s="1" t="str">
        <f aca="false">VLOOKUP(C2929,Products!$A$2:$E$62,3,FALSE())</f>
        <v>Office Supplies</v>
      </c>
      <c r="L2929" s="1" t="str">
        <f aca="false">TEXT(D2929,"yyyy-mm")</f>
        <v>2023-07</v>
      </c>
    </row>
    <row r="2930" customFormat="false" ht="15" hidden="false" customHeight="true" outlineLevel="0" collapsed="false">
      <c r="A2930" s="1" t="n">
        <v>2995</v>
      </c>
      <c r="B2930" s="1" t="n">
        <v>251</v>
      </c>
      <c r="C2930" s="1" t="n">
        <v>54</v>
      </c>
      <c r="D2930" s="1" t="s">
        <v>353</v>
      </c>
      <c r="E2930" s="1" t="n">
        <v>8</v>
      </c>
      <c r="F2930" s="1" t="n">
        <v>312.01</v>
      </c>
      <c r="G2930" s="1" t="n">
        <v>0.15</v>
      </c>
      <c r="H2930" s="1" t="s">
        <v>1336</v>
      </c>
      <c r="I2930" s="1" t="n">
        <v>2121.67</v>
      </c>
      <c r="J2930" s="1" t="str">
        <f aca="false">VLOOKUP(B2930,Customers!$A$2:$G$502,6,FALSE())</f>
        <v>Small Business</v>
      </c>
      <c r="K2930" s="1" t="str">
        <f aca="false">VLOOKUP(C2930,Products!$A$2:$E$62,3,FALSE())</f>
        <v>Software</v>
      </c>
      <c r="L2930" s="1" t="str">
        <f aca="false">TEXT(D2930,"yyyy-mm")</f>
        <v>2024-01</v>
      </c>
    </row>
    <row r="2931" customFormat="false" ht="15" hidden="false" customHeight="true" outlineLevel="0" collapsed="false">
      <c r="A2931" s="1" t="n">
        <v>2996</v>
      </c>
      <c r="B2931" s="1" t="n">
        <v>211</v>
      </c>
      <c r="C2931" s="1" t="n">
        <v>17</v>
      </c>
      <c r="D2931" s="1" t="s">
        <v>1652</v>
      </c>
      <c r="E2931" s="1" t="n">
        <v>6</v>
      </c>
      <c r="F2931" s="1" t="n">
        <v>65.61</v>
      </c>
      <c r="G2931" s="1" t="n">
        <v>0.05</v>
      </c>
      <c r="H2931" s="1" t="s">
        <v>1336</v>
      </c>
      <c r="I2931" s="1" t="n">
        <v>373.98</v>
      </c>
      <c r="J2931" s="1" t="str">
        <f aca="false">VLOOKUP(B2931,Customers!$A$2:$G$502,6,FALSE())</f>
        <v>Consumer</v>
      </c>
      <c r="K2931" s="1" t="str">
        <f aca="false">VLOOKUP(C2931,Products!$A$2:$E$62,3,FALSE())</f>
        <v>Electronics</v>
      </c>
      <c r="L2931" s="1" t="str">
        <f aca="false">TEXT(D2931,"yyyy-mm")</f>
        <v>2024-06</v>
      </c>
    </row>
    <row r="2932" customFormat="false" ht="15" hidden="false" customHeight="true" outlineLevel="0" collapsed="false">
      <c r="A2932" s="1" t="n">
        <v>2997</v>
      </c>
      <c r="B2932" s="1" t="n">
        <v>411</v>
      </c>
      <c r="C2932" s="1" t="n">
        <v>37</v>
      </c>
      <c r="D2932" s="1" t="s">
        <v>632</v>
      </c>
      <c r="E2932" s="1" t="n">
        <v>4</v>
      </c>
      <c r="F2932" s="1" t="n">
        <v>13.95</v>
      </c>
      <c r="G2932" s="1" t="n">
        <v>0.15</v>
      </c>
      <c r="H2932" s="1" t="s">
        <v>1336</v>
      </c>
      <c r="I2932" s="1" t="n">
        <v>47.43</v>
      </c>
      <c r="J2932" s="1" t="str">
        <f aca="false">VLOOKUP(B2932,Customers!$A$2:$G$502,6,FALSE())</f>
        <v>Corporate</v>
      </c>
      <c r="K2932" s="1" t="str">
        <f aca="false">VLOOKUP(C2932,Products!$A$2:$E$62,3,FALSE())</f>
        <v>Software</v>
      </c>
      <c r="L2932" s="1" t="str">
        <f aca="false">TEXT(D2932,"yyyy-mm")</f>
        <v>2023-10</v>
      </c>
    </row>
    <row r="2933" customFormat="false" ht="15" hidden="false" customHeight="true" outlineLevel="0" collapsed="false">
      <c r="A2933" s="1" t="n">
        <v>2998</v>
      </c>
      <c r="B2933" s="1" t="n">
        <v>162</v>
      </c>
      <c r="C2933" s="1" t="n">
        <v>1</v>
      </c>
      <c r="D2933" s="1" t="s">
        <v>1556</v>
      </c>
      <c r="E2933" s="1" t="n">
        <v>8</v>
      </c>
      <c r="F2933" s="1" t="n">
        <v>327.32</v>
      </c>
      <c r="G2933" s="1" t="n">
        <v>0.1</v>
      </c>
      <c r="H2933" s="1" t="s">
        <v>1336</v>
      </c>
      <c r="I2933" s="1" t="n">
        <v>2356.7</v>
      </c>
      <c r="J2933" s="1" t="str">
        <f aca="false">VLOOKUP(B2933,Customers!$A$2:$G$502,6,FALSE())</f>
        <v>Small Business</v>
      </c>
      <c r="K2933" s="1" t="str">
        <f aca="false">VLOOKUP(C2933,Products!$A$2:$E$62,3,FALSE())</f>
        <v>Electronics</v>
      </c>
      <c r="L2933" s="1" t="str">
        <f aca="false">TEXT(D2933,"yyyy-mm")</f>
        <v>2024-02</v>
      </c>
    </row>
    <row r="2934" customFormat="false" ht="15" hidden="false" customHeight="true" outlineLevel="0" collapsed="false">
      <c r="A2934" s="1" t="n">
        <v>2999</v>
      </c>
      <c r="B2934" s="1" t="n">
        <v>171</v>
      </c>
      <c r="C2934" s="1" t="n">
        <v>55</v>
      </c>
      <c r="D2934" s="1" t="s">
        <v>381</v>
      </c>
      <c r="E2934" s="1" t="n">
        <v>3</v>
      </c>
      <c r="F2934" s="1" t="n">
        <v>123.38</v>
      </c>
      <c r="G2934" s="1" t="n">
        <v>0</v>
      </c>
      <c r="H2934" s="1" t="s">
        <v>1336</v>
      </c>
      <c r="I2934" s="1" t="n">
        <v>370.14</v>
      </c>
      <c r="J2934" s="1" t="str">
        <f aca="false">VLOOKUP(B2934,Customers!$A$2:$G$502,6,FALSE())</f>
        <v>Small Business</v>
      </c>
      <c r="K2934" s="1" t="str">
        <f aca="false">VLOOKUP(C2934,Products!$A$2:$E$62,3,FALSE())</f>
        <v>Furniture</v>
      </c>
      <c r="L2934" s="1" t="str">
        <f aca="false">TEXT(D2934,"yyyy-mm")</f>
        <v>2023-04</v>
      </c>
    </row>
    <row r="2935" customFormat="false" ht="15" hidden="false" customHeight="true" outlineLevel="0" collapsed="false">
      <c r="A2935" s="1" t="n">
        <v>3000</v>
      </c>
      <c r="B2935" s="1" t="n">
        <v>230</v>
      </c>
      <c r="C2935" s="1" t="n">
        <v>57</v>
      </c>
      <c r="D2935" s="1" t="s">
        <v>635</v>
      </c>
      <c r="E2935" s="1" t="n">
        <v>9</v>
      </c>
      <c r="F2935" s="1" t="n">
        <v>719.76</v>
      </c>
      <c r="G2935" s="1" t="n">
        <v>0.15</v>
      </c>
      <c r="H2935" s="1" t="s">
        <v>1336</v>
      </c>
      <c r="I2935" s="1" t="n">
        <v>5506.16</v>
      </c>
      <c r="J2935" s="1" t="str">
        <f aca="false">VLOOKUP(B2935,Customers!$A$2:$G$502,6,FALSE())</f>
        <v>Corporate</v>
      </c>
      <c r="K2935" s="1" t="str">
        <f aca="false">VLOOKUP(C2935,Products!$A$2:$E$62,3,FALSE())</f>
        <v>Furniture</v>
      </c>
      <c r="L2935" s="1" t="str">
        <f aca="false">TEXT(D2935,"yyyy-mm")</f>
        <v>2024-03</v>
      </c>
    </row>
    <row r="2936" customFormat="false" ht="15" hidden="false" customHeight="true" outlineLevel="0" collapsed="false">
      <c r="A2936" s="1" t="n">
        <v>3001</v>
      </c>
      <c r="B2936" s="1" t="n">
        <v>12</v>
      </c>
      <c r="C2936" s="1" t="n">
        <v>40</v>
      </c>
      <c r="D2936" s="1" t="s">
        <v>1690</v>
      </c>
      <c r="E2936" s="1" t="n">
        <v>2</v>
      </c>
      <c r="F2936" s="1" t="n">
        <v>193.02</v>
      </c>
      <c r="G2936" s="1" t="n">
        <v>0.1</v>
      </c>
      <c r="H2936" s="1" t="s">
        <v>1336</v>
      </c>
      <c r="I2936" s="1" t="n">
        <v>347.44</v>
      </c>
      <c r="J2936" s="1" t="str">
        <f aca="false">VLOOKUP(B2936,Customers!$A$2:$G$502,6,FALSE())</f>
        <v>Small Business</v>
      </c>
      <c r="K2936" s="1" t="str">
        <f aca="false">VLOOKUP(C2936,Products!$A$2:$E$62,3,FALSE())</f>
        <v>Software</v>
      </c>
      <c r="L2936" s="1" t="str">
        <f aca="false">TEXT(D2936,"yyyy-mm")</f>
        <v>2024-03</v>
      </c>
    </row>
    <row r="2937" customFormat="false" ht="15" hidden="false" customHeight="true" outlineLevel="0" collapsed="false">
      <c r="A2937" s="1" t="n">
        <v>3002</v>
      </c>
      <c r="B2937" s="1" t="n">
        <v>38</v>
      </c>
      <c r="C2937" s="1" t="n">
        <v>9</v>
      </c>
      <c r="D2937" s="1" t="s">
        <v>435</v>
      </c>
      <c r="E2937" s="1" t="n">
        <v>2</v>
      </c>
      <c r="F2937" s="1" t="n">
        <v>203.1</v>
      </c>
      <c r="G2937" s="1" t="n">
        <v>0</v>
      </c>
      <c r="H2937" s="1" t="s">
        <v>1336</v>
      </c>
      <c r="I2937" s="1" t="n">
        <v>406.2</v>
      </c>
      <c r="J2937" s="1" t="str">
        <f aca="false">VLOOKUP(B2937,Customers!$A$2:$G$502,6,FALSE())</f>
        <v>Small Business</v>
      </c>
      <c r="K2937" s="1" t="str">
        <f aca="false">VLOOKUP(C2937,Products!$A$2:$E$62,3,FALSE())</f>
        <v>Electronics</v>
      </c>
      <c r="L2937" s="1" t="str">
        <f aca="false">TEXT(D2937,"yyyy-mm")</f>
        <v>2024-08</v>
      </c>
    </row>
    <row r="2938" customFormat="false" ht="15" hidden="false" customHeight="true" outlineLevel="0" collapsed="false">
      <c r="A2938" s="1" t="n">
        <v>3003</v>
      </c>
      <c r="B2938" s="1" t="n">
        <v>96</v>
      </c>
      <c r="C2938" s="1" t="n">
        <v>10</v>
      </c>
      <c r="D2938" s="1" t="s">
        <v>710</v>
      </c>
      <c r="E2938" s="1" t="n">
        <v>7</v>
      </c>
      <c r="F2938" s="1" t="n">
        <v>251.58</v>
      </c>
      <c r="G2938" s="1" t="n">
        <v>0</v>
      </c>
      <c r="H2938" s="1" t="s">
        <v>1346</v>
      </c>
      <c r="I2938" s="1" t="n">
        <v>1761.06</v>
      </c>
      <c r="J2938" s="1" t="str">
        <f aca="false">VLOOKUP(B2938,Customers!$A$2:$G$502,6,FALSE())</f>
        <v>Corporate</v>
      </c>
      <c r="K2938" s="1" t="str">
        <f aca="false">VLOOKUP(C2938,Products!$A$2:$E$62,3,FALSE())</f>
        <v>Electronics</v>
      </c>
      <c r="L2938" s="1" t="str">
        <f aca="false">TEXT(D2938,"yyyy-mm")</f>
        <v>2023-07</v>
      </c>
    </row>
    <row r="2939" customFormat="false" ht="15" hidden="false" customHeight="true" outlineLevel="0" collapsed="false">
      <c r="A2939" s="1" t="n">
        <v>3004</v>
      </c>
      <c r="B2939" s="1" t="n">
        <v>438</v>
      </c>
      <c r="C2939" s="1" t="n">
        <v>45</v>
      </c>
      <c r="D2939" s="1" t="s">
        <v>432</v>
      </c>
      <c r="E2939" s="1" t="n">
        <v>4</v>
      </c>
      <c r="F2939" s="1" t="n">
        <v>560.01</v>
      </c>
      <c r="G2939" s="1" t="n">
        <v>0.15</v>
      </c>
      <c r="H2939" s="1" t="s">
        <v>1336</v>
      </c>
      <c r="I2939" s="1" t="n">
        <v>1904.03</v>
      </c>
      <c r="J2939" s="1" t="str">
        <f aca="false">VLOOKUP(B2939,Customers!$A$2:$G$502,6,FALSE())</f>
        <v>Consumer</v>
      </c>
      <c r="K2939" s="1" t="str">
        <f aca="false">VLOOKUP(C2939,Products!$A$2:$E$62,3,FALSE())</f>
        <v>Software</v>
      </c>
      <c r="L2939" s="1" t="str">
        <f aca="false">TEXT(D2939,"yyyy-mm")</f>
        <v>2024-11</v>
      </c>
    </row>
    <row r="2940" customFormat="false" ht="15" hidden="false" customHeight="true" outlineLevel="0" collapsed="false">
      <c r="A2940" s="1" t="n">
        <v>3005</v>
      </c>
      <c r="B2940" s="1" t="n">
        <v>291</v>
      </c>
      <c r="C2940" s="1" t="n">
        <v>30</v>
      </c>
      <c r="D2940" s="1" t="s">
        <v>496</v>
      </c>
      <c r="E2940" s="1" t="n">
        <v>8</v>
      </c>
      <c r="F2940" s="1" t="n">
        <v>33.32</v>
      </c>
      <c r="G2940" s="1" t="n">
        <v>0</v>
      </c>
      <c r="H2940" s="1" t="s">
        <v>1336</v>
      </c>
      <c r="I2940" s="1" t="n">
        <v>266.56</v>
      </c>
      <c r="J2940" s="1" t="str">
        <f aca="false">VLOOKUP(B2940,Customers!$A$2:$G$502,6,FALSE())</f>
        <v>Consumer</v>
      </c>
      <c r="K2940" s="1" t="str">
        <f aca="false">VLOOKUP(C2940,Products!$A$2:$E$62,3,FALSE())</f>
        <v>Office Supplies</v>
      </c>
      <c r="L2940" s="1" t="str">
        <f aca="false">TEXT(D2940,"yyyy-mm")</f>
        <v>2023-05</v>
      </c>
    </row>
    <row r="2941" customFormat="false" ht="15" hidden="false" customHeight="true" outlineLevel="0" collapsed="false">
      <c r="A2941" s="1" t="n">
        <v>3006</v>
      </c>
      <c r="B2941" s="1" t="n">
        <v>13</v>
      </c>
      <c r="C2941" s="1" t="n">
        <v>14</v>
      </c>
      <c r="D2941" s="1" t="s">
        <v>1671</v>
      </c>
      <c r="E2941" s="1" t="n">
        <v>9</v>
      </c>
      <c r="F2941" s="1" t="n">
        <v>135.27</v>
      </c>
      <c r="G2941" s="1" t="n">
        <v>0.15</v>
      </c>
      <c r="H2941" s="1" t="s">
        <v>1336</v>
      </c>
      <c r="I2941" s="1" t="n">
        <v>1034.82</v>
      </c>
      <c r="J2941" s="1" t="str">
        <f aca="false">VLOOKUP(B2941,Customers!$A$2:$G$502,6,FALSE())</f>
        <v>Corporate</v>
      </c>
      <c r="K2941" s="1" t="str">
        <f aca="false">VLOOKUP(C2941,Products!$A$2:$E$62,3,FALSE())</f>
        <v>Electronics</v>
      </c>
      <c r="L2941" s="1" t="str">
        <f aca="false">TEXT(D2941,"yyyy-mm")</f>
        <v>2023-08</v>
      </c>
    </row>
    <row r="2942" customFormat="false" ht="15" hidden="false" customHeight="true" outlineLevel="0" collapsed="false">
      <c r="A2942" s="1" t="n">
        <v>3007</v>
      </c>
      <c r="B2942" s="1" t="n">
        <v>431</v>
      </c>
      <c r="C2942" s="1" t="n">
        <v>10</v>
      </c>
      <c r="D2942" s="1" t="s">
        <v>94</v>
      </c>
      <c r="E2942" s="1" t="n">
        <v>7</v>
      </c>
      <c r="F2942" s="1" t="n">
        <v>251.58</v>
      </c>
      <c r="G2942" s="1" t="n">
        <v>0</v>
      </c>
      <c r="H2942" s="1" t="s">
        <v>1336</v>
      </c>
      <c r="I2942" s="1" t="n">
        <v>1761.06</v>
      </c>
      <c r="J2942" s="1" t="str">
        <f aca="false">VLOOKUP(B2942,Customers!$A$2:$G$502,6,FALSE())</f>
        <v>Consumer</v>
      </c>
      <c r="K2942" s="1" t="str">
        <f aca="false">VLOOKUP(C2942,Products!$A$2:$E$62,3,FALSE())</f>
        <v>Electronics</v>
      </c>
      <c r="L2942" s="1" t="str">
        <f aca="false">TEXT(D2942,"yyyy-mm")</f>
        <v>2023-09</v>
      </c>
    </row>
    <row r="2943" customFormat="false" ht="15" hidden="false" customHeight="true" outlineLevel="0" collapsed="false">
      <c r="A2943" s="1" t="n">
        <v>3008</v>
      </c>
      <c r="B2943" s="1" t="n">
        <v>291</v>
      </c>
      <c r="C2943" s="1" t="n">
        <v>45</v>
      </c>
      <c r="D2943" s="1" t="s">
        <v>804</v>
      </c>
      <c r="E2943" s="1" t="n">
        <v>5</v>
      </c>
      <c r="F2943" s="1" t="n">
        <v>560.01</v>
      </c>
      <c r="G2943" s="1" t="n">
        <v>0</v>
      </c>
      <c r="H2943" s="1" t="s">
        <v>1336</v>
      </c>
      <c r="I2943" s="1" t="n">
        <v>2800.05</v>
      </c>
      <c r="J2943" s="1" t="str">
        <f aca="false">VLOOKUP(B2943,Customers!$A$2:$G$502,6,FALSE())</f>
        <v>Consumer</v>
      </c>
      <c r="K2943" s="1" t="str">
        <f aca="false">VLOOKUP(C2943,Products!$A$2:$E$62,3,FALSE())</f>
        <v>Software</v>
      </c>
      <c r="L2943" s="1" t="str">
        <f aca="false">TEXT(D2943,"yyyy-mm")</f>
        <v>2024-12</v>
      </c>
    </row>
    <row r="2944" customFormat="false" ht="15" hidden="false" customHeight="true" outlineLevel="0" collapsed="false">
      <c r="A2944" s="1" t="n">
        <v>3009</v>
      </c>
      <c r="B2944" s="1" t="n">
        <v>374</v>
      </c>
      <c r="C2944" s="1" t="n">
        <v>29</v>
      </c>
      <c r="D2944" s="1" t="s">
        <v>890</v>
      </c>
      <c r="E2944" s="1" t="n">
        <v>8</v>
      </c>
      <c r="F2944" s="1" t="n">
        <v>54.62</v>
      </c>
      <c r="G2944" s="1" t="n">
        <v>0.05</v>
      </c>
      <c r="H2944" s="1" t="s">
        <v>1336</v>
      </c>
      <c r="I2944" s="1" t="n">
        <v>415.11</v>
      </c>
      <c r="J2944" s="1" t="str">
        <f aca="false">VLOOKUP(B2944,Customers!$A$2:$G$502,6,FALSE())</f>
        <v>Consumer</v>
      </c>
      <c r="K2944" s="1" t="str">
        <f aca="false">VLOOKUP(C2944,Products!$A$2:$E$62,3,FALSE())</f>
        <v>Office Supplies</v>
      </c>
      <c r="L2944" s="1" t="str">
        <f aca="false">TEXT(D2944,"yyyy-mm")</f>
        <v>2023-01</v>
      </c>
    </row>
    <row r="2945" customFormat="false" ht="15" hidden="false" customHeight="true" outlineLevel="0" collapsed="false">
      <c r="A2945" s="1" t="n">
        <v>3010</v>
      </c>
      <c r="B2945" s="1" t="n">
        <v>402</v>
      </c>
      <c r="C2945" s="1" t="n">
        <v>52</v>
      </c>
      <c r="D2945" s="1" t="s">
        <v>907</v>
      </c>
      <c r="E2945" s="1" t="n">
        <v>4</v>
      </c>
      <c r="F2945" s="1" t="n">
        <v>207.67</v>
      </c>
      <c r="G2945" s="1" t="n">
        <v>0.05</v>
      </c>
      <c r="H2945" s="1" t="s">
        <v>1336</v>
      </c>
      <c r="I2945" s="1" t="n">
        <v>789.15</v>
      </c>
      <c r="J2945" s="1" t="str">
        <f aca="false">VLOOKUP(B2945,Customers!$A$2:$G$502,6,FALSE())</f>
        <v>Unknown</v>
      </c>
      <c r="K2945" s="1" t="str">
        <f aca="false">VLOOKUP(C2945,Products!$A$2:$E$62,3,FALSE())</f>
        <v>Software</v>
      </c>
      <c r="L2945" s="1" t="str">
        <f aca="false">TEXT(D2945,"yyyy-mm")</f>
        <v>2024-06</v>
      </c>
    </row>
    <row r="2946" customFormat="false" ht="15" hidden="false" customHeight="true" outlineLevel="0" collapsed="false">
      <c r="A2946" s="1" t="n">
        <v>3011</v>
      </c>
      <c r="B2946" s="1" t="n">
        <v>423</v>
      </c>
      <c r="C2946" s="1" t="n">
        <v>10</v>
      </c>
      <c r="D2946" s="1" t="s">
        <v>775</v>
      </c>
      <c r="E2946" s="1" t="n">
        <v>2</v>
      </c>
      <c r="F2946" s="1" t="n">
        <v>251.58</v>
      </c>
      <c r="G2946" s="1" t="n">
        <v>0.2</v>
      </c>
      <c r="H2946" s="1" t="s">
        <v>1370</v>
      </c>
      <c r="I2946" s="1" t="n">
        <v>402.53</v>
      </c>
      <c r="J2946" s="1" t="str">
        <f aca="false">VLOOKUP(B2946,Customers!$A$2:$G$502,6,FALSE())</f>
        <v>Small Business</v>
      </c>
      <c r="K2946" s="1" t="str">
        <f aca="false">VLOOKUP(C2946,Products!$A$2:$E$62,3,FALSE())</f>
        <v>Electronics</v>
      </c>
      <c r="L2946" s="1" t="str">
        <f aca="false">TEXT(D2946,"yyyy-mm")</f>
        <v>2023-01</v>
      </c>
    </row>
    <row r="2947" customFormat="false" ht="15" hidden="false" customHeight="true" outlineLevel="0" collapsed="false">
      <c r="A2947" s="1" t="n">
        <v>3012</v>
      </c>
      <c r="B2947" s="1" t="n">
        <v>150</v>
      </c>
      <c r="C2947" s="1" t="n">
        <v>33</v>
      </c>
      <c r="D2947" s="1" t="s">
        <v>238</v>
      </c>
      <c r="E2947" s="1" t="n">
        <v>6</v>
      </c>
      <c r="F2947" s="1" t="n">
        <v>190.1</v>
      </c>
      <c r="G2947" s="1" t="n">
        <v>0</v>
      </c>
      <c r="H2947" s="1" t="s">
        <v>1336</v>
      </c>
      <c r="I2947" s="1" t="n">
        <v>1140.6</v>
      </c>
      <c r="J2947" s="1" t="str">
        <f aca="false">VLOOKUP(B2947,Customers!$A$2:$G$502,6,FALSE())</f>
        <v>Corporate</v>
      </c>
      <c r="K2947" s="1" t="str">
        <f aca="false">VLOOKUP(C2947,Products!$A$2:$E$62,3,FALSE())</f>
        <v>Office Supplies</v>
      </c>
      <c r="L2947" s="1" t="str">
        <f aca="false">TEXT(D2947,"yyyy-mm")</f>
        <v>2023-10</v>
      </c>
    </row>
    <row r="2948" customFormat="false" ht="15" hidden="false" customHeight="true" outlineLevel="0" collapsed="false">
      <c r="A2948" s="1" t="n">
        <v>3013</v>
      </c>
      <c r="B2948" s="1" t="n">
        <v>105</v>
      </c>
      <c r="C2948" s="1" t="n">
        <v>49</v>
      </c>
      <c r="D2948" s="1" t="s">
        <v>1392</v>
      </c>
      <c r="E2948" s="1" t="n">
        <v>9</v>
      </c>
      <c r="F2948" s="1" t="n">
        <v>325.17</v>
      </c>
      <c r="G2948" s="1" t="n">
        <v>0.05</v>
      </c>
      <c r="H2948" s="1" t="s">
        <v>1336</v>
      </c>
      <c r="I2948" s="1" t="n">
        <v>2780.2</v>
      </c>
      <c r="J2948" s="1" t="str">
        <f aca="false">VLOOKUP(B2948,Customers!$A$2:$G$502,6,FALSE())</f>
        <v>Corporate</v>
      </c>
      <c r="K2948" s="1" t="str">
        <f aca="false">VLOOKUP(C2948,Products!$A$2:$E$62,3,FALSE())</f>
        <v>Software</v>
      </c>
      <c r="L2948" s="1" t="str">
        <f aca="false">TEXT(D2948,"yyyy-mm")</f>
        <v>2023-08</v>
      </c>
    </row>
    <row r="2949" customFormat="false" ht="15" hidden="false" customHeight="true" outlineLevel="0" collapsed="false">
      <c r="A2949" s="1" t="n">
        <v>3014</v>
      </c>
      <c r="B2949" s="1" t="n">
        <v>261</v>
      </c>
      <c r="C2949" s="1" t="n">
        <v>11</v>
      </c>
      <c r="D2949" s="1" t="s">
        <v>1456</v>
      </c>
      <c r="E2949" s="1" t="n">
        <v>1</v>
      </c>
      <c r="F2949" s="1" t="n">
        <v>328.39</v>
      </c>
      <c r="G2949" s="1" t="n">
        <v>0.1</v>
      </c>
      <c r="H2949" s="1" t="s">
        <v>1336</v>
      </c>
      <c r="I2949" s="1" t="n">
        <v>295.55</v>
      </c>
      <c r="J2949" s="1" t="str">
        <f aca="false">VLOOKUP(B2949,Customers!$A$2:$G$502,6,FALSE())</f>
        <v>Consumer</v>
      </c>
      <c r="K2949" s="1" t="str">
        <f aca="false">VLOOKUP(C2949,Products!$A$2:$E$62,3,FALSE())</f>
        <v>Electronics</v>
      </c>
      <c r="L2949" s="1" t="str">
        <f aca="false">TEXT(D2949,"yyyy-mm")</f>
        <v>2024-12</v>
      </c>
    </row>
    <row r="2950" customFormat="false" ht="15" hidden="false" customHeight="true" outlineLevel="0" collapsed="false">
      <c r="A2950" s="1" t="n">
        <v>3015</v>
      </c>
      <c r="B2950" s="1" t="n">
        <v>106</v>
      </c>
      <c r="C2950" s="1" t="n">
        <v>25</v>
      </c>
      <c r="D2950" s="1" t="s">
        <v>586</v>
      </c>
      <c r="E2950" s="1" t="n">
        <v>7</v>
      </c>
      <c r="F2950" s="1" t="n">
        <v>300.49</v>
      </c>
      <c r="G2950" s="1" t="n">
        <v>0.2</v>
      </c>
      <c r="H2950" s="1" t="s">
        <v>1336</v>
      </c>
      <c r="I2950" s="1" t="n">
        <v>1682.74</v>
      </c>
      <c r="J2950" s="1" t="str">
        <f aca="false">VLOOKUP(B2950,Customers!$A$2:$G$502,6,FALSE())</f>
        <v>Small Business</v>
      </c>
      <c r="K2950" s="1" t="str">
        <f aca="false">VLOOKUP(C2950,Products!$A$2:$E$62,3,FALSE())</f>
        <v>Office Supplies</v>
      </c>
      <c r="L2950" s="1" t="str">
        <f aca="false">TEXT(D2950,"yyyy-mm")</f>
        <v>2023-01</v>
      </c>
    </row>
    <row r="2951" customFormat="false" ht="15" hidden="false" customHeight="true" outlineLevel="0" collapsed="false">
      <c r="A2951" s="1" t="n">
        <v>3016</v>
      </c>
      <c r="B2951" s="1" t="n">
        <v>223</v>
      </c>
      <c r="C2951" s="1" t="n">
        <v>57</v>
      </c>
      <c r="D2951" s="1" t="s">
        <v>1359</v>
      </c>
      <c r="E2951" s="1" t="n">
        <v>9</v>
      </c>
      <c r="F2951" s="1" t="n">
        <v>719.76</v>
      </c>
      <c r="G2951" s="1" t="n">
        <v>0</v>
      </c>
      <c r="H2951" s="1" t="s">
        <v>1336</v>
      </c>
      <c r="I2951" s="1" t="n">
        <v>6477.84</v>
      </c>
      <c r="J2951" s="1" t="str">
        <f aca="false">VLOOKUP(B2951,Customers!$A$2:$G$502,6,FALSE())</f>
        <v>Consumer</v>
      </c>
      <c r="K2951" s="1" t="str">
        <f aca="false">VLOOKUP(C2951,Products!$A$2:$E$62,3,FALSE())</f>
        <v>Furniture</v>
      </c>
      <c r="L2951" s="1" t="str">
        <f aca="false">TEXT(D2951,"yyyy-mm")</f>
        <v>2024-09</v>
      </c>
    </row>
    <row r="2952" customFormat="false" ht="15" hidden="false" customHeight="true" outlineLevel="0" collapsed="false">
      <c r="A2952" s="1" t="n">
        <v>3017</v>
      </c>
      <c r="B2952" s="1" t="n">
        <v>367</v>
      </c>
      <c r="C2952" s="1" t="n">
        <v>54</v>
      </c>
      <c r="D2952" s="1" t="s">
        <v>384</v>
      </c>
      <c r="E2952" s="1" t="n">
        <v>9</v>
      </c>
      <c r="F2952" s="1" t="n">
        <v>312.01</v>
      </c>
      <c r="G2952" s="1" t="n">
        <v>0</v>
      </c>
      <c r="H2952" s="1" t="s">
        <v>1336</v>
      </c>
      <c r="I2952" s="1" t="n">
        <v>2808.09</v>
      </c>
      <c r="J2952" s="1" t="str">
        <f aca="false">VLOOKUP(B2952,Customers!$A$2:$G$502,6,FALSE())</f>
        <v>Corporate</v>
      </c>
      <c r="K2952" s="1" t="str">
        <f aca="false">VLOOKUP(C2952,Products!$A$2:$E$62,3,FALSE())</f>
        <v>Software</v>
      </c>
      <c r="L2952" s="1" t="str">
        <f aca="false">TEXT(D2952,"yyyy-mm")</f>
        <v>2023-02</v>
      </c>
    </row>
    <row r="2953" customFormat="false" ht="15" hidden="false" customHeight="true" outlineLevel="0" collapsed="false">
      <c r="A2953" s="1" t="n">
        <v>3018</v>
      </c>
      <c r="B2953" s="1" t="n">
        <v>48</v>
      </c>
      <c r="C2953" s="1" t="n">
        <v>59</v>
      </c>
      <c r="D2953" s="1" t="s">
        <v>1666</v>
      </c>
      <c r="E2953" s="1" t="n">
        <v>3</v>
      </c>
      <c r="F2953" s="1" t="n">
        <v>438.89</v>
      </c>
      <c r="G2953" s="1" t="n">
        <v>0</v>
      </c>
      <c r="H2953" s="1" t="s">
        <v>1336</v>
      </c>
      <c r="I2953" s="1" t="n">
        <v>1316.67</v>
      </c>
      <c r="J2953" s="1" t="str">
        <f aca="false">VLOOKUP(B2953,Customers!$A$2:$G$502,6,FALSE())</f>
        <v>Small Business</v>
      </c>
      <c r="K2953" s="1" t="str">
        <f aca="false">VLOOKUP(C2953,Products!$A$2:$E$62,3,FALSE())</f>
        <v>Furniture</v>
      </c>
      <c r="L2953" s="1" t="str">
        <f aca="false">TEXT(D2953,"yyyy-mm")</f>
        <v>2024-07</v>
      </c>
    </row>
    <row r="2954" customFormat="false" ht="15" hidden="false" customHeight="true" outlineLevel="0" collapsed="false">
      <c r="A2954" s="1" t="n">
        <v>3019</v>
      </c>
      <c r="B2954" s="1" t="n">
        <v>40</v>
      </c>
      <c r="C2954" s="1" t="n">
        <v>7</v>
      </c>
      <c r="D2954" s="1" t="s">
        <v>1504</v>
      </c>
      <c r="E2954" s="1" t="n">
        <v>5</v>
      </c>
      <c r="F2954" s="1" t="n">
        <v>460</v>
      </c>
      <c r="G2954" s="1" t="n">
        <v>0</v>
      </c>
      <c r="H2954" s="1" t="s">
        <v>1336</v>
      </c>
      <c r="I2954" s="1" t="n">
        <v>2300</v>
      </c>
      <c r="J2954" s="1" t="str">
        <f aca="false">VLOOKUP(B2954,Customers!$A$2:$G$502,6,FALSE())</f>
        <v>Consumer</v>
      </c>
      <c r="K2954" s="1" t="str">
        <f aca="false">VLOOKUP(C2954,Products!$A$2:$E$62,3,FALSE())</f>
        <v>Electronics</v>
      </c>
      <c r="L2954" s="1" t="str">
        <f aca="false">TEXT(D2954,"yyyy-mm")</f>
        <v>2023-12</v>
      </c>
    </row>
    <row r="2955" customFormat="false" ht="15" hidden="false" customHeight="true" outlineLevel="0" collapsed="false">
      <c r="A2955" s="1" t="n">
        <v>3020</v>
      </c>
      <c r="B2955" s="1" t="n">
        <v>354</v>
      </c>
      <c r="C2955" s="1" t="n">
        <v>58</v>
      </c>
      <c r="D2955" s="1" t="s">
        <v>958</v>
      </c>
      <c r="E2955" s="1" t="n">
        <v>8</v>
      </c>
      <c r="F2955" s="1" t="n">
        <v>515.55</v>
      </c>
      <c r="G2955" s="1" t="n">
        <v>0.15</v>
      </c>
      <c r="H2955" s="1" t="s">
        <v>1336</v>
      </c>
      <c r="I2955" s="1" t="n">
        <v>3505.74</v>
      </c>
      <c r="J2955" s="1" t="str">
        <f aca="false">VLOOKUP(B2955,Customers!$A$2:$G$502,6,FALSE())</f>
        <v>Consumer</v>
      </c>
      <c r="K2955" s="1" t="str">
        <f aca="false">VLOOKUP(C2955,Products!$A$2:$E$62,3,FALSE())</f>
        <v>Furniture</v>
      </c>
      <c r="L2955" s="1" t="str">
        <f aca="false">TEXT(D2955,"yyyy-mm")</f>
        <v>2024-12</v>
      </c>
    </row>
    <row r="2956" customFormat="false" ht="15" hidden="false" customHeight="true" outlineLevel="0" collapsed="false">
      <c r="A2956" s="1" t="n">
        <v>3021</v>
      </c>
      <c r="B2956" s="1" t="n">
        <v>261</v>
      </c>
      <c r="C2956" s="1" t="n">
        <v>37</v>
      </c>
      <c r="D2956" s="1" t="s">
        <v>653</v>
      </c>
      <c r="E2956" s="1" t="n">
        <v>8</v>
      </c>
      <c r="F2956" s="1" t="n">
        <v>13.95</v>
      </c>
      <c r="G2956" s="1" t="n">
        <v>0.2</v>
      </c>
      <c r="H2956" s="1" t="s">
        <v>1336</v>
      </c>
      <c r="I2956" s="1" t="n">
        <v>89.28</v>
      </c>
      <c r="J2956" s="1" t="str">
        <f aca="false">VLOOKUP(B2956,Customers!$A$2:$G$502,6,FALSE())</f>
        <v>Consumer</v>
      </c>
      <c r="K2956" s="1" t="str">
        <f aca="false">VLOOKUP(C2956,Products!$A$2:$E$62,3,FALSE())</f>
        <v>Software</v>
      </c>
      <c r="L2956" s="1" t="str">
        <f aca="false">TEXT(D2956,"yyyy-mm")</f>
        <v>2024-10</v>
      </c>
    </row>
    <row r="2957" customFormat="false" ht="15" hidden="false" customHeight="true" outlineLevel="0" collapsed="false">
      <c r="A2957" s="1" t="n">
        <v>3022</v>
      </c>
      <c r="B2957" s="1" t="n">
        <v>145</v>
      </c>
      <c r="C2957" s="1" t="n">
        <v>4</v>
      </c>
      <c r="D2957" s="1" t="s">
        <v>283</v>
      </c>
      <c r="E2957" s="1" t="n">
        <v>4</v>
      </c>
      <c r="F2957" s="1" t="n">
        <v>56.24</v>
      </c>
      <c r="G2957" s="1" t="n">
        <v>0</v>
      </c>
      <c r="H2957" s="1" t="s">
        <v>1336</v>
      </c>
      <c r="I2957" s="1" t="n">
        <v>224.96</v>
      </c>
      <c r="J2957" s="1" t="str">
        <f aca="false">VLOOKUP(B2957,Customers!$A$2:$G$502,6,FALSE())</f>
        <v>Corporate</v>
      </c>
      <c r="K2957" s="1" t="str">
        <f aca="false">VLOOKUP(C2957,Products!$A$2:$E$62,3,FALSE())</f>
        <v>Electronics</v>
      </c>
      <c r="L2957" s="1" t="str">
        <f aca="false">TEXT(D2957,"yyyy-mm")</f>
        <v>2023-10</v>
      </c>
    </row>
    <row r="2958" customFormat="false" ht="15" hidden="false" customHeight="true" outlineLevel="0" collapsed="false">
      <c r="A2958" s="1" t="n">
        <v>3023</v>
      </c>
      <c r="B2958" s="1" t="n">
        <v>352</v>
      </c>
      <c r="C2958" s="1" t="n">
        <v>14</v>
      </c>
      <c r="D2958" s="1" t="s">
        <v>1092</v>
      </c>
      <c r="E2958" s="1" t="n">
        <v>1</v>
      </c>
      <c r="F2958" s="1" t="n">
        <v>135.27</v>
      </c>
      <c r="G2958" s="1" t="n">
        <v>0</v>
      </c>
      <c r="H2958" s="1" t="s">
        <v>1336</v>
      </c>
      <c r="I2958" s="1" t="n">
        <v>135.27</v>
      </c>
      <c r="J2958" s="1" t="str">
        <f aca="false">VLOOKUP(B2958,Customers!$A$2:$G$502,6,FALSE())</f>
        <v>Corporate</v>
      </c>
      <c r="K2958" s="1" t="str">
        <f aca="false">VLOOKUP(C2958,Products!$A$2:$E$62,3,FALSE())</f>
        <v>Electronics</v>
      </c>
      <c r="L2958" s="1" t="str">
        <f aca="false">TEXT(D2958,"yyyy-mm")</f>
        <v>2023-12</v>
      </c>
    </row>
    <row r="2959" customFormat="false" ht="15" hidden="false" customHeight="true" outlineLevel="0" collapsed="false">
      <c r="A2959" s="1" t="n">
        <v>3024</v>
      </c>
      <c r="B2959" s="1" t="n">
        <v>245</v>
      </c>
      <c r="C2959" s="1" t="n">
        <v>20</v>
      </c>
      <c r="D2959" s="1" t="s">
        <v>1262</v>
      </c>
      <c r="E2959" s="1" t="n">
        <v>1</v>
      </c>
      <c r="F2959" s="1" t="n">
        <v>426.15</v>
      </c>
      <c r="G2959" s="1" t="n">
        <v>0</v>
      </c>
      <c r="H2959" s="1" t="s">
        <v>1336</v>
      </c>
      <c r="I2959" s="1" t="n">
        <v>426.15</v>
      </c>
      <c r="J2959" s="1" t="str">
        <f aca="false">VLOOKUP(B2959,Customers!$A$2:$G$502,6,FALSE())</f>
        <v>Consumer</v>
      </c>
      <c r="K2959" s="1" t="str">
        <f aca="false">VLOOKUP(C2959,Products!$A$2:$E$62,3,FALSE())</f>
        <v>Office Supplies</v>
      </c>
      <c r="L2959" s="1" t="str">
        <f aca="false">TEXT(D2959,"yyyy-mm")</f>
        <v>2024-04</v>
      </c>
    </row>
    <row r="2960" customFormat="false" ht="15" hidden="false" customHeight="true" outlineLevel="0" collapsed="false">
      <c r="A2960" s="1" t="n">
        <v>3025</v>
      </c>
      <c r="B2960" s="1" t="n">
        <v>53</v>
      </c>
      <c r="C2960" s="1" t="n">
        <v>60</v>
      </c>
      <c r="D2960" s="1" t="s">
        <v>1486</v>
      </c>
      <c r="E2960" s="1" t="n">
        <v>4</v>
      </c>
      <c r="F2960" s="1" t="n">
        <v>584.98</v>
      </c>
      <c r="G2960" s="1" t="n">
        <v>0.1</v>
      </c>
      <c r="H2960" s="1" t="s">
        <v>1346</v>
      </c>
      <c r="I2960" s="1" t="n">
        <v>2105.93</v>
      </c>
      <c r="J2960" s="1" t="str">
        <f aca="false">VLOOKUP(B2960,Customers!$A$2:$G$502,6,FALSE())</f>
        <v>Small Business</v>
      </c>
      <c r="K2960" s="1" t="str">
        <f aca="false">VLOOKUP(C2960,Products!$A$2:$E$62,3,FALSE())</f>
        <v>Furniture</v>
      </c>
      <c r="L2960" s="1" t="str">
        <f aca="false">TEXT(D2960,"yyyy-mm")</f>
        <v>2024-02</v>
      </c>
    </row>
    <row r="2961" customFormat="false" ht="15" hidden="false" customHeight="true" outlineLevel="0" collapsed="false">
      <c r="A2961" s="1" t="n">
        <v>3026</v>
      </c>
      <c r="B2961" s="1" t="n">
        <v>418</v>
      </c>
      <c r="C2961" s="1" t="n">
        <v>29</v>
      </c>
      <c r="D2961" s="1" t="s">
        <v>300</v>
      </c>
      <c r="E2961" s="1" t="n">
        <v>6</v>
      </c>
      <c r="F2961" s="1" t="n">
        <v>54.62</v>
      </c>
      <c r="G2961" s="1" t="n">
        <v>0</v>
      </c>
      <c r="H2961" s="1" t="s">
        <v>1336</v>
      </c>
      <c r="I2961" s="1" t="n">
        <v>327.72</v>
      </c>
      <c r="J2961" s="1" t="str">
        <f aca="false">VLOOKUP(B2961,Customers!$A$2:$G$502,6,FALSE())</f>
        <v>Corporate</v>
      </c>
      <c r="K2961" s="1" t="str">
        <f aca="false">VLOOKUP(C2961,Products!$A$2:$E$62,3,FALSE())</f>
        <v>Office Supplies</v>
      </c>
      <c r="L2961" s="1" t="str">
        <f aca="false">TEXT(D2961,"yyyy-mm")</f>
        <v>2024-07</v>
      </c>
    </row>
    <row r="2962" customFormat="false" ht="15" hidden="false" customHeight="true" outlineLevel="0" collapsed="false">
      <c r="A2962" s="1" t="n">
        <v>3027</v>
      </c>
      <c r="B2962" s="1" t="n">
        <v>237</v>
      </c>
      <c r="C2962" s="1" t="n">
        <v>51</v>
      </c>
      <c r="D2962" s="1" t="s">
        <v>467</v>
      </c>
      <c r="E2962" s="1" t="n">
        <v>8</v>
      </c>
      <c r="F2962" s="1" t="n">
        <v>30.16</v>
      </c>
      <c r="G2962" s="1" t="n">
        <v>0</v>
      </c>
      <c r="H2962" s="1" t="s">
        <v>1336</v>
      </c>
      <c r="I2962" s="1" t="n">
        <v>241.28</v>
      </c>
      <c r="J2962" s="1" t="str">
        <f aca="false">VLOOKUP(B2962,Customers!$A$2:$G$502,6,FALSE())</f>
        <v>Consumer</v>
      </c>
      <c r="K2962" s="1" t="str">
        <f aca="false">VLOOKUP(C2962,Products!$A$2:$E$62,3,FALSE())</f>
        <v>Software</v>
      </c>
      <c r="L2962" s="1" t="str">
        <f aca="false">TEXT(D2962,"yyyy-mm")</f>
        <v>2024-11</v>
      </c>
    </row>
    <row r="2963" customFormat="false" ht="15" hidden="false" customHeight="true" outlineLevel="0" collapsed="false">
      <c r="A2963" s="1" t="n">
        <v>3028</v>
      </c>
      <c r="B2963" s="1" t="n">
        <v>105</v>
      </c>
      <c r="C2963" s="1" t="n">
        <v>31</v>
      </c>
      <c r="D2963" s="1" t="s">
        <v>783</v>
      </c>
      <c r="E2963" s="1" t="n">
        <v>6</v>
      </c>
      <c r="F2963" s="1" t="n">
        <v>224.86</v>
      </c>
      <c r="G2963" s="1" t="n">
        <v>0</v>
      </c>
      <c r="H2963" s="1" t="s">
        <v>1336</v>
      </c>
      <c r="I2963" s="1" t="n">
        <v>1349.16</v>
      </c>
      <c r="J2963" s="1" t="str">
        <f aca="false">VLOOKUP(B2963,Customers!$A$2:$G$502,6,FALSE())</f>
        <v>Corporate</v>
      </c>
      <c r="K2963" s="1" t="str">
        <f aca="false">VLOOKUP(C2963,Products!$A$2:$E$62,3,FALSE())</f>
        <v>Office Supplies</v>
      </c>
      <c r="L2963" s="1" t="str">
        <f aca="false">TEXT(D2963,"yyyy-mm")</f>
        <v>2024-12</v>
      </c>
    </row>
    <row r="2964" customFormat="false" ht="15" hidden="false" customHeight="true" outlineLevel="0" collapsed="false">
      <c r="A2964" s="1" t="n">
        <v>3029</v>
      </c>
      <c r="B2964" s="1" t="n">
        <v>410</v>
      </c>
      <c r="C2964" s="1" t="n">
        <v>34</v>
      </c>
      <c r="D2964" s="1" t="s">
        <v>1459</v>
      </c>
      <c r="E2964" s="1" t="n">
        <v>9</v>
      </c>
      <c r="F2964" s="1" t="n">
        <v>116.85</v>
      </c>
      <c r="G2964" s="1" t="n">
        <v>0</v>
      </c>
      <c r="H2964" s="1" t="s">
        <v>1336</v>
      </c>
      <c r="I2964" s="1" t="n">
        <v>1051.65</v>
      </c>
      <c r="J2964" s="1" t="str">
        <f aca="false">VLOOKUP(B2964,Customers!$A$2:$G$502,6,FALSE())</f>
        <v>Consumer</v>
      </c>
      <c r="K2964" s="1" t="str">
        <f aca="false">VLOOKUP(C2964,Products!$A$2:$E$62,3,FALSE())</f>
        <v>Office Supplies</v>
      </c>
      <c r="L2964" s="1" t="str">
        <f aca="false">TEXT(D2964,"yyyy-mm")</f>
        <v>2024-03</v>
      </c>
    </row>
    <row r="2965" customFormat="false" ht="15" hidden="false" customHeight="true" outlineLevel="0" collapsed="false">
      <c r="A2965" s="1" t="n">
        <v>3030</v>
      </c>
      <c r="B2965" s="1" t="n">
        <v>183</v>
      </c>
      <c r="C2965" s="1" t="n">
        <v>38</v>
      </c>
      <c r="D2965" s="1" t="s">
        <v>1013</v>
      </c>
      <c r="E2965" s="1" t="n">
        <v>9</v>
      </c>
      <c r="F2965" s="1" t="n">
        <v>521.63</v>
      </c>
      <c r="G2965" s="1" t="n">
        <v>0.1</v>
      </c>
      <c r="H2965" s="1" t="s">
        <v>1336</v>
      </c>
      <c r="I2965" s="1" t="n">
        <v>4225.2</v>
      </c>
      <c r="J2965" s="1" t="str">
        <f aca="false">VLOOKUP(B2965,Customers!$A$2:$G$502,6,FALSE())</f>
        <v>Corporate</v>
      </c>
      <c r="K2965" s="1" t="str">
        <f aca="false">VLOOKUP(C2965,Products!$A$2:$E$62,3,FALSE())</f>
        <v>Software</v>
      </c>
      <c r="L2965" s="1" t="str">
        <f aca="false">TEXT(D2965,"yyyy-mm")</f>
        <v>2024-12</v>
      </c>
    </row>
    <row r="2966" customFormat="false" ht="15" hidden="false" customHeight="true" outlineLevel="0" collapsed="false">
      <c r="A2966" s="1" t="n">
        <v>3031</v>
      </c>
      <c r="B2966" s="1" t="n">
        <v>22</v>
      </c>
      <c r="C2966" s="1" t="n">
        <v>47</v>
      </c>
      <c r="D2966" s="1" t="s">
        <v>1627</v>
      </c>
      <c r="E2966" s="1" t="n">
        <v>2</v>
      </c>
      <c r="F2966" s="1" t="n">
        <v>506.19</v>
      </c>
      <c r="G2966" s="1" t="n">
        <v>0.2</v>
      </c>
      <c r="H2966" s="1" t="s">
        <v>1336</v>
      </c>
      <c r="I2966" s="1" t="n">
        <v>809.9</v>
      </c>
      <c r="J2966" s="1" t="str">
        <f aca="false">VLOOKUP(B2966,Customers!$A$2:$G$502,6,FALSE())</f>
        <v>Consumer</v>
      </c>
      <c r="K2966" s="1" t="str">
        <f aca="false">VLOOKUP(C2966,Products!$A$2:$E$62,3,FALSE())</f>
        <v>Software</v>
      </c>
      <c r="L2966" s="1" t="str">
        <f aca="false">TEXT(D2966,"yyyy-mm")</f>
        <v>2023-11</v>
      </c>
    </row>
    <row r="2967" customFormat="false" ht="15" hidden="false" customHeight="true" outlineLevel="0" collapsed="false">
      <c r="A2967" s="1" t="n">
        <v>3032</v>
      </c>
      <c r="B2967" s="1" t="n">
        <v>131</v>
      </c>
      <c r="C2967" s="1" t="n">
        <v>23</v>
      </c>
      <c r="D2967" s="1" t="s">
        <v>1066</v>
      </c>
      <c r="E2967" s="1" t="n">
        <v>1</v>
      </c>
      <c r="F2967" s="1" t="n">
        <v>188.73</v>
      </c>
      <c r="G2967" s="1" t="n">
        <v>0.1</v>
      </c>
      <c r="H2967" s="1" t="s">
        <v>1336</v>
      </c>
      <c r="I2967" s="1" t="n">
        <v>169.86</v>
      </c>
      <c r="J2967" s="1" t="str">
        <f aca="false">VLOOKUP(B2967,Customers!$A$2:$G$502,6,FALSE())</f>
        <v>Corporate</v>
      </c>
      <c r="K2967" s="1" t="str">
        <f aca="false">VLOOKUP(C2967,Products!$A$2:$E$62,3,FALSE())</f>
        <v>Office Supplies</v>
      </c>
      <c r="L2967" s="1" t="str">
        <f aca="false">TEXT(D2967,"yyyy-mm")</f>
        <v>2024-10</v>
      </c>
    </row>
    <row r="2968" customFormat="false" ht="15" hidden="false" customHeight="true" outlineLevel="0" collapsed="false">
      <c r="A2968" s="1" t="n">
        <v>3033</v>
      </c>
      <c r="B2968" s="1" t="n">
        <v>280</v>
      </c>
      <c r="C2968" s="1" t="n">
        <v>24</v>
      </c>
      <c r="D2968" s="1" t="s">
        <v>1526</v>
      </c>
      <c r="E2968" s="1" t="n">
        <v>2</v>
      </c>
      <c r="F2968" s="1" t="n">
        <v>207.34</v>
      </c>
      <c r="G2968" s="1" t="n">
        <v>0</v>
      </c>
      <c r="H2968" s="1" t="s">
        <v>1370</v>
      </c>
      <c r="I2968" s="1" t="n">
        <v>414.68</v>
      </c>
      <c r="J2968" s="1" t="str">
        <f aca="false">VLOOKUP(B2968,Customers!$A$2:$G$502,6,FALSE())</f>
        <v>Consumer</v>
      </c>
      <c r="K2968" s="1" t="str">
        <f aca="false">VLOOKUP(C2968,Products!$A$2:$E$62,3,FALSE())</f>
        <v>Office Supplies</v>
      </c>
      <c r="L2968" s="1" t="str">
        <f aca="false">TEXT(D2968,"yyyy-mm")</f>
        <v>2023-09</v>
      </c>
    </row>
    <row r="2969" customFormat="false" ht="15" hidden="false" customHeight="true" outlineLevel="0" collapsed="false">
      <c r="A2969" s="1" t="n">
        <v>3034</v>
      </c>
      <c r="B2969" s="1" t="n">
        <v>390</v>
      </c>
      <c r="C2969" s="1" t="n">
        <v>33</v>
      </c>
      <c r="D2969" s="1" t="s">
        <v>47</v>
      </c>
      <c r="E2969" s="1" t="n">
        <v>5</v>
      </c>
      <c r="F2969" s="1" t="n">
        <v>190.1</v>
      </c>
      <c r="G2969" s="1" t="n">
        <v>0</v>
      </c>
      <c r="H2969" s="1" t="s">
        <v>1336</v>
      </c>
      <c r="I2969" s="1" t="n">
        <v>950.5</v>
      </c>
      <c r="J2969" s="1" t="str">
        <f aca="false">VLOOKUP(B2969,Customers!$A$2:$G$502,6,FALSE())</f>
        <v>Small Business</v>
      </c>
      <c r="K2969" s="1" t="str">
        <f aca="false">VLOOKUP(C2969,Products!$A$2:$E$62,3,FALSE())</f>
        <v>Office Supplies</v>
      </c>
      <c r="L2969" s="1" t="str">
        <f aca="false">TEXT(D2969,"yyyy-mm")</f>
        <v>2023-06</v>
      </c>
    </row>
    <row r="2970" customFormat="false" ht="15" hidden="false" customHeight="true" outlineLevel="0" collapsed="false">
      <c r="A2970" s="1" t="n">
        <v>3035</v>
      </c>
      <c r="B2970" s="1" t="n">
        <v>398</v>
      </c>
      <c r="C2970" s="1" t="n">
        <v>45</v>
      </c>
      <c r="D2970" s="1" t="s">
        <v>1086</v>
      </c>
      <c r="E2970" s="1" t="n">
        <v>4</v>
      </c>
      <c r="F2970" s="1" t="n">
        <v>560.01</v>
      </c>
      <c r="G2970" s="1" t="n">
        <v>0</v>
      </c>
      <c r="H2970" s="1" t="s">
        <v>1336</v>
      </c>
      <c r="I2970" s="1" t="n">
        <v>2240.04</v>
      </c>
      <c r="J2970" s="1" t="str">
        <f aca="false">VLOOKUP(B2970,Customers!$A$2:$G$502,6,FALSE())</f>
        <v>Small Business</v>
      </c>
      <c r="K2970" s="1" t="str">
        <f aca="false">VLOOKUP(C2970,Products!$A$2:$E$62,3,FALSE())</f>
        <v>Software</v>
      </c>
      <c r="L2970" s="1" t="str">
        <f aca="false">TEXT(D2970,"yyyy-mm")</f>
        <v>2024-05</v>
      </c>
    </row>
    <row r="2971" customFormat="false" ht="15" hidden="false" customHeight="true" outlineLevel="0" collapsed="false">
      <c r="A2971" s="1" t="n">
        <v>3036</v>
      </c>
      <c r="B2971" s="1" t="n">
        <v>476</v>
      </c>
      <c r="C2971" s="1" t="n">
        <v>28</v>
      </c>
      <c r="D2971" s="1" t="s">
        <v>1449</v>
      </c>
      <c r="E2971" s="1" t="n">
        <v>4</v>
      </c>
      <c r="F2971" s="1" t="n">
        <v>505.23</v>
      </c>
      <c r="G2971" s="1" t="n">
        <v>0</v>
      </c>
      <c r="H2971" s="1" t="s">
        <v>1336</v>
      </c>
      <c r="I2971" s="1" t="n">
        <v>2020.92</v>
      </c>
      <c r="J2971" s="1" t="str">
        <f aca="false">VLOOKUP(B2971,Customers!$A$2:$G$502,6,FALSE())</f>
        <v>Small Business</v>
      </c>
      <c r="K2971" s="1" t="str">
        <f aca="false">VLOOKUP(C2971,Products!$A$2:$E$62,3,FALSE())</f>
        <v>Office Supplies</v>
      </c>
      <c r="L2971" s="1" t="str">
        <f aca="false">TEXT(D2971,"yyyy-mm")</f>
        <v>2024-03</v>
      </c>
    </row>
    <row r="2972" customFormat="false" ht="15" hidden="false" customHeight="true" outlineLevel="0" collapsed="false">
      <c r="A2972" s="1" t="n">
        <v>3037</v>
      </c>
      <c r="B2972" s="1" t="n">
        <v>104</v>
      </c>
      <c r="C2972" s="1" t="n">
        <v>1</v>
      </c>
      <c r="D2972" s="1" t="s">
        <v>1553</v>
      </c>
      <c r="E2972" s="1" t="n">
        <v>9</v>
      </c>
      <c r="F2972" s="1" t="n">
        <v>327.32</v>
      </c>
      <c r="G2972" s="1" t="n">
        <v>0.2</v>
      </c>
      <c r="H2972" s="1" t="s">
        <v>1336</v>
      </c>
      <c r="I2972" s="1" t="n">
        <v>2356.7</v>
      </c>
      <c r="J2972" s="1" t="str">
        <f aca="false">VLOOKUP(B2972,Customers!$A$2:$G$502,6,FALSE())</f>
        <v>Corporate</v>
      </c>
      <c r="K2972" s="1" t="str">
        <f aca="false">VLOOKUP(C2972,Products!$A$2:$E$62,3,FALSE())</f>
        <v>Electronics</v>
      </c>
      <c r="L2972" s="1" t="str">
        <f aca="false">TEXT(D2972,"yyyy-mm")</f>
        <v>2023-06</v>
      </c>
    </row>
    <row r="2973" customFormat="false" ht="15" hidden="false" customHeight="true" outlineLevel="0" collapsed="false">
      <c r="A2973" s="1" t="n">
        <v>3038</v>
      </c>
      <c r="B2973" s="1" t="n">
        <v>246</v>
      </c>
      <c r="C2973" s="1" t="n">
        <v>49</v>
      </c>
      <c r="D2973" s="1" t="s">
        <v>1584</v>
      </c>
      <c r="E2973" s="1" t="n">
        <v>8</v>
      </c>
      <c r="F2973" s="1" t="n">
        <v>325.17</v>
      </c>
      <c r="G2973" s="1" t="n">
        <v>0.05</v>
      </c>
      <c r="H2973" s="1" t="s">
        <v>1336</v>
      </c>
      <c r="I2973" s="1" t="n">
        <v>2471.29</v>
      </c>
      <c r="J2973" s="1" t="str">
        <f aca="false">VLOOKUP(B2973,Customers!$A$2:$G$502,6,FALSE())</f>
        <v>Small Business</v>
      </c>
      <c r="K2973" s="1" t="str">
        <f aca="false">VLOOKUP(C2973,Products!$A$2:$E$62,3,FALSE())</f>
        <v>Software</v>
      </c>
      <c r="L2973" s="1" t="str">
        <f aca="false">TEXT(D2973,"yyyy-mm")</f>
        <v>2024-01</v>
      </c>
    </row>
    <row r="2974" customFormat="false" ht="15" hidden="false" customHeight="true" outlineLevel="0" collapsed="false">
      <c r="A2974" s="1" t="n">
        <v>3039</v>
      </c>
      <c r="B2974" s="1" t="n">
        <v>327</v>
      </c>
      <c r="C2974" s="1" t="n">
        <v>24</v>
      </c>
      <c r="D2974" s="1" t="s">
        <v>832</v>
      </c>
      <c r="E2974" s="1" t="n">
        <v>6</v>
      </c>
      <c r="F2974" s="1" t="n">
        <v>207.34</v>
      </c>
      <c r="G2974" s="1" t="n">
        <v>0</v>
      </c>
      <c r="H2974" s="1" t="s">
        <v>1336</v>
      </c>
      <c r="I2974" s="1" t="n">
        <v>1244.04</v>
      </c>
      <c r="J2974" s="1" t="str">
        <f aca="false">VLOOKUP(B2974,Customers!$A$2:$G$502,6,FALSE())</f>
        <v>Consumer</v>
      </c>
      <c r="K2974" s="1" t="str">
        <f aca="false">VLOOKUP(C2974,Products!$A$2:$E$62,3,FALSE())</f>
        <v>Office Supplies</v>
      </c>
      <c r="L2974" s="1" t="str">
        <f aca="false">TEXT(D2974,"yyyy-mm")</f>
        <v>2024-12</v>
      </c>
    </row>
    <row r="2975" customFormat="false" ht="15" hidden="false" customHeight="true" outlineLevel="0" collapsed="false">
      <c r="A2975" s="1" t="n">
        <v>3040</v>
      </c>
      <c r="B2975" s="1" t="n">
        <v>219</v>
      </c>
      <c r="C2975" s="1" t="n">
        <v>7</v>
      </c>
      <c r="D2975" s="1" t="s">
        <v>1655</v>
      </c>
      <c r="E2975" s="1" t="n">
        <v>1</v>
      </c>
      <c r="F2975" s="1" t="n">
        <v>460</v>
      </c>
      <c r="G2975" s="1" t="n">
        <v>0</v>
      </c>
      <c r="H2975" s="1" t="s">
        <v>1336</v>
      </c>
      <c r="I2975" s="1" t="n">
        <v>460</v>
      </c>
      <c r="J2975" s="1" t="str">
        <f aca="false">VLOOKUP(B2975,Customers!$A$2:$G$502,6,FALSE())</f>
        <v>Small Business</v>
      </c>
      <c r="K2975" s="1" t="str">
        <f aca="false">VLOOKUP(C2975,Products!$A$2:$E$62,3,FALSE())</f>
        <v>Electronics</v>
      </c>
      <c r="L2975" s="1" t="str">
        <f aca="false">TEXT(D2975,"yyyy-mm")</f>
        <v>2023-09</v>
      </c>
    </row>
    <row r="2976" customFormat="false" ht="15" hidden="false" customHeight="true" outlineLevel="0" collapsed="false">
      <c r="A2976" s="1" t="n">
        <v>3041</v>
      </c>
      <c r="B2976" s="1" t="n">
        <v>275</v>
      </c>
      <c r="C2976" s="1" t="n">
        <v>59</v>
      </c>
      <c r="D2976" s="1" t="s">
        <v>1666</v>
      </c>
      <c r="E2976" s="1" t="n">
        <v>2</v>
      </c>
      <c r="F2976" s="1" t="n">
        <v>438.89</v>
      </c>
      <c r="G2976" s="1" t="n">
        <v>0</v>
      </c>
      <c r="H2976" s="1" t="s">
        <v>1336</v>
      </c>
      <c r="I2976" s="1" t="n">
        <v>877.78</v>
      </c>
      <c r="J2976" s="1" t="str">
        <f aca="false">VLOOKUP(B2976,Customers!$A$2:$G$502,6,FALSE())</f>
        <v>Consumer</v>
      </c>
      <c r="K2976" s="1" t="str">
        <f aca="false">VLOOKUP(C2976,Products!$A$2:$E$62,3,FALSE())</f>
        <v>Furniture</v>
      </c>
      <c r="L2976" s="1" t="str">
        <f aca="false">TEXT(D2976,"yyyy-mm")</f>
        <v>2024-07</v>
      </c>
    </row>
    <row r="2977" customFormat="false" ht="15" hidden="false" customHeight="true" outlineLevel="0" collapsed="false">
      <c r="A2977" s="1" t="n">
        <v>3042</v>
      </c>
      <c r="B2977" s="1" t="n">
        <v>425</v>
      </c>
      <c r="C2977" s="1" t="n">
        <v>15</v>
      </c>
      <c r="D2977" s="1" t="s">
        <v>1670</v>
      </c>
      <c r="E2977" s="1" t="n">
        <v>6</v>
      </c>
      <c r="F2977" s="1" t="n">
        <v>304.95</v>
      </c>
      <c r="G2977" s="1" t="n">
        <v>0.2</v>
      </c>
      <c r="H2977" s="1" t="s">
        <v>1336</v>
      </c>
      <c r="I2977" s="1" t="n">
        <v>1463.76</v>
      </c>
      <c r="J2977" s="1" t="str">
        <f aca="false">VLOOKUP(B2977,Customers!$A$2:$G$502,6,FALSE())</f>
        <v>Unknown</v>
      </c>
      <c r="K2977" s="1" t="str">
        <f aca="false">VLOOKUP(C2977,Products!$A$2:$E$62,3,FALSE())</f>
        <v>Electronics</v>
      </c>
      <c r="L2977" s="1" t="str">
        <f aca="false">TEXT(D2977,"yyyy-mm")</f>
        <v>2024-07</v>
      </c>
    </row>
    <row r="2978" customFormat="false" ht="15" hidden="false" customHeight="true" outlineLevel="0" collapsed="false">
      <c r="A2978" s="1" t="n">
        <v>3043</v>
      </c>
      <c r="B2978" s="1" t="n">
        <v>234</v>
      </c>
      <c r="C2978" s="1" t="n">
        <v>59</v>
      </c>
      <c r="D2978" s="1" t="s">
        <v>365</v>
      </c>
      <c r="E2978" s="1" t="n">
        <v>2</v>
      </c>
      <c r="F2978" s="1" t="n">
        <v>438.89</v>
      </c>
      <c r="G2978" s="1" t="n">
        <v>0</v>
      </c>
      <c r="H2978" s="1" t="s">
        <v>1336</v>
      </c>
      <c r="I2978" s="1" t="n">
        <v>877.78</v>
      </c>
      <c r="J2978" s="1" t="str">
        <f aca="false">VLOOKUP(B2978,Customers!$A$2:$G$502,6,FALSE())</f>
        <v>Small Business</v>
      </c>
      <c r="K2978" s="1" t="str">
        <f aca="false">VLOOKUP(C2978,Products!$A$2:$E$62,3,FALSE())</f>
        <v>Furniture</v>
      </c>
      <c r="L2978" s="1" t="str">
        <f aca="false">TEXT(D2978,"yyyy-mm")</f>
        <v>2023-04</v>
      </c>
    </row>
    <row r="2979" customFormat="false" ht="15" hidden="false" customHeight="true" outlineLevel="0" collapsed="false">
      <c r="A2979" s="1" t="n">
        <v>3044</v>
      </c>
      <c r="B2979" s="1" t="n">
        <v>376</v>
      </c>
      <c r="C2979" s="1" t="n">
        <v>31</v>
      </c>
      <c r="D2979" s="1" t="s">
        <v>1479</v>
      </c>
      <c r="E2979" s="1" t="n">
        <v>5</v>
      </c>
      <c r="F2979" s="1" t="n">
        <v>224.86</v>
      </c>
      <c r="G2979" s="1" t="n">
        <v>0.1</v>
      </c>
      <c r="H2979" s="1" t="s">
        <v>1346</v>
      </c>
      <c r="I2979" s="1" t="n">
        <v>1011.87</v>
      </c>
      <c r="J2979" s="1" t="str">
        <f aca="false">VLOOKUP(B2979,Customers!$A$2:$G$502,6,FALSE())</f>
        <v>Consumer</v>
      </c>
      <c r="K2979" s="1" t="str">
        <f aca="false">VLOOKUP(C2979,Products!$A$2:$E$62,3,FALSE())</f>
        <v>Office Supplies</v>
      </c>
      <c r="L2979" s="1" t="str">
        <f aca="false">TEXT(D2979,"yyyy-mm")</f>
        <v>2024-10</v>
      </c>
    </row>
    <row r="2980" customFormat="false" ht="15" hidden="false" customHeight="true" outlineLevel="0" collapsed="false">
      <c r="A2980" s="1" t="n">
        <v>3045</v>
      </c>
      <c r="B2980" s="1" t="n">
        <v>227</v>
      </c>
      <c r="C2980" s="1" t="n">
        <v>59</v>
      </c>
      <c r="D2980" s="1" t="s">
        <v>874</v>
      </c>
      <c r="E2980" s="1" t="n">
        <v>5</v>
      </c>
      <c r="F2980" s="1" t="n">
        <v>438.89</v>
      </c>
      <c r="G2980" s="1" t="n">
        <v>0</v>
      </c>
      <c r="H2980" s="1" t="s">
        <v>1336</v>
      </c>
      <c r="I2980" s="1" t="n">
        <v>2194.45</v>
      </c>
      <c r="J2980" s="1" t="str">
        <f aca="false">VLOOKUP(B2980,Customers!$A$2:$G$502,6,FALSE())</f>
        <v>Consumer</v>
      </c>
      <c r="K2980" s="1" t="str">
        <f aca="false">VLOOKUP(C2980,Products!$A$2:$E$62,3,FALSE())</f>
        <v>Furniture</v>
      </c>
      <c r="L2980" s="1" t="str">
        <f aca="false">TEXT(D2980,"yyyy-mm")</f>
        <v>2023-03</v>
      </c>
    </row>
    <row r="2981" customFormat="false" ht="15" hidden="false" customHeight="true" outlineLevel="0" collapsed="false">
      <c r="A2981" s="1" t="n">
        <v>3046</v>
      </c>
      <c r="B2981" s="1" t="n">
        <v>100</v>
      </c>
      <c r="C2981" s="1" t="n">
        <v>19</v>
      </c>
      <c r="D2981" s="1" t="s">
        <v>1399</v>
      </c>
      <c r="E2981" s="1" t="n">
        <v>6</v>
      </c>
      <c r="F2981" s="1" t="n">
        <v>163.64</v>
      </c>
      <c r="G2981" s="1" t="n">
        <v>0</v>
      </c>
      <c r="H2981" s="1" t="s">
        <v>1336</v>
      </c>
      <c r="I2981" s="1" t="n">
        <v>981.84</v>
      </c>
      <c r="J2981" s="1" t="str">
        <f aca="false">VLOOKUP(B2981,Customers!$A$2:$G$502,6,FALSE())</f>
        <v>Consumer</v>
      </c>
      <c r="K2981" s="1" t="str">
        <f aca="false">VLOOKUP(C2981,Products!$A$2:$E$62,3,FALSE())</f>
        <v>Office Supplies</v>
      </c>
      <c r="L2981" s="1" t="str">
        <f aca="false">TEXT(D2981,"yyyy-mm")</f>
        <v>2024-11</v>
      </c>
    </row>
    <row r="2982" customFormat="false" ht="15" hidden="false" customHeight="true" outlineLevel="0" collapsed="false">
      <c r="A2982" s="1" t="n">
        <v>3047</v>
      </c>
      <c r="B2982" s="1" t="n">
        <v>338</v>
      </c>
      <c r="C2982" s="1" t="n">
        <v>31</v>
      </c>
      <c r="D2982" s="1" t="s">
        <v>1111</v>
      </c>
      <c r="E2982" s="1" t="n">
        <v>6</v>
      </c>
      <c r="F2982" s="1" t="n">
        <v>224.86</v>
      </c>
      <c r="G2982" s="1" t="n">
        <v>0.15</v>
      </c>
      <c r="H2982" s="1" t="s">
        <v>1336</v>
      </c>
      <c r="I2982" s="1" t="n">
        <v>1146.79</v>
      </c>
      <c r="J2982" s="1" t="str">
        <f aca="false">VLOOKUP(B2982,Customers!$A$2:$G$502,6,FALSE())</f>
        <v>Corporate</v>
      </c>
      <c r="K2982" s="1" t="str">
        <f aca="false">VLOOKUP(C2982,Products!$A$2:$E$62,3,FALSE())</f>
        <v>Office Supplies</v>
      </c>
      <c r="L2982" s="1" t="str">
        <f aca="false">TEXT(D2982,"yyyy-mm")</f>
        <v>2024-12</v>
      </c>
    </row>
    <row r="2983" customFormat="false" ht="15" hidden="false" customHeight="true" outlineLevel="0" collapsed="false">
      <c r="A2983" s="1" t="n">
        <v>3048</v>
      </c>
      <c r="B2983" s="1" t="n">
        <v>402</v>
      </c>
      <c r="C2983" s="1" t="n">
        <v>46</v>
      </c>
      <c r="D2983" s="1" t="s">
        <v>1390</v>
      </c>
      <c r="E2983" s="1" t="n">
        <v>6</v>
      </c>
      <c r="F2983" s="1" t="n">
        <v>94.92</v>
      </c>
      <c r="G2983" s="1" t="n">
        <v>0</v>
      </c>
      <c r="H2983" s="1" t="s">
        <v>1336</v>
      </c>
      <c r="I2983" s="1" t="n">
        <v>569.52</v>
      </c>
      <c r="J2983" s="1" t="str">
        <f aca="false">VLOOKUP(B2983,Customers!$A$2:$G$502,6,FALSE())</f>
        <v>Unknown</v>
      </c>
      <c r="K2983" s="1" t="str">
        <f aca="false">VLOOKUP(C2983,Products!$A$2:$E$62,3,FALSE())</f>
        <v>Software</v>
      </c>
      <c r="L2983" s="1" t="str">
        <f aca="false">TEXT(D2983,"yyyy-mm")</f>
        <v>2024-03</v>
      </c>
    </row>
    <row r="2984" customFormat="false" ht="15" hidden="false" customHeight="true" outlineLevel="0" collapsed="false">
      <c r="A2984" s="1" t="n">
        <v>3049</v>
      </c>
      <c r="B2984" s="1" t="n">
        <v>364</v>
      </c>
      <c r="C2984" s="1" t="n">
        <v>40</v>
      </c>
      <c r="D2984" s="1" t="s">
        <v>1354</v>
      </c>
      <c r="E2984" s="1" t="n">
        <v>2</v>
      </c>
      <c r="F2984" s="1" t="n">
        <v>193.02</v>
      </c>
      <c r="G2984" s="1" t="n">
        <v>0</v>
      </c>
      <c r="H2984" s="1" t="s">
        <v>1336</v>
      </c>
      <c r="I2984" s="1" t="n">
        <v>386.04</v>
      </c>
      <c r="J2984" s="1" t="str">
        <f aca="false">VLOOKUP(B2984,Customers!$A$2:$G$502,6,FALSE())</f>
        <v>Small Business</v>
      </c>
      <c r="K2984" s="1" t="str">
        <f aca="false">VLOOKUP(C2984,Products!$A$2:$E$62,3,FALSE())</f>
        <v>Software</v>
      </c>
      <c r="L2984" s="1" t="str">
        <f aca="false">TEXT(D2984,"yyyy-mm")</f>
        <v>2024-03</v>
      </c>
    </row>
    <row r="2985" customFormat="false" ht="15" hidden="false" customHeight="true" outlineLevel="0" collapsed="false">
      <c r="A2985" s="1" t="n">
        <v>3050</v>
      </c>
      <c r="B2985" s="1" t="n">
        <v>311</v>
      </c>
      <c r="C2985" s="1" t="n">
        <v>40</v>
      </c>
      <c r="D2985" s="1" t="s">
        <v>1554</v>
      </c>
      <c r="E2985" s="1" t="n">
        <v>3</v>
      </c>
      <c r="F2985" s="1" t="n">
        <v>193.02</v>
      </c>
      <c r="G2985" s="1" t="n">
        <v>0.05</v>
      </c>
      <c r="H2985" s="1" t="s">
        <v>1336</v>
      </c>
      <c r="I2985" s="1" t="n">
        <v>550.11</v>
      </c>
      <c r="J2985" s="1" t="str">
        <f aca="false">VLOOKUP(B2985,Customers!$A$2:$G$502,6,FALSE())</f>
        <v>Consumer</v>
      </c>
      <c r="K2985" s="1" t="str">
        <f aca="false">VLOOKUP(C2985,Products!$A$2:$E$62,3,FALSE())</f>
        <v>Software</v>
      </c>
      <c r="L2985" s="1" t="str">
        <f aca="false">TEXT(D2985,"yyyy-mm")</f>
        <v>2024-11</v>
      </c>
    </row>
    <row r="2986" customFormat="false" ht="15" hidden="false" customHeight="true" outlineLevel="0" collapsed="false">
      <c r="A2986" s="1" t="n">
        <v>3051</v>
      </c>
      <c r="B2986" s="1" t="n">
        <v>9</v>
      </c>
      <c r="C2986" s="1" t="n">
        <v>40</v>
      </c>
      <c r="D2986" s="1" t="s">
        <v>1400</v>
      </c>
      <c r="E2986" s="1" t="n">
        <v>6</v>
      </c>
      <c r="F2986" s="1" t="n">
        <v>193.02</v>
      </c>
      <c r="G2986" s="1" t="n">
        <v>0</v>
      </c>
      <c r="H2986" s="1" t="s">
        <v>1336</v>
      </c>
      <c r="I2986" s="1" t="n">
        <v>1158.12</v>
      </c>
      <c r="J2986" s="1" t="str">
        <f aca="false">VLOOKUP(B2986,Customers!$A$2:$G$502,6,FALSE())</f>
        <v>Small Business</v>
      </c>
      <c r="K2986" s="1" t="str">
        <f aca="false">VLOOKUP(C2986,Products!$A$2:$E$62,3,FALSE())</f>
        <v>Software</v>
      </c>
      <c r="L2986" s="1" t="str">
        <f aca="false">TEXT(D2986,"yyyy-mm")</f>
        <v>2024-12</v>
      </c>
    </row>
    <row r="2987" customFormat="false" ht="15" hidden="false" customHeight="true" outlineLevel="0" collapsed="false">
      <c r="A2987" s="1" t="n">
        <v>3052</v>
      </c>
      <c r="B2987" s="1" t="n">
        <v>346</v>
      </c>
      <c r="C2987" s="1" t="n">
        <v>25</v>
      </c>
      <c r="D2987" s="1" t="s">
        <v>68</v>
      </c>
      <c r="E2987" s="1" t="n">
        <v>8</v>
      </c>
      <c r="F2987" s="1" t="n">
        <v>300.49</v>
      </c>
      <c r="G2987" s="1" t="n">
        <v>0.15</v>
      </c>
      <c r="H2987" s="1" t="s">
        <v>1336</v>
      </c>
      <c r="I2987" s="1" t="n">
        <v>2043.33</v>
      </c>
      <c r="J2987" s="1" t="str">
        <f aca="false">VLOOKUP(B2987,Customers!$A$2:$G$502,6,FALSE())</f>
        <v>Consumer</v>
      </c>
      <c r="K2987" s="1" t="str">
        <f aca="false">VLOOKUP(C2987,Products!$A$2:$E$62,3,FALSE())</f>
        <v>Office Supplies</v>
      </c>
      <c r="L2987" s="1" t="str">
        <f aca="false">TEXT(D2987,"yyyy-mm")</f>
        <v>2024-11</v>
      </c>
    </row>
    <row r="2988" customFormat="false" ht="15" hidden="false" customHeight="true" outlineLevel="0" collapsed="false">
      <c r="A2988" s="1" t="n">
        <v>3053</v>
      </c>
      <c r="B2988" s="1" t="n">
        <v>94</v>
      </c>
      <c r="C2988" s="1" t="n">
        <v>9</v>
      </c>
      <c r="D2988" s="1" t="s">
        <v>1667</v>
      </c>
      <c r="E2988" s="1" t="n">
        <v>1</v>
      </c>
      <c r="F2988" s="1" t="n">
        <v>203.1</v>
      </c>
      <c r="G2988" s="1" t="n">
        <v>0.1</v>
      </c>
      <c r="H2988" s="1" t="s">
        <v>1336</v>
      </c>
      <c r="I2988" s="1" t="n">
        <v>182.79</v>
      </c>
      <c r="J2988" s="1" t="str">
        <f aca="false">VLOOKUP(B2988,Customers!$A$2:$G$502,6,FALSE())</f>
        <v>Small Business</v>
      </c>
      <c r="K2988" s="1" t="str">
        <f aca="false">VLOOKUP(C2988,Products!$A$2:$E$62,3,FALSE())</f>
        <v>Electronics</v>
      </c>
      <c r="L2988" s="1" t="str">
        <f aca="false">TEXT(D2988,"yyyy-mm")</f>
        <v>2023-04</v>
      </c>
    </row>
    <row r="2989" customFormat="false" ht="15" hidden="false" customHeight="true" outlineLevel="0" collapsed="false">
      <c r="A2989" s="1" t="n">
        <v>3054</v>
      </c>
      <c r="B2989" s="1" t="n">
        <v>235</v>
      </c>
      <c r="C2989" s="1" t="n">
        <v>2</v>
      </c>
      <c r="D2989" s="1" t="s">
        <v>536</v>
      </c>
      <c r="E2989" s="1" t="n">
        <v>1</v>
      </c>
      <c r="F2989" s="1" t="n">
        <v>498.15</v>
      </c>
      <c r="G2989" s="1" t="n">
        <v>0.15</v>
      </c>
      <c r="H2989" s="1" t="s">
        <v>1336</v>
      </c>
      <c r="I2989" s="1" t="n">
        <v>423.43</v>
      </c>
      <c r="J2989" s="1" t="str">
        <f aca="false">VLOOKUP(B2989,Customers!$A$2:$G$502,6,FALSE())</f>
        <v>Small Business</v>
      </c>
      <c r="K2989" s="1" t="str">
        <f aca="false">VLOOKUP(C2989,Products!$A$2:$E$62,3,FALSE())</f>
        <v>Electronics</v>
      </c>
      <c r="L2989" s="1" t="str">
        <f aca="false">TEXT(D2989,"yyyy-mm")</f>
        <v>2024-01</v>
      </c>
    </row>
    <row r="2990" customFormat="false" ht="15" hidden="false" customHeight="true" outlineLevel="0" collapsed="false">
      <c r="A2990" s="1" t="n">
        <v>3055</v>
      </c>
      <c r="B2990" s="1" t="n">
        <v>172</v>
      </c>
      <c r="C2990" s="1" t="n">
        <v>32</v>
      </c>
      <c r="D2990" s="1" t="s">
        <v>1249</v>
      </c>
      <c r="E2990" s="1" t="n">
        <v>2</v>
      </c>
      <c r="F2990" s="1" t="n">
        <v>492.27</v>
      </c>
      <c r="G2990" s="1" t="n">
        <v>0.1</v>
      </c>
      <c r="H2990" s="1" t="s">
        <v>1336</v>
      </c>
      <c r="I2990" s="1" t="n">
        <v>886.09</v>
      </c>
      <c r="J2990" s="1" t="str">
        <f aca="false">VLOOKUP(B2990,Customers!$A$2:$G$502,6,FALSE())</f>
        <v>Consumer</v>
      </c>
      <c r="K2990" s="1" t="str">
        <f aca="false">VLOOKUP(C2990,Products!$A$2:$E$62,3,FALSE())</f>
        <v>Office Supplies</v>
      </c>
      <c r="L2990" s="1" t="str">
        <f aca="false">TEXT(D2990,"yyyy-mm")</f>
        <v>2024-10</v>
      </c>
    </row>
    <row r="2991" customFormat="false" ht="15" hidden="false" customHeight="true" outlineLevel="0" collapsed="false">
      <c r="A2991" s="1" t="n">
        <v>3056</v>
      </c>
      <c r="B2991" s="1" t="n">
        <v>50</v>
      </c>
      <c r="C2991" s="1" t="n">
        <v>3</v>
      </c>
      <c r="D2991" s="1" t="s">
        <v>117</v>
      </c>
      <c r="E2991" s="1" t="n">
        <v>6</v>
      </c>
      <c r="F2991" s="1" t="n">
        <v>89.39</v>
      </c>
      <c r="G2991" s="1" t="n">
        <v>0.05</v>
      </c>
      <c r="H2991" s="1" t="s">
        <v>1336</v>
      </c>
      <c r="I2991" s="1" t="n">
        <v>509.52</v>
      </c>
      <c r="J2991" s="1" t="str">
        <f aca="false">VLOOKUP(B2991,Customers!$A$2:$G$502,6,FALSE())</f>
        <v>Consumer</v>
      </c>
      <c r="K2991" s="1" t="str">
        <f aca="false">VLOOKUP(C2991,Products!$A$2:$E$62,3,FALSE())</f>
        <v>Electronics</v>
      </c>
      <c r="L2991" s="1" t="str">
        <f aca="false">TEXT(D2991,"yyyy-mm")</f>
        <v>2023-03</v>
      </c>
    </row>
    <row r="2992" customFormat="false" ht="15" hidden="false" customHeight="true" outlineLevel="0" collapsed="false">
      <c r="A2992" s="1" t="n">
        <v>3057</v>
      </c>
      <c r="B2992" s="1" t="n">
        <v>17</v>
      </c>
      <c r="C2992" s="1" t="n">
        <v>9</v>
      </c>
      <c r="D2992" s="1" t="s">
        <v>106</v>
      </c>
      <c r="E2992" s="1" t="n">
        <v>9</v>
      </c>
      <c r="F2992" s="1" t="n">
        <v>203.1</v>
      </c>
      <c r="G2992" s="1" t="n">
        <v>0</v>
      </c>
      <c r="H2992" s="1" t="s">
        <v>1336</v>
      </c>
      <c r="I2992" s="1" t="n">
        <v>1827.9</v>
      </c>
      <c r="J2992" s="1" t="str">
        <f aca="false">VLOOKUP(B2992,Customers!$A$2:$G$502,6,FALSE())</f>
        <v>Small Business</v>
      </c>
      <c r="K2992" s="1" t="str">
        <f aca="false">VLOOKUP(C2992,Products!$A$2:$E$62,3,FALSE())</f>
        <v>Electronics</v>
      </c>
      <c r="L2992" s="1" t="str">
        <f aca="false">TEXT(D2992,"yyyy-mm")</f>
        <v>2024-02</v>
      </c>
    </row>
    <row r="2993" customFormat="false" ht="15" hidden="false" customHeight="true" outlineLevel="0" collapsed="false">
      <c r="A2993" s="1" t="n">
        <v>3058</v>
      </c>
      <c r="B2993" s="1" t="n">
        <v>466</v>
      </c>
      <c r="C2993" s="1" t="n">
        <v>22</v>
      </c>
      <c r="D2993" s="1" t="s">
        <v>780</v>
      </c>
      <c r="E2993" s="1" t="n">
        <v>4</v>
      </c>
      <c r="F2993" s="1" t="n">
        <v>38.57</v>
      </c>
      <c r="G2993" s="1" t="n">
        <v>0.05</v>
      </c>
      <c r="H2993" s="1" t="s">
        <v>1336</v>
      </c>
      <c r="I2993" s="1" t="n">
        <v>146.57</v>
      </c>
      <c r="J2993" s="1" t="str">
        <f aca="false">VLOOKUP(B2993,Customers!$A$2:$G$502,6,FALSE())</f>
        <v>Consumer</v>
      </c>
      <c r="K2993" s="1" t="str">
        <f aca="false">VLOOKUP(C2993,Products!$A$2:$E$62,3,FALSE())</f>
        <v>Office Supplies</v>
      </c>
      <c r="L2993" s="1" t="str">
        <f aca="false">TEXT(D2993,"yyyy-mm")</f>
        <v>2024-09</v>
      </c>
    </row>
    <row r="2994" customFormat="false" ht="15" hidden="false" customHeight="true" outlineLevel="0" collapsed="false">
      <c r="A2994" s="1" t="n">
        <v>3059</v>
      </c>
      <c r="B2994" s="1" t="n">
        <v>260</v>
      </c>
      <c r="C2994" s="1" t="n">
        <v>33</v>
      </c>
      <c r="D2994" s="1" t="s">
        <v>1400</v>
      </c>
      <c r="E2994" s="1" t="n">
        <v>3</v>
      </c>
      <c r="F2994" s="1" t="n">
        <v>190.1</v>
      </c>
      <c r="G2994" s="1" t="n">
        <v>0</v>
      </c>
      <c r="H2994" s="1" t="s">
        <v>1336</v>
      </c>
      <c r="I2994" s="1" t="n">
        <v>570.3</v>
      </c>
      <c r="J2994" s="1" t="str">
        <f aca="false">VLOOKUP(B2994,Customers!$A$2:$G$502,6,FALSE())</f>
        <v>Corporate</v>
      </c>
      <c r="K2994" s="1" t="str">
        <f aca="false">VLOOKUP(C2994,Products!$A$2:$E$62,3,FALSE())</f>
        <v>Office Supplies</v>
      </c>
      <c r="L2994" s="1" t="str">
        <f aca="false">TEXT(D2994,"yyyy-mm")</f>
        <v>2024-12</v>
      </c>
    </row>
    <row r="2995" customFormat="false" ht="15" hidden="false" customHeight="true" outlineLevel="0" collapsed="false">
      <c r="A2995" s="1" t="n">
        <v>3060</v>
      </c>
      <c r="B2995" s="1" t="n">
        <v>293</v>
      </c>
      <c r="C2995" s="1" t="n">
        <v>26</v>
      </c>
      <c r="D2995" s="1" t="s">
        <v>1586</v>
      </c>
      <c r="E2995" s="1" t="n">
        <v>8</v>
      </c>
      <c r="F2995" s="1" t="n">
        <v>733.85</v>
      </c>
      <c r="G2995" s="1" t="n">
        <v>0.1</v>
      </c>
      <c r="H2995" s="1" t="s">
        <v>1336</v>
      </c>
      <c r="I2995" s="1" t="n">
        <v>5283.72</v>
      </c>
      <c r="J2995" s="1" t="str">
        <f aca="false">VLOOKUP(B2995,Customers!$A$2:$G$502,6,FALSE())</f>
        <v>Small Business</v>
      </c>
      <c r="K2995" s="1" t="str">
        <f aca="false">VLOOKUP(C2995,Products!$A$2:$E$62,3,FALSE())</f>
        <v>Office Supplies</v>
      </c>
      <c r="L2995" s="1" t="str">
        <f aca="false">TEXT(D2995,"yyyy-mm")</f>
        <v>2024-04</v>
      </c>
    </row>
    <row r="2996" customFormat="false" ht="15" hidden="false" customHeight="true" outlineLevel="0" collapsed="false">
      <c r="A2996" s="1" t="n">
        <v>3061</v>
      </c>
      <c r="B2996" s="1" t="n">
        <v>259</v>
      </c>
      <c r="C2996" s="1" t="n">
        <v>60</v>
      </c>
      <c r="D2996" s="1" t="s">
        <v>1556</v>
      </c>
      <c r="E2996" s="1" t="n">
        <v>9</v>
      </c>
      <c r="F2996" s="1" t="n">
        <v>584.98</v>
      </c>
      <c r="G2996" s="1" t="n">
        <v>0.15</v>
      </c>
      <c r="H2996" s="1" t="s">
        <v>1336</v>
      </c>
      <c r="I2996" s="1" t="n">
        <v>4475.1</v>
      </c>
      <c r="J2996" s="1" t="str">
        <f aca="false">VLOOKUP(B2996,Customers!$A$2:$G$502,6,FALSE())</f>
        <v>Consumer</v>
      </c>
      <c r="K2996" s="1" t="str">
        <f aca="false">VLOOKUP(C2996,Products!$A$2:$E$62,3,FALSE())</f>
        <v>Furniture</v>
      </c>
      <c r="L2996" s="1" t="str">
        <f aca="false">TEXT(D2996,"yyyy-mm")</f>
        <v>2024-02</v>
      </c>
    </row>
    <row r="2997" customFormat="false" ht="15" hidden="false" customHeight="true" outlineLevel="0" collapsed="false">
      <c r="A2997" s="1" t="n">
        <v>3062</v>
      </c>
      <c r="B2997" s="1" t="n">
        <v>12</v>
      </c>
      <c r="C2997" s="1" t="n">
        <v>57</v>
      </c>
      <c r="D2997" s="1" t="s">
        <v>1386</v>
      </c>
      <c r="E2997" s="1" t="n">
        <v>5</v>
      </c>
      <c r="F2997" s="1" t="n">
        <v>719.76</v>
      </c>
      <c r="G2997" s="1" t="n">
        <v>0</v>
      </c>
      <c r="H2997" s="1" t="s">
        <v>1370</v>
      </c>
      <c r="I2997" s="1" t="n">
        <v>3598.8</v>
      </c>
      <c r="J2997" s="1" t="str">
        <f aca="false">VLOOKUP(B2997,Customers!$A$2:$G$502,6,FALSE())</f>
        <v>Small Business</v>
      </c>
      <c r="K2997" s="1" t="str">
        <f aca="false">VLOOKUP(C2997,Products!$A$2:$E$62,3,FALSE())</f>
        <v>Furniture</v>
      </c>
      <c r="L2997" s="1" t="str">
        <f aca="false">TEXT(D2997,"yyyy-mm")</f>
        <v>2023-08</v>
      </c>
    </row>
    <row r="2998" customFormat="false" ht="15" hidden="false" customHeight="true" outlineLevel="0" collapsed="false">
      <c r="A2998" s="1" t="n">
        <v>3063</v>
      </c>
      <c r="B2998" s="1" t="n">
        <v>209</v>
      </c>
      <c r="C2998" s="1" t="n">
        <v>28</v>
      </c>
      <c r="D2998" s="1" t="s">
        <v>1664</v>
      </c>
      <c r="E2998" s="1" t="n">
        <v>9</v>
      </c>
      <c r="F2998" s="1" t="n">
        <v>505.23</v>
      </c>
      <c r="G2998" s="1" t="n">
        <v>0</v>
      </c>
      <c r="H2998" s="1" t="s">
        <v>1336</v>
      </c>
      <c r="I2998" s="1" t="n">
        <v>4547.07</v>
      </c>
      <c r="J2998" s="1" t="str">
        <f aca="false">VLOOKUP(B2998,Customers!$A$2:$G$502,6,FALSE())</f>
        <v>Small Business</v>
      </c>
      <c r="K2998" s="1" t="str">
        <f aca="false">VLOOKUP(C2998,Products!$A$2:$E$62,3,FALSE())</f>
        <v>Office Supplies</v>
      </c>
      <c r="L2998" s="1" t="str">
        <f aca="false">TEXT(D2998,"yyyy-mm")</f>
        <v>2024-01</v>
      </c>
    </row>
    <row r="2999" customFormat="false" ht="15" hidden="false" customHeight="true" outlineLevel="0" collapsed="false">
      <c r="A2999" s="1" t="n">
        <v>3065</v>
      </c>
      <c r="B2999" s="1" t="n">
        <v>416</v>
      </c>
      <c r="C2999" s="1" t="n">
        <v>3</v>
      </c>
      <c r="D2999" s="1" t="s">
        <v>1603</v>
      </c>
      <c r="E2999" s="1" t="n">
        <v>3</v>
      </c>
      <c r="F2999" s="1" t="n">
        <v>89.39</v>
      </c>
      <c r="G2999" s="1" t="n">
        <v>0.15</v>
      </c>
      <c r="H2999" s="1" t="s">
        <v>1336</v>
      </c>
      <c r="I2999" s="1" t="n">
        <v>227.94</v>
      </c>
      <c r="J2999" s="1" t="str">
        <f aca="false">VLOOKUP(B2999,Customers!$A$2:$G$502,6,FALSE())</f>
        <v>Small Business</v>
      </c>
      <c r="K2999" s="1" t="str">
        <f aca="false">VLOOKUP(C2999,Products!$A$2:$E$62,3,FALSE())</f>
        <v>Electronics</v>
      </c>
      <c r="L2999" s="1" t="str">
        <f aca="false">TEXT(D2999,"yyyy-mm")</f>
        <v>2024-12</v>
      </c>
    </row>
    <row r="3000" customFormat="false" ht="15" hidden="false" customHeight="true" outlineLevel="0" collapsed="false">
      <c r="A3000" s="1" t="n">
        <v>3066</v>
      </c>
      <c r="B3000" s="1" t="n">
        <v>45</v>
      </c>
      <c r="C3000" s="1" t="n">
        <v>20</v>
      </c>
      <c r="D3000" s="1" t="s">
        <v>170</v>
      </c>
      <c r="E3000" s="1" t="n">
        <v>7</v>
      </c>
      <c r="F3000" s="1" t="n">
        <v>426.15</v>
      </c>
      <c r="G3000" s="1" t="n">
        <v>0.15</v>
      </c>
      <c r="H3000" s="1" t="s">
        <v>1336</v>
      </c>
      <c r="I3000" s="1" t="n">
        <v>2535.59</v>
      </c>
      <c r="J3000" s="1" t="str">
        <f aca="false">VLOOKUP(B3000,Customers!$A$2:$G$502,6,FALSE())</f>
        <v>Corporate</v>
      </c>
      <c r="K3000" s="1" t="str">
        <f aca="false">VLOOKUP(C3000,Products!$A$2:$E$62,3,FALSE())</f>
        <v>Office Supplies</v>
      </c>
      <c r="L3000" s="1" t="str">
        <f aca="false">TEXT(D3000,"yyyy-mm")</f>
        <v>2024-11</v>
      </c>
    </row>
    <row r="3001" customFormat="false" ht="15" hidden="false" customHeight="true" outlineLevel="0" collapsed="false">
      <c r="A3001" s="1" t="n">
        <v>3067</v>
      </c>
      <c r="B3001" s="1" t="n">
        <v>393</v>
      </c>
      <c r="C3001" s="1" t="n">
        <v>22</v>
      </c>
      <c r="D3001" s="1" t="s">
        <v>1377</v>
      </c>
      <c r="E3001" s="1" t="n">
        <v>7</v>
      </c>
      <c r="F3001" s="1" t="n">
        <v>38.57</v>
      </c>
      <c r="G3001" s="1" t="n">
        <v>0</v>
      </c>
      <c r="H3001" s="1" t="s">
        <v>1336</v>
      </c>
      <c r="I3001" s="1" t="n">
        <v>269.99</v>
      </c>
      <c r="J3001" s="1" t="str">
        <f aca="false">VLOOKUP(B3001,Customers!$A$2:$G$502,6,FALSE())</f>
        <v>Consumer</v>
      </c>
      <c r="K3001" s="1" t="str">
        <f aca="false">VLOOKUP(C3001,Products!$A$2:$E$62,3,FALSE())</f>
        <v>Office Supplies</v>
      </c>
      <c r="L3001" s="1" t="str">
        <f aca="false">TEXT(D3001,"yyyy-mm")</f>
        <v>2023-10</v>
      </c>
    </row>
    <row r="3002" customFormat="false" ht="15" hidden="false" customHeight="true" outlineLevel="0" collapsed="false">
      <c r="A3002" s="1" t="n">
        <v>3068</v>
      </c>
      <c r="B3002" s="1" t="n">
        <v>104</v>
      </c>
      <c r="C3002" s="1" t="n">
        <v>47</v>
      </c>
      <c r="D3002" s="1" t="s">
        <v>1527</v>
      </c>
      <c r="E3002" s="1" t="n">
        <v>6</v>
      </c>
      <c r="F3002" s="1" t="n">
        <v>506.19</v>
      </c>
      <c r="G3002" s="1" t="n">
        <v>0.15</v>
      </c>
      <c r="H3002" s="1" t="s">
        <v>1336</v>
      </c>
      <c r="I3002" s="1" t="n">
        <v>2581.57</v>
      </c>
      <c r="J3002" s="1" t="str">
        <f aca="false">VLOOKUP(B3002,Customers!$A$2:$G$502,6,FALSE())</f>
        <v>Corporate</v>
      </c>
      <c r="K3002" s="1" t="str">
        <f aca="false">VLOOKUP(C3002,Products!$A$2:$E$62,3,FALSE())</f>
        <v>Software</v>
      </c>
      <c r="L3002" s="1" t="str">
        <f aca="false">TEXT(D3002,"yyyy-mm")</f>
        <v>2023-02</v>
      </c>
    </row>
    <row r="3003" customFormat="false" ht="15" hidden="false" customHeight="true" outlineLevel="0" collapsed="false">
      <c r="A3003" s="1" t="n">
        <v>3069</v>
      </c>
      <c r="B3003" s="1" t="n">
        <v>433</v>
      </c>
      <c r="C3003" s="1" t="n">
        <v>42</v>
      </c>
      <c r="D3003" s="1" t="s">
        <v>1350</v>
      </c>
      <c r="E3003" s="1" t="n">
        <v>6</v>
      </c>
      <c r="F3003" s="1" t="n">
        <v>174.48</v>
      </c>
      <c r="G3003" s="1" t="n">
        <v>0.05</v>
      </c>
      <c r="H3003" s="1" t="s">
        <v>1336</v>
      </c>
      <c r="I3003" s="1" t="n">
        <v>994.54</v>
      </c>
      <c r="J3003" s="1" t="str">
        <f aca="false">VLOOKUP(B3003,Customers!$A$2:$G$502,6,FALSE())</f>
        <v>Small Business</v>
      </c>
      <c r="K3003" s="1" t="str">
        <f aca="false">VLOOKUP(C3003,Products!$A$2:$E$62,3,FALSE())</f>
        <v>Software</v>
      </c>
      <c r="L3003" s="1" t="str">
        <f aca="false">TEXT(D3003,"yyyy-mm")</f>
        <v>2023-08</v>
      </c>
    </row>
    <row r="3004" customFormat="false" ht="15" hidden="false" customHeight="true" outlineLevel="0" collapsed="false">
      <c r="A3004" s="1" t="n">
        <v>3070</v>
      </c>
      <c r="B3004" s="1" t="n">
        <v>46</v>
      </c>
      <c r="C3004" s="1" t="n">
        <v>59</v>
      </c>
      <c r="D3004" s="1" t="s">
        <v>692</v>
      </c>
      <c r="E3004" s="1" t="n">
        <v>2</v>
      </c>
      <c r="F3004" s="1" t="n">
        <v>438.89</v>
      </c>
      <c r="G3004" s="1" t="n">
        <v>0</v>
      </c>
      <c r="H3004" s="1" t="s">
        <v>1336</v>
      </c>
      <c r="I3004" s="1" t="n">
        <v>877.78</v>
      </c>
      <c r="J3004" s="1" t="str">
        <f aca="false">VLOOKUP(B3004,Customers!$A$2:$G$502,6,FALSE())</f>
        <v>Consumer</v>
      </c>
      <c r="K3004" s="1" t="str">
        <f aca="false">VLOOKUP(C3004,Products!$A$2:$E$62,3,FALSE())</f>
        <v>Furniture</v>
      </c>
      <c r="L3004" s="1" t="str">
        <f aca="false">TEXT(D3004,"yyyy-mm")</f>
        <v>2023-03</v>
      </c>
    </row>
    <row r="3005" customFormat="false" ht="15" hidden="false" customHeight="true" outlineLevel="0" collapsed="false">
      <c r="A3005" s="1" t="n">
        <v>3071</v>
      </c>
      <c r="B3005" s="1" t="n">
        <v>121</v>
      </c>
      <c r="C3005" s="1" t="n">
        <v>5</v>
      </c>
      <c r="D3005" s="1" t="s">
        <v>897</v>
      </c>
      <c r="E3005" s="1" t="n">
        <v>6</v>
      </c>
      <c r="F3005" s="1" t="n">
        <v>439.06</v>
      </c>
      <c r="G3005" s="1" t="n">
        <v>0.05</v>
      </c>
      <c r="H3005" s="1" t="s">
        <v>1336</v>
      </c>
      <c r="I3005" s="1" t="n">
        <v>2502.64</v>
      </c>
      <c r="J3005" s="1" t="str">
        <f aca="false">VLOOKUP(B3005,Customers!$A$2:$G$502,6,FALSE())</f>
        <v>Consumer</v>
      </c>
      <c r="K3005" s="1" t="str">
        <f aca="false">VLOOKUP(C3005,Products!$A$2:$E$62,3,FALSE())</f>
        <v>Electronics</v>
      </c>
      <c r="L3005" s="1" t="str">
        <f aca="false">TEXT(D3005,"yyyy-mm")</f>
        <v>2024-07</v>
      </c>
    </row>
    <row r="3006" customFormat="false" ht="15" hidden="false" customHeight="true" outlineLevel="0" collapsed="false">
      <c r="A3006" s="1" t="n">
        <v>3072</v>
      </c>
      <c r="B3006" s="1" t="n">
        <v>422</v>
      </c>
      <c r="C3006" s="1" t="n">
        <v>35</v>
      </c>
      <c r="D3006" s="1" t="s">
        <v>164</v>
      </c>
      <c r="E3006" s="1" t="n">
        <v>4</v>
      </c>
      <c r="F3006" s="1" t="n">
        <v>75.78</v>
      </c>
      <c r="G3006" s="1" t="n">
        <v>0</v>
      </c>
      <c r="H3006" s="1" t="s">
        <v>1336</v>
      </c>
      <c r="I3006" s="1" t="n">
        <v>303.12</v>
      </c>
      <c r="J3006" s="1" t="str">
        <f aca="false">VLOOKUP(B3006,Customers!$A$2:$G$502,6,FALSE())</f>
        <v>Small Business</v>
      </c>
      <c r="K3006" s="1" t="str">
        <f aca="false">VLOOKUP(C3006,Products!$A$2:$E$62,3,FALSE())</f>
        <v>Software</v>
      </c>
      <c r="L3006" s="1" t="str">
        <f aca="false">TEXT(D3006,"yyyy-mm")</f>
        <v>2023-02</v>
      </c>
    </row>
    <row r="3007" customFormat="false" ht="15" hidden="false" customHeight="true" outlineLevel="0" collapsed="false">
      <c r="A3007" s="1" t="n">
        <v>3073</v>
      </c>
      <c r="B3007" s="1" t="n">
        <v>143</v>
      </c>
      <c r="C3007" s="1" t="n">
        <v>5</v>
      </c>
      <c r="D3007" s="1" t="s">
        <v>1408</v>
      </c>
      <c r="E3007" s="1" t="n">
        <v>3</v>
      </c>
      <c r="F3007" s="1" t="n">
        <v>439.06</v>
      </c>
      <c r="G3007" s="1" t="n">
        <v>0.1</v>
      </c>
      <c r="H3007" s="1" t="s">
        <v>1346</v>
      </c>
      <c r="I3007" s="1" t="n">
        <v>1185.46</v>
      </c>
      <c r="J3007" s="1" t="str">
        <f aca="false">VLOOKUP(B3007,Customers!$A$2:$G$502,6,FALSE())</f>
        <v>Small Business</v>
      </c>
      <c r="K3007" s="1" t="str">
        <f aca="false">VLOOKUP(C3007,Products!$A$2:$E$62,3,FALSE())</f>
        <v>Electronics</v>
      </c>
      <c r="L3007" s="1" t="str">
        <f aca="false">TEXT(D3007,"yyyy-mm")</f>
        <v>2023-12</v>
      </c>
    </row>
    <row r="3008" customFormat="false" ht="15" hidden="false" customHeight="true" outlineLevel="0" collapsed="false">
      <c r="A3008" s="1" t="n">
        <v>3074</v>
      </c>
      <c r="B3008" s="1" t="n">
        <v>319</v>
      </c>
      <c r="C3008" s="1" t="n">
        <v>48</v>
      </c>
      <c r="D3008" s="1" t="s">
        <v>1671</v>
      </c>
      <c r="E3008" s="1" t="n">
        <v>2</v>
      </c>
      <c r="F3008" s="1" t="n">
        <v>493.53</v>
      </c>
      <c r="G3008" s="1" t="n">
        <v>0</v>
      </c>
      <c r="H3008" s="1" t="s">
        <v>1346</v>
      </c>
      <c r="I3008" s="1" t="n">
        <v>987.06</v>
      </c>
      <c r="J3008" s="1" t="str">
        <f aca="false">VLOOKUP(B3008,Customers!$A$2:$G$502,6,FALSE())</f>
        <v>Corporate</v>
      </c>
      <c r="K3008" s="1" t="str">
        <f aca="false">VLOOKUP(C3008,Products!$A$2:$E$62,3,FALSE())</f>
        <v>Software</v>
      </c>
      <c r="L3008" s="1" t="str">
        <f aca="false">TEXT(D3008,"yyyy-mm")</f>
        <v>2023-08</v>
      </c>
    </row>
    <row r="3009" customFormat="false" ht="15" hidden="false" customHeight="true" outlineLevel="0" collapsed="false">
      <c r="A3009" s="1" t="n">
        <v>3075</v>
      </c>
      <c r="B3009" s="1" t="n">
        <v>46</v>
      </c>
      <c r="C3009" s="1" t="n">
        <v>16</v>
      </c>
      <c r="D3009" s="1" t="s">
        <v>635</v>
      </c>
      <c r="E3009" s="1" t="n">
        <v>1</v>
      </c>
      <c r="F3009" s="1" t="n">
        <v>330.91</v>
      </c>
      <c r="G3009" s="1" t="n">
        <v>0</v>
      </c>
      <c r="H3009" s="1" t="s">
        <v>1336</v>
      </c>
      <c r="I3009" s="1" t="n">
        <v>330.91</v>
      </c>
      <c r="J3009" s="1" t="str">
        <f aca="false">VLOOKUP(B3009,Customers!$A$2:$G$502,6,FALSE())</f>
        <v>Consumer</v>
      </c>
      <c r="K3009" s="1" t="str">
        <f aca="false">VLOOKUP(C3009,Products!$A$2:$E$62,3,FALSE())</f>
        <v>Electronics</v>
      </c>
      <c r="L3009" s="1" t="str">
        <f aca="false">TEXT(D3009,"yyyy-mm")</f>
        <v>2024-03</v>
      </c>
    </row>
    <row r="3010" customFormat="false" ht="15" hidden="false" customHeight="true" outlineLevel="0" collapsed="false">
      <c r="A3010" s="1" t="n">
        <v>3076</v>
      </c>
      <c r="B3010" s="1" t="n">
        <v>43</v>
      </c>
      <c r="C3010" s="1" t="n">
        <v>9</v>
      </c>
      <c r="D3010" s="1" t="s">
        <v>496</v>
      </c>
      <c r="E3010" s="1" t="n">
        <v>5</v>
      </c>
      <c r="F3010" s="1" t="n">
        <v>203.1</v>
      </c>
      <c r="G3010" s="1" t="n">
        <v>0.15</v>
      </c>
      <c r="H3010" s="1" t="s">
        <v>1336</v>
      </c>
      <c r="I3010" s="1" t="n">
        <v>863.18</v>
      </c>
      <c r="J3010" s="1" t="str">
        <f aca="false">VLOOKUP(B3010,Customers!$A$2:$G$502,6,FALSE())</f>
        <v>Small Business</v>
      </c>
      <c r="K3010" s="1" t="str">
        <f aca="false">VLOOKUP(C3010,Products!$A$2:$E$62,3,FALSE())</f>
        <v>Electronics</v>
      </c>
      <c r="L3010" s="1" t="str">
        <f aca="false">TEXT(D3010,"yyyy-mm")</f>
        <v>2023-05</v>
      </c>
    </row>
    <row r="3011" customFormat="false" ht="15" hidden="false" customHeight="true" outlineLevel="0" collapsed="false">
      <c r="A3011" s="1" t="n">
        <v>3077</v>
      </c>
      <c r="B3011" s="1" t="n">
        <v>390</v>
      </c>
      <c r="C3011" s="1" t="n">
        <v>37</v>
      </c>
      <c r="D3011" s="1" t="s">
        <v>1582</v>
      </c>
      <c r="E3011" s="1" t="n">
        <v>2</v>
      </c>
      <c r="F3011" s="1" t="n">
        <v>13.95</v>
      </c>
      <c r="G3011" s="1" t="n">
        <v>0.2</v>
      </c>
      <c r="H3011" s="1" t="s">
        <v>1336</v>
      </c>
      <c r="I3011" s="1" t="n">
        <v>22.32</v>
      </c>
      <c r="J3011" s="1" t="str">
        <f aca="false">VLOOKUP(B3011,Customers!$A$2:$G$502,6,FALSE())</f>
        <v>Small Business</v>
      </c>
      <c r="K3011" s="1" t="str">
        <f aca="false">VLOOKUP(C3011,Products!$A$2:$E$62,3,FALSE())</f>
        <v>Software</v>
      </c>
      <c r="L3011" s="1" t="str">
        <f aca="false">TEXT(D3011,"yyyy-mm")</f>
        <v>2023-11</v>
      </c>
    </row>
    <row r="3012" customFormat="false" ht="15" hidden="false" customHeight="true" outlineLevel="0" collapsed="false">
      <c r="A3012" s="1" t="n">
        <v>3078</v>
      </c>
      <c r="B3012" s="1" t="n">
        <v>2</v>
      </c>
      <c r="C3012" s="1" t="n">
        <v>56</v>
      </c>
      <c r="D3012" s="1" t="s">
        <v>1512</v>
      </c>
      <c r="E3012" s="1" t="n">
        <v>2</v>
      </c>
      <c r="F3012" s="1" t="n">
        <v>160.64</v>
      </c>
      <c r="G3012" s="1" t="n">
        <v>0.15</v>
      </c>
      <c r="H3012" s="1" t="s">
        <v>1336</v>
      </c>
      <c r="I3012" s="1" t="n">
        <v>273.09</v>
      </c>
      <c r="J3012" s="1" t="str">
        <f aca="false">VLOOKUP(B3012,Customers!$A$2:$G$502,6,FALSE())</f>
        <v>Small Business</v>
      </c>
      <c r="K3012" s="1" t="str">
        <f aca="false">VLOOKUP(C3012,Products!$A$2:$E$62,3,FALSE())</f>
        <v>Furniture</v>
      </c>
      <c r="L3012" s="1" t="str">
        <f aca="false">TEXT(D3012,"yyyy-mm")</f>
        <v>2023-12</v>
      </c>
    </row>
    <row r="3013" customFormat="false" ht="15" hidden="false" customHeight="true" outlineLevel="0" collapsed="false">
      <c r="A3013" s="1" t="n">
        <v>3079</v>
      </c>
      <c r="B3013" s="1" t="n">
        <v>179</v>
      </c>
      <c r="C3013" s="1" t="n">
        <v>44</v>
      </c>
      <c r="D3013" s="1" t="s">
        <v>1340</v>
      </c>
      <c r="E3013" s="1" t="n">
        <v>7</v>
      </c>
      <c r="F3013" s="1" t="n">
        <v>508.26</v>
      </c>
      <c r="G3013" s="1" t="n">
        <v>0</v>
      </c>
      <c r="H3013" s="1" t="s">
        <v>1336</v>
      </c>
      <c r="I3013" s="1" t="n">
        <v>3557.82</v>
      </c>
      <c r="J3013" s="1" t="str">
        <f aca="false">VLOOKUP(B3013,Customers!$A$2:$G$502,6,FALSE())</f>
        <v>Small Business</v>
      </c>
      <c r="K3013" s="1" t="str">
        <f aca="false">VLOOKUP(C3013,Products!$A$2:$E$62,3,FALSE())</f>
        <v>Software</v>
      </c>
      <c r="L3013" s="1" t="str">
        <f aca="false">TEXT(D3013,"yyyy-mm")</f>
        <v>2024-07</v>
      </c>
    </row>
    <row r="3014" customFormat="false" ht="15" hidden="false" customHeight="true" outlineLevel="0" collapsed="false">
      <c r="A3014" s="1" t="n">
        <v>3080</v>
      </c>
      <c r="B3014" s="1" t="n">
        <v>255</v>
      </c>
      <c r="C3014" s="1" t="n">
        <v>60</v>
      </c>
      <c r="D3014" s="1" t="s">
        <v>1380</v>
      </c>
      <c r="E3014" s="1" t="n">
        <v>8</v>
      </c>
      <c r="F3014" s="1" t="n">
        <v>584.98</v>
      </c>
      <c r="G3014" s="1" t="n">
        <v>0.1</v>
      </c>
      <c r="H3014" s="1" t="s">
        <v>1336</v>
      </c>
      <c r="I3014" s="1" t="n">
        <v>4211.86</v>
      </c>
      <c r="J3014" s="1" t="str">
        <f aca="false">VLOOKUP(B3014,Customers!$A$2:$G$502,6,FALSE())</f>
        <v>Corporate</v>
      </c>
      <c r="K3014" s="1" t="str">
        <f aca="false">VLOOKUP(C3014,Products!$A$2:$E$62,3,FALSE())</f>
        <v>Furniture</v>
      </c>
      <c r="L3014" s="1" t="str">
        <f aca="false">TEXT(D3014,"yyyy-mm")</f>
        <v>2023-07</v>
      </c>
    </row>
    <row r="3015" customFormat="false" ht="15" hidden="false" customHeight="true" outlineLevel="0" collapsed="false">
      <c r="A3015" s="1" t="n">
        <v>3081</v>
      </c>
      <c r="B3015" s="1" t="n">
        <v>300</v>
      </c>
      <c r="C3015" s="1" t="n">
        <v>8</v>
      </c>
      <c r="D3015" s="1" t="s">
        <v>601</v>
      </c>
      <c r="E3015" s="1" t="n">
        <v>8</v>
      </c>
      <c r="F3015" s="1" t="n">
        <v>104.4</v>
      </c>
      <c r="G3015" s="1" t="n">
        <v>0</v>
      </c>
      <c r="H3015" s="1" t="s">
        <v>1336</v>
      </c>
      <c r="I3015" s="1" t="n">
        <v>835.2</v>
      </c>
      <c r="J3015" s="1" t="str">
        <f aca="false">VLOOKUP(B3015,Customers!$A$2:$G$502,6,FALSE())</f>
        <v>Consumer</v>
      </c>
      <c r="K3015" s="1" t="str">
        <f aca="false">VLOOKUP(C3015,Products!$A$2:$E$62,3,FALSE())</f>
        <v>Electronics</v>
      </c>
      <c r="L3015" s="1" t="str">
        <f aca="false">TEXT(D3015,"yyyy-mm")</f>
        <v>2023-11</v>
      </c>
    </row>
    <row r="3016" customFormat="false" ht="15" hidden="false" customHeight="true" outlineLevel="0" collapsed="false">
      <c r="A3016" s="1" t="n">
        <v>3082</v>
      </c>
      <c r="B3016" s="1" t="n">
        <v>443</v>
      </c>
      <c r="C3016" s="1" t="n">
        <v>23</v>
      </c>
      <c r="D3016" s="1" t="s">
        <v>232</v>
      </c>
      <c r="E3016" s="1" t="n">
        <v>4</v>
      </c>
      <c r="F3016" s="1" t="n">
        <v>188.73</v>
      </c>
      <c r="G3016" s="1" t="n">
        <v>0</v>
      </c>
      <c r="H3016" s="1" t="s">
        <v>1336</v>
      </c>
      <c r="I3016" s="1" t="n">
        <v>754.92</v>
      </c>
      <c r="J3016" s="1" t="str">
        <f aca="false">VLOOKUP(B3016,Customers!$A$2:$G$502,6,FALSE())</f>
        <v>Consumer</v>
      </c>
      <c r="K3016" s="1" t="str">
        <f aca="false">VLOOKUP(C3016,Products!$A$2:$E$62,3,FALSE())</f>
        <v>Office Supplies</v>
      </c>
      <c r="L3016" s="1" t="str">
        <f aca="false">TEXT(D3016,"yyyy-mm")</f>
        <v>2024-10</v>
      </c>
    </row>
    <row r="3017" customFormat="false" ht="15" hidden="false" customHeight="true" outlineLevel="0" collapsed="false">
      <c r="A3017" s="1" t="n">
        <v>3083</v>
      </c>
      <c r="B3017" s="1" t="n">
        <v>354</v>
      </c>
      <c r="C3017" s="1" t="n">
        <v>56</v>
      </c>
      <c r="D3017" s="1" t="s">
        <v>1450</v>
      </c>
      <c r="E3017" s="1" t="n">
        <v>1</v>
      </c>
      <c r="F3017" s="1" t="n">
        <v>160.64</v>
      </c>
      <c r="G3017" s="1" t="n">
        <v>0.1</v>
      </c>
      <c r="H3017" s="1" t="s">
        <v>1336</v>
      </c>
      <c r="I3017" s="1" t="n">
        <v>144.58</v>
      </c>
      <c r="J3017" s="1" t="str">
        <f aca="false">VLOOKUP(B3017,Customers!$A$2:$G$502,6,FALSE())</f>
        <v>Consumer</v>
      </c>
      <c r="K3017" s="1" t="str">
        <f aca="false">VLOOKUP(C3017,Products!$A$2:$E$62,3,FALSE())</f>
        <v>Furniture</v>
      </c>
      <c r="L3017" s="1" t="str">
        <f aca="false">TEXT(D3017,"yyyy-mm")</f>
        <v>2023-04</v>
      </c>
    </row>
    <row r="3018" customFormat="false" ht="15" hidden="false" customHeight="true" outlineLevel="0" collapsed="false">
      <c r="A3018" s="1" t="n">
        <v>3084</v>
      </c>
      <c r="B3018" s="1" t="n">
        <v>278</v>
      </c>
      <c r="C3018" s="1" t="n">
        <v>52</v>
      </c>
      <c r="D3018" s="1" t="s">
        <v>1426</v>
      </c>
      <c r="E3018" s="1" t="n">
        <v>7</v>
      </c>
      <c r="F3018" s="1" t="n">
        <v>207.67</v>
      </c>
      <c r="G3018" s="1" t="n">
        <v>0.05</v>
      </c>
      <c r="H3018" s="1" t="s">
        <v>1346</v>
      </c>
      <c r="I3018" s="1" t="n">
        <v>1381.01</v>
      </c>
      <c r="J3018" s="1" t="str">
        <f aca="false">VLOOKUP(B3018,Customers!$A$2:$G$502,6,FALSE())</f>
        <v>Consumer</v>
      </c>
      <c r="K3018" s="1" t="str">
        <f aca="false">VLOOKUP(C3018,Products!$A$2:$E$62,3,FALSE())</f>
        <v>Software</v>
      </c>
      <c r="L3018" s="1" t="str">
        <f aca="false">TEXT(D3018,"yyyy-mm")</f>
        <v>2023-08</v>
      </c>
    </row>
    <row r="3019" customFormat="false" ht="15" hidden="false" customHeight="true" outlineLevel="0" collapsed="false">
      <c r="A3019" s="1" t="n">
        <v>3085</v>
      </c>
      <c r="B3019" s="1" t="n">
        <v>184</v>
      </c>
      <c r="C3019" s="1" t="n">
        <v>2</v>
      </c>
      <c r="D3019" s="1" t="s">
        <v>753</v>
      </c>
      <c r="E3019" s="1" t="n">
        <v>1</v>
      </c>
      <c r="F3019" s="1" t="n">
        <v>498.15</v>
      </c>
      <c r="G3019" s="1" t="n">
        <v>0.15</v>
      </c>
      <c r="H3019" s="1" t="s">
        <v>1336</v>
      </c>
      <c r="I3019" s="1" t="n">
        <v>423.43</v>
      </c>
      <c r="J3019" s="1" t="str">
        <f aca="false">VLOOKUP(B3019,Customers!$A$2:$G$502,6,FALSE())</f>
        <v>Corporate</v>
      </c>
      <c r="K3019" s="1" t="str">
        <f aca="false">VLOOKUP(C3019,Products!$A$2:$E$62,3,FALSE())</f>
        <v>Electronics</v>
      </c>
      <c r="L3019" s="1" t="str">
        <f aca="false">TEXT(D3019,"yyyy-mm")</f>
        <v>2023-03</v>
      </c>
    </row>
    <row r="3020" customFormat="false" ht="15" hidden="false" customHeight="true" outlineLevel="0" collapsed="false">
      <c r="A3020" s="1" t="n">
        <v>3086</v>
      </c>
      <c r="B3020" s="1" t="n">
        <v>474</v>
      </c>
      <c r="C3020" s="1" t="n">
        <v>26</v>
      </c>
      <c r="D3020" s="1" t="s">
        <v>1599</v>
      </c>
      <c r="E3020" s="1" t="n">
        <v>4</v>
      </c>
      <c r="F3020" s="1" t="n">
        <v>733.85</v>
      </c>
      <c r="G3020" s="1" t="n">
        <v>0.1</v>
      </c>
      <c r="H3020" s="1" t="s">
        <v>1336</v>
      </c>
      <c r="I3020" s="1" t="n">
        <v>2641.86</v>
      </c>
      <c r="J3020" s="1" t="str">
        <f aca="false">VLOOKUP(B3020,Customers!$A$2:$G$502,6,FALSE())</f>
        <v>Consumer</v>
      </c>
      <c r="K3020" s="1" t="str">
        <f aca="false">VLOOKUP(C3020,Products!$A$2:$E$62,3,FALSE())</f>
        <v>Office Supplies</v>
      </c>
      <c r="L3020" s="1" t="str">
        <f aca="false">TEXT(D3020,"yyyy-mm")</f>
        <v>2023-06</v>
      </c>
    </row>
    <row r="3021" customFormat="false" ht="15" hidden="false" customHeight="true" outlineLevel="0" collapsed="false">
      <c r="A3021" s="1" t="n">
        <v>3087</v>
      </c>
      <c r="B3021" s="1" t="n">
        <v>354</v>
      </c>
      <c r="C3021" s="1" t="n">
        <v>33</v>
      </c>
      <c r="D3021" s="1" t="s">
        <v>1173</v>
      </c>
      <c r="E3021" s="1" t="n">
        <v>8</v>
      </c>
      <c r="F3021" s="1" t="n">
        <v>190.1</v>
      </c>
      <c r="G3021" s="1" t="n">
        <v>0.1</v>
      </c>
      <c r="H3021" s="1" t="s">
        <v>1336</v>
      </c>
      <c r="I3021" s="1" t="n">
        <v>1368.72</v>
      </c>
      <c r="J3021" s="1" t="str">
        <f aca="false">VLOOKUP(B3021,Customers!$A$2:$G$502,6,FALSE())</f>
        <v>Consumer</v>
      </c>
      <c r="K3021" s="1" t="str">
        <f aca="false">VLOOKUP(C3021,Products!$A$2:$E$62,3,FALSE())</f>
        <v>Office Supplies</v>
      </c>
      <c r="L3021" s="1" t="str">
        <f aca="false">TEXT(D3021,"yyyy-mm")</f>
        <v>2023-01</v>
      </c>
    </row>
    <row r="3022" customFormat="false" ht="15" hidden="false" customHeight="true" outlineLevel="0" collapsed="false">
      <c r="A3022" s="1" t="n">
        <v>3088</v>
      </c>
      <c r="B3022" s="1" t="n">
        <v>203</v>
      </c>
      <c r="C3022" s="1" t="n">
        <v>53</v>
      </c>
      <c r="D3022" s="1" t="s">
        <v>1606</v>
      </c>
      <c r="E3022" s="1" t="n">
        <v>2</v>
      </c>
      <c r="F3022" s="1" t="n">
        <v>509.98</v>
      </c>
      <c r="G3022" s="1" t="n">
        <v>0</v>
      </c>
      <c r="H3022" s="1" t="s">
        <v>1336</v>
      </c>
      <c r="I3022" s="1" t="n">
        <v>1019.96</v>
      </c>
      <c r="J3022" s="1" t="str">
        <f aca="false">VLOOKUP(B3022,Customers!$A$2:$G$502,6,FALSE())</f>
        <v>Corporate</v>
      </c>
      <c r="K3022" s="1" t="str">
        <f aca="false">VLOOKUP(C3022,Products!$A$2:$E$62,3,FALSE())</f>
        <v>Software</v>
      </c>
      <c r="L3022" s="1" t="str">
        <f aca="false">TEXT(D3022,"yyyy-mm")</f>
        <v>2023-11</v>
      </c>
    </row>
    <row r="3023" customFormat="false" ht="15" hidden="false" customHeight="true" outlineLevel="0" collapsed="false">
      <c r="A3023" s="1" t="n">
        <v>3089</v>
      </c>
      <c r="B3023" s="1" t="n">
        <v>276</v>
      </c>
      <c r="C3023" s="1" t="n">
        <v>39</v>
      </c>
      <c r="D3023" s="1" t="s">
        <v>1494</v>
      </c>
      <c r="E3023" s="1" t="n">
        <v>6</v>
      </c>
      <c r="F3023" s="1" t="n">
        <v>400.02</v>
      </c>
      <c r="G3023" s="1" t="n">
        <v>0.05</v>
      </c>
      <c r="H3023" s="1" t="s">
        <v>1336</v>
      </c>
      <c r="I3023" s="1" t="n">
        <v>2280.11</v>
      </c>
      <c r="J3023" s="1" t="str">
        <f aca="false">VLOOKUP(B3023,Customers!$A$2:$G$502,6,FALSE())</f>
        <v>Corporate</v>
      </c>
      <c r="K3023" s="1" t="str">
        <f aca="false">VLOOKUP(C3023,Products!$A$2:$E$62,3,FALSE())</f>
        <v>Software</v>
      </c>
      <c r="L3023" s="1" t="str">
        <f aca="false">TEXT(D3023,"yyyy-mm")</f>
        <v>2023-01</v>
      </c>
    </row>
    <row r="3024" customFormat="false" ht="15" hidden="false" customHeight="true" outlineLevel="0" collapsed="false">
      <c r="A3024" s="1" t="n">
        <v>3090</v>
      </c>
      <c r="B3024" s="1" t="n">
        <v>55</v>
      </c>
      <c r="C3024" s="1" t="n">
        <v>9</v>
      </c>
      <c r="D3024" s="1" t="s">
        <v>1469</v>
      </c>
      <c r="E3024" s="1" t="n">
        <v>6</v>
      </c>
      <c r="F3024" s="1" t="n">
        <v>203.1</v>
      </c>
      <c r="G3024" s="1" t="n">
        <v>0</v>
      </c>
      <c r="H3024" s="1" t="s">
        <v>1336</v>
      </c>
      <c r="I3024" s="1" t="n">
        <v>1218.6</v>
      </c>
      <c r="J3024" s="1" t="str">
        <f aca="false">VLOOKUP(B3024,Customers!$A$2:$G$502,6,FALSE())</f>
        <v>Consumer</v>
      </c>
      <c r="K3024" s="1" t="str">
        <f aca="false">VLOOKUP(C3024,Products!$A$2:$E$62,3,FALSE())</f>
        <v>Electronics</v>
      </c>
      <c r="L3024" s="1" t="str">
        <f aca="false">TEXT(D3024,"yyyy-mm")</f>
        <v>2023-11</v>
      </c>
    </row>
    <row r="3025" customFormat="false" ht="15" hidden="false" customHeight="true" outlineLevel="0" collapsed="false">
      <c r="A3025" s="1" t="n">
        <v>3091</v>
      </c>
      <c r="B3025" s="1" t="n">
        <v>309</v>
      </c>
      <c r="C3025" s="1" t="n">
        <v>54</v>
      </c>
      <c r="D3025" s="1" t="s">
        <v>1575</v>
      </c>
      <c r="E3025" s="1" t="n">
        <v>9</v>
      </c>
      <c r="F3025" s="1" t="n">
        <v>312.01</v>
      </c>
      <c r="G3025" s="1" t="n">
        <v>0.05</v>
      </c>
      <c r="H3025" s="1" t="s">
        <v>1336</v>
      </c>
      <c r="I3025" s="1" t="n">
        <v>2667.69</v>
      </c>
      <c r="J3025" s="1" t="str">
        <f aca="false">VLOOKUP(B3025,Customers!$A$2:$G$502,6,FALSE())</f>
        <v>Unknown</v>
      </c>
      <c r="K3025" s="1" t="str">
        <f aca="false">VLOOKUP(C3025,Products!$A$2:$E$62,3,FALSE())</f>
        <v>Software</v>
      </c>
      <c r="L3025" s="1" t="str">
        <f aca="false">TEXT(D3025,"yyyy-mm")</f>
        <v>2024-05</v>
      </c>
    </row>
    <row r="3026" customFormat="false" ht="15" hidden="false" customHeight="true" outlineLevel="0" collapsed="false">
      <c r="A3026" s="1" t="n">
        <v>3092</v>
      </c>
      <c r="B3026" s="1" t="n">
        <v>492</v>
      </c>
      <c r="C3026" s="1" t="n">
        <v>48</v>
      </c>
      <c r="D3026" s="1" t="s">
        <v>1613</v>
      </c>
      <c r="E3026" s="1" t="n">
        <v>5</v>
      </c>
      <c r="F3026" s="1" t="n">
        <v>493.53</v>
      </c>
      <c r="G3026" s="1" t="n">
        <v>0</v>
      </c>
      <c r="H3026" s="1" t="s">
        <v>1336</v>
      </c>
      <c r="I3026" s="1" t="n">
        <v>2467.65</v>
      </c>
      <c r="J3026" s="1" t="str">
        <f aca="false">VLOOKUP(B3026,Customers!$A$2:$G$502,6,FALSE())</f>
        <v>Consumer</v>
      </c>
      <c r="K3026" s="1" t="str">
        <f aca="false">VLOOKUP(C3026,Products!$A$2:$E$62,3,FALSE())</f>
        <v>Software</v>
      </c>
      <c r="L3026" s="1" t="str">
        <f aca="false">TEXT(D3026,"yyyy-mm")</f>
        <v>2024-06</v>
      </c>
    </row>
    <row r="3027" customFormat="false" ht="15" hidden="false" customHeight="true" outlineLevel="0" collapsed="false">
      <c r="A3027" s="1" t="n">
        <v>3093</v>
      </c>
      <c r="B3027" s="1" t="n">
        <v>149</v>
      </c>
      <c r="C3027" s="1" t="n">
        <v>8</v>
      </c>
      <c r="D3027" s="1" t="s">
        <v>1690</v>
      </c>
      <c r="E3027" s="1" t="n">
        <v>4</v>
      </c>
      <c r="F3027" s="1" t="n">
        <v>104.4</v>
      </c>
      <c r="G3027" s="1" t="n">
        <v>0</v>
      </c>
      <c r="H3027" s="1" t="s">
        <v>1346</v>
      </c>
      <c r="I3027" s="1" t="n">
        <v>417.6</v>
      </c>
      <c r="J3027" s="1" t="str">
        <f aca="false">VLOOKUP(B3027,Customers!$A$2:$G$502,6,FALSE())</f>
        <v>Consumer</v>
      </c>
      <c r="K3027" s="1" t="str">
        <f aca="false">VLOOKUP(C3027,Products!$A$2:$E$62,3,FALSE())</f>
        <v>Electronics</v>
      </c>
      <c r="L3027" s="1" t="str">
        <f aca="false">TEXT(D3027,"yyyy-mm")</f>
        <v>2024-03</v>
      </c>
    </row>
    <row r="3028" customFormat="false" ht="15" hidden="false" customHeight="true" outlineLevel="0" collapsed="false">
      <c r="A3028" s="1" t="n">
        <v>3094</v>
      </c>
      <c r="B3028" s="1" t="n">
        <v>97</v>
      </c>
      <c r="C3028" s="1" t="n">
        <v>37</v>
      </c>
      <c r="D3028" s="1" t="s">
        <v>167</v>
      </c>
      <c r="E3028" s="1" t="n">
        <v>5</v>
      </c>
      <c r="F3028" s="1" t="n">
        <v>13.95</v>
      </c>
      <c r="G3028" s="1" t="n">
        <v>0.2</v>
      </c>
      <c r="H3028" s="1" t="s">
        <v>1336</v>
      </c>
      <c r="I3028" s="1" t="n">
        <v>55.8</v>
      </c>
      <c r="J3028" s="1" t="str">
        <f aca="false">VLOOKUP(B3028,Customers!$A$2:$G$502,6,FALSE())</f>
        <v>Corporate</v>
      </c>
      <c r="K3028" s="1" t="str">
        <f aca="false">VLOOKUP(C3028,Products!$A$2:$E$62,3,FALSE())</f>
        <v>Software</v>
      </c>
      <c r="L3028" s="1" t="str">
        <f aca="false">TEXT(D3028,"yyyy-mm")</f>
        <v>2023-03</v>
      </c>
    </row>
    <row r="3029" customFormat="false" ht="15" hidden="false" customHeight="true" outlineLevel="0" collapsed="false">
      <c r="A3029" s="1" t="n">
        <v>3095</v>
      </c>
      <c r="B3029" s="1" t="n">
        <v>180</v>
      </c>
      <c r="C3029" s="1" t="n">
        <v>52</v>
      </c>
      <c r="D3029" s="1" t="s">
        <v>852</v>
      </c>
      <c r="E3029" s="1" t="n">
        <v>5</v>
      </c>
      <c r="F3029" s="1" t="n">
        <v>207.67</v>
      </c>
      <c r="G3029" s="1" t="n">
        <v>0.1</v>
      </c>
      <c r="H3029" s="1" t="s">
        <v>1336</v>
      </c>
      <c r="I3029" s="1" t="n">
        <v>934.52</v>
      </c>
      <c r="J3029" s="1" t="str">
        <f aca="false">VLOOKUP(B3029,Customers!$A$2:$G$502,6,FALSE())</f>
        <v>Consumer</v>
      </c>
      <c r="K3029" s="1" t="str">
        <f aca="false">VLOOKUP(C3029,Products!$A$2:$E$62,3,FALSE())</f>
        <v>Software</v>
      </c>
      <c r="L3029" s="1" t="str">
        <f aca="false">TEXT(D3029,"yyyy-mm")</f>
        <v>2023-04</v>
      </c>
    </row>
    <row r="3030" customFormat="false" ht="15" hidden="false" customHeight="true" outlineLevel="0" collapsed="false">
      <c r="A3030" s="1" t="n">
        <v>3096</v>
      </c>
      <c r="B3030" s="1" t="n">
        <v>270</v>
      </c>
      <c r="C3030" s="1" t="n">
        <v>28</v>
      </c>
      <c r="D3030" s="1" t="s">
        <v>461</v>
      </c>
      <c r="E3030" s="1" t="n">
        <v>8</v>
      </c>
      <c r="F3030" s="1" t="n">
        <v>505.23</v>
      </c>
      <c r="G3030" s="1" t="n">
        <v>0</v>
      </c>
      <c r="H3030" s="1" t="s">
        <v>1336</v>
      </c>
      <c r="I3030" s="1" t="n">
        <v>4041.84</v>
      </c>
      <c r="J3030" s="1" t="str">
        <f aca="false">VLOOKUP(B3030,Customers!$A$2:$G$502,6,FALSE())</f>
        <v>Small Business</v>
      </c>
      <c r="K3030" s="1" t="str">
        <f aca="false">VLOOKUP(C3030,Products!$A$2:$E$62,3,FALSE())</f>
        <v>Office Supplies</v>
      </c>
      <c r="L3030" s="1" t="str">
        <f aca="false">TEXT(D3030,"yyyy-mm")</f>
        <v>2023-02</v>
      </c>
    </row>
    <row r="3031" customFormat="false" ht="15" hidden="false" customHeight="true" outlineLevel="0" collapsed="false">
      <c r="A3031" s="1" t="n">
        <v>3097</v>
      </c>
      <c r="B3031" s="1" t="n">
        <v>95</v>
      </c>
      <c r="C3031" s="1" t="n">
        <v>17</v>
      </c>
      <c r="D3031" s="1" t="s">
        <v>1691</v>
      </c>
      <c r="E3031" s="1" t="n">
        <v>8</v>
      </c>
      <c r="F3031" s="1" t="n">
        <v>65.61</v>
      </c>
      <c r="G3031" s="1" t="n">
        <v>0.1</v>
      </c>
      <c r="H3031" s="1" t="s">
        <v>1336</v>
      </c>
      <c r="I3031" s="1" t="n">
        <v>472.39</v>
      </c>
      <c r="J3031" s="1" t="str">
        <f aca="false">VLOOKUP(B3031,Customers!$A$2:$G$502,6,FALSE())</f>
        <v>Corporate</v>
      </c>
      <c r="K3031" s="1" t="str">
        <f aca="false">VLOOKUP(C3031,Products!$A$2:$E$62,3,FALSE())</f>
        <v>Electronics</v>
      </c>
      <c r="L3031" s="1" t="str">
        <f aca="false">TEXT(D3031,"yyyy-mm")</f>
        <v>2023-10</v>
      </c>
    </row>
    <row r="3032" customFormat="false" ht="15" hidden="false" customHeight="true" outlineLevel="0" collapsed="false">
      <c r="A3032" s="1" t="n">
        <v>3099</v>
      </c>
      <c r="B3032" s="1" t="n">
        <v>73</v>
      </c>
      <c r="C3032" s="1" t="n">
        <v>38</v>
      </c>
      <c r="D3032" s="1" t="s">
        <v>710</v>
      </c>
      <c r="E3032" s="1" t="n">
        <v>7</v>
      </c>
      <c r="F3032" s="1" t="n">
        <v>521.63</v>
      </c>
      <c r="G3032" s="1" t="n">
        <v>0</v>
      </c>
      <c r="H3032" s="1" t="s">
        <v>1336</v>
      </c>
      <c r="I3032" s="1" t="n">
        <v>3651.41</v>
      </c>
      <c r="J3032" s="1" t="str">
        <f aca="false">VLOOKUP(B3032,Customers!$A$2:$G$502,6,FALSE())</f>
        <v>Small Business</v>
      </c>
      <c r="K3032" s="1" t="str">
        <f aca="false">VLOOKUP(C3032,Products!$A$2:$E$62,3,FALSE())</f>
        <v>Software</v>
      </c>
      <c r="L3032" s="1" t="str">
        <f aca="false">TEXT(D3032,"yyyy-mm")</f>
        <v>2023-07</v>
      </c>
    </row>
    <row r="3033" customFormat="false" ht="15" hidden="false" customHeight="true" outlineLevel="0" collapsed="false">
      <c r="A3033" s="1" t="n">
        <v>3100</v>
      </c>
      <c r="B3033" s="1" t="n">
        <v>33</v>
      </c>
      <c r="C3033" s="1" t="n">
        <v>42</v>
      </c>
      <c r="D3033" s="1" t="s">
        <v>1481</v>
      </c>
      <c r="E3033" s="1" t="n">
        <v>8</v>
      </c>
      <c r="F3033" s="1" t="n">
        <v>174.48</v>
      </c>
      <c r="G3033" s="1" t="n">
        <v>0.05</v>
      </c>
      <c r="H3033" s="1" t="s">
        <v>1336</v>
      </c>
      <c r="I3033" s="1" t="n">
        <v>1326.05</v>
      </c>
      <c r="J3033" s="1" t="str">
        <f aca="false">VLOOKUP(B3033,Customers!$A$2:$G$502,6,FALSE())</f>
        <v>Corporate</v>
      </c>
      <c r="K3033" s="1" t="str">
        <f aca="false">VLOOKUP(C3033,Products!$A$2:$E$62,3,FALSE())</f>
        <v>Software</v>
      </c>
      <c r="L3033" s="1" t="str">
        <f aca="false">TEXT(D3033,"yyyy-mm")</f>
        <v>2024-06</v>
      </c>
    </row>
    <row r="3034" customFormat="false" ht="15" hidden="false" customHeight="true" outlineLevel="0" collapsed="false">
      <c r="A3034" s="1" t="n">
        <v>3101</v>
      </c>
      <c r="B3034" s="1" t="n">
        <v>497</v>
      </c>
      <c r="C3034" s="1" t="n">
        <v>2</v>
      </c>
      <c r="D3034" s="1" t="s">
        <v>594</v>
      </c>
      <c r="E3034" s="1" t="n">
        <v>6</v>
      </c>
      <c r="F3034" s="1" t="n">
        <v>498.15</v>
      </c>
      <c r="G3034" s="1" t="n">
        <v>0.15</v>
      </c>
      <c r="H3034" s="1" t="s">
        <v>1336</v>
      </c>
      <c r="I3034" s="1" t="n">
        <v>2540.56</v>
      </c>
      <c r="J3034" s="1" t="str">
        <f aca="false">VLOOKUP(B3034,Customers!$A$2:$G$502,6,FALSE())</f>
        <v>Consumer</v>
      </c>
      <c r="K3034" s="1" t="str">
        <f aca="false">VLOOKUP(C3034,Products!$A$2:$E$62,3,FALSE())</f>
        <v>Electronics</v>
      </c>
      <c r="L3034" s="1" t="str">
        <f aca="false">TEXT(D3034,"yyyy-mm")</f>
        <v>2024-02</v>
      </c>
    </row>
    <row r="3035" customFormat="false" ht="15" hidden="false" customHeight="true" outlineLevel="0" collapsed="false">
      <c r="A3035" s="1" t="n">
        <v>3102</v>
      </c>
      <c r="B3035" s="1" t="n">
        <v>436</v>
      </c>
      <c r="C3035" s="1" t="n">
        <v>13</v>
      </c>
      <c r="D3035" s="1" t="s">
        <v>1662</v>
      </c>
      <c r="E3035" s="1" t="n">
        <v>5</v>
      </c>
      <c r="F3035" s="1" t="n">
        <v>352.54</v>
      </c>
      <c r="G3035" s="1" t="n">
        <v>0.1</v>
      </c>
      <c r="H3035" s="1" t="s">
        <v>1336</v>
      </c>
      <c r="I3035" s="1" t="n">
        <v>1586.43</v>
      </c>
      <c r="J3035" s="1" t="str">
        <f aca="false">VLOOKUP(B3035,Customers!$A$2:$G$502,6,FALSE())</f>
        <v>Corporate</v>
      </c>
      <c r="K3035" s="1" t="str">
        <f aca="false">VLOOKUP(C3035,Products!$A$2:$E$62,3,FALSE())</f>
        <v>Electronics</v>
      </c>
      <c r="L3035" s="1" t="str">
        <f aca="false">TEXT(D3035,"yyyy-mm")</f>
        <v>2024-02</v>
      </c>
    </row>
    <row r="3036" customFormat="false" ht="15" hidden="false" customHeight="true" outlineLevel="0" collapsed="false">
      <c r="A3036" s="1" t="n">
        <v>3103</v>
      </c>
      <c r="B3036" s="1" t="n">
        <v>454</v>
      </c>
      <c r="C3036" s="1" t="n">
        <v>3</v>
      </c>
      <c r="D3036" s="1" t="s">
        <v>1136</v>
      </c>
      <c r="E3036" s="1" t="n">
        <v>9</v>
      </c>
      <c r="F3036" s="1" t="n">
        <v>89.39</v>
      </c>
      <c r="G3036" s="1" t="n">
        <v>0</v>
      </c>
      <c r="H3036" s="1" t="s">
        <v>1370</v>
      </c>
      <c r="I3036" s="1" t="n">
        <v>804.51</v>
      </c>
      <c r="J3036" s="1" t="str">
        <f aca="false">VLOOKUP(B3036,Customers!$A$2:$G$502,6,FALSE())</f>
        <v>Consumer</v>
      </c>
      <c r="K3036" s="1" t="str">
        <f aca="false">VLOOKUP(C3036,Products!$A$2:$E$62,3,FALSE())</f>
        <v>Electronics</v>
      </c>
      <c r="L3036" s="1" t="str">
        <f aca="false">TEXT(D3036,"yyyy-mm")</f>
        <v>2023-01</v>
      </c>
    </row>
    <row r="3037" customFormat="false" ht="15" hidden="false" customHeight="true" outlineLevel="0" collapsed="false">
      <c r="A3037" s="1" t="n">
        <v>3104</v>
      </c>
      <c r="B3037" s="1" t="n">
        <v>134</v>
      </c>
      <c r="C3037" s="1" t="n">
        <v>51</v>
      </c>
      <c r="D3037" s="1" t="s">
        <v>1599</v>
      </c>
      <c r="E3037" s="1" t="n">
        <v>3</v>
      </c>
      <c r="F3037" s="1" t="n">
        <v>30.16</v>
      </c>
      <c r="G3037" s="1" t="n">
        <v>0.05</v>
      </c>
      <c r="H3037" s="1" t="s">
        <v>1336</v>
      </c>
      <c r="I3037" s="1" t="n">
        <v>85.96</v>
      </c>
      <c r="J3037" s="1" t="str">
        <f aca="false">VLOOKUP(B3037,Customers!$A$2:$G$502,6,FALSE())</f>
        <v>Corporate</v>
      </c>
      <c r="K3037" s="1" t="str">
        <f aca="false">VLOOKUP(C3037,Products!$A$2:$E$62,3,FALSE())</f>
        <v>Software</v>
      </c>
      <c r="L3037" s="1" t="str">
        <f aca="false">TEXT(D3037,"yyyy-mm")</f>
        <v>2023-06</v>
      </c>
    </row>
    <row r="3038" customFormat="false" ht="15" hidden="false" customHeight="true" outlineLevel="0" collapsed="false">
      <c r="A3038" s="1" t="n">
        <v>3105</v>
      </c>
      <c r="B3038" s="1" t="n">
        <v>232</v>
      </c>
      <c r="C3038" s="1" t="n">
        <v>24</v>
      </c>
      <c r="D3038" s="1" t="s">
        <v>1655</v>
      </c>
      <c r="E3038" s="1" t="n">
        <v>4</v>
      </c>
      <c r="F3038" s="1" t="n">
        <v>207.34</v>
      </c>
      <c r="G3038" s="1" t="n">
        <v>0.05</v>
      </c>
      <c r="H3038" s="1" t="s">
        <v>1370</v>
      </c>
      <c r="I3038" s="1" t="n">
        <v>787.89</v>
      </c>
      <c r="J3038" s="1" t="str">
        <f aca="false">VLOOKUP(B3038,Customers!$A$2:$G$502,6,FALSE())</f>
        <v>Corporate</v>
      </c>
      <c r="K3038" s="1" t="str">
        <f aca="false">VLOOKUP(C3038,Products!$A$2:$E$62,3,FALSE())</f>
        <v>Office Supplies</v>
      </c>
      <c r="L3038" s="1" t="str">
        <f aca="false">TEXT(D3038,"yyyy-mm")</f>
        <v>2023-09</v>
      </c>
    </row>
    <row r="3039" customFormat="false" ht="15" hidden="false" customHeight="true" outlineLevel="0" collapsed="false">
      <c r="A3039" s="1" t="n">
        <v>3106</v>
      </c>
      <c r="B3039" s="1" t="n">
        <v>415</v>
      </c>
      <c r="C3039" s="1" t="n">
        <v>21</v>
      </c>
      <c r="D3039" s="1" t="s">
        <v>185</v>
      </c>
      <c r="E3039" s="1" t="n">
        <v>9</v>
      </c>
      <c r="F3039" s="1" t="n">
        <v>84.91</v>
      </c>
      <c r="G3039" s="1" t="n">
        <v>0.2</v>
      </c>
      <c r="H3039" s="1" t="s">
        <v>1336</v>
      </c>
      <c r="I3039" s="1" t="n">
        <v>611.35</v>
      </c>
      <c r="J3039" s="1" t="str">
        <f aca="false">VLOOKUP(B3039,Customers!$A$2:$G$502,6,FALSE())</f>
        <v>Consumer</v>
      </c>
      <c r="K3039" s="1" t="str">
        <f aca="false">VLOOKUP(C3039,Products!$A$2:$E$62,3,FALSE())</f>
        <v>Office Supplies</v>
      </c>
      <c r="L3039" s="1" t="str">
        <f aca="false">TEXT(D3039,"yyyy-mm")</f>
        <v>2024-05</v>
      </c>
    </row>
    <row r="3040" customFormat="false" ht="15" hidden="false" customHeight="true" outlineLevel="0" collapsed="false">
      <c r="A3040" s="1" t="n">
        <v>3107</v>
      </c>
      <c r="B3040" s="1" t="n">
        <v>485</v>
      </c>
      <c r="C3040" s="1" t="n">
        <v>43</v>
      </c>
      <c r="D3040" s="1" t="s">
        <v>479</v>
      </c>
      <c r="E3040" s="1" t="n">
        <v>6</v>
      </c>
      <c r="F3040" s="1" t="n">
        <v>186.31</v>
      </c>
      <c r="G3040" s="1" t="n">
        <v>0</v>
      </c>
      <c r="H3040" s="1" t="s">
        <v>1346</v>
      </c>
      <c r="I3040" s="1" t="n">
        <v>1117.86</v>
      </c>
      <c r="J3040" s="1" t="str">
        <f aca="false">VLOOKUP(B3040,Customers!$A$2:$G$502,6,FALSE())</f>
        <v>Corporate</v>
      </c>
      <c r="K3040" s="1" t="str">
        <f aca="false">VLOOKUP(C3040,Products!$A$2:$E$62,3,FALSE())</f>
        <v>Software</v>
      </c>
      <c r="L3040" s="1" t="str">
        <f aca="false">TEXT(D3040,"yyyy-mm")</f>
        <v>2024-09</v>
      </c>
    </row>
    <row r="3041" customFormat="false" ht="15" hidden="false" customHeight="true" outlineLevel="0" collapsed="false">
      <c r="A3041" s="1" t="n">
        <v>3108</v>
      </c>
      <c r="B3041" s="1" t="n">
        <v>369</v>
      </c>
      <c r="C3041" s="1" t="n">
        <v>25</v>
      </c>
      <c r="D3041" s="1" t="s">
        <v>112</v>
      </c>
      <c r="E3041" s="1" t="n">
        <v>8</v>
      </c>
      <c r="F3041" s="1" t="n">
        <v>300.49</v>
      </c>
      <c r="G3041" s="1" t="n">
        <v>0.05</v>
      </c>
      <c r="H3041" s="1" t="s">
        <v>1336</v>
      </c>
      <c r="I3041" s="1" t="n">
        <v>2283.72</v>
      </c>
      <c r="J3041" s="1" t="str">
        <f aca="false">VLOOKUP(B3041,Customers!$A$2:$G$502,6,FALSE())</f>
        <v>Corporate</v>
      </c>
      <c r="K3041" s="1" t="str">
        <f aca="false">VLOOKUP(C3041,Products!$A$2:$E$62,3,FALSE())</f>
        <v>Office Supplies</v>
      </c>
      <c r="L3041" s="1" t="str">
        <f aca="false">TEXT(D3041,"yyyy-mm")</f>
        <v>2024-07</v>
      </c>
    </row>
    <row r="3042" customFormat="false" ht="15" hidden="false" customHeight="true" outlineLevel="0" collapsed="false">
      <c r="A3042" s="1" t="n">
        <v>3109</v>
      </c>
      <c r="B3042" s="1" t="n">
        <v>113</v>
      </c>
      <c r="C3042" s="1" t="n">
        <v>17</v>
      </c>
      <c r="D3042" s="1" t="s">
        <v>1092</v>
      </c>
      <c r="E3042" s="1" t="n">
        <v>7</v>
      </c>
      <c r="F3042" s="1" t="n">
        <v>65.61</v>
      </c>
      <c r="G3042" s="1" t="n">
        <v>0.15</v>
      </c>
      <c r="H3042" s="1" t="s">
        <v>1336</v>
      </c>
      <c r="I3042" s="1" t="n">
        <v>390.38</v>
      </c>
      <c r="J3042" s="1" t="str">
        <f aca="false">VLOOKUP(B3042,Customers!$A$2:$G$502,6,FALSE())</f>
        <v>Small Business</v>
      </c>
      <c r="K3042" s="1" t="str">
        <f aca="false">VLOOKUP(C3042,Products!$A$2:$E$62,3,FALSE())</f>
        <v>Electronics</v>
      </c>
      <c r="L3042" s="1" t="str">
        <f aca="false">TEXT(D3042,"yyyy-mm")</f>
        <v>2023-12</v>
      </c>
    </row>
    <row r="3043" customFormat="false" ht="15" hidden="false" customHeight="true" outlineLevel="0" collapsed="false">
      <c r="A3043" s="1" t="n">
        <v>3110</v>
      </c>
      <c r="B3043" s="1" t="n">
        <v>275</v>
      </c>
      <c r="C3043" s="1" t="n">
        <v>43</v>
      </c>
      <c r="D3043" s="1" t="s">
        <v>1114</v>
      </c>
      <c r="E3043" s="1" t="n">
        <v>2</v>
      </c>
      <c r="F3043" s="1" t="n">
        <v>186.31</v>
      </c>
      <c r="G3043" s="1" t="n">
        <v>0</v>
      </c>
      <c r="H3043" s="1" t="s">
        <v>1346</v>
      </c>
      <c r="I3043" s="1" t="n">
        <v>372.62</v>
      </c>
      <c r="J3043" s="1" t="str">
        <f aca="false">VLOOKUP(B3043,Customers!$A$2:$G$502,6,FALSE())</f>
        <v>Consumer</v>
      </c>
      <c r="K3043" s="1" t="str">
        <f aca="false">VLOOKUP(C3043,Products!$A$2:$E$62,3,FALSE())</f>
        <v>Software</v>
      </c>
      <c r="L3043" s="1" t="str">
        <f aca="false">TEXT(D3043,"yyyy-mm")</f>
        <v>2024-03</v>
      </c>
    </row>
    <row r="3044" customFormat="false" ht="15" hidden="false" customHeight="true" outlineLevel="0" collapsed="false">
      <c r="A3044" s="1" t="n">
        <v>3111</v>
      </c>
      <c r="B3044" s="1" t="n">
        <v>260</v>
      </c>
      <c r="C3044" s="1" t="n">
        <v>13</v>
      </c>
      <c r="D3044" s="1" t="s">
        <v>1157</v>
      </c>
      <c r="E3044" s="1" t="n">
        <v>3</v>
      </c>
      <c r="F3044" s="1" t="n">
        <v>352.54</v>
      </c>
      <c r="G3044" s="1" t="n">
        <v>0.1</v>
      </c>
      <c r="H3044" s="1" t="s">
        <v>1336</v>
      </c>
      <c r="I3044" s="1" t="n">
        <v>951.86</v>
      </c>
      <c r="J3044" s="1" t="str">
        <f aca="false">VLOOKUP(B3044,Customers!$A$2:$G$502,6,FALSE())</f>
        <v>Corporate</v>
      </c>
      <c r="K3044" s="1" t="str">
        <f aca="false">VLOOKUP(C3044,Products!$A$2:$E$62,3,FALSE())</f>
        <v>Electronics</v>
      </c>
      <c r="L3044" s="1" t="str">
        <f aca="false">TEXT(D3044,"yyyy-mm")</f>
        <v>2023-10</v>
      </c>
    </row>
    <row r="3045" customFormat="false" ht="15" hidden="false" customHeight="true" outlineLevel="0" collapsed="false">
      <c r="A3045" s="1" t="n">
        <v>3112</v>
      </c>
      <c r="B3045" s="1" t="n">
        <v>281</v>
      </c>
      <c r="C3045" s="1" t="n">
        <v>28</v>
      </c>
      <c r="D3045" s="1" t="s">
        <v>717</v>
      </c>
      <c r="E3045" s="1" t="n">
        <v>1</v>
      </c>
      <c r="F3045" s="1" t="n">
        <v>505.23</v>
      </c>
      <c r="G3045" s="1" t="n">
        <v>0</v>
      </c>
      <c r="H3045" s="1" t="s">
        <v>1336</v>
      </c>
      <c r="I3045" s="1" t="n">
        <v>505.23</v>
      </c>
      <c r="J3045" s="1" t="str">
        <f aca="false">VLOOKUP(B3045,Customers!$A$2:$G$502,6,FALSE())</f>
        <v>Corporate</v>
      </c>
      <c r="K3045" s="1" t="str">
        <f aca="false">VLOOKUP(C3045,Products!$A$2:$E$62,3,FALSE())</f>
        <v>Office Supplies</v>
      </c>
      <c r="L3045" s="1" t="str">
        <f aca="false">TEXT(D3045,"yyyy-mm")</f>
        <v>2024-10</v>
      </c>
    </row>
    <row r="3046" customFormat="false" ht="15" hidden="false" customHeight="true" outlineLevel="0" collapsed="false">
      <c r="A3046" s="1" t="n">
        <v>3113</v>
      </c>
      <c r="B3046" s="1" t="n">
        <v>425</v>
      </c>
      <c r="C3046" s="1" t="n">
        <v>20</v>
      </c>
      <c r="D3046" s="1" t="s">
        <v>1500</v>
      </c>
      <c r="E3046" s="1" t="n">
        <v>9</v>
      </c>
      <c r="F3046" s="1" t="n">
        <v>426.15</v>
      </c>
      <c r="G3046" s="1" t="n">
        <v>0</v>
      </c>
      <c r="H3046" s="1" t="s">
        <v>1336</v>
      </c>
      <c r="I3046" s="1" t="n">
        <v>3835.35</v>
      </c>
      <c r="J3046" s="1" t="str">
        <f aca="false">VLOOKUP(B3046,Customers!$A$2:$G$502,6,FALSE())</f>
        <v>Unknown</v>
      </c>
      <c r="K3046" s="1" t="str">
        <f aca="false">VLOOKUP(C3046,Products!$A$2:$E$62,3,FALSE())</f>
        <v>Office Supplies</v>
      </c>
      <c r="L3046" s="1" t="str">
        <f aca="false">TEXT(D3046,"yyyy-mm")</f>
        <v>2024-06</v>
      </c>
    </row>
    <row r="3047" customFormat="false" ht="15" hidden="false" customHeight="true" outlineLevel="0" collapsed="false">
      <c r="A3047" s="1" t="n">
        <v>3114</v>
      </c>
      <c r="B3047" s="1" t="n">
        <v>187</v>
      </c>
      <c r="C3047" s="1" t="n">
        <v>34</v>
      </c>
      <c r="D3047" s="1" t="s">
        <v>1423</v>
      </c>
      <c r="E3047" s="1" t="n">
        <v>7</v>
      </c>
      <c r="F3047" s="1" t="n">
        <v>116.85</v>
      </c>
      <c r="G3047" s="1" t="n">
        <v>0</v>
      </c>
      <c r="H3047" s="1" t="s">
        <v>1346</v>
      </c>
      <c r="I3047" s="1" t="n">
        <v>817.95</v>
      </c>
      <c r="J3047" s="1" t="str">
        <f aca="false">VLOOKUP(B3047,Customers!$A$2:$G$502,6,FALSE())</f>
        <v>Consumer</v>
      </c>
      <c r="K3047" s="1" t="str">
        <f aca="false">VLOOKUP(C3047,Products!$A$2:$E$62,3,FALSE())</f>
        <v>Office Supplies</v>
      </c>
      <c r="L3047" s="1" t="str">
        <f aca="false">TEXT(D3047,"yyyy-mm")</f>
        <v>2024-04</v>
      </c>
    </row>
    <row r="3048" customFormat="false" ht="15" hidden="false" customHeight="true" outlineLevel="0" collapsed="false">
      <c r="A3048" s="1" t="n">
        <v>3115</v>
      </c>
      <c r="B3048" s="1" t="n">
        <v>453</v>
      </c>
      <c r="C3048" s="1" t="n">
        <v>42</v>
      </c>
      <c r="D3048" s="1" t="s">
        <v>1237</v>
      </c>
      <c r="E3048" s="1" t="n">
        <v>1</v>
      </c>
      <c r="F3048" s="1" t="n">
        <v>174.48</v>
      </c>
      <c r="G3048" s="1" t="n">
        <v>0.2</v>
      </c>
      <c r="H3048" s="1" t="s">
        <v>1336</v>
      </c>
      <c r="I3048" s="1" t="n">
        <v>139.58</v>
      </c>
      <c r="J3048" s="1" t="str">
        <f aca="false">VLOOKUP(B3048,Customers!$A$2:$G$502,6,FALSE())</f>
        <v>Small Business</v>
      </c>
      <c r="K3048" s="1" t="str">
        <f aca="false">VLOOKUP(C3048,Products!$A$2:$E$62,3,FALSE())</f>
        <v>Software</v>
      </c>
      <c r="L3048" s="1" t="str">
        <f aca="false">TEXT(D3048,"yyyy-mm")</f>
        <v>2024-02</v>
      </c>
    </row>
    <row r="3049" customFormat="false" ht="15" hidden="false" customHeight="true" outlineLevel="0" collapsed="false">
      <c r="A3049" s="1" t="n">
        <v>3116</v>
      </c>
      <c r="B3049" s="1" t="n">
        <v>154</v>
      </c>
      <c r="C3049" s="1" t="n">
        <v>16</v>
      </c>
      <c r="D3049" s="1" t="s">
        <v>399</v>
      </c>
      <c r="E3049" s="1" t="n">
        <v>3</v>
      </c>
      <c r="F3049" s="1" t="n">
        <v>330.91</v>
      </c>
      <c r="G3049" s="1" t="n">
        <v>0.1</v>
      </c>
      <c r="H3049" s="1" t="s">
        <v>1336</v>
      </c>
      <c r="I3049" s="1" t="n">
        <v>893.46</v>
      </c>
      <c r="J3049" s="1" t="str">
        <f aca="false">VLOOKUP(B3049,Customers!$A$2:$G$502,6,FALSE())</f>
        <v>Small Business</v>
      </c>
      <c r="K3049" s="1" t="str">
        <f aca="false">VLOOKUP(C3049,Products!$A$2:$E$62,3,FALSE())</f>
        <v>Electronics</v>
      </c>
      <c r="L3049" s="1" t="str">
        <f aca="false">TEXT(D3049,"yyyy-mm")</f>
        <v>2024-03</v>
      </c>
    </row>
    <row r="3050" customFormat="false" ht="15" hidden="false" customHeight="true" outlineLevel="0" collapsed="false">
      <c r="A3050" s="1" t="n">
        <v>3117</v>
      </c>
      <c r="B3050" s="1" t="n">
        <v>371</v>
      </c>
      <c r="C3050" s="1" t="n">
        <v>51</v>
      </c>
      <c r="D3050" s="1" t="s">
        <v>1698</v>
      </c>
      <c r="E3050" s="1" t="n">
        <v>4</v>
      </c>
      <c r="F3050" s="1" t="n">
        <v>30.16</v>
      </c>
      <c r="G3050" s="1" t="n">
        <v>0</v>
      </c>
      <c r="H3050" s="1" t="s">
        <v>1336</v>
      </c>
      <c r="I3050" s="1" t="n">
        <v>120.64</v>
      </c>
      <c r="J3050" s="1" t="str">
        <f aca="false">VLOOKUP(B3050,Customers!$A$2:$G$502,6,FALSE())</f>
        <v>Unknown</v>
      </c>
      <c r="K3050" s="1" t="str">
        <f aca="false">VLOOKUP(C3050,Products!$A$2:$E$62,3,FALSE())</f>
        <v>Software</v>
      </c>
      <c r="L3050" s="1" t="str">
        <f aca="false">TEXT(D3050,"yyyy-mm")</f>
        <v>2023-11</v>
      </c>
    </row>
    <row r="3051" customFormat="false" ht="15" hidden="false" customHeight="true" outlineLevel="0" collapsed="false">
      <c r="A3051" s="1" t="n">
        <v>3118</v>
      </c>
      <c r="B3051" s="1" t="n">
        <v>273</v>
      </c>
      <c r="C3051" s="1" t="n">
        <v>18</v>
      </c>
      <c r="D3051" s="1" t="s">
        <v>106</v>
      </c>
      <c r="E3051" s="1" t="n">
        <v>4</v>
      </c>
      <c r="F3051" s="1" t="n">
        <v>747.34</v>
      </c>
      <c r="G3051" s="1" t="n">
        <v>0.05</v>
      </c>
      <c r="H3051" s="1" t="s">
        <v>1336</v>
      </c>
      <c r="I3051" s="1" t="n">
        <v>2839.89</v>
      </c>
      <c r="J3051" s="1" t="str">
        <f aca="false">VLOOKUP(B3051,Customers!$A$2:$G$502,6,FALSE())</f>
        <v>Corporate</v>
      </c>
      <c r="K3051" s="1" t="str">
        <f aca="false">VLOOKUP(C3051,Products!$A$2:$E$62,3,FALSE())</f>
        <v>Electronics</v>
      </c>
      <c r="L3051" s="1" t="str">
        <f aca="false">TEXT(D3051,"yyyy-mm")</f>
        <v>2024-02</v>
      </c>
    </row>
    <row r="3052" customFormat="false" ht="15" hidden="false" customHeight="true" outlineLevel="0" collapsed="false">
      <c r="A3052" s="1" t="n">
        <v>3119</v>
      </c>
      <c r="B3052" s="1" t="n">
        <v>89</v>
      </c>
      <c r="C3052" s="1" t="n">
        <v>59</v>
      </c>
      <c r="D3052" s="1" t="s">
        <v>1616</v>
      </c>
      <c r="E3052" s="1" t="n">
        <v>5</v>
      </c>
      <c r="F3052" s="1" t="n">
        <v>438.89</v>
      </c>
      <c r="G3052" s="1" t="n">
        <v>0.2</v>
      </c>
      <c r="H3052" s="1" t="s">
        <v>1336</v>
      </c>
      <c r="I3052" s="1" t="n">
        <v>1755.56</v>
      </c>
      <c r="J3052" s="1" t="str">
        <f aca="false">VLOOKUP(B3052,Customers!$A$2:$G$502,6,FALSE())</f>
        <v>Small Business</v>
      </c>
      <c r="K3052" s="1" t="str">
        <f aca="false">VLOOKUP(C3052,Products!$A$2:$E$62,3,FALSE())</f>
        <v>Furniture</v>
      </c>
      <c r="L3052" s="1" t="str">
        <f aca="false">TEXT(D3052,"yyyy-mm")</f>
        <v>2024-09</v>
      </c>
    </row>
    <row r="3053" customFormat="false" ht="15" hidden="false" customHeight="true" outlineLevel="0" collapsed="false">
      <c r="A3053" s="1" t="n">
        <v>3120</v>
      </c>
      <c r="B3053" s="1" t="n">
        <v>379</v>
      </c>
      <c r="C3053" s="1" t="n">
        <v>32</v>
      </c>
      <c r="D3053" s="1" t="s">
        <v>1680</v>
      </c>
      <c r="E3053" s="1" t="n">
        <v>3</v>
      </c>
      <c r="F3053" s="1" t="n">
        <v>492.27</v>
      </c>
      <c r="G3053" s="1" t="n">
        <v>0.2</v>
      </c>
      <c r="H3053" s="1" t="s">
        <v>1370</v>
      </c>
      <c r="I3053" s="1" t="n">
        <v>1181.45</v>
      </c>
      <c r="J3053" s="1" t="str">
        <f aca="false">VLOOKUP(B3053,Customers!$A$2:$G$502,6,FALSE())</f>
        <v>Corporate</v>
      </c>
      <c r="K3053" s="1" t="str">
        <f aca="false">VLOOKUP(C3053,Products!$A$2:$E$62,3,FALSE())</f>
        <v>Office Supplies</v>
      </c>
      <c r="L3053" s="1" t="str">
        <f aca="false">TEXT(D3053,"yyyy-mm")</f>
        <v>2023-05</v>
      </c>
    </row>
    <row r="3054" customFormat="false" ht="15" hidden="false" customHeight="true" outlineLevel="0" collapsed="false">
      <c r="A3054" s="1" t="n">
        <v>3121</v>
      </c>
      <c r="B3054" s="1" t="n">
        <v>342</v>
      </c>
      <c r="C3054" s="1" t="n">
        <v>41</v>
      </c>
      <c r="D3054" s="1" t="s">
        <v>1223</v>
      </c>
      <c r="E3054" s="1" t="n">
        <v>3</v>
      </c>
      <c r="F3054" s="1" t="n">
        <v>594.54</v>
      </c>
      <c r="G3054" s="1" t="n">
        <v>0</v>
      </c>
      <c r="H3054" s="1" t="s">
        <v>1336</v>
      </c>
      <c r="I3054" s="1" t="n">
        <v>1783.62</v>
      </c>
      <c r="J3054" s="1" t="str">
        <f aca="false">VLOOKUP(B3054,Customers!$A$2:$G$502,6,FALSE())</f>
        <v>Small Business</v>
      </c>
      <c r="K3054" s="1" t="str">
        <f aca="false">VLOOKUP(C3054,Products!$A$2:$E$62,3,FALSE())</f>
        <v>Software</v>
      </c>
      <c r="L3054" s="1" t="str">
        <f aca="false">TEXT(D3054,"yyyy-mm")</f>
        <v>2024-12</v>
      </c>
    </row>
    <row r="3055" customFormat="false" ht="15" hidden="false" customHeight="true" outlineLevel="0" collapsed="false">
      <c r="A3055" s="1" t="n">
        <v>3123</v>
      </c>
      <c r="B3055" s="1" t="n">
        <v>176</v>
      </c>
      <c r="C3055" s="1" t="n">
        <v>2</v>
      </c>
      <c r="D3055" s="1" t="s">
        <v>1454</v>
      </c>
      <c r="E3055" s="1" t="n">
        <v>7</v>
      </c>
      <c r="F3055" s="1" t="n">
        <v>498.15</v>
      </c>
      <c r="G3055" s="1" t="n">
        <v>0</v>
      </c>
      <c r="H3055" s="1" t="s">
        <v>1370</v>
      </c>
      <c r="I3055" s="1" t="n">
        <v>3487.05</v>
      </c>
      <c r="J3055" s="1" t="str">
        <f aca="false">VLOOKUP(B3055,Customers!$A$2:$G$502,6,FALSE())</f>
        <v>Corporate</v>
      </c>
      <c r="K3055" s="1" t="str">
        <f aca="false">VLOOKUP(C3055,Products!$A$2:$E$62,3,FALSE())</f>
        <v>Electronics</v>
      </c>
      <c r="L3055" s="1" t="str">
        <f aca="false">TEXT(D3055,"yyyy-mm")</f>
        <v>2024-11</v>
      </c>
    </row>
    <row r="3056" customFormat="false" ht="15" hidden="false" customHeight="true" outlineLevel="0" collapsed="false">
      <c r="A3056" s="1" t="n">
        <v>3124</v>
      </c>
      <c r="B3056" s="1" t="n">
        <v>34</v>
      </c>
      <c r="C3056" s="1" t="n">
        <v>9</v>
      </c>
      <c r="D3056" s="1" t="s">
        <v>188</v>
      </c>
      <c r="E3056" s="1" t="n">
        <v>1</v>
      </c>
      <c r="F3056" s="1" t="n">
        <v>203.1</v>
      </c>
      <c r="G3056" s="1" t="n">
        <v>0.1</v>
      </c>
      <c r="H3056" s="1" t="s">
        <v>1336</v>
      </c>
      <c r="I3056" s="1" t="n">
        <v>182.79</v>
      </c>
      <c r="J3056" s="1" t="str">
        <f aca="false">VLOOKUP(B3056,Customers!$A$2:$G$502,6,FALSE())</f>
        <v>Corporate</v>
      </c>
      <c r="K3056" s="1" t="str">
        <f aca="false">VLOOKUP(C3056,Products!$A$2:$E$62,3,FALSE())</f>
        <v>Electronics</v>
      </c>
      <c r="L3056" s="1" t="str">
        <f aca="false">TEXT(D3056,"yyyy-mm")</f>
        <v>2024-04</v>
      </c>
    </row>
    <row r="3057" customFormat="false" ht="15" hidden="false" customHeight="true" outlineLevel="0" collapsed="false">
      <c r="A3057" s="1" t="n">
        <v>3125</v>
      </c>
      <c r="B3057" s="1" t="n">
        <v>115</v>
      </c>
      <c r="C3057" s="1" t="n">
        <v>49</v>
      </c>
      <c r="D3057" s="1" t="s">
        <v>1348</v>
      </c>
      <c r="E3057" s="1" t="n">
        <v>2</v>
      </c>
      <c r="F3057" s="1" t="n">
        <v>325.17</v>
      </c>
      <c r="G3057" s="1" t="n">
        <v>0.1</v>
      </c>
      <c r="H3057" s="1" t="s">
        <v>1336</v>
      </c>
      <c r="I3057" s="1" t="n">
        <v>585.31</v>
      </c>
      <c r="J3057" s="1" t="str">
        <f aca="false">VLOOKUP(B3057,Customers!$A$2:$G$502,6,FALSE())</f>
        <v>Small Business</v>
      </c>
      <c r="K3057" s="1" t="str">
        <f aca="false">VLOOKUP(C3057,Products!$A$2:$E$62,3,FALSE())</f>
        <v>Software</v>
      </c>
      <c r="L3057" s="1" t="str">
        <f aca="false">TEXT(D3057,"yyyy-mm")</f>
        <v>2024-05</v>
      </c>
    </row>
    <row r="3058" customFormat="false" ht="15" hidden="false" customHeight="true" outlineLevel="0" collapsed="false">
      <c r="A3058" s="1" t="n">
        <v>3126</v>
      </c>
      <c r="B3058" s="1" t="n">
        <v>372</v>
      </c>
      <c r="C3058" s="1" t="n">
        <v>58</v>
      </c>
      <c r="D3058" s="1" t="s">
        <v>629</v>
      </c>
      <c r="E3058" s="1" t="n">
        <v>4</v>
      </c>
      <c r="F3058" s="1" t="n">
        <v>515.55</v>
      </c>
      <c r="G3058" s="1" t="n">
        <v>0</v>
      </c>
      <c r="H3058" s="1" t="s">
        <v>1336</v>
      </c>
      <c r="I3058" s="1" t="n">
        <v>2062.2</v>
      </c>
      <c r="J3058" s="1" t="str">
        <f aca="false">VLOOKUP(B3058,Customers!$A$2:$G$502,6,FALSE())</f>
        <v>Corporate</v>
      </c>
      <c r="K3058" s="1" t="str">
        <f aca="false">VLOOKUP(C3058,Products!$A$2:$E$62,3,FALSE())</f>
        <v>Furniture</v>
      </c>
      <c r="L3058" s="1" t="str">
        <f aca="false">TEXT(D3058,"yyyy-mm")</f>
        <v>2023-04</v>
      </c>
    </row>
    <row r="3059" customFormat="false" ht="15" hidden="false" customHeight="true" outlineLevel="0" collapsed="false">
      <c r="A3059" s="1" t="n">
        <v>3127</v>
      </c>
      <c r="B3059" s="1" t="n">
        <v>445</v>
      </c>
      <c r="C3059" s="1" t="n">
        <v>11</v>
      </c>
      <c r="D3059" s="1" t="s">
        <v>106</v>
      </c>
      <c r="E3059" s="1" t="n">
        <v>4</v>
      </c>
      <c r="F3059" s="1" t="n">
        <v>328.39</v>
      </c>
      <c r="G3059" s="1" t="n">
        <v>0</v>
      </c>
      <c r="H3059" s="1" t="s">
        <v>1336</v>
      </c>
      <c r="I3059" s="1" t="n">
        <v>1313.56</v>
      </c>
      <c r="J3059" s="1" t="str">
        <f aca="false">VLOOKUP(B3059,Customers!$A$2:$G$502,6,FALSE())</f>
        <v>Small Business</v>
      </c>
      <c r="K3059" s="1" t="str">
        <f aca="false">VLOOKUP(C3059,Products!$A$2:$E$62,3,FALSE())</f>
        <v>Electronics</v>
      </c>
      <c r="L3059" s="1" t="str">
        <f aca="false">TEXT(D3059,"yyyy-mm")</f>
        <v>2024-02</v>
      </c>
    </row>
    <row r="3060" customFormat="false" ht="15" hidden="false" customHeight="true" outlineLevel="0" collapsed="false">
      <c r="A3060" s="1" t="n">
        <v>3128</v>
      </c>
      <c r="B3060" s="1" t="n">
        <v>431</v>
      </c>
      <c r="C3060" s="1" t="n">
        <v>44</v>
      </c>
      <c r="D3060" s="1" t="s">
        <v>1054</v>
      </c>
      <c r="E3060" s="1" t="n">
        <v>5</v>
      </c>
      <c r="F3060" s="1" t="n">
        <v>508.26</v>
      </c>
      <c r="G3060" s="1" t="n">
        <v>0</v>
      </c>
      <c r="H3060" s="1" t="s">
        <v>1336</v>
      </c>
      <c r="I3060" s="1" t="n">
        <v>2541.3</v>
      </c>
      <c r="J3060" s="1" t="str">
        <f aca="false">VLOOKUP(B3060,Customers!$A$2:$G$502,6,FALSE())</f>
        <v>Consumer</v>
      </c>
      <c r="K3060" s="1" t="str">
        <f aca="false">VLOOKUP(C3060,Products!$A$2:$E$62,3,FALSE())</f>
        <v>Software</v>
      </c>
      <c r="L3060" s="1" t="str">
        <f aca="false">TEXT(D3060,"yyyy-mm")</f>
        <v>2024-01</v>
      </c>
    </row>
    <row r="3061" customFormat="false" ht="15" hidden="false" customHeight="true" outlineLevel="0" collapsed="false">
      <c r="A3061" s="1" t="n">
        <v>3129</v>
      </c>
      <c r="B3061" s="1" t="n">
        <v>254</v>
      </c>
      <c r="C3061" s="1" t="n">
        <v>15</v>
      </c>
      <c r="D3061" s="1" t="s">
        <v>1652</v>
      </c>
      <c r="E3061" s="1" t="n">
        <v>2</v>
      </c>
      <c r="F3061" s="1" t="n">
        <v>304.95</v>
      </c>
      <c r="G3061" s="1" t="n">
        <v>0</v>
      </c>
      <c r="H3061" s="1" t="s">
        <v>1336</v>
      </c>
      <c r="I3061" s="1" t="n">
        <v>609.9</v>
      </c>
      <c r="J3061" s="1" t="str">
        <f aca="false">VLOOKUP(B3061,Customers!$A$2:$G$502,6,FALSE())</f>
        <v>Small Business</v>
      </c>
      <c r="K3061" s="1" t="str">
        <f aca="false">VLOOKUP(C3061,Products!$A$2:$E$62,3,FALSE())</f>
        <v>Electronics</v>
      </c>
      <c r="L3061" s="1" t="str">
        <f aca="false">TEXT(D3061,"yyyy-mm")</f>
        <v>2024-06</v>
      </c>
    </row>
    <row r="3062" customFormat="false" ht="15" hidden="false" customHeight="true" outlineLevel="0" collapsed="false">
      <c r="A3062" s="1" t="n">
        <v>3130</v>
      </c>
      <c r="B3062" s="1" t="n">
        <v>42</v>
      </c>
      <c r="C3062" s="1" t="n">
        <v>17</v>
      </c>
      <c r="D3062" s="1" t="s">
        <v>1120</v>
      </c>
      <c r="E3062" s="1" t="n">
        <v>4</v>
      </c>
      <c r="F3062" s="1" t="n">
        <v>65.61</v>
      </c>
      <c r="G3062" s="1" t="n">
        <v>0.2</v>
      </c>
      <c r="H3062" s="1" t="s">
        <v>1336</v>
      </c>
      <c r="I3062" s="1" t="n">
        <v>209.95</v>
      </c>
      <c r="J3062" s="1" t="str">
        <f aca="false">VLOOKUP(B3062,Customers!$A$2:$G$502,6,FALSE())</f>
        <v>Small Business</v>
      </c>
      <c r="K3062" s="1" t="str">
        <f aca="false">VLOOKUP(C3062,Products!$A$2:$E$62,3,FALSE())</f>
        <v>Electronics</v>
      </c>
      <c r="L3062" s="1" t="str">
        <f aca="false">TEXT(D3062,"yyyy-mm")</f>
        <v>2024-10</v>
      </c>
    </row>
    <row r="3063" customFormat="false" ht="15" hidden="false" customHeight="true" outlineLevel="0" collapsed="false">
      <c r="A3063" s="1" t="n">
        <v>3131</v>
      </c>
      <c r="B3063" s="1" t="n">
        <v>42</v>
      </c>
      <c r="C3063" s="1" t="n">
        <v>38</v>
      </c>
      <c r="D3063" s="1" t="s">
        <v>1579</v>
      </c>
      <c r="E3063" s="1" t="n">
        <v>1</v>
      </c>
      <c r="F3063" s="1" t="n">
        <v>521.63</v>
      </c>
      <c r="G3063" s="1" t="n">
        <v>0</v>
      </c>
      <c r="H3063" s="1" t="s">
        <v>1336</v>
      </c>
      <c r="I3063" s="1" t="n">
        <v>521.63</v>
      </c>
      <c r="J3063" s="1" t="str">
        <f aca="false">VLOOKUP(B3063,Customers!$A$2:$G$502,6,FALSE())</f>
        <v>Small Business</v>
      </c>
      <c r="K3063" s="1" t="str">
        <f aca="false">VLOOKUP(C3063,Products!$A$2:$E$62,3,FALSE())</f>
        <v>Software</v>
      </c>
      <c r="L3063" s="1" t="str">
        <f aca="false">TEXT(D3063,"yyyy-mm")</f>
        <v>2023-08</v>
      </c>
    </row>
    <row r="3064" customFormat="false" ht="15" hidden="false" customHeight="true" outlineLevel="0" collapsed="false">
      <c r="A3064" s="1" t="n">
        <v>3132</v>
      </c>
      <c r="B3064" s="1" t="n">
        <v>425</v>
      </c>
      <c r="C3064" s="1" t="n">
        <v>23</v>
      </c>
      <c r="D3064" s="1" t="s">
        <v>813</v>
      </c>
      <c r="E3064" s="1" t="n">
        <v>2</v>
      </c>
      <c r="F3064" s="1" t="n">
        <v>188.73</v>
      </c>
      <c r="G3064" s="1" t="n">
        <v>0.2</v>
      </c>
      <c r="H3064" s="1" t="s">
        <v>1336</v>
      </c>
      <c r="I3064" s="1" t="n">
        <v>301.97</v>
      </c>
      <c r="J3064" s="1" t="str">
        <f aca="false">VLOOKUP(B3064,Customers!$A$2:$G$502,6,FALSE())</f>
        <v>Unknown</v>
      </c>
      <c r="K3064" s="1" t="str">
        <f aca="false">VLOOKUP(C3064,Products!$A$2:$E$62,3,FALSE())</f>
        <v>Office Supplies</v>
      </c>
      <c r="L3064" s="1" t="str">
        <f aca="false">TEXT(D3064,"yyyy-mm")</f>
        <v>2023-11</v>
      </c>
    </row>
    <row r="3065" customFormat="false" ht="15" hidden="false" customHeight="true" outlineLevel="0" collapsed="false">
      <c r="A3065" s="1" t="n">
        <v>3133</v>
      </c>
      <c r="B3065" s="1" t="n">
        <v>214</v>
      </c>
      <c r="C3065" s="1" t="n">
        <v>9</v>
      </c>
      <c r="D3065" s="1" t="s">
        <v>1383</v>
      </c>
      <c r="E3065" s="1" t="n">
        <v>1</v>
      </c>
      <c r="F3065" s="1" t="n">
        <v>203.1</v>
      </c>
      <c r="G3065" s="1" t="n">
        <v>0</v>
      </c>
      <c r="H3065" s="1" t="s">
        <v>1336</v>
      </c>
      <c r="I3065" s="1" t="n">
        <v>203.1</v>
      </c>
      <c r="J3065" s="1" t="str">
        <f aca="false">VLOOKUP(B3065,Customers!$A$2:$G$502,6,FALSE())</f>
        <v>Corporate</v>
      </c>
      <c r="K3065" s="1" t="str">
        <f aca="false">VLOOKUP(C3065,Products!$A$2:$E$62,3,FALSE())</f>
        <v>Electronics</v>
      </c>
      <c r="L3065" s="1" t="str">
        <f aca="false">TEXT(D3065,"yyyy-mm")</f>
        <v>2024-04</v>
      </c>
    </row>
    <row r="3066" customFormat="false" ht="15" hidden="false" customHeight="true" outlineLevel="0" collapsed="false">
      <c r="A3066" s="1" t="n">
        <v>3134</v>
      </c>
      <c r="B3066" s="1" t="n">
        <v>129</v>
      </c>
      <c r="C3066" s="1" t="n">
        <v>25</v>
      </c>
      <c r="D3066" s="1" t="s">
        <v>1617</v>
      </c>
      <c r="E3066" s="1" t="n">
        <v>4</v>
      </c>
      <c r="F3066" s="1" t="n">
        <v>300.49</v>
      </c>
      <c r="G3066" s="1" t="n">
        <v>0.2</v>
      </c>
      <c r="H3066" s="1" t="s">
        <v>1336</v>
      </c>
      <c r="I3066" s="1" t="n">
        <v>961.57</v>
      </c>
      <c r="J3066" s="1" t="str">
        <f aca="false">VLOOKUP(B3066,Customers!$A$2:$G$502,6,FALSE())</f>
        <v>Corporate</v>
      </c>
      <c r="K3066" s="1" t="str">
        <f aca="false">VLOOKUP(C3066,Products!$A$2:$E$62,3,FALSE())</f>
        <v>Office Supplies</v>
      </c>
      <c r="L3066" s="1" t="str">
        <f aca="false">TEXT(D3066,"yyyy-mm")</f>
        <v>2023-04</v>
      </c>
    </row>
    <row r="3067" customFormat="false" ht="15" hidden="false" customHeight="true" outlineLevel="0" collapsed="false">
      <c r="A3067" s="1" t="n">
        <v>3135</v>
      </c>
      <c r="B3067" s="1" t="n">
        <v>494</v>
      </c>
      <c r="C3067" s="1" t="n">
        <v>28</v>
      </c>
      <c r="D3067" s="1" t="s">
        <v>887</v>
      </c>
      <c r="E3067" s="1" t="n">
        <v>4</v>
      </c>
      <c r="F3067" s="1" t="n">
        <v>505.23</v>
      </c>
      <c r="G3067" s="1" t="n">
        <v>0.2</v>
      </c>
      <c r="H3067" s="1" t="s">
        <v>1336</v>
      </c>
      <c r="I3067" s="1" t="n">
        <v>1616.74</v>
      </c>
      <c r="J3067" s="1" t="str">
        <f aca="false">VLOOKUP(B3067,Customers!$A$2:$G$502,6,FALSE())</f>
        <v>Corporate</v>
      </c>
      <c r="K3067" s="1" t="str">
        <f aca="false">VLOOKUP(C3067,Products!$A$2:$E$62,3,FALSE())</f>
        <v>Office Supplies</v>
      </c>
      <c r="L3067" s="1" t="str">
        <f aca="false">TEXT(D3067,"yyyy-mm")</f>
        <v>2023-06</v>
      </c>
    </row>
    <row r="3068" customFormat="false" ht="15" hidden="false" customHeight="true" outlineLevel="0" collapsed="false">
      <c r="A3068" s="1" t="n">
        <v>3136</v>
      </c>
      <c r="B3068" s="1" t="n">
        <v>264</v>
      </c>
      <c r="C3068" s="1" t="n">
        <v>17</v>
      </c>
      <c r="D3068" s="1" t="s">
        <v>659</v>
      </c>
      <c r="E3068" s="1" t="n">
        <v>7</v>
      </c>
      <c r="F3068" s="1" t="n">
        <v>65.61</v>
      </c>
      <c r="G3068" s="1" t="n">
        <v>0</v>
      </c>
      <c r="H3068" s="1" t="s">
        <v>1336</v>
      </c>
      <c r="I3068" s="1" t="n">
        <v>459.27</v>
      </c>
      <c r="J3068" s="1" t="str">
        <f aca="false">VLOOKUP(B3068,Customers!$A$2:$G$502,6,FALSE())</f>
        <v>Small Business</v>
      </c>
      <c r="K3068" s="1" t="str">
        <f aca="false">VLOOKUP(C3068,Products!$A$2:$E$62,3,FALSE())</f>
        <v>Electronics</v>
      </c>
      <c r="L3068" s="1" t="str">
        <f aca="false">TEXT(D3068,"yyyy-mm")</f>
        <v>2024-06</v>
      </c>
    </row>
    <row r="3069" customFormat="false" ht="15" hidden="false" customHeight="true" outlineLevel="0" collapsed="false">
      <c r="A3069" s="1" t="n">
        <v>3137</v>
      </c>
      <c r="B3069" s="1" t="n">
        <v>302</v>
      </c>
      <c r="C3069" s="1" t="n">
        <v>40</v>
      </c>
      <c r="D3069" s="1" t="s">
        <v>1674</v>
      </c>
      <c r="E3069" s="1" t="n">
        <v>9</v>
      </c>
      <c r="F3069" s="1" t="n">
        <v>193.02</v>
      </c>
      <c r="G3069" s="1" t="n">
        <v>0.05</v>
      </c>
      <c r="H3069" s="1" t="s">
        <v>1336</v>
      </c>
      <c r="I3069" s="1" t="n">
        <v>1650.32</v>
      </c>
      <c r="J3069" s="1" t="str">
        <f aca="false">VLOOKUP(B3069,Customers!$A$2:$G$502,6,FALSE())</f>
        <v>Corporate</v>
      </c>
      <c r="K3069" s="1" t="str">
        <f aca="false">VLOOKUP(C3069,Products!$A$2:$E$62,3,FALSE())</f>
        <v>Software</v>
      </c>
      <c r="L3069" s="1" t="str">
        <f aca="false">TEXT(D3069,"yyyy-mm")</f>
        <v>2023-03</v>
      </c>
    </row>
    <row r="3070" customFormat="false" ht="15" hidden="false" customHeight="true" outlineLevel="0" collapsed="false">
      <c r="A3070" s="1" t="n">
        <v>3138</v>
      </c>
      <c r="B3070" s="1" t="n">
        <v>405</v>
      </c>
      <c r="C3070" s="1" t="n">
        <v>55</v>
      </c>
      <c r="D3070" s="1" t="s">
        <v>1267</v>
      </c>
      <c r="E3070" s="1" t="n">
        <v>9</v>
      </c>
      <c r="F3070" s="1" t="n">
        <v>123.38</v>
      </c>
      <c r="G3070" s="1" t="n">
        <v>0.1</v>
      </c>
      <c r="H3070" s="1" t="s">
        <v>1336</v>
      </c>
      <c r="I3070" s="1" t="n">
        <v>999.38</v>
      </c>
      <c r="J3070" s="1" t="str">
        <f aca="false">VLOOKUP(B3070,Customers!$A$2:$G$502,6,FALSE())</f>
        <v>Small Business</v>
      </c>
      <c r="K3070" s="1" t="str">
        <f aca="false">VLOOKUP(C3070,Products!$A$2:$E$62,3,FALSE())</f>
        <v>Furniture</v>
      </c>
      <c r="L3070" s="1" t="str">
        <f aca="false">TEXT(D3070,"yyyy-mm")</f>
        <v>2023-08</v>
      </c>
    </row>
    <row r="3071" customFormat="false" ht="15" hidden="false" customHeight="true" outlineLevel="0" collapsed="false">
      <c r="A3071" s="1" t="n">
        <v>3139</v>
      </c>
      <c r="B3071" s="1" t="n">
        <v>31</v>
      </c>
      <c r="C3071" s="1" t="n">
        <v>20</v>
      </c>
      <c r="D3071" s="1" t="s">
        <v>1408</v>
      </c>
      <c r="E3071" s="1" t="n">
        <v>5</v>
      </c>
      <c r="F3071" s="1" t="n">
        <v>426.15</v>
      </c>
      <c r="G3071" s="1" t="n">
        <v>0</v>
      </c>
      <c r="H3071" s="1" t="s">
        <v>1336</v>
      </c>
      <c r="I3071" s="1" t="n">
        <v>2130.75</v>
      </c>
      <c r="J3071" s="1" t="str">
        <f aca="false">VLOOKUP(B3071,Customers!$A$2:$G$502,6,FALSE())</f>
        <v>Consumer</v>
      </c>
      <c r="K3071" s="1" t="str">
        <f aca="false">VLOOKUP(C3071,Products!$A$2:$E$62,3,FALSE())</f>
        <v>Office Supplies</v>
      </c>
      <c r="L3071" s="1" t="str">
        <f aca="false">TEXT(D3071,"yyyy-mm")</f>
        <v>2023-12</v>
      </c>
    </row>
    <row r="3072" customFormat="false" ht="15" hidden="false" customHeight="true" outlineLevel="0" collapsed="false">
      <c r="A3072" s="1" t="n">
        <v>3140</v>
      </c>
      <c r="B3072" s="1" t="n">
        <v>470</v>
      </c>
      <c r="C3072" s="1" t="n">
        <v>53</v>
      </c>
      <c r="D3072" s="1" t="s">
        <v>81</v>
      </c>
      <c r="E3072" s="1" t="n">
        <v>1</v>
      </c>
      <c r="F3072" s="1" t="n">
        <v>509.98</v>
      </c>
      <c r="G3072" s="1" t="n">
        <v>0.15</v>
      </c>
      <c r="H3072" s="1" t="s">
        <v>1336</v>
      </c>
      <c r="I3072" s="1" t="n">
        <v>433.48</v>
      </c>
      <c r="J3072" s="1" t="str">
        <f aca="false">VLOOKUP(B3072,Customers!$A$2:$G$502,6,FALSE())</f>
        <v>Corporate</v>
      </c>
      <c r="K3072" s="1" t="str">
        <f aca="false">VLOOKUP(C3072,Products!$A$2:$E$62,3,FALSE())</f>
        <v>Software</v>
      </c>
      <c r="L3072" s="1" t="str">
        <f aca="false">TEXT(D3072,"yyyy-mm")</f>
        <v>2023-05</v>
      </c>
    </row>
    <row r="3073" customFormat="false" ht="15" hidden="false" customHeight="true" outlineLevel="0" collapsed="false">
      <c r="A3073" s="1" t="n">
        <v>3141</v>
      </c>
      <c r="B3073" s="1" t="n">
        <v>486</v>
      </c>
      <c r="C3073" s="1" t="n">
        <v>12</v>
      </c>
      <c r="D3073" s="1" t="s">
        <v>419</v>
      </c>
      <c r="E3073" s="1" t="n">
        <v>1</v>
      </c>
      <c r="F3073" s="1" t="n">
        <v>179.23</v>
      </c>
      <c r="G3073" s="1" t="n">
        <v>0</v>
      </c>
      <c r="H3073" s="1" t="s">
        <v>1336</v>
      </c>
      <c r="I3073" s="1" t="n">
        <v>179.23</v>
      </c>
      <c r="J3073" s="1" t="str">
        <f aca="false">VLOOKUP(B3073,Customers!$A$2:$G$502,6,FALSE())</f>
        <v>Corporate</v>
      </c>
      <c r="K3073" s="1" t="str">
        <f aca="false">VLOOKUP(C3073,Products!$A$2:$E$62,3,FALSE())</f>
        <v>Electronics</v>
      </c>
      <c r="L3073" s="1" t="str">
        <f aca="false">TEXT(D3073,"yyyy-mm")</f>
        <v>2023-08</v>
      </c>
    </row>
    <row r="3074" customFormat="false" ht="15" hidden="false" customHeight="true" outlineLevel="0" collapsed="false">
      <c r="A3074" s="1" t="n">
        <v>3142</v>
      </c>
      <c r="B3074" s="1" t="n">
        <v>491</v>
      </c>
      <c r="C3074" s="1" t="n">
        <v>3</v>
      </c>
      <c r="D3074" s="1" t="s">
        <v>601</v>
      </c>
      <c r="E3074" s="1" t="n">
        <v>6</v>
      </c>
      <c r="F3074" s="1" t="n">
        <v>89.39</v>
      </c>
      <c r="G3074" s="1" t="n">
        <v>0.1</v>
      </c>
      <c r="H3074" s="1" t="s">
        <v>1336</v>
      </c>
      <c r="I3074" s="1" t="n">
        <v>482.71</v>
      </c>
      <c r="J3074" s="1" t="str">
        <f aca="false">VLOOKUP(B3074,Customers!$A$2:$G$502,6,FALSE())</f>
        <v>Small Business</v>
      </c>
      <c r="K3074" s="1" t="str">
        <f aca="false">VLOOKUP(C3074,Products!$A$2:$E$62,3,FALSE())</f>
        <v>Electronics</v>
      </c>
      <c r="L3074" s="1" t="str">
        <f aca="false">TEXT(D3074,"yyyy-mm")</f>
        <v>2023-11</v>
      </c>
    </row>
    <row r="3075" customFormat="false" ht="15" hidden="false" customHeight="true" outlineLevel="0" collapsed="false">
      <c r="A3075" s="1" t="n">
        <v>3143</v>
      </c>
      <c r="B3075" s="1" t="n">
        <v>30</v>
      </c>
      <c r="C3075" s="1" t="n">
        <v>10</v>
      </c>
      <c r="D3075" s="1" t="s">
        <v>1600</v>
      </c>
      <c r="E3075" s="1" t="n">
        <v>2</v>
      </c>
      <c r="F3075" s="1" t="n">
        <v>251.58</v>
      </c>
      <c r="G3075" s="1" t="n">
        <v>0.1</v>
      </c>
      <c r="H3075" s="1" t="s">
        <v>1336</v>
      </c>
      <c r="I3075" s="1" t="n">
        <v>452.84</v>
      </c>
      <c r="J3075" s="1" t="str">
        <f aca="false">VLOOKUP(B3075,Customers!$A$2:$G$502,6,FALSE())</f>
        <v>Unknown</v>
      </c>
      <c r="K3075" s="1" t="str">
        <f aca="false">VLOOKUP(C3075,Products!$A$2:$E$62,3,FALSE())</f>
        <v>Electronics</v>
      </c>
      <c r="L3075" s="1" t="str">
        <f aca="false">TEXT(D3075,"yyyy-mm")</f>
        <v>2024-01</v>
      </c>
    </row>
    <row r="3076" customFormat="false" ht="15" hidden="false" customHeight="true" outlineLevel="0" collapsed="false">
      <c r="A3076" s="1" t="n">
        <v>3144</v>
      </c>
      <c r="B3076" s="1" t="n">
        <v>75</v>
      </c>
      <c r="C3076" s="1" t="n">
        <v>36</v>
      </c>
      <c r="D3076" s="1" t="s">
        <v>289</v>
      </c>
      <c r="E3076" s="1" t="n">
        <v>8</v>
      </c>
      <c r="F3076" s="1" t="n">
        <v>424.45</v>
      </c>
      <c r="G3076" s="1" t="n">
        <v>0.2</v>
      </c>
      <c r="H3076" s="1" t="s">
        <v>1336</v>
      </c>
      <c r="I3076" s="1" t="n">
        <v>2716.48</v>
      </c>
      <c r="J3076" s="1" t="str">
        <f aca="false">VLOOKUP(B3076,Customers!$A$2:$G$502,6,FALSE())</f>
        <v>Consumer</v>
      </c>
      <c r="K3076" s="1" t="str">
        <f aca="false">VLOOKUP(C3076,Products!$A$2:$E$62,3,FALSE())</f>
        <v>Software</v>
      </c>
      <c r="L3076" s="1" t="str">
        <f aca="false">TEXT(D3076,"yyyy-mm")</f>
        <v>2023-06</v>
      </c>
    </row>
    <row r="3077" customFormat="false" ht="15" hidden="false" customHeight="true" outlineLevel="0" collapsed="false">
      <c r="A3077" s="1" t="n">
        <v>3145</v>
      </c>
      <c r="B3077" s="1" t="n">
        <v>393</v>
      </c>
      <c r="C3077" s="1" t="n">
        <v>24</v>
      </c>
      <c r="D3077" s="1" t="s">
        <v>1442</v>
      </c>
      <c r="E3077" s="1" t="n">
        <v>9</v>
      </c>
      <c r="F3077" s="1" t="n">
        <v>207.34</v>
      </c>
      <c r="G3077" s="1" t="n">
        <v>0.05</v>
      </c>
      <c r="H3077" s="1" t="s">
        <v>1336</v>
      </c>
      <c r="I3077" s="1" t="n">
        <v>1772.76</v>
      </c>
      <c r="J3077" s="1" t="str">
        <f aca="false">VLOOKUP(B3077,Customers!$A$2:$G$502,6,FALSE())</f>
        <v>Consumer</v>
      </c>
      <c r="K3077" s="1" t="str">
        <f aca="false">VLOOKUP(C3077,Products!$A$2:$E$62,3,FALSE())</f>
        <v>Office Supplies</v>
      </c>
      <c r="L3077" s="1" t="str">
        <f aca="false">TEXT(D3077,"yyyy-mm")</f>
        <v>2024-03</v>
      </c>
    </row>
    <row r="3078" customFormat="false" ht="15" hidden="false" customHeight="true" outlineLevel="0" collapsed="false">
      <c r="A3078" s="1" t="n">
        <v>3146</v>
      </c>
      <c r="B3078" s="1" t="n">
        <v>150</v>
      </c>
      <c r="C3078" s="1" t="n">
        <v>38</v>
      </c>
      <c r="D3078" s="1" t="s">
        <v>1645</v>
      </c>
      <c r="E3078" s="1" t="n">
        <v>4</v>
      </c>
      <c r="F3078" s="1" t="n">
        <v>521.63</v>
      </c>
      <c r="G3078" s="1" t="n">
        <v>0.15</v>
      </c>
      <c r="H3078" s="1" t="s">
        <v>1336</v>
      </c>
      <c r="I3078" s="1" t="n">
        <v>1773.54</v>
      </c>
      <c r="J3078" s="1" t="str">
        <f aca="false">VLOOKUP(B3078,Customers!$A$2:$G$502,6,FALSE())</f>
        <v>Corporate</v>
      </c>
      <c r="K3078" s="1" t="str">
        <f aca="false">VLOOKUP(C3078,Products!$A$2:$E$62,3,FALSE())</f>
        <v>Software</v>
      </c>
      <c r="L3078" s="1" t="str">
        <f aca="false">TEXT(D3078,"yyyy-mm")</f>
        <v>2023-01</v>
      </c>
    </row>
    <row r="3079" customFormat="false" ht="15" hidden="false" customHeight="true" outlineLevel="0" collapsed="false">
      <c r="A3079" s="1" t="n">
        <v>3147</v>
      </c>
      <c r="B3079" s="1" t="n">
        <v>363</v>
      </c>
      <c r="C3079" s="1" t="n">
        <v>13</v>
      </c>
      <c r="D3079" s="1" t="s">
        <v>1162</v>
      </c>
      <c r="E3079" s="1" t="n">
        <v>5</v>
      </c>
      <c r="F3079" s="1" t="n">
        <v>352.54</v>
      </c>
      <c r="G3079" s="1" t="n">
        <v>0</v>
      </c>
      <c r="H3079" s="1" t="s">
        <v>1336</v>
      </c>
      <c r="I3079" s="1" t="n">
        <v>1762.7</v>
      </c>
      <c r="J3079" s="1" t="str">
        <f aca="false">VLOOKUP(B3079,Customers!$A$2:$G$502,6,FALSE())</f>
        <v>Small Business</v>
      </c>
      <c r="K3079" s="1" t="str">
        <f aca="false">VLOOKUP(C3079,Products!$A$2:$E$62,3,FALSE())</f>
        <v>Electronics</v>
      </c>
      <c r="L3079" s="1" t="str">
        <f aca="false">TEXT(D3079,"yyyy-mm")</f>
        <v>2024-10</v>
      </c>
    </row>
    <row r="3080" customFormat="false" ht="15" hidden="false" customHeight="true" outlineLevel="0" collapsed="false">
      <c r="A3080" s="1" t="n">
        <v>3148</v>
      </c>
      <c r="B3080" s="1" t="n">
        <v>44</v>
      </c>
      <c r="C3080" s="1" t="n">
        <v>57</v>
      </c>
      <c r="D3080" s="1" t="s">
        <v>1697</v>
      </c>
      <c r="E3080" s="1" t="n">
        <v>8</v>
      </c>
      <c r="F3080" s="1" t="n">
        <v>719.76</v>
      </c>
      <c r="G3080" s="1" t="n">
        <v>0.15</v>
      </c>
      <c r="H3080" s="1" t="s">
        <v>1336</v>
      </c>
      <c r="I3080" s="1" t="n">
        <v>4894.37</v>
      </c>
      <c r="J3080" s="1" t="str">
        <f aca="false">VLOOKUP(B3080,Customers!$A$2:$G$502,6,FALSE())</f>
        <v>Consumer</v>
      </c>
      <c r="K3080" s="1" t="str">
        <f aca="false">VLOOKUP(C3080,Products!$A$2:$E$62,3,FALSE())</f>
        <v>Furniture</v>
      </c>
      <c r="L3080" s="1" t="str">
        <f aca="false">TEXT(D3080,"yyyy-mm")</f>
        <v>2023-02</v>
      </c>
    </row>
    <row r="3081" customFormat="false" ht="15" hidden="false" customHeight="true" outlineLevel="0" collapsed="false">
      <c r="A3081" s="1" t="n">
        <v>3149</v>
      </c>
      <c r="B3081" s="1" t="n">
        <v>61</v>
      </c>
      <c r="C3081" s="1" t="n">
        <v>44</v>
      </c>
      <c r="D3081" s="1" t="s">
        <v>713</v>
      </c>
      <c r="E3081" s="1" t="n">
        <v>3</v>
      </c>
      <c r="F3081" s="1" t="n">
        <v>508.26</v>
      </c>
      <c r="G3081" s="1" t="n">
        <v>0</v>
      </c>
      <c r="H3081" s="1" t="s">
        <v>1336</v>
      </c>
      <c r="I3081" s="1" t="n">
        <v>1524.78</v>
      </c>
      <c r="J3081" s="1" t="str">
        <f aca="false">VLOOKUP(B3081,Customers!$A$2:$G$502,6,FALSE())</f>
        <v>Small Business</v>
      </c>
      <c r="K3081" s="1" t="str">
        <f aca="false">VLOOKUP(C3081,Products!$A$2:$E$62,3,FALSE())</f>
        <v>Software</v>
      </c>
      <c r="L3081" s="1" t="str">
        <f aca="false">TEXT(D3081,"yyyy-mm")</f>
        <v>2024-10</v>
      </c>
    </row>
    <row r="3082" customFormat="false" ht="15" hidden="false" customHeight="true" outlineLevel="0" collapsed="false">
      <c r="A3082" s="1" t="n">
        <v>3150</v>
      </c>
      <c r="B3082" s="1" t="n">
        <v>345</v>
      </c>
      <c r="C3082" s="1" t="n">
        <v>60</v>
      </c>
      <c r="D3082" s="1" t="s">
        <v>552</v>
      </c>
      <c r="E3082" s="1" t="n">
        <v>5</v>
      </c>
      <c r="F3082" s="1" t="n">
        <v>584.98</v>
      </c>
      <c r="G3082" s="1" t="n">
        <v>0.1</v>
      </c>
      <c r="H3082" s="1" t="s">
        <v>1336</v>
      </c>
      <c r="I3082" s="1" t="n">
        <v>2632.41</v>
      </c>
      <c r="J3082" s="1" t="str">
        <f aca="false">VLOOKUP(B3082,Customers!$A$2:$G$502,6,FALSE())</f>
        <v>Corporate</v>
      </c>
      <c r="K3082" s="1" t="str">
        <f aca="false">VLOOKUP(C3082,Products!$A$2:$E$62,3,FALSE())</f>
        <v>Furniture</v>
      </c>
      <c r="L3082" s="1" t="str">
        <f aca="false">TEXT(D3082,"yyyy-mm")</f>
        <v>2024-04</v>
      </c>
    </row>
    <row r="3083" customFormat="false" ht="15" hidden="false" customHeight="true" outlineLevel="0" collapsed="false">
      <c r="A3083" s="1" t="n">
        <v>3151</v>
      </c>
      <c r="B3083" s="1" t="n">
        <v>466</v>
      </c>
      <c r="C3083" s="1" t="n">
        <v>29</v>
      </c>
      <c r="D3083" s="1" t="s">
        <v>1417</v>
      </c>
      <c r="E3083" s="1" t="n">
        <v>3</v>
      </c>
      <c r="F3083" s="1" t="n">
        <v>54.62</v>
      </c>
      <c r="G3083" s="1" t="n">
        <v>0.2</v>
      </c>
      <c r="H3083" s="1" t="s">
        <v>1336</v>
      </c>
      <c r="I3083" s="1" t="n">
        <v>131.09</v>
      </c>
      <c r="J3083" s="1" t="str">
        <f aca="false">VLOOKUP(B3083,Customers!$A$2:$G$502,6,FALSE())</f>
        <v>Consumer</v>
      </c>
      <c r="K3083" s="1" t="str">
        <f aca="false">VLOOKUP(C3083,Products!$A$2:$E$62,3,FALSE())</f>
        <v>Office Supplies</v>
      </c>
      <c r="L3083" s="1" t="str">
        <f aca="false">TEXT(D3083,"yyyy-mm")</f>
        <v>2023-08</v>
      </c>
    </row>
    <row r="3084" customFormat="false" ht="15" hidden="false" customHeight="true" outlineLevel="0" collapsed="false">
      <c r="A3084" s="1" t="n">
        <v>3152</v>
      </c>
      <c r="B3084" s="1" t="n">
        <v>43</v>
      </c>
      <c r="C3084" s="1" t="n">
        <v>48</v>
      </c>
      <c r="D3084" s="1" t="s">
        <v>742</v>
      </c>
      <c r="E3084" s="1" t="n">
        <v>3</v>
      </c>
      <c r="F3084" s="1" t="n">
        <v>493.53</v>
      </c>
      <c r="G3084" s="1" t="n">
        <v>0.15</v>
      </c>
      <c r="H3084" s="1" t="s">
        <v>1336</v>
      </c>
      <c r="I3084" s="1" t="n">
        <v>1258.5</v>
      </c>
      <c r="J3084" s="1" t="str">
        <f aca="false">VLOOKUP(B3084,Customers!$A$2:$G$502,6,FALSE())</f>
        <v>Small Business</v>
      </c>
      <c r="K3084" s="1" t="str">
        <f aca="false">VLOOKUP(C3084,Products!$A$2:$E$62,3,FALSE())</f>
        <v>Software</v>
      </c>
      <c r="L3084" s="1" t="str">
        <f aca="false">TEXT(D3084,"yyyy-mm")</f>
        <v>2023-02</v>
      </c>
    </row>
    <row r="3085" customFormat="false" ht="15" hidden="false" customHeight="true" outlineLevel="0" collapsed="false">
      <c r="A3085" s="1" t="n">
        <v>3153</v>
      </c>
      <c r="B3085" s="1" t="n">
        <v>304</v>
      </c>
      <c r="C3085" s="1" t="n">
        <v>36</v>
      </c>
      <c r="D3085" s="1" t="s">
        <v>1526</v>
      </c>
      <c r="E3085" s="1" t="n">
        <v>3</v>
      </c>
      <c r="F3085" s="1" t="n">
        <v>424.45</v>
      </c>
      <c r="G3085" s="1" t="n">
        <v>0.05</v>
      </c>
      <c r="H3085" s="1" t="s">
        <v>1336</v>
      </c>
      <c r="I3085" s="1" t="n">
        <v>1209.68</v>
      </c>
      <c r="J3085" s="1" t="str">
        <f aca="false">VLOOKUP(B3085,Customers!$A$2:$G$502,6,FALSE())</f>
        <v>Small Business</v>
      </c>
      <c r="K3085" s="1" t="str">
        <f aca="false">VLOOKUP(C3085,Products!$A$2:$E$62,3,FALSE())</f>
        <v>Software</v>
      </c>
      <c r="L3085" s="1" t="str">
        <f aca="false">TEXT(D3085,"yyyy-mm")</f>
        <v>2023-09</v>
      </c>
    </row>
    <row r="3086" customFormat="false" ht="15" hidden="false" customHeight="true" outlineLevel="0" collapsed="false">
      <c r="A3086" s="1" t="n">
        <v>3154</v>
      </c>
      <c r="B3086" s="1" t="n">
        <v>236</v>
      </c>
      <c r="C3086" s="1" t="n">
        <v>28</v>
      </c>
      <c r="D3086" s="1" t="s">
        <v>314</v>
      </c>
      <c r="E3086" s="1" t="n">
        <v>7</v>
      </c>
      <c r="F3086" s="1" t="n">
        <v>505.23</v>
      </c>
      <c r="G3086" s="1" t="n">
        <v>0</v>
      </c>
      <c r="H3086" s="1" t="s">
        <v>1336</v>
      </c>
      <c r="I3086" s="1" t="n">
        <v>3536.61</v>
      </c>
      <c r="J3086" s="1" t="str">
        <f aca="false">VLOOKUP(B3086,Customers!$A$2:$G$502,6,FALSE())</f>
        <v>Corporate</v>
      </c>
      <c r="K3086" s="1" t="str">
        <f aca="false">VLOOKUP(C3086,Products!$A$2:$E$62,3,FALSE())</f>
        <v>Office Supplies</v>
      </c>
      <c r="L3086" s="1" t="str">
        <f aca="false">TEXT(D3086,"yyyy-mm")</f>
        <v>2024-05</v>
      </c>
    </row>
    <row r="3087" customFormat="false" ht="15" hidden="false" customHeight="true" outlineLevel="0" collapsed="false">
      <c r="A3087" s="1" t="n">
        <v>3155</v>
      </c>
      <c r="B3087" s="1" t="n">
        <v>250</v>
      </c>
      <c r="C3087" s="1" t="n">
        <v>1</v>
      </c>
      <c r="D3087" s="1" t="s">
        <v>1442</v>
      </c>
      <c r="E3087" s="1" t="n">
        <v>7</v>
      </c>
      <c r="F3087" s="1" t="n">
        <v>327.32</v>
      </c>
      <c r="G3087" s="1" t="n">
        <v>0.15</v>
      </c>
      <c r="H3087" s="1" t="s">
        <v>1336</v>
      </c>
      <c r="I3087" s="1" t="n">
        <v>1947.55</v>
      </c>
      <c r="J3087" s="1" t="str">
        <f aca="false">VLOOKUP(B3087,Customers!$A$2:$G$502,6,FALSE())</f>
        <v>Consumer</v>
      </c>
      <c r="K3087" s="1" t="str">
        <f aca="false">VLOOKUP(C3087,Products!$A$2:$E$62,3,FALSE())</f>
        <v>Electronics</v>
      </c>
      <c r="L3087" s="1" t="str">
        <f aca="false">TEXT(D3087,"yyyy-mm")</f>
        <v>2024-03</v>
      </c>
    </row>
    <row r="3088" customFormat="false" ht="15" hidden="false" customHeight="true" outlineLevel="0" collapsed="false">
      <c r="A3088" s="1" t="n">
        <v>3156</v>
      </c>
      <c r="B3088" s="1" t="n">
        <v>42</v>
      </c>
      <c r="C3088" s="1" t="n">
        <v>24</v>
      </c>
      <c r="D3088" s="1" t="s">
        <v>1574</v>
      </c>
      <c r="E3088" s="1" t="n">
        <v>7</v>
      </c>
      <c r="F3088" s="1" t="n">
        <v>207.34</v>
      </c>
      <c r="G3088" s="1" t="n">
        <v>0</v>
      </c>
      <c r="H3088" s="1" t="s">
        <v>1336</v>
      </c>
      <c r="I3088" s="1" t="n">
        <v>1451.38</v>
      </c>
      <c r="J3088" s="1" t="str">
        <f aca="false">VLOOKUP(B3088,Customers!$A$2:$G$502,6,FALSE())</f>
        <v>Small Business</v>
      </c>
      <c r="K3088" s="1" t="str">
        <f aca="false">VLOOKUP(C3088,Products!$A$2:$E$62,3,FALSE())</f>
        <v>Office Supplies</v>
      </c>
      <c r="L3088" s="1" t="str">
        <f aca="false">TEXT(D3088,"yyyy-mm")</f>
        <v>2023-07</v>
      </c>
    </row>
    <row r="3089" customFormat="false" ht="15" hidden="false" customHeight="true" outlineLevel="0" collapsed="false">
      <c r="A3089" s="1" t="n">
        <v>3157</v>
      </c>
      <c r="B3089" s="1" t="n">
        <v>4</v>
      </c>
      <c r="C3089" s="1" t="n">
        <v>9</v>
      </c>
      <c r="D3089" s="1" t="s">
        <v>245</v>
      </c>
      <c r="E3089" s="1" t="n">
        <v>8</v>
      </c>
      <c r="F3089" s="1" t="n">
        <v>203.1</v>
      </c>
      <c r="G3089" s="1" t="n">
        <v>0.05</v>
      </c>
      <c r="H3089" s="1" t="s">
        <v>1336</v>
      </c>
      <c r="I3089" s="1" t="n">
        <v>1543.56</v>
      </c>
      <c r="J3089" s="1" t="str">
        <f aca="false">VLOOKUP(B3089,Customers!$A$2:$G$502,6,FALSE())</f>
        <v>Consumer</v>
      </c>
      <c r="K3089" s="1" t="str">
        <f aca="false">VLOOKUP(C3089,Products!$A$2:$E$62,3,FALSE())</f>
        <v>Electronics</v>
      </c>
      <c r="L3089" s="1" t="str">
        <f aca="false">TEXT(D3089,"yyyy-mm")</f>
        <v>2024-10</v>
      </c>
    </row>
    <row r="3090" customFormat="false" ht="15" hidden="false" customHeight="true" outlineLevel="0" collapsed="false">
      <c r="A3090" s="1" t="n">
        <v>3158</v>
      </c>
      <c r="B3090" s="1" t="n">
        <v>18</v>
      </c>
      <c r="C3090" s="1" t="n">
        <v>57</v>
      </c>
      <c r="D3090" s="1" t="s">
        <v>1417</v>
      </c>
      <c r="E3090" s="1" t="n">
        <v>5</v>
      </c>
      <c r="F3090" s="1" t="n">
        <v>719.76</v>
      </c>
      <c r="G3090" s="1" t="n">
        <v>0.15</v>
      </c>
      <c r="H3090" s="1" t="s">
        <v>1370</v>
      </c>
      <c r="I3090" s="1" t="n">
        <v>3058.98</v>
      </c>
      <c r="J3090" s="1" t="str">
        <f aca="false">VLOOKUP(B3090,Customers!$A$2:$G$502,6,FALSE())</f>
        <v>Corporate</v>
      </c>
      <c r="K3090" s="1" t="str">
        <f aca="false">VLOOKUP(C3090,Products!$A$2:$E$62,3,FALSE())</f>
        <v>Furniture</v>
      </c>
      <c r="L3090" s="1" t="str">
        <f aca="false">TEXT(D3090,"yyyy-mm")</f>
        <v>2023-08</v>
      </c>
    </row>
    <row r="3091" customFormat="false" ht="15" hidden="false" customHeight="true" outlineLevel="0" collapsed="false">
      <c r="A3091" s="1" t="n">
        <v>3159</v>
      </c>
      <c r="B3091" s="1" t="n">
        <v>162</v>
      </c>
      <c r="C3091" s="1" t="n">
        <v>33</v>
      </c>
      <c r="D3091" s="1" t="s">
        <v>159</v>
      </c>
      <c r="E3091" s="1" t="n">
        <v>5</v>
      </c>
      <c r="F3091" s="1" t="n">
        <v>190.1</v>
      </c>
      <c r="G3091" s="1" t="n">
        <v>0.05</v>
      </c>
      <c r="H3091" s="1" t="s">
        <v>1336</v>
      </c>
      <c r="I3091" s="1" t="n">
        <v>902.97</v>
      </c>
      <c r="J3091" s="1" t="str">
        <f aca="false">VLOOKUP(B3091,Customers!$A$2:$G$502,6,FALSE())</f>
        <v>Small Business</v>
      </c>
      <c r="K3091" s="1" t="str">
        <f aca="false">VLOOKUP(C3091,Products!$A$2:$E$62,3,FALSE())</f>
        <v>Office Supplies</v>
      </c>
      <c r="L3091" s="1" t="str">
        <f aca="false">TEXT(D3091,"yyyy-mm")</f>
        <v>2024-02</v>
      </c>
    </row>
    <row r="3092" customFormat="false" ht="15" hidden="false" customHeight="true" outlineLevel="0" collapsed="false">
      <c r="A3092" s="1" t="n">
        <v>3160</v>
      </c>
      <c r="B3092" s="1" t="n">
        <v>5</v>
      </c>
      <c r="C3092" s="1" t="n">
        <v>39</v>
      </c>
      <c r="D3092" s="1" t="s">
        <v>1444</v>
      </c>
      <c r="E3092" s="1" t="n">
        <v>4</v>
      </c>
      <c r="F3092" s="1" t="n">
        <v>400.02</v>
      </c>
      <c r="G3092" s="1" t="n">
        <v>0</v>
      </c>
      <c r="H3092" s="1" t="s">
        <v>1336</v>
      </c>
      <c r="I3092" s="1" t="n">
        <v>1600.08</v>
      </c>
      <c r="J3092" s="1" t="str">
        <f aca="false">VLOOKUP(B3092,Customers!$A$2:$G$502,6,FALSE())</f>
        <v>Small Business</v>
      </c>
      <c r="K3092" s="1" t="str">
        <f aca="false">VLOOKUP(C3092,Products!$A$2:$E$62,3,FALSE())</f>
        <v>Software</v>
      </c>
      <c r="L3092" s="1" t="str">
        <f aca="false">TEXT(D3092,"yyyy-mm")</f>
        <v>2023-07</v>
      </c>
    </row>
    <row r="3093" customFormat="false" ht="15" hidden="false" customHeight="true" outlineLevel="0" collapsed="false">
      <c r="A3093" s="1" t="n">
        <v>3161</v>
      </c>
      <c r="B3093" s="1" t="n">
        <v>36</v>
      </c>
      <c r="C3093" s="1" t="n">
        <v>35</v>
      </c>
      <c r="D3093" s="1" t="s">
        <v>489</v>
      </c>
      <c r="E3093" s="1" t="n">
        <v>7</v>
      </c>
      <c r="F3093" s="1" t="n">
        <v>75.78</v>
      </c>
      <c r="G3093" s="1" t="n">
        <v>0.15</v>
      </c>
      <c r="H3093" s="1" t="s">
        <v>1336</v>
      </c>
      <c r="I3093" s="1" t="n">
        <v>450.89</v>
      </c>
      <c r="J3093" s="1" t="str">
        <f aca="false">VLOOKUP(B3093,Customers!$A$2:$G$502,6,FALSE())</f>
        <v>Consumer</v>
      </c>
      <c r="K3093" s="1" t="str">
        <f aca="false">VLOOKUP(C3093,Products!$A$2:$E$62,3,FALSE())</f>
        <v>Software</v>
      </c>
      <c r="L3093" s="1" t="str">
        <f aca="false">TEXT(D3093,"yyyy-mm")</f>
        <v>2024-12</v>
      </c>
    </row>
    <row r="3094" customFormat="false" ht="15" hidden="false" customHeight="true" outlineLevel="0" collapsed="false">
      <c r="A3094" s="1" t="n">
        <v>3162</v>
      </c>
      <c r="B3094" s="1" t="n">
        <v>39</v>
      </c>
      <c r="C3094" s="1" t="n">
        <v>57</v>
      </c>
      <c r="D3094" s="1" t="s">
        <v>726</v>
      </c>
      <c r="E3094" s="1" t="n">
        <v>4</v>
      </c>
      <c r="F3094" s="1" t="n">
        <v>719.76</v>
      </c>
      <c r="G3094" s="1" t="n">
        <v>0.2</v>
      </c>
      <c r="H3094" s="1" t="s">
        <v>1336</v>
      </c>
      <c r="I3094" s="1" t="n">
        <v>2303.23</v>
      </c>
      <c r="J3094" s="1" t="str">
        <f aca="false">VLOOKUP(B3094,Customers!$A$2:$G$502,6,FALSE())</f>
        <v>Corporate</v>
      </c>
      <c r="K3094" s="1" t="str">
        <f aca="false">VLOOKUP(C3094,Products!$A$2:$E$62,3,FALSE())</f>
        <v>Furniture</v>
      </c>
      <c r="L3094" s="1" t="str">
        <f aca="false">TEXT(D3094,"yyyy-mm")</f>
        <v>2023-09</v>
      </c>
    </row>
    <row r="3095" customFormat="false" ht="15" hidden="false" customHeight="true" outlineLevel="0" collapsed="false">
      <c r="A3095" s="1" t="n">
        <v>3163</v>
      </c>
      <c r="B3095" s="1" t="n">
        <v>385</v>
      </c>
      <c r="C3095" s="1" t="n">
        <v>21</v>
      </c>
      <c r="D3095" s="1" t="s">
        <v>629</v>
      </c>
      <c r="E3095" s="1" t="n">
        <v>2</v>
      </c>
      <c r="F3095" s="1" t="n">
        <v>84.91</v>
      </c>
      <c r="G3095" s="1" t="n">
        <v>0</v>
      </c>
      <c r="H3095" s="1" t="s">
        <v>1336</v>
      </c>
      <c r="I3095" s="1" t="n">
        <v>169.82</v>
      </c>
      <c r="J3095" s="1" t="str">
        <f aca="false">VLOOKUP(B3095,Customers!$A$2:$G$502,6,FALSE())</f>
        <v>Small Business</v>
      </c>
      <c r="K3095" s="1" t="str">
        <f aca="false">VLOOKUP(C3095,Products!$A$2:$E$62,3,FALSE())</f>
        <v>Office Supplies</v>
      </c>
      <c r="L3095" s="1" t="str">
        <f aca="false">TEXT(D3095,"yyyy-mm")</f>
        <v>2023-04</v>
      </c>
    </row>
    <row r="3096" customFormat="false" ht="15" hidden="false" customHeight="true" outlineLevel="0" collapsed="false">
      <c r="A3096" s="1" t="n">
        <v>3164</v>
      </c>
      <c r="B3096" s="1" t="n">
        <v>77</v>
      </c>
      <c r="C3096" s="1" t="n">
        <v>1</v>
      </c>
      <c r="D3096" s="1" t="s">
        <v>1450</v>
      </c>
      <c r="E3096" s="1" t="n">
        <v>4</v>
      </c>
      <c r="F3096" s="1" t="n">
        <v>327.32</v>
      </c>
      <c r="G3096" s="1" t="n">
        <v>0</v>
      </c>
      <c r="H3096" s="1" t="s">
        <v>1336</v>
      </c>
      <c r="I3096" s="1" t="n">
        <v>1309.28</v>
      </c>
      <c r="J3096" s="1" t="str">
        <f aca="false">VLOOKUP(B3096,Customers!$A$2:$G$502,6,FALSE())</f>
        <v>Consumer</v>
      </c>
      <c r="K3096" s="1" t="str">
        <f aca="false">VLOOKUP(C3096,Products!$A$2:$E$62,3,FALSE())</f>
        <v>Electronics</v>
      </c>
      <c r="L3096" s="1" t="str">
        <f aca="false">TEXT(D3096,"yyyy-mm")</f>
        <v>2023-04</v>
      </c>
    </row>
    <row r="3097" customFormat="false" ht="15" hidden="false" customHeight="true" outlineLevel="0" collapsed="false">
      <c r="A3097" s="1" t="n">
        <v>3165</v>
      </c>
      <c r="B3097" s="1" t="n">
        <v>17</v>
      </c>
      <c r="C3097" s="1" t="n">
        <v>50</v>
      </c>
      <c r="D3097" s="1" t="s">
        <v>295</v>
      </c>
      <c r="E3097" s="1" t="n">
        <v>8</v>
      </c>
      <c r="F3097" s="1" t="n">
        <v>19.73</v>
      </c>
      <c r="G3097" s="1" t="n">
        <v>0.15</v>
      </c>
      <c r="H3097" s="1" t="s">
        <v>1336</v>
      </c>
      <c r="I3097" s="1" t="n">
        <v>134.16</v>
      </c>
      <c r="J3097" s="1" t="str">
        <f aca="false">VLOOKUP(B3097,Customers!$A$2:$G$502,6,FALSE())</f>
        <v>Small Business</v>
      </c>
      <c r="K3097" s="1" t="str">
        <f aca="false">VLOOKUP(C3097,Products!$A$2:$E$62,3,FALSE())</f>
        <v>Software</v>
      </c>
      <c r="L3097" s="1" t="str">
        <f aca="false">TEXT(D3097,"yyyy-mm")</f>
        <v>2024-07</v>
      </c>
    </row>
    <row r="3098" customFormat="false" ht="15" hidden="false" customHeight="true" outlineLevel="0" collapsed="false">
      <c r="A3098" s="1" t="n">
        <v>3166</v>
      </c>
      <c r="B3098" s="1" t="n">
        <v>268</v>
      </c>
      <c r="C3098" s="1" t="n">
        <v>8</v>
      </c>
      <c r="D3098" s="1" t="s">
        <v>1219</v>
      </c>
      <c r="E3098" s="1" t="n">
        <v>9</v>
      </c>
      <c r="F3098" s="1" t="n">
        <v>104.4</v>
      </c>
      <c r="G3098" s="1" t="n">
        <v>0.05</v>
      </c>
      <c r="H3098" s="1" t="s">
        <v>1336</v>
      </c>
      <c r="I3098" s="1" t="n">
        <v>892.62</v>
      </c>
      <c r="J3098" s="1" t="str">
        <f aca="false">VLOOKUP(B3098,Customers!$A$2:$G$502,6,FALSE())</f>
        <v>Small Business</v>
      </c>
      <c r="K3098" s="1" t="str">
        <f aca="false">VLOOKUP(C3098,Products!$A$2:$E$62,3,FALSE())</f>
        <v>Electronics</v>
      </c>
      <c r="L3098" s="1" t="str">
        <f aca="false">TEXT(D3098,"yyyy-mm")</f>
        <v>2024-10</v>
      </c>
    </row>
    <row r="3099" customFormat="false" ht="15" hidden="false" customHeight="true" outlineLevel="0" collapsed="false">
      <c r="A3099" s="1" t="n">
        <v>3167</v>
      </c>
      <c r="B3099" s="1" t="n">
        <v>342</v>
      </c>
      <c r="C3099" s="1" t="n">
        <v>44</v>
      </c>
      <c r="D3099" s="1" t="s">
        <v>1411</v>
      </c>
      <c r="E3099" s="1" t="n">
        <v>3</v>
      </c>
      <c r="F3099" s="1" t="n">
        <v>508.26</v>
      </c>
      <c r="G3099" s="1" t="n">
        <v>0.15</v>
      </c>
      <c r="H3099" s="1" t="s">
        <v>1346</v>
      </c>
      <c r="I3099" s="1" t="n">
        <v>1296.06</v>
      </c>
      <c r="J3099" s="1" t="str">
        <f aca="false">VLOOKUP(B3099,Customers!$A$2:$G$502,6,FALSE())</f>
        <v>Small Business</v>
      </c>
      <c r="K3099" s="1" t="str">
        <f aca="false">VLOOKUP(C3099,Products!$A$2:$E$62,3,FALSE())</f>
        <v>Software</v>
      </c>
      <c r="L3099" s="1" t="str">
        <f aca="false">TEXT(D3099,"yyyy-mm")</f>
        <v>2023-03</v>
      </c>
    </row>
    <row r="3100" customFormat="false" ht="15" hidden="false" customHeight="true" outlineLevel="0" collapsed="false">
      <c r="A3100" s="1" t="n">
        <v>3168</v>
      </c>
      <c r="B3100" s="1" t="n">
        <v>7</v>
      </c>
      <c r="C3100" s="1" t="n">
        <v>30</v>
      </c>
      <c r="D3100" s="1" t="s">
        <v>789</v>
      </c>
      <c r="E3100" s="1" t="n">
        <v>7</v>
      </c>
      <c r="F3100" s="1" t="n">
        <v>33.32</v>
      </c>
      <c r="G3100" s="1" t="n">
        <v>0.1</v>
      </c>
      <c r="H3100" s="1" t="s">
        <v>1336</v>
      </c>
      <c r="I3100" s="1" t="n">
        <v>209.92</v>
      </c>
      <c r="J3100" s="1" t="str">
        <f aca="false">VLOOKUP(B3100,Customers!$A$2:$G$502,6,FALSE())</f>
        <v>Small Business</v>
      </c>
      <c r="K3100" s="1" t="str">
        <f aca="false">VLOOKUP(C3100,Products!$A$2:$E$62,3,FALSE())</f>
        <v>Office Supplies</v>
      </c>
      <c r="L3100" s="1" t="str">
        <f aca="false">TEXT(D3100,"yyyy-mm")</f>
        <v>2024-06</v>
      </c>
    </row>
    <row r="3101" customFormat="false" ht="15" hidden="false" customHeight="true" outlineLevel="0" collapsed="false">
      <c r="A3101" s="1" t="n">
        <v>3169</v>
      </c>
      <c r="B3101" s="1" t="n">
        <v>22</v>
      </c>
      <c r="C3101" s="1" t="n">
        <v>2</v>
      </c>
      <c r="D3101" s="1" t="s">
        <v>1394</v>
      </c>
      <c r="E3101" s="1" t="n">
        <v>9</v>
      </c>
      <c r="F3101" s="1" t="n">
        <v>498.15</v>
      </c>
      <c r="G3101" s="1" t="n">
        <v>0</v>
      </c>
      <c r="H3101" s="1" t="s">
        <v>1336</v>
      </c>
      <c r="I3101" s="1" t="n">
        <v>4483.35</v>
      </c>
      <c r="J3101" s="1" t="str">
        <f aca="false">VLOOKUP(B3101,Customers!$A$2:$G$502,6,FALSE())</f>
        <v>Consumer</v>
      </c>
      <c r="K3101" s="1" t="str">
        <f aca="false">VLOOKUP(C3101,Products!$A$2:$E$62,3,FALSE())</f>
        <v>Electronics</v>
      </c>
      <c r="L3101" s="1" t="str">
        <f aca="false">TEXT(D3101,"yyyy-mm")</f>
        <v>2023-12</v>
      </c>
    </row>
    <row r="3102" customFormat="false" ht="15" hidden="false" customHeight="true" outlineLevel="0" collapsed="false">
      <c r="A3102" s="1" t="n">
        <v>3170</v>
      </c>
      <c r="B3102" s="1" t="n">
        <v>243</v>
      </c>
      <c r="C3102" s="1" t="n">
        <v>59</v>
      </c>
      <c r="D3102" s="1" t="s">
        <v>1497</v>
      </c>
      <c r="E3102" s="1" t="n">
        <v>4</v>
      </c>
      <c r="F3102" s="1" t="n">
        <v>438.89</v>
      </c>
      <c r="G3102" s="1" t="n">
        <v>0.05</v>
      </c>
      <c r="H3102" s="1" t="s">
        <v>1336</v>
      </c>
      <c r="I3102" s="1" t="n">
        <v>1667.78</v>
      </c>
      <c r="J3102" s="1" t="str">
        <f aca="false">VLOOKUP(B3102,Customers!$A$2:$G$502,6,FALSE())</f>
        <v>Small Business</v>
      </c>
      <c r="K3102" s="1" t="str">
        <f aca="false">VLOOKUP(C3102,Products!$A$2:$E$62,3,FALSE())</f>
        <v>Furniture</v>
      </c>
      <c r="L3102" s="1" t="str">
        <f aca="false">TEXT(D3102,"yyyy-mm")</f>
        <v>2023-01</v>
      </c>
    </row>
    <row r="3103" customFormat="false" ht="15" hidden="false" customHeight="true" outlineLevel="0" collapsed="false">
      <c r="A3103" s="1" t="n">
        <v>3171</v>
      </c>
      <c r="B3103" s="1" t="n">
        <v>15</v>
      </c>
      <c r="C3103" s="1" t="n">
        <v>51</v>
      </c>
      <c r="D3103" s="1" t="s">
        <v>1471</v>
      </c>
      <c r="E3103" s="1" t="n">
        <v>3</v>
      </c>
      <c r="F3103" s="1" t="n">
        <v>30.16</v>
      </c>
      <c r="G3103" s="1" t="n">
        <v>0.15</v>
      </c>
      <c r="H3103" s="1" t="s">
        <v>1336</v>
      </c>
      <c r="I3103" s="1" t="n">
        <v>76.91</v>
      </c>
      <c r="J3103" s="1" t="str">
        <f aca="false">VLOOKUP(B3103,Customers!$A$2:$G$502,6,FALSE())</f>
        <v>Corporate</v>
      </c>
      <c r="K3103" s="1" t="str">
        <f aca="false">VLOOKUP(C3103,Products!$A$2:$E$62,3,FALSE())</f>
        <v>Software</v>
      </c>
      <c r="L3103" s="1" t="str">
        <f aca="false">TEXT(D3103,"yyyy-mm")</f>
        <v>2024-10</v>
      </c>
    </row>
    <row r="3104" customFormat="false" ht="15" hidden="false" customHeight="true" outlineLevel="0" collapsed="false">
      <c r="A3104" s="1" t="n">
        <v>3172</v>
      </c>
      <c r="B3104" s="1" t="n">
        <v>4</v>
      </c>
      <c r="C3104" s="1" t="n">
        <v>34</v>
      </c>
      <c r="D3104" s="1" t="s">
        <v>1487</v>
      </c>
      <c r="E3104" s="1" t="n">
        <v>5</v>
      </c>
      <c r="F3104" s="1" t="n">
        <v>116.85</v>
      </c>
      <c r="G3104" s="1" t="n">
        <v>0</v>
      </c>
      <c r="H3104" s="1" t="s">
        <v>1336</v>
      </c>
      <c r="I3104" s="1" t="n">
        <v>584.25</v>
      </c>
      <c r="J3104" s="1" t="str">
        <f aca="false">VLOOKUP(B3104,Customers!$A$2:$G$502,6,FALSE())</f>
        <v>Consumer</v>
      </c>
      <c r="K3104" s="1" t="str">
        <f aca="false">VLOOKUP(C3104,Products!$A$2:$E$62,3,FALSE())</f>
        <v>Office Supplies</v>
      </c>
      <c r="L3104" s="1" t="str">
        <f aca="false">TEXT(D3104,"yyyy-mm")</f>
        <v>2024-01</v>
      </c>
    </row>
    <row r="3105" customFormat="false" ht="15" hidden="false" customHeight="true" outlineLevel="0" collapsed="false">
      <c r="A3105" s="1" t="n">
        <v>3173</v>
      </c>
      <c r="B3105" s="1" t="n">
        <v>136</v>
      </c>
      <c r="C3105" s="1" t="n">
        <v>52</v>
      </c>
      <c r="D3105" s="1" t="s">
        <v>1089</v>
      </c>
      <c r="E3105" s="1" t="n">
        <v>1</v>
      </c>
      <c r="F3105" s="1" t="n">
        <v>207.67</v>
      </c>
      <c r="G3105" s="1" t="n">
        <v>0</v>
      </c>
      <c r="H3105" s="1" t="s">
        <v>1336</v>
      </c>
      <c r="I3105" s="1" t="n">
        <v>207.67</v>
      </c>
      <c r="J3105" s="1" t="str">
        <f aca="false">VLOOKUP(B3105,Customers!$A$2:$G$502,6,FALSE())</f>
        <v>Corporate</v>
      </c>
      <c r="K3105" s="1" t="str">
        <f aca="false">VLOOKUP(C3105,Products!$A$2:$E$62,3,FALSE())</f>
        <v>Software</v>
      </c>
      <c r="L3105" s="1" t="str">
        <f aca="false">TEXT(D3105,"yyyy-mm")</f>
        <v>2024-10</v>
      </c>
    </row>
    <row r="3106" customFormat="false" ht="15" hidden="false" customHeight="true" outlineLevel="0" collapsed="false">
      <c r="A3106" s="1" t="n">
        <v>3174</v>
      </c>
      <c r="B3106" s="1" t="n">
        <v>316</v>
      </c>
      <c r="C3106" s="1" t="n">
        <v>26</v>
      </c>
      <c r="D3106" s="1" t="s">
        <v>1402</v>
      </c>
      <c r="E3106" s="1" t="n">
        <v>3</v>
      </c>
      <c r="F3106" s="1" t="n">
        <v>733.85</v>
      </c>
      <c r="G3106" s="1" t="n">
        <v>0</v>
      </c>
      <c r="H3106" s="1" t="s">
        <v>1336</v>
      </c>
      <c r="I3106" s="1" t="n">
        <v>2201.55</v>
      </c>
      <c r="J3106" s="1" t="str">
        <f aca="false">VLOOKUP(B3106,Customers!$A$2:$G$502,6,FALSE())</f>
        <v>Small Business</v>
      </c>
      <c r="K3106" s="1" t="str">
        <f aca="false">VLOOKUP(C3106,Products!$A$2:$E$62,3,FALSE())</f>
        <v>Office Supplies</v>
      </c>
      <c r="L3106" s="1" t="str">
        <f aca="false">TEXT(D3106,"yyyy-mm")</f>
        <v>2023-12</v>
      </c>
    </row>
    <row r="3107" customFormat="false" ht="15" hidden="false" customHeight="true" outlineLevel="0" collapsed="false">
      <c r="A3107" s="1" t="n">
        <v>3175</v>
      </c>
      <c r="B3107" s="1" t="n">
        <v>41</v>
      </c>
      <c r="C3107" s="1" t="n">
        <v>16</v>
      </c>
      <c r="D3107" s="1" t="s">
        <v>1457</v>
      </c>
      <c r="E3107" s="1" t="n">
        <v>8</v>
      </c>
      <c r="F3107" s="1" t="n">
        <v>330.91</v>
      </c>
      <c r="G3107" s="1" t="n">
        <v>0.05</v>
      </c>
      <c r="H3107" s="1" t="s">
        <v>1336</v>
      </c>
      <c r="I3107" s="1" t="n">
        <v>2514.92</v>
      </c>
      <c r="J3107" s="1" t="str">
        <f aca="false">VLOOKUP(B3107,Customers!$A$2:$G$502,6,FALSE())</f>
        <v>Corporate</v>
      </c>
      <c r="K3107" s="1" t="str">
        <f aca="false">VLOOKUP(C3107,Products!$A$2:$E$62,3,FALSE())</f>
        <v>Electronics</v>
      </c>
      <c r="L3107" s="1" t="str">
        <f aca="false">TEXT(D3107,"yyyy-mm")</f>
        <v>2024-03</v>
      </c>
    </row>
    <row r="3108" customFormat="false" ht="15" hidden="false" customHeight="true" outlineLevel="0" collapsed="false">
      <c r="A3108" s="1" t="n">
        <v>3176</v>
      </c>
      <c r="B3108" s="1" t="n">
        <v>257</v>
      </c>
      <c r="C3108" s="1" t="n">
        <v>27</v>
      </c>
      <c r="D3108" s="1" t="s">
        <v>1523</v>
      </c>
      <c r="E3108" s="1" t="n">
        <v>8</v>
      </c>
      <c r="F3108" s="1" t="n">
        <v>772.58</v>
      </c>
      <c r="G3108" s="1" t="n">
        <v>0.2</v>
      </c>
      <c r="H3108" s="1" t="s">
        <v>1336</v>
      </c>
      <c r="I3108" s="1" t="n">
        <v>4944.51</v>
      </c>
      <c r="J3108" s="1" t="str">
        <f aca="false">VLOOKUP(B3108,Customers!$A$2:$G$502,6,FALSE())</f>
        <v>Small Business</v>
      </c>
      <c r="K3108" s="1" t="str">
        <f aca="false">VLOOKUP(C3108,Products!$A$2:$E$62,3,FALSE())</f>
        <v>Office Supplies</v>
      </c>
      <c r="L3108" s="1" t="str">
        <f aca="false">TEXT(D3108,"yyyy-mm")</f>
        <v>2023-05</v>
      </c>
    </row>
    <row r="3109" customFormat="false" ht="15" hidden="false" customHeight="true" outlineLevel="0" collapsed="false">
      <c r="A3109" s="1" t="n">
        <v>3177</v>
      </c>
      <c r="B3109" s="1" t="n">
        <v>206</v>
      </c>
      <c r="C3109" s="1" t="n">
        <v>49</v>
      </c>
      <c r="D3109" s="1" t="s">
        <v>1678</v>
      </c>
      <c r="E3109" s="1" t="n">
        <v>4</v>
      </c>
      <c r="F3109" s="1" t="n">
        <v>325.17</v>
      </c>
      <c r="G3109" s="1" t="n">
        <v>0</v>
      </c>
      <c r="H3109" s="1" t="s">
        <v>1336</v>
      </c>
      <c r="I3109" s="1" t="n">
        <v>1300.68</v>
      </c>
      <c r="J3109" s="1" t="str">
        <f aca="false">VLOOKUP(B3109,Customers!$A$2:$G$502,6,FALSE())</f>
        <v>Small Business</v>
      </c>
      <c r="K3109" s="1" t="str">
        <f aca="false">VLOOKUP(C3109,Products!$A$2:$E$62,3,FALSE())</f>
        <v>Software</v>
      </c>
      <c r="L3109" s="1" t="str">
        <f aca="false">TEXT(D3109,"yyyy-mm")</f>
        <v>2024-01</v>
      </c>
    </row>
    <row r="3110" customFormat="false" ht="15" hidden="false" customHeight="true" outlineLevel="0" collapsed="false">
      <c r="A3110" s="1" t="n">
        <v>3178</v>
      </c>
      <c r="B3110" s="1" t="n">
        <v>107</v>
      </c>
      <c r="C3110" s="1" t="n">
        <v>30</v>
      </c>
      <c r="D3110" s="1" t="s">
        <v>1450</v>
      </c>
      <c r="E3110" s="1" t="n">
        <v>2</v>
      </c>
      <c r="F3110" s="1" t="n">
        <v>33.32</v>
      </c>
      <c r="G3110" s="1" t="n">
        <v>0</v>
      </c>
      <c r="H3110" s="1" t="s">
        <v>1336</v>
      </c>
      <c r="I3110" s="1" t="n">
        <v>66.64</v>
      </c>
      <c r="J3110" s="1" t="str">
        <f aca="false">VLOOKUP(B3110,Customers!$A$2:$G$502,6,FALSE())</f>
        <v>Consumer</v>
      </c>
      <c r="K3110" s="1" t="str">
        <f aca="false">VLOOKUP(C3110,Products!$A$2:$E$62,3,FALSE())</f>
        <v>Office Supplies</v>
      </c>
      <c r="L3110" s="1" t="str">
        <f aca="false">TEXT(D3110,"yyyy-mm")</f>
        <v>2023-04</v>
      </c>
    </row>
    <row r="3111" customFormat="false" ht="15" hidden="false" customHeight="true" outlineLevel="0" collapsed="false">
      <c r="A3111" s="1" t="n">
        <v>3179</v>
      </c>
      <c r="B3111" s="1" t="n">
        <v>24</v>
      </c>
      <c r="C3111" s="1" t="n">
        <v>11</v>
      </c>
      <c r="D3111" s="1" t="s">
        <v>100</v>
      </c>
      <c r="E3111" s="1" t="n">
        <v>8</v>
      </c>
      <c r="F3111" s="1" t="n">
        <v>328.39</v>
      </c>
      <c r="G3111" s="1" t="n">
        <v>0</v>
      </c>
      <c r="H3111" s="1" t="s">
        <v>1336</v>
      </c>
      <c r="I3111" s="1" t="n">
        <v>2627.12</v>
      </c>
      <c r="J3111" s="1" t="str">
        <f aca="false">VLOOKUP(B3111,Customers!$A$2:$G$502,6,FALSE())</f>
        <v>Consumer</v>
      </c>
      <c r="K3111" s="1" t="str">
        <f aca="false">VLOOKUP(C3111,Products!$A$2:$E$62,3,FALSE())</f>
        <v>Electronics</v>
      </c>
      <c r="L3111" s="1" t="str">
        <f aca="false">TEXT(D3111,"yyyy-mm")</f>
        <v>2023-05</v>
      </c>
    </row>
    <row r="3112" customFormat="false" ht="15" hidden="false" customHeight="true" outlineLevel="0" collapsed="false">
      <c r="A3112" s="1" t="n">
        <v>3180</v>
      </c>
      <c r="B3112" s="1" t="n">
        <v>195</v>
      </c>
      <c r="C3112" s="1" t="n">
        <v>5</v>
      </c>
      <c r="D3112" s="1" t="s">
        <v>1366</v>
      </c>
      <c r="E3112" s="1" t="n">
        <v>8</v>
      </c>
      <c r="F3112" s="1" t="n">
        <v>439.06</v>
      </c>
      <c r="G3112" s="1" t="n">
        <v>0</v>
      </c>
      <c r="H3112" s="1" t="s">
        <v>1336</v>
      </c>
      <c r="I3112" s="1" t="n">
        <v>3512.48</v>
      </c>
      <c r="J3112" s="1" t="str">
        <f aca="false">VLOOKUP(B3112,Customers!$A$2:$G$502,6,FALSE())</f>
        <v>Corporate</v>
      </c>
      <c r="K3112" s="1" t="str">
        <f aca="false">VLOOKUP(C3112,Products!$A$2:$E$62,3,FALSE())</f>
        <v>Electronics</v>
      </c>
      <c r="L3112" s="1" t="str">
        <f aca="false">TEXT(D3112,"yyyy-mm")</f>
        <v>2023-11</v>
      </c>
    </row>
    <row r="3113" customFormat="false" ht="15" hidden="false" customHeight="true" outlineLevel="0" collapsed="false">
      <c r="A3113" s="1" t="n">
        <v>3181</v>
      </c>
      <c r="B3113" s="1" t="n">
        <v>373</v>
      </c>
      <c r="C3113" s="1" t="n">
        <v>14</v>
      </c>
      <c r="D3113" s="1" t="s">
        <v>1494</v>
      </c>
      <c r="E3113" s="1" t="n">
        <v>4</v>
      </c>
      <c r="F3113" s="1" t="n">
        <v>135.27</v>
      </c>
      <c r="G3113" s="1" t="n">
        <v>0</v>
      </c>
      <c r="H3113" s="1" t="s">
        <v>1370</v>
      </c>
      <c r="I3113" s="1" t="n">
        <v>541.08</v>
      </c>
      <c r="J3113" s="1" t="str">
        <f aca="false">VLOOKUP(B3113,Customers!$A$2:$G$502,6,FALSE())</f>
        <v>Corporate</v>
      </c>
      <c r="K3113" s="1" t="str">
        <f aca="false">VLOOKUP(C3113,Products!$A$2:$E$62,3,FALSE())</f>
        <v>Electronics</v>
      </c>
      <c r="L3113" s="1" t="str">
        <f aca="false">TEXT(D3113,"yyyy-mm")</f>
        <v>2023-01</v>
      </c>
    </row>
    <row r="3114" customFormat="false" ht="15" hidden="false" customHeight="true" outlineLevel="0" collapsed="false">
      <c r="A3114" s="1" t="n">
        <v>3182</v>
      </c>
      <c r="B3114" s="1" t="n">
        <v>50</v>
      </c>
      <c r="C3114" s="1" t="n">
        <v>44</v>
      </c>
      <c r="D3114" s="1" t="s">
        <v>1016</v>
      </c>
      <c r="E3114" s="1" t="n">
        <v>3</v>
      </c>
      <c r="F3114" s="1" t="n">
        <v>508.26</v>
      </c>
      <c r="G3114" s="1" t="n">
        <v>0</v>
      </c>
      <c r="H3114" s="1" t="s">
        <v>1336</v>
      </c>
      <c r="I3114" s="1" t="n">
        <v>1524.78</v>
      </c>
      <c r="J3114" s="1" t="str">
        <f aca="false">VLOOKUP(B3114,Customers!$A$2:$G$502,6,FALSE())</f>
        <v>Consumer</v>
      </c>
      <c r="K3114" s="1" t="str">
        <f aca="false">VLOOKUP(C3114,Products!$A$2:$E$62,3,FALSE())</f>
        <v>Software</v>
      </c>
      <c r="L3114" s="1" t="str">
        <f aca="false">TEXT(D3114,"yyyy-mm")</f>
        <v>2023-11</v>
      </c>
    </row>
    <row r="3115" customFormat="false" ht="15" hidden="false" customHeight="true" outlineLevel="0" collapsed="false">
      <c r="A3115" s="1" t="n">
        <v>3183</v>
      </c>
      <c r="B3115" s="1" t="n">
        <v>58</v>
      </c>
      <c r="C3115" s="1" t="n">
        <v>39</v>
      </c>
      <c r="D3115" s="1" t="s">
        <v>701</v>
      </c>
      <c r="E3115" s="1" t="n">
        <v>2</v>
      </c>
      <c r="F3115" s="1" t="n">
        <v>400.02</v>
      </c>
      <c r="G3115" s="1" t="n">
        <v>0.1</v>
      </c>
      <c r="H3115" s="1" t="s">
        <v>1336</v>
      </c>
      <c r="I3115" s="1" t="n">
        <v>720.04</v>
      </c>
      <c r="J3115" s="1" t="str">
        <f aca="false">VLOOKUP(B3115,Customers!$A$2:$G$502,6,FALSE())</f>
        <v>Consumer</v>
      </c>
      <c r="K3115" s="1" t="str">
        <f aca="false">VLOOKUP(C3115,Products!$A$2:$E$62,3,FALSE())</f>
        <v>Software</v>
      </c>
      <c r="L3115" s="1" t="str">
        <f aca="false">TEXT(D3115,"yyyy-mm")</f>
        <v>2024-02</v>
      </c>
    </row>
    <row r="3116" customFormat="false" ht="15" hidden="false" customHeight="true" outlineLevel="0" collapsed="false">
      <c r="A3116" s="1" t="n">
        <v>3184</v>
      </c>
      <c r="B3116" s="1" t="n">
        <v>14</v>
      </c>
      <c r="C3116" s="1" t="n">
        <v>54</v>
      </c>
      <c r="D3116" s="1" t="s">
        <v>1694</v>
      </c>
      <c r="E3116" s="1" t="n">
        <v>9</v>
      </c>
      <c r="F3116" s="1" t="n">
        <v>312.01</v>
      </c>
      <c r="G3116" s="1" t="n">
        <v>0.05</v>
      </c>
      <c r="H3116" s="1" t="s">
        <v>1336</v>
      </c>
      <c r="I3116" s="1" t="n">
        <v>2667.69</v>
      </c>
      <c r="J3116" s="1" t="str">
        <f aca="false">VLOOKUP(B3116,Customers!$A$2:$G$502,6,FALSE())</f>
        <v>Small Business</v>
      </c>
      <c r="K3116" s="1" t="str">
        <f aca="false">VLOOKUP(C3116,Products!$A$2:$E$62,3,FALSE())</f>
        <v>Software</v>
      </c>
      <c r="L3116" s="1" t="str">
        <f aca="false">TEXT(D3116,"yyyy-mm")</f>
        <v>2023-09</v>
      </c>
    </row>
    <row r="3117" customFormat="false" ht="15" hidden="false" customHeight="true" outlineLevel="0" collapsed="false">
      <c r="A3117" s="1" t="n">
        <v>3186</v>
      </c>
      <c r="B3117" s="1" t="n">
        <v>143</v>
      </c>
      <c r="C3117" s="1" t="n">
        <v>35</v>
      </c>
      <c r="D3117" s="1" t="s">
        <v>822</v>
      </c>
      <c r="E3117" s="1" t="n">
        <v>7</v>
      </c>
      <c r="F3117" s="1" t="n">
        <v>75.78</v>
      </c>
      <c r="G3117" s="1" t="n">
        <v>0.05</v>
      </c>
      <c r="H3117" s="1" t="s">
        <v>1336</v>
      </c>
      <c r="I3117" s="1" t="n">
        <v>503.94</v>
      </c>
      <c r="J3117" s="1" t="str">
        <f aca="false">VLOOKUP(B3117,Customers!$A$2:$G$502,6,FALSE())</f>
        <v>Small Business</v>
      </c>
      <c r="K3117" s="1" t="str">
        <f aca="false">VLOOKUP(C3117,Products!$A$2:$E$62,3,FALSE())</f>
        <v>Software</v>
      </c>
      <c r="L3117" s="1" t="str">
        <f aca="false">TEXT(D3117,"yyyy-mm")</f>
        <v>2023-08</v>
      </c>
    </row>
    <row r="3118" customFormat="false" ht="15" hidden="false" customHeight="true" outlineLevel="0" collapsed="false">
      <c r="A3118" s="1" t="n">
        <v>3187</v>
      </c>
      <c r="B3118" s="1" t="n">
        <v>354</v>
      </c>
      <c r="C3118" s="1" t="n">
        <v>54</v>
      </c>
      <c r="D3118" s="1" t="s">
        <v>34</v>
      </c>
      <c r="E3118" s="1" t="n">
        <v>5</v>
      </c>
      <c r="F3118" s="1" t="n">
        <v>312.01</v>
      </c>
      <c r="G3118" s="1" t="n">
        <v>0.2</v>
      </c>
      <c r="H3118" s="1" t="s">
        <v>1336</v>
      </c>
      <c r="I3118" s="1" t="n">
        <v>1248.04</v>
      </c>
      <c r="J3118" s="1" t="str">
        <f aca="false">VLOOKUP(B3118,Customers!$A$2:$G$502,6,FALSE())</f>
        <v>Consumer</v>
      </c>
      <c r="K3118" s="1" t="str">
        <f aca="false">VLOOKUP(C3118,Products!$A$2:$E$62,3,FALSE())</f>
        <v>Software</v>
      </c>
      <c r="L3118" s="1" t="str">
        <f aca="false">TEXT(D3118,"yyyy-mm")</f>
        <v>2023-03</v>
      </c>
    </row>
    <row r="3119" customFormat="false" ht="15" hidden="false" customHeight="true" outlineLevel="0" collapsed="false">
      <c r="A3119" s="1" t="n">
        <v>3188</v>
      </c>
      <c r="B3119" s="1" t="n">
        <v>489</v>
      </c>
      <c r="C3119" s="1" t="n">
        <v>46</v>
      </c>
      <c r="D3119" s="1" t="s">
        <v>1371</v>
      </c>
      <c r="E3119" s="1" t="n">
        <v>8</v>
      </c>
      <c r="F3119" s="1" t="n">
        <v>94.92</v>
      </c>
      <c r="G3119" s="1" t="n">
        <v>0</v>
      </c>
      <c r="H3119" s="1" t="s">
        <v>1336</v>
      </c>
      <c r="I3119" s="1" t="n">
        <v>759.36</v>
      </c>
      <c r="J3119" s="1" t="str">
        <f aca="false">VLOOKUP(B3119,Customers!$A$2:$G$502,6,FALSE())</f>
        <v>Small Business</v>
      </c>
      <c r="K3119" s="1" t="str">
        <f aca="false">VLOOKUP(C3119,Products!$A$2:$E$62,3,FALSE())</f>
        <v>Software</v>
      </c>
      <c r="L3119" s="1" t="str">
        <f aca="false">TEXT(D3119,"yyyy-mm")</f>
        <v>2024-08</v>
      </c>
    </row>
    <row r="3120" customFormat="false" ht="15" hidden="false" customHeight="true" outlineLevel="0" collapsed="false">
      <c r="A3120" s="1" t="n">
        <v>3189</v>
      </c>
      <c r="B3120" s="1" t="n">
        <v>307</v>
      </c>
      <c r="C3120" s="1" t="n">
        <v>15</v>
      </c>
      <c r="D3120" s="1" t="s">
        <v>1377</v>
      </c>
      <c r="E3120" s="1" t="n">
        <v>4</v>
      </c>
      <c r="F3120" s="1" t="n">
        <v>304.95</v>
      </c>
      <c r="G3120" s="1" t="n">
        <v>0</v>
      </c>
      <c r="H3120" s="1" t="s">
        <v>1336</v>
      </c>
      <c r="I3120" s="1" t="n">
        <v>1219.8</v>
      </c>
      <c r="J3120" s="1" t="str">
        <f aca="false">VLOOKUP(B3120,Customers!$A$2:$G$502,6,FALSE())</f>
        <v>Corporate</v>
      </c>
      <c r="K3120" s="1" t="str">
        <f aca="false">VLOOKUP(C3120,Products!$A$2:$E$62,3,FALSE())</f>
        <v>Electronics</v>
      </c>
      <c r="L3120" s="1" t="str">
        <f aca="false">TEXT(D3120,"yyyy-mm")</f>
        <v>2023-10</v>
      </c>
    </row>
    <row r="3121" customFormat="false" ht="15" hidden="false" customHeight="true" outlineLevel="0" collapsed="false">
      <c r="A3121" s="1" t="n">
        <v>3190</v>
      </c>
      <c r="B3121" s="1" t="n">
        <v>75</v>
      </c>
      <c r="C3121" s="1" t="n">
        <v>38</v>
      </c>
      <c r="D3121" s="1" t="s">
        <v>1352</v>
      </c>
      <c r="E3121" s="1" t="n">
        <v>7</v>
      </c>
      <c r="F3121" s="1" t="n">
        <v>521.63</v>
      </c>
      <c r="G3121" s="1" t="n">
        <v>0</v>
      </c>
      <c r="H3121" s="1" t="s">
        <v>1336</v>
      </c>
      <c r="I3121" s="1" t="n">
        <v>3651.41</v>
      </c>
      <c r="J3121" s="1" t="str">
        <f aca="false">VLOOKUP(B3121,Customers!$A$2:$G$502,6,FALSE())</f>
        <v>Consumer</v>
      </c>
      <c r="K3121" s="1" t="str">
        <f aca="false">VLOOKUP(C3121,Products!$A$2:$E$62,3,FALSE())</f>
        <v>Software</v>
      </c>
      <c r="L3121" s="1" t="str">
        <f aca="false">TEXT(D3121,"yyyy-mm")</f>
        <v>2023-04</v>
      </c>
    </row>
    <row r="3122" customFormat="false" ht="15" hidden="false" customHeight="true" outlineLevel="0" collapsed="false">
      <c r="A3122" s="1" t="n">
        <v>3191</v>
      </c>
      <c r="B3122" s="1" t="n">
        <v>64</v>
      </c>
      <c r="C3122" s="1" t="n">
        <v>34</v>
      </c>
      <c r="D3122" s="1" t="s">
        <v>1485</v>
      </c>
      <c r="E3122" s="1" t="n">
        <v>5</v>
      </c>
      <c r="F3122" s="1" t="n">
        <v>116.85</v>
      </c>
      <c r="G3122" s="1" t="n">
        <v>0</v>
      </c>
      <c r="H3122" s="1" t="s">
        <v>1336</v>
      </c>
      <c r="I3122" s="1" t="n">
        <v>584.25</v>
      </c>
      <c r="J3122" s="1" t="str">
        <f aca="false">VLOOKUP(B3122,Customers!$A$2:$G$502,6,FALSE())</f>
        <v>Consumer</v>
      </c>
      <c r="K3122" s="1" t="str">
        <f aca="false">VLOOKUP(C3122,Products!$A$2:$E$62,3,FALSE())</f>
        <v>Office Supplies</v>
      </c>
      <c r="L3122" s="1" t="str">
        <f aca="false">TEXT(D3122,"yyyy-mm")</f>
        <v>2023-07</v>
      </c>
    </row>
    <row r="3123" customFormat="false" ht="15" hidden="false" customHeight="true" outlineLevel="0" collapsed="false">
      <c r="A3123" s="1" t="n">
        <v>3192</v>
      </c>
      <c r="B3123" s="1" t="n">
        <v>485</v>
      </c>
      <c r="C3123" s="1" t="n">
        <v>26</v>
      </c>
      <c r="D3123" s="1" t="s">
        <v>103</v>
      </c>
      <c r="E3123" s="1" t="n">
        <v>5</v>
      </c>
      <c r="F3123" s="1" t="n">
        <v>733.85</v>
      </c>
      <c r="G3123" s="1" t="n">
        <v>0</v>
      </c>
      <c r="H3123" s="1" t="s">
        <v>1336</v>
      </c>
      <c r="I3123" s="1" t="n">
        <v>3669.25</v>
      </c>
      <c r="J3123" s="1" t="str">
        <f aca="false">VLOOKUP(B3123,Customers!$A$2:$G$502,6,FALSE())</f>
        <v>Corporate</v>
      </c>
      <c r="K3123" s="1" t="str">
        <f aca="false">VLOOKUP(C3123,Products!$A$2:$E$62,3,FALSE())</f>
        <v>Office Supplies</v>
      </c>
      <c r="L3123" s="1" t="str">
        <f aca="false">TEXT(D3123,"yyyy-mm")</f>
        <v>2024-10</v>
      </c>
    </row>
    <row r="3124" customFormat="false" ht="15" hidden="false" customHeight="true" outlineLevel="0" collapsed="false">
      <c r="A3124" s="1" t="n">
        <v>3193</v>
      </c>
      <c r="B3124" s="1" t="n">
        <v>374</v>
      </c>
      <c r="C3124" s="1" t="n">
        <v>51</v>
      </c>
      <c r="D3124" s="1" t="s">
        <v>1621</v>
      </c>
      <c r="E3124" s="1" t="n">
        <v>9</v>
      </c>
      <c r="F3124" s="1" t="n">
        <v>30.16</v>
      </c>
      <c r="G3124" s="1" t="n">
        <v>0.15</v>
      </c>
      <c r="H3124" s="1" t="s">
        <v>1336</v>
      </c>
      <c r="I3124" s="1" t="n">
        <v>230.72</v>
      </c>
      <c r="J3124" s="1" t="str">
        <f aca="false">VLOOKUP(B3124,Customers!$A$2:$G$502,6,FALSE())</f>
        <v>Consumer</v>
      </c>
      <c r="K3124" s="1" t="str">
        <f aca="false">VLOOKUP(C3124,Products!$A$2:$E$62,3,FALSE())</f>
        <v>Software</v>
      </c>
      <c r="L3124" s="1" t="str">
        <f aca="false">TEXT(D3124,"yyyy-mm")</f>
        <v>2024-06</v>
      </c>
    </row>
    <row r="3125" customFormat="false" ht="15" hidden="false" customHeight="true" outlineLevel="0" collapsed="false">
      <c r="A3125" s="1" t="n">
        <v>3194</v>
      </c>
      <c r="B3125" s="1" t="n">
        <v>230</v>
      </c>
      <c r="C3125" s="1" t="n">
        <v>40</v>
      </c>
      <c r="D3125" s="1" t="s">
        <v>1563</v>
      </c>
      <c r="E3125" s="1" t="n">
        <v>9</v>
      </c>
      <c r="F3125" s="1" t="n">
        <v>193.02</v>
      </c>
      <c r="G3125" s="1" t="n">
        <v>0</v>
      </c>
      <c r="H3125" s="1" t="s">
        <v>1336</v>
      </c>
      <c r="I3125" s="1" t="n">
        <v>1737.18</v>
      </c>
      <c r="J3125" s="1" t="str">
        <f aca="false">VLOOKUP(B3125,Customers!$A$2:$G$502,6,FALSE())</f>
        <v>Corporate</v>
      </c>
      <c r="K3125" s="1" t="str">
        <f aca="false">VLOOKUP(C3125,Products!$A$2:$E$62,3,FALSE())</f>
        <v>Software</v>
      </c>
      <c r="L3125" s="1" t="str">
        <f aca="false">TEXT(D3125,"yyyy-mm")</f>
        <v>2024-09</v>
      </c>
    </row>
    <row r="3126" customFormat="false" ht="15" hidden="false" customHeight="true" outlineLevel="0" collapsed="false">
      <c r="A3126" s="1" t="n">
        <v>3195</v>
      </c>
      <c r="B3126" s="1" t="n">
        <v>57</v>
      </c>
      <c r="C3126" s="1" t="n">
        <v>18</v>
      </c>
      <c r="D3126" s="1" t="s">
        <v>828</v>
      </c>
      <c r="E3126" s="1" t="n">
        <v>9</v>
      </c>
      <c r="F3126" s="1" t="n">
        <v>747.34</v>
      </c>
      <c r="G3126" s="1" t="n">
        <v>0.2</v>
      </c>
      <c r="H3126" s="1" t="s">
        <v>1336</v>
      </c>
      <c r="I3126" s="1" t="n">
        <v>5380.85</v>
      </c>
      <c r="J3126" s="1" t="str">
        <f aca="false">VLOOKUP(B3126,Customers!$A$2:$G$502,6,FALSE())</f>
        <v>Consumer</v>
      </c>
      <c r="K3126" s="1" t="str">
        <f aca="false">VLOOKUP(C3126,Products!$A$2:$E$62,3,FALSE())</f>
        <v>Electronics</v>
      </c>
      <c r="L3126" s="1" t="str">
        <f aca="false">TEXT(D3126,"yyyy-mm")</f>
        <v>2024-07</v>
      </c>
    </row>
    <row r="3127" customFormat="false" ht="15" hidden="false" customHeight="true" outlineLevel="0" collapsed="false">
      <c r="A3127" s="1" t="n">
        <v>3197</v>
      </c>
      <c r="B3127" s="1" t="n">
        <v>40</v>
      </c>
      <c r="C3127" s="1" t="n">
        <v>32</v>
      </c>
      <c r="D3127" s="1" t="s">
        <v>214</v>
      </c>
      <c r="E3127" s="1" t="n">
        <v>6</v>
      </c>
      <c r="F3127" s="1" t="n">
        <v>492.27</v>
      </c>
      <c r="G3127" s="1" t="n">
        <v>0.15</v>
      </c>
      <c r="H3127" s="1" t="s">
        <v>1336</v>
      </c>
      <c r="I3127" s="1" t="n">
        <v>2510.58</v>
      </c>
      <c r="J3127" s="1" t="str">
        <f aca="false">VLOOKUP(B3127,Customers!$A$2:$G$502,6,FALSE())</f>
        <v>Consumer</v>
      </c>
      <c r="K3127" s="1" t="str">
        <f aca="false">VLOOKUP(C3127,Products!$A$2:$E$62,3,FALSE())</f>
        <v>Office Supplies</v>
      </c>
      <c r="L3127" s="1" t="str">
        <f aca="false">TEXT(D3127,"yyyy-mm")</f>
        <v>2023-08</v>
      </c>
    </row>
    <row r="3128" customFormat="false" ht="15" hidden="false" customHeight="true" outlineLevel="0" collapsed="false">
      <c r="A3128" s="1" t="n">
        <v>3198</v>
      </c>
      <c r="B3128" s="1" t="n">
        <v>442</v>
      </c>
      <c r="C3128" s="1" t="n">
        <v>16</v>
      </c>
      <c r="D3128" s="1" t="s">
        <v>1352</v>
      </c>
      <c r="E3128" s="1" t="n">
        <v>5</v>
      </c>
      <c r="F3128" s="1" t="n">
        <v>330.91</v>
      </c>
      <c r="G3128" s="1" t="n">
        <v>0.05</v>
      </c>
      <c r="H3128" s="1" t="s">
        <v>1336</v>
      </c>
      <c r="I3128" s="1" t="n">
        <v>1571.82</v>
      </c>
      <c r="J3128" s="1" t="str">
        <f aca="false">VLOOKUP(B3128,Customers!$A$2:$G$502,6,FALSE())</f>
        <v>Small Business</v>
      </c>
      <c r="K3128" s="1" t="str">
        <f aca="false">VLOOKUP(C3128,Products!$A$2:$E$62,3,FALSE())</f>
        <v>Electronics</v>
      </c>
      <c r="L3128" s="1" t="str">
        <f aca="false">TEXT(D3128,"yyyy-mm")</f>
        <v>2023-04</v>
      </c>
    </row>
    <row r="3129" customFormat="false" ht="15" hidden="false" customHeight="true" outlineLevel="0" collapsed="false">
      <c r="A3129" s="1" t="n">
        <v>3199</v>
      </c>
      <c r="B3129" s="1" t="n">
        <v>188</v>
      </c>
      <c r="C3129" s="1" t="n">
        <v>54</v>
      </c>
      <c r="D3129" s="1" t="s">
        <v>810</v>
      </c>
      <c r="E3129" s="1" t="n">
        <v>9</v>
      </c>
      <c r="F3129" s="1" t="n">
        <v>312.01</v>
      </c>
      <c r="G3129" s="1" t="n">
        <v>0.05</v>
      </c>
      <c r="H3129" s="1" t="s">
        <v>1336</v>
      </c>
      <c r="I3129" s="1" t="n">
        <v>2667.69</v>
      </c>
      <c r="J3129" s="1" t="str">
        <f aca="false">VLOOKUP(B3129,Customers!$A$2:$G$502,6,FALSE())</f>
        <v>Small Business</v>
      </c>
      <c r="K3129" s="1" t="str">
        <f aca="false">VLOOKUP(C3129,Products!$A$2:$E$62,3,FALSE())</f>
        <v>Software</v>
      </c>
      <c r="L3129" s="1" t="str">
        <f aca="false">TEXT(D3129,"yyyy-mm")</f>
        <v>2023-12</v>
      </c>
    </row>
    <row r="3130" customFormat="false" ht="15" hidden="false" customHeight="true" outlineLevel="0" collapsed="false">
      <c r="A3130" s="1" t="n">
        <v>3200</v>
      </c>
      <c r="B3130" s="1" t="n">
        <v>306</v>
      </c>
      <c r="C3130" s="1" t="n">
        <v>20</v>
      </c>
      <c r="D3130" s="1" t="s">
        <v>1665</v>
      </c>
      <c r="E3130" s="1" t="n">
        <v>8</v>
      </c>
      <c r="F3130" s="1" t="n">
        <v>426.15</v>
      </c>
      <c r="G3130" s="1" t="n">
        <v>0.05</v>
      </c>
      <c r="H3130" s="1" t="s">
        <v>1336</v>
      </c>
      <c r="I3130" s="1" t="n">
        <v>3238.74</v>
      </c>
      <c r="J3130" s="1" t="str">
        <f aca="false">VLOOKUP(B3130,Customers!$A$2:$G$502,6,FALSE())</f>
        <v>Small Business</v>
      </c>
      <c r="K3130" s="1" t="str">
        <f aca="false">VLOOKUP(C3130,Products!$A$2:$E$62,3,FALSE())</f>
        <v>Office Supplies</v>
      </c>
      <c r="L3130" s="1" t="str">
        <f aca="false">TEXT(D3130,"yyyy-mm")</f>
        <v>2024-09</v>
      </c>
    </row>
    <row r="3131" customFormat="false" ht="15" hidden="false" customHeight="true" outlineLevel="0" collapsed="false">
      <c r="A3131" s="1" t="n">
        <v>3201</v>
      </c>
      <c r="B3131" s="1" t="n">
        <v>430</v>
      </c>
      <c r="C3131" s="1" t="n">
        <v>58</v>
      </c>
      <c r="D3131" s="1" t="s">
        <v>214</v>
      </c>
      <c r="E3131" s="1" t="n">
        <v>7</v>
      </c>
      <c r="F3131" s="1" t="n">
        <v>515.55</v>
      </c>
      <c r="G3131" s="1" t="n">
        <v>0.1</v>
      </c>
      <c r="H3131" s="1" t="s">
        <v>1336</v>
      </c>
      <c r="I3131" s="1" t="n">
        <v>3247.96</v>
      </c>
      <c r="J3131" s="1" t="str">
        <f aca="false">VLOOKUP(B3131,Customers!$A$2:$G$502,6,FALSE())</f>
        <v>Corporate</v>
      </c>
      <c r="K3131" s="1" t="str">
        <f aca="false">VLOOKUP(C3131,Products!$A$2:$E$62,3,FALSE())</f>
        <v>Furniture</v>
      </c>
      <c r="L3131" s="1" t="str">
        <f aca="false">TEXT(D3131,"yyyy-mm")</f>
        <v>2023-08</v>
      </c>
    </row>
    <row r="3132" customFormat="false" ht="15" hidden="false" customHeight="true" outlineLevel="0" collapsed="false">
      <c r="A3132" s="1" t="n">
        <v>3202</v>
      </c>
      <c r="B3132" s="1" t="n">
        <v>28</v>
      </c>
      <c r="C3132" s="1" t="n">
        <v>26</v>
      </c>
      <c r="D3132" s="1" t="s">
        <v>1428</v>
      </c>
      <c r="E3132" s="1" t="n">
        <v>7</v>
      </c>
      <c r="F3132" s="1" t="n">
        <v>733.85</v>
      </c>
      <c r="G3132" s="1" t="n">
        <v>0</v>
      </c>
      <c r="H3132" s="1" t="s">
        <v>1336</v>
      </c>
      <c r="I3132" s="1" t="n">
        <v>5136.95</v>
      </c>
      <c r="J3132" s="1" t="str">
        <f aca="false">VLOOKUP(B3132,Customers!$A$2:$G$502,6,FALSE())</f>
        <v>Small Business</v>
      </c>
      <c r="K3132" s="1" t="str">
        <f aca="false">VLOOKUP(C3132,Products!$A$2:$E$62,3,FALSE())</f>
        <v>Office Supplies</v>
      </c>
      <c r="L3132" s="1" t="str">
        <f aca="false">TEXT(D3132,"yyyy-mm")</f>
        <v>2024-06</v>
      </c>
    </row>
    <row r="3133" customFormat="false" ht="15" hidden="false" customHeight="true" outlineLevel="0" collapsed="false">
      <c r="A3133" s="1" t="n">
        <v>3203</v>
      </c>
      <c r="B3133" s="1" t="n">
        <v>256</v>
      </c>
      <c r="C3133" s="1" t="n">
        <v>5</v>
      </c>
      <c r="D3133" s="1" t="s">
        <v>1557</v>
      </c>
      <c r="E3133" s="1" t="n">
        <v>6</v>
      </c>
      <c r="F3133" s="1" t="n">
        <v>439.06</v>
      </c>
      <c r="G3133" s="1" t="n">
        <v>0.05</v>
      </c>
      <c r="H3133" s="1" t="s">
        <v>1336</v>
      </c>
      <c r="I3133" s="1" t="n">
        <v>2502.64</v>
      </c>
      <c r="J3133" s="1" t="str">
        <f aca="false">VLOOKUP(B3133,Customers!$A$2:$G$502,6,FALSE())</f>
        <v>Small Business</v>
      </c>
      <c r="K3133" s="1" t="str">
        <f aca="false">VLOOKUP(C3133,Products!$A$2:$E$62,3,FALSE())</f>
        <v>Electronics</v>
      </c>
      <c r="L3133" s="1" t="str">
        <f aca="false">TEXT(D3133,"yyyy-mm")</f>
        <v>2024-03</v>
      </c>
    </row>
    <row r="3134" customFormat="false" ht="15" hidden="false" customHeight="true" outlineLevel="0" collapsed="false">
      <c r="A3134" s="1" t="n">
        <v>3204</v>
      </c>
      <c r="B3134" s="1" t="n">
        <v>114</v>
      </c>
      <c r="C3134" s="1" t="n">
        <v>52</v>
      </c>
      <c r="D3134" s="1" t="s">
        <v>1456</v>
      </c>
      <c r="E3134" s="1" t="n">
        <v>5</v>
      </c>
      <c r="F3134" s="1" t="n">
        <v>207.67</v>
      </c>
      <c r="G3134" s="1" t="n">
        <v>0</v>
      </c>
      <c r="H3134" s="1" t="s">
        <v>1336</v>
      </c>
      <c r="I3134" s="1" t="n">
        <v>1038.35</v>
      </c>
      <c r="J3134" s="1" t="str">
        <f aca="false">VLOOKUP(B3134,Customers!$A$2:$G$502,6,FALSE())</f>
        <v>Consumer</v>
      </c>
      <c r="K3134" s="1" t="str">
        <f aca="false">VLOOKUP(C3134,Products!$A$2:$E$62,3,FALSE())</f>
        <v>Software</v>
      </c>
      <c r="L3134" s="1" t="str">
        <f aca="false">TEXT(D3134,"yyyy-mm")</f>
        <v>2024-12</v>
      </c>
    </row>
    <row r="3135" customFormat="false" ht="15" hidden="false" customHeight="true" outlineLevel="0" collapsed="false">
      <c r="A3135" s="1" t="n">
        <v>3205</v>
      </c>
      <c r="B3135" s="1" t="n">
        <v>315</v>
      </c>
      <c r="C3135" s="1" t="n">
        <v>56</v>
      </c>
      <c r="D3135" s="1" t="s">
        <v>1626</v>
      </c>
      <c r="E3135" s="1" t="n">
        <v>4</v>
      </c>
      <c r="F3135" s="1" t="n">
        <v>160.64</v>
      </c>
      <c r="G3135" s="1" t="n">
        <v>0</v>
      </c>
      <c r="H3135" s="1" t="s">
        <v>1336</v>
      </c>
      <c r="I3135" s="1" t="n">
        <v>642.56</v>
      </c>
      <c r="J3135" s="1" t="str">
        <f aca="false">VLOOKUP(B3135,Customers!$A$2:$G$502,6,FALSE())</f>
        <v>Consumer</v>
      </c>
      <c r="K3135" s="1" t="str">
        <f aca="false">VLOOKUP(C3135,Products!$A$2:$E$62,3,FALSE())</f>
        <v>Furniture</v>
      </c>
      <c r="L3135" s="1" t="str">
        <f aca="false">TEXT(D3135,"yyyy-mm")</f>
        <v>2024-06</v>
      </c>
    </row>
    <row r="3136" customFormat="false" ht="15" hidden="false" customHeight="true" outlineLevel="0" collapsed="false">
      <c r="A3136" s="1" t="n">
        <v>3206</v>
      </c>
      <c r="B3136" s="1" t="n">
        <v>309</v>
      </c>
      <c r="C3136" s="1" t="n">
        <v>54</v>
      </c>
      <c r="D3136" s="1" t="s">
        <v>1609</v>
      </c>
      <c r="E3136" s="1" t="n">
        <v>3</v>
      </c>
      <c r="F3136" s="1" t="n">
        <v>312.01</v>
      </c>
      <c r="G3136" s="1" t="n">
        <v>0</v>
      </c>
      <c r="H3136" s="1" t="s">
        <v>1336</v>
      </c>
      <c r="I3136" s="1" t="n">
        <v>936.03</v>
      </c>
      <c r="J3136" s="1" t="str">
        <f aca="false">VLOOKUP(B3136,Customers!$A$2:$G$502,6,FALSE())</f>
        <v>Unknown</v>
      </c>
      <c r="K3136" s="1" t="str">
        <f aca="false">VLOOKUP(C3136,Products!$A$2:$E$62,3,FALSE())</f>
        <v>Software</v>
      </c>
      <c r="L3136" s="1" t="str">
        <f aca="false">TEXT(D3136,"yyyy-mm")</f>
        <v>2023-02</v>
      </c>
    </row>
    <row r="3137" customFormat="false" ht="15" hidden="false" customHeight="true" outlineLevel="0" collapsed="false">
      <c r="A3137" s="1" t="n">
        <v>3207</v>
      </c>
      <c r="B3137" s="1" t="n">
        <v>265</v>
      </c>
      <c r="C3137" s="1" t="n">
        <v>50</v>
      </c>
      <c r="D3137" s="1" t="s">
        <v>1431</v>
      </c>
      <c r="E3137" s="1" t="n">
        <v>3</v>
      </c>
      <c r="F3137" s="1" t="n">
        <v>19.73</v>
      </c>
      <c r="G3137" s="1" t="n">
        <v>0.1</v>
      </c>
      <c r="H3137" s="1" t="s">
        <v>1336</v>
      </c>
      <c r="I3137" s="1" t="n">
        <v>53.27</v>
      </c>
      <c r="J3137" s="1" t="str">
        <f aca="false">VLOOKUP(B3137,Customers!$A$2:$G$502,6,FALSE())</f>
        <v>Corporate</v>
      </c>
      <c r="K3137" s="1" t="str">
        <f aca="false">VLOOKUP(C3137,Products!$A$2:$E$62,3,FALSE())</f>
        <v>Software</v>
      </c>
      <c r="L3137" s="1" t="str">
        <f aca="false">TEXT(D3137,"yyyy-mm")</f>
        <v>2023-12</v>
      </c>
    </row>
    <row r="3138" customFormat="false" ht="15" hidden="false" customHeight="true" outlineLevel="0" collapsed="false">
      <c r="A3138" s="1" t="n">
        <v>3208</v>
      </c>
      <c r="B3138" s="1" t="n">
        <v>121</v>
      </c>
      <c r="C3138" s="1" t="n">
        <v>44</v>
      </c>
      <c r="D3138" s="1" t="s">
        <v>780</v>
      </c>
      <c r="E3138" s="1" t="n">
        <v>6</v>
      </c>
      <c r="F3138" s="1" t="n">
        <v>508.26</v>
      </c>
      <c r="G3138" s="1" t="n">
        <v>0.1</v>
      </c>
      <c r="H3138" s="1" t="s">
        <v>1336</v>
      </c>
      <c r="I3138" s="1" t="n">
        <v>2744.6</v>
      </c>
      <c r="J3138" s="1" t="str">
        <f aca="false">VLOOKUP(B3138,Customers!$A$2:$G$502,6,FALSE())</f>
        <v>Consumer</v>
      </c>
      <c r="K3138" s="1" t="str">
        <f aca="false">VLOOKUP(C3138,Products!$A$2:$E$62,3,FALSE())</f>
        <v>Software</v>
      </c>
      <c r="L3138" s="1" t="str">
        <f aca="false">TEXT(D3138,"yyyy-mm")</f>
        <v>2024-09</v>
      </c>
    </row>
    <row r="3139" customFormat="false" ht="15" hidden="false" customHeight="true" outlineLevel="0" collapsed="false">
      <c r="A3139" s="1" t="n">
        <v>3209</v>
      </c>
      <c r="B3139" s="1" t="n">
        <v>376</v>
      </c>
      <c r="C3139" s="1" t="n">
        <v>14</v>
      </c>
      <c r="D3139" s="1" t="s">
        <v>1623</v>
      </c>
      <c r="E3139" s="1" t="n">
        <v>4</v>
      </c>
      <c r="F3139" s="1" t="n">
        <v>135.27</v>
      </c>
      <c r="G3139" s="1" t="n">
        <v>0.15</v>
      </c>
      <c r="H3139" s="1" t="s">
        <v>1336</v>
      </c>
      <c r="I3139" s="1" t="n">
        <v>459.92</v>
      </c>
      <c r="J3139" s="1" t="str">
        <f aca="false">VLOOKUP(B3139,Customers!$A$2:$G$502,6,FALSE())</f>
        <v>Consumer</v>
      </c>
      <c r="K3139" s="1" t="str">
        <f aca="false">VLOOKUP(C3139,Products!$A$2:$E$62,3,FALSE())</f>
        <v>Electronics</v>
      </c>
      <c r="L3139" s="1" t="str">
        <f aca="false">TEXT(D3139,"yyyy-mm")</f>
        <v>2024-09</v>
      </c>
    </row>
    <row r="3140" customFormat="false" ht="15" hidden="false" customHeight="true" outlineLevel="0" collapsed="false">
      <c r="A3140" s="1" t="n">
        <v>3210</v>
      </c>
      <c r="B3140" s="1" t="n">
        <v>55</v>
      </c>
      <c r="C3140" s="1" t="n">
        <v>29</v>
      </c>
      <c r="D3140" s="1" t="s">
        <v>283</v>
      </c>
      <c r="E3140" s="1" t="n">
        <v>6</v>
      </c>
      <c r="F3140" s="1" t="n">
        <v>54.62</v>
      </c>
      <c r="G3140" s="1" t="n">
        <v>0</v>
      </c>
      <c r="H3140" s="1" t="s">
        <v>1336</v>
      </c>
      <c r="I3140" s="1" t="n">
        <v>327.72</v>
      </c>
      <c r="J3140" s="1" t="str">
        <f aca="false">VLOOKUP(B3140,Customers!$A$2:$G$502,6,FALSE())</f>
        <v>Consumer</v>
      </c>
      <c r="K3140" s="1" t="str">
        <f aca="false">VLOOKUP(C3140,Products!$A$2:$E$62,3,FALSE())</f>
        <v>Office Supplies</v>
      </c>
      <c r="L3140" s="1" t="str">
        <f aca="false">TEXT(D3140,"yyyy-mm")</f>
        <v>2023-10</v>
      </c>
    </row>
    <row r="3141" customFormat="false" ht="15" hidden="false" customHeight="true" outlineLevel="0" collapsed="false">
      <c r="A3141" s="1" t="n">
        <v>3211</v>
      </c>
      <c r="B3141" s="1" t="n">
        <v>450</v>
      </c>
      <c r="C3141" s="1" t="n">
        <v>5</v>
      </c>
      <c r="D3141" s="1" t="s">
        <v>1216</v>
      </c>
      <c r="E3141" s="1" t="n">
        <v>3</v>
      </c>
      <c r="F3141" s="1" t="n">
        <v>439.06</v>
      </c>
      <c r="G3141" s="1" t="n">
        <v>0.15</v>
      </c>
      <c r="H3141" s="1" t="s">
        <v>1336</v>
      </c>
      <c r="I3141" s="1" t="n">
        <v>1119.6</v>
      </c>
      <c r="J3141" s="1" t="str">
        <f aca="false">VLOOKUP(B3141,Customers!$A$2:$G$502,6,FALSE())</f>
        <v>Consumer</v>
      </c>
      <c r="K3141" s="1" t="str">
        <f aca="false">VLOOKUP(C3141,Products!$A$2:$E$62,3,FALSE())</f>
        <v>Electronics</v>
      </c>
      <c r="L3141" s="1" t="str">
        <f aca="false">TEXT(D3141,"yyyy-mm")</f>
        <v>2024-10</v>
      </c>
    </row>
    <row r="3142" customFormat="false" ht="15" hidden="false" customHeight="true" outlineLevel="0" collapsed="false">
      <c r="A3142" s="1" t="n">
        <v>3212</v>
      </c>
      <c r="B3142" s="1" t="n">
        <v>445</v>
      </c>
      <c r="C3142" s="1" t="n">
        <v>27</v>
      </c>
      <c r="D3142" s="1" t="s">
        <v>257</v>
      </c>
      <c r="E3142" s="1" t="n">
        <v>4</v>
      </c>
      <c r="F3142" s="1" t="n">
        <v>772.58</v>
      </c>
      <c r="G3142" s="1" t="n">
        <v>0</v>
      </c>
      <c r="H3142" s="1" t="s">
        <v>1336</v>
      </c>
      <c r="I3142" s="1" t="n">
        <v>3090.32</v>
      </c>
      <c r="J3142" s="1" t="str">
        <f aca="false">VLOOKUP(B3142,Customers!$A$2:$G$502,6,FALSE())</f>
        <v>Small Business</v>
      </c>
      <c r="K3142" s="1" t="str">
        <f aca="false">VLOOKUP(C3142,Products!$A$2:$E$62,3,FALSE())</f>
        <v>Office Supplies</v>
      </c>
      <c r="L3142" s="1" t="str">
        <f aca="false">TEXT(D3142,"yyyy-mm")</f>
        <v>2023-07</v>
      </c>
    </row>
    <row r="3143" customFormat="false" ht="15" hidden="false" customHeight="true" outlineLevel="0" collapsed="false">
      <c r="A3143" s="1" t="n">
        <v>3213</v>
      </c>
      <c r="B3143" s="1" t="n">
        <v>20</v>
      </c>
      <c r="C3143" s="1" t="n">
        <v>8</v>
      </c>
      <c r="D3143" s="1" t="s">
        <v>202</v>
      </c>
      <c r="E3143" s="1" t="n">
        <v>9</v>
      </c>
      <c r="F3143" s="1" t="n">
        <v>104.4</v>
      </c>
      <c r="G3143" s="1" t="n">
        <v>0.1</v>
      </c>
      <c r="H3143" s="1" t="s">
        <v>1336</v>
      </c>
      <c r="I3143" s="1" t="n">
        <v>845.64</v>
      </c>
      <c r="J3143" s="1" t="str">
        <f aca="false">VLOOKUP(B3143,Customers!$A$2:$G$502,6,FALSE())</f>
        <v>Consumer</v>
      </c>
      <c r="K3143" s="1" t="str">
        <f aca="false">VLOOKUP(C3143,Products!$A$2:$E$62,3,FALSE())</f>
        <v>Electronics</v>
      </c>
      <c r="L3143" s="1" t="str">
        <f aca="false">TEXT(D3143,"yyyy-mm")</f>
        <v>2024-12</v>
      </c>
    </row>
    <row r="3144" customFormat="false" ht="15" hidden="false" customHeight="true" outlineLevel="0" collapsed="false">
      <c r="A3144" s="1" t="n">
        <v>3214</v>
      </c>
      <c r="B3144" s="1" t="n">
        <v>423</v>
      </c>
      <c r="C3144" s="1" t="n">
        <v>14</v>
      </c>
      <c r="D3144" s="1" t="s">
        <v>1670</v>
      </c>
      <c r="E3144" s="1" t="n">
        <v>5</v>
      </c>
      <c r="F3144" s="1" t="n">
        <v>135.27</v>
      </c>
      <c r="G3144" s="1" t="n">
        <v>0</v>
      </c>
      <c r="H3144" s="1" t="s">
        <v>1336</v>
      </c>
      <c r="I3144" s="1" t="n">
        <v>676.35</v>
      </c>
      <c r="J3144" s="1" t="str">
        <f aca="false">VLOOKUP(B3144,Customers!$A$2:$G$502,6,FALSE())</f>
        <v>Small Business</v>
      </c>
      <c r="K3144" s="1" t="str">
        <f aca="false">VLOOKUP(C3144,Products!$A$2:$E$62,3,FALSE())</f>
        <v>Electronics</v>
      </c>
      <c r="L3144" s="1" t="str">
        <f aca="false">TEXT(D3144,"yyyy-mm")</f>
        <v>2024-07</v>
      </c>
    </row>
    <row r="3145" customFormat="false" ht="15" hidden="false" customHeight="true" outlineLevel="0" collapsed="false">
      <c r="A3145" s="1" t="n">
        <v>3215</v>
      </c>
      <c r="B3145" s="1" t="n">
        <v>309</v>
      </c>
      <c r="C3145" s="1" t="n">
        <v>16</v>
      </c>
      <c r="D3145" s="1" t="s">
        <v>586</v>
      </c>
      <c r="E3145" s="1" t="n">
        <v>7</v>
      </c>
      <c r="F3145" s="1" t="n">
        <v>330.91</v>
      </c>
      <c r="G3145" s="1" t="n">
        <v>0.2</v>
      </c>
      <c r="H3145" s="1" t="s">
        <v>1336</v>
      </c>
      <c r="I3145" s="1" t="n">
        <v>1853.1</v>
      </c>
      <c r="J3145" s="1" t="str">
        <f aca="false">VLOOKUP(B3145,Customers!$A$2:$G$502,6,FALSE())</f>
        <v>Unknown</v>
      </c>
      <c r="K3145" s="1" t="str">
        <f aca="false">VLOOKUP(C3145,Products!$A$2:$E$62,3,FALSE())</f>
        <v>Electronics</v>
      </c>
      <c r="L3145" s="1" t="str">
        <f aca="false">TEXT(D3145,"yyyy-mm")</f>
        <v>2023-01</v>
      </c>
    </row>
    <row r="3146" customFormat="false" ht="15" hidden="false" customHeight="true" outlineLevel="0" collapsed="false">
      <c r="A3146" s="1" t="n">
        <v>3216</v>
      </c>
      <c r="B3146" s="1" t="n">
        <v>397</v>
      </c>
      <c r="C3146" s="1" t="n">
        <v>40</v>
      </c>
      <c r="D3146" s="1" t="s">
        <v>183</v>
      </c>
      <c r="E3146" s="1" t="n">
        <v>2</v>
      </c>
      <c r="F3146" s="1" t="n">
        <v>193.02</v>
      </c>
      <c r="G3146" s="1" t="n">
        <v>0.15</v>
      </c>
      <c r="H3146" s="1" t="s">
        <v>1336</v>
      </c>
      <c r="I3146" s="1" t="n">
        <v>328.13</v>
      </c>
      <c r="J3146" s="1" t="str">
        <f aca="false">VLOOKUP(B3146,Customers!$A$2:$G$502,6,FALSE())</f>
        <v>Consumer</v>
      </c>
      <c r="K3146" s="1" t="str">
        <f aca="false">VLOOKUP(C3146,Products!$A$2:$E$62,3,FALSE())</f>
        <v>Software</v>
      </c>
      <c r="L3146" s="1" t="str">
        <f aca="false">TEXT(D3146,"yyyy-mm")</f>
        <v>2023-02</v>
      </c>
    </row>
    <row r="3147" customFormat="false" ht="15" hidden="false" customHeight="true" outlineLevel="0" collapsed="false">
      <c r="A3147" s="1" t="n">
        <v>3217</v>
      </c>
      <c r="B3147" s="1" t="n">
        <v>297</v>
      </c>
      <c r="C3147" s="1" t="n">
        <v>35</v>
      </c>
      <c r="D3147" s="1" t="s">
        <v>188</v>
      </c>
      <c r="E3147" s="1" t="n">
        <v>5</v>
      </c>
      <c r="F3147" s="1" t="n">
        <v>75.78</v>
      </c>
      <c r="G3147" s="1" t="n">
        <v>0</v>
      </c>
      <c r="H3147" s="1" t="s">
        <v>1336</v>
      </c>
      <c r="I3147" s="1" t="n">
        <v>378.9</v>
      </c>
      <c r="J3147" s="1" t="str">
        <f aca="false">VLOOKUP(B3147,Customers!$A$2:$G$502,6,FALSE())</f>
        <v>Corporate</v>
      </c>
      <c r="K3147" s="1" t="str">
        <f aca="false">VLOOKUP(C3147,Products!$A$2:$E$62,3,FALSE())</f>
        <v>Software</v>
      </c>
      <c r="L3147" s="1" t="str">
        <f aca="false">TEXT(D3147,"yyyy-mm")</f>
        <v>2024-04</v>
      </c>
    </row>
    <row r="3148" customFormat="false" ht="15" hidden="false" customHeight="true" outlineLevel="0" collapsed="false">
      <c r="A3148" s="1" t="n">
        <v>3218</v>
      </c>
      <c r="B3148" s="1" t="n">
        <v>313</v>
      </c>
      <c r="C3148" s="1" t="n">
        <v>39</v>
      </c>
      <c r="D3148" s="1" t="s">
        <v>1421</v>
      </c>
      <c r="E3148" s="1" t="n">
        <v>9</v>
      </c>
      <c r="F3148" s="1" t="n">
        <v>400.02</v>
      </c>
      <c r="G3148" s="1" t="n">
        <v>0.15</v>
      </c>
      <c r="H3148" s="1" t="s">
        <v>1336</v>
      </c>
      <c r="I3148" s="1" t="n">
        <v>3060.15</v>
      </c>
      <c r="J3148" s="1" t="str">
        <f aca="false">VLOOKUP(B3148,Customers!$A$2:$G$502,6,FALSE())</f>
        <v>Consumer</v>
      </c>
      <c r="K3148" s="1" t="str">
        <f aca="false">VLOOKUP(C3148,Products!$A$2:$E$62,3,FALSE())</f>
        <v>Software</v>
      </c>
      <c r="L3148" s="1" t="str">
        <f aca="false">TEXT(D3148,"yyyy-mm")</f>
        <v>2023-06</v>
      </c>
    </row>
    <row r="3149" customFormat="false" ht="15" hidden="false" customHeight="true" outlineLevel="0" collapsed="false">
      <c r="A3149" s="1" t="n">
        <v>3219</v>
      </c>
      <c r="B3149" s="1" t="n">
        <v>334</v>
      </c>
      <c r="C3149" s="1" t="n">
        <v>49</v>
      </c>
      <c r="D3149" s="1" t="s">
        <v>852</v>
      </c>
      <c r="E3149" s="1" t="n">
        <v>3</v>
      </c>
      <c r="F3149" s="1" t="n">
        <v>325.17</v>
      </c>
      <c r="G3149" s="1" t="n">
        <v>0.05</v>
      </c>
      <c r="H3149" s="1" t="s">
        <v>1336</v>
      </c>
      <c r="I3149" s="1" t="n">
        <v>926.73</v>
      </c>
      <c r="J3149" s="1" t="str">
        <f aca="false">VLOOKUP(B3149,Customers!$A$2:$G$502,6,FALSE())</f>
        <v>Unknown</v>
      </c>
      <c r="K3149" s="1" t="str">
        <f aca="false">VLOOKUP(C3149,Products!$A$2:$E$62,3,FALSE())</f>
        <v>Software</v>
      </c>
      <c r="L3149" s="1" t="str">
        <f aca="false">TEXT(D3149,"yyyy-mm")</f>
        <v>2023-04</v>
      </c>
    </row>
    <row r="3150" customFormat="false" ht="15" hidden="false" customHeight="true" outlineLevel="0" collapsed="false">
      <c r="A3150" s="1" t="n">
        <v>3220</v>
      </c>
      <c r="B3150" s="1" t="n">
        <v>319</v>
      </c>
      <c r="C3150" s="1" t="n">
        <v>31</v>
      </c>
      <c r="D3150" s="1" t="s">
        <v>614</v>
      </c>
      <c r="E3150" s="1" t="n">
        <v>9</v>
      </c>
      <c r="F3150" s="1" t="n">
        <v>224.86</v>
      </c>
      <c r="G3150" s="1" t="n">
        <v>0.05</v>
      </c>
      <c r="H3150" s="1" t="s">
        <v>1336</v>
      </c>
      <c r="I3150" s="1" t="n">
        <v>1922.55</v>
      </c>
      <c r="J3150" s="1" t="str">
        <f aca="false">VLOOKUP(B3150,Customers!$A$2:$G$502,6,FALSE())</f>
        <v>Corporate</v>
      </c>
      <c r="K3150" s="1" t="str">
        <f aca="false">VLOOKUP(C3150,Products!$A$2:$E$62,3,FALSE())</f>
        <v>Office Supplies</v>
      </c>
      <c r="L3150" s="1" t="str">
        <f aca="false">TEXT(D3150,"yyyy-mm")</f>
        <v>2023-07</v>
      </c>
    </row>
    <row r="3151" customFormat="false" ht="15" hidden="false" customHeight="true" outlineLevel="0" collapsed="false">
      <c r="A3151" s="1" t="n">
        <v>3221</v>
      </c>
      <c r="B3151" s="1" t="n">
        <v>116</v>
      </c>
      <c r="C3151" s="1" t="n">
        <v>46</v>
      </c>
      <c r="D3151" s="1" t="s">
        <v>1601</v>
      </c>
      <c r="E3151" s="1" t="n">
        <v>6</v>
      </c>
      <c r="F3151" s="1" t="n">
        <v>94.92</v>
      </c>
      <c r="G3151" s="1" t="n">
        <v>0</v>
      </c>
      <c r="H3151" s="1" t="s">
        <v>1336</v>
      </c>
      <c r="I3151" s="1" t="n">
        <v>569.52</v>
      </c>
      <c r="J3151" s="1" t="str">
        <f aca="false">VLOOKUP(B3151,Customers!$A$2:$G$502,6,FALSE())</f>
        <v>Corporate</v>
      </c>
      <c r="K3151" s="1" t="str">
        <f aca="false">VLOOKUP(C3151,Products!$A$2:$E$62,3,FALSE())</f>
        <v>Software</v>
      </c>
      <c r="L3151" s="1" t="str">
        <f aca="false">TEXT(D3151,"yyyy-mm")</f>
        <v>2023-10</v>
      </c>
    </row>
    <row r="3152" customFormat="false" ht="15" hidden="false" customHeight="true" outlineLevel="0" collapsed="false">
      <c r="A3152" s="1" t="n">
        <v>3222</v>
      </c>
      <c r="B3152" s="1" t="n">
        <v>88</v>
      </c>
      <c r="C3152" s="1" t="n">
        <v>48</v>
      </c>
      <c r="D3152" s="1" t="s">
        <v>1691</v>
      </c>
      <c r="E3152" s="1" t="n">
        <v>4</v>
      </c>
      <c r="F3152" s="1" t="n">
        <v>493.53</v>
      </c>
      <c r="G3152" s="1" t="n">
        <v>0</v>
      </c>
      <c r="H3152" s="1" t="s">
        <v>1336</v>
      </c>
      <c r="I3152" s="1" t="n">
        <v>1974.12</v>
      </c>
      <c r="J3152" s="1" t="str">
        <f aca="false">VLOOKUP(B3152,Customers!$A$2:$G$502,6,FALSE())</f>
        <v>Corporate</v>
      </c>
      <c r="K3152" s="1" t="str">
        <f aca="false">VLOOKUP(C3152,Products!$A$2:$E$62,3,FALSE())</f>
        <v>Software</v>
      </c>
      <c r="L3152" s="1" t="str">
        <f aca="false">TEXT(D3152,"yyyy-mm")</f>
        <v>2023-10</v>
      </c>
    </row>
    <row r="3153" customFormat="false" ht="15" hidden="false" customHeight="true" outlineLevel="0" collapsed="false">
      <c r="A3153" s="1" t="n">
        <v>3223</v>
      </c>
      <c r="B3153" s="1" t="n">
        <v>416</v>
      </c>
      <c r="C3153" s="1" t="n">
        <v>52</v>
      </c>
      <c r="D3153" s="1" t="s">
        <v>390</v>
      </c>
      <c r="E3153" s="1" t="n">
        <v>7</v>
      </c>
      <c r="F3153" s="1" t="n">
        <v>207.67</v>
      </c>
      <c r="G3153" s="1" t="n">
        <v>0.05</v>
      </c>
      <c r="H3153" s="1" t="s">
        <v>1336</v>
      </c>
      <c r="I3153" s="1" t="n">
        <v>1381.01</v>
      </c>
      <c r="J3153" s="1" t="str">
        <f aca="false">VLOOKUP(B3153,Customers!$A$2:$G$502,6,FALSE())</f>
        <v>Small Business</v>
      </c>
      <c r="K3153" s="1" t="str">
        <f aca="false">VLOOKUP(C3153,Products!$A$2:$E$62,3,FALSE())</f>
        <v>Software</v>
      </c>
      <c r="L3153" s="1" t="str">
        <f aca="false">TEXT(D3153,"yyyy-mm")</f>
        <v>2023-03</v>
      </c>
    </row>
    <row r="3154" customFormat="false" ht="15" hidden="false" customHeight="true" outlineLevel="0" collapsed="false">
      <c r="A3154" s="1" t="n">
        <v>3224</v>
      </c>
      <c r="B3154" s="1" t="n">
        <v>158</v>
      </c>
      <c r="C3154" s="1" t="n">
        <v>58</v>
      </c>
      <c r="D3154" s="1" t="s">
        <v>642</v>
      </c>
      <c r="E3154" s="1" t="n">
        <v>8</v>
      </c>
      <c r="F3154" s="1" t="n">
        <v>515.55</v>
      </c>
      <c r="G3154" s="1" t="n">
        <v>0</v>
      </c>
      <c r="H3154" s="1" t="s">
        <v>1346</v>
      </c>
      <c r="I3154" s="1" t="n">
        <v>4124.4</v>
      </c>
      <c r="J3154" s="1" t="str">
        <f aca="false">VLOOKUP(B3154,Customers!$A$2:$G$502,6,FALSE())</f>
        <v>Small Business</v>
      </c>
      <c r="K3154" s="1" t="str">
        <f aca="false">VLOOKUP(C3154,Products!$A$2:$E$62,3,FALSE())</f>
        <v>Furniture</v>
      </c>
      <c r="L3154" s="1" t="str">
        <f aca="false">TEXT(D3154,"yyyy-mm")</f>
        <v>2023-01</v>
      </c>
    </row>
    <row r="3155" customFormat="false" ht="15" hidden="false" customHeight="true" outlineLevel="0" collapsed="false">
      <c r="A3155" s="1" t="n">
        <v>3225</v>
      </c>
      <c r="B3155" s="1" t="n">
        <v>87</v>
      </c>
      <c r="C3155" s="1" t="n">
        <v>19</v>
      </c>
      <c r="D3155" s="1" t="s">
        <v>897</v>
      </c>
      <c r="E3155" s="1" t="n">
        <v>6</v>
      </c>
      <c r="F3155" s="1" t="n">
        <v>163.64</v>
      </c>
      <c r="G3155" s="1" t="n">
        <v>0.2</v>
      </c>
      <c r="H3155" s="1" t="s">
        <v>1336</v>
      </c>
      <c r="I3155" s="1" t="n">
        <v>785.47</v>
      </c>
      <c r="J3155" s="1" t="str">
        <f aca="false">VLOOKUP(B3155,Customers!$A$2:$G$502,6,FALSE())</f>
        <v>Corporate</v>
      </c>
      <c r="K3155" s="1" t="str">
        <f aca="false">VLOOKUP(C3155,Products!$A$2:$E$62,3,FALSE())</f>
        <v>Office Supplies</v>
      </c>
      <c r="L3155" s="1" t="str">
        <f aca="false">TEXT(D3155,"yyyy-mm")</f>
        <v>2024-07</v>
      </c>
    </row>
    <row r="3156" customFormat="false" ht="15" hidden="false" customHeight="true" outlineLevel="0" collapsed="false">
      <c r="A3156" s="1" t="n">
        <v>3226</v>
      </c>
      <c r="B3156" s="1" t="n">
        <v>355</v>
      </c>
      <c r="C3156" s="1" t="n">
        <v>18</v>
      </c>
      <c r="D3156" s="1" t="s">
        <v>12</v>
      </c>
      <c r="E3156" s="1" t="n">
        <v>5</v>
      </c>
      <c r="F3156" s="1" t="n">
        <v>747.34</v>
      </c>
      <c r="G3156" s="1" t="n">
        <v>0.2</v>
      </c>
      <c r="H3156" s="1" t="s">
        <v>1336</v>
      </c>
      <c r="I3156" s="1" t="n">
        <v>2989.36</v>
      </c>
      <c r="J3156" s="1" t="str">
        <f aca="false">VLOOKUP(B3156,Customers!$A$2:$G$502,6,FALSE())</f>
        <v>Corporate</v>
      </c>
      <c r="K3156" s="1" t="str">
        <f aca="false">VLOOKUP(C3156,Products!$A$2:$E$62,3,FALSE())</f>
        <v>Electronics</v>
      </c>
      <c r="L3156" s="1" t="str">
        <f aca="false">TEXT(D3156,"yyyy-mm")</f>
        <v>2023-09</v>
      </c>
    </row>
    <row r="3157" customFormat="false" ht="15" hidden="false" customHeight="true" outlineLevel="0" collapsed="false">
      <c r="A3157" s="1" t="n">
        <v>3227</v>
      </c>
      <c r="B3157" s="1" t="n">
        <v>211</v>
      </c>
      <c r="C3157" s="1" t="n">
        <v>23</v>
      </c>
      <c r="D3157" s="1" t="s">
        <v>783</v>
      </c>
      <c r="E3157" s="1" t="n">
        <v>6</v>
      </c>
      <c r="F3157" s="1" t="n">
        <v>188.73</v>
      </c>
      <c r="G3157" s="1" t="n">
        <v>0</v>
      </c>
      <c r="H3157" s="1" t="s">
        <v>1336</v>
      </c>
      <c r="I3157" s="1" t="n">
        <v>1132.38</v>
      </c>
      <c r="J3157" s="1" t="str">
        <f aca="false">VLOOKUP(B3157,Customers!$A$2:$G$502,6,FALSE())</f>
        <v>Consumer</v>
      </c>
      <c r="K3157" s="1" t="str">
        <f aca="false">VLOOKUP(C3157,Products!$A$2:$E$62,3,FALSE())</f>
        <v>Office Supplies</v>
      </c>
      <c r="L3157" s="1" t="str">
        <f aca="false">TEXT(D3157,"yyyy-mm")</f>
        <v>2024-12</v>
      </c>
    </row>
    <row r="3158" customFormat="false" ht="15" hidden="false" customHeight="true" outlineLevel="0" collapsed="false">
      <c r="A3158" s="1" t="n">
        <v>3228</v>
      </c>
      <c r="B3158" s="1" t="n">
        <v>173</v>
      </c>
      <c r="C3158" s="1" t="n">
        <v>27</v>
      </c>
      <c r="D3158" s="1" t="s">
        <v>1614</v>
      </c>
      <c r="E3158" s="1" t="n">
        <v>5</v>
      </c>
      <c r="F3158" s="1" t="n">
        <v>772.58</v>
      </c>
      <c r="G3158" s="1" t="n">
        <v>0</v>
      </c>
      <c r="H3158" s="1" t="s">
        <v>1336</v>
      </c>
      <c r="I3158" s="1" t="n">
        <v>3862.9</v>
      </c>
      <c r="J3158" s="1" t="str">
        <f aca="false">VLOOKUP(B3158,Customers!$A$2:$G$502,6,FALSE())</f>
        <v>Consumer</v>
      </c>
      <c r="K3158" s="1" t="str">
        <f aca="false">VLOOKUP(C3158,Products!$A$2:$E$62,3,FALSE())</f>
        <v>Office Supplies</v>
      </c>
      <c r="L3158" s="1" t="str">
        <f aca="false">TEXT(D3158,"yyyy-mm")</f>
        <v>2023-10</v>
      </c>
    </row>
    <row r="3159" customFormat="false" ht="15" hidden="false" customHeight="true" outlineLevel="0" collapsed="false">
      <c r="A3159" s="1" t="n">
        <v>3229</v>
      </c>
      <c r="B3159" s="1" t="n">
        <v>99</v>
      </c>
      <c r="C3159" s="1" t="n">
        <v>40</v>
      </c>
      <c r="D3159" s="1" t="s">
        <v>217</v>
      </c>
      <c r="E3159" s="1" t="n">
        <v>8</v>
      </c>
      <c r="F3159" s="1" t="n">
        <v>193.02</v>
      </c>
      <c r="G3159" s="1" t="n">
        <v>0.1</v>
      </c>
      <c r="H3159" s="1" t="s">
        <v>1336</v>
      </c>
      <c r="I3159" s="1" t="n">
        <v>1389.74</v>
      </c>
      <c r="J3159" s="1" t="str">
        <f aca="false">VLOOKUP(B3159,Customers!$A$2:$G$502,6,FALSE())</f>
        <v>Small Business</v>
      </c>
      <c r="K3159" s="1" t="str">
        <f aca="false">VLOOKUP(C3159,Products!$A$2:$E$62,3,FALSE())</f>
        <v>Software</v>
      </c>
      <c r="L3159" s="1" t="str">
        <f aca="false">TEXT(D3159,"yyyy-mm")</f>
        <v>2024-07</v>
      </c>
    </row>
    <row r="3160" customFormat="false" ht="15" hidden="false" customHeight="true" outlineLevel="0" collapsed="false">
      <c r="A3160" s="1" t="n">
        <v>3230</v>
      </c>
      <c r="B3160" s="1" t="n">
        <v>426</v>
      </c>
      <c r="C3160" s="1" t="n">
        <v>41</v>
      </c>
      <c r="D3160" s="1" t="s">
        <v>133</v>
      </c>
      <c r="E3160" s="1" t="n">
        <v>1</v>
      </c>
      <c r="F3160" s="1" t="n">
        <v>594.54</v>
      </c>
      <c r="G3160" s="1" t="n">
        <v>0</v>
      </c>
      <c r="H3160" s="1" t="s">
        <v>1336</v>
      </c>
      <c r="I3160" s="1" t="n">
        <v>594.54</v>
      </c>
      <c r="J3160" s="1" t="str">
        <f aca="false">VLOOKUP(B3160,Customers!$A$2:$G$502,6,FALSE())</f>
        <v>Consumer</v>
      </c>
      <c r="K3160" s="1" t="str">
        <f aca="false">VLOOKUP(C3160,Products!$A$2:$E$62,3,FALSE())</f>
        <v>Software</v>
      </c>
      <c r="L3160" s="1" t="str">
        <f aca="false">TEXT(D3160,"yyyy-mm")</f>
        <v>2023-05</v>
      </c>
    </row>
    <row r="3161" customFormat="false" ht="15" hidden="false" customHeight="true" outlineLevel="0" collapsed="false">
      <c r="A3161" s="1" t="n">
        <v>3231</v>
      </c>
      <c r="B3161" s="1" t="n">
        <v>261</v>
      </c>
      <c r="C3161" s="1" t="n">
        <v>59</v>
      </c>
      <c r="D3161" s="1" t="s">
        <v>257</v>
      </c>
      <c r="E3161" s="1" t="n">
        <v>7</v>
      </c>
      <c r="F3161" s="1" t="n">
        <v>438.89</v>
      </c>
      <c r="G3161" s="1" t="n">
        <v>0.05</v>
      </c>
      <c r="H3161" s="1" t="s">
        <v>1336</v>
      </c>
      <c r="I3161" s="1" t="n">
        <v>2918.62</v>
      </c>
      <c r="J3161" s="1" t="str">
        <f aca="false">VLOOKUP(B3161,Customers!$A$2:$G$502,6,FALSE())</f>
        <v>Consumer</v>
      </c>
      <c r="K3161" s="1" t="str">
        <f aca="false">VLOOKUP(C3161,Products!$A$2:$E$62,3,FALSE())</f>
        <v>Furniture</v>
      </c>
      <c r="L3161" s="1" t="str">
        <f aca="false">TEXT(D3161,"yyyy-mm")</f>
        <v>2023-07</v>
      </c>
    </row>
    <row r="3162" customFormat="false" ht="15" hidden="false" customHeight="true" outlineLevel="0" collapsed="false">
      <c r="A3162" s="1" t="n">
        <v>3232</v>
      </c>
      <c r="B3162" s="1" t="n">
        <v>330</v>
      </c>
      <c r="C3162" s="1" t="n">
        <v>13</v>
      </c>
      <c r="D3162" s="1" t="s">
        <v>1536</v>
      </c>
      <c r="E3162" s="1" t="n">
        <v>2</v>
      </c>
      <c r="F3162" s="1" t="n">
        <v>352.54</v>
      </c>
      <c r="G3162" s="1" t="n">
        <v>0.05</v>
      </c>
      <c r="H3162" s="1" t="s">
        <v>1336</v>
      </c>
      <c r="I3162" s="1" t="n">
        <v>669.83</v>
      </c>
      <c r="J3162" s="1" t="str">
        <f aca="false">VLOOKUP(B3162,Customers!$A$2:$G$502,6,FALSE())</f>
        <v>Corporate</v>
      </c>
      <c r="K3162" s="1" t="str">
        <f aca="false">VLOOKUP(C3162,Products!$A$2:$E$62,3,FALSE())</f>
        <v>Electronics</v>
      </c>
      <c r="L3162" s="1" t="str">
        <f aca="false">TEXT(D3162,"yyyy-mm")</f>
        <v>2023-11</v>
      </c>
    </row>
    <row r="3163" customFormat="false" ht="15" hidden="false" customHeight="true" outlineLevel="0" collapsed="false">
      <c r="A3163" s="1" t="n">
        <v>3233</v>
      </c>
      <c r="B3163" s="1" t="n">
        <v>90</v>
      </c>
      <c r="C3163" s="1" t="n">
        <v>3</v>
      </c>
      <c r="D3163" s="1" t="s">
        <v>1538</v>
      </c>
      <c r="E3163" s="1" t="n">
        <v>9</v>
      </c>
      <c r="F3163" s="1" t="n">
        <v>89.39</v>
      </c>
      <c r="G3163" s="1" t="n">
        <v>0</v>
      </c>
      <c r="H3163" s="1" t="s">
        <v>1336</v>
      </c>
      <c r="I3163" s="1" t="n">
        <v>804.51</v>
      </c>
      <c r="J3163" s="1" t="str">
        <f aca="false">VLOOKUP(B3163,Customers!$A$2:$G$502,6,FALSE())</f>
        <v>Consumer</v>
      </c>
      <c r="K3163" s="1" t="str">
        <f aca="false">VLOOKUP(C3163,Products!$A$2:$E$62,3,FALSE())</f>
        <v>Electronics</v>
      </c>
      <c r="L3163" s="1" t="str">
        <f aca="false">TEXT(D3163,"yyyy-mm")</f>
        <v>2024-10</v>
      </c>
    </row>
    <row r="3164" customFormat="false" ht="15" hidden="false" customHeight="true" outlineLevel="0" collapsed="false">
      <c r="A3164" s="1" t="n">
        <v>3234</v>
      </c>
      <c r="B3164" s="1" t="n">
        <v>480</v>
      </c>
      <c r="C3164" s="1" t="n">
        <v>28</v>
      </c>
      <c r="D3164" s="1" t="s">
        <v>1563</v>
      </c>
      <c r="E3164" s="1" t="n">
        <v>1</v>
      </c>
      <c r="F3164" s="1" t="n">
        <v>505.23</v>
      </c>
      <c r="G3164" s="1" t="n">
        <v>0</v>
      </c>
      <c r="H3164" s="1" t="s">
        <v>1336</v>
      </c>
      <c r="I3164" s="1" t="n">
        <v>505.23</v>
      </c>
      <c r="J3164" s="1" t="str">
        <f aca="false">VLOOKUP(B3164,Customers!$A$2:$G$502,6,FALSE())</f>
        <v>Unknown</v>
      </c>
      <c r="K3164" s="1" t="str">
        <f aca="false">VLOOKUP(C3164,Products!$A$2:$E$62,3,FALSE())</f>
        <v>Office Supplies</v>
      </c>
      <c r="L3164" s="1" t="str">
        <f aca="false">TEXT(D3164,"yyyy-mm")</f>
        <v>2024-09</v>
      </c>
    </row>
    <row r="3165" customFormat="false" ht="15" hidden="false" customHeight="true" outlineLevel="0" collapsed="false">
      <c r="A3165" s="1" t="n">
        <v>3235</v>
      </c>
      <c r="B3165" s="1" t="n">
        <v>48</v>
      </c>
      <c r="C3165" s="1" t="n">
        <v>37</v>
      </c>
      <c r="D3165" s="1" t="s">
        <v>1694</v>
      </c>
      <c r="E3165" s="1" t="n">
        <v>6</v>
      </c>
      <c r="F3165" s="1" t="n">
        <v>13.95</v>
      </c>
      <c r="G3165" s="1" t="n">
        <v>0</v>
      </c>
      <c r="H3165" s="1" t="s">
        <v>1336</v>
      </c>
      <c r="I3165" s="1" t="n">
        <v>83.7</v>
      </c>
      <c r="J3165" s="1" t="str">
        <f aca="false">VLOOKUP(B3165,Customers!$A$2:$G$502,6,FALSE())</f>
        <v>Small Business</v>
      </c>
      <c r="K3165" s="1" t="str">
        <f aca="false">VLOOKUP(C3165,Products!$A$2:$E$62,3,FALSE())</f>
        <v>Software</v>
      </c>
      <c r="L3165" s="1" t="str">
        <f aca="false">TEXT(D3165,"yyyy-mm")</f>
        <v>2023-09</v>
      </c>
    </row>
    <row r="3166" customFormat="false" ht="15" hidden="false" customHeight="true" outlineLevel="0" collapsed="false">
      <c r="A3166" s="1" t="n">
        <v>3236</v>
      </c>
      <c r="B3166" s="1" t="n">
        <v>312</v>
      </c>
      <c r="C3166" s="1" t="n">
        <v>44</v>
      </c>
      <c r="D3166" s="1" t="s">
        <v>503</v>
      </c>
      <c r="E3166" s="1" t="n">
        <v>9</v>
      </c>
      <c r="F3166" s="1" t="n">
        <v>508.26</v>
      </c>
      <c r="G3166" s="1" t="n">
        <v>0.2</v>
      </c>
      <c r="H3166" s="1" t="s">
        <v>1336</v>
      </c>
      <c r="I3166" s="1" t="n">
        <v>3659.47</v>
      </c>
      <c r="J3166" s="1" t="str">
        <f aca="false">VLOOKUP(B3166,Customers!$A$2:$G$502,6,FALSE())</f>
        <v>Small Business</v>
      </c>
      <c r="K3166" s="1" t="str">
        <f aca="false">VLOOKUP(C3166,Products!$A$2:$E$62,3,FALSE())</f>
        <v>Software</v>
      </c>
      <c r="L3166" s="1" t="str">
        <f aca="false">TEXT(D3166,"yyyy-mm")</f>
        <v>2023-01</v>
      </c>
    </row>
    <row r="3167" customFormat="false" ht="15" hidden="false" customHeight="true" outlineLevel="0" collapsed="false">
      <c r="A3167" s="1" t="n">
        <v>3237</v>
      </c>
      <c r="B3167" s="1" t="n">
        <v>335</v>
      </c>
      <c r="C3167" s="1" t="n">
        <v>41</v>
      </c>
      <c r="D3167" s="1" t="s">
        <v>1651</v>
      </c>
      <c r="E3167" s="1" t="n">
        <v>1</v>
      </c>
      <c r="F3167" s="1" t="n">
        <v>594.54</v>
      </c>
      <c r="G3167" s="1" t="n">
        <v>0</v>
      </c>
      <c r="H3167" s="1" t="s">
        <v>1336</v>
      </c>
      <c r="I3167" s="1" t="n">
        <v>594.54</v>
      </c>
      <c r="J3167" s="1" t="str">
        <f aca="false">VLOOKUP(B3167,Customers!$A$2:$G$502,6,FALSE())</f>
        <v>Small Business</v>
      </c>
      <c r="K3167" s="1" t="str">
        <f aca="false">VLOOKUP(C3167,Products!$A$2:$E$62,3,FALSE())</f>
        <v>Software</v>
      </c>
      <c r="L3167" s="1" t="str">
        <f aca="false">TEXT(D3167,"yyyy-mm")</f>
        <v>2023-06</v>
      </c>
    </row>
    <row r="3168" customFormat="false" ht="15" hidden="false" customHeight="true" outlineLevel="0" collapsed="false">
      <c r="A3168" s="1" t="n">
        <v>3238</v>
      </c>
      <c r="B3168" s="1" t="n">
        <v>139</v>
      </c>
      <c r="C3168" s="1" t="n">
        <v>27</v>
      </c>
      <c r="D3168" s="1" t="s">
        <v>1541</v>
      </c>
      <c r="E3168" s="1" t="n">
        <v>4</v>
      </c>
      <c r="F3168" s="1" t="n">
        <v>772.58</v>
      </c>
      <c r="G3168" s="1" t="n">
        <v>0</v>
      </c>
      <c r="H3168" s="1" t="s">
        <v>1336</v>
      </c>
      <c r="I3168" s="1" t="n">
        <v>3090.32</v>
      </c>
      <c r="J3168" s="1" t="str">
        <f aca="false">VLOOKUP(B3168,Customers!$A$2:$G$502,6,FALSE())</f>
        <v>Consumer</v>
      </c>
      <c r="K3168" s="1" t="str">
        <f aca="false">VLOOKUP(C3168,Products!$A$2:$E$62,3,FALSE())</f>
        <v>Office Supplies</v>
      </c>
      <c r="L3168" s="1" t="str">
        <f aca="false">TEXT(D3168,"yyyy-mm")</f>
        <v>2023-07</v>
      </c>
    </row>
    <row r="3169" customFormat="false" ht="15" hidden="false" customHeight="true" outlineLevel="0" collapsed="false">
      <c r="A3169" s="1" t="n">
        <v>3239</v>
      </c>
      <c r="B3169" s="1" t="n">
        <v>122</v>
      </c>
      <c r="C3169" s="1" t="n">
        <v>17</v>
      </c>
      <c r="D3169" s="1" t="s">
        <v>1699</v>
      </c>
      <c r="E3169" s="1" t="n">
        <v>4</v>
      </c>
      <c r="F3169" s="1" t="n">
        <v>65.61</v>
      </c>
      <c r="G3169" s="1" t="n">
        <v>0.05</v>
      </c>
      <c r="H3169" s="1" t="s">
        <v>1336</v>
      </c>
      <c r="I3169" s="1" t="n">
        <v>249.32</v>
      </c>
      <c r="J3169" s="1" t="str">
        <f aca="false">VLOOKUP(B3169,Customers!$A$2:$G$502,6,FALSE())</f>
        <v>Corporate</v>
      </c>
      <c r="K3169" s="1" t="str">
        <f aca="false">VLOOKUP(C3169,Products!$A$2:$E$62,3,FALSE())</f>
        <v>Electronics</v>
      </c>
      <c r="L3169" s="1" t="str">
        <f aca="false">TEXT(D3169,"yyyy-mm")</f>
        <v>2023-08</v>
      </c>
    </row>
    <row r="3170" customFormat="false" ht="15" hidden="false" customHeight="true" outlineLevel="0" collapsed="false">
      <c r="A3170" s="1" t="n">
        <v>3240</v>
      </c>
      <c r="B3170" s="1" t="n">
        <v>463</v>
      </c>
      <c r="C3170" s="1" t="n">
        <v>40</v>
      </c>
      <c r="D3170" s="1" t="s">
        <v>1695</v>
      </c>
      <c r="E3170" s="1" t="n">
        <v>9</v>
      </c>
      <c r="F3170" s="1" t="n">
        <v>193.02</v>
      </c>
      <c r="G3170" s="1" t="n">
        <v>0.15</v>
      </c>
      <c r="H3170" s="1" t="s">
        <v>1336</v>
      </c>
      <c r="I3170" s="1" t="n">
        <v>1476.6</v>
      </c>
      <c r="J3170" s="1" t="str">
        <f aca="false">VLOOKUP(B3170,Customers!$A$2:$G$502,6,FALSE())</f>
        <v>Consumer</v>
      </c>
      <c r="K3170" s="1" t="str">
        <f aca="false">VLOOKUP(C3170,Products!$A$2:$E$62,3,FALSE())</f>
        <v>Software</v>
      </c>
      <c r="L3170" s="1" t="str">
        <f aca="false">TEXT(D3170,"yyyy-mm")</f>
        <v>2023-09</v>
      </c>
    </row>
    <row r="3171" customFormat="false" ht="15" hidden="false" customHeight="true" outlineLevel="0" collapsed="false">
      <c r="A3171" s="1" t="n">
        <v>3241</v>
      </c>
      <c r="B3171" s="1" t="n">
        <v>90</v>
      </c>
      <c r="C3171" s="1" t="n">
        <v>19</v>
      </c>
      <c r="D3171" s="1" t="s">
        <v>1646</v>
      </c>
      <c r="E3171" s="1" t="n">
        <v>5</v>
      </c>
      <c r="F3171" s="1" t="n">
        <v>163.64</v>
      </c>
      <c r="G3171" s="1" t="n">
        <v>0.15</v>
      </c>
      <c r="H3171" s="1" t="s">
        <v>1336</v>
      </c>
      <c r="I3171" s="1" t="n">
        <v>695.47</v>
      </c>
      <c r="J3171" s="1" t="str">
        <f aca="false">VLOOKUP(B3171,Customers!$A$2:$G$502,6,FALSE())</f>
        <v>Consumer</v>
      </c>
      <c r="K3171" s="1" t="str">
        <f aca="false">VLOOKUP(C3171,Products!$A$2:$E$62,3,FALSE())</f>
        <v>Office Supplies</v>
      </c>
      <c r="L3171" s="1" t="str">
        <f aca="false">TEXT(D3171,"yyyy-mm")</f>
        <v>2023-09</v>
      </c>
    </row>
    <row r="3172" customFormat="false" ht="15" hidden="false" customHeight="true" outlineLevel="0" collapsed="false">
      <c r="A3172" s="1" t="n">
        <v>3242</v>
      </c>
      <c r="B3172" s="1" t="n">
        <v>169</v>
      </c>
      <c r="C3172" s="1" t="n">
        <v>22</v>
      </c>
      <c r="D3172" s="1" t="s">
        <v>1540</v>
      </c>
      <c r="E3172" s="1" t="n">
        <v>5</v>
      </c>
      <c r="F3172" s="1" t="n">
        <v>38.57</v>
      </c>
      <c r="G3172" s="1" t="n">
        <v>0.05</v>
      </c>
      <c r="H3172" s="1" t="s">
        <v>1336</v>
      </c>
      <c r="I3172" s="1" t="n">
        <v>183.21</v>
      </c>
      <c r="J3172" s="1" t="str">
        <f aca="false">VLOOKUP(B3172,Customers!$A$2:$G$502,6,FALSE())</f>
        <v>Consumer</v>
      </c>
      <c r="K3172" s="1" t="str">
        <f aca="false">VLOOKUP(C3172,Products!$A$2:$E$62,3,FALSE())</f>
        <v>Office Supplies</v>
      </c>
      <c r="L3172" s="1" t="str">
        <f aca="false">TEXT(D3172,"yyyy-mm")</f>
        <v>2023-01</v>
      </c>
    </row>
    <row r="3173" customFormat="false" ht="15" hidden="false" customHeight="true" outlineLevel="0" collapsed="false">
      <c r="A3173" s="1" t="n">
        <v>3243</v>
      </c>
      <c r="B3173" s="1" t="n">
        <v>178</v>
      </c>
      <c r="C3173" s="1" t="n">
        <v>11</v>
      </c>
      <c r="D3173" s="1" t="s">
        <v>1255</v>
      </c>
      <c r="E3173" s="1" t="n">
        <v>6</v>
      </c>
      <c r="F3173" s="1" t="n">
        <v>328.39</v>
      </c>
      <c r="G3173" s="1" t="n">
        <v>0.15</v>
      </c>
      <c r="H3173" s="1" t="s">
        <v>1346</v>
      </c>
      <c r="I3173" s="1" t="n">
        <v>1674.79</v>
      </c>
      <c r="J3173" s="1" t="str">
        <f aca="false">VLOOKUP(B3173,Customers!$A$2:$G$502,6,FALSE())</f>
        <v>Consumer</v>
      </c>
      <c r="K3173" s="1" t="str">
        <f aca="false">VLOOKUP(C3173,Products!$A$2:$E$62,3,FALSE())</f>
        <v>Electronics</v>
      </c>
      <c r="L3173" s="1" t="str">
        <f aca="false">TEXT(D3173,"yyyy-mm")</f>
        <v>2024-07</v>
      </c>
    </row>
    <row r="3174" customFormat="false" ht="15" hidden="false" customHeight="true" outlineLevel="0" collapsed="false">
      <c r="A3174" s="1" t="n">
        <v>3244</v>
      </c>
      <c r="B3174" s="1" t="n">
        <v>140</v>
      </c>
      <c r="C3174" s="1" t="n">
        <v>57</v>
      </c>
      <c r="D3174" s="1" t="s">
        <v>1656</v>
      </c>
      <c r="E3174" s="1" t="n">
        <v>1</v>
      </c>
      <c r="F3174" s="1" t="n">
        <v>719.76</v>
      </c>
      <c r="G3174" s="1" t="n">
        <v>0.2</v>
      </c>
      <c r="H3174" s="1" t="s">
        <v>1336</v>
      </c>
      <c r="I3174" s="1" t="n">
        <v>575.81</v>
      </c>
      <c r="J3174" s="1" t="str">
        <f aca="false">VLOOKUP(B3174,Customers!$A$2:$G$502,6,FALSE())</f>
        <v>Unknown</v>
      </c>
      <c r="K3174" s="1" t="str">
        <f aca="false">VLOOKUP(C3174,Products!$A$2:$E$62,3,FALSE())</f>
        <v>Furniture</v>
      </c>
      <c r="L3174" s="1" t="str">
        <f aca="false">TEXT(D3174,"yyyy-mm")</f>
        <v>2024-05</v>
      </c>
    </row>
    <row r="3175" customFormat="false" ht="15" hidden="false" customHeight="true" outlineLevel="0" collapsed="false">
      <c r="A3175" s="1" t="n">
        <v>3245</v>
      </c>
      <c r="B3175" s="1" t="n">
        <v>310</v>
      </c>
      <c r="C3175" s="1" t="n">
        <v>56</v>
      </c>
      <c r="D3175" s="1" t="s">
        <v>1459</v>
      </c>
      <c r="E3175" s="1" t="n">
        <v>1</v>
      </c>
      <c r="F3175" s="1" t="n">
        <v>160.64</v>
      </c>
      <c r="G3175" s="1" t="n">
        <v>0</v>
      </c>
      <c r="H3175" s="1" t="s">
        <v>1336</v>
      </c>
      <c r="I3175" s="1" t="n">
        <v>160.64</v>
      </c>
      <c r="J3175" s="1" t="str">
        <f aca="false">VLOOKUP(B3175,Customers!$A$2:$G$502,6,FALSE())</f>
        <v>Small Business</v>
      </c>
      <c r="K3175" s="1" t="str">
        <f aca="false">VLOOKUP(C3175,Products!$A$2:$E$62,3,FALSE())</f>
        <v>Furniture</v>
      </c>
      <c r="L3175" s="1" t="str">
        <f aca="false">TEXT(D3175,"yyyy-mm")</f>
        <v>2024-03</v>
      </c>
    </row>
    <row r="3176" customFormat="false" ht="15" hidden="false" customHeight="true" outlineLevel="0" collapsed="false">
      <c r="A3176" s="1" t="n">
        <v>3247</v>
      </c>
      <c r="B3176" s="1" t="n">
        <v>391</v>
      </c>
      <c r="C3176" s="1" t="n">
        <v>38</v>
      </c>
      <c r="D3176" s="1" t="s">
        <v>1588</v>
      </c>
      <c r="E3176" s="1" t="n">
        <v>3</v>
      </c>
      <c r="F3176" s="1" t="n">
        <v>521.63</v>
      </c>
      <c r="G3176" s="1" t="n">
        <v>0</v>
      </c>
      <c r="H3176" s="1" t="s">
        <v>1336</v>
      </c>
      <c r="I3176" s="1" t="n">
        <v>1564.89</v>
      </c>
      <c r="J3176" s="1" t="str">
        <f aca="false">VLOOKUP(B3176,Customers!$A$2:$G$502,6,FALSE())</f>
        <v>Small Business</v>
      </c>
      <c r="K3176" s="1" t="str">
        <f aca="false">VLOOKUP(C3176,Products!$A$2:$E$62,3,FALSE())</f>
        <v>Software</v>
      </c>
      <c r="L3176" s="1" t="str">
        <f aca="false">TEXT(D3176,"yyyy-mm")</f>
        <v>2024-08</v>
      </c>
    </row>
    <row r="3177" customFormat="false" ht="15" hidden="false" customHeight="true" outlineLevel="0" collapsed="false">
      <c r="A3177" s="1" t="n">
        <v>3248</v>
      </c>
      <c r="B3177" s="1" t="n">
        <v>141</v>
      </c>
      <c r="C3177" s="1" t="n">
        <v>19</v>
      </c>
      <c r="D3177" s="1" t="s">
        <v>1106</v>
      </c>
      <c r="E3177" s="1" t="n">
        <v>4</v>
      </c>
      <c r="F3177" s="1" t="n">
        <v>163.64</v>
      </c>
      <c r="G3177" s="1" t="n">
        <v>0.15</v>
      </c>
      <c r="H3177" s="1" t="s">
        <v>1336</v>
      </c>
      <c r="I3177" s="1" t="n">
        <v>556.38</v>
      </c>
      <c r="J3177" s="1" t="str">
        <f aca="false">VLOOKUP(B3177,Customers!$A$2:$G$502,6,FALSE())</f>
        <v>Small Business</v>
      </c>
      <c r="K3177" s="1" t="str">
        <f aca="false">VLOOKUP(C3177,Products!$A$2:$E$62,3,FALSE())</f>
        <v>Office Supplies</v>
      </c>
      <c r="L3177" s="1" t="str">
        <f aca="false">TEXT(D3177,"yyyy-mm")</f>
        <v>2024-09</v>
      </c>
    </row>
    <row r="3178" customFormat="false" ht="15" hidden="false" customHeight="true" outlineLevel="0" collapsed="false">
      <c r="A3178" s="1" t="n">
        <v>3249</v>
      </c>
      <c r="B3178" s="1" t="n">
        <v>302</v>
      </c>
      <c r="C3178" s="1" t="n">
        <v>35</v>
      </c>
      <c r="D3178" s="1" t="s">
        <v>1106</v>
      </c>
      <c r="E3178" s="1" t="n">
        <v>1</v>
      </c>
      <c r="F3178" s="1" t="n">
        <v>75.78</v>
      </c>
      <c r="G3178" s="1" t="n">
        <v>0.1</v>
      </c>
      <c r="H3178" s="1" t="s">
        <v>1336</v>
      </c>
      <c r="I3178" s="1" t="n">
        <v>68.2</v>
      </c>
      <c r="J3178" s="1" t="str">
        <f aca="false">VLOOKUP(B3178,Customers!$A$2:$G$502,6,FALSE())</f>
        <v>Corporate</v>
      </c>
      <c r="K3178" s="1" t="str">
        <f aca="false">VLOOKUP(C3178,Products!$A$2:$E$62,3,FALSE())</f>
        <v>Software</v>
      </c>
      <c r="L3178" s="1" t="str">
        <f aca="false">TEXT(D3178,"yyyy-mm")</f>
        <v>2024-09</v>
      </c>
    </row>
    <row r="3179" customFormat="false" ht="15" hidden="false" customHeight="true" outlineLevel="0" collapsed="false">
      <c r="A3179" s="1" t="n">
        <v>3250</v>
      </c>
      <c r="B3179" s="1" t="n">
        <v>437</v>
      </c>
      <c r="C3179" s="1" t="n">
        <v>55</v>
      </c>
      <c r="D3179" s="1" t="s">
        <v>713</v>
      </c>
      <c r="E3179" s="1" t="n">
        <v>9</v>
      </c>
      <c r="F3179" s="1" t="n">
        <v>123.38</v>
      </c>
      <c r="G3179" s="1" t="n">
        <v>0</v>
      </c>
      <c r="H3179" s="1" t="s">
        <v>1336</v>
      </c>
      <c r="I3179" s="1" t="n">
        <v>1110.42</v>
      </c>
      <c r="J3179" s="1" t="str">
        <f aca="false">VLOOKUP(B3179,Customers!$A$2:$G$502,6,FALSE())</f>
        <v>Small Business</v>
      </c>
      <c r="K3179" s="1" t="str">
        <f aca="false">VLOOKUP(C3179,Products!$A$2:$E$62,3,FALSE())</f>
        <v>Furniture</v>
      </c>
      <c r="L3179" s="1" t="str">
        <f aca="false">TEXT(D3179,"yyyy-mm")</f>
        <v>2024-10</v>
      </c>
    </row>
    <row r="3180" customFormat="false" ht="15" hidden="false" customHeight="true" outlineLevel="0" collapsed="false">
      <c r="A3180" s="1" t="n">
        <v>3251</v>
      </c>
      <c r="B3180" s="1" t="n">
        <v>434</v>
      </c>
      <c r="C3180" s="1" t="n">
        <v>17</v>
      </c>
      <c r="D3180" s="1" t="s">
        <v>1507</v>
      </c>
      <c r="E3180" s="1" t="n">
        <v>8</v>
      </c>
      <c r="F3180" s="1" t="n">
        <v>65.61</v>
      </c>
      <c r="G3180" s="1" t="n">
        <v>0.05</v>
      </c>
      <c r="H3180" s="1" t="s">
        <v>1346</v>
      </c>
      <c r="I3180" s="1" t="n">
        <v>498.64</v>
      </c>
      <c r="J3180" s="1" t="str">
        <f aca="false">VLOOKUP(B3180,Customers!$A$2:$G$502,6,FALSE())</f>
        <v>Consumer</v>
      </c>
      <c r="K3180" s="1" t="str">
        <f aca="false">VLOOKUP(C3180,Products!$A$2:$E$62,3,FALSE())</f>
        <v>Electronics</v>
      </c>
      <c r="L3180" s="1" t="str">
        <f aca="false">TEXT(D3180,"yyyy-mm")</f>
        <v>2024-09</v>
      </c>
    </row>
    <row r="3181" customFormat="false" ht="15" hidden="false" customHeight="true" outlineLevel="0" collapsed="false">
      <c r="A3181" s="1" t="n">
        <v>3252</v>
      </c>
      <c r="B3181" s="1" t="n">
        <v>269</v>
      </c>
      <c r="C3181" s="1" t="n">
        <v>17</v>
      </c>
      <c r="D3181" s="1" t="s">
        <v>1641</v>
      </c>
      <c r="E3181" s="1" t="n">
        <v>2</v>
      </c>
      <c r="F3181" s="1" t="n">
        <v>65.61</v>
      </c>
      <c r="G3181" s="1" t="n">
        <v>0</v>
      </c>
      <c r="H3181" s="1" t="s">
        <v>1336</v>
      </c>
      <c r="I3181" s="1" t="n">
        <v>131.22</v>
      </c>
      <c r="J3181" s="1" t="str">
        <f aca="false">VLOOKUP(B3181,Customers!$A$2:$G$502,6,FALSE())</f>
        <v>Corporate</v>
      </c>
      <c r="K3181" s="1" t="str">
        <f aca="false">VLOOKUP(C3181,Products!$A$2:$E$62,3,FALSE())</f>
        <v>Electronics</v>
      </c>
      <c r="L3181" s="1" t="str">
        <f aca="false">TEXT(D3181,"yyyy-mm")</f>
        <v>2024-04</v>
      </c>
    </row>
    <row r="3182" customFormat="false" ht="15" hidden="false" customHeight="true" outlineLevel="0" collapsed="false">
      <c r="A3182" s="1" t="n">
        <v>3253</v>
      </c>
      <c r="B3182" s="1" t="n">
        <v>167</v>
      </c>
      <c r="C3182" s="1" t="n">
        <v>1</v>
      </c>
      <c r="D3182" s="1" t="s">
        <v>1479</v>
      </c>
      <c r="E3182" s="1" t="n">
        <v>8</v>
      </c>
      <c r="F3182" s="1" t="n">
        <v>327.32</v>
      </c>
      <c r="G3182" s="1" t="n">
        <v>0</v>
      </c>
      <c r="H3182" s="1" t="s">
        <v>1336</v>
      </c>
      <c r="I3182" s="1" t="n">
        <v>2618.56</v>
      </c>
      <c r="J3182" s="1" t="str">
        <f aca="false">VLOOKUP(B3182,Customers!$A$2:$G$502,6,FALSE())</f>
        <v>Unknown</v>
      </c>
      <c r="K3182" s="1" t="str">
        <f aca="false">VLOOKUP(C3182,Products!$A$2:$E$62,3,FALSE())</f>
        <v>Electronics</v>
      </c>
      <c r="L3182" s="1" t="str">
        <f aca="false">TEXT(D3182,"yyyy-mm")</f>
        <v>2024-10</v>
      </c>
    </row>
    <row r="3183" customFormat="false" ht="15" hidden="false" customHeight="true" outlineLevel="0" collapsed="false">
      <c r="A3183" s="1" t="n">
        <v>3254</v>
      </c>
      <c r="B3183" s="1" t="n">
        <v>50</v>
      </c>
      <c r="C3183" s="1" t="n">
        <v>25</v>
      </c>
      <c r="D3183" s="1" t="s">
        <v>1348</v>
      </c>
      <c r="E3183" s="1" t="n">
        <v>7</v>
      </c>
      <c r="F3183" s="1" t="n">
        <v>300.49</v>
      </c>
      <c r="G3183" s="1" t="n">
        <v>0.15</v>
      </c>
      <c r="H3183" s="1" t="s">
        <v>1336</v>
      </c>
      <c r="I3183" s="1" t="n">
        <v>1787.92</v>
      </c>
      <c r="J3183" s="1" t="str">
        <f aca="false">VLOOKUP(B3183,Customers!$A$2:$G$502,6,FALSE())</f>
        <v>Consumer</v>
      </c>
      <c r="K3183" s="1" t="str">
        <f aca="false">VLOOKUP(C3183,Products!$A$2:$E$62,3,FALSE())</f>
        <v>Office Supplies</v>
      </c>
      <c r="L3183" s="1" t="str">
        <f aca="false">TEXT(D3183,"yyyy-mm")</f>
        <v>2024-05</v>
      </c>
    </row>
    <row r="3184" customFormat="false" ht="15" hidden="false" customHeight="true" outlineLevel="0" collapsed="false">
      <c r="A3184" s="1" t="n">
        <v>3255</v>
      </c>
      <c r="B3184" s="1" t="n">
        <v>146</v>
      </c>
      <c r="C3184" s="1" t="n">
        <v>45</v>
      </c>
      <c r="D3184" s="1" t="s">
        <v>1386</v>
      </c>
      <c r="E3184" s="1" t="n">
        <v>6</v>
      </c>
      <c r="F3184" s="1" t="n">
        <v>560.01</v>
      </c>
      <c r="G3184" s="1" t="n">
        <v>0</v>
      </c>
      <c r="H3184" s="1" t="s">
        <v>1336</v>
      </c>
      <c r="I3184" s="1" t="n">
        <v>3360.06</v>
      </c>
      <c r="J3184" s="1" t="str">
        <f aca="false">VLOOKUP(B3184,Customers!$A$2:$G$502,6,FALSE())</f>
        <v>Consumer</v>
      </c>
      <c r="K3184" s="1" t="str">
        <f aca="false">VLOOKUP(C3184,Products!$A$2:$E$62,3,FALSE())</f>
        <v>Software</v>
      </c>
      <c r="L3184" s="1" t="str">
        <f aca="false">TEXT(D3184,"yyyy-mm")</f>
        <v>2023-08</v>
      </c>
    </row>
    <row r="3185" customFormat="false" ht="15" hidden="false" customHeight="true" outlineLevel="0" collapsed="false">
      <c r="A3185" s="1" t="n">
        <v>3256</v>
      </c>
      <c r="B3185" s="1" t="n">
        <v>10</v>
      </c>
      <c r="C3185" s="1" t="n">
        <v>57</v>
      </c>
      <c r="D3185" s="1" t="s">
        <v>24</v>
      </c>
      <c r="E3185" s="1" t="n">
        <v>1</v>
      </c>
      <c r="F3185" s="1" t="n">
        <v>719.76</v>
      </c>
      <c r="G3185" s="1" t="n">
        <v>0</v>
      </c>
      <c r="H3185" s="1" t="s">
        <v>1336</v>
      </c>
      <c r="I3185" s="1" t="n">
        <v>719.76</v>
      </c>
      <c r="J3185" s="1" t="str">
        <f aca="false">VLOOKUP(B3185,Customers!$A$2:$G$502,6,FALSE())</f>
        <v>Small Business</v>
      </c>
      <c r="K3185" s="1" t="str">
        <f aca="false">VLOOKUP(C3185,Products!$A$2:$E$62,3,FALSE())</f>
        <v>Furniture</v>
      </c>
      <c r="L3185" s="1" t="str">
        <f aca="false">TEXT(D3185,"yyyy-mm")</f>
        <v>2023-10</v>
      </c>
    </row>
    <row r="3186" customFormat="false" ht="15" hidden="false" customHeight="true" outlineLevel="0" collapsed="false">
      <c r="A3186" s="1" t="n">
        <v>3257</v>
      </c>
      <c r="B3186" s="1" t="n">
        <v>439</v>
      </c>
      <c r="C3186" s="1" t="n">
        <v>46</v>
      </c>
      <c r="D3186" s="1" t="s">
        <v>1477</v>
      </c>
      <c r="E3186" s="1" t="n">
        <v>7</v>
      </c>
      <c r="F3186" s="1" t="n">
        <v>94.92</v>
      </c>
      <c r="G3186" s="1" t="n">
        <v>0.2</v>
      </c>
      <c r="H3186" s="1" t="s">
        <v>1370</v>
      </c>
      <c r="I3186" s="1" t="n">
        <v>531.55</v>
      </c>
      <c r="J3186" s="1" t="str">
        <f aca="false">VLOOKUP(B3186,Customers!$A$2:$G$502,6,FALSE())</f>
        <v>Corporate</v>
      </c>
      <c r="K3186" s="1" t="str">
        <f aca="false">VLOOKUP(C3186,Products!$A$2:$E$62,3,FALSE())</f>
        <v>Software</v>
      </c>
      <c r="L3186" s="1" t="str">
        <f aca="false">TEXT(D3186,"yyyy-mm")</f>
        <v>2024-08</v>
      </c>
    </row>
    <row r="3187" customFormat="false" ht="15" hidden="false" customHeight="true" outlineLevel="0" collapsed="false">
      <c r="A3187" s="1" t="n">
        <v>3258</v>
      </c>
      <c r="B3187" s="1" t="n">
        <v>365</v>
      </c>
      <c r="C3187" s="1" t="n">
        <v>48</v>
      </c>
      <c r="D3187" s="1" t="s">
        <v>1593</v>
      </c>
      <c r="E3187" s="1" t="n">
        <v>7</v>
      </c>
      <c r="F3187" s="1" t="n">
        <v>493.53</v>
      </c>
      <c r="G3187" s="1" t="n">
        <v>0</v>
      </c>
      <c r="H3187" s="1" t="s">
        <v>1336</v>
      </c>
      <c r="I3187" s="1" t="n">
        <v>3454.71</v>
      </c>
      <c r="J3187" s="1" t="str">
        <f aca="false">VLOOKUP(B3187,Customers!$A$2:$G$502,6,FALSE())</f>
        <v>Small Business</v>
      </c>
      <c r="K3187" s="1" t="str">
        <f aca="false">VLOOKUP(C3187,Products!$A$2:$E$62,3,FALSE())</f>
        <v>Software</v>
      </c>
      <c r="L3187" s="1" t="str">
        <f aca="false">TEXT(D3187,"yyyy-mm")</f>
        <v>2023-09</v>
      </c>
    </row>
    <row r="3188" customFormat="false" ht="15" hidden="false" customHeight="true" outlineLevel="0" collapsed="false">
      <c r="A3188" s="1" t="n">
        <v>3259</v>
      </c>
      <c r="B3188" s="1" t="n">
        <v>301</v>
      </c>
      <c r="C3188" s="1" t="n">
        <v>11</v>
      </c>
      <c r="D3188" s="1" t="s">
        <v>1504</v>
      </c>
      <c r="E3188" s="1" t="n">
        <v>9</v>
      </c>
      <c r="F3188" s="1" t="n">
        <v>328.39</v>
      </c>
      <c r="G3188" s="1" t="n">
        <v>0.2</v>
      </c>
      <c r="H3188" s="1" t="s">
        <v>1336</v>
      </c>
      <c r="I3188" s="1" t="n">
        <v>2364.41</v>
      </c>
      <c r="J3188" s="1" t="str">
        <f aca="false">VLOOKUP(B3188,Customers!$A$2:$G$502,6,FALSE())</f>
        <v>Corporate</v>
      </c>
      <c r="K3188" s="1" t="str">
        <f aca="false">VLOOKUP(C3188,Products!$A$2:$E$62,3,FALSE())</f>
        <v>Electronics</v>
      </c>
      <c r="L3188" s="1" t="str">
        <f aca="false">TEXT(D3188,"yyyy-mm")</f>
        <v>2023-12</v>
      </c>
    </row>
    <row r="3189" customFormat="false" ht="15" hidden="false" customHeight="true" outlineLevel="0" collapsed="false">
      <c r="A3189" s="1" t="n">
        <v>3260</v>
      </c>
      <c r="B3189" s="1" t="n">
        <v>29</v>
      </c>
      <c r="C3189" s="1" t="n">
        <v>56</v>
      </c>
      <c r="D3189" s="1" t="s">
        <v>68</v>
      </c>
      <c r="E3189" s="1" t="n">
        <v>1</v>
      </c>
      <c r="F3189" s="1" t="n">
        <v>160.64</v>
      </c>
      <c r="G3189" s="1" t="n">
        <v>0.2</v>
      </c>
      <c r="H3189" s="1" t="s">
        <v>1336</v>
      </c>
      <c r="I3189" s="1" t="n">
        <v>128.51</v>
      </c>
      <c r="J3189" s="1" t="str">
        <f aca="false">VLOOKUP(B3189,Customers!$A$2:$G$502,6,FALSE())</f>
        <v>Small Business</v>
      </c>
      <c r="K3189" s="1" t="str">
        <f aca="false">VLOOKUP(C3189,Products!$A$2:$E$62,3,FALSE())</f>
        <v>Furniture</v>
      </c>
      <c r="L3189" s="1" t="str">
        <f aca="false">TEXT(D3189,"yyyy-mm")</f>
        <v>2024-11</v>
      </c>
    </row>
    <row r="3190" customFormat="false" ht="15" hidden="false" customHeight="true" outlineLevel="0" collapsed="false">
      <c r="A3190" s="1" t="n">
        <v>3261</v>
      </c>
      <c r="B3190" s="1" t="n">
        <v>382</v>
      </c>
      <c r="C3190" s="1" t="n">
        <v>12</v>
      </c>
      <c r="D3190" s="1" t="s">
        <v>1208</v>
      </c>
      <c r="E3190" s="1" t="n">
        <v>2</v>
      </c>
      <c r="F3190" s="1" t="n">
        <v>179.23</v>
      </c>
      <c r="G3190" s="1" t="n">
        <v>0.2</v>
      </c>
      <c r="H3190" s="1" t="s">
        <v>1336</v>
      </c>
      <c r="I3190" s="1" t="n">
        <v>286.77</v>
      </c>
      <c r="J3190" s="1" t="str">
        <f aca="false">VLOOKUP(B3190,Customers!$A$2:$G$502,6,FALSE())</f>
        <v>Corporate</v>
      </c>
      <c r="K3190" s="1" t="str">
        <f aca="false">VLOOKUP(C3190,Products!$A$2:$E$62,3,FALSE())</f>
        <v>Electronics</v>
      </c>
      <c r="L3190" s="1" t="str">
        <f aca="false">TEXT(D3190,"yyyy-mm")</f>
        <v>2024-01</v>
      </c>
    </row>
    <row r="3191" customFormat="false" ht="15" hidden="false" customHeight="true" outlineLevel="0" collapsed="false">
      <c r="A3191" s="1" t="n">
        <v>3262</v>
      </c>
      <c r="B3191" s="1" t="n">
        <v>390</v>
      </c>
      <c r="C3191" s="1" t="n">
        <v>49</v>
      </c>
      <c r="D3191" s="1" t="s">
        <v>1646</v>
      </c>
      <c r="E3191" s="1" t="n">
        <v>9</v>
      </c>
      <c r="F3191" s="1" t="n">
        <v>325.17</v>
      </c>
      <c r="G3191" s="1" t="n">
        <v>0.1</v>
      </c>
      <c r="H3191" s="1" t="s">
        <v>1336</v>
      </c>
      <c r="I3191" s="1" t="n">
        <v>2633.88</v>
      </c>
      <c r="J3191" s="1" t="str">
        <f aca="false">VLOOKUP(B3191,Customers!$A$2:$G$502,6,FALSE())</f>
        <v>Small Business</v>
      </c>
      <c r="K3191" s="1" t="str">
        <f aca="false">VLOOKUP(C3191,Products!$A$2:$E$62,3,FALSE())</f>
        <v>Software</v>
      </c>
      <c r="L3191" s="1" t="str">
        <f aca="false">TEXT(D3191,"yyyy-mm")</f>
        <v>2023-09</v>
      </c>
    </row>
    <row r="3192" customFormat="false" ht="15" hidden="false" customHeight="true" outlineLevel="0" collapsed="false">
      <c r="A3192" s="1" t="n">
        <v>3264</v>
      </c>
      <c r="B3192" s="1" t="n">
        <v>431</v>
      </c>
      <c r="C3192" s="1" t="n">
        <v>6</v>
      </c>
      <c r="D3192" s="1" t="s">
        <v>924</v>
      </c>
      <c r="E3192" s="1" t="n">
        <v>6</v>
      </c>
      <c r="F3192" s="1" t="n">
        <v>28.51</v>
      </c>
      <c r="G3192" s="1" t="n">
        <v>0.2</v>
      </c>
      <c r="H3192" s="1" t="s">
        <v>1336</v>
      </c>
      <c r="I3192" s="1" t="n">
        <v>136.85</v>
      </c>
      <c r="J3192" s="1" t="str">
        <f aca="false">VLOOKUP(B3192,Customers!$A$2:$G$502,6,FALSE())</f>
        <v>Consumer</v>
      </c>
      <c r="K3192" s="1" t="str">
        <f aca="false">VLOOKUP(C3192,Products!$A$2:$E$62,3,FALSE())</f>
        <v>Electronics</v>
      </c>
      <c r="L3192" s="1" t="str">
        <f aca="false">TEXT(D3192,"yyyy-mm")</f>
        <v>2023-01</v>
      </c>
    </row>
    <row r="3193" customFormat="false" ht="15" hidden="false" customHeight="true" outlineLevel="0" collapsed="false">
      <c r="A3193" s="1" t="n">
        <v>3265</v>
      </c>
      <c r="B3193" s="1" t="n">
        <v>308</v>
      </c>
      <c r="C3193" s="1" t="n">
        <v>22</v>
      </c>
      <c r="D3193" s="1" t="s">
        <v>1533</v>
      </c>
      <c r="E3193" s="1" t="n">
        <v>6</v>
      </c>
      <c r="F3193" s="1" t="n">
        <v>38.57</v>
      </c>
      <c r="G3193" s="1" t="n">
        <v>0.2</v>
      </c>
      <c r="H3193" s="1" t="s">
        <v>1336</v>
      </c>
      <c r="I3193" s="1" t="n">
        <v>185.14</v>
      </c>
      <c r="J3193" s="1" t="str">
        <f aca="false">VLOOKUP(B3193,Customers!$A$2:$G$502,6,FALSE())</f>
        <v>Consumer</v>
      </c>
      <c r="K3193" s="1" t="str">
        <f aca="false">VLOOKUP(C3193,Products!$A$2:$E$62,3,FALSE())</f>
        <v>Office Supplies</v>
      </c>
      <c r="L3193" s="1" t="str">
        <f aca="false">TEXT(D3193,"yyyy-mm")</f>
        <v>2023-03</v>
      </c>
    </row>
    <row r="3194" customFormat="false" ht="15" hidden="false" customHeight="true" outlineLevel="0" collapsed="false">
      <c r="A3194" s="1" t="n">
        <v>3266</v>
      </c>
      <c r="B3194" s="1" t="n">
        <v>258</v>
      </c>
      <c r="C3194" s="1" t="n">
        <v>56</v>
      </c>
      <c r="D3194" s="1" t="s">
        <v>248</v>
      </c>
      <c r="E3194" s="1" t="n">
        <v>4</v>
      </c>
      <c r="F3194" s="1" t="n">
        <v>160.64</v>
      </c>
      <c r="G3194" s="1" t="n">
        <v>0</v>
      </c>
      <c r="H3194" s="1" t="s">
        <v>1346</v>
      </c>
      <c r="I3194" s="1" t="n">
        <v>642.56</v>
      </c>
      <c r="J3194" s="1" t="str">
        <f aca="false">VLOOKUP(B3194,Customers!$A$2:$G$502,6,FALSE())</f>
        <v>Small Business</v>
      </c>
      <c r="K3194" s="1" t="str">
        <f aca="false">VLOOKUP(C3194,Products!$A$2:$E$62,3,FALSE())</f>
        <v>Furniture</v>
      </c>
      <c r="L3194" s="1" t="str">
        <f aca="false">TEXT(D3194,"yyyy-mm")</f>
        <v>2024-01</v>
      </c>
    </row>
    <row r="3195" customFormat="false" ht="15" hidden="false" customHeight="true" outlineLevel="0" collapsed="false">
      <c r="A3195" s="1" t="n">
        <v>3267</v>
      </c>
      <c r="B3195" s="1" t="n">
        <v>193</v>
      </c>
      <c r="C3195" s="1" t="n">
        <v>49</v>
      </c>
      <c r="D3195" s="1" t="s">
        <v>1672</v>
      </c>
      <c r="E3195" s="1" t="n">
        <v>4</v>
      </c>
      <c r="F3195" s="1" t="n">
        <v>325.17</v>
      </c>
      <c r="G3195" s="1" t="n">
        <v>0</v>
      </c>
      <c r="H3195" s="1" t="s">
        <v>1346</v>
      </c>
      <c r="I3195" s="1" t="n">
        <v>1300.68</v>
      </c>
      <c r="J3195" s="1" t="str">
        <f aca="false">VLOOKUP(B3195,Customers!$A$2:$G$502,6,FALSE())</f>
        <v>Consumer</v>
      </c>
      <c r="K3195" s="1" t="str">
        <f aca="false">VLOOKUP(C3195,Products!$A$2:$E$62,3,FALSE())</f>
        <v>Software</v>
      </c>
      <c r="L3195" s="1" t="str">
        <f aca="false">TEXT(D3195,"yyyy-mm")</f>
        <v>2024-05</v>
      </c>
    </row>
    <row r="3196" customFormat="false" ht="15" hidden="false" customHeight="true" outlineLevel="0" collapsed="false">
      <c r="A3196" s="1" t="n">
        <v>3268</v>
      </c>
      <c r="B3196" s="1" t="n">
        <v>100</v>
      </c>
      <c r="C3196" s="1" t="n">
        <v>48</v>
      </c>
      <c r="D3196" s="1" t="s">
        <v>1459</v>
      </c>
      <c r="E3196" s="1" t="n">
        <v>5</v>
      </c>
      <c r="F3196" s="1" t="n">
        <v>493.53</v>
      </c>
      <c r="G3196" s="1" t="n">
        <v>0</v>
      </c>
      <c r="H3196" s="1" t="s">
        <v>1336</v>
      </c>
      <c r="I3196" s="1" t="n">
        <v>2467.65</v>
      </c>
      <c r="J3196" s="1" t="str">
        <f aca="false">VLOOKUP(B3196,Customers!$A$2:$G$502,6,FALSE())</f>
        <v>Consumer</v>
      </c>
      <c r="K3196" s="1" t="str">
        <f aca="false">VLOOKUP(C3196,Products!$A$2:$E$62,3,FALSE())</f>
        <v>Software</v>
      </c>
      <c r="L3196" s="1" t="str">
        <f aca="false">TEXT(D3196,"yyyy-mm")</f>
        <v>2024-03</v>
      </c>
    </row>
    <row r="3197" customFormat="false" ht="15" hidden="false" customHeight="true" outlineLevel="0" collapsed="false">
      <c r="A3197" s="1" t="n">
        <v>3269</v>
      </c>
      <c r="B3197" s="1" t="n">
        <v>207</v>
      </c>
      <c r="C3197" s="1" t="n">
        <v>33</v>
      </c>
      <c r="D3197" s="1" t="s">
        <v>780</v>
      </c>
      <c r="E3197" s="1" t="n">
        <v>3</v>
      </c>
      <c r="F3197" s="1" t="n">
        <v>190.1</v>
      </c>
      <c r="G3197" s="1" t="n">
        <v>0.05</v>
      </c>
      <c r="H3197" s="1" t="s">
        <v>1336</v>
      </c>
      <c r="I3197" s="1" t="n">
        <v>541.78</v>
      </c>
      <c r="J3197" s="1" t="str">
        <f aca="false">VLOOKUP(B3197,Customers!$A$2:$G$502,6,FALSE())</f>
        <v>Corporate</v>
      </c>
      <c r="K3197" s="1" t="str">
        <f aca="false">VLOOKUP(C3197,Products!$A$2:$E$62,3,FALSE())</f>
        <v>Office Supplies</v>
      </c>
      <c r="L3197" s="1" t="str">
        <f aca="false">TEXT(D3197,"yyyy-mm")</f>
        <v>2024-09</v>
      </c>
    </row>
    <row r="3198" customFormat="false" ht="15" hidden="false" customHeight="true" outlineLevel="0" collapsed="false">
      <c r="A3198" s="1" t="n">
        <v>3270</v>
      </c>
      <c r="B3198" s="1" t="n">
        <v>346</v>
      </c>
      <c r="C3198" s="1" t="n">
        <v>10</v>
      </c>
      <c r="D3198" s="1" t="s">
        <v>710</v>
      </c>
      <c r="E3198" s="1" t="n">
        <v>1</v>
      </c>
      <c r="F3198" s="1" t="n">
        <v>251.58</v>
      </c>
      <c r="G3198" s="1" t="n">
        <v>0</v>
      </c>
      <c r="H3198" s="1" t="s">
        <v>1336</v>
      </c>
      <c r="I3198" s="1" t="n">
        <v>251.58</v>
      </c>
      <c r="J3198" s="1" t="str">
        <f aca="false">VLOOKUP(B3198,Customers!$A$2:$G$502,6,FALSE())</f>
        <v>Consumer</v>
      </c>
      <c r="K3198" s="1" t="str">
        <f aca="false">VLOOKUP(C3198,Products!$A$2:$E$62,3,FALSE())</f>
        <v>Electronics</v>
      </c>
      <c r="L3198" s="1" t="str">
        <f aca="false">TEXT(D3198,"yyyy-mm")</f>
        <v>2023-07</v>
      </c>
    </row>
    <row r="3199" customFormat="false" ht="15" hidden="false" customHeight="true" outlineLevel="0" collapsed="false">
      <c r="A3199" s="1" t="n">
        <v>3271</v>
      </c>
      <c r="B3199" s="1" t="n">
        <v>381</v>
      </c>
      <c r="C3199" s="1" t="n">
        <v>58</v>
      </c>
      <c r="D3199" s="1" t="s">
        <v>1569</v>
      </c>
      <c r="E3199" s="1" t="n">
        <v>1</v>
      </c>
      <c r="F3199" s="1" t="n">
        <v>515.55</v>
      </c>
      <c r="G3199" s="1" t="n">
        <v>0.05</v>
      </c>
      <c r="H3199" s="1" t="s">
        <v>1346</v>
      </c>
      <c r="I3199" s="1" t="n">
        <v>489.77</v>
      </c>
      <c r="J3199" s="1" t="str">
        <f aca="false">VLOOKUP(B3199,Customers!$A$2:$G$502,6,FALSE())</f>
        <v>Corporate</v>
      </c>
      <c r="K3199" s="1" t="str">
        <f aca="false">VLOOKUP(C3199,Products!$A$2:$E$62,3,FALSE())</f>
        <v>Furniture</v>
      </c>
      <c r="L3199" s="1" t="str">
        <f aca="false">TEXT(D3199,"yyyy-mm")</f>
        <v>2023-02</v>
      </c>
    </row>
    <row r="3200" customFormat="false" ht="15" hidden="false" customHeight="true" outlineLevel="0" collapsed="false">
      <c r="A3200" s="1" t="n">
        <v>3272</v>
      </c>
      <c r="B3200" s="1" t="n">
        <v>444</v>
      </c>
      <c r="C3200" s="1" t="n">
        <v>23</v>
      </c>
      <c r="D3200" s="1" t="s">
        <v>927</v>
      </c>
      <c r="E3200" s="1" t="n">
        <v>7</v>
      </c>
      <c r="F3200" s="1" t="n">
        <v>188.73</v>
      </c>
      <c r="G3200" s="1" t="n">
        <v>0.05</v>
      </c>
      <c r="H3200" s="1" t="s">
        <v>1346</v>
      </c>
      <c r="I3200" s="1" t="n">
        <v>1255.05</v>
      </c>
      <c r="J3200" s="1" t="str">
        <f aca="false">VLOOKUP(B3200,Customers!$A$2:$G$502,6,FALSE())</f>
        <v>Small Business</v>
      </c>
      <c r="K3200" s="1" t="str">
        <f aca="false">VLOOKUP(C3200,Products!$A$2:$E$62,3,FALSE())</f>
        <v>Office Supplies</v>
      </c>
      <c r="L3200" s="1" t="str">
        <f aca="false">TEXT(D3200,"yyyy-mm")</f>
        <v>2024-04</v>
      </c>
    </row>
    <row r="3201" customFormat="false" ht="15" hidden="false" customHeight="true" outlineLevel="0" collapsed="false">
      <c r="A3201" s="1" t="n">
        <v>3273</v>
      </c>
      <c r="B3201" s="1" t="n">
        <v>126</v>
      </c>
      <c r="C3201" s="1" t="n">
        <v>26</v>
      </c>
      <c r="D3201" s="1" t="s">
        <v>371</v>
      </c>
      <c r="E3201" s="1" t="n">
        <v>1</v>
      </c>
      <c r="F3201" s="1" t="n">
        <v>733.85</v>
      </c>
      <c r="G3201" s="1" t="n">
        <v>0.1</v>
      </c>
      <c r="H3201" s="1" t="s">
        <v>1336</v>
      </c>
      <c r="I3201" s="1" t="n">
        <v>660.46</v>
      </c>
      <c r="J3201" s="1" t="str">
        <f aca="false">VLOOKUP(B3201,Customers!$A$2:$G$502,6,FALSE())</f>
        <v>Small Business</v>
      </c>
      <c r="K3201" s="1" t="str">
        <f aca="false">VLOOKUP(C3201,Products!$A$2:$E$62,3,FALSE())</f>
        <v>Office Supplies</v>
      </c>
      <c r="L3201" s="1" t="str">
        <f aca="false">TEXT(D3201,"yyyy-mm")</f>
        <v>2024-03</v>
      </c>
    </row>
    <row r="3202" customFormat="false" ht="15" hidden="false" customHeight="true" outlineLevel="0" collapsed="false">
      <c r="A3202" s="1" t="n">
        <v>3274</v>
      </c>
      <c r="B3202" s="1" t="n">
        <v>469</v>
      </c>
      <c r="C3202" s="1" t="n">
        <v>57</v>
      </c>
      <c r="D3202" s="1" t="s">
        <v>1379</v>
      </c>
      <c r="E3202" s="1" t="n">
        <v>1</v>
      </c>
      <c r="F3202" s="1" t="n">
        <v>719.76</v>
      </c>
      <c r="G3202" s="1" t="n">
        <v>0.05</v>
      </c>
      <c r="H3202" s="1" t="s">
        <v>1336</v>
      </c>
      <c r="I3202" s="1" t="n">
        <v>683.77</v>
      </c>
      <c r="J3202" s="1" t="str">
        <f aca="false">VLOOKUP(B3202,Customers!$A$2:$G$502,6,FALSE())</f>
        <v>Small Business</v>
      </c>
      <c r="K3202" s="1" t="str">
        <f aca="false">VLOOKUP(C3202,Products!$A$2:$E$62,3,FALSE())</f>
        <v>Furniture</v>
      </c>
      <c r="L3202" s="1" t="str">
        <f aca="false">TEXT(D3202,"yyyy-mm")</f>
        <v>2024-09</v>
      </c>
    </row>
    <row r="3203" customFormat="false" ht="15" hidden="false" customHeight="true" outlineLevel="0" collapsed="false">
      <c r="A3203" s="1" t="n">
        <v>3275</v>
      </c>
      <c r="B3203" s="1" t="n">
        <v>192</v>
      </c>
      <c r="C3203" s="1" t="n">
        <v>40</v>
      </c>
      <c r="D3203" s="1" t="s">
        <v>1397</v>
      </c>
      <c r="E3203" s="1" t="n">
        <v>3</v>
      </c>
      <c r="F3203" s="1" t="n">
        <v>193.02</v>
      </c>
      <c r="G3203" s="1" t="n">
        <v>0.15</v>
      </c>
      <c r="H3203" s="1" t="s">
        <v>1336</v>
      </c>
      <c r="I3203" s="1" t="n">
        <v>492.2</v>
      </c>
      <c r="J3203" s="1" t="str">
        <f aca="false">VLOOKUP(B3203,Customers!$A$2:$G$502,6,FALSE())</f>
        <v>Corporate</v>
      </c>
      <c r="K3203" s="1" t="str">
        <f aca="false">VLOOKUP(C3203,Products!$A$2:$E$62,3,FALSE())</f>
        <v>Software</v>
      </c>
      <c r="L3203" s="1" t="str">
        <f aca="false">TEXT(D3203,"yyyy-mm")</f>
        <v>2023-10</v>
      </c>
    </row>
    <row r="3204" customFormat="false" ht="15" hidden="false" customHeight="true" outlineLevel="0" collapsed="false">
      <c r="A3204" s="1" t="n">
        <v>3276</v>
      </c>
      <c r="B3204" s="1" t="n">
        <v>172</v>
      </c>
      <c r="C3204" s="1" t="n">
        <v>9</v>
      </c>
      <c r="D3204" s="1" t="s">
        <v>737</v>
      </c>
      <c r="E3204" s="1" t="n">
        <v>4</v>
      </c>
      <c r="F3204" s="1" t="n">
        <v>203.1</v>
      </c>
      <c r="G3204" s="1" t="n">
        <v>0</v>
      </c>
      <c r="H3204" s="1" t="s">
        <v>1336</v>
      </c>
      <c r="I3204" s="1" t="n">
        <v>812.4</v>
      </c>
      <c r="J3204" s="1" t="str">
        <f aca="false">VLOOKUP(B3204,Customers!$A$2:$G$502,6,FALSE())</f>
        <v>Consumer</v>
      </c>
      <c r="K3204" s="1" t="str">
        <f aca="false">VLOOKUP(C3204,Products!$A$2:$E$62,3,FALSE())</f>
        <v>Electronics</v>
      </c>
      <c r="L3204" s="1" t="str">
        <f aca="false">TEXT(D3204,"yyyy-mm")</f>
        <v>2024-08</v>
      </c>
    </row>
    <row r="3205" customFormat="false" ht="15" hidden="false" customHeight="true" outlineLevel="0" collapsed="false">
      <c r="A3205" s="1" t="n">
        <v>3277</v>
      </c>
      <c r="B3205" s="1" t="n">
        <v>423</v>
      </c>
      <c r="C3205" s="1" t="n">
        <v>56</v>
      </c>
      <c r="D3205" s="1" t="s">
        <v>1452</v>
      </c>
      <c r="E3205" s="1" t="n">
        <v>4</v>
      </c>
      <c r="F3205" s="1" t="n">
        <v>160.64</v>
      </c>
      <c r="G3205" s="1" t="n">
        <v>0.2</v>
      </c>
      <c r="H3205" s="1" t="s">
        <v>1336</v>
      </c>
      <c r="I3205" s="1" t="n">
        <v>514.05</v>
      </c>
      <c r="J3205" s="1" t="str">
        <f aca="false">VLOOKUP(B3205,Customers!$A$2:$G$502,6,FALSE())</f>
        <v>Small Business</v>
      </c>
      <c r="K3205" s="1" t="str">
        <f aca="false">VLOOKUP(C3205,Products!$A$2:$E$62,3,FALSE())</f>
        <v>Furniture</v>
      </c>
      <c r="L3205" s="1" t="str">
        <f aca="false">TEXT(D3205,"yyyy-mm")</f>
        <v>2023-01</v>
      </c>
    </row>
    <row r="3206" customFormat="false" ht="15" hidden="false" customHeight="true" outlineLevel="0" collapsed="false">
      <c r="A3206" s="1" t="n">
        <v>3278</v>
      </c>
      <c r="B3206" s="1" t="n">
        <v>145</v>
      </c>
      <c r="C3206" s="1" t="n">
        <v>2</v>
      </c>
      <c r="D3206" s="1" t="s">
        <v>1412</v>
      </c>
      <c r="E3206" s="1" t="n">
        <v>2</v>
      </c>
      <c r="F3206" s="1" t="n">
        <v>498.15</v>
      </c>
      <c r="G3206" s="1" t="n">
        <v>0.2</v>
      </c>
      <c r="H3206" s="1" t="s">
        <v>1336</v>
      </c>
      <c r="I3206" s="1" t="n">
        <v>797.04</v>
      </c>
      <c r="J3206" s="1" t="str">
        <f aca="false">VLOOKUP(B3206,Customers!$A$2:$G$502,6,FALSE())</f>
        <v>Corporate</v>
      </c>
      <c r="K3206" s="1" t="str">
        <f aca="false">VLOOKUP(C3206,Products!$A$2:$E$62,3,FALSE())</f>
        <v>Electronics</v>
      </c>
      <c r="L3206" s="1" t="str">
        <f aca="false">TEXT(D3206,"yyyy-mm")</f>
        <v>2023-09</v>
      </c>
    </row>
    <row r="3207" customFormat="false" ht="15" hidden="false" customHeight="true" outlineLevel="0" collapsed="false">
      <c r="A3207" s="1" t="n">
        <v>3279</v>
      </c>
      <c r="B3207" s="1" t="n">
        <v>42</v>
      </c>
      <c r="C3207" s="1" t="n">
        <v>20</v>
      </c>
      <c r="D3207" s="1" t="s">
        <v>479</v>
      </c>
      <c r="E3207" s="1" t="n">
        <v>1</v>
      </c>
      <c r="F3207" s="1" t="n">
        <v>426.15</v>
      </c>
      <c r="G3207" s="1" t="n">
        <v>0.05</v>
      </c>
      <c r="H3207" s="1" t="s">
        <v>1336</v>
      </c>
      <c r="I3207" s="1" t="n">
        <v>404.84</v>
      </c>
      <c r="J3207" s="1" t="str">
        <f aca="false">VLOOKUP(B3207,Customers!$A$2:$G$502,6,FALSE())</f>
        <v>Small Business</v>
      </c>
      <c r="K3207" s="1" t="str">
        <f aca="false">VLOOKUP(C3207,Products!$A$2:$E$62,3,FALSE())</f>
        <v>Office Supplies</v>
      </c>
      <c r="L3207" s="1" t="str">
        <f aca="false">TEXT(D3207,"yyyy-mm")</f>
        <v>2024-09</v>
      </c>
    </row>
    <row r="3208" customFormat="false" ht="15" hidden="false" customHeight="true" outlineLevel="0" collapsed="false">
      <c r="A3208" s="1" t="n">
        <v>3280</v>
      </c>
      <c r="B3208" s="1" t="n">
        <v>393</v>
      </c>
      <c r="C3208" s="1" t="n">
        <v>14</v>
      </c>
      <c r="D3208" s="1" t="s">
        <v>103</v>
      </c>
      <c r="E3208" s="1" t="n">
        <v>3</v>
      </c>
      <c r="F3208" s="1" t="n">
        <v>135.27</v>
      </c>
      <c r="G3208" s="1" t="n">
        <v>0.2</v>
      </c>
      <c r="H3208" s="1" t="s">
        <v>1336</v>
      </c>
      <c r="I3208" s="1" t="n">
        <v>324.65</v>
      </c>
      <c r="J3208" s="1" t="str">
        <f aca="false">VLOOKUP(B3208,Customers!$A$2:$G$502,6,FALSE())</f>
        <v>Consumer</v>
      </c>
      <c r="K3208" s="1" t="str">
        <f aca="false">VLOOKUP(C3208,Products!$A$2:$E$62,3,FALSE())</f>
        <v>Electronics</v>
      </c>
      <c r="L3208" s="1" t="str">
        <f aca="false">TEXT(D3208,"yyyy-mm")</f>
        <v>2024-10</v>
      </c>
    </row>
    <row r="3209" customFormat="false" ht="15" hidden="false" customHeight="true" outlineLevel="0" collapsed="false">
      <c r="A3209" s="1" t="n">
        <v>3281</v>
      </c>
      <c r="B3209" s="1" t="n">
        <v>368</v>
      </c>
      <c r="C3209" s="1" t="n">
        <v>3</v>
      </c>
      <c r="D3209" s="1" t="s">
        <v>1367</v>
      </c>
      <c r="E3209" s="1" t="n">
        <v>4</v>
      </c>
      <c r="F3209" s="1" t="n">
        <v>89.39</v>
      </c>
      <c r="G3209" s="1" t="n">
        <v>0.2</v>
      </c>
      <c r="H3209" s="1" t="s">
        <v>1336</v>
      </c>
      <c r="I3209" s="1" t="n">
        <v>286.05</v>
      </c>
      <c r="J3209" s="1" t="str">
        <f aca="false">VLOOKUP(B3209,Customers!$A$2:$G$502,6,FALSE())</f>
        <v>Corporate</v>
      </c>
      <c r="K3209" s="1" t="str">
        <f aca="false">VLOOKUP(C3209,Products!$A$2:$E$62,3,FALSE())</f>
        <v>Electronics</v>
      </c>
      <c r="L3209" s="1" t="str">
        <f aca="false">TEXT(D3209,"yyyy-mm")</f>
        <v>2024-08</v>
      </c>
    </row>
    <row r="3210" customFormat="false" ht="15" hidden="false" customHeight="true" outlineLevel="0" collapsed="false">
      <c r="A3210" s="1" t="n">
        <v>3282</v>
      </c>
      <c r="B3210" s="1" t="n">
        <v>372</v>
      </c>
      <c r="C3210" s="1" t="n">
        <v>33</v>
      </c>
      <c r="D3210" s="1" t="s">
        <v>1285</v>
      </c>
      <c r="E3210" s="1" t="n">
        <v>3</v>
      </c>
      <c r="F3210" s="1" t="n">
        <v>190.1</v>
      </c>
      <c r="G3210" s="1" t="n">
        <v>0</v>
      </c>
      <c r="H3210" s="1" t="s">
        <v>1336</v>
      </c>
      <c r="I3210" s="1" t="n">
        <v>570.3</v>
      </c>
      <c r="J3210" s="1" t="str">
        <f aca="false">VLOOKUP(B3210,Customers!$A$2:$G$502,6,FALSE())</f>
        <v>Corporate</v>
      </c>
      <c r="K3210" s="1" t="str">
        <f aca="false">VLOOKUP(C3210,Products!$A$2:$E$62,3,FALSE())</f>
        <v>Office Supplies</v>
      </c>
      <c r="L3210" s="1" t="str">
        <f aca="false">TEXT(D3210,"yyyy-mm")</f>
        <v>2023-06</v>
      </c>
    </row>
    <row r="3211" customFormat="false" ht="15" hidden="false" customHeight="true" outlineLevel="0" collapsed="false">
      <c r="A3211" s="1" t="n">
        <v>3283</v>
      </c>
      <c r="B3211" s="1" t="n">
        <v>491</v>
      </c>
      <c r="C3211" s="1" t="n">
        <v>52</v>
      </c>
      <c r="D3211" s="1" t="s">
        <v>377</v>
      </c>
      <c r="E3211" s="1" t="n">
        <v>8</v>
      </c>
      <c r="F3211" s="1" t="n">
        <v>207.67</v>
      </c>
      <c r="G3211" s="1" t="n">
        <v>0.15</v>
      </c>
      <c r="H3211" s="1" t="s">
        <v>1336</v>
      </c>
      <c r="I3211" s="1" t="n">
        <v>1412.16</v>
      </c>
      <c r="J3211" s="1" t="str">
        <f aca="false">VLOOKUP(B3211,Customers!$A$2:$G$502,6,FALSE())</f>
        <v>Small Business</v>
      </c>
      <c r="K3211" s="1" t="str">
        <f aca="false">VLOOKUP(C3211,Products!$A$2:$E$62,3,FALSE())</f>
        <v>Software</v>
      </c>
      <c r="L3211" s="1" t="str">
        <f aca="false">TEXT(D3211,"yyyy-mm")</f>
        <v>2023-12</v>
      </c>
    </row>
    <row r="3212" customFormat="false" ht="15" hidden="false" customHeight="true" outlineLevel="0" collapsed="false">
      <c r="A3212" s="1" t="n">
        <v>3284</v>
      </c>
      <c r="B3212" s="1" t="n">
        <v>103</v>
      </c>
      <c r="C3212" s="1" t="n">
        <v>56</v>
      </c>
      <c r="D3212" s="1" t="s">
        <v>739</v>
      </c>
      <c r="E3212" s="1" t="n">
        <v>1</v>
      </c>
      <c r="F3212" s="1" t="n">
        <v>160.64</v>
      </c>
      <c r="G3212" s="1" t="n">
        <v>0</v>
      </c>
      <c r="H3212" s="1" t="s">
        <v>1370</v>
      </c>
      <c r="I3212" s="1" t="n">
        <v>160.64</v>
      </c>
      <c r="J3212" s="1" t="str">
        <f aca="false">VLOOKUP(B3212,Customers!$A$2:$G$502,6,FALSE())</f>
        <v>Small Business</v>
      </c>
      <c r="K3212" s="1" t="str">
        <f aca="false">VLOOKUP(C3212,Products!$A$2:$E$62,3,FALSE())</f>
        <v>Furniture</v>
      </c>
      <c r="L3212" s="1" t="str">
        <f aca="false">TEXT(D3212,"yyyy-mm")</f>
        <v>2024-11</v>
      </c>
    </row>
    <row r="3213" customFormat="false" ht="15" hidden="false" customHeight="true" outlineLevel="0" collapsed="false">
      <c r="A3213" s="1" t="n">
        <v>3285</v>
      </c>
      <c r="B3213" s="1" t="n">
        <v>469</v>
      </c>
      <c r="C3213" s="1" t="n">
        <v>43</v>
      </c>
      <c r="D3213" s="1" t="s">
        <v>1136</v>
      </c>
      <c r="E3213" s="1" t="n">
        <v>2</v>
      </c>
      <c r="F3213" s="1" t="n">
        <v>186.31</v>
      </c>
      <c r="G3213" s="1" t="n">
        <v>0</v>
      </c>
      <c r="H3213" s="1" t="s">
        <v>1370</v>
      </c>
      <c r="I3213" s="1" t="n">
        <v>372.62</v>
      </c>
      <c r="J3213" s="1" t="str">
        <f aca="false">VLOOKUP(B3213,Customers!$A$2:$G$502,6,FALSE())</f>
        <v>Small Business</v>
      </c>
      <c r="K3213" s="1" t="str">
        <f aca="false">VLOOKUP(C3213,Products!$A$2:$E$62,3,FALSE())</f>
        <v>Software</v>
      </c>
      <c r="L3213" s="1" t="str">
        <f aca="false">TEXT(D3213,"yyyy-mm")</f>
        <v>2023-01</v>
      </c>
    </row>
    <row r="3214" customFormat="false" ht="15" hidden="false" customHeight="true" outlineLevel="0" collapsed="false">
      <c r="A3214" s="1" t="n">
        <v>3286</v>
      </c>
      <c r="B3214" s="1" t="n">
        <v>378</v>
      </c>
      <c r="C3214" s="1" t="n">
        <v>6</v>
      </c>
      <c r="D3214" s="1" t="s">
        <v>167</v>
      </c>
      <c r="E3214" s="1" t="n">
        <v>7</v>
      </c>
      <c r="F3214" s="1" t="n">
        <v>28.51</v>
      </c>
      <c r="G3214" s="1" t="n">
        <v>0</v>
      </c>
      <c r="H3214" s="1" t="s">
        <v>1336</v>
      </c>
      <c r="I3214" s="1" t="n">
        <v>199.57</v>
      </c>
      <c r="J3214" s="1" t="str">
        <f aca="false">VLOOKUP(B3214,Customers!$A$2:$G$502,6,FALSE())</f>
        <v>Small Business</v>
      </c>
      <c r="K3214" s="1" t="str">
        <f aca="false">VLOOKUP(C3214,Products!$A$2:$E$62,3,FALSE())</f>
        <v>Electronics</v>
      </c>
      <c r="L3214" s="1" t="str">
        <f aca="false">TEXT(D3214,"yyyy-mm")</f>
        <v>2023-03</v>
      </c>
    </row>
    <row r="3215" customFormat="false" ht="15" hidden="false" customHeight="true" outlineLevel="0" collapsed="false">
      <c r="A3215" s="1" t="n">
        <v>3287</v>
      </c>
      <c r="B3215" s="1" t="n">
        <v>186</v>
      </c>
      <c r="C3215" s="1" t="n">
        <v>53</v>
      </c>
      <c r="D3215" s="1" t="s">
        <v>1405</v>
      </c>
      <c r="E3215" s="1" t="n">
        <v>4</v>
      </c>
      <c r="F3215" s="1" t="n">
        <v>509.98</v>
      </c>
      <c r="G3215" s="1" t="n">
        <v>0</v>
      </c>
      <c r="H3215" s="1" t="s">
        <v>1336</v>
      </c>
      <c r="I3215" s="1" t="n">
        <v>2039.92</v>
      </c>
      <c r="J3215" s="1" t="str">
        <f aca="false">VLOOKUP(B3215,Customers!$A$2:$G$502,6,FALSE())</f>
        <v>Small Business</v>
      </c>
      <c r="K3215" s="1" t="str">
        <f aca="false">VLOOKUP(C3215,Products!$A$2:$E$62,3,FALSE())</f>
        <v>Software</v>
      </c>
      <c r="L3215" s="1" t="str">
        <f aca="false">TEXT(D3215,"yyyy-mm")</f>
        <v>2024-03</v>
      </c>
    </row>
    <row r="3216" customFormat="false" ht="15" hidden="false" customHeight="true" outlineLevel="0" collapsed="false">
      <c r="A3216" s="1" t="n">
        <v>3288</v>
      </c>
      <c r="B3216" s="1" t="n">
        <v>377</v>
      </c>
      <c r="C3216" s="1" t="n">
        <v>26</v>
      </c>
      <c r="D3216" s="1" t="s">
        <v>1482</v>
      </c>
      <c r="E3216" s="1" t="n">
        <v>8</v>
      </c>
      <c r="F3216" s="1" t="n">
        <v>733.85</v>
      </c>
      <c r="G3216" s="1" t="n">
        <v>0</v>
      </c>
      <c r="H3216" s="1" t="s">
        <v>1336</v>
      </c>
      <c r="I3216" s="1" t="n">
        <v>5870.8</v>
      </c>
      <c r="J3216" s="1" t="str">
        <f aca="false">VLOOKUP(B3216,Customers!$A$2:$G$502,6,FALSE())</f>
        <v>Corporate</v>
      </c>
      <c r="K3216" s="1" t="str">
        <f aca="false">VLOOKUP(C3216,Products!$A$2:$E$62,3,FALSE())</f>
        <v>Office Supplies</v>
      </c>
      <c r="L3216" s="1" t="str">
        <f aca="false">TEXT(D3216,"yyyy-mm")</f>
        <v>2023-11</v>
      </c>
    </row>
    <row r="3217" customFormat="false" ht="15" hidden="false" customHeight="true" outlineLevel="0" collapsed="false">
      <c r="A3217" s="1" t="n">
        <v>3289</v>
      </c>
      <c r="B3217" s="1" t="n">
        <v>384</v>
      </c>
      <c r="C3217" s="1" t="n">
        <v>29</v>
      </c>
      <c r="D3217" s="1" t="s">
        <v>254</v>
      </c>
      <c r="E3217" s="1" t="n">
        <v>3</v>
      </c>
      <c r="F3217" s="1" t="n">
        <v>54.62</v>
      </c>
      <c r="G3217" s="1" t="n">
        <v>0.05</v>
      </c>
      <c r="H3217" s="1" t="s">
        <v>1336</v>
      </c>
      <c r="I3217" s="1" t="n">
        <v>155.67</v>
      </c>
      <c r="J3217" s="1" t="str">
        <f aca="false">VLOOKUP(B3217,Customers!$A$2:$G$502,6,FALSE())</f>
        <v>Corporate</v>
      </c>
      <c r="K3217" s="1" t="str">
        <f aca="false">VLOOKUP(C3217,Products!$A$2:$E$62,3,FALSE())</f>
        <v>Office Supplies</v>
      </c>
      <c r="L3217" s="1" t="str">
        <f aca="false">TEXT(D3217,"yyyy-mm")</f>
        <v>2023-10</v>
      </c>
    </row>
    <row r="3218" customFormat="false" ht="15" hidden="false" customHeight="true" outlineLevel="0" collapsed="false">
      <c r="A3218" s="1" t="n">
        <v>3291</v>
      </c>
      <c r="B3218" s="1" t="n">
        <v>369</v>
      </c>
      <c r="C3218" s="1" t="n">
        <v>30</v>
      </c>
      <c r="D3218" s="1" t="s">
        <v>1429</v>
      </c>
      <c r="E3218" s="1" t="n">
        <v>9</v>
      </c>
      <c r="F3218" s="1" t="n">
        <v>33.32</v>
      </c>
      <c r="G3218" s="1" t="n">
        <v>0.05</v>
      </c>
      <c r="H3218" s="1" t="s">
        <v>1336</v>
      </c>
      <c r="I3218" s="1" t="n">
        <v>284.89</v>
      </c>
      <c r="J3218" s="1" t="str">
        <f aca="false">VLOOKUP(B3218,Customers!$A$2:$G$502,6,FALSE())</f>
        <v>Corporate</v>
      </c>
      <c r="K3218" s="1" t="str">
        <f aca="false">VLOOKUP(C3218,Products!$A$2:$E$62,3,FALSE())</f>
        <v>Office Supplies</v>
      </c>
      <c r="L3218" s="1" t="str">
        <f aca="false">TEXT(D3218,"yyyy-mm")</f>
        <v>2024-08</v>
      </c>
    </row>
    <row r="3219" customFormat="false" ht="15" hidden="false" customHeight="true" outlineLevel="0" collapsed="false">
      <c r="A3219" s="1" t="n">
        <v>3292</v>
      </c>
      <c r="B3219" s="1" t="n">
        <v>454</v>
      </c>
      <c r="C3219" s="1" t="n">
        <v>10</v>
      </c>
      <c r="D3219" s="1" t="s">
        <v>958</v>
      </c>
      <c r="E3219" s="1" t="n">
        <v>1</v>
      </c>
      <c r="F3219" s="1" t="n">
        <v>251.58</v>
      </c>
      <c r="G3219" s="1" t="n">
        <v>0.1</v>
      </c>
      <c r="H3219" s="1" t="s">
        <v>1336</v>
      </c>
      <c r="I3219" s="1" t="n">
        <v>226.42</v>
      </c>
      <c r="J3219" s="1" t="str">
        <f aca="false">VLOOKUP(B3219,Customers!$A$2:$G$502,6,FALSE())</f>
        <v>Consumer</v>
      </c>
      <c r="K3219" s="1" t="str">
        <f aca="false">VLOOKUP(C3219,Products!$A$2:$E$62,3,FALSE())</f>
        <v>Electronics</v>
      </c>
      <c r="L3219" s="1" t="str">
        <f aca="false">TEXT(D3219,"yyyy-mm")</f>
        <v>2024-12</v>
      </c>
    </row>
    <row r="3220" customFormat="false" ht="15" hidden="false" customHeight="true" outlineLevel="0" collapsed="false">
      <c r="A3220" s="1" t="n">
        <v>3293</v>
      </c>
      <c r="B3220" s="1" t="n">
        <v>308</v>
      </c>
      <c r="C3220" s="1" t="n">
        <v>38</v>
      </c>
      <c r="D3220" s="1" t="s">
        <v>1525</v>
      </c>
      <c r="E3220" s="1" t="n">
        <v>1</v>
      </c>
      <c r="F3220" s="1" t="n">
        <v>521.63</v>
      </c>
      <c r="G3220" s="1" t="n">
        <v>0</v>
      </c>
      <c r="H3220" s="1" t="s">
        <v>1336</v>
      </c>
      <c r="I3220" s="1" t="n">
        <v>521.63</v>
      </c>
      <c r="J3220" s="1" t="str">
        <f aca="false">VLOOKUP(B3220,Customers!$A$2:$G$502,6,FALSE())</f>
        <v>Consumer</v>
      </c>
      <c r="K3220" s="1" t="str">
        <f aca="false">VLOOKUP(C3220,Products!$A$2:$E$62,3,FALSE())</f>
        <v>Software</v>
      </c>
      <c r="L3220" s="1" t="str">
        <f aca="false">TEXT(D3220,"yyyy-mm")</f>
        <v>2024-01</v>
      </c>
    </row>
    <row r="3221" customFormat="false" ht="15" hidden="false" customHeight="true" outlineLevel="0" collapsed="false">
      <c r="A3221" s="1" t="n">
        <v>3294</v>
      </c>
      <c r="B3221" s="1" t="n">
        <v>120</v>
      </c>
      <c r="C3221" s="1" t="n">
        <v>45</v>
      </c>
      <c r="D3221" s="1" t="s">
        <v>1579</v>
      </c>
      <c r="E3221" s="1" t="n">
        <v>8</v>
      </c>
      <c r="F3221" s="1" t="n">
        <v>560.01</v>
      </c>
      <c r="G3221" s="1" t="n">
        <v>0</v>
      </c>
      <c r="H3221" s="1" t="s">
        <v>1336</v>
      </c>
      <c r="I3221" s="1" t="n">
        <v>4480.08</v>
      </c>
      <c r="J3221" s="1" t="str">
        <f aca="false">VLOOKUP(B3221,Customers!$A$2:$G$502,6,FALSE())</f>
        <v>Consumer</v>
      </c>
      <c r="K3221" s="1" t="str">
        <f aca="false">VLOOKUP(C3221,Products!$A$2:$E$62,3,FALSE())</f>
        <v>Software</v>
      </c>
      <c r="L3221" s="1" t="str">
        <f aca="false">TEXT(D3221,"yyyy-mm")</f>
        <v>2023-08</v>
      </c>
    </row>
    <row r="3222" customFormat="false" ht="15" hidden="false" customHeight="true" outlineLevel="0" collapsed="false">
      <c r="A3222" s="1" t="n">
        <v>3295</v>
      </c>
      <c r="B3222" s="1" t="n">
        <v>147</v>
      </c>
      <c r="C3222" s="1" t="n">
        <v>55</v>
      </c>
      <c r="D3222" s="1" t="s">
        <v>1549</v>
      </c>
      <c r="E3222" s="1" t="n">
        <v>3</v>
      </c>
      <c r="F3222" s="1" t="n">
        <v>123.38</v>
      </c>
      <c r="G3222" s="1" t="n">
        <v>0</v>
      </c>
      <c r="H3222" s="1" t="s">
        <v>1336</v>
      </c>
      <c r="I3222" s="1" t="n">
        <v>370.14</v>
      </c>
      <c r="J3222" s="1" t="str">
        <f aca="false">VLOOKUP(B3222,Customers!$A$2:$G$502,6,FALSE())</f>
        <v>Small Business</v>
      </c>
      <c r="K3222" s="1" t="str">
        <f aca="false">VLOOKUP(C3222,Products!$A$2:$E$62,3,FALSE())</f>
        <v>Furniture</v>
      </c>
      <c r="L3222" s="1" t="str">
        <f aca="false">TEXT(D3222,"yyyy-mm")</f>
        <v>2023-01</v>
      </c>
    </row>
    <row r="3223" customFormat="false" ht="15" hidden="false" customHeight="true" outlineLevel="0" collapsed="false">
      <c r="A3223" s="1" t="n">
        <v>3296</v>
      </c>
      <c r="B3223" s="1" t="n">
        <v>90</v>
      </c>
      <c r="C3223" s="1" t="n">
        <v>59</v>
      </c>
      <c r="D3223" s="1" t="s">
        <v>1341</v>
      </c>
      <c r="E3223" s="1" t="n">
        <v>5</v>
      </c>
      <c r="F3223" s="1" t="n">
        <v>438.89</v>
      </c>
      <c r="G3223" s="1" t="n">
        <v>0</v>
      </c>
      <c r="H3223" s="1" t="s">
        <v>1336</v>
      </c>
      <c r="I3223" s="1" t="n">
        <v>2194.45</v>
      </c>
      <c r="J3223" s="1" t="str">
        <f aca="false">VLOOKUP(B3223,Customers!$A$2:$G$502,6,FALSE())</f>
        <v>Consumer</v>
      </c>
      <c r="K3223" s="1" t="str">
        <f aca="false">VLOOKUP(C3223,Products!$A$2:$E$62,3,FALSE())</f>
        <v>Furniture</v>
      </c>
      <c r="L3223" s="1" t="str">
        <f aca="false">TEXT(D3223,"yyyy-mm")</f>
        <v>2023-06</v>
      </c>
    </row>
    <row r="3224" customFormat="false" ht="15" hidden="false" customHeight="true" outlineLevel="0" collapsed="false">
      <c r="A3224" s="1" t="n">
        <v>3297</v>
      </c>
      <c r="B3224" s="1" t="n">
        <v>199</v>
      </c>
      <c r="C3224" s="1" t="n">
        <v>25</v>
      </c>
      <c r="D3224" s="1" t="s">
        <v>1130</v>
      </c>
      <c r="E3224" s="1" t="n">
        <v>1</v>
      </c>
      <c r="F3224" s="1" t="n">
        <v>300.49</v>
      </c>
      <c r="G3224" s="1" t="n">
        <v>0</v>
      </c>
      <c r="H3224" s="1" t="s">
        <v>1336</v>
      </c>
      <c r="I3224" s="1" t="n">
        <v>300.49</v>
      </c>
      <c r="J3224" s="1" t="str">
        <f aca="false">VLOOKUP(B3224,Customers!$A$2:$G$502,6,FALSE())</f>
        <v>Corporate</v>
      </c>
      <c r="K3224" s="1" t="str">
        <f aca="false">VLOOKUP(C3224,Products!$A$2:$E$62,3,FALSE())</f>
        <v>Office Supplies</v>
      </c>
      <c r="L3224" s="1" t="str">
        <f aca="false">TEXT(D3224,"yyyy-mm")</f>
        <v>2023-02</v>
      </c>
    </row>
    <row r="3225" customFormat="false" ht="15" hidden="false" customHeight="true" outlineLevel="0" collapsed="false">
      <c r="A3225" s="1" t="n">
        <v>3298</v>
      </c>
      <c r="B3225" s="1" t="n">
        <v>430</v>
      </c>
      <c r="C3225" s="1" t="n">
        <v>6</v>
      </c>
      <c r="D3225" s="1" t="s">
        <v>1443</v>
      </c>
      <c r="E3225" s="1" t="n">
        <v>5</v>
      </c>
      <c r="F3225" s="1" t="n">
        <v>28.51</v>
      </c>
      <c r="G3225" s="1" t="n">
        <v>0.05</v>
      </c>
      <c r="H3225" s="1" t="s">
        <v>1336</v>
      </c>
      <c r="I3225" s="1" t="n">
        <v>135.42</v>
      </c>
      <c r="J3225" s="1" t="str">
        <f aca="false">VLOOKUP(B3225,Customers!$A$2:$G$502,6,FALSE())</f>
        <v>Corporate</v>
      </c>
      <c r="K3225" s="1" t="str">
        <f aca="false">VLOOKUP(C3225,Products!$A$2:$E$62,3,FALSE())</f>
        <v>Electronics</v>
      </c>
      <c r="L3225" s="1" t="str">
        <f aca="false">TEXT(D3225,"yyyy-mm")</f>
        <v>2023-09</v>
      </c>
    </row>
    <row r="3226" customFormat="false" ht="15" hidden="false" customHeight="true" outlineLevel="0" collapsed="false">
      <c r="A3226" s="1" t="n">
        <v>3300</v>
      </c>
      <c r="B3226" s="1" t="n">
        <v>460</v>
      </c>
      <c r="C3226" s="1" t="n">
        <v>48</v>
      </c>
      <c r="D3226" s="1" t="s">
        <v>1388</v>
      </c>
      <c r="E3226" s="1" t="n">
        <v>8</v>
      </c>
      <c r="F3226" s="1" t="n">
        <v>493.53</v>
      </c>
      <c r="G3226" s="1" t="n">
        <v>0</v>
      </c>
      <c r="H3226" s="1" t="s">
        <v>1346</v>
      </c>
      <c r="I3226" s="1" t="n">
        <v>3948.24</v>
      </c>
      <c r="J3226" s="1" t="str">
        <f aca="false">VLOOKUP(B3226,Customers!$A$2:$G$502,6,FALSE())</f>
        <v>Corporate</v>
      </c>
      <c r="K3226" s="1" t="str">
        <f aca="false">VLOOKUP(C3226,Products!$A$2:$E$62,3,FALSE())</f>
        <v>Software</v>
      </c>
      <c r="L3226" s="1" t="str">
        <f aca="false">TEXT(D3226,"yyyy-mm")</f>
        <v>2024-11</v>
      </c>
    </row>
    <row r="3227" customFormat="false" ht="15" hidden="false" customHeight="true" outlineLevel="0" collapsed="false">
      <c r="A3227" s="1" t="n">
        <v>3301</v>
      </c>
      <c r="B3227" s="1" t="n">
        <v>430</v>
      </c>
      <c r="C3227" s="1" t="n">
        <v>23</v>
      </c>
      <c r="D3227" s="1" t="s">
        <v>874</v>
      </c>
      <c r="E3227" s="1" t="n">
        <v>3</v>
      </c>
      <c r="F3227" s="1" t="n">
        <v>188.73</v>
      </c>
      <c r="G3227" s="1" t="n">
        <v>0.1</v>
      </c>
      <c r="H3227" s="1" t="s">
        <v>1346</v>
      </c>
      <c r="I3227" s="1" t="n">
        <v>509.57</v>
      </c>
      <c r="J3227" s="1" t="str">
        <f aca="false">VLOOKUP(B3227,Customers!$A$2:$G$502,6,FALSE())</f>
        <v>Corporate</v>
      </c>
      <c r="K3227" s="1" t="str">
        <f aca="false">VLOOKUP(C3227,Products!$A$2:$E$62,3,FALSE())</f>
        <v>Office Supplies</v>
      </c>
      <c r="L3227" s="1" t="str">
        <f aca="false">TEXT(D3227,"yyyy-mm")</f>
        <v>2023-03</v>
      </c>
    </row>
    <row r="3228" customFormat="false" ht="15" hidden="false" customHeight="true" outlineLevel="0" collapsed="false">
      <c r="A3228" s="1" t="n">
        <v>3302</v>
      </c>
      <c r="B3228" s="1" t="n">
        <v>159</v>
      </c>
      <c r="C3228" s="1" t="n">
        <v>60</v>
      </c>
      <c r="D3228" s="1" t="s">
        <v>1647</v>
      </c>
      <c r="E3228" s="1" t="n">
        <v>3</v>
      </c>
      <c r="F3228" s="1" t="n">
        <v>584.98</v>
      </c>
      <c r="G3228" s="1" t="n">
        <v>0.05</v>
      </c>
      <c r="H3228" s="1" t="s">
        <v>1336</v>
      </c>
      <c r="I3228" s="1" t="n">
        <v>1667.19</v>
      </c>
      <c r="J3228" s="1" t="str">
        <f aca="false">VLOOKUP(B3228,Customers!$A$2:$G$502,6,FALSE())</f>
        <v>Corporate</v>
      </c>
      <c r="K3228" s="1" t="str">
        <f aca="false">VLOOKUP(C3228,Products!$A$2:$E$62,3,FALSE())</f>
        <v>Furniture</v>
      </c>
      <c r="L3228" s="1" t="str">
        <f aca="false">TEXT(D3228,"yyyy-mm")</f>
        <v>2024-05</v>
      </c>
    </row>
    <row r="3229" customFormat="false" ht="15" hidden="false" customHeight="true" outlineLevel="0" collapsed="false">
      <c r="A3229" s="1" t="n">
        <v>3303</v>
      </c>
      <c r="B3229" s="1" t="n">
        <v>40</v>
      </c>
      <c r="C3229" s="1" t="n">
        <v>33</v>
      </c>
      <c r="D3229" s="1" t="s">
        <v>1364</v>
      </c>
      <c r="E3229" s="1" t="n">
        <v>9</v>
      </c>
      <c r="F3229" s="1" t="n">
        <v>190.1</v>
      </c>
      <c r="G3229" s="1" t="n">
        <v>0</v>
      </c>
      <c r="H3229" s="1" t="s">
        <v>1336</v>
      </c>
      <c r="I3229" s="1" t="n">
        <v>1710.9</v>
      </c>
      <c r="J3229" s="1" t="str">
        <f aca="false">VLOOKUP(B3229,Customers!$A$2:$G$502,6,FALSE())</f>
        <v>Consumer</v>
      </c>
      <c r="K3229" s="1" t="str">
        <f aca="false">VLOOKUP(C3229,Products!$A$2:$E$62,3,FALSE())</f>
        <v>Office Supplies</v>
      </c>
      <c r="L3229" s="1" t="str">
        <f aca="false">TEXT(D3229,"yyyy-mm")</f>
        <v>2024-11</v>
      </c>
    </row>
    <row r="3230" customFormat="false" ht="15" hidden="false" customHeight="true" outlineLevel="0" collapsed="false">
      <c r="A3230" s="1" t="n">
        <v>3304</v>
      </c>
      <c r="B3230" s="1" t="n">
        <v>484</v>
      </c>
      <c r="C3230" s="1" t="n">
        <v>27</v>
      </c>
      <c r="D3230" s="1" t="s">
        <v>1536</v>
      </c>
      <c r="E3230" s="1" t="n">
        <v>4</v>
      </c>
      <c r="F3230" s="1" t="n">
        <v>772.58</v>
      </c>
      <c r="G3230" s="1" t="n">
        <v>0.1</v>
      </c>
      <c r="H3230" s="1" t="s">
        <v>1336</v>
      </c>
      <c r="I3230" s="1" t="n">
        <v>2781.29</v>
      </c>
      <c r="J3230" s="1" t="str">
        <f aca="false">VLOOKUP(B3230,Customers!$A$2:$G$502,6,FALSE())</f>
        <v>Corporate</v>
      </c>
      <c r="K3230" s="1" t="str">
        <f aca="false">VLOOKUP(C3230,Products!$A$2:$E$62,3,FALSE())</f>
        <v>Office Supplies</v>
      </c>
      <c r="L3230" s="1" t="str">
        <f aca="false">TEXT(D3230,"yyyy-mm")</f>
        <v>2023-11</v>
      </c>
    </row>
    <row r="3231" customFormat="false" ht="15" hidden="false" customHeight="true" outlineLevel="0" collapsed="false">
      <c r="A3231" s="1" t="n">
        <v>3305</v>
      </c>
      <c r="B3231" s="1" t="n">
        <v>398</v>
      </c>
      <c r="C3231" s="1" t="n">
        <v>35</v>
      </c>
      <c r="D3231" s="1" t="s">
        <v>1664</v>
      </c>
      <c r="E3231" s="1" t="n">
        <v>4</v>
      </c>
      <c r="F3231" s="1" t="n">
        <v>75.78</v>
      </c>
      <c r="G3231" s="1" t="n">
        <v>0.15</v>
      </c>
      <c r="H3231" s="1" t="s">
        <v>1336</v>
      </c>
      <c r="I3231" s="1" t="n">
        <v>257.65</v>
      </c>
      <c r="J3231" s="1" t="str">
        <f aca="false">VLOOKUP(B3231,Customers!$A$2:$G$502,6,FALSE())</f>
        <v>Small Business</v>
      </c>
      <c r="K3231" s="1" t="str">
        <f aca="false">VLOOKUP(C3231,Products!$A$2:$E$62,3,FALSE())</f>
        <v>Software</v>
      </c>
      <c r="L3231" s="1" t="str">
        <f aca="false">TEXT(D3231,"yyyy-mm")</f>
        <v>2024-01</v>
      </c>
    </row>
    <row r="3232" customFormat="false" ht="15" hidden="false" customHeight="true" outlineLevel="0" collapsed="false">
      <c r="A3232" s="1" t="n">
        <v>3306</v>
      </c>
      <c r="B3232" s="1" t="n">
        <v>449</v>
      </c>
      <c r="C3232" s="1" t="n">
        <v>40</v>
      </c>
      <c r="D3232" s="1" t="s">
        <v>336</v>
      </c>
      <c r="E3232" s="1" t="n">
        <v>7</v>
      </c>
      <c r="F3232" s="1" t="n">
        <v>193.02</v>
      </c>
      <c r="G3232" s="1" t="n">
        <v>0</v>
      </c>
      <c r="H3232" s="1" t="s">
        <v>1336</v>
      </c>
      <c r="I3232" s="1" t="n">
        <v>1351.14</v>
      </c>
      <c r="J3232" s="1" t="str">
        <f aca="false">VLOOKUP(B3232,Customers!$A$2:$G$502,6,FALSE())</f>
        <v>Corporate</v>
      </c>
      <c r="K3232" s="1" t="str">
        <f aca="false">VLOOKUP(C3232,Products!$A$2:$E$62,3,FALSE())</f>
        <v>Software</v>
      </c>
      <c r="L3232" s="1" t="str">
        <f aca="false">TEXT(D3232,"yyyy-mm")</f>
        <v>2024-09</v>
      </c>
    </row>
    <row r="3233" customFormat="false" ht="15" hidden="false" customHeight="true" outlineLevel="0" collapsed="false">
      <c r="A3233" s="1" t="n">
        <v>3307</v>
      </c>
      <c r="B3233" s="1" t="n">
        <v>499</v>
      </c>
      <c r="C3233" s="1" t="n">
        <v>5</v>
      </c>
      <c r="D3233" s="1" t="s">
        <v>1022</v>
      </c>
      <c r="E3233" s="1" t="n">
        <v>2</v>
      </c>
      <c r="F3233" s="1" t="n">
        <v>439.06</v>
      </c>
      <c r="G3233" s="1" t="n">
        <v>0.1</v>
      </c>
      <c r="H3233" s="1" t="s">
        <v>1370</v>
      </c>
      <c r="I3233" s="1" t="n">
        <v>790.31</v>
      </c>
      <c r="J3233" s="1" t="str">
        <f aca="false">VLOOKUP(B3233,Customers!$A$2:$G$502,6,FALSE())</f>
        <v>Consumer</v>
      </c>
      <c r="K3233" s="1" t="str">
        <f aca="false">VLOOKUP(C3233,Products!$A$2:$E$62,3,FALSE())</f>
        <v>Electronics</v>
      </c>
      <c r="L3233" s="1" t="str">
        <f aca="false">TEXT(D3233,"yyyy-mm")</f>
        <v>2023-06</v>
      </c>
    </row>
    <row r="3234" customFormat="false" ht="15" hidden="false" customHeight="true" outlineLevel="0" collapsed="false">
      <c r="A3234" s="1" t="n">
        <v>3308</v>
      </c>
      <c r="B3234" s="1" t="n">
        <v>499</v>
      </c>
      <c r="C3234" s="1" t="n">
        <v>56</v>
      </c>
      <c r="D3234" s="1" t="s">
        <v>946</v>
      </c>
      <c r="E3234" s="1" t="n">
        <v>8</v>
      </c>
      <c r="F3234" s="1" t="n">
        <v>160.64</v>
      </c>
      <c r="G3234" s="1" t="n">
        <v>0.05</v>
      </c>
      <c r="H3234" s="1" t="s">
        <v>1336</v>
      </c>
      <c r="I3234" s="1" t="n">
        <v>1220.86</v>
      </c>
      <c r="J3234" s="1" t="str">
        <f aca="false">VLOOKUP(B3234,Customers!$A$2:$G$502,6,FALSE())</f>
        <v>Consumer</v>
      </c>
      <c r="K3234" s="1" t="str">
        <f aca="false">VLOOKUP(C3234,Products!$A$2:$E$62,3,FALSE())</f>
        <v>Furniture</v>
      </c>
      <c r="L3234" s="1" t="str">
        <f aca="false">TEXT(D3234,"yyyy-mm")</f>
        <v>2023-04</v>
      </c>
    </row>
    <row r="3235" customFormat="false" ht="15" hidden="false" customHeight="true" outlineLevel="0" collapsed="false">
      <c r="A3235" s="1" t="n">
        <v>3309</v>
      </c>
      <c r="B3235" s="1" t="n">
        <v>483</v>
      </c>
      <c r="C3235" s="1" t="n">
        <v>55</v>
      </c>
      <c r="D3235" s="1" t="s">
        <v>578</v>
      </c>
      <c r="E3235" s="1" t="n">
        <v>6</v>
      </c>
      <c r="F3235" s="1" t="n">
        <v>123.38</v>
      </c>
      <c r="G3235" s="1" t="n">
        <v>0.1</v>
      </c>
      <c r="H3235" s="1" t="s">
        <v>1336</v>
      </c>
      <c r="I3235" s="1" t="n">
        <v>666.25</v>
      </c>
      <c r="J3235" s="1" t="str">
        <f aca="false">VLOOKUP(B3235,Customers!$A$2:$G$502,6,FALSE())</f>
        <v>Small Business</v>
      </c>
      <c r="K3235" s="1" t="str">
        <f aca="false">VLOOKUP(C3235,Products!$A$2:$E$62,3,FALSE())</f>
        <v>Furniture</v>
      </c>
      <c r="L3235" s="1" t="str">
        <f aca="false">TEXT(D3235,"yyyy-mm")</f>
        <v>2023-04</v>
      </c>
    </row>
    <row r="3236" customFormat="false" ht="15" hidden="false" customHeight="true" outlineLevel="0" collapsed="false">
      <c r="A3236" s="1" t="n">
        <v>3310</v>
      </c>
      <c r="B3236" s="1" t="n">
        <v>457</v>
      </c>
      <c r="C3236" s="1" t="n">
        <v>46</v>
      </c>
      <c r="D3236" s="1" t="s">
        <v>1630</v>
      </c>
      <c r="E3236" s="1" t="n">
        <v>3</v>
      </c>
      <c r="F3236" s="1" t="n">
        <v>94.92</v>
      </c>
      <c r="G3236" s="1" t="n">
        <v>0.15</v>
      </c>
      <c r="H3236" s="1" t="s">
        <v>1336</v>
      </c>
      <c r="I3236" s="1" t="n">
        <v>242.05</v>
      </c>
      <c r="J3236" s="1" t="str">
        <f aca="false">VLOOKUP(B3236,Customers!$A$2:$G$502,6,FALSE())</f>
        <v>Small Business</v>
      </c>
      <c r="K3236" s="1" t="str">
        <f aca="false">VLOOKUP(C3236,Products!$A$2:$E$62,3,FALSE())</f>
        <v>Software</v>
      </c>
      <c r="L3236" s="1" t="str">
        <f aca="false">TEXT(D3236,"yyyy-mm")</f>
        <v>2023-02</v>
      </c>
    </row>
    <row r="3237" customFormat="false" ht="15" hidden="false" customHeight="true" outlineLevel="0" collapsed="false">
      <c r="A3237" s="1" t="n">
        <v>3311</v>
      </c>
      <c r="B3237" s="1" t="n">
        <v>444</v>
      </c>
      <c r="C3237" s="1" t="n">
        <v>25</v>
      </c>
      <c r="D3237" s="1" t="s">
        <v>1345</v>
      </c>
      <c r="E3237" s="1" t="n">
        <v>9</v>
      </c>
      <c r="F3237" s="1" t="n">
        <v>300.49</v>
      </c>
      <c r="G3237" s="1" t="n">
        <v>0</v>
      </c>
      <c r="H3237" s="1" t="s">
        <v>1336</v>
      </c>
      <c r="I3237" s="1" t="n">
        <v>2704.41</v>
      </c>
      <c r="J3237" s="1" t="str">
        <f aca="false">VLOOKUP(B3237,Customers!$A$2:$G$502,6,FALSE())</f>
        <v>Small Business</v>
      </c>
      <c r="K3237" s="1" t="str">
        <f aca="false">VLOOKUP(C3237,Products!$A$2:$E$62,3,FALSE())</f>
        <v>Office Supplies</v>
      </c>
      <c r="L3237" s="1" t="str">
        <f aca="false">TEXT(D3237,"yyyy-mm")</f>
        <v>2023-07</v>
      </c>
    </row>
    <row r="3238" customFormat="false" ht="15" hidden="false" customHeight="true" outlineLevel="0" collapsed="false">
      <c r="A3238" s="1" t="n">
        <v>3312</v>
      </c>
      <c r="B3238" s="1" t="n">
        <v>81</v>
      </c>
      <c r="C3238" s="1" t="n">
        <v>7</v>
      </c>
      <c r="D3238" s="1" t="s">
        <v>1603</v>
      </c>
      <c r="E3238" s="1" t="n">
        <v>5</v>
      </c>
      <c r="F3238" s="1" t="n">
        <v>460</v>
      </c>
      <c r="G3238" s="1" t="n">
        <v>0.1</v>
      </c>
      <c r="H3238" s="1" t="s">
        <v>1336</v>
      </c>
      <c r="I3238" s="1" t="n">
        <v>2070</v>
      </c>
      <c r="J3238" s="1" t="str">
        <f aca="false">VLOOKUP(B3238,Customers!$A$2:$G$502,6,FALSE())</f>
        <v>Consumer</v>
      </c>
      <c r="K3238" s="1" t="str">
        <f aca="false">VLOOKUP(C3238,Products!$A$2:$E$62,3,FALSE())</f>
        <v>Electronics</v>
      </c>
      <c r="L3238" s="1" t="str">
        <f aca="false">TEXT(D3238,"yyyy-mm")</f>
        <v>2024-12</v>
      </c>
    </row>
    <row r="3239" customFormat="false" ht="15" hidden="false" customHeight="true" outlineLevel="0" collapsed="false">
      <c r="A3239" s="1" t="n">
        <v>3313</v>
      </c>
      <c r="B3239" s="1" t="n">
        <v>391</v>
      </c>
      <c r="C3239" s="1" t="n">
        <v>55</v>
      </c>
      <c r="D3239" s="1" t="s">
        <v>384</v>
      </c>
      <c r="E3239" s="1" t="n">
        <v>8</v>
      </c>
      <c r="F3239" s="1" t="n">
        <v>123.38</v>
      </c>
      <c r="G3239" s="1" t="n">
        <v>0.2</v>
      </c>
      <c r="H3239" s="1" t="s">
        <v>1336</v>
      </c>
      <c r="I3239" s="1" t="n">
        <v>789.63</v>
      </c>
      <c r="J3239" s="1" t="str">
        <f aca="false">VLOOKUP(B3239,Customers!$A$2:$G$502,6,FALSE())</f>
        <v>Small Business</v>
      </c>
      <c r="K3239" s="1" t="str">
        <f aca="false">VLOOKUP(C3239,Products!$A$2:$E$62,3,FALSE())</f>
        <v>Furniture</v>
      </c>
      <c r="L3239" s="1" t="str">
        <f aca="false">TEXT(D3239,"yyyy-mm")</f>
        <v>2023-02</v>
      </c>
    </row>
    <row r="3240" customFormat="false" ht="15" hidden="false" customHeight="true" outlineLevel="0" collapsed="false">
      <c r="A3240" s="1" t="n">
        <v>3314</v>
      </c>
      <c r="B3240" s="1" t="n">
        <v>80</v>
      </c>
      <c r="C3240" s="1" t="n">
        <v>31</v>
      </c>
      <c r="D3240" s="1" t="s">
        <v>1485</v>
      </c>
      <c r="E3240" s="1" t="n">
        <v>7</v>
      </c>
      <c r="F3240" s="1" t="n">
        <v>224.86</v>
      </c>
      <c r="G3240" s="1" t="n">
        <v>0</v>
      </c>
      <c r="H3240" s="1" t="s">
        <v>1336</v>
      </c>
      <c r="I3240" s="1" t="n">
        <v>1574.02</v>
      </c>
      <c r="J3240" s="1" t="str">
        <f aca="false">VLOOKUP(B3240,Customers!$A$2:$G$502,6,FALSE())</f>
        <v>Consumer</v>
      </c>
      <c r="K3240" s="1" t="str">
        <f aca="false">VLOOKUP(C3240,Products!$A$2:$E$62,3,FALSE())</f>
        <v>Office Supplies</v>
      </c>
      <c r="L3240" s="1" t="str">
        <f aca="false">TEXT(D3240,"yyyy-mm")</f>
        <v>2023-07</v>
      </c>
    </row>
    <row r="3241" customFormat="false" ht="15" hidden="false" customHeight="true" outlineLevel="0" collapsed="false">
      <c r="A3241" s="1" t="n">
        <v>3315</v>
      </c>
      <c r="B3241" s="1" t="n">
        <v>128</v>
      </c>
      <c r="C3241" s="1" t="n">
        <v>6</v>
      </c>
      <c r="D3241" s="1" t="s">
        <v>1431</v>
      </c>
      <c r="E3241" s="1" t="n">
        <v>8</v>
      </c>
      <c r="F3241" s="1" t="n">
        <v>28.51</v>
      </c>
      <c r="G3241" s="1" t="n">
        <v>0.15</v>
      </c>
      <c r="H3241" s="1" t="s">
        <v>1336</v>
      </c>
      <c r="I3241" s="1" t="n">
        <v>193.87</v>
      </c>
      <c r="J3241" s="1" t="str">
        <f aca="false">VLOOKUP(B3241,Customers!$A$2:$G$502,6,FALSE())</f>
        <v>Consumer</v>
      </c>
      <c r="K3241" s="1" t="str">
        <f aca="false">VLOOKUP(C3241,Products!$A$2:$E$62,3,FALSE())</f>
        <v>Electronics</v>
      </c>
      <c r="L3241" s="1" t="str">
        <f aca="false">TEXT(D3241,"yyyy-mm")</f>
        <v>2023-12</v>
      </c>
    </row>
    <row r="3242" customFormat="false" ht="15" hidden="false" customHeight="true" outlineLevel="0" collapsed="false">
      <c r="A3242" s="1" t="n">
        <v>3316</v>
      </c>
      <c r="B3242" s="1" t="n">
        <v>115</v>
      </c>
      <c r="C3242" s="1" t="n">
        <v>3</v>
      </c>
      <c r="D3242" s="1" t="s">
        <v>581</v>
      </c>
      <c r="E3242" s="1" t="n">
        <v>7</v>
      </c>
      <c r="F3242" s="1" t="n">
        <v>89.39</v>
      </c>
      <c r="G3242" s="1" t="n">
        <v>0</v>
      </c>
      <c r="H3242" s="1" t="s">
        <v>1336</v>
      </c>
      <c r="I3242" s="1" t="n">
        <v>625.73</v>
      </c>
      <c r="J3242" s="1" t="str">
        <f aca="false">VLOOKUP(B3242,Customers!$A$2:$G$502,6,FALSE())</f>
        <v>Small Business</v>
      </c>
      <c r="K3242" s="1" t="str">
        <f aca="false">VLOOKUP(C3242,Products!$A$2:$E$62,3,FALSE())</f>
        <v>Electronics</v>
      </c>
      <c r="L3242" s="1" t="str">
        <f aca="false">TEXT(D3242,"yyyy-mm")</f>
        <v>2023-07</v>
      </c>
    </row>
    <row r="3243" customFormat="false" ht="15" hidden="false" customHeight="true" outlineLevel="0" collapsed="false">
      <c r="A3243" s="1" t="n">
        <v>3317</v>
      </c>
      <c r="B3243" s="1" t="n">
        <v>344</v>
      </c>
      <c r="C3243" s="1" t="n">
        <v>46</v>
      </c>
      <c r="D3243" s="1" t="s">
        <v>629</v>
      </c>
      <c r="E3243" s="1" t="n">
        <v>3</v>
      </c>
      <c r="F3243" s="1" t="n">
        <v>94.92</v>
      </c>
      <c r="G3243" s="1" t="n">
        <v>0</v>
      </c>
      <c r="H3243" s="1" t="s">
        <v>1336</v>
      </c>
      <c r="I3243" s="1" t="n">
        <v>284.76</v>
      </c>
      <c r="J3243" s="1" t="str">
        <f aca="false">VLOOKUP(B3243,Customers!$A$2:$G$502,6,FALSE())</f>
        <v>Small Business</v>
      </c>
      <c r="K3243" s="1" t="str">
        <f aca="false">VLOOKUP(C3243,Products!$A$2:$E$62,3,FALSE())</f>
        <v>Software</v>
      </c>
      <c r="L3243" s="1" t="str">
        <f aca="false">TEXT(D3243,"yyyy-mm")</f>
        <v>2023-04</v>
      </c>
    </row>
    <row r="3244" customFormat="false" ht="15" hidden="false" customHeight="true" outlineLevel="0" collapsed="false">
      <c r="A3244" s="1" t="n">
        <v>3318</v>
      </c>
      <c r="B3244" s="1" t="n">
        <v>156</v>
      </c>
      <c r="C3244" s="1" t="n">
        <v>43</v>
      </c>
      <c r="D3244" s="1" t="s">
        <v>813</v>
      </c>
      <c r="E3244" s="1" t="n">
        <v>2</v>
      </c>
      <c r="F3244" s="1" t="n">
        <v>186.31</v>
      </c>
      <c r="G3244" s="1" t="n">
        <v>0</v>
      </c>
      <c r="H3244" s="1" t="s">
        <v>1336</v>
      </c>
      <c r="I3244" s="1" t="n">
        <v>372.62</v>
      </c>
      <c r="J3244" s="1" t="str">
        <f aca="false">VLOOKUP(B3244,Customers!$A$2:$G$502,6,FALSE())</f>
        <v>Corporate</v>
      </c>
      <c r="K3244" s="1" t="str">
        <f aca="false">VLOOKUP(C3244,Products!$A$2:$E$62,3,FALSE())</f>
        <v>Software</v>
      </c>
      <c r="L3244" s="1" t="str">
        <f aca="false">TEXT(D3244,"yyyy-mm")</f>
        <v>2023-11</v>
      </c>
    </row>
    <row r="3245" customFormat="false" ht="15" hidden="false" customHeight="true" outlineLevel="0" collapsed="false">
      <c r="A3245" s="1" t="n">
        <v>3319</v>
      </c>
      <c r="B3245" s="1" t="n">
        <v>410</v>
      </c>
      <c r="C3245" s="1" t="n">
        <v>20</v>
      </c>
      <c r="D3245" s="1" t="s">
        <v>1277</v>
      </c>
      <c r="E3245" s="1" t="n">
        <v>7</v>
      </c>
      <c r="F3245" s="1" t="n">
        <v>426.15</v>
      </c>
      <c r="G3245" s="1" t="n">
        <v>0</v>
      </c>
      <c r="H3245" s="1" t="s">
        <v>1336</v>
      </c>
      <c r="I3245" s="1" t="n">
        <v>2983.05</v>
      </c>
      <c r="J3245" s="1" t="str">
        <f aca="false">VLOOKUP(B3245,Customers!$A$2:$G$502,6,FALSE())</f>
        <v>Consumer</v>
      </c>
      <c r="K3245" s="1" t="str">
        <f aca="false">VLOOKUP(C3245,Products!$A$2:$E$62,3,FALSE())</f>
        <v>Office Supplies</v>
      </c>
      <c r="L3245" s="1" t="str">
        <f aca="false">TEXT(D3245,"yyyy-mm")</f>
        <v>2023-11</v>
      </c>
    </row>
    <row r="3246" customFormat="false" ht="15" hidden="false" customHeight="true" outlineLevel="0" collapsed="false">
      <c r="A3246" s="1" t="n">
        <v>3320</v>
      </c>
      <c r="B3246" s="1" t="n">
        <v>51</v>
      </c>
      <c r="C3246" s="1" t="n">
        <v>10</v>
      </c>
      <c r="D3246" s="1" t="s">
        <v>1534</v>
      </c>
      <c r="E3246" s="1" t="n">
        <v>3</v>
      </c>
      <c r="F3246" s="1" t="n">
        <v>251.58</v>
      </c>
      <c r="G3246" s="1" t="n">
        <v>0.1</v>
      </c>
      <c r="H3246" s="1" t="s">
        <v>1336</v>
      </c>
      <c r="I3246" s="1" t="n">
        <v>679.27</v>
      </c>
      <c r="J3246" s="1" t="str">
        <f aca="false">VLOOKUP(B3246,Customers!$A$2:$G$502,6,FALSE())</f>
        <v>Corporate</v>
      </c>
      <c r="K3246" s="1" t="str">
        <f aca="false">VLOOKUP(C3246,Products!$A$2:$E$62,3,FALSE())</f>
        <v>Electronics</v>
      </c>
      <c r="L3246" s="1" t="str">
        <f aca="false">TEXT(D3246,"yyyy-mm")</f>
        <v>2024-02</v>
      </c>
    </row>
    <row r="3247" customFormat="false" ht="15" hidden="false" customHeight="true" outlineLevel="0" collapsed="false">
      <c r="A3247" s="1" t="n">
        <v>3321</v>
      </c>
      <c r="B3247" s="1" t="n">
        <v>158</v>
      </c>
      <c r="C3247" s="1" t="n">
        <v>44</v>
      </c>
      <c r="D3247" s="1" t="s">
        <v>874</v>
      </c>
      <c r="E3247" s="1" t="n">
        <v>3</v>
      </c>
      <c r="F3247" s="1" t="n">
        <v>508.26</v>
      </c>
      <c r="G3247" s="1" t="n">
        <v>0</v>
      </c>
      <c r="H3247" s="1" t="s">
        <v>1346</v>
      </c>
      <c r="I3247" s="1" t="n">
        <v>1524.78</v>
      </c>
      <c r="J3247" s="1" t="str">
        <f aca="false">VLOOKUP(B3247,Customers!$A$2:$G$502,6,FALSE())</f>
        <v>Small Business</v>
      </c>
      <c r="K3247" s="1" t="str">
        <f aca="false">VLOOKUP(C3247,Products!$A$2:$E$62,3,FALSE())</f>
        <v>Software</v>
      </c>
      <c r="L3247" s="1" t="str">
        <f aca="false">TEXT(D3247,"yyyy-mm")</f>
        <v>2023-03</v>
      </c>
    </row>
    <row r="3248" customFormat="false" ht="15" hidden="false" customHeight="true" outlineLevel="0" collapsed="false">
      <c r="A3248" s="1" t="n">
        <v>3322</v>
      </c>
      <c r="B3248" s="1" t="n">
        <v>470</v>
      </c>
      <c r="C3248" s="1" t="n">
        <v>45</v>
      </c>
      <c r="D3248" s="1" t="s">
        <v>1508</v>
      </c>
      <c r="E3248" s="1" t="n">
        <v>2</v>
      </c>
      <c r="F3248" s="1" t="n">
        <v>560.01</v>
      </c>
      <c r="G3248" s="1" t="n">
        <v>0</v>
      </c>
      <c r="H3248" s="1" t="s">
        <v>1336</v>
      </c>
      <c r="I3248" s="1" t="n">
        <v>1120.02</v>
      </c>
      <c r="J3248" s="1" t="str">
        <f aca="false">VLOOKUP(B3248,Customers!$A$2:$G$502,6,FALSE())</f>
        <v>Corporate</v>
      </c>
      <c r="K3248" s="1" t="str">
        <f aca="false">VLOOKUP(C3248,Products!$A$2:$E$62,3,FALSE())</f>
        <v>Software</v>
      </c>
      <c r="L3248" s="1" t="str">
        <f aca="false">TEXT(D3248,"yyyy-mm")</f>
        <v>2024-01</v>
      </c>
    </row>
    <row r="3249" customFormat="false" ht="15" hidden="false" customHeight="true" outlineLevel="0" collapsed="false">
      <c r="A3249" s="1" t="n">
        <v>3323</v>
      </c>
      <c r="B3249" s="1" t="n">
        <v>455</v>
      </c>
      <c r="C3249" s="1" t="n">
        <v>54</v>
      </c>
      <c r="D3249" s="1" t="s">
        <v>1642</v>
      </c>
      <c r="E3249" s="1" t="n">
        <v>4</v>
      </c>
      <c r="F3249" s="1" t="n">
        <v>312.01</v>
      </c>
      <c r="G3249" s="1" t="n">
        <v>0.15</v>
      </c>
      <c r="H3249" s="1" t="s">
        <v>1336</v>
      </c>
      <c r="I3249" s="1" t="n">
        <v>1060.83</v>
      </c>
      <c r="J3249" s="1" t="str">
        <f aca="false">VLOOKUP(B3249,Customers!$A$2:$G$502,6,FALSE())</f>
        <v>Consumer</v>
      </c>
      <c r="K3249" s="1" t="str">
        <f aca="false">VLOOKUP(C3249,Products!$A$2:$E$62,3,FALSE())</f>
        <v>Software</v>
      </c>
      <c r="L3249" s="1" t="str">
        <f aca="false">TEXT(D3249,"yyyy-mm")</f>
        <v>2024-12</v>
      </c>
    </row>
    <row r="3250" customFormat="false" ht="15" hidden="false" customHeight="true" outlineLevel="0" collapsed="false">
      <c r="A3250" s="1" t="n">
        <v>3324</v>
      </c>
      <c r="B3250" s="1" t="n">
        <v>379</v>
      </c>
      <c r="C3250" s="1" t="n">
        <v>8</v>
      </c>
      <c r="D3250" s="1" t="s">
        <v>1571</v>
      </c>
      <c r="E3250" s="1" t="n">
        <v>8</v>
      </c>
      <c r="F3250" s="1" t="n">
        <v>104.4</v>
      </c>
      <c r="G3250" s="1" t="n">
        <v>0.1</v>
      </c>
      <c r="H3250" s="1" t="s">
        <v>1336</v>
      </c>
      <c r="I3250" s="1" t="n">
        <v>751.68</v>
      </c>
      <c r="J3250" s="1" t="str">
        <f aca="false">VLOOKUP(B3250,Customers!$A$2:$G$502,6,FALSE())</f>
        <v>Corporate</v>
      </c>
      <c r="K3250" s="1" t="str">
        <f aca="false">VLOOKUP(C3250,Products!$A$2:$E$62,3,FALSE())</f>
        <v>Electronics</v>
      </c>
      <c r="L3250" s="1" t="str">
        <f aca="false">TEXT(D3250,"yyyy-mm")</f>
        <v>2024-02</v>
      </c>
    </row>
    <row r="3251" customFormat="false" ht="15" hidden="false" customHeight="true" outlineLevel="0" collapsed="false">
      <c r="A3251" s="1" t="n">
        <v>3325</v>
      </c>
      <c r="B3251" s="1" t="n">
        <v>43</v>
      </c>
      <c r="C3251" s="1" t="n">
        <v>41</v>
      </c>
      <c r="D3251" s="1" t="s">
        <v>1466</v>
      </c>
      <c r="E3251" s="1" t="n">
        <v>1</v>
      </c>
      <c r="F3251" s="1" t="n">
        <v>594.54</v>
      </c>
      <c r="G3251" s="1" t="n">
        <v>0</v>
      </c>
      <c r="H3251" s="1" t="s">
        <v>1346</v>
      </c>
      <c r="I3251" s="1" t="n">
        <v>594.54</v>
      </c>
      <c r="J3251" s="1" t="str">
        <f aca="false">VLOOKUP(B3251,Customers!$A$2:$G$502,6,FALSE())</f>
        <v>Small Business</v>
      </c>
      <c r="K3251" s="1" t="str">
        <f aca="false">VLOOKUP(C3251,Products!$A$2:$E$62,3,FALSE())</f>
        <v>Software</v>
      </c>
      <c r="L3251" s="1" t="str">
        <f aca="false">TEXT(D3251,"yyyy-mm")</f>
        <v>2024-05</v>
      </c>
    </row>
    <row r="3252" customFormat="false" ht="15" hidden="false" customHeight="true" outlineLevel="0" collapsed="false">
      <c r="A3252" s="1" t="n">
        <v>3326</v>
      </c>
      <c r="B3252" s="1" t="n">
        <v>317</v>
      </c>
      <c r="C3252" s="1" t="n">
        <v>37</v>
      </c>
      <c r="D3252" s="1" t="s">
        <v>1678</v>
      </c>
      <c r="E3252" s="1" t="n">
        <v>1</v>
      </c>
      <c r="F3252" s="1" t="n">
        <v>13.95</v>
      </c>
      <c r="G3252" s="1" t="n">
        <v>0</v>
      </c>
      <c r="H3252" s="1" t="s">
        <v>1336</v>
      </c>
      <c r="I3252" s="1" t="n">
        <v>13.95</v>
      </c>
      <c r="J3252" s="1" t="str">
        <f aca="false">VLOOKUP(B3252,Customers!$A$2:$G$502,6,FALSE())</f>
        <v>Small Business</v>
      </c>
      <c r="K3252" s="1" t="str">
        <f aca="false">VLOOKUP(C3252,Products!$A$2:$E$62,3,FALSE())</f>
        <v>Software</v>
      </c>
      <c r="L3252" s="1" t="str">
        <f aca="false">TEXT(D3252,"yyyy-mm")</f>
        <v>2024-01</v>
      </c>
    </row>
    <row r="3253" customFormat="false" ht="15" hidden="false" customHeight="true" outlineLevel="0" collapsed="false">
      <c r="A3253" s="1" t="n">
        <v>3327</v>
      </c>
      <c r="B3253" s="1" t="n">
        <v>478</v>
      </c>
      <c r="C3253" s="1" t="n">
        <v>46</v>
      </c>
      <c r="D3253" s="1" t="s">
        <v>1411</v>
      </c>
      <c r="E3253" s="1" t="n">
        <v>5</v>
      </c>
      <c r="F3253" s="1" t="n">
        <v>94.92</v>
      </c>
      <c r="G3253" s="1" t="n">
        <v>0.15</v>
      </c>
      <c r="H3253" s="1" t="s">
        <v>1336</v>
      </c>
      <c r="I3253" s="1" t="n">
        <v>403.41</v>
      </c>
      <c r="J3253" s="1" t="str">
        <f aca="false">VLOOKUP(B3253,Customers!$A$2:$G$502,6,FALSE())</f>
        <v>Small Business</v>
      </c>
      <c r="K3253" s="1" t="str">
        <f aca="false">VLOOKUP(C3253,Products!$A$2:$E$62,3,FALSE())</f>
        <v>Software</v>
      </c>
      <c r="L3253" s="1" t="str">
        <f aca="false">TEXT(D3253,"yyyy-mm")</f>
        <v>2023-03</v>
      </c>
    </row>
    <row r="3254" customFormat="false" ht="15" hidden="false" customHeight="true" outlineLevel="0" collapsed="false">
      <c r="A3254" s="1" t="n">
        <v>3328</v>
      </c>
      <c r="B3254" s="1" t="n">
        <v>325</v>
      </c>
      <c r="C3254" s="1" t="n">
        <v>41</v>
      </c>
      <c r="D3254" s="1" t="s">
        <v>1602</v>
      </c>
      <c r="E3254" s="1" t="n">
        <v>5</v>
      </c>
      <c r="F3254" s="1" t="n">
        <v>594.54</v>
      </c>
      <c r="G3254" s="1" t="n">
        <v>0</v>
      </c>
      <c r="H3254" s="1" t="s">
        <v>1336</v>
      </c>
      <c r="I3254" s="1" t="n">
        <v>2972.7</v>
      </c>
      <c r="J3254" s="1" t="str">
        <f aca="false">VLOOKUP(B3254,Customers!$A$2:$G$502,6,FALSE())</f>
        <v>Small Business</v>
      </c>
      <c r="K3254" s="1" t="str">
        <f aca="false">VLOOKUP(C3254,Products!$A$2:$E$62,3,FALSE())</f>
        <v>Software</v>
      </c>
      <c r="L3254" s="1" t="str">
        <f aca="false">TEXT(D3254,"yyyy-mm")</f>
        <v>2024-10</v>
      </c>
    </row>
    <row r="3255" customFormat="false" ht="15" hidden="false" customHeight="true" outlineLevel="0" collapsed="false">
      <c r="A3255" s="1" t="n">
        <v>3329</v>
      </c>
      <c r="B3255" s="1" t="n">
        <v>361</v>
      </c>
      <c r="C3255" s="1" t="n">
        <v>13</v>
      </c>
      <c r="D3255" s="1" t="s">
        <v>572</v>
      </c>
      <c r="E3255" s="1" t="n">
        <v>1</v>
      </c>
      <c r="F3255" s="1" t="n">
        <v>352.54</v>
      </c>
      <c r="G3255" s="1" t="n">
        <v>0</v>
      </c>
      <c r="H3255" s="1" t="s">
        <v>1336</v>
      </c>
      <c r="I3255" s="1" t="n">
        <v>352.54</v>
      </c>
      <c r="J3255" s="1" t="str">
        <f aca="false">VLOOKUP(B3255,Customers!$A$2:$G$502,6,FALSE())</f>
        <v>Small Business</v>
      </c>
      <c r="K3255" s="1" t="str">
        <f aca="false">VLOOKUP(C3255,Products!$A$2:$E$62,3,FALSE())</f>
        <v>Electronics</v>
      </c>
      <c r="L3255" s="1" t="str">
        <f aca="false">TEXT(D3255,"yyyy-mm")</f>
        <v>2023-06</v>
      </c>
    </row>
    <row r="3256" customFormat="false" ht="15" hidden="false" customHeight="true" outlineLevel="0" collapsed="false">
      <c r="A3256" s="1" t="n">
        <v>3330</v>
      </c>
      <c r="B3256" s="1" t="n">
        <v>137</v>
      </c>
      <c r="C3256" s="1" t="n">
        <v>36</v>
      </c>
      <c r="D3256" s="1" t="s">
        <v>440</v>
      </c>
      <c r="E3256" s="1" t="n">
        <v>6</v>
      </c>
      <c r="F3256" s="1" t="n">
        <v>424.45</v>
      </c>
      <c r="G3256" s="1" t="n">
        <v>0.1</v>
      </c>
      <c r="H3256" s="1" t="s">
        <v>1336</v>
      </c>
      <c r="I3256" s="1" t="n">
        <v>2292.03</v>
      </c>
      <c r="J3256" s="1" t="str">
        <f aca="false">VLOOKUP(B3256,Customers!$A$2:$G$502,6,FALSE())</f>
        <v>Consumer</v>
      </c>
      <c r="K3256" s="1" t="str">
        <f aca="false">VLOOKUP(C3256,Products!$A$2:$E$62,3,FALSE())</f>
        <v>Software</v>
      </c>
      <c r="L3256" s="1" t="str">
        <f aca="false">TEXT(D3256,"yyyy-mm")</f>
        <v>2023-12</v>
      </c>
    </row>
    <row r="3257" customFormat="false" ht="15" hidden="false" customHeight="true" outlineLevel="0" collapsed="false">
      <c r="A3257" s="1" t="n">
        <v>3331</v>
      </c>
      <c r="B3257" s="1" t="n">
        <v>481</v>
      </c>
      <c r="C3257" s="1" t="n">
        <v>8</v>
      </c>
      <c r="D3257" s="1" t="s">
        <v>309</v>
      </c>
      <c r="E3257" s="1" t="n">
        <v>1</v>
      </c>
      <c r="F3257" s="1" t="n">
        <v>104.4</v>
      </c>
      <c r="G3257" s="1" t="n">
        <v>0.1</v>
      </c>
      <c r="H3257" s="1" t="s">
        <v>1336</v>
      </c>
      <c r="I3257" s="1" t="n">
        <v>93.96</v>
      </c>
      <c r="J3257" s="1" t="str">
        <f aca="false">VLOOKUP(B3257,Customers!$A$2:$G$502,6,FALSE())</f>
        <v>Small Business</v>
      </c>
      <c r="K3257" s="1" t="str">
        <f aca="false">VLOOKUP(C3257,Products!$A$2:$E$62,3,FALSE())</f>
        <v>Electronics</v>
      </c>
      <c r="L3257" s="1" t="str">
        <f aca="false">TEXT(D3257,"yyyy-mm")</f>
        <v>2023-05</v>
      </c>
    </row>
    <row r="3258" customFormat="false" ht="15" hidden="false" customHeight="true" outlineLevel="0" collapsed="false">
      <c r="A3258" s="1" t="n">
        <v>3332</v>
      </c>
      <c r="B3258" s="1" t="n">
        <v>23</v>
      </c>
      <c r="C3258" s="1" t="n">
        <v>22</v>
      </c>
      <c r="D3258" s="1" t="s">
        <v>739</v>
      </c>
      <c r="E3258" s="1" t="n">
        <v>5</v>
      </c>
      <c r="F3258" s="1" t="n">
        <v>38.57</v>
      </c>
      <c r="G3258" s="1" t="n">
        <v>0</v>
      </c>
      <c r="H3258" s="1" t="s">
        <v>1346</v>
      </c>
      <c r="I3258" s="1" t="n">
        <v>192.85</v>
      </c>
      <c r="J3258" s="1" t="str">
        <f aca="false">VLOOKUP(B3258,Customers!$A$2:$G$502,6,FALSE())</f>
        <v>Corporate</v>
      </c>
      <c r="K3258" s="1" t="str">
        <f aca="false">VLOOKUP(C3258,Products!$A$2:$E$62,3,FALSE())</f>
        <v>Office Supplies</v>
      </c>
      <c r="L3258" s="1" t="str">
        <f aca="false">TEXT(D3258,"yyyy-mm")</f>
        <v>2024-11</v>
      </c>
    </row>
    <row r="3259" customFormat="false" ht="15" hidden="false" customHeight="true" outlineLevel="0" collapsed="false">
      <c r="A3259" s="1" t="n">
        <v>3333</v>
      </c>
      <c r="B3259" s="1" t="n">
        <v>468</v>
      </c>
      <c r="C3259" s="1" t="n">
        <v>41</v>
      </c>
      <c r="D3259" s="1" t="s">
        <v>799</v>
      </c>
      <c r="E3259" s="1" t="n">
        <v>9</v>
      </c>
      <c r="F3259" s="1" t="n">
        <v>594.54</v>
      </c>
      <c r="G3259" s="1" t="n">
        <v>0.05</v>
      </c>
      <c r="H3259" s="1" t="s">
        <v>1336</v>
      </c>
      <c r="I3259" s="1" t="n">
        <v>5083.32</v>
      </c>
      <c r="J3259" s="1" t="str">
        <f aca="false">VLOOKUP(B3259,Customers!$A$2:$G$502,6,FALSE())</f>
        <v>Small Business</v>
      </c>
      <c r="K3259" s="1" t="str">
        <f aca="false">VLOOKUP(C3259,Products!$A$2:$E$62,3,FALSE())</f>
        <v>Software</v>
      </c>
      <c r="L3259" s="1" t="str">
        <f aca="false">TEXT(D3259,"yyyy-mm")</f>
        <v>2024-06</v>
      </c>
    </row>
    <row r="3260" customFormat="false" ht="15" hidden="false" customHeight="true" outlineLevel="0" collapsed="false">
      <c r="A3260" s="1" t="n">
        <v>3334</v>
      </c>
      <c r="B3260" s="1" t="n">
        <v>406</v>
      </c>
      <c r="C3260" s="1" t="n">
        <v>60</v>
      </c>
      <c r="D3260" s="1" t="s">
        <v>1474</v>
      </c>
      <c r="E3260" s="1" t="n">
        <v>5</v>
      </c>
      <c r="F3260" s="1" t="n">
        <v>584.98</v>
      </c>
      <c r="G3260" s="1" t="n">
        <v>0</v>
      </c>
      <c r="H3260" s="1" t="s">
        <v>1336</v>
      </c>
      <c r="I3260" s="1" t="n">
        <v>2924.9</v>
      </c>
      <c r="J3260" s="1" t="str">
        <f aca="false">VLOOKUP(B3260,Customers!$A$2:$G$502,6,FALSE())</f>
        <v>Small Business</v>
      </c>
      <c r="K3260" s="1" t="str">
        <f aca="false">VLOOKUP(C3260,Products!$A$2:$E$62,3,FALSE())</f>
        <v>Furniture</v>
      </c>
      <c r="L3260" s="1" t="str">
        <f aca="false">TEXT(D3260,"yyyy-mm")</f>
        <v>2023-07</v>
      </c>
    </row>
    <row r="3261" customFormat="false" ht="15" hidden="false" customHeight="true" outlineLevel="0" collapsed="false">
      <c r="A3261" s="1" t="n">
        <v>3335</v>
      </c>
      <c r="B3261" s="1" t="n">
        <v>135</v>
      </c>
      <c r="C3261" s="1" t="n">
        <v>29</v>
      </c>
      <c r="D3261" s="1" t="s">
        <v>575</v>
      </c>
      <c r="E3261" s="1" t="n">
        <v>6</v>
      </c>
      <c r="F3261" s="1" t="n">
        <v>54.62</v>
      </c>
      <c r="G3261" s="1" t="n">
        <v>0.15</v>
      </c>
      <c r="H3261" s="1" t="s">
        <v>1370</v>
      </c>
      <c r="I3261" s="1" t="n">
        <v>278.56</v>
      </c>
      <c r="J3261" s="1" t="str">
        <f aca="false">VLOOKUP(B3261,Customers!$A$2:$G$502,6,FALSE())</f>
        <v>Corporate</v>
      </c>
      <c r="K3261" s="1" t="str">
        <f aca="false">VLOOKUP(C3261,Products!$A$2:$E$62,3,FALSE())</f>
        <v>Office Supplies</v>
      </c>
      <c r="L3261" s="1" t="str">
        <f aca="false">TEXT(D3261,"yyyy-mm")</f>
        <v>2024-02</v>
      </c>
    </row>
    <row r="3262" customFormat="false" ht="15" hidden="false" customHeight="true" outlineLevel="0" collapsed="false">
      <c r="A3262" s="1" t="n">
        <v>3336</v>
      </c>
      <c r="B3262" s="1" t="n">
        <v>132</v>
      </c>
      <c r="C3262" s="1" t="n">
        <v>56</v>
      </c>
      <c r="D3262" s="1" t="s">
        <v>1453</v>
      </c>
      <c r="E3262" s="1" t="n">
        <v>8</v>
      </c>
      <c r="F3262" s="1" t="n">
        <v>160.64</v>
      </c>
      <c r="G3262" s="1" t="n">
        <v>0.15</v>
      </c>
      <c r="H3262" s="1" t="s">
        <v>1336</v>
      </c>
      <c r="I3262" s="1" t="n">
        <v>1092.35</v>
      </c>
      <c r="J3262" s="1" t="str">
        <f aca="false">VLOOKUP(B3262,Customers!$A$2:$G$502,6,FALSE())</f>
        <v>Corporate</v>
      </c>
      <c r="K3262" s="1" t="str">
        <f aca="false">VLOOKUP(C3262,Products!$A$2:$E$62,3,FALSE())</f>
        <v>Furniture</v>
      </c>
      <c r="L3262" s="1" t="str">
        <f aca="false">TEXT(D3262,"yyyy-mm")</f>
        <v>2023-03</v>
      </c>
    </row>
    <row r="3263" customFormat="false" ht="15" hidden="false" customHeight="true" outlineLevel="0" collapsed="false">
      <c r="A3263" s="1" t="n">
        <v>3337</v>
      </c>
      <c r="B3263" s="1" t="n">
        <v>494</v>
      </c>
      <c r="C3263" s="1" t="n">
        <v>45</v>
      </c>
      <c r="D3263" s="1" t="s">
        <v>1413</v>
      </c>
      <c r="E3263" s="1" t="n">
        <v>1</v>
      </c>
      <c r="F3263" s="1" t="n">
        <v>560.01</v>
      </c>
      <c r="G3263" s="1" t="n">
        <v>0</v>
      </c>
      <c r="H3263" s="1" t="s">
        <v>1336</v>
      </c>
      <c r="I3263" s="1" t="n">
        <v>560.01</v>
      </c>
      <c r="J3263" s="1" t="str">
        <f aca="false">VLOOKUP(B3263,Customers!$A$2:$G$502,6,FALSE())</f>
        <v>Corporate</v>
      </c>
      <c r="K3263" s="1" t="str">
        <f aca="false">VLOOKUP(C3263,Products!$A$2:$E$62,3,FALSE())</f>
        <v>Software</v>
      </c>
      <c r="L3263" s="1" t="str">
        <f aca="false">TEXT(D3263,"yyyy-mm")</f>
        <v>2023-09</v>
      </c>
    </row>
    <row r="3264" customFormat="false" ht="15" hidden="false" customHeight="true" outlineLevel="0" collapsed="false">
      <c r="A3264" s="1" t="n">
        <v>3338</v>
      </c>
      <c r="B3264" s="1" t="n">
        <v>221</v>
      </c>
      <c r="C3264" s="1" t="n">
        <v>52</v>
      </c>
      <c r="D3264" s="1" t="s">
        <v>133</v>
      </c>
      <c r="E3264" s="1" t="n">
        <v>2</v>
      </c>
      <c r="F3264" s="1" t="n">
        <v>207.67</v>
      </c>
      <c r="G3264" s="1" t="n">
        <v>0</v>
      </c>
      <c r="H3264" s="1" t="s">
        <v>1336</v>
      </c>
      <c r="I3264" s="1" t="n">
        <v>415.34</v>
      </c>
      <c r="J3264" s="1" t="str">
        <f aca="false">VLOOKUP(B3264,Customers!$A$2:$G$502,6,FALSE())</f>
        <v>Consumer</v>
      </c>
      <c r="K3264" s="1" t="str">
        <f aca="false">VLOOKUP(C3264,Products!$A$2:$E$62,3,FALSE())</f>
        <v>Software</v>
      </c>
      <c r="L3264" s="1" t="str">
        <f aca="false">TEXT(D3264,"yyyy-mm")</f>
        <v>2023-05</v>
      </c>
    </row>
    <row r="3265" customFormat="false" ht="15" hidden="false" customHeight="true" outlineLevel="0" collapsed="false">
      <c r="A3265" s="1" t="n">
        <v>3339</v>
      </c>
      <c r="B3265" s="1" t="n">
        <v>373</v>
      </c>
      <c r="C3265" s="1" t="n">
        <v>57</v>
      </c>
      <c r="D3265" s="1" t="s">
        <v>1678</v>
      </c>
      <c r="E3265" s="1" t="n">
        <v>9</v>
      </c>
      <c r="F3265" s="1" t="n">
        <v>719.76</v>
      </c>
      <c r="G3265" s="1" t="n">
        <v>0</v>
      </c>
      <c r="H3265" s="1" t="s">
        <v>1336</v>
      </c>
      <c r="I3265" s="1" t="n">
        <v>6477.84</v>
      </c>
      <c r="J3265" s="1" t="str">
        <f aca="false">VLOOKUP(B3265,Customers!$A$2:$G$502,6,FALSE())</f>
        <v>Corporate</v>
      </c>
      <c r="K3265" s="1" t="str">
        <f aca="false">VLOOKUP(C3265,Products!$A$2:$E$62,3,FALSE())</f>
        <v>Furniture</v>
      </c>
      <c r="L3265" s="1" t="str">
        <f aca="false">TEXT(D3265,"yyyy-mm")</f>
        <v>2024-01</v>
      </c>
    </row>
    <row r="3266" customFormat="false" ht="15" hidden="false" customHeight="true" outlineLevel="0" collapsed="false">
      <c r="A3266" s="1" t="n">
        <v>3340</v>
      </c>
      <c r="B3266" s="1" t="n">
        <v>122</v>
      </c>
      <c r="C3266" s="1" t="n">
        <v>5</v>
      </c>
      <c r="D3266" s="1" t="s">
        <v>1444</v>
      </c>
      <c r="E3266" s="1" t="n">
        <v>3</v>
      </c>
      <c r="F3266" s="1" t="n">
        <v>439.06</v>
      </c>
      <c r="G3266" s="1" t="n">
        <v>0.05</v>
      </c>
      <c r="H3266" s="1" t="s">
        <v>1336</v>
      </c>
      <c r="I3266" s="1" t="n">
        <v>1251.32</v>
      </c>
      <c r="J3266" s="1" t="str">
        <f aca="false">VLOOKUP(B3266,Customers!$A$2:$G$502,6,FALSE())</f>
        <v>Corporate</v>
      </c>
      <c r="K3266" s="1" t="str">
        <f aca="false">VLOOKUP(C3266,Products!$A$2:$E$62,3,FALSE())</f>
        <v>Electronics</v>
      </c>
      <c r="L3266" s="1" t="str">
        <f aca="false">TEXT(D3266,"yyyy-mm")</f>
        <v>2023-07</v>
      </c>
    </row>
    <row r="3267" customFormat="false" ht="15" hidden="false" customHeight="true" outlineLevel="0" collapsed="false">
      <c r="A3267" s="1" t="n">
        <v>3341</v>
      </c>
      <c r="B3267" s="1" t="n">
        <v>71</v>
      </c>
      <c r="C3267" s="1" t="n">
        <v>54</v>
      </c>
      <c r="D3267" s="1" t="s">
        <v>941</v>
      </c>
      <c r="E3267" s="1" t="n">
        <v>6</v>
      </c>
      <c r="F3267" s="1" t="n">
        <v>312.01</v>
      </c>
      <c r="G3267" s="1" t="n">
        <v>0</v>
      </c>
      <c r="H3267" s="1" t="s">
        <v>1346</v>
      </c>
      <c r="I3267" s="1" t="n">
        <v>1872.06</v>
      </c>
      <c r="J3267" s="1" t="str">
        <f aca="false">VLOOKUP(B3267,Customers!$A$2:$G$502,6,FALSE())</f>
        <v>Corporate</v>
      </c>
      <c r="K3267" s="1" t="str">
        <f aca="false">VLOOKUP(C3267,Products!$A$2:$E$62,3,FALSE())</f>
        <v>Software</v>
      </c>
      <c r="L3267" s="1" t="str">
        <f aca="false">TEXT(D3267,"yyyy-mm")</f>
        <v>2024-08</v>
      </c>
    </row>
    <row r="3268" customFormat="false" ht="15" hidden="false" customHeight="true" outlineLevel="0" collapsed="false">
      <c r="A3268" s="1" t="n">
        <v>3342</v>
      </c>
      <c r="B3268" s="1" t="n">
        <v>285</v>
      </c>
      <c r="C3268" s="1" t="n">
        <v>25</v>
      </c>
      <c r="D3268" s="1" t="s">
        <v>1497</v>
      </c>
      <c r="E3268" s="1" t="n">
        <v>5</v>
      </c>
      <c r="F3268" s="1" t="n">
        <v>300.49</v>
      </c>
      <c r="G3268" s="1" t="n">
        <v>0</v>
      </c>
      <c r="H3268" s="1" t="s">
        <v>1336</v>
      </c>
      <c r="I3268" s="1" t="n">
        <v>1502.45</v>
      </c>
      <c r="J3268" s="1" t="str">
        <f aca="false">VLOOKUP(B3268,Customers!$A$2:$G$502,6,FALSE())</f>
        <v>Consumer</v>
      </c>
      <c r="K3268" s="1" t="str">
        <f aca="false">VLOOKUP(C3268,Products!$A$2:$E$62,3,FALSE())</f>
        <v>Office Supplies</v>
      </c>
      <c r="L3268" s="1" t="str">
        <f aca="false">TEXT(D3268,"yyyy-mm")</f>
        <v>2023-01</v>
      </c>
    </row>
    <row r="3269" customFormat="false" ht="15" hidden="false" customHeight="true" outlineLevel="0" collapsed="false">
      <c r="A3269" s="1" t="n">
        <v>3343</v>
      </c>
      <c r="B3269" s="1" t="n">
        <v>452</v>
      </c>
      <c r="C3269" s="1" t="n">
        <v>6</v>
      </c>
      <c r="D3269" s="1" t="s">
        <v>1387</v>
      </c>
      <c r="E3269" s="1" t="n">
        <v>2</v>
      </c>
      <c r="F3269" s="1" t="n">
        <v>28.51</v>
      </c>
      <c r="G3269" s="1" t="n">
        <v>0.1</v>
      </c>
      <c r="H3269" s="1" t="s">
        <v>1336</v>
      </c>
      <c r="I3269" s="1" t="n">
        <v>51.32</v>
      </c>
      <c r="J3269" s="1" t="str">
        <f aca="false">VLOOKUP(B3269,Customers!$A$2:$G$502,6,FALSE())</f>
        <v>Consumer</v>
      </c>
      <c r="K3269" s="1" t="str">
        <f aca="false">VLOOKUP(C3269,Products!$A$2:$E$62,3,FALSE())</f>
        <v>Electronics</v>
      </c>
      <c r="L3269" s="1" t="str">
        <f aca="false">TEXT(D3269,"yyyy-mm")</f>
        <v>2024-08</v>
      </c>
    </row>
    <row r="3270" customFormat="false" ht="15" hidden="false" customHeight="true" outlineLevel="0" collapsed="false">
      <c r="A3270" s="1" t="n">
        <v>3344</v>
      </c>
      <c r="B3270" s="1" t="n">
        <v>370</v>
      </c>
      <c r="C3270" s="1" t="n">
        <v>47</v>
      </c>
      <c r="D3270" s="1" t="s">
        <v>1676</v>
      </c>
      <c r="E3270" s="1" t="n">
        <v>7</v>
      </c>
      <c r="F3270" s="1" t="n">
        <v>506.19</v>
      </c>
      <c r="G3270" s="1" t="n">
        <v>0.2</v>
      </c>
      <c r="H3270" s="1" t="s">
        <v>1370</v>
      </c>
      <c r="I3270" s="1" t="n">
        <v>2834.66</v>
      </c>
      <c r="J3270" s="1" t="str">
        <f aca="false">VLOOKUP(B3270,Customers!$A$2:$G$502,6,FALSE())</f>
        <v>Small Business</v>
      </c>
      <c r="K3270" s="1" t="str">
        <f aca="false">VLOOKUP(C3270,Products!$A$2:$E$62,3,FALSE())</f>
        <v>Software</v>
      </c>
      <c r="L3270" s="1" t="str">
        <f aca="false">TEXT(D3270,"yyyy-mm")</f>
        <v>2023-09</v>
      </c>
    </row>
    <row r="3271" customFormat="false" ht="15" hidden="false" customHeight="true" outlineLevel="0" collapsed="false">
      <c r="A3271" s="1" t="n">
        <v>3345</v>
      </c>
      <c r="B3271" s="1" t="n">
        <v>126</v>
      </c>
      <c r="C3271" s="1" t="n">
        <v>36</v>
      </c>
      <c r="D3271" s="1" t="s">
        <v>1418</v>
      </c>
      <c r="E3271" s="1" t="n">
        <v>4</v>
      </c>
      <c r="F3271" s="1" t="n">
        <v>424.45</v>
      </c>
      <c r="G3271" s="1" t="n">
        <v>0.15</v>
      </c>
      <c r="H3271" s="1" t="s">
        <v>1336</v>
      </c>
      <c r="I3271" s="1" t="n">
        <v>1443.13</v>
      </c>
      <c r="J3271" s="1" t="str">
        <f aca="false">VLOOKUP(B3271,Customers!$A$2:$G$502,6,FALSE())</f>
        <v>Small Business</v>
      </c>
      <c r="K3271" s="1" t="str">
        <f aca="false">VLOOKUP(C3271,Products!$A$2:$E$62,3,FALSE())</f>
        <v>Software</v>
      </c>
      <c r="L3271" s="1" t="str">
        <f aca="false">TEXT(D3271,"yyyy-mm")</f>
        <v>2023-06</v>
      </c>
    </row>
    <row r="3272" customFormat="false" ht="15" hidden="false" customHeight="true" outlineLevel="0" collapsed="false">
      <c r="A3272" s="1" t="n">
        <v>3346</v>
      </c>
      <c r="B3272" s="1" t="n">
        <v>133</v>
      </c>
      <c r="C3272" s="1" t="n">
        <v>30</v>
      </c>
      <c r="D3272" s="1" t="s">
        <v>786</v>
      </c>
      <c r="E3272" s="1" t="n">
        <v>1</v>
      </c>
      <c r="F3272" s="1" t="n">
        <v>33.32</v>
      </c>
      <c r="G3272" s="1" t="n">
        <v>0.15</v>
      </c>
      <c r="H3272" s="1" t="s">
        <v>1336</v>
      </c>
      <c r="I3272" s="1" t="n">
        <v>28.32</v>
      </c>
      <c r="J3272" s="1" t="str">
        <f aca="false">VLOOKUP(B3272,Customers!$A$2:$G$502,6,FALSE())</f>
        <v>Consumer</v>
      </c>
      <c r="K3272" s="1" t="str">
        <f aca="false">VLOOKUP(C3272,Products!$A$2:$E$62,3,FALSE())</f>
        <v>Office Supplies</v>
      </c>
      <c r="L3272" s="1" t="str">
        <f aca="false">TEXT(D3272,"yyyy-mm")</f>
        <v>2024-07</v>
      </c>
    </row>
    <row r="3273" customFormat="false" ht="15" hidden="false" customHeight="true" outlineLevel="0" collapsed="false">
      <c r="A3273" s="1" t="n">
        <v>3347</v>
      </c>
      <c r="B3273" s="1" t="n">
        <v>123</v>
      </c>
      <c r="C3273" s="1" t="n">
        <v>38</v>
      </c>
      <c r="D3273" s="1" t="s">
        <v>1047</v>
      </c>
      <c r="E3273" s="1" t="n">
        <v>4</v>
      </c>
      <c r="F3273" s="1" t="n">
        <v>521.63</v>
      </c>
      <c r="G3273" s="1" t="n">
        <v>0</v>
      </c>
      <c r="H3273" s="1" t="s">
        <v>1370</v>
      </c>
      <c r="I3273" s="1" t="n">
        <v>2086.52</v>
      </c>
      <c r="J3273" s="1" t="str">
        <f aca="false">VLOOKUP(B3273,Customers!$A$2:$G$502,6,FALSE())</f>
        <v>Small Business</v>
      </c>
      <c r="K3273" s="1" t="str">
        <f aca="false">VLOOKUP(C3273,Products!$A$2:$E$62,3,FALSE())</f>
        <v>Software</v>
      </c>
      <c r="L3273" s="1" t="str">
        <f aca="false">TEXT(D3273,"yyyy-mm")</f>
        <v>2024-01</v>
      </c>
    </row>
    <row r="3274" customFormat="false" ht="15" hidden="false" customHeight="true" outlineLevel="0" collapsed="false">
      <c r="A3274" s="1" t="n">
        <v>3348</v>
      </c>
      <c r="B3274" s="1" t="n">
        <v>289</v>
      </c>
      <c r="C3274" s="1" t="n">
        <v>22</v>
      </c>
      <c r="D3274" s="1" t="s">
        <v>1177</v>
      </c>
      <c r="E3274" s="1" t="n">
        <v>6</v>
      </c>
      <c r="F3274" s="1" t="n">
        <v>38.57</v>
      </c>
      <c r="G3274" s="1" t="n">
        <v>0</v>
      </c>
      <c r="H3274" s="1" t="s">
        <v>1336</v>
      </c>
      <c r="I3274" s="1" t="n">
        <v>231.42</v>
      </c>
      <c r="J3274" s="1" t="str">
        <f aca="false">VLOOKUP(B3274,Customers!$A$2:$G$502,6,FALSE())</f>
        <v>Consumer</v>
      </c>
      <c r="K3274" s="1" t="str">
        <f aca="false">VLOOKUP(C3274,Products!$A$2:$E$62,3,FALSE())</f>
        <v>Office Supplies</v>
      </c>
      <c r="L3274" s="1" t="str">
        <f aca="false">TEXT(D3274,"yyyy-mm")</f>
        <v>2023-08</v>
      </c>
    </row>
    <row r="3275" customFormat="false" ht="15" hidden="false" customHeight="true" outlineLevel="0" collapsed="false">
      <c r="A3275" s="1" t="n">
        <v>3349</v>
      </c>
      <c r="B3275" s="1" t="n">
        <v>443</v>
      </c>
      <c r="C3275" s="1" t="n">
        <v>33</v>
      </c>
      <c r="D3275" s="1" t="s">
        <v>1560</v>
      </c>
      <c r="E3275" s="1" t="n">
        <v>7</v>
      </c>
      <c r="F3275" s="1" t="n">
        <v>190.1</v>
      </c>
      <c r="G3275" s="1" t="n">
        <v>0.05</v>
      </c>
      <c r="H3275" s="1" t="s">
        <v>1336</v>
      </c>
      <c r="I3275" s="1" t="n">
        <v>1264.16</v>
      </c>
      <c r="J3275" s="1" t="str">
        <f aca="false">VLOOKUP(B3275,Customers!$A$2:$G$502,6,FALSE())</f>
        <v>Consumer</v>
      </c>
      <c r="K3275" s="1" t="str">
        <f aca="false">VLOOKUP(C3275,Products!$A$2:$E$62,3,FALSE())</f>
        <v>Office Supplies</v>
      </c>
      <c r="L3275" s="1" t="str">
        <f aca="false">TEXT(D3275,"yyyy-mm")</f>
        <v>2024-06</v>
      </c>
    </row>
    <row r="3276" customFormat="false" ht="15" hidden="false" customHeight="true" outlineLevel="0" collapsed="false">
      <c r="A3276" s="1" t="n">
        <v>3350</v>
      </c>
      <c r="B3276" s="1" t="n">
        <v>170</v>
      </c>
      <c r="C3276" s="1" t="n">
        <v>25</v>
      </c>
      <c r="D3276" s="1" t="s">
        <v>1603</v>
      </c>
      <c r="E3276" s="1" t="n">
        <v>7</v>
      </c>
      <c r="F3276" s="1" t="n">
        <v>300.49</v>
      </c>
      <c r="G3276" s="1" t="n">
        <v>0.15</v>
      </c>
      <c r="H3276" s="1" t="s">
        <v>1336</v>
      </c>
      <c r="I3276" s="1" t="n">
        <v>1787.92</v>
      </c>
      <c r="J3276" s="1" t="str">
        <f aca="false">VLOOKUP(B3276,Customers!$A$2:$G$502,6,FALSE())</f>
        <v>Small Business</v>
      </c>
      <c r="K3276" s="1" t="str">
        <f aca="false">VLOOKUP(C3276,Products!$A$2:$E$62,3,FALSE())</f>
        <v>Office Supplies</v>
      </c>
      <c r="L3276" s="1" t="str">
        <f aca="false">TEXT(D3276,"yyyy-mm")</f>
        <v>2024-12</v>
      </c>
    </row>
    <row r="3277" customFormat="false" ht="15" hidden="false" customHeight="true" outlineLevel="0" collapsed="false">
      <c r="A3277" s="1" t="n">
        <v>3351</v>
      </c>
      <c r="B3277" s="1" t="n">
        <v>340</v>
      </c>
      <c r="C3277" s="1" t="n">
        <v>35</v>
      </c>
      <c r="D3277" s="1" t="s">
        <v>179</v>
      </c>
      <c r="E3277" s="1" t="n">
        <v>7</v>
      </c>
      <c r="F3277" s="1" t="n">
        <v>75.78</v>
      </c>
      <c r="G3277" s="1" t="n">
        <v>0</v>
      </c>
      <c r="H3277" s="1" t="s">
        <v>1336</v>
      </c>
      <c r="I3277" s="1" t="n">
        <v>530.46</v>
      </c>
      <c r="J3277" s="1" t="str">
        <f aca="false">VLOOKUP(B3277,Customers!$A$2:$G$502,6,FALSE())</f>
        <v>Consumer</v>
      </c>
      <c r="K3277" s="1" t="str">
        <f aca="false">VLOOKUP(C3277,Products!$A$2:$E$62,3,FALSE())</f>
        <v>Software</v>
      </c>
      <c r="L3277" s="1" t="str">
        <f aca="false">TEXT(D3277,"yyyy-mm")</f>
        <v>2024-11</v>
      </c>
    </row>
    <row r="3278" customFormat="false" ht="15" hidden="false" customHeight="true" outlineLevel="0" collapsed="false">
      <c r="A3278" s="1" t="n">
        <v>3352</v>
      </c>
      <c r="B3278" s="1" t="n">
        <v>462</v>
      </c>
      <c r="C3278" s="1" t="n">
        <v>1</v>
      </c>
      <c r="D3278" s="1" t="s">
        <v>946</v>
      </c>
      <c r="E3278" s="1" t="n">
        <v>3</v>
      </c>
      <c r="F3278" s="1" t="n">
        <v>327.32</v>
      </c>
      <c r="G3278" s="1" t="n">
        <v>0.1</v>
      </c>
      <c r="H3278" s="1" t="s">
        <v>1336</v>
      </c>
      <c r="I3278" s="1" t="n">
        <v>883.76</v>
      </c>
      <c r="J3278" s="1" t="str">
        <f aca="false">VLOOKUP(B3278,Customers!$A$2:$G$502,6,FALSE())</f>
        <v>Small Business</v>
      </c>
      <c r="K3278" s="1" t="str">
        <f aca="false">VLOOKUP(C3278,Products!$A$2:$E$62,3,FALSE())</f>
        <v>Electronics</v>
      </c>
      <c r="L3278" s="1" t="str">
        <f aca="false">TEXT(D3278,"yyyy-mm")</f>
        <v>2023-04</v>
      </c>
    </row>
    <row r="3279" customFormat="false" ht="15" hidden="false" customHeight="true" outlineLevel="0" collapsed="false">
      <c r="A3279" s="1" t="n">
        <v>3353</v>
      </c>
      <c r="B3279" s="1" t="n">
        <v>262</v>
      </c>
      <c r="C3279" s="1" t="n">
        <v>33</v>
      </c>
      <c r="D3279" s="1" t="s">
        <v>795</v>
      </c>
      <c r="E3279" s="1" t="n">
        <v>6</v>
      </c>
      <c r="F3279" s="1" t="n">
        <v>190.1</v>
      </c>
      <c r="G3279" s="1" t="n">
        <v>0.05</v>
      </c>
      <c r="H3279" s="1" t="s">
        <v>1336</v>
      </c>
      <c r="I3279" s="1" t="n">
        <v>1083.57</v>
      </c>
      <c r="J3279" s="1" t="str">
        <f aca="false">VLOOKUP(B3279,Customers!$A$2:$G$502,6,FALSE())</f>
        <v>Small Business</v>
      </c>
      <c r="K3279" s="1" t="str">
        <f aca="false">VLOOKUP(C3279,Products!$A$2:$E$62,3,FALSE())</f>
        <v>Office Supplies</v>
      </c>
      <c r="L3279" s="1" t="str">
        <f aca="false">TEXT(D3279,"yyyy-mm")</f>
        <v>2023-12</v>
      </c>
    </row>
    <row r="3280" customFormat="false" ht="15" hidden="false" customHeight="true" outlineLevel="0" collapsed="false">
      <c r="A3280" s="1" t="n">
        <v>3354</v>
      </c>
      <c r="B3280" s="1" t="n">
        <v>465</v>
      </c>
      <c r="C3280" s="1" t="n">
        <v>27</v>
      </c>
      <c r="D3280" s="1" t="s">
        <v>653</v>
      </c>
      <c r="E3280" s="1" t="n">
        <v>8</v>
      </c>
      <c r="F3280" s="1" t="n">
        <v>772.58</v>
      </c>
      <c r="G3280" s="1" t="n">
        <v>0.05</v>
      </c>
      <c r="H3280" s="1" t="s">
        <v>1336</v>
      </c>
      <c r="I3280" s="1" t="n">
        <v>5871.61</v>
      </c>
      <c r="J3280" s="1" t="str">
        <f aca="false">VLOOKUP(B3280,Customers!$A$2:$G$502,6,FALSE())</f>
        <v>Consumer</v>
      </c>
      <c r="K3280" s="1" t="str">
        <f aca="false">VLOOKUP(C3280,Products!$A$2:$E$62,3,FALSE())</f>
        <v>Office Supplies</v>
      </c>
      <c r="L3280" s="1" t="str">
        <f aca="false">TEXT(D3280,"yyyy-mm")</f>
        <v>2024-10</v>
      </c>
    </row>
    <row r="3281" customFormat="false" ht="15" hidden="false" customHeight="true" outlineLevel="0" collapsed="false">
      <c r="A3281" s="1" t="n">
        <v>3355</v>
      </c>
      <c r="B3281" s="1" t="n">
        <v>283</v>
      </c>
      <c r="C3281" s="1" t="n">
        <v>15</v>
      </c>
      <c r="D3281" s="1" t="s">
        <v>1656</v>
      </c>
      <c r="E3281" s="1" t="n">
        <v>4</v>
      </c>
      <c r="F3281" s="1" t="n">
        <v>304.95</v>
      </c>
      <c r="G3281" s="1" t="n">
        <v>0</v>
      </c>
      <c r="H3281" s="1" t="s">
        <v>1336</v>
      </c>
      <c r="I3281" s="1" t="n">
        <v>1219.8</v>
      </c>
      <c r="J3281" s="1" t="str">
        <f aca="false">VLOOKUP(B3281,Customers!$A$2:$G$502,6,FALSE())</f>
        <v>Small Business</v>
      </c>
      <c r="K3281" s="1" t="str">
        <f aca="false">VLOOKUP(C3281,Products!$A$2:$E$62,3,FALSE())</f>
        <v>Electronics</v>
      </c>
      <c r="L3281" s="1" t="str">
        <f aca="false">TEXT(D3281,"yyyy-mm")</f>
        <v>2024-05</v>
      </c>
    </row>
    <row r="3282" customFormat="false" ht="15" hidden="false" customHeight="true" outlineLevel="0" collapsed="false">
      <c r="A3282" s="1" t="n">
        <v>3356</v>
      </c>
      <c r="B3282" s="1" t="n">
        <v>76</v>
      </c>
      <c r="C3282" s="1" t="n">
        <v>6</v>
      </c>
      <c r="D3282" s="1" t="s">
        <v>1650</v>
      </c>
      <c r="E3282" s="1" t="n">
        <v>8</v>
      </c>
      <c r="F3282" s="1" t="n">
        <v>28.51</v>
      </c>
      <c r="G3282" s="1" t="n">
        <v>0</v>
      </c>
      <c r="H3282" s="1" t="s">
        <v>1336</v>
      </c>
      <c r="I3282" s="1" t="n">
        <v>228.08</v>
      </c>
      <c r="J3282" s="1" t="str">
        <f aca="false">VLOOKUP(B3282,Customers!$A$2:$G$502,6,FALSE())</f>
        <v>Consumer</v>
      </c>
      <c r="K3282" s="1" t="str">
        <f aca="false">VLOOKUP(C3282,Products!$A$2:$E$62,3,FALSE())</f>
        <v>Electronics</v>
      </c>
      <c r="L3282" s="1" t="str">
        <f aca="false">TEXT(D3282,"yyyy-mm")</f>
        <v>2023-08</v>
      </c>
    </row>
    <row r="3283" customFormat="false" ht="15" hidden="false" customHeight="true" outlineLevel="0" collapsed="false">
      <c r="A3283" s="1" t="n">
        <v>3357</v>
      </c>
      <c r="B3283" s="1" t="n">
        <v>351</v>
      </c>
      <c r="C3283" s="1" t="n">
        <v>51</v>
      </c>
      <c r="D3283" s="1" t="s">
        <v>303</v>
      </c>
      <c r="E3283" s="1" t="n">
        <v>2</v>
      </c>
      <c r="F3283" s="1" t="n">
        <v>30.16</v>
      </c>
      <c r="G3283" s="1" t="n">
        <v>0</v>
      </c>
      <c r="H3283" s="1" t="s">
        <v>1336</v>
      </c>
      <c r="I3283" s="1" t="n">
        <v>60.32</v>
      </c>
      <c r="J3283" s="1" t="str">
        <f aca="false">VLOOKUP(B3283,Customers!$A$2:$G$502,6,FALSE())</f>
        <v>Small Business</v>
      </c>
      <c r="K3283" s="1" t="str">
        <f aca="false">VLOOKUP(C3283,Products!$A$2:$E$62,3,FALSE())</f>
        <v>Software</v>
      </c>
      <c r="L3283" s="1" t="str">
        <f aca="false">TEXT(D3283,"yyyy-mm")</f>
        <v>2024-12</v>
      </c>
    </row>
    <row r="3284" customFormat="false" ht="15" hidden="false" customHeight="true" outlineLevel="0" collapsed="false">
      <c r="A3284" s="1" t="n">
        <v>3358</v>
      </c>
      <c r="B3284" s="1" t="n">
        <v>141</v>
      </c>
      <c r="C3284" s="1" t="n">
        <v>35</v>
      </c>
      <c r="D3284" s="1" t="s">
        <v>958</v>
      </c>
      <c r="E3284" s="1" t="n">
        <v>9</v>
      </c>
      <c r="F3284" s="1" t="n">
        <v>75.78</v>
      </c>
      <c r="G3284" s="1" t="n">
        <v>0.05</v>
      </c>
      <c r="H3284" s="1" t="s">
        <v>1370</v>
      </c>
      <c r="I3284" s="1" t="n">
        <v>647.92</v>
      </c>
      <c r="J3284" s="1" t="str">
        <f aca="false">VLOOKUP(B3284,Customers!$A$2:$G$502,6,FALSE())</f>
        <v>Small Business</v>
      </c>
      <c r="K3284" s="1" t="str">
        <f aca="false">VLOOKUP(C3284,Products!$A$2:$E$62,3,FALSE())</f>
        <v>Software</v>
      </c>
      <c r="L3284" s="1" t="str">
        <f aca="false">TEXT(D3284,"yyyy-mm")</f>
        <v>2024-12</v>
      </c>
    </row>
    <row r="3285" customFormat="false" ht="15" hidden="false" customHeight="true" outlineLevel="0" collapsed="false">
      <c r="A3285" s="1" t="n">
        <v>3359</v>
      </c>
      <c r="B3285" s="1" t="n">
        <v>150</v>
      </c>
      <c r="C3285" s="1" t="n">
        <v>34</v>
      </c>
      <c r="D3285" s="1" t="s">
        <v>1649</v>
      </c>
      <c r="E3285" s="1" t="n">
        <v>9</v>
      </c>
      <c r="F3285" s="1" t="n">
        <v>116.85</v>
      </c>
      <c r="G3285" s="1" t="n">
        <v>0.15</v>
      </c>
      <c r="H3285" s="1" t="s">
        <v>1346</v>
      </c>
      <c r="I3285" s="1" t="n">
        <v>893.9</v>
      </c>
      <c r="J3285" s="1" t="str">
        <f aca="false">VLOOKUP(B3285,Customers!$A$2:$G$502,6,FALSE())</f>
        <v>Corporate</v>
      </c>
      <c r="K3285" s="1" t="str">
        <f aca="false">VLOOKUP(C3285,Products!$A$2:$E$62,3,FALSE())</f>
        <v>Office Supplies</v>
      </c>
      <c r="L3285" s="1" t="str">
        <f aca="false">TEXT(D3285,"yyyy-mm")</f>
        <v>2024-01</v>
      </c>
    </row>
    <row r="3286" customFormat="false" ht="15" hidden="false" customHeight="true" outlineLevel="0" collapsed="false">
      <c r="A3286" s="1" t="n">
        <v>3360</v>
      </c>
      <c r="B3286" s="1" t="n">
        <v>62</v>
      </c>
      <c r="C3286" s="1" t="n">
        <v>54</v>
      </c>
      <c r="D3286" s="1" t="s">
        <v>103</v>
      </c>
      <c r="E3286" s="1" t="n">
        <v>8</v>
      </c>
      <c r="F3286" s="1" t="n">
        <v>312.01</v>
      </c>
      <c r="G3286" s="1" t="n">
        <v>0</v>
      </c>
      <c r="H3286" s="1" t="s">
        <v>1336</v>
      </c>
      <c r="I3286" s="1" t="n">
        <v>2496.08</v>
      </c>
      <c r="J3286" s="1" t="str">
        <f aca="false">VLOOKUP(B3286,Customers!$A$2:$G$502,6,FALSE())</f>
        <v>Consumer</v>
      </c>
      <c r="K3286" s="1" t="str">
        <f aca="false">VLOOKUP(C3286,Products!$A$2:$E$62,3,FALSE())</f>
        <v>Software</v>
      </c>
      <c r="L3286" s="1" t="str">
        <f aca="false">TEXT(D3286,"yyyy-mm")</f>
        <v>2024-10</v>
      </c>
    </row>
    <row r="3287" customFormat="false" ht="15" hidden="false" customHeight="true" outlineLevel="0" collapsed="false">
      <c r="A3287" s="1" t="n">
        <v>3361</v>
      </c>
      <c r="B3287" s="1" t="n">
        <v>138</v>
      </c>
      <c r="C3287" s="1" t="n">
        <v>40</v>
      </c>
      <c r="D3287" s="1" t="s">
        <v>1534</v>
      </c>
      <c r="E3287" s="1" t="n">
        <v>1</v>
      </c>
      <c r="F3287" s="1" t="n">
        <v>193.02</v>
      </c>
      <c r="G3287" s="1" t="n">
        <v>0</v>
      </c>
      <c r="H3287" s="1" t="s">
        <v>1336</v>
      </c>
      <c r="I3287" s="1" t="n">
        <v>193.02</v>
      </c>
      <c r="J3287" s="1" t="str">
        <f aca="false">VLOOKUP(B3287,Customers!$A$2:$G$502,6,FALSE())</f>
        <v>Consumer</v>
      </c>
      <c r="K3287" s="1" t="str">
        <f aca="false">VLOOKUP(C3287,Products!$A$2:$E$62,3,FALSE())</f>
        <v>Software</v>
      </c>
      <c r="L3287" s="1" t="str">
        <f aca="false">TEXT(D3287,"yyyy-mm")</f>
        <v>2024-02</v>
      </c>
    </row>
    <row r="3288" customFormat="false" ht="15" hidden="false" customHeight="true" outlineLevel="0" collapsed="false">
      <c r="A3288" s="1" t="n">
        <v>3362</v>
      </c>
      <c r="B3288" s="1" t="n">
        <v>160</v>
      </c>
      <c r="C3288" s="1" t="n">
        <v>57</v>
      </c>
      <c r="D3288" s="1" t="s">
        <v>1615</v>
      </c>
      <c r="E3288" s="1" t="n">
        <v>2</v>
      </c>
      <c r="F3288" s="1" t="n">
        <v>719.76</v>
      </c>
      <c r="G3288" s="1" t="n">
        <v>0.1</v>
      </c>
      <c r="H3288" s="1" t="s">
        <v>1336</v>
      </c>
      <c r="I3288" s="1" t="n">
        <v>1295.57</v>
      </c>
      <c r="J3288" s="1" t="str">
        <f aca="false">VLOOKUP(B3288,Customers!$A$2:$G$502,6,FALSE())</f>
        <v>Consumer</v>
      </c>
      <c r="K3288" s="1" t="str">
        <f aca="false">VLOOKUP(C3288,Products!$A$2:$E$62,3,FALSE())</f>
        <v>Furniture</v>
      </c>
      <c r="L3288" s="1" t="str">
        <f aca="false">TEXT(D3288,"yyyy-mm")</f>
        <v>2023-04</v>
      </c>
    </row>
    <row r="3289" customFormat="false" ht="15" hidden="false" customHeight="true" outlineLevel="0" collapsed="false">
      <c r="A3289" s="1" t="n">
        <v>3363</v>
      </c>
      <c r="B3289" s="1" t="n">
        <v>5</v>
      </c>
      <c r="C3289" s="1" t="n">
        <v>59</v>
      </c>
      <c r="D3289" s="1" t="s">
        <v>1634</v>
      </c>
      <c r="E3289" s="1" t="n">
        <v>6</v>
      </c>
      <c r="F3289" s="1" t="n">
        <v>438.89</v>
      </c>
      <c r="G3289" s="1" t="n">
        <v>0.1</v>
      </c>
      <c r="H3289" s="1" t="s">
        <v>1370</v>
      </c>
      <c r="I3289" s="1" t="n">
        <v>2370.01</v>
      </c>
      <c r="J3289" s="1" t="str">
        <f aca="false">VLOOKUP(B3289,Customers!$A$2:$G$502,6,FALSE())</f>
        <v>Small Business</v>
      </c>
      <c r="K3289" s="1" t="str">
        <f aca="false">VLOOKUP(C3289,Products!$A$2:$E$62,3,FALSE())</f>
        <v>Furniture</v>
      </c>
      <c r="L3289" s="1" t="str">
        <f aca="false">TEXT(D3289,"yyyy-mm")</f>
        <v>2023-02</v>
      </c>
    </row>
    <row r="3290" customFormat="false" ht="15" hidden="false" customHeight="true" outlineLevel="0" collapsed="false">
      <c r="A3290" s="1" t="n">
        <v>3364</v>
      </c>
      <c r="B3290" s="1" t="n">
        <v>428</v>
      </c>
      <c r="C3290" s="1" t="n">
        <v>8</v>
      </c>
      <c r="D3290" s="1" t="s">
        <v>667</v>
      </c>
      <c r="E3290" s="1" t="n">
        <v>5</v>
      </c>
      <c r="F3290" s="1" t="n">
        <v>104.4</v>
      </c>
      <c r="G3290" s="1" t="n">
        <v>0.2</v>
      </c>
      <c r="H3290" s="1" t="s">
        <v>1336</v>
      </c>
      <c r="I3290" s="1" t="n">
        <v>417.6</v>
      </c>
      <c r="J3290" s="1" t="str">
        <f aca="false">VLOOKUP(B3290,Customers!$A$2:$G$502,6,FALSE())</f>
        <v>Corporate</v>
      </c>
      <c r="K3290" s="1" t="str">
        <f aca="false">VLOOKUP(C3290,Products!$A$2:$E$62,3,FALSE())</f>
        <v>Electronics</v>
      </c>
      <c r="L3290" s="1" t="str">
        <f aca="false">TEXT(D3290,"yyyy-mm")</f>
        <v>2024-02</v>
      </c>
    </row>
    <row r="3291" customFormat="false" ht="15" hidden="false" customHeight="true" outlineLevel="0" collapsed="false">
      <c r="A3291" s="1" t="n">
        <v>3365</v>
      </c>
      <c r="B3291" s="1" t="n">
        <v>244</v>
      </c>
      <c r="C3291" s="1" t="n">
        <v>42</v>
      </c>
      <c r="D3291" s="1" t="s">
        <v>653</v>
      </c>
      <c r="E3291" s="1" t="n">
        <v>9</v>
      </c>
      <c r="F3291" s="1" t="n">
        <v>174.48</v>
      </c>
      <c r="G3291" s="1" t="n">
        <v>0</v>
      </c>
      <c r="H3291" s="1" t="s">
        <v>1336</v>
      </c>
      <c r="I3291" s="1" t="n">
        <v>1570.32</v>
      </c>
      <c r="J3291" s="1" t="str">
        <f aca="false">VLOOKUP(B3291,Customers!$A$2:$G$502,6,FALSE())</f>
        <v>Small Business</v>
      </c>
      <c r="K3291" s="1" t="str">
        <f aca="false">VLOOKUP(C3291,Products!$A$2:$E$62,3,FALSE())</f>
        <v>Software</v>
      </c>
      <c r="L3291" s="1" t="str">
        <f aca="false">TEXT(D3291,"yyyy-mm")</f>
        <v>2024-10</v>
      </c>
    </row>
    <row r="3292" customFormat="false" ht="15" hidden="false" customHeight="true" outlineLevel="0" collapsed="false">
      <c r="A3292" s="1" t="n">
        <v>3366</v>
      </c>
      <c r="B3292" s="1" t="n">
        <v>278</v>
      </c>
      <c r="C3292" s="1" t="n">
        <v>51</v>
      </c>
      <c r="D3292" s="1" t="s">
        <v>419</v>
      </c>
      <c r="E3292" s="1" t="n">
        <v>5</v>
      </c>
      <c r="F3292" s="1" t="n">
        <v>30.16</v>
      </c>
      <c r="G3292" s="1" t="n">
        <v>0</v>
      </c>
      <c r="H3292" s="1" t="s">
        <v>1336</v>
      </c>
      <c r="I3292" s="1" t="n">
        <v>150.8</v>
      </c>
      <c r="J3292" s="1" t="str">
        <f aca="false">VLOOKUP(B3292,Customers!$A$2:$G$502,6,FALSE())</f>
        <v>Consumer</v>
      </c>
      <c r="K3292" s="1" t="str">
        <f aca="false">VLOOKUP(C3292,Products!$A$2:$E$62,3,FALSE())</f>
        <v>Software</v>
      </c>
      <c r="L3292" s="1" t="str">
        <f aca="false">TEXT(D3292,"yyyy-mm")</f>
        <v>2023-08</v>
      </c>
    </row>
    <row r="3293" customFormat="false" ht="15" hidden="false" customHeight="true" outlineLevel="0" collapsed="false">
      <c r="A3293" s="1" t="n">
        <v>3367</v>
      </c>
      <c r="B3293" s="1" t="n">
        <v>25</v>
      </c>
      <c r="C3293" s="1" t="n">
        <v>37</v>
      </c>
      <c r="D3293" s="1" t="s">
        <v>1514</v>
      </c>
      <c r="E3293" s="1" t="n">
        <v>2</v>
      </c>
      <c r="F3293" s="1" t="n">
        <v>13.95</v>
      </c>
      <c r="G3293" s="1" t="n">
        <v>0.1</v>
      </c>
      <c r="H3293" s="1" t="s">
        <v>1336</v>
      </c>
      <c r="I3293" s="1" t="n">
        <v>25.11</v>
      </c>
      <c r="J3293" s="1" t="str">
        <f aca="false">VLOOKUP(B3293,Customers!$A$2:$G$502,6,FALSE())</f>
        <v>Corporate</v>
      </c>
      <c r="K3293" s="1" t="str">
        <f aca="false">VLOOKUP(C3293,Products!$A$2:$E$62,3,FALSE())</f>
        <v>Software</v>
      </c>
      <c r="L3293" s="1" t="str">
        <f aca="false">TEXT(D3293,"yyyy-mm")</f>
        <v>2024-10</v>
      </c>
    </row>
    <row r="3294" customFormat="false" ht="15" hidden="false" customHeight="true" outlineLevel="0" collapsed="false">
      <c r="A3294" s="1" t="n">
        <v>3368</v>
      </c>
      <c r="B3294" s="1" t="n">
        <v>412</v>
      </c>
      <c r="C3294" s="1" t="n">
        <v>41</v>
      </c>
      <c r="D3294" s="1" t="s">
        <v>1700</v>
      </c>
      <c r="E3294" s="1" t="n">
        <v>4</v>
      </c>
      <c r="F3294" s="1" t="n">
        <v>594.54</v>
      </c>
      <c r="G3294" s="1" t="n">
        <v>0</v>
      </c>
      <c r="H3294" s="1" t="s">
        <v>1336</v>
      </c>
      <c r="I3294" s="1" t="n">
        <v>2378.16</v>
      </c>
      <c r="J3294" s="1" t="str">
        <f aca="false">VLOOKUP(B3294,Customers!$A$2:$G$502,6,FALSE())</f>
        <v>Corporate</v>
      </c>
      <c r="K3294" s="1" t="str">
        <f aca="false">VLOOKUP(C3294,Products!$A$2:$E$62,3,FALSE())</f>
        <v>Software</v>
      </c>
      <c r="L3294" s="1" t="str">
        <f aca="false">TEXT(D3294,"yyyy-mm")</f>
        <v>2024-06</v>
      </c>
    </row>
    <row r="3295" customFormat="false" ht="15" hidden="false" customHeight="true" outlineLevel="0" collapsed="false">
      <c r="A3295" s="1" t="n">
        <v>3369</v>
      </c>
      <c r="B3295" s="1" t="n">
        <v>3</v>
      </c>
      <c r="C3295" s="1" t="n">
        <v>5</v>
      </c>
      <c r="D3295" s="1" t="s">
        <v>377</v>
      </c>
      <c r="E3295" s="1" t="n">
        <v>9</v>
      </c>
      <c r="F3295" s="1" t="n">
        <v>439.06</v>
      </c>
      <c r="G3295" s="1" t="n">
        <v>0.2</v>
      </c>
      <c r="H3295" s="1" t="s">
        <v>1336</v>
      </c>
      <c r="I3295" s="1" t="n">
        <v>3161.23</v>
      </c>
      <c r="J3295" s="1" t="str">
        <f aca="false">VLOOKUP(B3295,Customers!$A$2:$G$502,6,FALSE())</f>
        <v>Corporate</v>
      </c>
      <c r="K3295" s="1" t="str">
        <f aca="false">VLOOKUP(C3295,Products!$A$2:$E$62,3,FALSE())</f>
        <v>Electronics</v>
      </c>
      <c r="L3295" s="1" t="str">
        <f aca="false">TEXT(D3295,"yyyy-mm")</f>
        <v>2023-12</v>
      </c>
    </row>
    <row r="3296" customFormat="false" ht="15" hidden="false" customHeight="true" outlineLevel="0" collapsed="false">
      <c r="A3296" s="1" t="n">
        <v>3370</v>
      </c>
      <c r="B3296" s="1" t="n">
        <v>205</v>
      </c>
      <c r="C3296" s="1" t="n">
        <v>26</v>
      </c>
      <c r="D3296" s="1" t="s">
        <v>1648</v>
      </c>
      <c r="E3296" s="1" t="n">
        <v>1</v>
      </c>
      <c r="F3296" s="1" t="n">
        <v>733.85</v>
      </c>
      <c r="G3296" s="1" t="n">
        <v>0</v>
      </c>
      <c r="H3296" s="1" t="s">
        <v>1346</v>
      </c>
      <c r="I3296" s="1" t="n">
        <v>733.85</v>
      </c>
      <c r="J3296" s="1" t="str">
        <f aca="false">VLOOKUP(B3296,Customers!$A$2:$G$502,6,FALSE())</f>
        <v>Corporate</v>
      </c>
      <c r="K3296" s="1" t="str">
        <f aca="false">VLOOKUP(C3296,Products!$A$2:$E$62,3,FALSE())</f>
        <v>Office Supplies</v>
      </c>
      <c r="L3296" s="1" t="str">
        <f aca="false">TEXT(D3296,"yyyy-mm")</f>
        <v>2024-05</v>
      </c>
    </row>
    <row r="3297" customFormat="false" ht="15" hidden="false" customHeight="true" outlineLevel="0" collapsed="false">
      <c r="A3297" s="1" t="n">
        <v>3371</v>
      </c>
      <c r="B3297" s="1" t="n">
        <v>177</v>
      </c>
      <c r="C3297" s="1" t="n">
        <v>16</v>
      </c>
      <c r="D3297" s="1" t="s">
        <v>1027</v>
      </c>
      <c r="E3297" s="1" t="n">
        <v>1</v>
      </c>
      <c r="F3297" s="1" t="n">
        <v>330.91</v>
      </c>
      <c r="G3297" s="1" t="n">
        <v>0</v>
      </c>
      <c r="H3297" s="1" t="s">
        <v>1346</v>
      </c>
      <c r="I3297" s="1" t="n">
        <v>330.91</v>
      </c>
      <c r="J3297" s="1" t="str">
        <f aca="false">VLOOKUP(B3297,Customers!$A$2:$G$502,6,FALSE())</f>
        <v>Corporate</v>
      </c>
      <c r="K3297" s="1" t="str">
        <f aca="false">VLOOKUP(C3297,Products!$A$2:$E$62,3,FALSE())</f>
        <v>Electronics</v>
      </c>
      <c r="L3297" s="1" t="str">
        <f aca="false">TEXT(D3297,"yyyy-mm")</f>
        <v>2024-08</v>
      </c>
    </row>
    <row r="3298" customFormat="false" ht="15" hidden="false" customHeight="true" outlineLevel="0" collapsed="false">
      <c r="A3298" s="1" t="n">
        <v>3372</v>
      </c>
      <c r="B3298" s="1" t="n">
        <v>137</v>
      </c>
      <c r="C3298" s="1" t="n">
        <v>60</v>
      </c>
      <c r="D3298" s="1" t="s">
        <v>1486</v>
      </c>
      <c r="E3298" s="1" t="n">
        <v>7</v>
      </c>
      <c r="F3298" s="1" t="n">
        <v>584.98</v>
      </c>
      <c r="G3298" s="1" t="n">
        <v>0.15</v>
      </c>
      <c r="H3298" s="1" t="s">
        <v>1336</v>
      </c>
      <c r="I3298" s="1" t="n">
        <v>3480.63</v>
      </c>
      <c r="J3298" s="1" t="str">
        <f aca="false">VLOOKUP(B3298,Customers!$A$2:$G$502,6,FALSE())</f>
        <v>Consumer</v>
      </c>
      <c r="K3298" s="1" t="str">
        <f aca="false">VLOOKUP(C3298,Products!$A$2:$E$62,3,FALSE())</f>
        <v>Furniture</v>
      </c>
      <c r="L3298" s="1" t="str">
        <f aca="false">TEXT(D3298,"yyyy-mm")</f>
        <v>2024-02</v>
      </c>
    </row>
    <row r="3299" customFormat="false" ht="15" hidden="false" customHeight="true" outlineLevel="0" collapsed="false">
      <c r="A3299" s="1" t="n">
        <v>3373</v>
      </c>
      <c r="B3299" s="1" t="n">
        <v>106</v>
      </c>
      <c r="C3299" s="1" t="n">
        <v>26</v>
      </c>
      <c r="D3299" s="1" t="s">
        <v>109</v>
      </c>
      <c r="E3299" s="1" t="n">
        <v>3</v>
      </c>
      <c r="F3299" s="1" t="n">
        <v>733.85</v>
      </c>
      <c r="G3299" s="1" t="n">
        <v>0.2</v>
      </c>
      <c r="H3299" s="1" t="s">
        <v>1336</v>
      </c>
      <c r="I3299" s="1" t="n">
        <v>1761.24</v>
      </c>
      <c r="J3299" s="1" t="str">
        <f aca="false">VLOOKUP(B3299,Customers!$A$2:$G$502,6,FALSE())</f>
        <v>Small Business</v>
      </c>
      <c r="K3299" s="1" t="str">
        <f aca="false">VLOOKUP(C3299,Products!$A$2:$E$62,3,FALSE())</f>
        <v>Office Supplies</v>
      </c>
      <c r="L3299" s="1" t="str">
        <f aca="false">TEXT(D3299,"yyyy-mm")</f>
        <v>2024-12</v>
      </c>
    </row>
    <row r="3300" customFormat="false" ht="15" hidden="false" customHeight="true" outlineLevel="0" collapsed="false">
      <c r="A3300" s="1" t="n">
        <v>3374</v>
      </c>
      <c r="B3300" s="1" t="n">
        <v>79</v>
      </c>
      <c r="C3300" s="1" t="n">
        <v>46</v>
      </c>
      <c r="D3300" s="1" t="s">
        <v>1428</v>
      </c>
      <c r="E3300" s="1" t="n">
        <v>2</v>
      </c>
      <c r="F3300" s="1" t="n">
        <v>94.92</v>
      </c>
      <c r="G3300" s="1" t="n">
        <v>0.2</v>
      </c>
      <c r="H3300" s="1" t="s">
        <v>1370</v>
      </c>
      <c r="I3300" s="1" t="n">
        <v>151.87</v>
      </c>
      <c r="J3300" s="1" t="str">
        <f aca="false">VLOOKUP(B3300,Customers!$A$2:$G$502,6,FALSE())</f>
        <v>Small Business</v>
      </c>
      <c r="K3300" s="1" t="str">
        <f aca="false">VLOOKUP(C3300,Products!$A$2:$E$62,3,FALSE())</f>
        <v>Software</v>
      </c>
      <c r="L3300" s="1" t="str">
        <f aca="false">TEXT(D3300,"yyyy-mm")</f>
        <v>2024-06</v>
      </c>
    </row>
    <row r="3301" customFormat="false" ht="15" hidden="false" customHeight="true" outlineLevel="0" collapsed="false">
      <c r="A3301" s="1" t="n">
        <v>3375</v>
      </c>
      <c r="B3301" s="1" t="n">
        <v>79</v>
      </c>
      <c r="C3301" s="1" t="n">
        <v>52</v>
      </c>
      <c r="D3301" s="1" t="s">
        <v>458</v>
      </c>
      <c r="E3301" s="1" t="n">
        <v>9</v>
      </c>
      <c r="F3301" s="1" t="n">
        <v>207.67</v>
      </c>
      <c r="G3301" s="1" t="n">
        <v>0</v>
      </c>
      <c r="H3301" s="1" t="s">
        <v>1336</v>
      </c>
      <c r="I3301" s="1" t="n">
        <v>1869.03</v>
      </c>
      <c r="J3301" s="1" t="str">
        <f aca="false">VLOOKUP(B3301,Customers!$A$2:$G$502,6,FALSE())</f>
        <v>Small Business</v>
      </c>
      <c r="K3301" s="1" t="str">
        <f aca="false">VLOOKUP(C3301,Products!$A$2:$E$62,3,FALSE())</f>
        <v>Software</v>
      </c>
      <c r="L3301" s="1" t="str">
        <f aca="false">TEXT(D3301,"yyyy-mm")</f>
        <v>2024-05</v>
      </c>
    </row>
    <row r="3302" customFormat="false" ht="15" hidden="false" customHeight="true" outlineLevel="0" collapsed="false">
      <c r="A3302" s="1" t="n">
        <v>3376</v>
      </c>
      <c r="B3302" s="1" t="n">
        <v>183</v>
      </c>
      <c r="C3302" s="1" t="n">
        <v>21</v>
      </c>
      <c r="D3302" s="1" t="s">
        <v>1483</v>
      </c>
      <c r="E3302" s="1" t="n">
        <v>3</v>
      </c>
      <c r="F3302" s="1" t="n">
        <v>84.91</v>
      </c>
      <c r="G3302" s="1" t="n">
        <v>0.2</v>
      </c>
      <c r="H3302" s="1" t="s">
        <v>1336</v>
      </c>
      <c r="I3302" s="1" t="n">
        <v>203.78</v>
      </c>
      <c r="J3302" s="1" t="str">
        <f aca="false">VLOOKUP(B3302,Customers!$A$2:$G$502,6,FALSE())</f>
        <v>Corporate</v>
      </c>
      <c r="K3302" s="1" t="str">
        <f aca="false">VLOOKUP(C3302,Products!$A$2:$E$62,3,FALSE())</f>
        <v>Office Supplies</v>
      </c>
      <c r="L3302" s="1" t="str">
        <f aca="false">TEXT(D3302,"yyyy-mm")</f>
        <v>2024-10</v>
      </c>
    </row>
    <row r="3303" customFormat="false" ht="15" hidden="false" customHeight="true" outlineLevel="0" collapsed="false">
      <c r="A3303" s="1" t="n">
        <v>3377</v>
      </c>
      <c r="B3303" s="1" t="n">
        <v>233</v>
      </c>
      <c r="C3303" s="1" t="n">
        <v>22</v>
      </c>
      <c r="D3303" s="1" t="s">
        <v>1637</v>
      </c>
      <c r="E3303" s="1" t="n">
        <v>2</v>
      </c>
      <c r="F3303" s="1" t="n">
        <v>38.57</v>
      </c>
      <c r="G3303" s="1" t="n">
        <v>0.1</v>
      </c>
      <c r="H3303" s="1" t="s">
        <v>1336</v>
      </c>
      <c r="I3303" s="1" t="n">
        <v>69.43</v>
      </c>
      <c r="J3303" s="1" t="str">
        <f aca="false">VLOOKUP(B3303,Customers!$A$2:$G$502,6,FALSE())</f>
        <v>Corporate</v>
      </c>
      <c r="K3303" s="1" t="str">
        <f aca="false">VLOOKUP(C3303,Products!$A$2:$E$62,3,FALSE())</f>
        <v>Office Supplies</v>
      </c>
      <c r="L3303" s="1" t="str">
        <f aca="false">TEXT(D3303,"yyyy-mm")</f>
        <v>2023-11</v>
      </c>
    </row>
    <row r="3304" customFormat="false" ht="15" hidden="false" customHeight="true" outlineLevel="0" collapsed="false">
      <c r="A3304" s="1" t="n">
        <v>3378</v>
      </c>
      <c r="B3304" s="1" t="n">
        <v>112</v>
      </c>
      <c r="C3304" s="1" t="n">
        <v>39</v>
      </c>
      <c r="D3304" s="1" t="s">
        <v>1430</v>
      </c>
      <c r="E3304" s="1" t="n">
        <v>8</v>
      </c>
      <c r="F3304" s="1" t="n">
        <v>400.02</v>
      </c>
      <c r="G3304" s="1" t="n">
        <v>0.05</v>
      </c>
      <c r="H3304" s="1" t="s">
        <v>1336</v>
      </c>
      <c r="I3304" s="1" t="n">
        <v>3040.15</v>
      </c>
      <c r="J3304" s="1" t="str">
        <f aca="false">VLOOKUP(B3304,Customers!$A$2:$G$502,6,FALSE())</f>
        <v>Corporate</v>
      </c>
      <c r="K3304" s="1" t="str">
        <f aca="false">VLOOKUP(C3304,Products!$A$2:$E$62,3,FALSE())</f>
        <v>Software</v>
      </c>
      <c r="L3304" s="1" t="str">
        <f aca="false">TEXT(D3304,"yyyy-mm")</f>
        <v>2024-01</v>
      </c>
    </row>
    <row r="3305" customFormat="false" ht="15" hidden="false" customHeight="true" outlineLevel="0" collapsed="false">
      <c r="A3305" s="1" t="n">
        <v>3379</v>
      </c>
      <c r="B3305" s="1" t="n">
        <v>229</v>
      </c>
      <c r="C3305" s="1" t="n">
        <v>36</v>
      </c>
      <c r="D3305" s="1" t="s">
        <v>1524</v>
      </c>
      <c r="E3305" s="1" t="n">
        <v>6</v>
      </c>
      <c r="F3305" s="1" t="n">
        <v>424.45</v>
      </c>
      <c r="G3305" s="1" t="n">
        <v>0.2</v>
      </c>
      <c r="H3305" s="1" t="s">
        <v>1336</v>
      </c>
      <c r="I3305" s="1" t="n">
        <v>2037.36</v>
      </c>
      <c r="J3305" s="1" t="str">
        <f aca="false">VLOOKUP(B3305,Customers!$A$2:$G$502,6,FALSE())</f>
        <v>Consumer</v>
      </c>
      <c r="K3305" s="1" t="str">
        <f aca="false">VLOOKUP(C3305,Products!$A$2:$E$62,3,FALSE())</f>
        <v>Software</v>
      </c>
      <c r="L3305" s="1" t="str">
        <f aca="false">TEXT(D3305,"yyyy-mm")</f>
        <v>2024-09</v>
      </c>
    </row>
    <row r="3306" customFormat="false" ht="15" hidden="false" customHeight="true" outlineLevel="0" collapsed="false">
      <c r="A3306" s="1" t="n">
        <v>3380</v>
      </c>
      <c r="B3306" s="1" t="n">
        <v>401</v>
      </c>
      <c r="C3306" s="1" t="n">
        <v>58</v>
      </c>
      <c r="D3306" s="1" t="s">
        <v>786</v>
      </c>
      <c r="E3306" s="1" t="n">
        <v>6</v>
      </c>
      <c r="F3306" s="1" t="n">
        <v>515.55</v>
      </c>
      <c r="G3306" s="1" t="n">
        <v>0.15</v>
      </c>
      <c r="H3306" s="1" t="s">
        <v>1336</v>
      </c>
      <c r="I3306" s="1" t="n">
        <v>2629.3</v>
      </c>
      <c r="J3306" s="1" t="str">
        <f aca="false">VLOOKUP(B3306,Customers!$A$2:$G$502,6,FALSE())</f>
        <v>Consumer</v>
      </c>
      <c r="K3306" s="1" t="str">
        <f aca="false">VLOOKUP(C3306,Products!$A$2:$E$62,3,FALSE())</f>
        <v>Furniture</v>
      </c>
      <c r="L3306" s="1" t="str">
        <f aca="false">TEXT(D3306,"yyyy-mm")</f>
        <v>2024-07</v>
      </c>
    </row>
    <row r="3307" customFormat="false" ht="15" hidden="false" customHeight="true" outlineLevel="0" collapsed="false">
      <c r="A3307" s="1" t="n">
        <v>3381</v>
      </c>
      <c r="B3307" s="1" t="n">
        <v>192</v>
      </c>
      <c r="C3307" s="1" t="n">
        <v>24</v>
      </c>
      <c r="D3307" s="1" t="s">
        <v>117</v>
      </c>
      <c r="E3307" s="1" t="n">
        <v>7</v>
      </c>
      <c r="F3307" s="1" t="n">
        <v>207.34</v>
      </c>
      <c r="G3307" s="1" t="n">
        <v>0</v>
      </c>
      <c r="H3307" s="1" t="s">
        <v>1336</v>
      </c>
      <c r="I3307" s="1" t="n">
        <v>1451.38</v>
      </c>
      <c r="J3307" s="1" t="str">
        <f aca="false">VLOOKUP(B3307,Customers!$A$2:$G$502,6,FALSE())</f>
        <v>Corporate</v>
      </c>
      <c r="K3307" s="1" t="str">
        <f aca="false">VLOOKUP(C3307,Products!$A$2:$E$62,3,FALSE())</f>
        <v>Office Supplies</v>
      </c>
      <c r="L3307" s="1" t="str">
        <f aca="false">TEXT(D3307,"yyyy-mm")</f>
        <v>2023-03</v>
      </c>
    </row>
    <row r="3308" customFormat="false" ht="15" hidden="false" customHeight="true" outlineLevel="0" collapsed="false">
      <c r="A3308" s="1" t="n">
        <v>3382</v>
      </c>
      <c r="B3308" s="1" t="n">
        <v>310</v>
      </c>
      <c r="C3308" s="1" t="n">
        <v>50</v>
      </c>
      <c r="D3308" s="1" t="s">
        <v>280</v>
      </c>
      <c r="E3308" s="1" t="n">
        <v>7</v>
      </c>
      <c r="F3308" s="1" t="n">
        <v>19.73</v>
      </c>
      <c r="G3308" s="1" t="n">
        <v>0</v>
      </c>
      <c r="H3308" s="1" t="s">
        <v>1336</v>
      </c>
      <c r="I3308" s="1" t="n">
        <v>138.11</v>
      </c>
      <c r="J3308" s="1" t="str">
        <f aca="false">VLOOKUP(B3308,Customers!$A$2:$G$502,6,FALSE())</f>
        <v>Small Business</v>
      </c>
      <c r="K3308" s="1" t="str">
        <f aca="false">VLOOKUP(C3308,Products!$A$2:$E$62,3,FALSE())</f>
        <v>Software</v>
      </c>
      <c r="L3308" s="1" t="str">
        <f aca="false">TEXT(D3308,"yyyy-mm")</f>
        <v>2023-06</v>
      </c>
    </row>
    <row r="3309" customFormat="false" ht="15" hidden="false" customHeight="true" outlineLevel="0" collapsed="false">
      <c r="A3309" s="1" t="n">
        <v>3383</v>
      </c>
      <c r="B3309" s="1" t="n">
        <v>92</v>
      </c>
      <c r="C3309" s="1" t="n">
        <v>34</v>
      </c>
      <c r="D3309" s="1" t="s">
        <v>97</v>
      </c>
      <c r="E3309" s="1" t="n">
        <v>6</v>
      </c>
      <c r="F3309" s="1" t="n">
        <v>116.85</v>
      </c>
      <c r="G3309" s="1" t="n">
        <v>0.2</v>
      </c>
      <c r="H3309" s="1" t="s">
        <v>1336</v>
      </c>
      <c r="I3309" s="1" t="n">
        <v>560.88</v>
      </c>
      <c r="J3309" s="1" t="str">
        <f aca="false">VLOOKUP(B3309,Customers!$A$2:$G$502,6,FALSE())</f>
        <v>Corporate</v>
      </c>
      <c r="K3309" s="1" t="str">
        <f aca="false">VLOOKUP(C3309,Products!$A$2:$E$62,3,FALSE())</f>
        <v>Office Supplies</v>
      </c>
      <c r="L3309" s="1" t="str">
        <f aca="false">TEXT(D3309,"yyyy-mm")</f>
        <v>2024-11</v>
      </c>
    </row>
    <row r="3310" customFormat="false" ht="15" hidden="false" customHeight="true" outlineLevel="0" collapsed="false">
      <c r="A3310" s="1" t="n">
        <v>3384</v>
      </c>
      <c r="B3310" s="1" t="n">
        <v>140</v>
      </c>
      <c r="C3310" s="1" t="n">
        <v>29</v>
      </c>
      <c r="D3310" s="1" t="s">
        <v>371</v>
      </c>
      <c r="E3310" s="1" t="n">
        <v>4</v>
      </c>
      <c r="F3310" s="1" t="n">
        <v>54.62</v>
      </c>
      <c r="G3310" s="1" t="n">
        <v>0.05</v>
      </c>
      <c r="H3310" s="1" t="s">
        <v>1336</v>
      </c>
      <c r="I3310" s="1" t="n">
        <v>207.56</v>
      </c>
      <c r="J3310" s="1" t="str">
        <f aca="false">VLOOKUP(B3310,Customers!$A$2:$G$502,6,FALSE())</f>
        <v>Unknown</v>
      </c>
      <c r="K3310" s="1" t="str">
        <f aca="false">VLOOKUP(C3310,Products!$A$2:$E$62,3,FALSE())</f>
        <v>Office Supplies</v>
      </c>
      <c r="L3310" s="1" t="str">
        <f aca="false">TEXT(D3310,"yyyy-mm")</f>
        <v>2024-03</v>
      </c>
    </row>
    <row r="3311" customFormat="false" ht="15" hidden="false" customHeight="true" outlineLevel="0" collapsed="false">
      <c r="A3311" s="1" t="n">
        <v>3385</v>
      </c>
      <c r="B3311" s="1" t="n">
        <v>10</v>
      </c>
      <c r="C3311" s="1" t="n">
        <v>24</v>
      </c>
      <c r="D3311" s="1" t="s">
        <v>1277</v>
      </c>
      <c r="E3311" s="1" t="n">
        <v>9</v>
      </c>
      <c r="F3311" s="1" t="n">
        <v>207.34</v>
      </c>
      <c r="G3311" s="1" t="n">
        <v>0</v>
      </c>
      <c r="H3311" s="1" t="s">
        <v>1336</v>
      </c>
      <c r="I3311" s="1" t="n">
        <v>1866.06</v>
      </c>
      <c r="J3311" s="1" t="str">
        <f aca="false">VLOOKUP(B3311,Customers!$A$2:$G$502,6,FALSE())</f>
        <v>Small Business</v>
      </c>
      <c r="K3311" s="1" t="str">
        <f aca="false">VLOOKUP(C3311,Products!$A$2:$E$62,3,FALSE())</f>
        <v>Office Supplies</v>
      </c>
      <c r="L3311" s="1" t="str">
        <f aca="false">TEXT(D3311,"yyyy-mm")</f>
        <v>2023-11</v>
      </c>
    </row>
    <row r="3312" customFormat="false" ht="15" hidden="false" customHeight="true" outlineLevel="0" collapsed="false">
      <c r="A3312" s="1" t="n">
        <v>3386</v>
      </c>
      <c r="B3312" s="1" t="n">
        <v>428</v>
      </c>
      <c r="C3312" s="1" t="n">
        <v>20</v>
      </c>
      <c r="D3312" s="1" t="s">
        <v>1273</v>
      </c>
      <c r="E3312" s="1" t="n">
        <v>6</v>
      </c>
      <c r="F3312" s="1" t="n">
        <v>426.15</v>
      </c>
      <c r="G3312" s="1" t="n">
        <v>0.2</v>
      </c>
      <c r="H3312" s="1" t="s">
        <v>1336</v>
      </c>
      <c r="I3312" s="1" t="n">
        <v>2045.52</v>
      </c>
      <c r="J3312" s="1" t="str">
        <f aca="false">VLOOKUP(B3312,Customers!$A$2:$G$502,6,FALSE())</f>
        <v>Corporate</v>
      </c>
      <c r="K3312" s="1" t="str">
        <f aca="false">VLOOKUP(C3312,Products!$A$2:$E$62,3,FALSE())</f>
        <v>Office Supplies</v>
      </c>
      <c r="L3312" s="1" t="str">
        <f aca="false">TEXT(D3312,"yyyy-mm")</f>
        <v>2023-08</v>
      </c>
    </row>
    <row r="3313" customFormat="false" ht="15" hidden="false" customHeight="true" outlineLevel="0" collapsed="false">
      <c r="A3313" s="1" t="n">
        <v>3387</v>
      </c>
      <c r="B3313" s="1" t="n">
        <v>211</v>
      </c>
      <c r="C3313" s="1" t="n">
        <v>52</v>
      </c>
      <c r="D3313" s="1" t="s">
        <v>1666</v>
      </c>
      <c r="E3313" s="1" t="n">
        <v>4</v>
      </c>
      <c r="F3313" s="1" t="n">
        <v>207.67</v>
      </c>
      <c r="G3313" s="1" t="n">
        <v>0</v>
      </c>
      <c r="H3313" s="1" t="s">
        <v>1370</v>
      </c>
      <c r="I3313" s="1" t="n">
        <v>830.68</v>
      </c>
      <c r="J3313" s="1" t="str">
        <f aca="false">VLOOKUP(B3313,Customers!$A$2:$G$502,6,FALSE())</f>
        <v>Consumer</v>
      </c>
      <c r="K3313" s="1" t="str">
        <f aca="false">VLOOKUP(C3313,Products!$A$2:$E$62,3,FALSE())</f>
        <v>Software</v>
      </c>
      <c r="L3313" s="1" t="str">
        <f aca="false">TEXT(D3313,"yyyy-mm")</f>
        <v>2024-07</v>
      </c>
    </row>
    <row r="3314" customFormat="false" ht="15" hidden="false" customHeight="true" outlineLevel="0" collapsed="false">
      <c r="A3314" s="1" t="n">
        <v>3388</v>
      </c>
      <c r="B3314" s="1" t="n">
        <v>314</v>
      </c>
      <c r="C3314" s="1" t="n">
        <v>55</v>
      </c>
      <c r="D3314" s="1" t="s">
        <v>1552</v>
      </c>
      <c r="E3314" s="1" t="n">
        <v>3</v>
      </c>
      <c r="F3314" s="1" t="n">
        <v>123.38</v>
      </c>
      <c r="G3314" s="1" t="n">
        <v>0.05</v>
      </c>
      <c r="H3314" s="1" t="s">
        <v>1336</v>
      </c>
      <c r="I3314" s="1" t="n">
        <v>351.63</v>
      </c>
      <c r="J3314" s="1" t="str">
        <f aca="false">VLOOKUP(B3314,Customers!$A$2:$G$502,6,FALSE())</f>
        <v>Small Business</v>
      </c>
      <c r="K3314" s="1" t="str">
        <f aca="false">VLOOKUP(C3314,Products!$A$2:$E$62,3,FALSE())</f>
        <v>Furniture</v>
      </c>
      <c r="L3314" s="1" t="str">
        <f aca="false">TEXT(D3314,"yyyy-mm")</f>
        <v>2023-02</v>
      </c>
    </row>
    <row r="3315" customFormat="false" ht="15" hidden="false" customHeight="true" outlineLevel="0" collapsed="false">
      <c r="A3315" s="1" t="n">
        <v>3389</v>
      </c>
      <c r="B3315" s="1" t="n">
        <v>178</v>
      </c>
      <c r="C3315" s="1" t="n">
        <v>14</v>
      </c>
      <c r="D3315" s="1" t="s">
        <v>1069</v>
      </c>
      <c r="E3315" s="1" t="n">
        <v>4</v>
      </c>
      <c r="F3315" s="1" t="n">
        <v>135.27</v>
      </c>
      <c r="G3315" s="1" t="n">
        <v>0.1</v>
      </c>
      <c r="H3315" s="1" t="s">
        <v>1336</v>
      </c>
      <c r="I3315" s="1" t="n">
        <v>486.97</v>
      </c>
      <c r="J3315" s="1" t="str">
        <f aca="false">VLOOKUP(B3315,Customers!$A$2:$G$502,6,FALSE())</f>
        <v>Consumer</v>
      </c>
      <c r="K3315" s="1" t="str">
        <f aca="false">VLOOKUP(C3315,Products!$A$2:$E$62,3,FALSE())</f>
        <v>Electronics</v>
      </c>
      <c r="L3315" s="1" t="str">
        <f aca="false">TEXT(D3315,"yyyy-mm")</f>
        <v>2024-01</v>
      </c>
    </row>
    <row r="3316" customFormat="false" ht="15" hidden="false" customHeight="true" outlineLevel="0" collapsed="false">
      <c r="A3316" s="1" t="n">
        <v>3390</v>
      </c>
      <c r="B3316" s="1" t="n">
        <v>64</v>
      </c>
      <c r="C3316" s="1" t="n">
        <v>22</v>
      </c>
      <c r="D3316" s="1" t="s">
        <v>1089</v>
      </c>
      <c r="E3316" s="1" t="n">
        <v>3</v>
      </c>
      <c r="F3316" s="1" t="n">
        <v>38.57</v>
      </c>
      <c r="G3316" s="1" t="n">
        <v>0</v>
      </c>
      <c r="H3316" s="1" t="s">
        <v>1336</v>
      </c>
      <c r="I3316" s="1" t="n">
        <v>115.71</v>
      </c>
      <c r="J3316" s="1" t="str">
        <f aca="false">VLOOKUP(B3316,Customers!$A$2:$G$502,6,FALSE())</f>
        <v>Consumer</v>
      </c>
      <c r="K3316" s="1" t="str">
        <f aca="false">VLOOKUP(C3316,Products!$A$2:$E$62,3,FALSE())</f>
        <v>Office Supplies</v>
      </c>
      <c r="L3316" s="1" t="str">
        <f aca="false">TEXT(D3316,"yyyy-mm")</f>
        <v>2024-10</v>
      </c>
    </row>
    <row r="3317" customFormat="false" ht="15" hidden="false" customHeight="true" outlineLevel="0" collapsed="false">
      <c r="A3317" s="1" t="n">
        <v>3391</v>
      </c>
      <c r="B3317" s="1" t="n">
        <v>135</v>
      </c>
      <c r="C3317" s="1" t="n">
        <v>16</v>
      </c>
      <c r="D3317" s="1" t="s">
        <v>179</v>
      </c>
      <c r="E3317" s="1" t="n">
        <v>2</v>
      </c>
      <c r="F3317" s="1" t="n">
        <v>330.91</v>
      </c>
      <c r="G3317" s="1" t="n">
        <v>0</v>
      </c>
      <c r="H3317" s="1" t="s">
        <v>1336</v>
      </c>
      <c r="I3317" s="1" t="n">
        <v>661.82</v>
      </c>
      <c r="J3317" s="1" t="str">
        <f aca="false">VLOOKUP(B3317,Customers!$A$2:$G$502,6,FALSE())</f>
        <v>Corporate</v>
      </c>
      <c r="K3317" s="1" t="str">
        <f aca="false">VLOOKUP(C3317,Products!$A$2:$E$62,3,FALSE())</f>
        <v>Electronics</v>
      </c>
      <c r="L3317" s="1" t="str">
        <f aca="false">TEXT(D3317,"yyyy-mm")</f>
        <v>2024-11</v>
      </c>
    </row>
    <row r="3318" customFormat="false" ht="15" hidden="false" customHeight="true" outlineLevel="0" collapsed="false">
      <c r="A3318" s="1" t="n">
        <v>3392</v>
      </c>
      <c r="B3318" s="1" t="n">
        <v>89</v>
      </c>
      <c r="C3318" s="1" t="n">
        <v>23</v>
      </c>
      <c r="D3318" s="1" t="s">
        <v>353</v>
      </c>
      <c r="E3318" s="1" t="n">
        <v>5</v>
      </c>
      <c r="F3318" s="1" t="n">
        <v>188.73</v>
      </c>
      <c r="G3318" s="1" t="n">
        <v>0.05</v>
      </c>
      <c r="H3318" s="1" t="s">
        <v>1370</v>
      </c>
      <c r="I3318" s="1" t="n">
        <v>896.47</v>
      </c>
      <c r="J3318" s="1" t="str">
        <f aca="false">VLOOKUP(B3318,Customers!$A$2:$G$502,6,FALSE())</f>
        <v>Small Business</v>
      </c>
      <c r="K3318" s="1" t="str">
        <f aca="false">VLOOKUP(C3318,Products!$A$2:$E$62,3,FALSE())</f>
        <v>Office Supplies</v>
      </c>
      <c r="L3318" s="1" t="str">
        <f aca="false">TEXT(D3318,"yyyy-mm")</f>
        <v>2024-01</v>
      </c>
    </row>
    <row r="3319" customFormat="false" ht="15" hidden="false" customHeight="true" outlineLevel="0" collapsed="false">
      <c r="A3319" s="1" t="n">
        <v>3393</v>
      </c>
      <c r="B3319" s="1" t="n">
        <v>139</v>
      </c>
      <c r="C3319" s="1" t="n">
        <v>42</v>
      </c>
      <c r="D3319" s="1" t="s">
        <v>1538</v>
      </c>
      <c r="E3319" s="1" t="n">
        <v>2</v>
      </c>
      <c r="F3319" s="1" t="n">
        <v>174.48</v>
      </c>
      <c r="G3319" s="1" t="n">
        <v>0.05</v>
      </c>
      <c r="H3319" s="1" t="s">
        <v>1336</v>
      </c>
      <c r="I3319" s="1" t="n">
        <v>331.51</v>
      </c>
      <c r="J3319" s="1" t="str">
        <f aca="false">VLOOKUP(B3319,Customers!$A$2:$G$502,6,FALSE())</f>
        <v>Consumer</v>
      </c>
      <c r="K3319" s="1" t="str">
        <f aca="false">VLOOKUP(C3319,Products!$A$2:$E$62,3,FALSE())</f>
        <v>Software</v>
      </c>
      <c r="L3319" s="1" t="str">
        <f aca="false">TEXT(D3319,"yyyy-mm")</f>
        <v>2024-10</v>
      </c>
    </row>
    <row r="3320" customFormat="false" ht="15" hidden="false" customHeight="true" outlineLevel="0" collapsed="false">
      <c r="A3320" s="1" t="n">
        <v>3394</v>
      </c>
      <c r="B3320" s="1" t="n">
        <v>240</v>
      </c>
      <c r="C3320" s="1" t="n">
        <v>14</v>
      </c>
      <c r="D3320" s="1" t="s">
        <v>336</v>
      </c>
      <c r="E3320" s="1" t="n">
        <v>6</v>
      </c>
      <c r="F3320" s="1" t="n">
        <v>135.27</v>
      </c>
      <c r="G3320" s="1" t="n">
        <v>0.15</v>
      </c>
      <c r="H3320" s="1" t="s">
        <v>1336</v>
      </c>
      <c r="I3320" s="1" t="n">
        <v>689.88</v>
      </c>
      <c r="J3320" s="1" t="str">
        <f aca="false">VLOOKUP(B3320,Customers!$A$2:$G$502,6,FALSE())</f>
        <v>Corporate</v>
      </c>
      <c r="K3320" s="1" t="str">
        <f aca="false">VLOOKUP(C3320,Products!$A$2:$E$62,3,FALSE())</f>
        <v>Electronics</v>
      </c>
      <c r="L3320" s="1" t="str">
        <f aca="false">TEXT(D3320,"yyyy-mm")</f>
        <v>2024-09</v>
      </c>
    </row>
    <row r="3321" customFormat="false" ht="15" hidden="false" customHeight="true" outlineLevel="0" collapsed="false">
      <c r="A3321" s="1" t="n">
        <v>3395</v>
      </c>
      <c r="B3321" s="1" t="n">
        <v>191</v>
      </c>
      <c r="C3321" s="1" t="n">
        <v>23</v>
      </c>
      <c r="D3321" s="1" t="s">
        <v>1611</v>
      </c>
      <c r="E3321" s="1" t="n">
        <v>3</v>
      </c>
      <c r="F3321" s="1" t="n">
        <v>188.73</v>
      </c>
      <c r="G3321" s="1" t="n">
        <v>0</v>
      </c>
      <c r="H3321" s="1" t="s">
        <v>1336</v>
      </c>
      <c r="I3321" s="1" t="n">
        <v>566.19</v>
      </c>
      <c r="J3321" s="1" t="str">
        <f aca="false">VLOOKUP(B3321,Customers!$A$2:$G$502,6,FALSE())</f>
        <v>Corporate</v>
      </c>
      <c r="K3321" s="1" t="str">
        <f aca="false">VLOOKUP(C3321,Products!$A$2:$E$62,3,FALSE())</f>
        <v>Office Supplies</v>
      </c>
      <c r="L3321" s="1" t="str">
        <f aca="false">TEXT(D3321,"yyyy-mm")</f>
        <v>2024-07</v>
      </c>
    </row>
    <row r="3322" customFormat="false" ht="15" hidden="false" customHeight="true" outlineLevel="0" collapsed="false">
      <c r="A3322" s="1" t="n">
        <v>3396</v>
      </c>
      <c r="B3322" s="1" t="n">
        <v>177</v>
      </c>
      <c r="C3322" s="1" t="n">
        <v>32</v>
      </c>
      <c r="D3322" s="1" t="s">
        <v>780</v>
      </c>
      <c r="E3322" s="1" t="n">
        <v>6</v>
      </c>
      <c r="F3322" s="1" t="n">
        <v>492.27</v>
      </c>
      <c r="G3322" s="1" t="n">
        <v>0</v>
      </c>
      <c r="H3322" s="1" t="s">
        <v>1336</v>
      </c>
      <c r="I3322" s="1" t="n">
        <v>2953.62</v>
      </c>
      <c r="J3322" s="1" t="str">
        <f aca="false">VLOOKUP(B3322,Customers!$A$2:$G$502,6,FALSE())</f>
        <v>Corporate</v>
      </c>
      <c r="K3322" s="1" t="str">
        <f aca="false">VLOOKUP(C3322,Products!$A$2:$E$62,3,FALSE())</f>
        <v>Office Supplies</v>
      </c>
      <c r="L3322" s="1" t="str">
        <f aca="false">TEXT(D3322,"yyyy-mm")</f>
        <v>2024-09</v>
      </c>
    </row>
    <row r="3323" customFormat="false" ht="15" hidden="false" customHeight="true" outlineLevel="0" collapsed="false">
      <c r="A3323" s="1" t="n">
        <v>3397</v>
      </c>
      <c r="B3323" s="1" t="n">
        <v>207</v>
      </c>
      <c r="C3323" s="1" t="n">
        <v>3</v>
      </c>
      <c r="D3323" s="1" t="s">
        <v>1341</v>
      </c>
      <c r="E3323" s="1" t="n">
        <v>9</v>
      </c>
      <c r="F3323" s="1" t="n">
        <v>89.39</v>
      </c>
      <c r="G3323" s="1" t="n">
        <v>0.2</v>
      </c>
      <c r="H3323" s="1" t="s">
        <v>1346</v>
      </c>
      <c r="I3323" s="1" t="n">
        <v>643.61</v>
      </c>
      <c r="J3323" s="1" t="str">
        <f aca="false">VLOOKUP(B3323,Customers!$A$2:$G$502,6,FALSE())</f>
        <v>Corporate</v>
      </c>
      <c r="K3323" s="1" t="str">
        <f aca="false">VLOOKUP(C3323,Products!$A$2:$E$62,3,FALSE())</f>
        <v>Electronics</v>
      </c>
      <c r="L3323" s="1" t="str">
        <f aca="false">TEXT(D3323,"yyyy-mm")</f>
        <v>2023-06</v>
      </c>
    </row>
    <row r="3324" customFormat="false" ht="15" hidden="false" customHeight="true" outlineLevel="0" collapsed="false">
      <c r="A3324" s="1" t="n">
        <v>3398</v>
      </c>
      <c r="B3324" s="1" t="n">
        <v>61</v>
      </c>
      <c r="C3324" s="1" t="n">
        <v>50</v>
      </c>
      <c r="D3324" s="1" t="s">
        <v>484</v>
      </c>
      <c r="E3324" s="1" t="n">
        <v>1</v>
      </c>
      <c r="F3324" s="1" t="n">
        <v>19.73</v>
      </c>
      <c r="G3324" s="1" t="n">
        <v>0.05</v>
      </c>
      <c r="H3324" s="1" t="s">
        <v>1336</v>
      </c>
      <c r="I3324" s="1" t="n">
        <v>18.74</v>
      </c>
      <c r="J3324" s="1" t="str">
        <f aca="false">VLOOKUP(B3324,Customers!$A$2:$G$502,6,FALSE())</f>
        <v>Small Business</v>
      </c>
      <c r="K3324" s="1" t="str">
        <f aca="false">VLOOKUP(C3324,Products!$A$2:$E$62,3,FALSE())</f>
        <v>Software</v>
      </c>
      <c r="L3324" s="1" t="str">
        <f aca="false">TEXT(D3324,"yyyy-mm")</f>
        <v>2023-07</v>
      </c>
    </row>
    <row r="3325" customFormat="false" ht="15" hidden="false" customHeight="true" outlineLevel="0" collapsed="false">
      <c r="A3325" s="1" t="n">
        <v>3399</v>
      </c>
      <c r="B3325" s="1" t="n">
        <v>327</v>
      </c>
      <c r="C3325" s="1" t="n">
        <v>20</v>
      </c>
      <c r="D3325" s="1" t="s">
        <v>330</v>
      </c>
      <c r="E3325" s="1" t="n">
        <v>6</v>
      </c>
      <c r="F3325" s="1" t="n">
        <v>426.15</v>
      </c>
      <c r="G3325" s="1" t="n">
        <v>0</v>
      </c>
      <c r="H3325" s="1" t="s">
        <v>1336</v>
      </c>
      <c r="I3325" s="1" t="n">
        <v>2556.9</v>
      </c>
      <c r="J3325" s="1" t="str">
        <f aca="false">VLOOKUP(B3325,Customers!$A$2:$G$502,6,FALSE())</f>
        <v>Consumer</v>
      </c>
      <c r="K3325" s="1" t="str">
        <f aca="false">VLOOKUP(C3325,Products!$A$2:$E$62,3,FALSE())</f>
        <v>Office Supplies</v>
      </c>
      <c r="L3325" s="1" t="str">
        <f aca="false">TEXT(D3325,"yyyy-mm")</f>
        <v>2024-03</v>
      </c>
    </row>
    <row r="3326" customFormat="false" ht="15" hidden="false" customHeight="true" outlineLevel="0" collapsed="false">
      <c r="A3326" s="1" t="n">
        <v>3400</v>
      </c>
      <c r="B3326" s="1" t="n">
        <v>500</v>
      </c>
      <c r="C3326" s="1" t="n">
        <v>29</v>
      </c>
      <c r="D3326" s="1" t="s">
        <v>1602</v>
      </c>
      <c r="E3326" s="1" t="n">
        <v>9</v>
      </c>
      <c r="F3326" s="1" t="n">
        <v>54.62</v>
      </c>
      <c r="G3326" s="1" t="n">
        <v>0.15</v>
      </c>
      <c r="H3326" s="1" t="s">
        <v>1336</v>
      </c>
      <c r="I3326" s="1" t="n">
        <v>417.84</v>
      </c>
      <c r="J3326" s="1" t="str">
        <f aca="false">VLOOKUP(B3326,Customers!$A$2:$G$502,6,FALSE())</f>
        <v>Small Business</v>
      </c>
      <c r="K3326" s="1" t="str">
        <f aca="false">VLOOKUP(C3326,Products!$A$2:$E$62,3,FALSE())</f>
        <v>Office Supplies</v>
      </c>
      <c r="L3326" s="1" t="str">
        <f aca="false">TEXT(D3326,"yyyy-mm")</f>
        <v>2024-10</v>
      </c>
    </row>
    <row r="3327" customFormat="false" ht="15" hidden="false" customHeight="true" outlineLevel="0" collapsed="false">
      <c r="A3327" s="1" t="n">
        <v>3401</v>
      </c>
      <c r="B3327" s="1" t="n">
        <v>369</v>
      </c>
      <c r="C3327" s="1" t="n">
        <v>52</v>
      </c>
      <c r="D3327" s="1" t="s">
        <v>952</v>
      </c>
      <c r="E3327" s="1" t="n">
        <v>4</v>
      </c>
      <c r="F3327" s="1" t="n">
        <v>207.67</v>
      </c>
      <c r="G3327" s="1" t="n">
        <v>0</v>
      </c>
      <c r="H3327" s="1" t="s">
        <v>1370</v>
      </c>
      <c r="I3327" s="1" t="n">
        <v>830.68</v>
      </c>
      <c r="J3327" s="1" t="str">
        <f aca="false">VLOOKUP(B3327,Customers!$A$2:$G$502,6,FALSE())</f>
        <v>Corporate</v>
      </c>
      <c r="K3327" s="1" t="str">
        <f aca="false">VLOOKUP(C3327,Products!$A$2:$E$62,3,FALSE())</f>
        <v>Software</v>
      </c>
      <c r="L3327" s="1" t="str">
        <f aca="false">TEXT(D3327,"yyyy-mm")</f>
        <v>2024-12</v>
      </c>
    </row>
    <row r="3328" customFormat="false" ht="15" hidden="false" customHeight="true" outlineLevel="0" collapsed="false">
      <c r="A3328" s="1" t="n">
        <v>3402</v>
      </c>
      <c r="B3328" s="1" t="n">
        <v>175</v>
      </c>
      <c r="C3328" s="1" t="n">
        <v>3</v>
      </c>
      <c r="D3328" s="1" t="s">
        <v>1500</v>
      </c>
      <c r="E3328" s="1" t="n">
        <v>2</v>
      </c>
      <c r="F3328" s="1" t="n">
        <v>89.39</v>
      </c>
      <c r="G3328" s="1" t="n">
        <v>0.15</v>
      </c>
      <c r="H3328" s="1" t="s">
        <v>1336</v>
      </c>
      <c r="I3328" s="1" t="n">
        <v>151.96</v>
      </c>
      <c r="J3328" s="1" t="str">
        <f aca="false">VLOOKUP(B3328,Customers!$A$2:$G$502,6,FALSE())</f>
        <v>Consumer</v>
      </c>
      <c r="K3328" s="1" t="str">
        <f aca="false">VLOOKUP(C3328,Products!$A$2:$E$62,3,FALSE())</f>
        <v>Electronics</v>
      </c>
      <c r="L3328" s="1" t="str">
        <f aca="false">TEXT(D3328,"yyyy-mm")</f>
        <v>2024-06</v>
      </c>
    </row>
    <row r="3329" customFormat="false" ht="15" hidden="false" customHeight="true" outlineLevel="0" collapsed="false">
      <c r="A3329" s="1" t="n">
        <v>3403</v>
      </c>
      <c r="B3329" s="1" t="n">
        <v>19</v>
      </c>
      <c r="C3329" s="1" t="n">
        <v>8</v>
      </c>
      <c r="D3329" s="1" t="s">
        <v>927</v>
      </c>
      <c r="E3329" s="1" t="n">
        <v>4</v>
      </c>
      <c r="F3329" s="1" t="n">
        <v>104.4</v>
      </c>
      <c r="G3329" s="1" t="n">
        <v>0</v>
      </c>
      <c r="H3329" s="1" t="s">
        <v>1336</v>
      </c>
      <c r="I3329" s="1" t="n">
        <v>417.6</v>
      </c>
      <c r="J3329" s="1" t="str">
        <f aca="false">VLOOKUP(B3329,Customers!$A$2:$G$502,6,FALSE())</f>
        <v>Consumer</v>
      </c>
      <c r="K3329" s="1" t="str">
        <f aca="false">VLOOKUP(C3329,Products!$A$2:$E$62,3,FALSE())</f>
        <v>Electronics</v>
      </c>
      <c r="L3329" s="1" t="str">
        <f aca="false">TEXT(D3329,"yyyy-mm")</f>
        <v>2024-04</v>
      </c>
    </row>
    <row r="3330" customFormat="false" ht="15" hidden="false" customHeight="true" outlineLevel="0" collapsed="false">
      <c r="A3330" s="1" t="n">
        <v>3404</v>
      </c>
      <c r="B3330" s="1" t="n">
        <v>179</v>
      </c>
      <c r="C3330" s="1" t="n">
        <v>40</v>
      </c>
      <c r="D3330" s="1" t="s">
        <v>1378</v>
      </c>
      <c r="E3330" s="1" t="n">
        <v>1</v>
      </c>
      <c r="F3330" s="1" t="n">
        <v>193.02</v>
      </c>
      <c r="G3330" s="1" t="n">
        <v>0</v>
      </c>
      <c r="H3330" s="1" t="s">
        <v>1336</v>
      </c>
      <c r="I3330" s="1" t="n">
        <v>193.02</v>
      </c>
      <c r="J3330" s="1" t="str">
        <f aca="false">VLOOKUP(B3330,Customers!$A$2:$G$502,6,FALSE())</f>
        <v>Small Business</v>
      </c>
      <c r="K3330" s="1" t="str">
        <f aca="false">VLOOKUP(C3330,Products!$A$2:$E$62,3,FALSE())</f>
        <v>Software</v>
      </c>
      <c r="L3330" s="1" t="str">
        <f aca="false">TEXT(D3330,"yyyy-mm")</f>
        <v>2024-11</v>
      </c>
    </row>
    <row r="3331" customFormat="false" ht="15" hidden="false" customHeight="true" outlineLevel="0" collapsed="false">
      <c r="A3331" s="1" t="n">
        <v>3405</v>
      </c>
      <c r="B3331" s="1" t="n">
        <v>482</v>
      </c>
      <c r="C3331" s="1" t="n">
        <v>25</v>
      </c>
      <c r="D3331" s="1" t="s">
        <v>1555</v>
      </c>
      <c r="E3331" s="1" t="n">
        <v>3</v>
      </c>
      <c r="F3331" s="1" t="n">
        <v>300.49</v>
      </c>
      <c r="G3331" s="1" t="n">
        <v>0.1</v>
      </c>
      <c r="H3331" s="1" t="s">
        <v>1336</v>
      </c>
      <c r="I3331" s="1" t="n">
        <v>811.32</v>
      </c>
      <c r="J3331" s="1" t="str">
        <f aca="false">VLOOKUP(B3331,Customers!$A$2:$G$502,6,FALSE())</f>
        <v>Small Business</v>
      </c>
      <c r="K3331" s="1" t="str">
        <f aca="false">VLOOKUP(C3331,Products!$A$2:$E$62,3,FALSE())</f>
        <v>Office Supplies</v>
      </c>
      <c r="L3331" s="1" t="str">
        <f aca="false">TEXT(D3331,"yyyy-mm")</f>
        <v>2024-04</v>
      </c>
    </row>
    <row r="3332" customFormat="false" ht="15" hidden="false" customHeight="true" outlineLevel="0" collapsed="false">
      <c r="A3332" s="1" t="n">
        <v>3406</v>
      </c>
      <c r="B3332" s="1" t="n">
        <v>359</v>
      </c>
      <c r="C3332" s="1" t="n">
        <v>39</v>
      </c>
      <c r="D3332" s="1" t="s">
        <v>1165</v>
      </c>
      <c r="E3332" s="1" t="n">
        <v>9</v>
      </c>
      <c r="F3332" s="1" t="n">
        <v>400.02</v>
      </c>
      <c r="G3332" s="1" t="n">
        <v>0.1</v>
      </c>
      <c r="H3332" s="1" t="s">
        <v>1336</v>
      </c>
      <c r="I3332" s="1" t="n">
        <v>3240.16</v>
      </c>
      <c r="J3332" s="1" t="str">
        <f aca="false">VLOOKUP(B3332,Customers!$A$2:$G$502,6,FALSE())</f>
        <v>Small Business</v>
      </c>
      <c r="K3332" s="1" t="str">
        <f aca="false">VLOOKUP(C3332,Products!$A$2:$E$62,3,FALSE())</f>
        <v>Software</v>
      </c>
      <c r="L3332" s="1" t="str">
        <f aca="false">TEXT(D3332,"yyyy-mm")</f>
        <v>2023-07</v>
      </c>
    </row>
    <row r="3333" customFormat="false" ht="15" hidden="false" customHeight="true" outlineLevel="0" collapsed="false">
      <c r="A3333" s="1" t="n">
        <v>3407</v>
      </c>
      <c r="B3333" s="1" t="n">
        <v>57</v>
      </c>
      <c r="C3333" s="1" t="n">
        <v>48</v>
      </c>
      <c r="D3333" s="1" t="s">
        <v>1664</v>
      </c>
      <c r="E3333" s="1" t="n">
        <v>5</v>
      </c>
      <c r="F3333" s="1" t="n">
        <v>493.53</v>
      </c>
      <c r="G3333" s="1" t="n">
        <v>0.1</v>
      </c>
      <c r="H3333" s="1" t="s">
        <v>1336</v>
      </c>
      <c r="I3333" s="1" t="n">
        <v>2220.88</v>
      </c>
      <c r="J3333" s="1" t="str">
        <f aca="false">VLOOKUP(B3333,Customers!$A$2:$G$502,6,FALSE())</f>
        <v>Consumer</v>
      </c>
      <c r="K3333" s="1" t="str">
        <f aca="false">VLOOKUP(C3333,Products!$A$2:$E$62,3,FALSE())</f>
        <v>Software</v>
      </c>
      <c r="L3333" s="1" t="str">
        <f aca="false">TEXT(D3333,"yyyy-mm")</f>
        <v>2024-01</v>
      </c>
    </row>
    <row r="3334" customFormat="false" ht="15" hidden="false" customHeight="true" outlineLevel="0" collapsed="false">
      <c r="A3334" s="1" t="n">
        <v>3408</v>
      </c>
      <c r="B3334" s="1" t="n">
        <v>300</v>
      </c>
      <c r="C3334" s="1" t="n">
        <v>28</v>
      </c>
      <c r="D3334" s="1" t="s">
        <v>371</v>
      </c>
      <c r="E3334" s="1" t="n">
        <v>6</v>
      </c>
      <c r="F3334" s="1" t="n">
        <v>505.23</v>
      </c>
      <c r="G3334" s="1" t="n">
        <v>0.05</v>
      </c>
      <c r="H3334" s="1" t="s">
        <v>1336</v>
      </c>
      <c r="I3334" s="1" t="n">
        <v>2879.81</v>
      </c>
      <c r="J3334" s="1" t="str">
        <f aca="false">VLOOKUP(B3334,Customers!$A$2:$G$502,6,FALSE())</f>
        <v>Consumer</v>
      </c>
      <c r="K3334" s="1" t="str">
        <f aca="false">VLOOKUP(C3334,Products!$A$2:$E$62,3,FALSE())</f>
        <v>Office Supplies</v>
      </c>
      <c r="L3334" s="1" t="str">
        <f aca="false">TEXT(D3334,"yyyy-mm")</f>
        <v>2024-03</v>
      </c>
    </row>
    <row r="3335" customFormat="false" ht="15" hidden="false" customHeight="true" outlineLevel="0" collapsed="false">
      <c r="A3335" s="1" t="n">
        <v>3409</v>
      </c>
      <c r="B3335" s="1" t="n">
        <v>123</v>
      </c>
      <c r="C3335" s="1" t="n">
        <v>24</v>
      </c>
      <c r="D3335" s="1" t="s">
        <v>97</v>
      </c>
      <c r="E3335" s="1" t="n">
        <v>3</v>
      </c>
      <c r="F3335" s="1" t="n">
        <v>207.34</v>
      </c>
      <c r="G3335" s="1" t="n">
        <v>0.2</v>
      </c>
      <c r="H3335" s="1" t="s">
        <v>1336</v>
      </c>
      <c r="I3335" s="1" t="n">
        <v>497.62</v>
      </c>
      <c r="J3335" s="1" t="str">
        <f aca="false">VLOOKUP(B3335,Customers!$A$2:$G$502,6,FALSE())</f>
        <v>Small Business</v>
      </c>
      <c r="K3335" s="1" t="str">
        <f aca="false">VLOOKUP(C3335,Products!$A$2:$E$62,3,FALSE())</f>
        <v>Office Supplies</v>
      </c>
      <c r="L3335" s="1" t="str">
        <f aca="false">TEXT(D3335,"yyyy-mm")</f>
        <v>2024-11</v>
      </c>
    </row>
    <row r="3336" customFormat="false" ht="15" hidden="false" customHeight="true" outlineLevel="0" collapsed="false">
      <c r="A3336" s="1" t="n">
        <v>3410</v>
      </c>
      <c r="B3336" s="1" t="n">
        <v>233</v>
      </c>
      <c r="C3336" s="1" t="n">
        <v>9</v>
      </c>
      <c r="D3336" s="1" t="s">
        <v>1464</v>
      </c>
      <c r="E3336" s="1" t="n">
        <v>5</v>
      </c>
      <c r="F3336" s="1" t="n">
        <v>203.1</v>
      </c>
      <c r="G3336" s="1" t="n">
        <v>0.1</v>
      </c>
      <c r="H3336" s="1" t="s">
        <v>1336</v>
      </c>
      <c r="I3336" s="1" t="n">
        <v>913.95</v>
      </c>
      <c r="J3336" s="1" t="str">
        <f aca="false">VLOOKUP(B3336,Customers!$A$2:$G$502,6,FALSE())</f>
        <v>Corporate</v>
      </c>
      <c r="K3336" s="1" t="str">
        <f aca="false">VLOOKUP(C3336,Products!$A$2:$E$62,3,FALSE())</f>
        <v>Electronics</v>
      </c>
      <c r="L3336" s="1" t="str">
        <f aca="false">TEXT(D3336,"yyyy-mm")</f>
        <v>2023-05</v>
      </c>
    </row>
    <row r="3337" customFormat="false" ht="15" hidden="false" customHeight="true" outlineLevel="0" collapsed="false">
      <c r="A3337" s="1" t="n">
        <v>3411</v>
      </c>
      <c r="B3337" s="1" t="n">
        <v>411</v>
      </c>
      <c r="C3337" s="1" t="n">
        <v>23</v>
      </c>
      <c r="D3337" s="1" t="s">
        <v>764</v>
      </c>
      <c r="E3337" s="1" t="n">
        <v>8</v>
      </c>
      <c r="F3337" s="1" t="n">
        <v>188.73</v>
      </c>
      <c r="G3337" s="1" t="n">
        <v>0.2</v>
      </c>
      <c r="H3337" s="1" t="s">
        <v>1336</v>
      </c>
      <c r="I3337" s="1" t="n">
        <v>1207.87</v>
      </c>
      <c r="J3337" s="1" t="str">
        <f aca="false">VLOOKUP(B3337,Customers!$A$2:$G$502,6,FALSE())</f>
        <v>Corporate</v>
      </c>
      <c r="K3337" s="1" t="str">
        <f aca="false">VLOOKUP(C3337,Products!$A$2:$E$62,3,FALSE())</f>
        <v>Office Supplies</v>
      </c>
      <c r="L3337" s="1" t="str">
        <f aca="false">TEXT(D3337,"yyyy-mm")</f>
        <v>2023-04</v>
      </c>
    </row>
    <row r="3338" customFormat="false" ht="15" hidden="false" customHeight="true" outlineLevel="0" collapsed="false">
      <c r="A3338" s="1" t="n">
        <v>3412</v>
      </c>
      <c r="B3338" s="1" t="n">
        <v>240</v>
      </c>
      <c r="C3338" s="1" t="n">
        <v>59</v>
      </c>
      <c r="D3338" s="1" t="s">
        <v>1597</v>
      </c>
      <c r="E3338" s="1" t="n">
        <v>6</v>
      </c>
      <c r="F3338" s="1" t="n">
        <v>438.89</v>
      </c>
      <c r="G3338" s="1" t="n">
        <v>0</v>
      </c>
      <c r="H3338" s="1" t="s">
        <v>1336</v>
      </c>
      <c r="I3338" s="1" t="n">
        <v>2633.34</v>
      </c>
      <c r="J3338" s="1" t="str">
        <f aca="false">VLOOKUP(B3338,Customers!$A$2:$G$502,6,FALSE())</f>
        <v>Corporate</v>
      </c>
      <c r="K3338" s="1" t="str">
        <f aca="false">VLOOKUP(C3338,Products!$A$2:$E$62,3,FALSE())</f>
        <v>Furniture</v>
      </c>
      <c r="L3338" s="1" t="str">
        <f aca="false">TEXT(D3338,"yyyy-mm")</f>
        <v>2023-11</v>
      </c>
    </row>
    <row r="3339" customFormat="false" ht="15" hidden="false" customHeight="true" outlineLevel="0" collapsed="false">
      <c r="A3339" s="1" t="n">
        <v>3413</v>
      </c>
      <c r="B3339" s="1" t="n">
        <v>436</v>
      </c>
      <c r="C3339" s="1" t="n">
        <v>44</v>
      </c>
      <c r="D3339" s="1" t="s">
        <v>87</v>
      </c>
      <c r="E3339" s="1" t="n">
        <v>4</v>
      </c>
      <c r="F3339" s="1" t="n">
        <v>508.26</v>
      </c>
      <c r="G3339" s="1" t="n">
        <v>0</v>
      </c>
      <c r="H3339" s="1" t="s">
        <v>1336</v>
      </c>
      <c r="I3339" s="1" t="n">
        <v>2033.04</v>
      </c>
      <c r="J3339" s="1" t="str">
        <f aca="false">VLOOKUP(B3339,Customers!$A$2:$G$502,6,FALSE())</f>
        <v>Corporate</v>
      </c>
      <c r="K3339" s="1" t="str">
        <f aca="false">VLOOKUP(C3339,Products!$A$2:$E$62,3,FALSE())</f>
        <v>Software</v>
      </c>
      <c r="L3339" s="1" t="str">
        <f aca="false">TEXT(D3339,"yyyy-mm")</f>
        <v>2023-08</v>
      </c>
    </row>
    <row r="3340" customFormat="false" ht="15" hidden="false" customHeight="true" outlineLevel="0" collapsed="false">
      <c r="A3340" s="1" t="n">
        <v>3414</v>
      </c>
      <c r="B3340" s="1" t="n">
        <v>420</v>
      </c>
      <c r="C3340" s="1" t="n">
        <v>57</v>
      </c>
      <c r="D3340" s="1" t="s">
        <v>1635</v>
      </c>
      <c r="E3340" s="1" t="n">
        <v>2</v>
      </c>
      <c r="F3340" s="1" t="n">
        <v>719.76</v>
      </c>
      <c r="G3340" s="1" t="n">
        <v>0.15</v>
      </c>
      <c r="H3340" s="1" t="s">
        <v>1336</v>
      </c>
      <c r="I3340" s="1" t="n">
        <v>1223.59</v>
      </c>
      <c r="J3340" s="1" t="str">
        <f aca="false">VLOOKUP(B3340,Customers!$A$2:$G$502,6,FALSE())</f>
        <v>Small Business</v>
      </c>
      <c r="K3340" s="1" t="str">
        <f aca="false">VLOOKUP(C3340,Products!$A$2:$E$62,3,FALSE())</f>
        <v>Furniture</v>
      </c>
      <c r="L3340" s="1" t="str">
        <f aca="false">TEXT(D3340,"yyyy-mm")</f>
        <v>2023-03</v>
      </c>
    </row>
    <row r="3341" customFormat="false" ht="15" hidden="false" customHeight="true" outlineLevel="0" collapsed="false">
      <c r="A3341" s="1" t="n">
        <v>3415</v>
      </c>
      <c r="B3341" s="1" t="n">
        <v>499</v>
      </c>
      <c r="C3341" s="1" t="n">
        <v>58</v>
      </c>
      <c r="D3341" s="1" t="s">
        <v>427</v>
      </c>
      <c r="E3341" s="1" t="n">
        <v>9</v>
      </c>
      <c r="F3341" s="1" t="n">
        <v>515.55</v>
      </c>
      <c r="G3341" s="1" t="n">
        <v>0</v>
      </c>
      <c r="H3341" s="1" t="s">
        <v>1336</v>
      </c>
      <c r="I3341" s="1" t="n">
        <v>4639.95</v>
      </c>
      <c r="J3341" s="1" t="str">
        <f aca="false">VLOOKUP(B3341,Customers!$A$2:$G$502,6,FALSE())</f>
        <v>Consumer</v>
      </c>
      <c r="K3341" s="1" t="str">
        <f aca="false">VLOOKUP(C3341,Products!$A$2:$E$62,3,FALSE())</f>
        <v>Furniture</v>
      </c>
      <c r="L3341" s="1" t="str">
        <f aca="false">TEXT(D3341,"yyyy-mm")</f>
        <v>2024-11</v>
      </c>
    </row>
    <row r="3342" customFormat="false" ht="15" hidden="false" customHeight="true" outlineLevel="0" collapsed="false">
      <c r="A3342" s="1" t="n">
        <v>3416</v>
      </c>
      <c r="B3342" s="1" t="n">
        <v>187</v>
      </c>
      <c r="C3342" s="1" t="n">
        <v>50</v>
      </c>
      <c r="D3342" s="1" t="s">
        <v>1514</v>
      </c>
      <c r="E3342" s="1" t="n">
        <v>1</v>
      </c>
      <c r="F3342" s="1" t="n">
        <v>19.73</v>
      </c>
      <c r="G3342" s="1" t="n">
        <v>0.05</v>
      </c>
      <c r="H3342" s="1" t="s">
        <v>1336</v>
      </c>
      <c r="I3342" s="1" t="n">
        <v>18.74</v>
      </c>
      <c r="J3342" s="1" t="str">
        <f aca="false">VLOOKUP(B3342,Customers!$A$2:$G$502,6,FALSE())</f>
        <v>Consumer</v>
      </c>
      <c r="K3342" s="1" t="str">
        <f aca="false">VLOOKUP(C3342,Products!$A$2:$E$62,3,FALSE())</f>
        <v>Software</v>
      </c>
      <c r="L3342" s="1" t="str">
        <f aca="false">TEXT(D3342,"yyyy-mm")</f>
        <v>2024-10</v>
      </c>
    </row>
    <row r="3343" customFormat="false" ht="15" hidden="false" customHeight="true" outlineLevel="0" collapsed="false">
      <c r="A3343" s="1" t="n">
        <v>3417</v>
      </c>
      <c r="B3343" s="1" t="n">
        <v>263</v>
      </c>
      <c r="C3343" s="1" t="n">
        <v>12</v>
      </c>
      <c r="D3343" s="1" t="s">
        <v>1033</v>
      </c>
      <c r="E3343" s="1" t="n">
        <v>1</v>
      </c>
      <c r="F3343" s="1" t="n">
        <v>179.23</v>
      </c>
      <c r="G3343" s="1" t="n">
        <v>0</v>
      </c>
      <c r="H3343" s="1" t="s">
        <v>1370</v>
      </c>
      <c r="I3343" s="1" t="n">
        <v>179.23</v>
      </c>
      <c r="J3343" s="1" t="str">
        <f aca="false">VLOOKUP(B3343,Customers!$A$2:$G$502,6,FALSE())</f>
        <v>Consumer</v>
      </c>
      <c r="K3343" s="1" t="str">
        <f aca="false">VLOOKUP(C3343,Products!$A$2:$E$62,3,FALSE())</f>
        <v>Electronics</v>
      </c>
      <c r="L3343" s="1" t="str">
        <f aca="false">TEXT(D3343,"yyyy-mm")</f>
        <v>2023-12</v>
      </c>
    </row>
    <row r="3344" customFormat="false" ht="15" hidden="false" customHeight="true" outlineLevel="0" collapsed="false">
      <c r="A3344" s="1" t="n">
        <v>3418</v>
      </c>
      <c r="B3344" s="1" t="n">
        <v>415</v>
      </c>
      <c r="C3344" s="1" t="n">
        <v>38</v>
      </c>
      <c r="D3344" s="1" t="s">
        <v>1593</v>
      </c>
      <c r="E3344" s="1" t="n">
        <v>4</v>
      </c>
      <c r="F3344" s="1" t="n">
        <v>521.63</v>
      </c>
      <c r="G3344" s="1" t="n">
        <v>0.15</v>
      </c>
      <c r="H3344" s="1" t="s">
        <v>1336</v>
      </c>
      <c r="I3344" s="1" t="n">
        <v>1773.54</v>
      </c>
      <c r="J3344" s="1" t="str">
        <f aca="false">VLOOKUP(B3344,Customers!$A$2:$G$502,6,FALSE())</f>
        <v>Consumer</v>
      </c>
      <c r="K3344" s="1" t="str">
        <f aca="false">VLOOKUP(C3344,Products!$A$2:$E$62,3,FALSE())</f>
        <v>Software</v>
      </c>
      <c r="L3344" s="1" t="str">
        <f aca="false">TEXT(D3344,"yyyy-mm")</f>
        <v>2023-09</v>
      </c>
    </row>
    <row r="3345" customFormat="false" ht="15" hidden="false" customHeight="true" outlineLevel="0" collapsed="false">
      <c r="A3345" s="1" t="n">
        <v>3419</v>
      </c>
      <c r="B3345" s="1" t="n">
        <v>268</v>
      </c>
      <c r="C3345" s="1" t="n">
        <v>25</v>
      </c>
      <c r="D3345" s="1" t="s">
        <v>853</v>
      </c>
      <c r="E3345" s="1" t="n">
        <v>7</v>
      </c>
      <c r="F3345" s="1" t="n">
        <v>300.49</v>
      </c>
      <c r="G3345" s="1" t="n">
        <v>0.1</v>
      </c>
      <c r="H3345" s="1" t="s">
        <v>1336</v>
      </c>
      <c r="I3345" s="1" t="n">
        <v>1893.09</v>
      </c>
      <c r="J3345" s="1" t="str">
        <f aca="false">VLOOKUP(B3345,Customers!$A$2:$G$502,6,FALSE())</f>
        <v>Small Business</v>
      </c>
      <c r="K3345" s="1" t="str">
        <f aca="false">VLOOKUP(C3345,Products!$A$2:$E$62,3,FALSE())</f>
        <v>Office Supplies</v>
      </c>
      <c r="L3345" s="1" t="str">
        <f aca="false">TEXT(D3345,"yyyy-mm")</f>
        <v>2024-03</v>
      </c>
    </row>
    <row r="3346" customFormat="false" ht="15" hidden="false" customHeight="true" outlineLevel="0" collapsed="false">
      <c r="A3346" s="1" t="n">
        <v>3420</v>
      </c>
      <c r="B3346" s="1" t="n">
        <v>408</v>
      </c>
      <c r="C3346" s="1" t="n">
        <v>52</v>
      </c>
      <c r="D3346" s="1" t="s">
        <v>887</v>
      </c>
      <c r="E3346" s="1" t="n">
        <v>1</v>
      </c>
      <c r="F3346" s="1" t="n">
        <v>207.67</v>
      </c>
      <c r="G3346" s="1" t="n">
        <v>0</v>
      </c>
      <c r="H3346" s="1" t="s">
        <v>1336</v>
      </c>
      <c r="I3346" s="1" t="n">
        <v>207.67</v>
      </c>
      <c r="J3346" s="1" t="str">
        <f aca="false">VLOOKUP(B3346,Customers!$A$2:$G$502,6,FALSE())</f>
        <v>Small Business</v>
      </c>
      <c r="K3346" s="1" t="str">
        <f aca="false">VLOOKUP(C3346,Products!$A$2:$E$62,3,FALSE())</f>
        <v>Software</v>
      </c>
      <c r="L3346" s="1" t="str">
        <f aca="false">TEXT(D3346,"yyyy-mm")</f>
        <v>2023-06</v>
      </c>
    </row>
    <row r="3347" customFormat="false" ht="15" hidden="false" customHeight="true" outlineLevel="0" collapsed="false">
      <c r="A3347" s="1" t="n">
        <v>3421</v>
      </c>
      <c r="B3347" s="1" t="n">
        <v>194</v>
      </c>
      <c r="C3347" s="1" t="n">
        <v>6</v>
      </c>
      <c r="D3347" s="1" t="s">
        <v>960</v>
      </c>
      <c r="E3347" s="1" t="n">
        <v>9</v>
      </c>
      <c r="F3347" s="1" t="n">
        <v>28.51</v>
      </c>
      <c r="G3347" s="1" t="n">
        <v>0.1</v>
      </c>
      <c r="H3347" s="1" t="s">
        <v>1336</v>
      </c>
      <c r="I3347" s="1" t="n">
        <v>230.93</v>
      </c>
      <c r="J3347" s="1" t="str">
        <f aca="false">VLOOKUP(B3347,Customers!$A$2:$G$502,6,FALSE())</f>
        <v>Corporate</v>
      </c>
      <c r="K3347" s="1" t="str">
        <f aca="false">VLOOKUP(C3347,Products!$A$2:$E$62,3,FALSE())</f>
        <v>Electronics</v>
      </c>
      <c r="L3347" s="1" t="str">
        <f aca="false">TEXT(D3347,"yyyy-mm")</f>
        <v>2023-04</v>
      </c>
    </row>
    <row r="3348" customFormat="false" ht="15" hidden="false" customHeight="true" outlineLevel="0" collapsed="false">
      <c r="A3348" s="1" t="n">
        <v>3422</v>
      </c>
      <c r="B3348" s="1" t="n">
        <v>432</v>
      </c>
      <c r="C3348" s="1" t="n">
        <v>22</v>
      </c>
      <c r="D3348" s="1" t="s">
        <v>1661</v>
      </c>
      <c r="E3348" s="1" t="n">
        <v>4</v>
      </c>
      <c r="F3348" s="1" t="n">
        <v>38.57</v>
      </c>
      <c r="G3348" s="1" t="n">
        <v>0.2</v>
      </c>
      <c r="H3348" s="1" t="s">
        <v>1336</v>
      </c>
      <c r="I3348" s="1" t="n">
        <v>123.42</v>
      </c>
      <c r="J3348" s="1" t="str">
        <f aca="false">VLOOKUP(B3348,Customers!$A$2:$G$502,6,FALSE())</f>
        <v>Consumer</v>
      </c>
      <c r="K3348" s="1" t="str">
        <f aca="false">VLOOKUP(C3348,Products!$A$2:$E$62,3,FALSE())</f>
        <v>Office Supplies</v>
      </c>
      <c r="L3348" s="1" t="str">
        <f aca="false">TEXT(D3348,"yyyy-mm")</f>
        <v>2024-09</v>
      </c>
    </row>
    <row r="3349" customFormat="false" ht="15" hidden="false" customHeight="true" outlineLevel="0" collapsed="false">
      <c r="A3349" s="1" t="n">
        <v>3423</v>
      </c>
      <c r="B3349" s="1" t="n">
        <v>136</v>
      </c>
      <c r="C3349" s="1" t="n">
        <v>41</v>
      </c>
      <c r="D3349" s="1" t="s">
        <v>1216</v>
      </c>
      <c r="E3349" s="1" t="n">
        <v>3</v>
      </c>
      <c r="F3349" s="1" t="n">
        <v>594.54</v>
      </c>
      <c r="G3349" s="1" t="n">
        <v>0</v>
      </c>
      <c r="H3349" s="1" t="s">
        <v>1336</v>
      </c>
      <c r="I3349" s="1" t="n">
        <v>1783.62</v>
      </c>
      <c r="J3349" s="1" t="str">
        <f aca="false">VLOOKUP(B3349,Customers!$A$2:$G$502,6,FALSE())</f>
        <v>Corporate</v>
      </c>
      <c r="K3349" s="1" t="str">
        <f aca="false">VLOOKUP(C3349,Products!$A$2:$E$62,3,FALSE())</f>
        <v>Software</v>
      </c>
      <c r="L3349" s="1" t="str">
        <f aca="false">TEXT(D3349,"yyyy-mm")</f>
        <v>2024-10</v>
      </c>
    </row>
    <row r="3350" customFormat="false" ht="15" hidden="false" customHeight="true" outlineLevel="0" collapsed="false">
      <c r="A3350" s="1" t="n">
        <v>3424</v>
      </c>
      <c r="B3350" s="1" t="n">
        <v>420</v>
      </c>
      <c r="C3350" s="1" t="n">
        <v>21</v>
      </c>
      <c r="D3350" s="1" t="s">
        <v>1377</v>
      </c>
      <c r="E3350" s="1" t="n">
        <v>1</v>
      </c>
      <c r="F3350" s="1" t="n">
        <v>84.91</v>
      </c>
      <c r="G3350" s="1" t="n">
        <v>0</v>
      </c>
      <c r="H3350" s="1" t="s">
        <v>1346</v>
      </c>
      <c r="I3350" s="1" t="n">
        <v>84.91</v>
      </c>
      <c r="J3350" s="1" t="str">
        <f aca="false">VLOOKUP(B3350,Customers!$A$2:$G$502,6,FALSE())</f>
        <v>Small Business</v>
      </c>
      <c r="K3350" s="1" t="str">
        <f aca="false">VLOOKUP(C3350,Products!$A$2:$E$62,3,FALSE())</f>
        <v>Office Supplies</v>
      </c>
      <c r="L3350" s="1" t="str">
        <f aca="false">TEXT(D3350,"yyyy-mm")</f>
        <v>2023-10</v>
      </c>
    </row>
    <row r="3351" customFormat="false" ht="15" hidden="false" customHeight="true" outlineLevel="0" collapsed="false">
      <c r="A3351" s="1" t="n">
        <v>3425</v>
      </c>
      <c r="B3351" s="1" t="n">
        <v>273</v>
      </c>
      <c r="C3351" s="1" t="n">
        <v>43</v>
      </c>
      <c r="D3351" s="1" t="s">
        <v>202</v>
      </c>
      <c r="E3351" s="1" t="n">
        <v>4</v>
      </c>
      <c r="F3351" s="1" t="n">
        <v>186.31</v>
      </c>
      <c r="G3351" s="1" t="n">
        <v>0</v>
      </c>
      <c r="H3351" s="1" t="s">
        <v>1336</v>
      </c>
      <c r="I3351" s="1" t="n">
        <v>745.24</v>
      </c>
      <c r="J3351" s="1" t="str">
        <f aca="false">VLOOKUP(B3351,Customers!$A$2:$G$502,6,FALSE())</f>
        <v>Corporate</v>
      </c>
      <c r="K3351" s="1" t="str">
        <f aca="false">VLOOKUP(C3351,Products!$A$2:$E$62,3,FALSE())</f>
        <v>Software</v>
      </c>
      <c r="L3351" s="1" t="str">
        <f aca="false">TEXT(D3351,"yyyy-mm")</f>
        <v>2024-12</v>
      </c>
    </row>
    <row r="3352" customFormat="false" ht="15" hidden="false" customHeight="true" outlineLevel="0" collapsed="false">
      <c r="A3352" s="1" t="n">
        <v>3426</v>
      </c>
      <c r="B3352" s="1" t="n">
        <v>10</v>
      </c>
      <c r="C3352" s="1" t="n">
        <v>44</v>
      </c>
      <c r="D3352" s="1" t="s">
        <v>464</v>
      </c>
      <c r="E3352" s="1" t="n">
        <v>9</v>
      </c>
      <c r="F3352" s="1" t="n">
        <v>508.26</v>
      </c>
      <c r="G3352" s="1" t="n">
        <v>0</v>
      </c>
      <c r="H3352" s="1" t="s">
        <v>1336</v>
      </c>
      <c r="I3352" s="1" t="n">
        <v>4574.34</v>
      </c>
      <c r="J3352" s="1" t="str">
        <f aca="false">VLOOKUP(B3352,Customers!$A$2:$G$502,6,FALSE())</f>
        <v>Small Business</v>
      </c>
      <c r="K3352" s="1" t="str">
        <f aca="false">VLOOKUP(C3352,Products!$A$2:$E$62,3,FALSE())</f>
        <v>Software</v>
      </c>
      <c r="L3352" s="1" t="str">
        <f aca="false">TEXT(D3352,"yyyy-mm")</f>
        <v>2023-12</v>
      </c>
    </row>
    <row r="3353" customFormat="false" ht="15" hidden="false" customHeight="true" outlineLevel="0" collapsed="false">
      <c r="A3353" s="1" t="n">
        <v>3427</v>
      </c>
      <c r="B3353" s="1" t="n">
        <v>354</v>
      </c>
      <c r="C3353" s="1" t="n">
        <v>38</v>
      </c>
      <c r="D3353" s="1" t="s">
        <v>1426</v>
      </c>
      <c r="E3353" s="1" t="n">
        <v>6</v>
      </c>
      <c r="F3353" s="1" t="n">
        <v>521.63</v>
      </c>
      <c r="G3353" s="1" t="n">
        <v>0.05</v>
      </c>
      <c r="H3353" s="1" t="s">
        <v>1336</v>
      </c>
      <c r="I3353" s="1" t="n">
        <v>2973.29</v>
      </c>
      <c r="J3353" s="1" t="str">
        <f aca="false">VLOOKUP(B3353,Customers!$A$2:$G$502,6,FALSE())</f>
        <v>Consumer</v>
      </c>
      <c r="K3353" s="1" t="str">
        <f aca="false">VLOOKUP(C3353,Products!$A$2:$E$62,3,FALSE())</f>
        <v>Software</v>
      </c>
      <c r="L3353" s="1" t="str">
        <f aca="false">TEXT(D3353,"yyyy-mm")</f>
        <v>2023-08</v>
      </c>
    </row>
    <row r="3354" customFormat="false" ht="15" hidden="false" customHeight="true" outlineLevel="0" collapsed="false">
      <c r="A3354" s="1" t="n">
        <v>3428</v>
      </c>
      <c r="B3354" s="1" t="n">
        <v>275</v>
      </c>
      <c r="C3354" s="1" t="n">
        <v>50</v>
      </c>
      <c r="D3354" s="1" t="s">
        <v>1377</v>
      </c>
      <c r="E3354" s="1" t="n">
        <v>6</v>
      </c>
      <c r="F3354" s="1" t="n">
        <v>19.73</v>
      </c>
      <c r="G3354" s="1" t="n">
        <v>0.2</v>
      </c>
      <c r="H3354" s="1" t="s">
        <v>1336</v>
      </c>
      <c r="I3354" s="1" t="n">
        <v>94.7</v>
      </c>
      <c r="J3354" s="1" t="str">
        <f aca="false">VLOOKUP(B3354,Customers!$A$2:$G$502,6,FALSE())</f>
        <v>Consumer</v>
      </c>
      <c r="K3354" s="1" t="str">
        <f aca="false">VLOOKUP(C3354,Products!$A$2:$E$62,3,FALSE())</f>
        <v>Software</v>
      </c>
      <c r="L3354" s="1" t="str">
        <f aca="false">TEXT(D3354,"yyyy-mm")</f>
        <v>2023-10</v>
      </c>
    </row>
    <row r="3355" customFormat="false" ht="15" hidden="false" customHeight="true" outlineLevel="0" collapsed="false">
      <c r="A3355" s="1" t="n">
        <v>3429</v>
      </c>
      <c r="B3355" s="1" t="n">
        <v>15</v>
      </c>
      <c r="C3355" s="1" t="n">
        <v>5</v>
      </c>
      <c r="D3355" s="1" t="s">
        <v>1496</v>
      </c>
      <c r="E3355" s="1" t="n">
        <v>1</v>
      </c>
      <c r="F3355" s="1" t="n">
        <v>439.06</v>
      </c>
      <c r="G3355" s="1" t="n">
        <v>0.15</v>
      </c>
      <c r="H3355" s="1" t="s">
        <v>1336</v>
      </c>
      <c r="I3355" s="1" t="n">
        <v>373.2</v>
      </c>
      <c r="J3355" s="1" t="str">
        <f aca="false">VLOOKUP(B3355,Customers!$A$2:$G$502,6,FALSE())</f>
        <v>Corporate</v>
      </c>
      <c r="K3355" s="1" t="str">
        <f aca="false">VLOOKUP(C3355,Products!$A$2:$E$62,3,FALSE())</f>
        <v>Electronics</v>
      </c>
      <c r="L3355" s="1" t="str">
        <f aca="false">TEXT(D3355,"yyyy-mm")</f>
        <v>2023-09</v>
      </c>
    </row>
    <row r="3356" customFormat="false" ht="15" hidden="false" customHeight="true" outlineLevel="0" collapsed="false">
      <c r="A3356" s="1" t="n">
        <v>3431</v>
      </c>
      <c r="B3356" s="1" t="n">
        <v>1</v>
      </c>
      <c r="C3356" s="1" t="n">
        <v>33</v>
      </c>
      <c r="D3356" s="1" t="s">
        <v>1086</v>
      </c>
      <c r="E3356" s="1" t="n">
        <v>6</v>
      </c>
      <c r="F3356" s="1" t="n">
        <v>190.1</v>
      </c>
      <c r="G3356" s="1" t="n">
        <v>0.2</v>
      </c>
      <c r="H3356" s="1" t="s">
        <v>1336</v>
      </c>
      <c r="I3356" s="1" t="n">
        <v>912.48</v>
      </c>
      <c r="J3356" s="1" t="str">
        <f aca="false">VLOOKUP(B3356,Customers!$A$2:$G$502,6,FALSE())</f>
        <v>Consumer</v>
      </c>
      <c r="K3356" s="1" t="str">
        <f aca="false">VLOOKUP(C3356,Products!$A$2:$E$62,3,FALSE())</f>
        <v>Office Supplies</v>
      </c>
      <c r="L3356" s="1" t="str">
        <f aca="false">TEXT(D3356,"yyyy-mm")</f>
        <v>2024-05</v>
      </c>
    </row>
    <row r="3357" customFormat="false" ht="15" hidden="false" customHeight="true" outlineLevel="0" collapsed="false">
      <c r="A3357" s="1" t="n">
        <v>3432</v>
      </c>
      <c r="B3357" s="1" t="n">
        <v>294</v>
      </c>
      <c r="C3357" s="1" t="n">
        <v>1</v>
      </c>
      <c r="D3357" s="1" t="s">
        <v>1405</v>
      </c>
      <c r="E3357" s="1" t="n">
        <v>2</v>
      </c>
      <c r="F3357" s="1" t="n">
        <v>327.32</v>
      </c>
      <c r="G3357" s="1" t="n">
        <v>0.15</v>
      </c>
      <c r="H3357" s="1" t="s">
        <v>1336</v>
      </c>
      <c r="I3357" s="1" t="n">
        <v>556.44</v>
      </c>
      <c r="J3357" s="1" t="str">
        <f aca="false">VLOOKUP(B3357,Customers!$A$2:$G$502,6,FALSE())</f>
        <v>Consumer</v>
      </c>
      <c r="K3357" s="1" t="str">
        <f aca="false">VLOOKUP(C3357,Products!$A$2:$E$62,3,FALSE())</f>
        <v>Electronics</v>
      </c>
      <c r="L3357" s="1" t="str">
        <f aca="false">TEXT(D3357,"yyyy-mm")</f>
        <v>2024-03</v>
      </c>
    </row>
    <row r="3358" customFormat="false" ht="15" hidden="false" customHeight="true" outlineLevel="0" collapsed="false">
      <c r="A3358" s="1" t="n">
        <v>3433</v>
      </c>
      <c r="B3358" s="1" t="n">
        <v>239</v>
      </c>
      <c r="C3358" s="1" t="n">
        <v>25</v>
      </c>
      <c r="D3358" s="1" t="s">
        <v>1638</v>
      </c>
      <c r="E3358" s="1" t="n">
        <v>3</v>
      </c>
      <c r="F3358" s="1" t="n">
        <v>300.49</v>
      </c>
      <c r="G3358" s="1" t="n">
        <v>0.15</v>
      </c>
      <c r="H3358" s="1" t="s">
        <v>1336</v>
      </c>
      <c r="I3358" s="1" t="n">
        <v>766.25</v>
      </c>
      <c r="J3358" s="1" t="str">
        <f aca="false">VLOOKUP(B3358,Customers!$A$2:$G$502,6,FALSE())</f>
        <v>Corporate</v>
      </c>
      <c r="K3358" s="1" t="str">
        <f aca="false">VLOOKUP(C3358,Products!$A$2:$E$62,3,FALSE())</f>
        <v>Office Supplies</v>
      </c>
      <c r="L3358" s="1" t="str">
        <f aca="false">TEXT(D3358,"yyyy-mm")</f>
        <v>2023-05</v>
      </c>
    </row>
    <row r="3359" customFormat="false" ht="15" hidden="false" customHeight="true" outlineLevel="0" collapsed="false">
      <c r="A3359" s="1" t="n">
        <v>3434</v>
      </c>
      <c r="B3359" s="1" t="n">
        <v>430</v>
      </c>
      <c r="C3359" s="1" t="n">
        <v>5</v>
      </c>
      <c r="D3359" s="1" t="s">
        <v>1244</v>
      </c>
      <c r="E3359" s="1" t="n">
        <v>4</v>
      </c>
      <c r="F3359" s="1" t="n">
        <v>439.06</v>
      </c>
      <c r="G3359" s="1" t="n">
        <v>0.05</v>
      </c>
      <c r="H3359" s="1" t="s">
        <v>1336</v>
      </c>
      <c r="I3359" s="1" t="n">
        <v>1668.43</v>
      </c>
      <c r="J3359" s="1" t="str">
        <f aca="false">VLOOKUP(B3359,Customers!$A$2:$G$502,6,FALSE())</f>
        <v>Corporate</v>
      </c>
      <c r="K3359" s="1" t="str">
        <f aca="false">VLOOKUP(C3359,Products!$A$2:$E$62,3,FALSE())</f>
        <v>Electronics</v>
      </c>
      <c r="L3359" s="1" t="str">
        <f aca="false">TEXT(D3359,"yyyy-mm")</f>
        <v>2024-10</v>
      </c>
    </row>
    <row r="3360" customFormat="false" ht="15" hidden="false" customHeight="true" outlineLevel="0" collapsed="false">
      <c r="A3360" s="1" t="n">
        <v>3435</v>
      </c>
      <c r="B3360" s="1" t="n">
        <v>269</v>
      </c>
      <c r="C3360" s="1" t="n">
        <v>55</v>
      </c>
      <c r="D3360" s="1" t="s">
        <v>799</v>
      </c>
      <c r="E3360" s="1" t="n">
        <v>5</v>
      </c>
      <c r="F3360" s="1" t="n">
        <v>123.38</v>
      </c>
      <c r="G3360" s="1" t="n">
        <v>0.05</v>
      </c>
      <c r="H3360" s="1" t="s">
        <v>1336</v>
      </c>
      <c r="I3360" s="1" t="n">
        <v>586.05</v>
      </c>
      <c r="J3360" s="1" t="str">
        <f aca="false">VLOOKUP(B3360,Customers!$A$2:$G$502,6,FALSE())</f>
        <v>Corporate</v>
      </c>
      <c r="K3360" s="1" t="str">
        <f aca="false">VLOOKUP(C3360,Products!$A$2:$E$62,3,FALSE())</f>
        <v>Furniture</v>
      </c>
      <c r="L3360" s="1" t="str">
        <f aca="false">TEXT(D3360,"yyyy-mm")</f>
        <v>2024-06</v>
      </c>
    </row>
    <row r="3361" customFormat="false" ht="15" hidden="false" customHeight="true" outlineLevel="0" collapsed="false">
      <c r="A3361" s="1" t="n">
        <v>3436</v>
      </c>
      <c r="B3361" s="1" t="n">
        <v>295</v>
      </c>
      <c r="C3361" s="1" t="n">
        <v>15</v>
      </c>
      <c r="D3361" s="1" t="s">
        <v>164</v>
      </c>
      <c r="E3361" s="1" t="n">
        <v>9</v>
      </c>
      <c r="F3361" s="1" t="n">
        <v>304.95</v>
      </c>
      <c r="G3361" s="1" t="n">
        <v>0</v>
      </c>
      <c r="H3361" s="1" t="s">
        <v>1346</v>
      </c>
      <c r="I3361" s="1" t="n">
        <v>2744.55</v>
      </c>
      <c r="J3361" s="1" t="str">
        <f aca="false">VLOOKUP(B3361,Customers!$A$2:$G$502,6,FALSE())</f>
        <v>Small Business</v>
      </c>
      <c r="K3361" s="1" t="str">
        <f aca="false">VLOOKUP(C3361,Products!$A$2:$E$62,3,FALSE())</f>
        <v>Electronics</v>
      </c>
      <c r="L3361" s="1" t="str">
        <f aca="false">TEXT(D3361,"yyyy-mm")</f>
        <v>2023-02</v>
      </c>
    </row>
    <row r="3362" customFormat="false" ht="15" hidden="false" customHeight="true" outlineLevel="0" collapsed="false">
      <c r="A3362" s="1" t="n">
        <v>3437</v>
      </c>
      <c r="B3362" s="1" t="n">
        <v>169</v>
      </c>
      <c r="C3362" s="1" t="n">
        <v>51</v>
      </c>
      <c r="D3362" s="1" t="s">
        <v>106</v>
      </c>
      <c r="E3362" s="1" t="n">
        <v>4</v>
      </c>
      <c r="F3362" s="1" t="n">
        <v>30.16</v>
      </c>
      <c r="G3362" s="1" t="n">
        <v>0</v>
      </c>
      <c r="H3362" s="1" t="s">
        <v>1336</v>
      </c>
      <c r="I3362" s="1" t="n">
        <v>120.64</v>
      </c>
      <c r="J3362" s="1" t="str">
        <f aca="false">VLOOKUP(B3362,Customers!$A$2:$G$502,6,FALSE())</f>
        <v>Consumer</v>
      </c>
      <c r="K3362" s="1" t="str">
        <f aca="false">VLOOKUP(C3362,Products!$A$2:$E$62,3,FALSE())</f>
        <v>Software</v>
      </c>
      <c r="L3362" s="1" t="str">
        <f aca="false">TEXT(D3362,"yyyy-mm")</f>
        <v>2024-02</v>
      </c>
    </row>
    <row r="3363" customFormat="false" ht="15" hidden="false" customHeight="true" outlineLevel="0" collapsed="false">
      <c r="A3363" s="1" t="n">
        <v>3438</v>
      </c>
      <c r="B3363" s="1" t="n">
        <v>206</v>
      </c>
      <c r="C3363" s="1" t="n">
        <v>3</v>
      </c>
      <c r="D3363" s="1" t="s">
        <v>949</v>
      </c>
      <c r="E3363" s="1" t="n">
        <v>9</v>
      </c>
      <c r="F3363" s="1" t="n">
        <v>89.39</v>
      </c>
      <c r="G3363" s="1" t="n">
        <v>0.15</v>
      </c>
      <c r="H3363" s="1" t="s">
        <v>1346</v>
      </c>
      <c r="I3363" s="1" t="n">
        <v>683.83</v>
      </c>
      <c r="J3363" s="1" t="str">
        <f aca="false">VLOOKUP(B3363,Customers!$A$2:$G$502,6,FALSE())</f>
        <v>Small Business</v>
      </c>
      <c r="K3363" s="1" t="str">
        <f aca="false">VLOOKUP(C3363,Products!$A$2:$E$62,3,FALSE())</f>
        <v>Electronics</v>
      </c>
      <c r="L3363" s="1" t="str">
        <f aca="false">TEXT(D3363,"yyyy-mm")</f>
        <v>2023-11</v>
      </c>
    </row>
    <row r="3364" customFormat="false" ht="15" hidden="false" customHeight="true" outlineLevel="0" collapsed="false">
      <c r="A3364" s="1" t="n">
        <v>3439</v>
      </c>
      <c r="B3364" s="1" t="n">
        <v>402</v>
      </c>
      <c r="C3364" s="1" t="n">
        <v>59</v>
      </c>
      <c r="D3364" s="1" t="s">
        <v>1694</v>
      </c>
      <c r="E3364" s="1" t="n">
        <v>3</v>
      </c>
      <c r="F3364" s="1" t="n">
        <v>438.89</v>
      </c>
      <c r="G3364" s="1" t="n">
        <v>0.2</v>
      </c>
      <c r="H3364" s="1" t="s">
        <v>1336</v>
      </c>
      <c r="I3364" s="1" t="n">
        <v>1053.34</v>
      </c>
      <c r="J3364" s="1" t="str">
        <f aca="false">VLOOKUP(B3364,Customers!$A$2:$G$502,6,FALSE())</f>
        <v>Unknown</v>
      </c>
      <c r="K3364" s="1" t="str">
        <f aca="false">VLOOKUP(C3364,Products!$A$2:$E$62,3,FALSE())</f>
        <v>Furniture</v>
      </c>
      <c r="L3364" s="1" t="str">
        <f aca="false">TEXT(D3364,"yyyy-mm")</f>
        <v>2023-09</v>
      </c>
    </row>
    <row r="3365" customFormat="false" ht="15" hidden="false" customHeight="true" outlineLevel="0" collapsed="false">
      <c r="A3365" s="1" t="n">
        <v>3440</v>
      </c>
      <c r="B3365" s="1" t="n">
        <v>250</v>
      </c>
      <c r="C3365" s="1" t="n">
        <v>42</v>
      </c>
      <c r="D3365" s="1" t="s">
        <v>1573</v>
      </c>
      <c r="E3365" s="1" t="n">
        <v>8</v>
      </c>
      <c r="F3365" s="1" t="n">
        <v>174.48</v>
      </c>
      <c r="G3365" s="1" t="n">
        <v>0</v>
      </c>
      <c r="H3365" s="1" t="s">
        <v>1336</v>
      </c>
      <c r="I3365" s="1" t="n">
        <v>1395.84</v>
      </c>
      <c r="J3365" s="1" t="str">
        <f aca="false">VLOOKUP(B3365,Customers!$A$2:$G$502,6,FALSE())</f>
        <v>Consumer</v>
      </c>
      <c r="K3365" s="1" t="str">
        <f aca="false">VLOOKUP(C3365,Products!$A$2:$E$62,3,FALSE())</f>
        <v>Software</v>
      </c>
      <c r="L3365" s="1" t="str">
        <f aca="false">TEXT(D3365,"yyyy-mm")</f>
        <v>2023-01</v>
      </c>
    </row>
    <row r="3366" customFormat="false" ht="15" hidden="false" customHeight="true" outlineLevel="0" collapsed="false">
      <c r="A3366" s="1" t="n">
        <v>3441</v>
      </c>
      <c r="B3366" s="1" t="n">
        <v>493</v>
      </c>
      <c r="C3366" s="1" t="n">
        <v>39</v>
      </c>
      <c r="D3366" s="1" t="s">
        <v>1339</v>
      </c>
      <c r="E3366" s="1" t="n">
        <v>1</v>
      </c>
      <c r="F3366" s="1" t="n">
        <v>400.02</v>
      </c>
      <c r="G3366" s="1" t="n">
        <v>0.15</v>
      </c>
      <c r="H3366" s="1" t="s">
        <v>1336</v>
      </c>
      <c r="I3366" s="1" t="n">
        <v>340.02</v>
      </c>
      <c r="J3366" s="1" t="str">
        <f aca="false">VLOOKUP(B3366,Customers!$A$2:$G$502,6,FALSE())</f>
        <v>Corporate</v>
      </c>
      <c r="K3366" s="1" t="str">
        <f aca="false">VLOOKUP(C3366,Products!$A$2:$E$62,3,FALSE())</f>
        <v>Software</v>
      </c>
      <c r="L3366" s="1" t="str">
        <f aca="false">TEXT(D3366,"yyyy-mm")</f>
        <v>2024-04</v>
      </c>
    </row>
    <row r="3367" customFormat="false" ht="15" hidden="false" customHeight="true" outlineLevel="0" collapsed="false">
      <c r="A3367" s="1" t="n">
        <v>3442</v>
      </c>
      <c r="B3367" s="1" t="n">
        <v>294</v>
      </c>
      <c r="C3367" s="1" t="n">
        <v>7</v>
      </c>
      <c r="D3367" s="1" t="s">
        <v>998</v>
      </c>
      <c r="E3367" s="1" t="n">
        <v>9</v>
      </c>
      <c r="F3367" s="1" t="n">
        <v>460</v>
      </c>
      <c r="G3367" s="1" t="n">
        <v>0.05</v>
      </c>
      <c r="H3367" s="1" t="s">
        <v>1370</v>
      </c>
      <c r="I3367" s="1" t="n">
        <v>3933</v>
      </c>
      <c r="J3367" s="1" t="str">
        <f aca="false">VLOOKUP(B3367,Customers!$A$2:$G$502,6,FALSE())</f>
        <v>Consumer</v>
      </c>
      <c r="K3367" s="1" t="str">
        <f aca="false">VLOOKUP(C3367,Products!$A$2:$E$62,3,FALSE())</f>
        <v>Electronics</v>
      </c>
      <c r="L3367" s="1" t="str">
        <f aca="false">TEXT(D3367,"yyyy-mm")</f>
        <v>2023-07</v>
      </c>
    </row>
    <row r="3368" customFormat="false" ht="15" hidden="false" customHeight="true" outlineLevel="0" collapsed="false">
      <c r="A3368" s="1" t="n">
        <v>3443</v>
      </c>
      <c r="B3368" s="1" t="n">
        <v>237</v>
      </c>
      <c r="C3368" s="1" t="n">
        <v>18</v>
      </c>
      <c r="D3368" s="1" t="s">
        <v>289</v>
      </c>
      <c r="E3368" s="1" t="n">
        <v>9</v>
      </c>
      <c r="F3368" s="1" t="n">
        <v>747.34</v>
      </c>
      <c r="G3368" s="1" t="n">
        <v>0</v>
      </c>
      <c r="H3368" s="1" t="s">
        <v>1370</v>
      </c>
      <c r="I3368" s="1" t="n">
        <v>6726.06</v>
      </c>
      <c r="J3368" s="1" t="str">
        <f aca="false">VLOOKUP(B3368,Customers!$A$2:$G$502,6,FALSE())</f>
        <v>Consumer</v>
      </c>
      <c r="K3368" s="1" t="str">
        <f aca="false">VLOOKUP(C3368,Products!$A$2:$E$62,3,FALSE())</f>
        <v>Electronics</v>
      </c>
      <c r="L3368" s="1" t="str">
        <f aca="false">TEXT(D3368,"yyyy-mm")</f>
        <v>2023-06</v>
      </c>
    </row>
    <row r="3369" customFormat="false" ht="15" hidden="false" customHeight="true" outlineLevel="0" collapsed="false">
      <c r="A3369" s="1" t="n">
        <v>3445</v>
      </c>
      <c r="B3369" s="1" t="n">
        <v>90</v>
      </c>
      <c r="C3369" s="1" t="n">
        <v>8</v>
      </c>
      <c r="D3369" s="1" t="s">
        <v>1551</v>
      </c>
      <c r="E3369" s="1" t="n">
        <v>4</v>
      </c>
      <c r="F3369" s="1" t="n">
        <v>104.4</v>
      </c>
      <c r="G3369" s="1" t="n">
        <v>0.1</v>
      </c>
      <c r="H3369" s="1" t="s">
        <v>1336</v>
      </c>
      <c r="I3369" s="1" t="n">
        <v>375.84</v>
      </c>
      <c r="J3369" s="1" t="str">
        <f aca="false">VLOOKUP(B3369,Customers!$A$2:$G$502,6,FALSE())</f>
        <v>Consumer</v>
      </c>
      <c r="K3369" s="1" t="str">
        <f aca="false">VLOOKUP(C3369,Products!$A$2:$E$62,3,FALSE())</f>
        <v>Electronics</v>
      </c>
      <c r="L3369" s="1" t="str">
        <f aca="false">TEXT(D3369,"yyyy-mm")</f>
        <v>2024-03</v>
      </c>
    </row>
    <row r="3370" customFormat="false" ht="15" hidden="false" customHeight="true" outlineLevel="0" collapsed="false">
      <c r="A3370" s="1" t="n">
        <v>3446</v>
      </c>
      <c r="B3370" s="1" t="n">
        <v>188</v>
      </c>
      <c r="C3370" s="1" t="n">
        <v>51</v>
      </c>
      <c r="D3370" s="1" t="s">
        <v>374</v>
      </c>
      <c r="E3370" s="1" t="n">
        <v>8</v>
      </c>
      <c r="F3370" s="1" t="n">
        <v>30.16</v>
      </c>
      <c r="G3370" s="1" t="n">
        <v>0.1</v>
      </c>
      <c r="H3370" s="1" t="s">
        <v>1336</v>
      </c>
      <c r="I3370" s="1" t="n">
        <v>217.15</v>
      </c>
      <c r="J3370" s="1" t="str">
        <f aca="false">VLOOKUP(B3370,Customers!$A$2:$G$502,6,FALSE())</f>
        <v>Small Business</v>
      </c>
      <c r="K3370" s="1" t="str">
        <f aca="false">VLOOKUP(C3370,Products!$A$2:$E$62,3,FALSE())</f>
        <v>Software</v>
      </c>
      <c r="L3370" s="1" t="str">
        <f aca="false">TEXT(D3370,"yyyy-mm")</f>
        <v>2023-10</v>
      </c>
    </row>
    <row r="3371" customFormat="false" ht="15" hidden="false" customHeight="true" outlineLevel="0" collapsed="false">
      <c r="A3371" s="1" t="n">
        <v>3447</v>
      </c>
      <c r="B3371" s="1" t="n">
        <v>396</v>
      </c>
      <c r="C3371" s="1" t="n">
        <v>24</v>
      </c>
      <c r="D3371" s="1" t="s">
        <v>143</v>
      </c>
      <c r="E3371" s="1" t="n">
        <v>7</v>
      </c>
      <c r="F3371" s="1" t="n">
        <v>207.34</v>
      </c>
      <c r="G3371" s="1" t="n">
        <v>0</v>
      </c>
      <c r="H3371" s="1" t="s">
        <v>1336</v>
      </c>
      <c r="I3371" s="1" t="n">
        <v>1451.38</v>
      </c>
      <c r="J3371" s="1" t="str">
        <f aca="false">VLOOKUP(B3371,Customers!$A$2:$G$502,6,FALSE())</f>
        <v>Small Business</v>
      </c>
      <c r="K3371" s="1" t="str">
        <f aca="false">VLOOKUP(C3371,Products!$A$2:$E$62,3,FALSE())</f>
        <v>Office Supplies</v>
      </c>
      <c r="L3371" s="1" t="str">
        <f aca="false">TEXT(D3371,"yyyy-mm")</f>
        <v>2024-07</v>
      </c>
    </row>
    <row r="3372" customFormat="false" ht="15" hidden="false" customHeight="true" outlineLevel="0" collapsed="false">
      <c r="A3372" s="1" t="n">
        <v>3448</v>
      </c>
      <c r="B3372" s="1" t="n">
        <v>328</v>
      </c>
      <c r="C3372" s="1" t="n">
        <v>6</v>
      </c>
      <c r="D3372" s="1" t="s">
        <v>1696</v>
      </c>
      <c r="E3372" s="1" t="n">
        <v>1</v>
      </c>
      <c r="F3372" s="1" t="n">
        <v>28.51</v>
      </c>
      <c r="G3372" s="1" t="n">
        <v>0.05</v>
      </c>
      <c r="H3372" s="1" t="s">
        <v>1336</v>
      </c>
      <c r="I3372" s="1" t="n">
        <v>27.08</v>
      </c>
      <c r="J3372" s="1" t="str">
        <f aca="false">VLOOKUP(B3372,Customers!$A$2:$G$502,6,FALSE())</f>
        <v>Consumer</v>
      </c>
      <c r="K3372" s="1" t="str">
        <f aca="false">VLOOKUP(C3372,Products!$A$2:$E$62,3,FALSE())</f>
        <v>Electronics</v>
      </c>
      <c r="L3372" s="1" t="str">
        <f aca="false">TEXT(D3372,"yyyy-mm")</f>
        <v>2023-01</v>
      </c>
    </row>
    <row r="3373" customFormat="false" ht="15" hidden="false" customHeight="true" outlineLevel="0" collapsed="false">
      <c r="A3373" s="1" t="n">
        <v>3449</v>
      </c>
      <c r="B3373" s="1" t="n">
        <v>246</v>
      </c>
      <c r="C3373" s="1" t="n">
        <v>20</v>
      </c>
      <c r="D3373" s="1" t="s">
        <v>464</v>
      </c>
      <c r="E3373" s="1" t="n">
        <v>5</v>
      </c>
      <c r="F3373" s="1" t="n">
        <v>426.15</v>
      </c>
      <c r="G3373" s="1" t="n">
        <v>0</v>
      </c>
      <c r="H3373" s="1" t="s">
        <v>1336</v>
      </c>
      <c r="I3373" s="1" t="n">
        <v>2130.75</v>
      </c>
      <c r="J3373" s="1" t="str">
        <f aca="false">VLOOKUP(B3373,Customers!$A$2:$G$502,6,FALSE())</f>
        <v>Small Business</v>
      </c>
      <c r="K3373" s="1" t="str">
        <f aca="false">VLOOKUP(C3373,Products!$A$2:$E$62,3,FALSE())</f>
        <v>Office Supplies</v>
      </c>
      <c r="L3373" s="1" t="str">
        <f aca="false">TEXT(D3373,"yyyy-mm")</f>
        <v>2023-12</v>
      </c>
    </row>
    <row r="3374" customFormat="false" ht="15" hidden="false" customHeight="true" outlineLevel="0" collapsed="false">
      <c r="A3374" s="1" t="n">
        <v>3450</v>
      </c>
      <c r="B3374" s="1" t="n">
        <v>14</v>
      </c>
      <c r="C3374" s="1" t="n">
        <v>57</v>
      </c>
      <c r="D3374" s="1" t="s">
        <v>148</v>
      </c>
      <c r="E3374" s="1" t="n">
        <v>7</v>
      </c>
      <c r="F3374" s="1" t="n">
        <v>719.76</v>
      </c>
      <c r="G3374" s="1" t="n">
        <v>0.15</v>
      </c>
      <c r="H3374" s="1" t="s">
        <v>1336</v>
      </c>
      <c r="I3374" s="1" t="n">
        <v>4282.57</v>
      </c>
      <c r="J3374" s="1" t="str">
        <f aca="false">VLOOKUP(B3374,Customers!$A$2:$G$502,6,FALSE())</f>
        <v>Small Business</v>
      </c>
      <c r="K3374" s="1" t="str">
        <f aca="false">VLOOKUP(C3374,Products!$A$2:$E$62,3,FALSE())</f>
        <v>Furniture</v>
      </c>
      <c r="L3374" s="1" t="str">
        <f aca="false">TEXT(D3374,"yyyy-mm")</f>
        <v>2023-06</v>
      </c>
    </row>
    <row r="3375" customFormat="false" ht="15" hidden="false" customHeight="true" outlineLevel="0" collapsed="false">
      <c r="A3375" s="1" t="n">
        <v>3451</v>
      </c>
      <c r="B3375" s="1" t="n">
        <v>467</v>
      </c>
      <c r="C3375" s="1" t="n">
        <v>35</v>
      </c>
      <c r="D3375" s="1" t="s">
        <v>12</v>
      </c>
      <c r="E3375" s="1" t="n">
        <v>4</v>
      </c>
      <c r="F3375" s="1" t="n">
        <v>75.78</v>
      </c>
      <c r="G3375" s="1" t="n">
        <v>0</v>
      </c>
      <c r="H3375" s="1" t="s">
        <v>1336</v>
      </c>
      <c r="I3375" s="1" t="n">
        <v>303.12</v>
      </c>
      <c r="J3375" s="1" t="str">
        <f aca="false">VLOOKUP(B3375,Customers!$A$2:$G$502,6,FALSE())</f>
        <v>Corporate</v>
      </c>
      <c r="K3375" s="1" t="str">
        <f aca="false">VLOOKUP(C3375,Products!$A$2:$E$62,3,FALSE())</f>
        <v>Software</v>
      </c>
      <c r="L3375" s="1" t="str">
        <f aca="false">TEXT(D3375,"yyyy-mm")</f>
        <v>2023-09</v>
      </c>
    </row>
    <row r="3376" customFormat="false" ht="15" hidden="false" customHeight="true" outlineLevel="0" collapsed="false">
      <c r="A3376" s="1" t="n">
        <v>3452</v>
      </c>
      <c r="B3376" s="1" t="n">
        <v>362</v>
      </c>
      <c r="C3376" s="1" t="n">
        <v>31</v>
      </c>
      <c r="D3376" s="1" t="s">
        <v>732</v>
      </c>
      <c r="E3376" s="1" t="n">
        <v>1</v>
      </c>
      <c r="F3376" s="1" t="n">
        <v>224.86</v>
      </c>
      <c r="G3376" s="1" t="n">
        <v>0.1</v>
      </c>
      <c r="H3376" s="1" t="s">
        <v>1336</v>
      </c>
      <c r="I3376" s="1" t="n">
        <v>202.37</v>
      </c>
      <c r="J3376" s="1" t="str">
        <f aca="false">VLOOKUP(B3376,Customers!$A$2:$G$502,6,FALSE())</f>
        <v>Consumer</v>
      </c>
      <c r="K3376" s="1" t="str">
        <f aca="false">VLOOKUP(C3376,Products!$A$2:$E$62,3,FALSE())</f>
        <v>Office Supplies</v>
      </c>
      <c r="L3376" s="1" t="str">
        <f aca="false">TEXT(D3376,"yyyy-mm")</f>
        <v>2024-08</v>
      </c>
    </row>
    <row r="3377" customFormat="false" ht="15" hidden="false" customHeight="true" outlineLevel="0" collapsed="false">
      <c r="A3377" s="1" t="n">
        <v>3453</v>
      </c>
      <c r="B3377" s="1" t="n">
        <v>233</v>
      </c>
      <c r="C3377" s="1" t="n">
        <v>7</v>
      </c>
      <c r="D3377" s="1" t="s">
        <v>1271</v>
      </c>
      <c r="E3377" s="1" t="n">
        <v>9</v>
      </c>
      <c r="F3377" s="1" t="n">
        <v>460</v>
      </c>
      <c r="G3377" s="1" t="n">
        <v>0</v>
      </c>
      <c r="H3377" s="1" t="s">
        <v>1336</v>
      </c>
      <c r="I3377" s="1" t="n">
        <v>4140</v>
      </c>
      <c r="J3377" s="1" t="str">
        <f aca="false">VLOOKUP(B3377,Customers!$A$2:$G$502,6,FALSE())</f>
        <v>Corporate</v>
      </c>
      <c r="K3377" s="1" t="str">
        <f aca="false">VLOOKUP(C3377,Products!$A$2:$E$62,3,FALSE())</f>
        <v>Electronics</v>
      </c>
      <c r="L3377" s="1" t="str">
        <f aca="false">TEXT(D3377,"yyyy-mm")</f>
        <v>2024-05</v>
      </c>
    </row>
    <row r="3378" customFormat="false" ht="15" hidden="false" customHeight="true" outlineLevel="0" collapsed="false">
      <c r="A3378" s="1" t="n">
        <v>3454</v>
      </c>
      <c r="B3378" s="1" t="n">
        <v>211</v>
      </c>
      <c r="C3378" s="1" t="n">
        <v>33</v>
      </c>
      <c r="D3378" s="1" t="s">
        <v>387</v>
      </c>
      <c r="E3378" s="1" t="n">
        <v>5</v>
      </c>
      <c r="F3378" s="1" t="n">
        <v>190.1</v>
      </c>
      <c r="G3378" s="1" t="n">
        <v>0</v>
      </c>
      <c r="H3378" s="1" t="s">
        <v>1346</v>
      </c>
      <c r="I3378" s="1" t="n">
        <v>950.5</v>
      </c>
      <c r="J3378" s="1" t="str">
        <f aca="false">VLOOKUP(B3378,Customers!$A$2:$G$502,6,FALSE())</f>
        <v>Consumer</v>
      </c>
      <c r="K3378" s="1" t="str">
        <f aca="false">VLOOKUP(C3378,Products!$A$2:$E$62,3,FALSE())</f>
        <v>Office Supplies</v>
      </c>
      <c r="L3378" s="1" t="str">
        <f aca="false">TEXT(D3378,"yyyy-mm")</f>
        <v>2024-04</v>
      </c>
    </row>
    <row r="3379" customFormat="false" ht="15" hidden="false" customHeight="true" outlineLevel="0" collapsed="false">
      <c r="A3379" s="1" t="n">
        <v>3455</v>
      </c>
      <c r="B3379" s="1" t="n">
        <v>358</v>
      </c>
      <c r="C3379" s="1" t="n">
        <v>25</v>
      </c>
      <c r="D3379" s="1" t="s">
        <v>1696</v>
      </c>
      <c r="E3379" s="1" t="n">
        <v>2</v>
      </c>
      <c r="F3379" s="1" t="n">
        <v>300.49</v>
      </c>
      <c r="G3379" s="1" t="n">
        <v>0</v>
      </c>
      <c r="H3379" s="1" t="s">
        <v>1336</v>
      </c>
      <c r="I3379" s="1" t="n">
        <v>600.98</v>
      </c>
      <c r="J3379" s="1" t="str">
        <f aca="false">VLOOKUP(B3379,Customers!$A$2:$G$502,6,FALSE())</f>
        <v>Corporate</v>
      </c>
      <c r="K3379" s="1" t="str">
        <f aca="false">VLOOKUP(C3379,Products!$A$2:$E$62,3,FALSE())</f>
        <v>Office Supplies</v>
      </c>
      <c r="L3379" s="1" t="str">
        <f aca="false">TEXT(D3379,"yyyy-mm")</f>
        <v>2023-01</v>
      </c>
    </row>
    <row r="3380" customFormat="false" ht="15" hidden="false" customHeight="true" outlineLevel="0" collapsed="false">
      <c r="A3380" s="1" t="n">
        <v>3456</v>
      </c>
      <c r="B3380" s="1" t="n">
        <v>325</v>
      </c>
      <c r="C3380" s="1" t="n">
        <v>41</v>
      </c>
      <c r="D3380" s="1" t="s">
        <v>1670</v>
      </c>
      <c r="E3380" s="1" t="n">
        <v>8</v>
      </c>
      <c r="F3380" s="1" t="n">
        <v>594.54</v>
      </c>
      <c r="G3380" s="1" t="n">
        <v>0.1</v>
      </c>
      <c r="H3380" s="1" t="s">
        <v>1336</v>
      </c>
      <c r="I3380" s="1" t="n">
        <v>4280.69</v>
      </c>
      <c r="J3380" s="1" t="str">
        <f aca="false">VLOOKUP(B3380,Customers!$A$2:$G$502,6,FALSE())</f>
        <v>Small Business</v>
      </c>
      <c r="K3380" s="1" t="str">
        <f aca="false">VLOOKUP(C3380,Products!$A$2:$E$62,3,FALSE())</f>
        <v>Software</v>
      </c>
      <c r="L3380" s="1" t="str">
        <f aca="false">TEXT(D3380,"yyyy-mm")</f>
        <v>2024-07</v>
      </c>
    </row>
    <row r="3381" customFormat="false" ht="15" hidden="false" customHeight="true" outlineLevel="0" collapsed="false">
      <c r="A3381" s="1" t="n">
        <v>3457</v>
      </c>
      <c r="B3381" s="1" t="n">
        <v>388</v>
      </c>
      <c r="C3381" s="1" t="n">
        <v>36</v>
      </c>
      <c r="D3381" s="1" t="s">
        <v>1618</v>
      </c>
      <c r="E3381" s="1" t="n">
        <v>2</v>
      </c>
      <c r="F3381" s="1" t="n">
        <v>424.45</v>
      </c>
      <c r="G3381" s="1" t="n">
        <v>0.2</v>
      </c>
      <c r="H3381" s="1" t="s">
        <v>1336</v>
      </c>
      <c r="I3381" s="1" t="n">
        <v>679.12</v>
      </c>
      <c r="J3381" s="1" t="str">
        <f aca="false">VLOOKUP(B3381,Customers!$A$2:$G$502,6,FALSE())</f>
        <v>Corporate</v>
      </c>
      <c r="K3381" s="1" t="str">
        <f aca="false">VLOOKUP(C3381,Products!$A$2:$E$62,3,FALSE())</f>
        <v>Software</v>
      </c>
      <c r="L3381" s="1" t="str">
        <f aca="false">TEXT(D3381,"yyyy-mm")</f>
        <v>2024-04</v>
      </c>
    </row>
    <row r="3382" customFormat="false" ht="15" hidden="false" customHeight="true" outlineLevel="0" collapsed="false">
      <c r="A3382" s="1" t="n">
        <v>3458</v>
      </c>
      <c r="B3382" s="1" t="n">
        <v>32</v>
      </c>
      <c r="C3382" s="1" t="n">
        <v>1</v>
      </c>
      <c r="D3382" s="1" t="s">
        <v>935</v>
      </c>
      <c r="E3382" s="1" t="n">
        <v>3</v>
      </c>
      <c r="F3382" s="1" t="n">
        <v>327.32</v>
      </c>
      <c r="G3382" s="1" t="n">
        <v>0</v>
      </c>
      <c r="H3382" s="1" t="s">
        <v>1336</v>
      </c>
      <c r="I3382" s="1" t="n">
        <v>981.96</v>
      </c>
      <c r="J3382" s="1" t="str">
        <f aca="false">VLOOKUP(B3382,Customers!$A$2:$G$502,6,FALSE())</f>
        <v>Small Business</v>
      </c>
      <c r="K3382" s="1" t="str">
        <f aca="false">VLOOKUP(C3382,Products!$A$2:$E$62,3,FALSE())</f>
        <v>Electronics</v>
      </c>
      <c r="L3382" s="1" t="str">
        <f aca="false">TEXT(D3382,"yyyy-mm")</f>
        <v>2024-02</v>
      </c>
    </row>
    <row r="3383" customFormat="false" ht="15" hidden="false" customHeight="true" outlineLevel="0" collapsed="false">
      <c r="A3383" s="1" t="n">
        <v>3459</v>
      </c>
      <c r="B3383" s="1" t="n">
        <v>477</v>
      </c>
      <c r="C3383" s="1" t="n">
        <v>38</v>
      </c>
      <c r="D3383" s="1" t="s">
        <v>1202</v>
      </c>
      <c r="E3383" s="1" t="n">
        <v>1</v>
      </c>
      <c r="F3383" s="1" t="n">
        <v>521.63</v>
      </c>
      <c r="G3383" s="1" t="n">
        <v>0.15</v>
      </c>
      <c r="H3383" s="1" t="s">
        <v>1336</v>
      </c>
      <c r="I3383" s="1" t="n">
        <v>443.39</v>
      </c>
      <c r="J3383" s="1" t="str">
        <f aca="false">VLOOKUP(B3383,Customers!$A$2:$G$502,6,FALSE())</f>
        <v>Corporate</v>
      </c>
      <c r="K3383" s="1" t="str">
        <f aca="false">VLOOKUP(C3383,Products!$A$2:$E$62,3,FALSE())</f>
        <v>Software</v>
      </c>
      <c r="L3383" s="1" t="str">
        <f aca="false">TEXT(D3383,"yyyy-mm")</f>
        <v>2024-04</v>
      </c>
    </row>
    <row r="3384" customFormat="false" ht="15" hidden="false" customHeight="true" outlineLevel="0" collapsed="false">
      <c r="A3384" s="1" t="n">
        <v>3460</v>
      </c>
      <c r="B3384" s="1" t="n">
        <v>242</v>
      </c>
      <c r="C3384" s="1" t="n">
        <v>49</v>
      </c>
      <c r="D3384" s="1" t="s">
        <v>1580</v>
      </c>
      <c r="E3384" s="1" t="n">
        <v>2</v>
      </c>
      <c r="F3384" s="1" t="n">
        <v>325.17</v>
      </c>
      <c r="G3384" s="1" t="n">
        <v>0</v>
      </c>
      <c r="H3384" s="1" t="s">
        <v>1336</v>
      </c>
      <c r="I3384" s="1" t="n">
        <v>650.34</v>
      </c>
      <c r="J3384" s="1" t="str">
        <f aca="false">VLOOKUP(B3384,Customers!$A$2:$G$502,6,FALSE())</f>
        <v>Corporate</v>
      </c>
      <c r="K3384" s="1" t="str">
        <f aca="false">VLOOKUP(C3384,Products!$A$2:$E$62,3,FALSE())</f>
        <v>Software</v>
      </c>
      <c r="L3384" s="1" t="str">
        <f aca="false">TEXT(D3384,"yyyy-mm")</f>
        <v>2023-08</v>
      </c>
    </row>
    <row r="3385" customFormat="false" ht="15" hidden="false" customHeight="true" outlineLevel="0" collapsed="false">
      <c r="A3385" s="1" t="n">
        <v>3461</v>
      </c>
      <c r="B3385" s="1" t="n">
        <v>425</v>
      </c>
      <c r="C3385" s="1" t="n">
        <v>47</v>
      </c>
      <c r="D3385" s="1" t="s">
        <v>387</v>
      </c>
      <c r="E3385" s="1" t="n">
        <v>7</v>
      </c>
      <c r="F3385" s="1" t="n">
        <v>506.19</v>
      </c>
      <c r="G3385" s="1" t="n">
        <v>0</v>
      </c>
      <c r="H3385" s="1" t="s">
        <v>1346</v>
      </c>
      <c r="I3385" s="1" t="n">
        <v>3543.33</v>
      </c>
      <c r="J3385" s="1" t="str">
        <f aca="false">VLOOKUP(B3385,Customers!$A$2:$G$502,6,FALSE())</f>
        <v>Unknown</v>
      </c>
      <c r="K3385" s="1" t="str">
        <f aca="false">VLOOKUP(C3385,Products!$A$2:$E$62,3,FALSE())</f>
        <v>Software</v>
      </c>
      <c r="L3385" s="1" t="str">
        <f aca="false">TEXT(D3385,"yyyy-mm")</f>
        <v>2024-04</v>
      </c>
    </row>
    <row r="3386" customFormat="false" ht="15" hidden="false" customHeight="true" outlineLevel="0" collapsed="false">
      <c r="A3386" s="1" t="n">
        <v>3462</v>
      </c>
      <c r="B3386" s="1" t="n">
        <v>445</v>
      </c>
      <c r="C3386" s="1" t="n">
        <v>22</v>
      </c>
      <c r="D3386" s="1" t="s">
        <v>1596</v>
      </c>
      <c r="E3386" s="1" t="n">
        <v>2</v>
      </c>
      <c r="F3386" s="1" t="n">
        <v>38.57</v>
      </c>
      <c r="G3386" s="1" t="n">
        <v>0.2</v>
      </c>
      <c r="H3386" s="1" t="s">
        <v>1336</v>
      </c>
      <c r="I3386" s="1" t="n">
        <v>61.71</v>
      </c>
      <c r="J3386" s="1" t="str">
        <f aca="false">VLOOKUP(B3386,Customers!$A$2:$G$502,6,FALSE())</f>
        <v>Small Business</v>
      </c>
      <c r="K3386" s="1" t="str">
        <f aca="false">VLOOKUP(C3386,Products!$A$2:$E$62,3,FALSE())</f>
        <v>Office Supplies</v>
      </c>
      <c r="L3386" s="1" t="str">
        <f aca="false">TEXT(D3386,"yyyy-mm")</f>
        <v>2023-04</v>
      </c>
    </row>
    <row r="3387" customFormat="false" ht="15" hidden="false" customHeight="true" outlineLevel="0" collapsed="false">
      <c r="A3387" s="1" t="n">
        <v>3463</v>
      </c>
      <c r="B3387" s="1" t="n">
        <v>301</v>
      </c>
      <c r="C3387" s="1" t="n">
        <v>20</v>
      </c>
      <c r="D3387" s="1" t="s">
        <v>606</v>
      </c>
      <c r="E3387" s="1" t="n">
        <v>6</v>
      </c>
      <c r="F3387" s="1" t="n">
        <v>426.15</v>
      </c>
      <c r="G3387" s="1" t="n">
        <v>0.2</v>
      </c>
      <c r="H3387" s="1" t="s">
        <v>1370</v>
      </c>
      <c r="I3387" s="1" t="n">
        <v>2045.52</v>
      </c>
      <c r="J3387" s="1" t="str">
        <f aca="false">VLOOKUP(B3387,Customers!$A$2:$G$502,6,FALSE())</f>
        <v>Corporate</v>
      </c>
      <c r="K3387" s="1" t="str">
        <f aca="false">VLOOKUP(C3387,Products!$A$2:$E$62,3,FALSE())</f>
        <v>Office Supplies</v>
      </c>
      <c r="L3387" s="1" t="str">
        <f aca="false">TEXT(D3387,"yyyy-mm")</f>
        <v>2024-12</v>
      </c>
    </row>
    <row r="3388" customFormat="false" ht="15" hidden="false" customHeight="true" outlineLevel="0" collapsed="false">
      <c r="A3388" s="1" t="n">
        <v>3464</v>
      </c>
      <c r="B3388" s="1" t="n">
        <v>48</v>
      </c>
      <c r="C3388" s="1" t="n">
        <v>23</v>
      </c>
      <c r="D3388" s="1" t="s">
        <v>1424</v>
      </c>
      <c r="E3388" s="1" t="n">
        <v>3</v>
      </c>
      <c r="F3388" s="1" t="n">
        <v>188.73</v>
      </c>
      <c r="G3388" s="1" t="n">
        <v>0</v>
      </c>
      <c r="H3388" s="1" t="s">
        <v>1336</v>
      </c>
      <c r="I3388" s="1" t="n">
        <v>566.19</v>
      </c>
      <c r="J3388" s="1" t="str">
        <f aca="false">VLOOKUP(B3388,Customers!$A$2:$G$502,6,FALSE())</f>
        <v>Small Business</v>
      </c>
      <c r="K3388" s="1" t="str">
        <f aca="false">VLOOKUP(C3388,Products!$A$2:$E$62,3,FALSE())</f>
        <v>Office Supplies</v>
      </c>
      <c r="L3388" s="1" t="str">
        <f aca="false">TEXT(D3388,"yyyy-mm")</f>
        <v>2024-02</v>
      </c>
    </row>
    <row r="3389" customFormat="false" ht="15" hidden="false" customHeight="true" outlineLevel="0" collapsed="false">
      <c r="A3389" s="1" t="n">
        <v>3465</v>
      </c>
      <c r="B3389" s="1" t="n">
        <v>305</v>
      </c>
      <c r="C3389" s="1" t="n">
        <v>50</v>
      </c>
      <c r="D3389" s="1" t="s">
        <v>1429</v>
      </c>
      <c r="E3389" s="1" t="n">
        <v>4</v>
      </c>
      <c r="F3389" s="1" t="n">
        <v>19.73</v>
      </c>
      <c r="G3389" s="1" t="n">
        <v>0</v>
      </c>
      <c r="H3389" s="1" t="s">
        <v>1336</v>
      </c>
      <c r="I3389" s="1" t="n">
        <v>78.92</v>
      </c>
      <c r="J3389" s="1" t="str">
        <f aca="false">VLOOKUP(B3389,Customers!$A$2:$G$502,6,FALSE())</f>
        <v>Consumer</v>
      </c>
      <c r="K3389" s="1" t="str">
        <f aca="false">VLOOKUP(C3389,Products!$A$2:$E$62,3,FALSE())</f>
        <v>Software</v>
      </c>
      <c r="L3389" s="1" t="str">
        <f aca="false">TEXT(D3389,"yyyy-mm")</f>
        <v>2024-08</v>
      </c>
    </row>
    <row r="3390" customFormat="false" ht="15" hidden="false" customHeight="true" outlineLevel="0" collapsed="false">
      <c r="A3390" s="1" t="n">
        <v>3466</v>
      </c>
      <c r="B3390" s="1" t="n">
        <v>426</v>
      </c>
      <c r="C3390" s="1" t="n">
        <v>8</v>
      </c>
      <c r="D3390" s="1" t="s">
        <v>1570</v>
      </c>
      <c r="E3390" s="1" t="n">
        <v>8</v>
      </c>
      <c r="F3390" s="1" t="n">
        <v>104.4</v>
      </c>
      <c r="G3390" s="1" t="n">
        <v>0</v>
      </c>
      <c r="H3390" s="1" t="s">
        <v>1336</v>
      </c>
      <c r="I3390" s="1" t="n">
        <v>835.2</v>
      </c>
      <c r="J3390" s="1" t="str">
        <f aca="false">VLOOKUP(B3390,Customers!$A$2:$G$502,6,FALSE())</f>
        <v>Consumer</v>
      </c>
      <c r="K3390" s="1" t="str">
        <f aca="false">VLOOKUP(C3390,Products!$A$2:$E$62,3,FALSE())</f>
        <v>Electronics</v>
      </c>
      <c r="L3390" s="1" t="str">
        <f aca="false">TEXT(D3390,"yyyy-mm")</f>
        <v>2023-04</v>
      </c>
    </row>
    <row r="3391" customFormat="false" ht="15" hidden="false" customHeight="true" outlineLevel="0" collapsed="false">
      <c r="A3391" s="1" t="n">
        <v>3467</v>
      </c>
      <c r="B3391" s="1" t="n">
        <v>452</v>
      </c>
      <c r="C3391" s="1" t="n">
        <v>29</v>
      </c>
      <c r="D3391" s="1" t="s">
        <v>536</v>
      </c>
      <c r="E3391" s="1" t="n">
        <v>3</v>
      </c>
      <c r="F3391" s="1" t="n">
        <v>54.62</v>
      </c>
      <c r="G3391" s="1" t="n">
        <v>0</v>
      </c>
      <c r="H3391" s="1" t="s">
        <v>1336</v>
      </c>
      <c r="I3391" s="1" t="n">
        <v>163.86</v>
      </c>
      <c r="J3391" s="1" t="str">
        <f aca="false">VLOOKUP(B3391,Customers!$A$2:$G$502,6,FALSE())</f>
        <v>Consumer</v>
      </c>
      <c r="K3391" s="1" t="str">
        <f aca="false">VLOOKUP(C3391,Products!$A$2:$E$62,3,FALSE())</f>
        <v>Office Supplies</v>
      </c>
      <c r="L3391" s="1" t="str">
        <f aca="false">TEXT(D3391,"yyyy-mm")</f>
        <v>2024-01</v>
      </c>
    </row>
    <row r="3392" customFormat="false" ht="15" hidden="false" customHeight="true" outlineLevel="0" collapsed="false">
      <c r="A3392" s="1" t="n">
        <v>3468</v>
      </c>
      <c r="B3392" s="1" t="n">
        <v>290</v>
      </c>
      <c r="C3392" s="1" t="n">
        <v>51</v>
      </c>
      <c r="D3392" s="1" t="s">
        <v>1701</v>
      </c>
      <c r="E3392" s="1" t="n">
        <v>6</v>
      </c>
      <c r="F3392" s="1" t="n">
        <v>30.16</v>
      </c>
      <c r="G3392" s="1" t="n">
        <v>0</v>
      </c>
      <c r="H3392" s="1" t="s">
        <v>1336</v>
      </c>
      <c r="I3392" s="1" t="n">
        <v>180.96</v>
      </c>
      <c r="J3392" s="1" t="str">
        <f aca="false">VLOOKUP(B3392,Customers!$A$2:$G$502,6,FALSE())</f>
        <v>Consumer</v>
      </c>
      <c r="K3392" s="1" t="str">
        <f aca="false">VLOOKUP(C3392,Products!$A$2:$E$62,3,FALSE())</f>
        <v>Software</v>
      </c>
      <c r="L3392" s="1" t="str">
        <f aca="false">TEXT(D3392,"yyyy-mm")</f>
        <v>2024-04</v>
      </c>
    </row>
    <row r="3393" customFormat="false" ht="15" hidden="false" customHeight="true" outlineLevel="0" collapsed="false">
      <c r="A3393" s="1" t="n">
        <v>3469</v>
      </c>
      <c r="B3393" s="1" t="n">
        <v>138</v>
      </c>
      <c r="C3393" s="1" t="n">
        <v>44</v>
      </c>
      <c r="D3393" s="1" t="s">
        <v>1434</v>
      </c>
      <c r="E3393" s="1" t="n">
        <v>1</v>
      </c>
      <c r="F3393" s="1" t="n">
        <v>508.26</v>
      </c>
      <c r="G3393" s="1" t="n">
        <v>0.2</v>
      </c>
      <c r="H3393" s="1" t="s">
        <v>1336</v>
      </c>
      <c r="I3393" s="1" t="n">
        <v>406.61</v>
      </c>
      <c r="J3393" s="1" t="str">
        <f aca="false">VLOOKUP(B3393,Customers!$A$2:$G$502,6,FALSE())</f>
        <v>Consumer</v>
      </c>
      <c r="K3393" s="1" t="str">
        <f aca="false">VLOOKUP(C3393,Products!$A$2:$E$62,3,FALSE())</f>
        <v>Software</v>
      </c>
      <c r="L3393" s="1" t="str">
        <f aca="false">TEXT(D3393,"yyyy-mm")</f>
        <v>2023-01</v>
      </c>
    </row>
    <row r="3394" customFormat="false" ht="15" hidden="false" customHeight="true" outlineLevel="0" collapsed="false">
      <c r="A3394" s="1" t="n">
        <v>3470</v>
      </c>
      <c r="B3394" s="1" t="n">
        <v>195</v>
      </c>
      <c r="C3394" s="1" t="n">
        <v>34</v>
      </c>
      <c r="D3394" s="1" t="s">
        <v>1535</v>
      </c>
      <c r="E3394" s="1" t="n">
        <v>7</v>
      </c>
      <c r="F3394" s="1" t="n">
        <v>116.85</v>
      </c>
      <c r="G3394" s="1" t="n">
        <v>0.15</v>
      </c>
      <c r="H3394" s="1" t="s">
        <v>1336</v>
      </c>
      <c r="I3394" s="1" t="n">
        <v>695.26</v>
      </c>
      <c r="J3394" s="1" t="str">
        <f aca="false">VLOOKUP(B3394,Customers!$A$2:$G$502,6,FALSE())</f>
        <v>Corporate</v>
      </c>
      <c r="K3394" s="1" t="str">
        <f aca="false">VLOOKUP(C3394,Products!$A$2:$E$62,3,FALSE())</f>
        <v>Office Supplies</v>
      </c>
      <c r="L3394" s="1" t="str">
        <f aca="false">TEXT(D3394,"yyyy-mm")</f>
        <v>2023-12</v>
      </c>
    </row>
    <row r="3395" customFormat="false" ht="15" hidden="false" customHeight="true" outlineLevel="0" collapsed="false">
      <c r="A3395" s="1" t="n">
        <v>3471</v>
      </c>
      <c r="B3395" s="1" t="n">
        <v>306</v>
      </c>
      <c r="C3395" s="1" t="n">
        <v>12</v>
      </c>
      <c r="D3395" s="1" t="s">
        <v>1499</v>
      </c>
      <c r="E3395" s="1" t="n">
        <v>8</v>
      </c>
      <c r="F3395" s="1" t="n">
        <v>179.23</v>
      </c>
      <c r="G3395" s="1" t="n">
        <v>0.15</v>
      </c>
      <c r="H3395" s="1" t="s">
        <v>1336</v>
      </c>
      <c r="I3395" s="1" t="n">
        <v>1218.76</v>
      </c>
      <c r="J3395" s="1" t="str">
        <f aca="false">VLOOKUP(B3395,Customers!$A$2:$G$502,6,FALSE())</f>
        <v>Small Business</v>
      </c>
      <c r="K3395" s="1" t="str">
        <f aca="false">VLOOKUP(C3395,Products!$A$2:$E$62,3,FALSE())</f>
        <v>Electronics</v>
      </c>
      <c r="L3395" s="1" t="str">
        <f aca="false">TEXT(D3395,"yyyy-mm")</f>
        <v>2024-10</v>
      </c>
    </row>
    <row r="3396" customFormat="false" ht="15" hidden="false" customHeight="true" outlineLevel="0" collapsed="false">
      <c r="A3396" s="1" t="n">
        <v>3472</v>
      </c>
      <c r="B3396" s="1" t="n">
        <v>401</v>
      </c>
      <c r="C3396" s="1" t="n">
        <v>36</v>
      </c>
      <c r="D3396" s="1" t="s">
        <v>1446</v>
      </c>
      <c r="E3396" s="1" t="n">
        <v>8</v>
      </c>
      <c r="F3396" s="1" t="n">
        <v>424.45</v>
      </c>
      <c r="G3396" s="1" t="n">
        <v>0</v>
      </c>
      <c r="H3396" s="1" t="s">
        <v>1336</v>
      </c>
      <c r="I3396" s="1" t="n">
        <v>3395.6</v>
      </c>
      <c r="J3396" s="1" t="str">
        <f aca="false">VLOOKUP(B3396,Customers!$A$2:$G$502,6,FALSE())</f>
        <v>Consumer</v>
      </c>
      <c r="K3396" s="1" t="str">
        <f aca="false">VLOOKUP(C3396,Products!$A$2:$E$62,3,FALSE())</f>
        <v>Software</v>
      </c>
      <c r="L3396" s="1" t="str">
        <f aca="false">TEXT(D3396,"yyyy-mm")</f>
        <v>2024-05</v>
      </c>
    </row>
    <row r="3397" customFormat="false" ht="15" hidden="false" customHeight="true" outlineLevel="0" collapsed="false">
      <c r="A3397" s="1" t="n">
        <v>3473</v>
      </c>
      <c r="B3397" s="1" t="n">
        <v>225</v>
      </c>
      <c r="C3397" s="1" t="n">
        <v>39</v>
      </c>
      <c r="D3397" s="1" t="s">
        <v>1525</v>
      </c>
      <c r="E3397" s="1" t="n">
        <v>3</v>
      </c>
      <c r="F3397" s="1" t="n">
        <v>400.02</v>
      </c>
      <c r="G3397" s="1" t="n">
        <v>0.05</v>
      </c>
      <c r="H3397" s="1" t="s">
        <v>1336</v>
      </c>
      <c r="I3397" s="1" t="n">
        <v>1140.06</v>
      </c>
      <c r="J3397" s="1" t="str">
        <f aca="false">VLOOKUP(B3397,Customers!$A$2:$G$502,6,FALSE())</f>
        <v>Consumer</v>
      </c>
      <c r="K3397" s="1" t="str">
        <f aca="false">VLOOKUP(C3397,Products!$A$2:$E$62,3,FALSE())</f>
        <v>Software</v>
      </c>
      <c r="L3397" s="1" t="str">
        <f aca="false">TEXT(D3397,"yyyy-mm")</f>
        <v>2024-01</v>
      </c>
    </row>
    <row r="3398" customFormat="false" ht="15" hidden="false" customHeight="true" outlineLevel="0" collapsed="false">
      <c r="A3398" s="1" t="n">
        <v>3474</v>
      </c>
      <c r="B3398" s="1" t="n">
        <v>209</v>
      </c>
      <c r="C3398" s="1" t="n">
        <v>10</v>
      </c>
      <c r="D3398" s="1" t="s">
        <v>1208</v>
      </c>
      <c r="E3398" s="1" t="n">
        <v>1</v>
      </c>
      <c r="F3398" s="1" t="n">
        <v>251.58</v>
      </c>
      <c r="G3398" s="1" t="n">
        <v>0</v>
      </c>
      <c r="H3398" s="1" t="s">
        <v>1336</v>
      </c>
      <c r="I3398" s="1" t="n">
        <v>251.58</v>
      </c>
      <c r="J3398" s="1" t="str">
        <f aca="false">VLOOKUP(B3398,Customers!$A$2:$G$502,6,FALSE())</f>
        <v>Small Business</v>
      </c>
      <c r="K3398" s="1" t="str">
        <f aca="false">VLOOKUP(C3398,Products!$A$2:$E$62,3,FALSE())</f>
        <v>Electronics</v>
      </c>
      <c r="L3398" s="1" t="str">
        <f aca="false">TEXT(D3398,"yyyy-mm")</f>
        <v>2024-01</v>
      </c>
    </row>
    <row r="3399" customFormat="false" ht="15" hidden="false" customHeight="true" outlineLevel="0" collapsed="false">
      <c r="A3399" s="1" t="n">
        <v>3475</v>
      </c>
      <c r="B3399" s="1" t="n">
        <v>473</v>
      </c>
      <c r="C3399" s="1" t="n">
        <v>29</v>
      </c>
      <c r="D3399" s="1" t="s">
        <v>167</v>
      </c>
      <c r="E3399" s="1" t="n">
        <v>9</v>
      </c>
      <c r="F3399" s="1" t="n">
        <v>54.62</v>
      </c>
      <c r="G3399" s="1" t="n">
        <v>0.15</v>
      </c>
      <c r="H3399" s="1" t="s">
        <v>1336</v>
      </c>
      <c r="I3399" s="1" t="n">
        <v>417.84</v>
      </c>
      <c r="J3399" s="1" t="str">
        <f aca="false">VLOOKUP(B3399,Customers!$A$2:$G$502,6,FALSE())</f>
        <v>Small Business</v>
      </c>
      <c r="K3399" s="1" t="str">
        <f aca="false">VLOOKUP(C3399,Products!$A$2:$E$62,3,FALSE())</f>
        <v>Office Supplies</v>
      </c>
      <c r="L3399" s="1" t="str">
        <f aca="false">TEXT(D3399,"yyyy-mm")</f>
        <v>2023-03</v>
      </c>
    </row>
    <row r="3400" customFormat="false" ht="15" hidden="false" customHeight="true" outlineLevel="0" collapsed="false">
      <c r="A3400" s="1" t="n">
        <v>3476</v>
      </c>
      <c r="B3400" s="1" t="n">
        <v>184</v>
      </c>
      <c r="C3400" s="1" t="n">
        <v>8</v>
      </c>
      <c r="D3400" s="1" t="s">
        <v>138</v>
      </c>
      <c r="E3400" s="1" t="n">
        <v>6</v>
      </c>
      <c r="F3400" s="1" t="n">
        <v>104.4</v>
      </c>
      <c r="G3400" s="1" t="n">
        <v>0.1</v>
      </c>
      <c r="H3400" s="1" t="s">
        <v>1336</v>
      </c>
      <c r="I3400" s="1" t="n">
        <v>563.76</v>
      </c>
      <c r="J3400" s="1" t="str">
        <f aca="false">VLOOKUP(B3400,Customers!$A$2:$G$502,6,FALSE())</f>
        <v>Corporate</v>
      </c>
      <c r="K3400" s="1" t="str">
        <f aca="false">VLOOKUP(C3400,Products!$A$2:$E$62,3,FALSE())</f>
        <v>Electronics</v>
      </c>
      <c r="L3400" s="1" t="str">
        <f aca="false">TEXT(D3400,"yyyy-mm")</f>
        <v>2023-05</v>
      </c>
    </row>
    <row r="3401" customFormat="false" ht="15" hidden="false" customHeight="true" outlineLevel="0" collapsed="false">
      <c r="A3401" s="1" t="n">
        <v>3477</v>
      </c>
      <c r="B3401" s="1" t="n">
        <v>277</v>
      </c>
      <c r="C3401" s="1" t="n">
        <v>58</v>
      </c>
      <c r="D3401" s="1" t="s">
        <v>1479</v>
      </c>
      <c r="E3401" s="1" t="n">
        <v>9</v>
      </c>
      <c r="F3401" s="1" t="n">
        <v>515.55</v>
      </c>
      <c r="G3401" s="1" t="n">
        <v>0</v>
      </c>
      <c r="H3401" s="1" t="s">
        <v>1336</v>
      </c>
      <c r="I3401" s="1" t="n">
        <v>4639.95</v>
      </c>
      <c r="J3401" s="1" t="str">
        <f aca="false">VLOOKUP(B3401,Customers!$A$2:$G$502,6,FALSE())</f>
        <v>Corporate</v>
      </c>
      <c r="K3401" s="1" t="str">
        <f aca="false">VLOOKUP(C3401,Products!$A$2:$E$62,3,FALSE())</f>
        <v>Furniture</v>
      </c>
      <c r="L3401" s="1" t="str">
        <f aca="false">TEXT(D3401,"yyyy-mm")</f>
        <v>2024-10</v>
      </c>
    </row>
    <row r="3402" customFormat="false" ht="15" hidden="false" customHeight="true" outlineLevel="0" collapsed="false">
      <c r="A3402" s="1" t="n">
        <v>3478</v>
      </c>
      <c r="B3402" s="1" t="n">
        <v>124</v>
      </c>
      <c r="C3402" s="1" t="n">
        <v>4</v>
      </c>
      <c r="D3402" s="1" t="s">
        <v>56</v>
      </c>
      <c r="E3402" s="1" t="n">
        <v>7</v>
      </c>
      <c r="F3402" s="1" t="n">
        <v>56.24</v>
      </c>
      <c r="G3402" s="1" t="n">
        <v>0</v>
      </c>
      <c r="H3402" s="1" t="s">
        <v>1336</v>
      </c>
      <c r="I3402" s="1" t="n">
        <v>393.68</v>
      </c>
      <c r="J3402" s="1" t="str">
        <f aca="false">VLOOKUP(B3402,Customers!$A$2:$G$502,6,FALSE())</f>
        <v>Small Business</v>
      </c>
      <c r="K3402" s="1" t="str">
        <f aca="false">VLOOKUP(C3402,Products!$A$2:$E$62,3,FALSE())</f>
        <v>Electronics</v>
      </c>
      <c r="L3402" s="1" t="str">
        <f aca="false">TEXT(D3402,"yyyy-mm")</f>
        <v>2023-05</v>
      </c>
    </row>
    <row r="3403" customFormat="false" ht="15" hidden="false" customHeight="true" outlineLevel="0" collapsed="false">
      <c r="A3403" s="1" t="n">
        <v>3479</v>
      </c>
      <c r="B3403" s="1" t="n">
        <v>404</v>
      </c>
      <c r="C3403" s="1" t="n">
        <v>26</v>
      </c>
      <c r="D3403" s="1" t="s">
        <v>958</v>
      </c>
      <c r="E3403" s="1" t="n">
        <v>1</v>
      </c>
      <c r="F3403" s="1" t="n">
        <v>733.85</v>
      </c>
      <c r="G3403" s="1" t="n">
        <v>0</v>
      </c>
      <c r="H3403" s="1" t="s">
        <v>1336</v>
      </c>
      <c r="I3403" s="1" t="n">
        <v>733.85</v>
      </c>
      <c r="J3403" s="1" t="str">
        <f aca="false">VLOOKUP(B3403,Customers!$A$2:$G$502,6,FALSE())</f>
        <v>Corporate</v>
      </c>
      <c r="K3403" s="1" t="str">
        <f aca="false">VLOOKUP(C3403,Products!$A$2:$E$62,3,FALSE())</f>
        <v>Office Supplies</v>
      </c>
      <c r="L3403" s="1" t="str">
        <f aca="false">TEXT(D3403,"yyyy-mm")</f>
        <v>2024-12</v>
      </c>
    </row>
    <row r="3404" customFormat="false" ht="15" hidden="false" customHeight="true" outlineLevel="0" collapsed="false">
      <c r="A3404" s="1" t="n">
        <v>3480</v>
      </c>
      <c r="B3404" s="1" t="n">
        <v>133</v>
      </c>
      <c r="C3404" s="1" t="n">
        <v>46</v>
      </c>
      <c r="D3404" s="1" t="s">
        <v>1644</v>
      </c>
      <c r="E3404" s="1" t="n">
        <v>1</v>
      </c>
      <c r="F3404" s="1" t="n">
        <v>94.92</v>
      </c>
      <c r="G3404" s="1" t="n">
        <v>0.15</v>
      </c>
      <c r="H3404" s="1" t="s">
        <v>1346</v>
      </c>
      <c r="I3404" s="1" t="n">
        <v>80.68</v>
      </c>
      <c r="J3404" s="1" t="str">
        <f aca="false">VLOOKUP(B3404,Customers!$A$2:$G$502,6,FALSE())</f>
        <v>Consumer</v>
      </c>
      <c r="K3404" s="1" t="str">
        <f aca="false">VLOOKUP(C3404,Products!$A$2:$E$62,3,FALSE())</f>
        <v>Software</v>
      </c>
      <c r="L3404" s="1" t="str">
        <f aca="false">TEXT(D3404,"yyyy-mm")</f>
        <v>2023-08</v>
      </c>
    </row>
    <row r="3405" customFormat="false" ht="15" hidden="false" customHeight="true" outlineLevel="0" collapsed="false">
      <c r="A3405" s="1" t="n">
        <v>3481</v>
      </c>
      <c r="B3405" s="1" t="n">
        <v>175</v>
      </c>
      <c r="C3405" s="1" t="n">
        <v>29</v>
      </c>
      <c r="D3405" s="1" t="s">
        <v>1373</v>
      </c>
      <c r="E3405" s="1" t="n">
        <v>6</v>
      </c>
      <c r="F3405" s="1" t="n">
        <v>54.62</v>
      </c>
      <c r="G3405" s="1" t="n">
        <v>0.05</v>
      </c>
      <c r="H3405" s="1" t="s">
        <v>1336</v>
      </c>
      <c r="I3405" s="1" t="n">
        <v>311.33</v>
      </c>
      <c r="J3405" s="1" t="str">
        <f aca="false">VLOOKUP(B3405,Customers!$A$2:$G$502,6,FALSE())</f>
        <v>Consumer</v>
      </c>
      <c r="K3405" s="1" t="str">
        <f aca="false">VLOOKUP(C3405,Products!$A$2:$E$62,3,FALSE())</f>
        <v>Office Supplies</v>
      </c>
      <c r="L3405" s="1" t="str">
        <f aca="false">TEXT(D3405,"yyyy-mm")</f>
        <v>2024-07</v>
      </c>
    </row>
    <row r="3406" customFormat="false" ht="15" hidden="false" customHeight="true" outlineLevel="0" collapsed="false">
      <c r="A3406" s="1" t="n">
        <v>3482</v>
      </c>
      <c r="B3406" s="1" t="n">
        <v>176</v>
      </c>
      <c r="C3406" s="1" t="n">
        <v>16</v>
      </c>
      <c r="D3406" s="1" t="s">
        <v>1086</v>
      </c>
      <c r="E3406" s="1" t="n">
        <v>5</v>
      </c>
      <c r="F3406" s="1" t="n">
        <v>330.91</v>
      </c>
      <c r="G3406" s="1" t="n">
        <v>0.15</v>
      </c>
      <c r="H3406" s="1" t="s">
        <v>1336</v>
      </c>
      <c r="I3406" s="1" t="n">
        <v>1406.37</v>
      </c>
      <c r="J3406" s="1" t="str">
        <f aca="false">VLOOKUP(B3406,Customers!$A$2:$G$502,6,FALSE())</f>
        <v>Corporate</v>
      </c>
      <c r="K3406" s="1" t="str">
        <f aca="false">VLOOKUP(C3406,Products!$A$2:$E$62,3,FALSE())</f>
        <v>Electronics</v>
      </c>
      <c r="L3406" s="1" t="str">
        <f aca="false">TEXT(D3406,"yyyy-mm")</f>
        <v>2024-05</v>
      </c>
    </row>
    <row r="3407" customFormat="false" ht="15" hidden="false" customHeight="true" outlineLevel="0" collapsed="false">
      <c r="A3407" s="1" t="n">
        <v>3483</v>
      </c>
      <c r="B3407" s="1" t="n">
        <v>130</v>
      </c>
      <c r="C3407" s="1" t="n">
        <v>34</v>
      </c>
      <c r="D3407" s="1" t="s">
        <v>243</v>
      </c>
      <c r="E3407" s="1" t="n">
        <v>9</v>
      </c>
      <c r="F3407" s="1" t="n">
        <v>116.85</v>
      </c>
      <c r="G3407" s="1" t="n">
        <v>0</v>
      </c>
      <c r="H3407" s="1" t="s">
        <v>1336</v>
      </c>
      <c r="I3407" s="1" t="n">
        <v>1051.65</v>
      </c>
      <c r="J3407" s="1" t="str">
        <f aca="false">VLOOKUP(B3407,Customers!$A$2:$G$502,6,FALSE())</f>
        <v>Consumer</v>
      </c>
      <c r="K3407" s="1" t="str">
        <f aca="false">VLOOKUP(C3407,Products!$A$2:$E$62,3,FALSE())</f>
        <v>Office Supplies</v>
      </c>
      <c r="L3407" s="1" t="str">
        <f aca="false">TEXT(D3407,"yyyy-mm")</f>
        <v>2024-07</v>
      </c>
    </row>
    <row r="3408" customFormat="false" ht="15" hidden="false" customHeight="true" outlineLevel="0" collapsed="false">
      <c r="A3408" s="1" t="n">
        <v>3484</v>
      </c>
      <c r="B3408" s="1" t="n">
        <v>60</v>
      </c>
      <c r="C3408" s="1" t="n">
        <v>38</v>
      </c>
      <c r="D3408" s="1" t="s">
        <v>1612</v>
      </c>
      <c r="E3408" s="1" t="n">
        <v>2</v>
      </c>
      <c r="F3408" s="1" t="n">
        <v>521.63</v>
      </c>
      <c r="G3408" s="1" t="n">
        <v>0</v>
      </c>
      <c r="H3408" s="1" t="s">
        <v>1336</v>
      </c>
      <c r="I3408" s="1" t="n">
        <v>1043.26</v>
      </c>
      <c r="J3408" s="1" t="str">
        <f aca="false">VLOOKUP(B3408,Customers!$A$2:$G$502,6,FALSE())</f>
        <v>Corporate</v>
      </c>
      <c r="K3408" s="1" t="str">
        <f aca="false">VLOOKUP(C3408,Products!$A$2:$E$62,3,FALSE())</f>
        <v>Software</v>
      </c>
      <c r="L3408" s="1" t="str">
        <f aca="false">TEXT(D3408,"yyyy-mm")</f>
        <v>2024-10</v>
      </c>
    </row>
    <row r="3409" customFormat="false" ht="15" hidden="false" customHeight="true" outlineLevel="0" collapsed="false">
      <c r="A3409" s="1" t="n">
        <v>3485</v>
      </c>
      <c r="B3409" s="1" t="n">
        <v>180</v>
      </c>
      <c r="C3409" s="1" t="n">
        <v>20</v>
      </c>
      <c r="D3409" s="1" t="s">
        <v>56</v>
      </c>
      <c r="E3409" s="1" t="n">
        <v>8</v>
      </c>
      <c r="F3409" s="1" t="n">
        <v>426.15</v>
      </c>
      <c r="G3409" s="1" t="n">
        <v>0.1</v>
      </c>
      <c r="H3409" s="1" t="s">
        <v>1336</v>
      </c>
      <c r="I3409" s="1" t="n">
        <v>3068.28</v>
      </c>
      <c r="J3409" s="1" t="str">
        <f aca="false">VLOOKUP(B3409,Customers!$A$2:$G$502,6,FALSE())</f>
        <v>Consumer</v>
      </c>
      <c r="K3409" s="1" t="str">
        <f aca="false">VLOOKUP(C3409,Products!$A$2:$E$62,3,FALSE())</f>
        <v>Office Supplies</v>
      </c>
      <c r="L3409" s="1" t="str">
        <f aca="false">TEXT(D3409,"yyyy-mm")</f>
        <v>2023-05</v>
      </c>
    </row>
    <row r="3410" customFormat="false" ht="15" hidden="false" customHeight="true" outlineLevel="0" collapsed="false">
      <c r="A3410" s="1" t="n">
        <v>3486</v>
      </c>
      <c r="B3410" s="1" t="n">
        <v>155</v>
      </c>
      <c r="C3410" s="1" t="n">
        <v>9</v>
      </c>
      <c r="D3410" s="1" t="s">
        <v>1664</v>
      </c>
      <c r="E3410" s="1" t="n">
        <v>5</v>
      </c>
      <c r="F3410" s="1" t="n">
        <v>203.1</v>
      </c>
      <c r="G3410" s="1" t="n">
        <v>0</v>
      </c>
      <c r="H3410" s="1" t="s">
        <v>1336</v>
      </c>
      <c r="I3410" s="1" t="n">
        <v>1015.5</v>
      </c>
      <c r="J3410" s="1" t="str">
        <f aca="false">VLOOKUP(B3410,Customers!$A$2:$G$502,6,FALSE())</f>
        <v>Consumer</v>
      </c>
      <c r="K3410" s="1" t="str">
        <f aca="false">VLOOKUP(C3410,Products!$A$2:$E$62,3,FALSE())</f>
        <v>Electronics</v>
      </c>
      <c r="L3410" s="1" t="str">
        <f aca="false">TEXT(D3410,"yyyy-mm")</f>
        <v>2024-01</v>
      </c>
    </row>
    <row r="3411" customFormat="false" ht="15" hidden="false" customHeight="true" outlineLevel="0" collapsed="false">
      <c r="A3411" s="1" t="n">
        <v>3487</v>
      </c>
      <c r="B3411" s="1" t="n">
        <v>282</v>
      </c>
      <c r="C3411" s="1" t="n">
        <v>34</v>
      </c>
      <c r="D3411" s="1" t="s">
        <v>1219</v>
      </c>
      <c r="E3411" s="1" t="n">
        <v>2</v>
      </c>
      <c r="F3411" s="1" t="n">
        <v>116.85</v>
      </c>
      <c r="G3411" s="1" t="n">
        <v>0.05</v>
      </c>
      <c r="H3411" s="1" t="s">
        <v>1336</v>
      </c>
      <c r="I3411" s="1" t="n">
        <v>222.02</v>
      </c>
      <c r="J3411" s="1" t="str">
        <f aca="false">VLOOKUP(B3411,Customers!$A$2:$G$502,6,FALSE())</f>
        <v>Corporate</v>
      </c>
      <c r="K3411" s="1" t="str">
        <f aca="false">VLOOKUP(C3411,Products!$A$2:$E$62,3,FALSE())</f>
        <v>Office Supplies</v>
      </c>
      <c r="L3411" s="1" t="str">
        <f aca="false">TEXT(D3411,"yyyy-mm")</f>
        <v>2024-10</v>
      </c>
    </row>
    <row r="3412" customFormat="false" ht="15" hidden="false" customHeight="true" outlineLevel="0" collapsed="false">
      <c r="A3412" s="1" t="n">
        <v>3488</v>
      </c>
      <c r="B3412" s="1" t="n">
        <v>303</v>
      </c>
      <c r="C3412" s="1" t="n">
        <v>9</v>
      </c>
      <c r="D3412" s="1" t="s">
        <v>1418</v>
      </c>
      <c r="E3412" s="1" t="n">
        <v>6</v>
      </c>
      <c r="F3412" s="1" t="n">
        <v>203.1</v>
      </c>
      <c r="G3412" s="1" t="n">
        <v>0</v>
      </c>
      <c r="H3412" s="1" t="s">
        <v>1336</v>
      </c>
      <c r="I3412" s="1" t="n">
        <v>1218.6</v>
      </c>
      <c r="J3412" s="1" t="str">
        <f aca="false">VLOOKUP(B3412,Customers!$A$2:$G$502,6,FALSE())</f>
        <v>Corporate</v>
      </c>
      <c r="K3412" s="1" t="str">
        <f aca="false">VLOOKUP(C3412,Products!$A$2:$E$62,3,FALSE())</f>
        <v>Electronics</v>
      </c>
      <c r="L3412" s="1" t="str">
        <f aca="false">TEXT(D3412,"yyyy-mm")</f>
        <v>2023-06</v>
      </c>
    </row>
    <row r="3413" customFormat="false" ht="15" hidden="false" customHeight="true" outlineLevel="0" collapsed="false">
      <c r="A3413" s="1" t="n">
        <v>3489</v>
      </c>
      <c r="B3413" s="1" t="n">
        <v>48</v>
      </c>
      <c r="C3413" s="1" t="n">
        <v>40</v>
      </c>
      <c r="D3413" s="1" t="s">
        <v>1277</v>
      </c>
      <c r="E3413" s="1" t="n">
        <v>8</v>
      </c>
      <c r="F3413" s="1" t="n">
        <v>193.02</v>
      </c>
      <c r="G3413" s="1" t="n">
        <v>0.1</v>
      </c>
      <c r="H3413" s="1" t="s">
        <v>1336</v>
      </c>
      <c r="I3413" s="1" t="n">
        <v>1389.74</v>
      </c>
      <c r="J3413" s="1" t="str">
        <f aca="false">VLOOKUP(B3413,Customers!$A$2:$G$502,6,FALSE())</f>
        <v>Small Business</v>
      </c>
      <c r="K3413" s="1" t="str">
        <f aca="false">VLOOKUP(C3413,Products!$A$2:$E$62,3,FALSE())</f>
        <v>Software</v>
      </c>
      <c r="L3413" s="1" t="str">
        <f aca="false">TEXT(D3413,"yyyy-mm")</f>
        <v>2023-11</v>
      </c>
    </row>
    <row r="3414" customFormat="false" ht="15" hidden="false" customHeight="true" outlineLevel="0" collapsed="false">
      <c r="A3414" s="1" t="n">
        <v>3490</v>
      </c>
      <c r="B3414" s="1" t="n">
        <v>296</v>
      </c>
      <c r="C3414" s="1" t="n">
        <v>43</v>
      </c>
      <c r="D3414" s="1" t="s">
        <v>124</v>
      </c>
      <c r="E3414" s="1" t="n">
        <v>4</v>
      </c>
      <c r="F3414" s="1" t="n">
        <v>186.31</v>
      </c>
      <c r="G3414" s="1" t="n">
        <v>0.1</v>
      </c>
      <c r="H3414" s="1" t="s">
        <v>1336</v>
      </c>
      <c r="I3414" s="1" t="n">
        <v>670.72</v>
      </c>
      <c r="J3414" s="1" t="str">
        <f aca="false">VLOOKUP(B3414,Customers!$A$2:$G$502,6,FALSE())</f>
        <v>Corporate</v>
      </c>
      <c r="K3414" s="1" t="str">
        <f aca="false">VLOOKUP(C3414,Products!$A$2:$E$62,3,FALSE())</f>
        <v>Software</v>
      </c>
      <c r="L3414" s="1" t="str">
        <f aca="false">TEXT(D3414,"yyyy-mm")</f>
        <v>2023-05</v>
      </c>
    </row>
    <row r="3415" customFormat="false" ht="15" hidden="false" customHeight="true" outlineLevel="0" collapsed="false">
      <c r="A3415" s="1" t="n">
        <v>3491</v>
      </c>
      <c r="B3415" s="1" t="n">
        <v>454</v>
      </c>
      <c r="C3415" s="1" t="n">
        <v>34</v>
      </c>
      <c r="D3415" s="1" t="s">
        <v>1647</v>
      </c>
      <c r="E3415" s="1" t="n">
        <v>2</v>
      </c>
      <c r="F3415" s="1" t="n">
        <v>116.85</v>
      </c>
      <c r="G3415" s="1" t="n">
        <v>0</v>
      </c>
      <c r="H3415" s="1" t="s">
        <v>1336</v>
      </c>
      <c r="I3415" s="1" t="n">
        <v>233.7</v>
      </c>
      <c r="J3415" s="1" t="str">
        <f aca="false">VLOOKUP(B3415,Customers!$A$2:$G$502,6,FALSE())</f>
        <v>Consumer</v>
      </c>
      <c r="K3415" s="1" t="str">
        <f aca="false">VLOOKUP(C3415,Products!$A$2:$E$62,3,FALSE())</f>
        <v>Office Supplies</v>
      </c>
      <c r="L3415" s="1" t="str">
        <f aca="false">TEXT(D3415,"yyyy-mm")</f>
        <v>2024-05</v>
      </c>
    </row>
    <row r="3416" customFormat="false" ht="15" hidden="false" customHeight="true" outlineLevel="0" collapsed="false">
      <c r="A3416" s="1" t="n">
        <v>3492</v>
      </c>
      <c r="B3416" s="1" t="n">
        <v>159</v>
      </c>
      <c r="C3416" s="1" t="n">
        <v>37</v>
      </c>
      <c r="D3416" s="1" t="s">
        <v>536</v>
      </c>
      <c r="E3416" s="1" t="n">
        <v>5</v>
      </c>
      <c r="F3416" s="1" t="n">
        <v>13.95</v>
      </c>
      <c r="G3416" s="1" t="n">
        <v>0.2</v>
      </c>
      <c r="H3416" s="1" t="s">
        <v>1336</v>
      </c>
      <c r="I3416" s="1" t="n">
        <v>55.8</v>
      </c>
      <c r="J3416" s="1" t="str">
        <f aca="false">VLOOKUP(B3416,Customers!$A$2:$G$502,6,FALSE())</f>
        <v>Corporate</v>
      </c>
      <c r="K3416" s="1" t="str">
        <f aca="false">VLOOKUP(C3416,Products!$A$2:$E$62,3,FALSE())</f>
        <v>Software</v>
      </c>
      <c r="L3416" s="1" t="str">
        <f aca="false">TEXT(D3416,"yyyy-mm")</f>
        <v>2024-01</v>
      </c>
    </row>
    <row r="3417" customFormat="false" ht="15" hidden="false" customHeight="true" outlineLevel="0" collapsed="false">
      <c r="A3417" s="1" t="n">
        <v>3493</v>
      </c>
      <c r="B3417" s="1" t="n">
        <v>296</v>
      </c>
      <c r="C3417" s="1" t="n">
        <v>26</v>
      </c>
      <c r="D3417" s="1" t="s">
        <v>1597</v>
      </c>
      <c r="E3417" s="1" t="n">
        <v>2</v>
      </c>
      <c r="F3417" s="1" t="n">
        <v>733.85</v>
      </c>
      <c r="G3417" s="1" t="n">
        <v>0</v>
      </c>
      <c r="H3417" s="1" t="s">
        <v>1336</v>
      </c>
      <c r="I3417" s="1" t="n">
        <v>1467.7</v>
      </c>
      <c r="J3417" s="1" t="str">
        <f aca="false">VLOOKUP(B3417,Customers!$A$2:$G$502,6,FALSE())</f>
        <v>Corporate</v>
      </c>
      <c r="K3417" s="1" t="str">
        <f aca="false">VLOOKUP(C3417,Products!$A$2:$E$62,3,FALSE())</f>
        <v>Office Supplies</v>
      </c>
      <c r="L3417" s="1" t="str">
        <f aca="false">TEXT(D3417,"yyyy-mm")</f>
        <v>2023-11</v>
      </c>
    </row>
    <row r="3418" customFormat="false" ht="15" hidden="false" customHeight="true" outlineLevel="0" collapsed="false">
      <c r="A3418" s="1" t="n">
        <v>3494</v>
      </c>
      <c r="B3418" s="1" t="n">
        <v>286</v>
      </c>
      <c r="C3418" s="1" t="n">
        <v>33</v>
      </c>
      <c r="D3418" s="1" t="s">
        <v>1689</v>
      </c>
      <c r="E3418" s="1" t="n">
        <v>2</v>
      </c>
      <c r="F3418" s="1" t="n">
        <v>190.1</v>
      </c>
      <c r="G3418" s="1" t="n">
        <v>0.05</v>
      </c>
      <c r="H3418" s="1" t="s">
        <v>1336</v>
      </c>
      <c r="I3418" s="1" t="n">
        <v>361.19</v>
      </c>
      <c r="J3418" s="1" t="str">
        <f aca="false">VLOOKUP(B3418,Customers!$A$2:$G$502,6,FALSE())</f>
        <v>Corporate</v>
      </c>
      <c r="K3418" s="1" t="str">
        <f aca="false">VLOOKUP(C3418,Products!$A$2:$E$62,3,FALSE())</f>
        <v>Office Supplies</v>
      </c>
      <c r="L3418" s="1" t="str">
        <f aca="false">TEXT(D3418,"yyyy-mm")</f>
        <v>2023-01</v>
      </c>
    </row>
    <row r="3419" customFormat="false" ht="15" hidden="false" customHeight="true" outlineLevel="0" collapsed="false">
      <c r="A3419" s="1" t="n">
        <v>3495</v>
      </c>
      <c r="B3419" s="1" t="n">
        <v>250</v>
      </c>
      <c r="C3419" s="1" t="n">
        <v>20</v>
      </c>
      <c r="D3419" s="1" t="s">
        <v>464</v>
      </c>
      <c r="E3419" s="1" t="n">
        <v>6</v>
      </c>
      <c r="F3419" s="1" t="n">
        <v>426.15</v>
      </c>
      <c r="G3419" s="1" t="n">
        <v>0.15</v>
      </c>
      <c r="H3419" s="1" t="s">
        <v>1336</v>
      </c>
      <c r="I3419" s="1" t="n">
        <v>2173.36</v>
      </c>
      <c r="J3419" s="1" t="str">
        <f aca="false">VLOOKUP(B3419,Customers!$A$2:$G$502,6,FALSE())</f>
        <v>Consumer</v>
      </c>
      <c r="K3419" s="1" t="str">
        <f aca="false">VLOOKUP(C3419,Products!$A$2:$E$62,3,FALSE())</f>
        <v>Office Supplies</v>
      </c>
      <c r="L3419" s="1" t="str">
        <f aca="false">TEXT(D3419,"yyyy-mm")</f>
        <v>2023-12</v>
      </c>
    </row>
    <row r="3420" customFormat="false" ht="15" hidden="false" customHeight="true" outlineLevel="0" collapsed="false">
      <c r="A3420" s="1" t="n">
        <v>3496</v>
      </c>
      <c r="B3420" s="1" t="n">
        <v>361</v>
      </c>
      <c r="C3420" s="1" t="n">
        <v>42</v>
      </c>
      <c r="D3420" s="1" t="s">
        <v>1543</v>
      </c>
      <c r="E3420" s="1" t="n">
        <v>9</v>
      </c>
      <c r="F3420" s="1" t="n">
        <v>174.48</v>
      </c>
      <c r="G3420" s="1" t="n">
        <v>0</v>
      </c>
      <c r="H3420" s="1" t="s">
        <v>1336</v>
      </c>
      <c r="I3420" s="1" t="n">
        <v>1570.32</v>
      </c>
      <c r="J3420" s="1" t="str">
        <f aca="false">VLOOKUP(B3420,Customers!$A$2:$G$502,6,FALSE())</f>
        <v>Small Business</v>
      </c>
      <c r="K3420" s="1" t="str">
        <f aca="false">VLOOKUP(C3420,Products!$A$2:$E$62,3,FALSE())</f>
        <v>Software</v>
      </c>
      <c r="L3420" s="1" t="str">
        <f aca="false">TEXT(D3420,"yyyy-mm")</f>
        <v>2023-01</v>
      </c>
    </row>
    <row r="3421" customFormat="false" ht="15" hidden="false" customHeight="true" outlineLevel="0" collapsed="false">
      <c r="A3421" s="1" t="n">
        <v>3497</v>
      </c>
      <c r="B3421" s="1" t="n">
        <v>35</v>
      </c>
      <c r="C3421" s="1" t="n">
        <v>26</v>
      </c>
      <c r="D3421" s="1" t="s">
        <v>374</v>
      </c>
      <c r="E3421" s="1" t="n">
        <v>4</v>
      </c>
      <c r="F3421" s="1" t="n">
        <v>733.85</v>
      </c>
      <c r="G3421" s="1" t="n">
        <v>0.1</v>
      </c>
      <c r="H3421" s="1" t="s">
        <v>1336</v>
      </c>
      <c r="I3421" s="1" t="n">
        <v>2641.86</v>
      </c>
      <c r="J3421" s="1" t="str">
        <f aca="false">VLOOKUP(B3421,Customers!$A$2:$G$502,6,FALSE())</f>
        <v>Corporate</v>
      </c>
      <c r="K3421" s="1" t="str">
        <f aca="false">VLOOKUP(C3421,Products!$A$2:$E$62,3,FALSE())</f>
        <v>Office Supplies</v>
      </c>
      <c r="L3421" s="1" t="str">
        <f aca="false">TEXT(D3421,"yyyy-mm")</f>
        <v>2023-10</v>
      </c>
    </row>
    <row r="3422" customFormat="false" ht="15" hidden="false" customHeight="true" outlineLevel="0" collapsed="false">
      <c r="A3422" s="1" t="n">
        <v>3498</v>
      </c>
      <c r="B3422" s="1" t="n">
        <v>445</v>
      </c>
      <c r="C3422" s="1" t="n">
        <v>57</v>
      </c>
      <c r="D3422" s="1" t="s">
        <v>1493</v>
      </c>
      <c r="E3422" s="1" t="n">
        <v>6</v>
      </c>
      <c r="F3422" s="1" t="n">
        <v>719.76</v>
      </c>
      <c r="G3422" s="1" t="n">
        <v>0.05</v>
      </c>
      <c r="H3422" s="1" t="s">
        <v>1336</v>
      </c>
      <c r="I3422" s="1" t="n">
        <v>4102.63</v>
      </c>
      <c r="J3422" s="1" t="str">
        <f aca="false">VLOOKUP(B3422,Customers!$A$2:$G$502,6,FALSE())</f>
        <v>Small Business</v>
      </c>
      <c r="K3422" s="1" t="str">
        <f aca="false">VLOOKUP(C3422,Products!$A$2:$E$62,3,FALSE())</f>
        <v>Furniture</v>
      </c>
      <c r="L3422" s="1" t="str">
        <f aca="false">TEXT(D3422,"yyyy-mm")</f>
        <v>2023-10</v>
      </c>
    </row>
    <row r="3423" customFormat="false" ht="15" hidden="false" customHeight="true" outlineLevel="0" collapsed="false">
      <c r="A3423" s="1" t="n">
        <v>3499</v>
      </c>
      <c r="B3423" s="1" t="n">
        <v>400</v>
      </c>
      <c r="C3423" s="1" t="n">
        <v>7</v>
      </c>
      <c r="D3423" s="1" t="s">
        <v>1683</v>
      </c>
      <c r="E3423" s="1" t="n">
        <v>7</v>
      </c>
      <c r="F3423" s="1" t="n">
        <v>460</v>
      </c>
      <c r="G3423" s="1" t="n">
        <v>0</v>
      </c>
      <c r="H3423" s="1" t="s">
        <v>1336</v>
      </c>
      <c r="I3423" s="1" t="n">
        <v>3220</v>
      </c>
      <c r="J3423" s="1" t="str">
        <f aca="false">VLOOKUP(B3423,Customers!$A$2:$G$502,6,FALSE())</f>
        <v>Small Business</v>
      </c>
      <c r="K3423" s="1" t="str">
        <f aca="false">VLOOKUP(C3423,Products!$A$2:$E$62,3,FALSE())</f>
        <v>Electronics</v>
      </c>
      <c r="L3423" s="1" t="str">
        <f aca="false">TEXT(D3423,"yyyy-mm")</f>
        <v>2023-12</v>
      </c>
    </row>
    <row r="3424" customFormat="false" ht="15" hidden="false" customHeight="true" outlineLevel="0" collapsed="false">
      <c r="A3424" s="1" t="n">
        <v>3500</v>
      </c>
      <c r="B3424" s="1" t="n">
        <v>423</v>
      </c>
      <c r="C3424" s="1" t="n">
        <v>4</v>
      </c>
      <c r="D3424" s="1" t="s">
        <v>1671</v>
      </c>
      <c r="E3424" s="1" t="n">
        <v>6</v>
      </c>
      <c r="F3424" s="1" t="n">
        <v>56.24</v>
      </c>
      <c r="G3424" s="1" t="n">
        <v>0.2</v>
      </c>
      <c r="H3424" s="1" t="s">
        <v>1336</v>
      </c>
      <c r="I3424" s="1" t="n">
        <v>269.95</v>
      </c>
      <c r="J3424" s="1" t="str">
        <f aca="false">VLOOKUP(B3424,Customers!$A$2:$G$502,6,FALSE())</f>
        <v>Small Business</v>
      </c>
      <c r="K3424" s="1" t="str">
        <f aca="false">VLOOKUP(C3424,Products!$A$2:$E$62,3,FALSE())</f>
        <v>Electronics</v>
      </c>
      <c r="L3424" s="1" t="str">
        <f aca="false">TEXT(D3424,"yyyy-mm")</f>
        <v>2023-08</v>
      </c>
    </row>
    <row r="3425" customFormat="false" ht="15" hidden="false" customHeight="true" outlineLevel="0" collapsed="false">
      <c r="A3425" s="1" t="n">
        <v>3501</v>
      </c>
      <c r="B3425" s="1" t="n">
        <v>150</v>
      </c>
      <c r="C3425" s="1" t="n">
        <v>48</v>
      </c>
      <c r="D3425" s="1" t="s">
        <v>112</v>
      </c>
      <c r="E3425" s="1" t="n">
        <v>8</v>
      </c>
      <c r="F3425" s="1" t="n">
        <v>493.53</v>
      </c>
      <c r="G3425" s="1" t="n">
        <v>0.2</v>
      </c>
      <c r="H3425" s="1" t="s">
        <v>1336</v>
      </c>
      <c r="I3425" s="1" t="n">
        <v>3158.59</v>
      </c>
      <c r="J3425" s="1" t="str">
        <f aca="false">VLOOKUP(B3425,Customers!$A$2:$G$502,6,FALSE())</f>
        <v>Corporate</v>
      </c>
      <c r="K3425" s="1" t="str">
        <f aca="false">VLOOKUP(C3425,Products!$A$2:$E$62,3,FALSE())</f>
        <v>Software</v>
      </c>
      <c r="L3425" s="1" t="str">
        <f aca="false">TEXT(D3425,"yyyy-mm")</f>
        <v>2024-07</v>
      </c>
    </row>
    <row r="3426" customFormat="false" ht="15" hidden="false" customHeight="true" outlineLevel="0" collapsed="false">
      <c r="A3426" s="1" t="n">
        <v>3503</v>
      </c>
      <c r="B3426" s="1" t="n">
        <v>26</v>
      </c>
      <c r="C3426" s="1" t="n">
        <v>51</v>
      </c>
      <c r="D3426" s="1" t="s">
        <v>1667</v>
      </c>
      <c r="E3426" s="1" t="n">
        <v>1</v>
      </c>
      <c r="F3426" s="1" t="n">
        <v>30.16</v>
      </c>
      <c r="G3426" s="1" t="n">
        <v>0.2</v>
      </c>
      <c r="H3426" s="1" t="s">
        <v>1336</v>
      </c>
      <c r="I3426" s="1" t="n">
        <v>24.13</v>
      </c>
      <c r="J3426" s="1" t="str">
        <f aca="false">VLOOKUP(B3426,Customers!$A$2:$G$502,6,FALSE())</f>
        <v>Consumer</v>
      </c>
      <c r="K3426" s="1" t="str">
        <f aca="false">VLOOKUP(C3426,Products!$A$2:$E$62,3,FALSE())</f>
        <v>Software</v>
      </c>
      <c r="L3426" s="1" t="str">
        <f aca="false">TEXT(D3426,"yyyy-mm")</f>
        <v>2023-04</v>
      </c>
    </row>
    <row r="3427" customFormat="false" ht="15" hidden="false" customHeight="true" outlineLevel="0" collapsed="false">
      <c r="A3427" s="1" t="n">
        <v>3504</v>
      </c>
      <c r="B3427" s="1" t="n">
        <v>206</v>
      </c>
      <c r="C3427" s="1" t="n">
        <v>32</v>
      </c>
      <c r="D3427" s="1" t="s">
        <v>1191</v>
      </c>
      <c r="E3427" s="1" t="n">
        <v>7</v>
      </c>
      <c r="F3427" s="1" t="n">
        <v>492.27</v>
      </c>
      <c r="G3427" s="1" t="n">
        <v>0</v>
      </c>
      <c r="H3427" s="1" t="s">
        <v>1336</v>
      </c>
      <c r="I3427" s="1" t="n">
        <v>3445.89</v>
      </c>
      <c r="J3427" s="1" t="str">
        <f aca="false">VLOOKUP(B3427,Customers!$A$2:$G$502,6,FALSE())</f>
        <v>Small Business</v>
      </c>
      <c r="K3427" s="1" t="str">
        <f aca="false">VLOOKUP(C3427,Products!$A$2:$E$62,3,FALSE())</f>
        <v>Office Supplies</v>
      </c>
      <c r="L3427" s="1" t="str">
        <f aca="false">TEXT(D3427,"yyyy-mm")</f>
        <v>2023-03</v>
      </c>
    </row>
    <row r="3428" customFormat="false" ht="15" hidden="false" customHeight="true" outlineLevel="0" collapsed="false">
      <c r="A3428" s="1" t="n">
        <v>3505</v>
      </c>
      <c r="B3428" s="1" t="n">
        <v>325</v>
      </c>
      <c r="C3428" s="1" t="n">
        <v>30</v>
      </c>
      <c r="D3428" s="1" t="s">
        <v>1559</v>
      </c>
      <c r="E3428" s="1" t="n">
        <v>3</v>
      </c>
      <c r="F3428" s="1" t="n">
        <v>33.32</v>
      </c>
      <c r="G3428" s="1" t="n">
        <v>0</v>
      </c>
      <c r="H3428" s="1" t="s">
        <v>1336</v>
      </c>
      <c r="I3428" s="1" t="n">
        <v>99.96</v>
      </c>
      <c r="J3428" s="1" t="str">
        <f aca="false">VLOOKUP(B3428,Customers!$A$2:$G$502,6,FALSE())</f>
        <v>Small Business</v>
      </c>
      <c r="K3428" s="1" t="str">
        <f aca="false">VLOOKUP(C3428,Products!$A$2:$E$62,3,FALSE())</f>
        <v>Office Supplies</v>
      </c>
      <c r="L3428" s="1" t="str">
        <f aca="false">TEXT(D3428,"yyyy-mm")</f>
        <v>2023-01</v>
      </c>
    </row>
    <row r="3429" customFormat="false" ht="15" hidden="false" customHeight="true" outlineLevel="0" collapsed="false">
      <c r="A3429" s="1" t="n">
        <v>3506</v>
      </c>
      <c r="B3429" s="1" t="n">
        <v>434</v>
      </c>
      <c r="C3429" s="1" t="n">
        <v>31</v>
      </c>
      <c r="D3429" s="1" t="s">
        <v>1401</v>
      </c>
      <c r="E3429" s="1" t="n">
        <v>6</v>
      </c>
      <c r="F3429" s="1" t="n">
        <v>224.86</v>
      </c>
      <c r="G3429" s="1" t="n">
        <v>0</v>
      </c>
      <c r="H3429" s="1" t="s">
        <v>1336</v>
      </c>
      <c r="I3429" s="1" t="n">
        <v>1349.16</v>
      </c>
      <c r="J3429" s="1" t="str">
        <f aca="false">VLOOKUP(B3429,Customers!$A$2:$G$502,6,FALSE())</f>
        <v>Consumer</v>
      </c>
      <c r="K3429" s="1" t="str">
        <f aca="false">VLOOKUP(C3429,Products!$A$2:$E$62,3,FALSE())</f>
        <v>Office Supplies</v>
      </c>
      <c r="L3429" s="1" t="str">
        <f aca="false">TEXT(D3429,"yyyy-mm")</f>
        <v>2024-11</v>
      </c>
    </row>
    <row r="3430" customFormat="false" ht="15" hidden="false" customHeight="true" outlineLevel="0" collapsed="false">
      <c r="A3430" s="1" t="n">
        <v>3507</v>
      </c>
      <c r="B3430" s="1" t="n">
        <v>62</v>
      </c>
      <c r="C3430" s="1" t="n">
        <v>55</v>
      </c>
      <c r="D3430" s="1" t="s">
        <v>542</v>
      </c>
      <c r="E3430" s="1" t="n">
        <v>2</v>
      </c>
      <c r="F3430" s="1" t="n">
        <v>123.38</v>
      </c>
      <c r="G3430" s="1" t="n">
        <v>0</v>
      </c>
      <c r="H3430" s="1" t="s">
        <v>1336</v>
      </c>
      <c r="I3430" s="1" t="n">
        <v>246.76</v>
      </c>
      <c r="J3430" s="1" t="str">
        <f aca="false">VLOOKUP(B3430,Customers!$A$2:$G$502,6,FALSE())</f>
        <v>Consumer</v>
      </c>
      <c r="K3430" s="1" t="str">
        <f aca="false">VLOOKUP(C3430,Products!$A$2:$E$62,3,FALSE())</f>
        <v>Furniture</v>
      </c>
      <c r="L3430" s="1" t="str">
        <f aca="false">TEXT(D3430,"yyyy-mm")</f>
        <v>2024-07</v>
      </c>
    </row>
    <row r="3431" customFormat="false" ht="15" hidden="false" customHeight="true" outlineLevel="0" collapsed="false">
      <c r="A3431" s="1" t="n">
        <v>3508</v>
      </c>
      <c r="B3431" s="1" t="n">
        <v>77</v>
      </c>
      <c r="C3431" s="1" t="n">
        <v>37</v>
      </c>
      <c r="D3431" s="1" t="s">
        <v>194</v>
      </c>
      <c r="E3431" s="1" t="n">
        <v>9</v>
      </c>
      <c r="F3431" s="1" t="n">
        <v>13.95</v>
      </c>
      <c r="G3431" s="1" t="n">
        <v>0.2</v>
      </c>
      <c r="H3431" s="1" t="s">
        <v>1336</v>
      </c>
      <c r="I3431" s="1" t="n">
        <v>100.44</v>
      </c>
      <c r="J3431" s="1" t="str">
        <f aca="false">VLOOKUP(B3431,Customers!$A$2:$G$502,6,FALSE())</f>
        <v>Consumer</v>
      </c>
      <c r="K3431" s="1" t="str">
        <f aca="false">VLOOKUP(C3431,Products!$A$2:$E$62,3,FALSE())</f>
        <v>Software</v>
      </c>
      <c r="L3431" s="1" t="str">
        <f aca="false">TEXT(D3431,"yyyy-mm")</f>
        <v>2024-04</v>
      </c>
    </row>
    <row r="3432" customFormat="false" ht="15" hidden="false" customHeight="true" outlineLevel="0" collapsed="false">
      <c r="A3432" s="1" t="n">
        <v>3509</v>
      </c>
      <c r="B3432" s="1" t="n">
        <v>245</v>
      </c>
      <c r="C3432" s="1" t="n">
        <v>38</v>
      </c>
      <c r="D3432" s="1" t="s">
        <v>1657</v>
      </c>
      <c r="E3432" s="1" t="n">
        <v>1</v>
      </c>
      <c r="F3432" s="1" t="n">
        <v>521.63</v>
      </c>
      <c r="G3432" s="1" t="n">
        <v>0.1</v>
      </c>
      <c r="H3432" s="1" t="s">
        <v>1336</v>
      </c>
      <c r="I3432" s="1" t="n">
        <v>469.47</v>
      </c>
      <c r="J3432" s="1" t="str">
        <f aca="false">VLOOKUP(B3432,Customers!$A$2:$G$502,6,FALSE())</f>
        <v>Consumer</v>
      </c>
      <c r="K3432" s="1" t="str">
        <f aca="false">VLOOKUP(C3432,Products!$A$2:$E$62,3,FALSE())</f>
        <v>Software</v>
      </c>
      <c r="L3432" s="1" t="str">
        <f aca="false">TEXT(D3432,"yyyy-mm")</f>
        <v>2023-12</v>
      </c>
    </row>
    <row r="3433" customFormat="false" ht="15" hidden="false" customHeight="true" outlineLevel="0" collapsed="false">
      <c r="A3433" s="1" t="n">
        <v>3510</v>
      </c>
      <c r="B3433" s="1" t="n">
        <v>324</v>
      </c>
      <c r="C3433" s="1" t="n">
        <v>59</v>
      </c>
      <c r="D3433" s="1" t="s">
        <v>1487</v>
      </c>
      <c r="E3433" s="1" t="n">
        <v>6</v>
      </c>
      <c r="F3433" s="1" t="n">
        <v>438.89</v>
      </c>
      <c r="G3433" s="1" t="n">
        <v>0</v>
      </c>
      <c r="H3433" s="1" t="s">
        <v>1336</v>
      </c>
      <c r="I3433" s="1" t="n">
        <v>2633.34</v>
      </c>
      <c r="J3433" s="1" t="str">
        <f aca="false">VLOOKUP(B3433,Customers!$A$2:$G$502,6,FALSE())</f>
        <v>Consumer</v>
      </c>
      <c r="K3433" s="1" t="str">
        <f aca="false">VLOOKUP(C3433,Products!$A$2:$E$62,3,FALSE())</f>
        <v>Furniture</v>
      </c>
      <c r="L3433" s="1" t="str">
        <f aca="false">TEXT(D3433,"yyyy-mm")</f>
        <v>2024-01</v>
      </c>
    </row>
    <row r="3434" customFormat="false" ht="15" hidden="false" customHeight="true" outlineLevel="0" collapsed="false">
      <c r="A3434" s="1" t="n">
        <v>3511</v>
      </c>
      <c r="B3434" s="1" t="n">
        <v>331</v>
      </c>
      <c r="C3434" s="1" t="n">
        <v>29</v>
      </c>
      <c r="D3434" s="1" t="s">
        <v>1453</v>
      </c>
      <c r="E3434" s="1" t="n">
        <v>6</v>
      </c>
      <c r="F3434" s="1" t="n">
        <v>54.62</v>
      </c>
      <c r="G3434" s="1" t="n">
        <v>0</v>
      </c>
      <c r="H3434" s="1" t="s">
        <v>1336</v>
      </c>
      <c r="I3434" s="1" t="n">
        <v>327.72</v>
      </c>
      <c r="J3434" s="1" t="str">
        <f aca="false">VLOOKUP(B3434,Customers!$A$2:$G$502,6,FALSE())</f>
        <v>Consumer</v>
      </c>
      <c r="K3434" s="1" t="str">
        <f aca="false">VLOOKUP(C3434,Products!$A$2:$E$62,3,FALSE())</f>
        <v>Office Supplies</v>
      </c>
      <c r="L3434" s="1" t="str">
        <f aca="false">TEXT(D3434,"yyyy-mm")</f>
        <v>2023-03</v>
      </c>
    </row>
    <row r="3435" customFormat="false" ht="15" hidden="false" customHeight="true" outlineLevel="0" collapsed="false">
      <c r="A3435" s="1" t="n">
        <v>3512</v>
      </c>
      <c r="B3435" s="1" t="n">
        <v>426</v>
      </c>
      <c r="C3435" s="1" t="n">
        <v>60</v>
      </c>
      <c r="D3435" s="1" t="s">
        <v>1608</v>
      </c>
      <c r="E3435" s="1" t="n">
        <v>5</v>
      </c>
      <c r="F3435" s="1" t="n">
        <v>584.98</v>
      </c>
      <c r="G3435" s="1" t="n">
        <v>0</v>
      </c>
      <c r="H3435" s="1" t="s">
        <v>1336</v>
      </c>
      <c r="I3435" s="1" t="n">
        <v>2924.9</v>
      </c>
      <c r="J3435" s="1" t="str">
        <f aca="false">VLOOKUP(B3435,Customers!$A$2:$G$502,6,FALSE())</f>
        <v>Consumer</v>
      </c>
      <c r="K3435" s="1" t="str">
        <f aca="false">VLOOKUP(C3435,Products!$A$2:$E$62,3,FALSE())</f>
        <v>Furniture</v>
      </c>
      <c r="L3435" s="1" t="str">
        <f aca="false">TEXT(D3435,"yyyy-mm")</f>
        <v>2024-04</v>
      </c>
    </row>
    <row r="3436" customFormat="false" ht="15" hidden="false" customHeight="true" outlineLevel="0" collapsed="false">
      <c r="A3436" s="1" t="n">
        <v>3513</v>
      </c>
      <c r="B3436" s="1" t="n">
        <v>94</v>
      </c>
      <c r="C3436" s="1" t="n">
        <v>20</v>
      </c>
      <c r="D3436" s="1" t="s">
        <v>1369</v>
      </c>
      <c r="E3436" s="1" t="n">
        <v>5</v>
      </c>
      <c r="F3436" s="1" t="n">
        <v>426.15</v>
      </c>
      <c r="G3436" s="1" t="n">
        <v>0.2</v>
      </c>
      <c r="H3436" s="1" t="s">
        <v>1336</v>
      </c>
      <c r="I3436" s="1" t="n">
        <v>1704.6</v>
      </c>
      <c r="J3436" s="1" t="str">
        <f aca="false">VLOOKUP(B3436,Customers!$A$2:$G$502,6,FALSE())</f>
        <v>Small Business</v>
      </c>
      <c r="K3436" s="1" t="str">
        <f aca="false">VLOOKUP(C3436,Products!$A$2:$E$62,3,FALSE())</f>
        <v>Office Supplies</v>
      </c>
      <c r="L3436" s="1" t="str">
        <f aca="false">TEXT(D3436,"yyyy-mm")</f>
        <v>2024-07</v>
      </c>
    </row>
    <row r="3437" customFormat="false" ht="15" hidden="false" customHeight="true" outlineLevel="0" collapsed="false">
      <c r="A3437" s="1" t="n">
        <v>3514</v>
      </c>
      <c r="B3437" s="1" t="n">
        <v>178</v>
      </c>
      <c r="C3437" s="1" t="n">
        <v>39</v>
      </c>
      <c r="D3437" s="1" t="s">
        <v>1247</v>
      </c>
      <c r="E3437" s="1" t="n">
        <v>1</v>
      </c>
      <c r="F3437" s="1" t="n">
        <v>400.02</v>
      </c>
      <c r="G3437" s="1" t="n">
        <v>0.1</v>
      </c>
      <c r="H3437" s="1" t="s">
        <v>1346</v>
      </c>
      <c r="I3437" s="1" t="n">
        <v>360.02</v>
      </c>
      <c r="J3437" s="1" t="str">
        <f aca="false">VLOOKUP(B3437,Customers!$A$2:$G$502,6,FALSE())</f>
        <v>Consumer</v>
      </c>
      <c r="K3437" s="1" t="str">
        <f aca="false">VLOOKUP(C3437,Products!$A$2:$E$62,3,FALSE())</f>
        <v>Software</v>
      </c>
      <c r="L3437" s="1" t="str">
        <f aca="false">TEXT(D3437,"yyyy-mm")</f>
        <v>2023-03</v>
      </c>
    </row>
    <row r="3438" customFormat="false" ht="15" hidden="false" customHeight="true" outlineLevel="0" collapsed="false">
      <c r="A3438" s="1" t="n">
        <v>3515</v>
      </c>
      <c r="B3438" s="1" t="n">
        <v>295</v>
      </c>
      <c r="C3438" s="1" t="n">
        <v>51</v>
      </c>
      <c r="D3438" s="1" t="s">
        <v>1448</v>
      </c>
      <c r="E3438" s="1" t="n">
        <v>5</v>
      </c>
      <c r="F3438" s="1" t="n">
        <v>30.16</v>
      </c>
      <c r="G3438" s="1" t="n">
        <v>0.15</v>
      </c>
      <c r="H3438" s="1" t="s">
        <v>1336</v>
      </c>
      <c r="I3438" s="1" t="n">
        <v>128.18</v>
      </c>
      <c r="J3438" s="1" t="str">
        <f aca="false">VLOOKUP(B3438,Customers!$A$2:$G$502,6,FALSE())</f>
        <v>Small Business</v>
      </c>
      <c r="K3438" s="1" t="str">
        <f aca="false">VLOOKUP(C3438,Products!$A$2:$E$62,3,FALSE())</f>
        <v>Software</v>
      </c>
      <c r="L3438" s="1" t="str">
        <f aca="false">TEXT(D3438,"yyyy-mm")</f>
        <v>2024-04</v>
      </c>
    </row>
    <row r="3439" customFormat="false" ht="15" hidden="false" customHeight="true" outlineLevel="0" collapsed="false">
      <c r="A3439" s="1" t="n">
        <v>3516</v>
      </c>
      <c r="B3439" s="1" t="n">
        <v>237</v>
      </c>
      <c r="C3439" s="1" t="n">
        <v>31</v>
      </c>
      <c r="D3439" s="1" t="s">
        <v>1398</v>
      </c>
      <c r="E3439" s="1" t="n">
        <v>2</v>
      </c>
      <c r="F3439" s="1" t="n">
        <v>224.86</v>
      </c>
      <c r="G3439" s="1" t="n">
        <v>0.2</v>
      </c>
      <c r="H3439" s="1" t="s">
        <v>1336</v>
      </c>
      <c r="I3439" s="1" t="n">
        <v>359.78</v>
      </c>
      <c r="J3439" s="1" t="str">
        <f aca="false">VLOOKUP(B3439,Customers!$A$2:$G$502,6,FALSE())</f>
        <v>Consumer</v>
      </c>
      <c r="K3439" s="1" t="str">
        <f aca="false">VLOOKUP(C3439,Products!$A$2:$E$62,3,FALSE())</f>
        <v>Office Supplies</v>
      </c>
      <c r="L3439" s="1" t="str">
        <f aca="false">TEXT(D3439,"yyyy-mm")</f>
        <v>2023-06</v>
      </c>
    </row>
    <row r="3440" customFormat="false" ht="15" hidden="false" customHeight="true" outlineLevel="0" collapsed="false">
      <c r="A3440" s="1" t="n">
        <v>3517</v>
      </c>
      <c r="B3440" s="1" t="n">
        <v>176</v>
      </c>
      <c r="C3440" s="1" t="n">
        <v>56</v>
      </c>
      <c r="D3440" s="1" t="s">
        <v>1406</v>
      </c>
      <c r="E3440" s="1" t="n">
        <v>7</v>
      </c>
      <c r="F3440" s="1" t="n">
        <v>160.64</v>
      </c>
      <c r="G3440" s="1" t="n">
        <v>0.1</v>
      </c>
      <c r="H3440" s="1" t="s">
        <v>1346</v>
      </c>
      <c r="I3440" s="1" t="n">
        <v>1012.03</v>
      </c>
      <c r="J3440" s="1" t="str">
        <f aca="false">VLOOKUP(B3440,Customers!$A$2:$G$502,6,FALSE())</f>
        <v>Corporate</v>
      </c>
      <c r="K3440" s="1" t="str">
        <f aca="false">VLOOKUP(C3440,Products!$A$2:$E$62,3,FALSE())</f>
        <v>Furniture</v>
      </c>
      <c r="L3440" s="1" t="str">
        <f aca="false">TEXT(D3440,"yyyy-mm")</f>
        <v>2023-11</v>
      </c>
    </row>
    <row r="3441" customFormat="false" ht="15" hidden="false" customHeight="true" outlineLevel="0" collapsed="false">
      <c r="A3441" s="1" t="n">
        <v>3518</v>
      </c>
      <c r="B3441" s="1" t="n">
        <v>193</v>
      </c>
      <c r="C3441" s="1" t="n">
        <v>24</v>
      </c>
      <c r="D3441" s="1" t="s">
        <v>1446</v>
      </c>
      <c r="E3441" s="1" t="n">
        <v>3</v>
      </c>
      <c r="F3441" s="1" t="n">
        <v>207.34</v>
      </c>
      <c r="G3441" s="1" t="n">
        <v>0</v>
      </c>
      <c r="H3441" s="1" t="s">
        <v>1336</v>
      </c>
      <c r="I3441" s="1" t="n">
        <v>622.02</v>
      </c>
      <c r="J3441" s="1" t="str">
        <f aca="false">VLOOKUP(B3441,Customers!$A$2:$G$502,6,FALSE())</f>
        <v>Consumer</v>
      </c>
      <c r="K3441" s="1" t="str">
        <f aca="false">VLOOKUP(C3441,Products!$A$2:$E$62,3,FALSE())</f>
        <v>Office Supplies</v>
      </c>
      <c r="L3441" s="1" t="str">
        <f aca="false">TEXT(D3441,"yyyy-mm")</f>
        <v>2024-05</v>
      </c>
    </row>
    <row r="3442" customFormat="false" ht="15" hidden="false" customHeight="true" outlineLevel="0" collapsed="false">
      <c r="A3442" s="1" t="n">
        <v>3519</v>
      </c>
      <c r="B3442" s="1" t="n">
        <v>458</v>
      </c>
      <c r="C3442" s="1" t="n">
        <v>34</v>
      </c>
      <c r="D3442" s="1" t="s">
        <v>482</v>
      </c>
      <c r="E3442" s="1" t="n">
        <v>4</v>
      </c>
      <c r="F3442" s="1" t="n">
        <v>116.85</v>
      </c>
      <c r="G3442" s="1" t="n">
        <v>0.15</v>
      </c>
      <c r="H3442" s="1" t="s">
        <v>1336</v>
      </c>
      <c r="I3442" s="1" t="n">
        <v>397.29</v>
      </c>
      <c r="J3442" s="1" t="str">
        <f aca="false">VLOOKUP(B3442,Customers!$A$2:$G$502,6,FALSE())</f>
        <v>Small Business</v>
      </c>
      <c r="K3442" s="1" t="str">
        <f aca="false">VLOOKUP(C3442,Products!$A$2:$E$62,3,FALSE())</f>
        <v>Office Supplies</v>
      </c>
      <c r="L3442" s="1" t="str">
        <f aca="false">TEXT(D3442,"yyyy-mm")</f>
        <v>2024-11</v>
      </c>
    </row>
    <row r="3443" customFormat="false" ht="15" hidden="false" customHeight="true" outlineLevel="0" collapsed="false">
      <c r="A3443" s="1" t="n">
        <v>3520</v>
      </c>
      <c r="B3443" s="1" t="n">
        <v>413</v>
      </c>
      <c r="C3443" s="1" t="n">
        <v>15</v>
      </c>
      <c r="D3443" s="1" t="s">
        <v>1691</v>
      </c>
      <c r="E3443" s="1" t="n">
        <v>3</v>
      </c>
      <c r="F3443" s="1" t="n">
        <v>304.95</v>
      </c>
      <c r="G3443" s="1" t="n">
        <v>0.1</v>
      </c>
      <c r="H3443" s="1" t="s">
        <v>1336</v>
      </c>
      <c r="I3443" s="1" t="n">
        <v>823.36</v>
      </c>
      <c r="J3443" s="1" t="str">
        <f aca="false">VLOOKUP(B3443,Customers!$A$2:$G$502,6,FALSE())</f>
        <v>Small Business</v>
      </c>
      <c r="K3443" s="1" t="str">
        <f aca="false">VLOOKUP(C3443,Products!$A$2:$E$62,3,FALSE())</f>
        <v>Electronics</v>
      </c>
      <c r="L3443" s="1" t="str">
        <f aca="false">TEXT(D3443,"yyyy-mm")</f>
        <v>2023-10</v>
      </c>
    </row>
    <row r="3444" customFormat="false" ht="15" hidden="false" customHeight="true" outlineLevel="0" collapsed="false">
      <c r="A3444" s="1" t="n">
        <v>3521</v>
      </c>
      <c r="B3444" s="1" t="n">
        <v>443</v>
      </c>
      <c r="C3444" s="1" t="n">
        <v>27</v>
      </c>
      <c r="D3444" s="1" t="s">
        <v>1634</v>
      </c>
      <c r="E3444" s="1" t="n">
        <v>3</v>
      </c>
      <c r="F3444" s="1" t="n">
        <v>772.58</v>
      </c>
      <c r="G3444" s="1" t="n">
        <v>0.15</v>
      </c>
      <c r="H3444" s="1" t="s">
        <v>1336</v>
      </c>
      <c r="I3444" s="1" t="n">
        <v>1970.08</v>
      </c>
      <c r="J3444" s="1" t="str">
        <f aca="false">VLOOKUP(B3444,Customers!$A$2:$G$502,6,FALSE())</f>
        <v>Consumer</v>
      </c>
      <c r="K3444" s="1" t="str">
        <f aca="false">VLOOKUP(C3444,Products!$A$2:$E$62,3,FALSE())</f>
        <v>Office Supplies</v>
      </c>
      <c r="L3444" s="1" t="str">
        <f aca="false">TEXT(D3444,"yyyy-mm")</f>
        <v>2023-02</v>
      </c>
    </row>
    <row r="3445" customFormat="false" ht="15" hidden="false" customHeight="true" outlineLevel="0" collapsed="false">
      <c r="A3445" s="1" t="n">
        <v>3522</v>
      </c>
      <c r="B3445" s="1" t="n">
        <v>215</v>
      </c>
      <c r="C3445" s="1" t="n">
        <v>45</v>
      </c>
      <c r="D3445" s="1" t="s">
        <v>1394</v>
      </c>
      <c r="E3445" s="1" t="n">
        <v>4</v>
      </c>
      <c r="F3445" s="1" t="n">
        <v>560.01</v>
      </c>
      <c r="G3445" s="1" t="n">
        <v>0.05</v>
      </c>
      <c r="H3445" s="1" t="s">
        <v>1336</v>
      </c>
      <c r="I3445" s="1" t="n">
        <v>2128.04</v>
      </c>
      <c r="J3445" s="1" t="str">
        <f aca="false">VLOOKUP(B3445,Customers!$A$2:$G$502,6,FALSE())</f>
        <v>Corporate</v>
      </c>
      <c r="K3445" s="1" t="str">
        <f aca="false">VLOOKUP(C3445,Products!$A$2:$E$62,3,FALSE())</f>
        <v>Software</v>
      </c>
      <c r="L3445" s="1" t="str">
        <f aca="false">TEXT(D3445,"yyyy-mm")</f>
        <v>2023-12</v>
      </c>
    </row>
    <row r="3446" customFormat="false" ht="15" hidden="false" customHeight="true" outlineLevel="0" collapsed="false">
      <c r="A3446" s="1" t="n">
        <v>3523</v>
      </c>
      <c r="B3446" s="1" t="n">
        <v>196</v>
      </c>
      <c r="C3446" s="1" t="n">
        <v>45</v>
      </c>
      <c r="D3446" s="1" t="s">
        <v>952</v>
      </c>
      <c r="E3446" s="1" t="n">
        <v>5</v>
      </c>
      <c r="F3446" s="1" t="n">
        <v>560.01</v>
      </c>
      <c r="G3446" s="1" t="n">
        <v>0.2</v>
      </c>
      <c r="H3446" s="1" t="s">
        <v>1336</v>
      </c>
      <c r="I3446" s="1" t="n">
        <v>2240.04</v>
      </c>
      <c r="J3446" s="1" t="str">
        <f aca="false">VLOOKUP(B3446,Customers!$A$2:$G$502,6,FALSE())</f>
        <v>Corporate</v>
      </c>
      <c r="K3446" s="1" t="str">
        <f aca="false">VLOOKUP(C3446,Products!$A$2:$E$62,3,FALSE())</f>
        <v>Software</v>
      </c>
      <c r="L3446" s="1" t="str">
        <f aca="false">TEXT(D3446,"yyyy-mm")</f>
        <v>2024-12</v>
      </c>
    </row>
    <row r="3447" customFormat="false" ht="15" hidden="false" customHeight="true" outlineLevel="0" collapsed="false">
      <c r="A3447" s="1" t="n">
        <v>3524</v>
      </c>
      <c r="B3447" s="1" t="n">
        <v>114</v>
      </c>
      <c r="C3447" s="1" t="n">
        <v>27</v>
      </c>
      <c r="D3447" s="1" t="s">
        <v>1359</v>
      </c>
      <c r="E3447" s="1" t="n">
        <v>1</v>
      </c>
      <c r="F3447" s="1" t="n">
        <v>772.58</v>
      </c>
      <c r="G3447" s="1" t="n">
        <v>0</v>
      </c>
      <c r="H3447" s="1" t="s">
        <v>1336</v>
      </c>
      <c r="I3447" s="1" t="n">
        <v>772.58</v>
      </c>
      <c r="J3447" s="1" t="str">
        <f aca="false">VLOOKUP(B3447,Customers!$A$2:$G$502,6,FALSE())</f>
        <v>Consumer</v>
      </c>
      <c r="K3447" s="1" t="str">
        <f aca="false">VLOOKUP(C3447,Products!$A$2:$E$62,3,FALSE())</f>
        <v>Office Supplies</v>
      </c>
      <c r="L3447" s="1" t="str">
        <f aca="false">TEXT(D3447,"yyyy-mm")</f>
        <v>2024-09</v>
      </c>
    </row>
    <row r="3448" customFormat="false" ht="15" hidden="false" customHeight="true" outlineLevel="0" collapsed="false">
      <c r="A3448" s="1" t="n">
        <v>3525</v>
      </c>
      <c r="B3448" s="1" t="n">
        <v>426</v>
      </c>
      <c r="C3448" s="1" t="n">
        <v>41</v>
      </c>
      <c r="D3448" s="1" t="s">
        <v>1674</v>
      </c>
      <c r="E3448" s="1" t="n">
        <v>4</v>
      </c>
      <c r="F3448" s="1" t="n">
        <v>594.54</v>
      </c>
      <c r="G3448" s="1" t="n">
        <v>0</v>
      </c>
      <c r="H3448" s="1" t="s">
        <v>1336</v>
      </c>
      <c r="I3448" s="1" t="n">
        <v>2378.16</v>
      </c>
      <c r="J3448" s="1" t="str">
        <f aca="false">VLOOKUP(B3448,Customers!$A$2:$G$502,6,FALSE())</f>
        <v>Consumer</v>
      </c>
      <c r="K3448" s="1" t="str">
        <f aca="false">VLOOKUP(C3448,Products!$A$2:$E$62,3,FALSE())</f>
        <v>Software</v>
      </c>
      <c r="L3448" s="1" t="str">
        <f aca="false">TEXT(D3448,"yyyy-mm")</f>
        <v>2023-03</v>
      </c>
    </row>
    <row r="3449" customFormat="false" ht="15" hidden="false" customHeight="true" outlineLevel="0" collapsed="false">
      <c r="A3449" s="1" t="n">
        <v>3526</v>
      </c>
      <c r="B3449" s="1" t="n">
        <v>59</v>
      </c>
      <c r="C3449" s="1" t="n">
        <v>49</v>
      </c>
      <c r="D3449" s="1" t="s">
        <v>1555</v>
      </c>
      <c r="E3449" s="1" t="n">
        <v>8</v>
      </c>
      <c r="F3449" s="1" t="n">
        <v>325.17</v>
      </c>
      <c r="G3449" s="1" t="n">
        <v>0</v>
      </c>
      <c r="H3449" s="1" t="s">
        <v>1336</v>
      </c>
      <c r="I3449" s="1" t="n">
        <v>2601.36</v>
      </c>
      <c r="J3449" s="1" t="str">
        <f aca="false">VLOOKUP(B3449,Customers!$A$2:$G$502,6,FALSE())</f>
        <v>Corporate</v>
      </c>
      <c r="K3449" s="1" t="str">
        <f aca="false">VLOOKUP(C3449,Products!$A$2:$E$62,3,FALSE())</f>
        <v>Software</v>
      </c>
      <c r="L3449" s="1" t="str">
        <f aca="false">TEXT(D3449,"yyyy-mm")</f>
        <v>2024-04</v>
      </c>
    </row>
    <row r="3450" customFormat="false" ht="15" hidden="false" customHeight="true" outlineLevel="0" collapsed="false">
      <c r="A3450" s="1" t="n">
        <v>3527</v>
      </c>
      <c r="B3450" s="1" t="n">
        <v>492</v>
      </c>
      <c r="C3450" s="1" t="n">
        <v>56</v>
      </c>
      <c r="D3450" s="1" t="s">
        <v>325</v>
      </c>
      <c r="E3450" s="1" t="n">
        <v>7</v>
      </c>
      <c r="F3450" s="1" t="n">
        <v>160.64</v>
      </c>
      <c r="G3450" s="1" t="n">
        <v>0.05</v>
      </c>
      <c r="H3450" s="1" t="s">
        <v>1336</v>
      </c>
      <c r="I3450" s="1" t="n">
        <v>1068.26</v>
      </c>
      <c r="J3450" s="1" t="str">
        <f aca="false">VLOOKUP(B3450,Customers!$A$2:$G$502,6,FALSE())</f>
        <v>Consumer</v>
      </c>
      <c r="K3450" s="1" t="str">
        <f aca="false">VLOOKUP(C3450,Products!$A$2:$E$62,3,FALSE())</f>
        <v>Furniture</v>
      </c>
      <c r="L3450" s="1" t="str">
        <f aca="false">TEXT(D3450,"yyyy-mm")</f>
        <v>2023-12</v>
      </c>
    </row>
    <row r="3451" customFormat="false" ht="15" hidden="false" customHeight="true" outlineLevel="0" collapsed="false">
      <c r="A3451" s="1" t="n">
        <v>3528</v>
      </c>
      <c r="B3451" s="1" t="n">
        <v>268</v>
      </c>
      <c r="C3451" s="1" t="n">
        <v>18</v>
      </c>
      <c r="D3451" s="1" t="s">
        <v>81</v>
      </c>
      <c r="E3451" s="1" t="n">
        <v>9</v>
      </c>
      <c r="F3451" s="1" t="n">
        <v>747.34</v>
      </c>
      <c r="G3451" s="1" t="n">
        <v>0.1</v>
      </c>
      <c r="H3451" s="1" t="s">
        <v>1336</v>
      </c>
      <c r="I3451" s="1" t="n">
        <v>6053.45</v>
      </c>
      <c r="J3451" s="1" t="str">
        <f aca="false">VLOOKUP(B3451,Customers!$A$2:$G$502,6,FALSE())</f>
        <v>Small Business</v>
      </c>
      <c r="K3451" s="1" t="str">
        <f aca="false">VLOOKUP(C3451,Products!$A$2:$E$62,3,FALSE())</f>
        <v>Electronics</v>
      </c>
      <c r="L3451" s="1" t="str">
        <f aca="false">TEXT(D3451,"yyyy-mm")</f>
        <v>2023-05</v>
      </c>
    </row>
    <row r="3452" customFormat="false" ht="15" hidden="false" customHeight="true" outlineLevel="0" collapsed="false">
      <c r="A3452" s="1" t="n">
        <v>3529</v>
      </c>
      <c r="B3452" s="1" t="n">
        <v>378</v>
      </c>
      <c r="C3452" s="1" t="n">
        <v>18</v>
      </c>
      <c r="D3452" s="1" t="s">
        <v>671</v>
      </c>
      <c r="E3452" s="1" t="n">
        <v>5</v>
      </c>
      <c r="F3452" s="1" t="n">
        <v>747.34</v>
      </c>
      <c r="G3452" s="1" t="n">
        <v>0.2</v>
      </c>
      <c r="H3452" s="1" t="s">
        <v>1336</v>
      </c>
      <c r="I3452" s="1" t="n">
        <v>2989.36</v>
      </c>
      <c r="J3452" s="1" t="str">
        <f aca="false">VLOOKUP(B3452,Customers!$A$2:$G$502,6,FALSE())</f>
        <v>Small Business</v>
      </c>
      <c r="K3452" s="1" t="str">
        <f aca="false">VLOOKUP(C3452,Products!$A$2:$E$62,3,FALSE())</f>
        <v>Electronics</v>
      </c>
      <c r="L3452" s="1" t="str">
        <f aca="false">TEXT(D3452,"yyyy-mm")</f>
        <v>2024-04</v>
      </c>
    </row>
    <row r="3453" customFormat="false" ht="15" hidden="false" customHeight="true" outlineLevel="0" collapsed="false">
      <c r="A3453" s="1" t="n">
        <v>3530</v>
      </c>
      <c r="B3453" s="1" t="n">
        <v>407</v>
      </c>
      <c r="C3453" s="1" t="n">
        <v>49</v>
      </c>
      <c r="D3453" s="1" t="s">
        <v>1162</v>
      </c>
      <c r="E3453" s="1" t="n">
        <v>4</v>
      </c>
      <c r="F3453" s="1" t="n">
        <v>325.17</v>
      </c>
      <c r="G3453" s="1" t="n">
        <v>0.2</v>
      </c>
      <c r="H3453" s="1" t="s">
        <v>1336</v>
      </c>
      <c r="I3453" s="1" t="n">
        <v>1040.54</v>
      </c>
      <c r="J3453" s="1" t="str">
        <f aca="false">VLOOKUP(B3453,Customers!$A$2:$G$502,6,FALSE())</f>
        <v>Consumer</v>
      </c>
      <c r="K3453" s="1" t="str">
        <f aca="false">VLOOKUP(C3453,Products!$A$2:$E$62,3,FALSE())</f>
        <v>Software</v>
      </c>
      <c r="L3453" s="1" t="str">
        <f aca="false">TEXT(D3453,"yyyy-mm")</f>
        <v>2024-10</v>
      </c>
    </row>
    <row r="3454" customFormat="false" ht="15" hidden="false" customHeight="true" outlineLevel="0" collapsed="false">
      <c r="A3454" s="1" t="n">
        <v>3531</v>
      </c>
      <c r="B3454" s="1" t="n">
        <v>404</v>
      </c>
      <c r="C3454" s="1" t="n">
        <v>31</v>
      </c>
      <c r="D3454" s="1" t="s">
        <v>874</v>
      </c>
      <c r="E3454" s="1" t="n">
        <v>8</v>
      </c>
      <c r="F3454" s="1" t="n">
        <v>224.86</v>
      </c>
      <c r="G3454" s="1" t="n">
        <v>0</v>
      </c>
      <c r="H3454" s="1" t="s">
        <v>1336</v>
      </c>
      <c r="I3454" s="1" t="n">
        <v>1798.88</v>
      </c>
      <c r="J3454" s="1" t="str">
        <f aca="false">VLOOKUP(B3454,Customers!$A$2:$G$502,6,FALSE())</f>
        <v>Corporate</v>
      </c>
      <c r="K3454" s="1" t="str">
        <f aca="false">VLOOKUP(C3454,Products!$A$2:$E$62,3,FALSE())</f>
        <v>Office Supplies</v>
      </c>
      <c r="L3454" s="1" t="str">
        <f aca="false">TEXT(D3454,"yyyy-mm")</f>
        <v>2023-03</v>
      </c>
    </row>
    <row r="3455" customFormat="false" ht="15" hidden="false" customHeight="true" outlineLevel="0" collapsed="false">
      <c r="A3455" s="1" t="n">
        <v>3532</v>
      </c>
      <c r="B3455" s="1" t="n">
        <v>394</v>
      </c>
      <c r="C3455" s="1" t="n">
        <v>59</v>
      </c>
      <c r="D3455" s="1" t="s">
        <v>47</v>
      </c>
      <c r="E3455" s="1" t="n">
        <v>9</v>
      </c>
      <c r="F3455" s="1" t="n">
        <v>438.89</v>
      </c>
      <c r="G3455" s="1" t="n">
        <v>0.15</v>
      </c>
      <c r="H3455" s="1" t="s">
        <v>1336</v>
      </c>
      <c r="I3455" s="1" t="n">
        <v>3357.51</v>
      </c>
      <c r="J3455" s="1" t="str">
        <f aca="false">VLOOKUP(B3455,Customers!$A$2:$G$502,6,FALSE())</f>
        <v>Corporate</v>
      </c>
      <c r="K3455" s="1" t="str">
        <f aca="false">VLOOKUP(C3455,Products!$A$2:$E$62,3,FALSE())</f>
        <v>Furniture</v>
      </c>
      <c r="L3455" s="1" t="str">
        <f aca="false">TEXT(D3455,"yyyy-mm")</f>
        <v>2023-06</v>
      </c>
    </row>
    <row r="3456" customFormat="false" ht="15" hidden="false" customHeight="true" outlineLevel="0" collapsed="false">
      <c r="A3456" s="1" t="n">
        <v>3533</v>
      </c>
      <c r="B3456" s="1" t="n">
        <v>22</v>
      </c>
      <c r="C3456" s="1" t="n">
        <v>47</v>
      </c>
      <c r="D3456" s="1" t="s">
        <v>1380</v>
      </c>
      <c r="E3456" s="1" t="n">
        <v>7</v>
      </c>
      <c r="F3456" s="1" t="n">
        <v>506.19</v>
      </c>
      <c r="G3456" s="1" t="n">
        <v>0</v>
      </c>
      <c r="H3456" s="1" t="s">
        <v>1336</v>
      </c>
      <c r="I3456" s="1" t="n">
        <v>3543.33</v>
      </c>
      <c r="J3456" s="1" t="str">
        <f aca="false">VLOOKUP(B3456,Customers!$A$2:$G$502,6,FALSE())</f>
        <v>Consumer</v>
      </c>
      <c r="K3456" s="1" t="str">
        <f aca="false">VLOOKUP(C3456,Products!$A$2:$E$62,3,FALSE())</f>
        <v>Software</v>
      </c>
      <c r="L3456" s="1" t="str">
        <f aca="false">TEXT(D3456,"yyyy-mm")</f>
        <v>2023-07</v>
      </c>
    </row>
    <row r="3457" customFormat="false" ht="15" hidden="false" customHeight="true" outlineLevel="0" collapsed="false">
      <c r="A3457" s="1" t="n">
        <v>3534</v>
      </c>
      <c r="B3457" s="1" t="n">
        <v>29</v>
      </c>
      <c r="C3457" s="1" t="n">
        <v>28</v>
      </c>
      <c r="D3457" s="1" t="s">
        <v>689</v>
      </c>
      <c r="E3457" s="1" t="n">
        <v>7</v>
      </c>
      <c r="F3457" s="1" t="n">
        <v>505.23</v>
      </c>
      <c r="G3457" s="1" t="n">
        <v>0.2</v>
      </c>
      <c r="H3457" s="1" t="s">
        <v>1336</v>
      </c>
      <c r="I3457" s="1" t="n">
        <v>2829.29</v>
      </c>
      <c r="J3457" s="1" t="str">
        <f aca="false">VLOOKUP(B3457,Customers!$A$2:$G$502,6,FALSE())</f>
        <v>Small Business</v>
      </c>
      <c r="K3457" s="1" t="str">
        <f aca="false">VLOOKUP(C3457,Products!$A$2:$E$62,3,FALSE())</f>
        <v>Office Supplies</v>
      </c>
      <c r="L3457" s="1" t="str">
        <f aca="false">TEXT(D3457,"yyyy-mm")</f>
        <v>2023-11</v>
      </c>
    </row>
    <row r="3458" customFormat="false" ht="15" hidden="false" customHeight="true" outlineLevel="0" collapsed="false">
      <c r="A3458" s="1" t="n">
        <v>3535</v>
      </c>
      <c r="B3458" s="1" t="n">
        <v>75</v>
      </c>
      <c r="C3458" s="1" t="n">
        <v>29</v>
      </c>
      <c r="D3458" s="1" t="s">
        <v>1544</v>
      </c>
      <c r="E3458" s="1" t="n">
        <v>5</v>
      </c>
      <c r="F3458" s="1" t="n">
        <v>54.62</v>
      </c>
      <c r="G3458" s="1" t="n">
        <v>0.05</v>
      </c>
      <c r="H3458" s="1" t="s">
        <v>1336</v>
      </c>
      <c r="I3458" s="1" t="n">
        <v>259.44</v>
      </c>
      <c r="J3458" s="1" t="str">
        <f aca="false">VLOOKUP(B3458,Customers!$A$2:$G$502,6,FALSE())</f>
        <v>Consumer</v>
      </c>
      <c r="K3458" s="1" t="str">
        <f aca="false">VLOOKUP(C3458,Products!$A$2:$E$62,3,FALSE())</f>
        <v>Office Supplies</v>
      </c>
      <c r="L3458" s="1" t="str">
        <f aca="false">TEXT(D3458,"yyyy-mm")</f>
        <v>2024-05</v>
      </c>
    </row>
    <row r="3459" customFormat="false" ht="15" hidden="false" customHeight="true" outlineLevel="0" collapsed="false">
      <c r="A3459" s="1" t="n">
        <v>3536</v>
      </c>
      <c r="B3459" s="1" t="n">
        <v>481</v>
      </c>
      <c r="C3459" s="1" t="n">
        <v>4</v>
      </c>
      <c r="D3459" s="1" t="s">
        <v>1530</v>
      </c>
      <c r="E3459" s="1" t="n">
        <v>4</v>
      </c>
      <c r="F3459" s="1" t="n">
        <v>56.24</v>
      </c>
      <c r="G3459" s="1" t="n">
        <v>0</v>
      </c>
      <c r="H3459" s="1" t="s">
        <v>1336</v>
      </c>
      <c r="I3459" s="1" t="n">
        <v>224.96</v>
      </c>
      <c r="J3459" s="1" t="str">
        <f aca="false">VLOOKUP(B3459,Customers!$A$2:$G$502,6,FALSE())</f>
        <v>Small Business</v>
      </c>
      <c r="K3459" s="1" t="str">
        <f aca="false">VLOOKUP(C3459,Products!$A$2:$E$62,3,FALSE())</f>
        <v>Electronics</v>
      </c>
      <c r="L3459" s="1" t="str">
        <f aca="false">TEXT(D3459,"yyyy-mm")</f>
        <v>2023-10</v>
      </c>
    </row>
    <row r="3460" customFormat="false" ht="15" hidden="false" customHeight="true" outlineLevel="0" collapsed="false">
      <c r="A3460" s="1" t="n">
        <v>3537</v>
      </c>
      <c r="B3460" s="1" t="n">
        <v>371</v>
      </c>
      <c r="C3460" s="1" t="n">
        <v>46</v>
      </c>
      <c r="D3460" s="1" t="s">
        <v>390</v>
      </c>
      <c r="E3460" s="1" t="n">
        <v>1</v>
      </c>
      <c r="F3460" s="1" t="n">
        <v>94.92</v>
      </c>
      <c r="G3460" s="1" t="n">
        <v>0.15</v>
      </c>
      <c r="H3460" s="1" t="s">
        <v>1336</v>
      </c>
      <c r="I3460" s="1" t="n">
        <v>80.68</v>
      </c>
      <c r="J3460" s="1" t="str">
        <f aca="false">VLOOKUP(B3460,Customers!$A$2:$G$502,6,FALSE())</f>
        <v>Unknown</v>
      </c>
      <c r="K3460" s="1" t="str">
        <f aca="false">VLOOKUP(C3460,Products!$A$2:$E$62,3,FALSE())</f>
        <v>Software</v>
      </c>
      <c r="L3460" s="1" t="str">
        <f aca="false">TEXT(D3460,"yyyy-mm")</f>
        <v>2023-03</v>
      </c>
    </row>
    <row r="3461" customFormat="false" ht="15" hidden="false" customHeight="true" outlineLevel="0" collapsed="false">
      <c r="A3461" s="1" t="n">
        <v>3538</v>
      </c>
      <c r="B3461" s="1" t="n">
        <v>293</v>
      </c>
      <c r="C3461" s="1" t="n">
        <v>15</v>
      </c>
      <c r="D3461" s="1" t="s">
        <v>1507</v>
      </c>
      <c r="E3461" s="1" t="n">
        <v>7</v>
      </c>
      <c r="F3461" s="1" t="n">
        <v>304.95</v>
      </c>
      <c r="G3461" s="1" t="n">
        <v>0</v>
      </c>
      <c r="H3461" s="1" t="s">
        <v>1336</v>
      </c>
      <c r="I3461" s="1" t="n">
        <v>2134.65</v>
      </c>
      <c r="J3461" s="1" t="str">
        <f aca="false">VLOOKUP(B3461,Customers!$A$2:$G$502,6,FALSE())</f>
        <v>Small Business</v>
      </c>
      <c r="K3461" s="1" t="str">
        <f aca="false">VLOOKUP(C3461,Products!$A$2:$E$62,3,FALSE())</f>
        <v>Electronics</v>
      </c>
      <c r="L3461" s="1" t="str">
        <f aca="false">TEXT(D3461,"yyyy-mm")</f>
        <v>2024-09</v>
      </c>
    </row>
    <row r="3462" customFormat="false" ht="15" hidden="false" customHeight="true" outlineLevel="0" collapsed="false">
      <c r="A3462" s="1" t="n">
        <v>3539</v>
      </c>
      <c r="B3462" s="1" t="n">
        <v>142</v>
      </c>
      <c r="C3462" s="1" t="n">
        <v>21</v>
      </c>
      <c r="D3462" s="1" t="s">
        <v>1392</v>
      </c>
      <c r="E3462" s="1" t="n">
        <v>1</v>
      </c>
      <c r="F3462" s="1" t="n">
        <v>84.91</v>
      </c>
      <c r="G3462" s="1" t="n">
        <v>0.15</v>
      </c>
      <c r="H3462" s="1" t="s">
        <v>1336</v>
      </c>
      <c r="I3462" s="1" t="n">
        <v>72.17</v>
      </c>
      <c r="J3462" s="1" t="str">
        <f aca="false">VLOOKUP(B3462,Customers!$A$2:$G$502,6,FALSE())</f>
        <v>Small Business</v>
      </c>
      <c r="K3462" s="1" t="str">
        <f aca="false">VLOOKUP(C3462,Products!$A$2:$E$62,3,FALSE())</f>
        <v>Office Supplies</v>
      </c>
      <c r="L3462" s="1" t="str">
        <f aca="false">TEXT(D3462,"yyyy-mm")</f>
        <v>2023-08</v>
      </c>
    </row>
    <row r="3463" customFormat="false" ht="15" hidden="false" customHeight="true" outlineLevel="0" collapsed="false">
      <c r="A3463" s="1" t="n">
        <v>3540</v>
      </c>
      <c r="B3463" s="1" t="n">
        <v>178</v>
      </c>
      <c r="C3463" s="1" t="n">
        <v>12</v>
      </c>
      <c r="D3463" s="1" t="s">
        <v>704</v>
      </c>
      <c r="E3463" s="1" t="n">
        <v>1</v>
      </c>
      <c r="F3463" s="1" t="n">
        <v>179.23</v>
      </c>
      <c r="G3463" s="1" t="n">
        <v>0.05</v>
      </c>
      <c r="H3463" s="1" t="s">
        <v>1336</v>
      </c>
      <c r="I3463" s="1" t="n">
        <v>170.27</v>
      </c>
      <c r="J3463" s="1" t="str">
        <f aca="false">VLOOKUP(B3463,Customers!$A$2:$G$502,6,FALSE())</f>
        <v>Consumer</v>
      </c>
      <c r="K3463" s="1" t="str">
        <f aca="false">VLOOKUP(C3463,Products!$A$2:$E$62,3,FALSE())</f>
        <v>Electronics</v>
      </c>
      <c r="L3463" s="1" t="str">
        <f aca="false">TEXT(D3463,"yyyy-mm")</f>
        <v>2024-06</v>
      </c>
    </row>
    <row r="3464" customFormat="false" ht="15" hidden="false" customHeight="true" outlineLevel="0" collapsed="false">
      <c r="A3464" s="1" t="n">
        <v>3541</v>
      </c>
      <c r="B3464" s="1" t="n">
        <v>409</v>
      </c>
      <c r="C3464" s="1" t="n">
        <v>53</v>
      </c>
      <c r="D3464" s="1" t="s">
        <v>1133</v>
      </c>
      <c r="E3464" s="1" t="n">
        <v>5</v>
      </c>
      <c r="F3464" s="1" t="n">
        <v>509.98</v>
      </c>
      <c r="G3464" s="1" t="n">
        <v>0</v>
      </c>
      <c r="H3464" s="1" t="s">
        <v>1346</v>
      </c>
      <c r="I3464" s="1" t="n">
        <v>2549.9</v>
      </c>
      <c r="J3464" s="1" t="str">
        <f aca="false">VLOOKUP(B3464,Customers!$A$2:$G$502,6,FALSE())</f>
        <v>Small Business</v>
      </c>
      <c r="K3464" s="1" t="str">
        <f aca="false">VLOOKUP(C3464,Products!$A$2:$E$62,3,FALSE())</f>
        <v>Software</v>
      </c>
      <c r="L3464" s="1" t="str">
        <f aca="false">TEXT(D3464,"yyyy-mm")</f>
        <v>2024-06</v>
      </c>
    </row>
    <row r="3465" customFormat="false" ht="15" hidden="false" customHeight="true" outlineLevel="0" collapsed="false">
      <c r="A3465" s="1" t="n">
        <v>3542</v>
      </c>
      <c r="B3465" s="1" t="n">
        <v>175</v>
      </c>
      <c r="C3465" s="1" t="n">
        <v>16</v>
      </c>
      <c r="D3465" s="1" t="s">
        <v>1216</v>
      </c>
      <c r="E3465" s="1" t="n">
        <v>9</v>
      </c>
      <c r="F3465" s="1" t="n">
        <v>330.91</v>
      </c>
      <c r="G3465" s="1" t="n">
        <v>0.2</v>
      </c>
      <c r="H3465" s="1" t="s">
        <v>1336</v>
      </c>
      <c r="I3465" s="1" t="n">
        <v>2382.55</v>
      </c>
      <c r="J3465" s="1" t="str">
        <f aca="false">VLOOKUP(B3465,Customers!$A$2:$G$502,6,FALSE())</f>
        <v>Consumer</v>
      </c>
      <c r="K3465" s="1" t="str">
        <f aca="false">VLOOKUP(C3465,Products!$A$2:$E$62,3,FALSE())</f>
        <v>Electronics</v>
      </c>
      <c r="L3465" s="1" t="str">
        <f aca="false">TEXT(D3465,"yyyy-mm")</f>
        <v>2024-10</v>
      </c>
    </row>
    <row r="3466" customFormat="false" ht="15" hidden="false" customHeight="true" outlineLevel="0" collapsed="false">
      <c r="A3466" s="1" t="n">
        <v>3543</v>
      </c>
      <c r="B3466" s="1" t="n">
        <v>52</v>
      </c>
      <c r="C3466" s="1" t="n">
        <v>55</v>
      </c>
      <c r="D3466" s="1" t="s">
        <v>257</v>
      </c>
      <c r="E3466" s="1" t="n">
        <v>6</v>
      </c>
      <c r="F3466" s="1" t="n">
        <v>123.38</v>
      </c>
      <c r="G3466" s="1" t="n">
        <v>0</v>
      </c>
      <c r="H3466" s="1" t="s">
        <v>1336</v>
      </c>
      <c r="I3466" s="1" t="n">
        <v>740.28</v>
      </c>
      <c r="J3466" s="1" t="str">
        <f aca="false">VLOOKUP(B3466,Customers!$A$2:$G$502,6,FALSE())</f>
        <v>Small Business</v>
      </c>
      <c r="K3466" s="1" t="str">
        <f aca="false">VLOOKUP(C3466,Products!$A$2:$E$62,3,FALSE())</f>
        <v>Furniture</v>
      </c>
      <c r="L3466" s="1" t="str">
        <f aca="false">TEXT(D3466,"yyyy-mm")</f>
        <v>2023-07</v>
      </c>
    </row>
    <row r="3467" customFormat="false" ht="15" hidden="false" customHeight="true" outlineLevel="0" collapsed="false">
      <c r="A3467" s="1" t="n">
        <v>3544</v>
      </c>
      <c r="B3467" s="1" t="n">
        <v>276</v>
      </c>
      <c r="C3467" s="1" t="n">
        <v>24</v>
      </c>
      <c r="D3467" s="1" t="s">
        <v>1541</v>
      </c>
      <c r="E3467" s="1" t="n">
        <v>3</v>
      </c>
      <c r="F3467" s="1" t="n">
        <v>207.34</v>
      </c>
      <c r="G3467" s="1" t="n">
        <v>0.15</v>
      </c>
      <c r="H3467" s="1" t="s">
        <v>1336</v>
      </c>
      <c r="I3467" s="1" t="n">
        <v>528.72</v>
      </c>
      <c r="J3467" s="1" t="str">
        <f aca="false">VLOOKUP(B3467,Customers!$A$2:$G$502,6,FALSE())</f>
        <v>Corporate</v>
      </c>
      <c r="K3467" s="1" t="str">
        <f aca="false">VLOOKUP(C3467,Products!$A$2:$E$62,3,FALSE())</f>
        <v>Office Supplies</v>
      </c>
      <c r="L3467" s="1" t="str">
        <f aca="false">TEXT(D3467,"yyyy-mm")</f>
        <v>2023-07</v>
      </c>
    </row>
    <row r="3468" customFormat="false" ht="15" hidden="false" customHeight="true" outlineLevel="0" collapsed="false">
      <c r="A3468" s="1" t="n">
        <v>3545</v>
      </c>
      <c r="B3468" s="1" t="n">
        <v>166</v>
      </c>
      <c r="C3468" s="1" t="n">
        <v>59</v>
      </c>
      <c r="D3468" s="1" t="s">
        <v>697</v>
      </c>
      <c r="E3468" s="1" t="n">
        <v>3</v>
      </c>
      <c r="F3468" s="1" t="n">
        <v>438.89</v>
      </c>
      <c r="G3468" s="1" t="n">
        <v>0.05</v>
      </c>
      <c r="H3468" s="1" t="s">
        <v>1336</v>
      </c>
      <c r="I3468" s="1" t="n">
        <v>1250.84</v>
      </c>
      <c r="J3468" s="1" t="str">
        <f aca="false">VLOOKUP(B3468,Customers!$A$2:$G$502,6,FALSE())</f>
        <v>Small Business</v>
      </c>
      <c r="K3468" s="1" t="str">
        <f aca="false">VLOOKUP(C3468,Products!$A$2:$E$62,3,FALSE())</f>
        <v>Furniture</v>
      </c>
      <c r="L3468" s="1" t="str">
        <f aca="false">TEXT(D3468,"yyyy-mm")</f>
        <v>2023-03</v>
      </c>
    </row>
    <row r="3469" customFormat="false" ht="15" hidden="false" customHeight="true" outlineLevel="0" collapsed="false">
      <c r="A3469" s="1" t="n">
        <v>3546</v>
      </c>
      <c r="B3469" s="1" t="n">
        <v>15</v>
      </c>
      <c r="C3469" s="1" t="n">
        <v>32</v>
      </c>
      <c r="D3469" s="1" t="s">
        <v>958</v>
      </c>
      <c r="E3469" s="1" t="n">
        <v>7</v>
      </c>
      <c r="F3469" s="1" t="n">
        <v>492.27</v>
      </c>
      <c r="G3469" s="1" t="n">
        <v>0</v>
      </c>
      <c r="H3469" s="1" t="s">
        <v>1336</v>
      </c>
      <c r="I3469" s="1" t="n">
        <v>3445.89</v>
      </c>
      <c r="J3469" s="1" t="str">
        <f aca="false">VLOOKUP(B3469,Customers!$A$2:$G$502,6,FALSE())</f>
        <v>Corporate</v>
      </c>
      <c r="K3469" s="1" t="str">
        <f aca="false">VLOOKUP(C3469,Products!$A$2:$E$62,3,FALSE())</f>
        <v>Office Supplies</v>
      </c>
      <c r="L3469" s="1" t="str">
        <f aca="false">TEXT(D3469,"yyyy-mm")</f>
        <v>2024-12</v>
      </c>
    </row>
    <row r="3470" customFormat="false" ht="15" hidden="false" customHeight="true" outlineLevel="0" collapsed="false">
      <c r="A3470" s="1" t="n">
        <v>3547</v>
      </c>
      <c r="B3470" s="1" t="n">
        <v>412</v>
      </c>
      <c r="C3470" s="1" t="n">
        <v>38</v>
      </c>
      <c r="D3470" s="1" t="s">
        <v>151</v>
      </c>
      <c r="E3470" s="1" t="n">
        <v>6</v>
      </c>
      <c r="F3470" s="1" t="n">
        <v>521.63</v>
      </c>
      <c r="G3470" s="1" t="n">
        <v>0.15</v>
      </c>
      <c r="H3470" s="1" t="s">
        <v>1370</v>
      </c>
      <c r="I3470" s="1" t="n">
        <v>2660.31</v>
      </c>
      <c r="J3470" s="1" t="str">
        <f aca="false">VLOOKUP(B3470,Customers!$A$2:$G$502,6,FALSE())</f>
        <v>Corporate</v>
      </c>
      <c r="K3470" s="1" t="str">
        <f aca="false">VLOOKUP(C3470,Products!$A$2:$E$62,3,FALSE())</f>
        <v>Software</v>
      </c>
      <c r="L3470" s="1" t="str">
        <f aca="false">TEXT(D3470,"yyyy-mm")</f>
        <v>2023-10</v>
      </c>
    </row>
    <row r="3471" customFormat="false" ht="15" hidden="false" customHeight="true" outlineLevel="0" collapsed="false">
      <c r="A3471" s="1" t="n">
        <v>3548</v>
      </c>
      <c r="B3471" s="1" t="n">
        <v>419</v>
      </c>
      <c r="C3471" s="1" t="n">
        <v>44</v>
      </c>
      <c r="D3471" s="1" t="s">
        <v>1399</v>
      </c>
      <c r="E3471" s="1" t="n">
        <v>9</v>
      </c>
      <c r="F3471" s="1" t="n">
        <v>508.26</v>
      </c>
      <c r="G3471" s="1" t="n">
        <v>0</v>
      </c>
      <c r="H3471" s="1" t="s">
        <v>1370</v>
      </c>
      <c r="I3471" s="1" t="n">
        <v>4574.34</v>
      </c>
      <c r="J3471" s="1" t="str">
        <f aca="false">VLOOKUP(B3471,Customers!$A$2:$G$502,6,FALSE())</f>
        <v>Small Business</v>
      </c>
      <c r="K3471" s="1" t="str">
        <f aca="false">VLOOKUP(C3471,Products!$A$2:$E$62,3,FALSE())</f>
        <v>Software</v>
      </c>
      <c r="L3471" s="1" t="str">
        <f aca="false">TEXT(D3471,"yyyy-mm")</f>
        <v>2024-11</v>
      </c>
    </row>
    <row r="3472" customFormat="false" ht="15" hidden="false" customHeight="true" outlineLevel="0" collapsed="false">
      <c r="A3472" s="1" t="n">
        <v>3549</v>
      </c>
      <c r="B3472" s="1" t="n">
        <v>81</v>
      </c>
      <c r="C3472" s="1" t="n">
        <v>24</v>
      </c>
      <c r="D3472" s="1" t="s">
        <v>405</v>
      </c>
      <c r="E3472" s="1" t="n">
        <v>6</v>
      </c>
      <c r="F3472" s="1" t="n">
        <v>207.34</v>
      </c>
      <c r="G3472" s="1" t="n">
        <v>0.2</v>
      </c>
      <c r="H3472" s="1" t="s">
        <v>1336</v>
      </c>
      <c r="I3472" s="1" t="n">
        <v>995.23</v>
      </c>
      <c r="J3472" s="1" t="str">
        <f aca="false">VLOOKUP(B3472,Customers!$A$2:$G$502,6,FALSE())</f>
        <v>Consumer</v>
      </c>
      <c r="K3472" s="1" t="str">
        <f aca="false">VLOOKUP(C3472,Products!$A$2:$E$62,3,FALSE())</f>
        <v>Office Supplies</v>
      </c>
      <c r="L3472" s="1" t="str">
        <f aca="false">TEXT(D3472,"yyyy-mm")</f>
        <v>2024-01</v>
      </c>
    </row>
    <row r="3473" customFormat="false" ht="15" hidden="false" customHeight="true" outlineLevel="0" collapsed="false">
      <c r="A3473" s="1" t="n">
        <v>3550</v>
      </c>
      <c r="B3473" s="1" t="n">
        <v>482</v>
      </c>
      <c r="C3473" s="1" t="n">
        <v>32</v>
      </c>
      <c r="D3473" s="1" t="s">
        <v>1560</v>
      </c>
      <c r="E3473" s="1" t="n">
        <v>5</v>
      </c>
      <c r="F3473" s="1" t="n">
        <v>492.27</v>
      </c>
      <c r="G3473" s="1" t="n">
        <v>0</v>
      </c>
      <c r="H3473" s="1" t="s">
        <v>1336</v>
      </c>
      <c r="I3473" s="1" t="n">
        <v>2461.35</v>
      </c>
      <c r="J3473" s="1" t="str">
        <f aca="false">VLOOKUP(B3473,Customers!$A$2:$G$502,6,FALSE())</f>
        <v>Small Business</v>
      </c>
      <c r="K3473" s="1" t="str">
        <f aca="false">VLOOKUP(C3473,Products!$A$2:$E$62,3,FALSE())</f>
        <v>Office Supplies</v>
      </c>
      <c r="L3473" s="1" t="str">
        <f aca="false">TEXT(D3473,"yyyy-mm")</f>
        <v>2024-06</v>
      </c>
    </row>
    <row r="3474" customFormat="false" ht="15" hidden="false" customHeight="true" outlineLevel="0" collapsed="false">
      <c r="A3474" s="1" t="n">
        <v>3551</v>
      </c>
      <c r="B3474" s="1" t="n">
        <v>454</v>
      </c>
      <c r="C3474" s="1" t="n">
        <v>23</v>
      </c>
      <c r="D3474" s="1" t="s">
        <v>1540</v>
      </c>
      <c r="E3474" s="1" t="n">
        <v>7</v>
      </c>
      <c r="F3474" s="1" t="n">
        <v>188.73</v>
      </c>
      <c r="G3474" s="1" t="n">
        <v>0</v>
      </c>
      <c r="H3474" s="1" t="s">
        <v>1336</v>
      </c>
      <c r="I3474" s="1" t="n">
        <v>1321.11</v>
      </c>
      <c r="J3474" s="1" t="str">
        <f aca="false">VLOOKUP(B3474,Customers!$A$2:$G$502,6,FALSE())</f>
        <v>Consumer</v>
      </c>
      <c r="K3474" s="1" t="str">
        <f aca="false">VLOOKUP(C3474,Products!$A$2:$E$62,3,FALSE())</f>
        <v>Office Supplies</v>
      </c>
      <c r="L3474" s="1" t="str">
        <f aca="false">TEXT(D3474,"yyyy-mm")</f>
        <v>2023-01</v>
      </c>
    </row>
    <row r="3475" customFormat="false" ht="15" hidden="false" customHeight="true" outlineLevel="0" collapsed="false">
      <c r="A3475" s="1" t="n">
        <v>3552</v>
      </c>
      <c r="B3475" s="1" t="n">
        <v>131</v>
      </c>
      <c r="C3475" s="1" t="n">
        <v>60</v>
      </c>
      <c r="D3475" s="1" t="s">
        <v>117</v>
      </c>
      <c r="E3475" s="1" t="n">
        <v>1</v>
      </c>
      <c r="F3475" s="1" t="n">
        <v>584.98</v>
      </c>
      <c r="G3475" s="1" t="n">
        <v>0.1</v>
      </c>
      <c r="H3475" s="1" t="s">
        <v>1336</v>
      </c>
      <c r="I3475" s="1" t="n">
        <v>526.48</v>
      </c>
      <c r="J3475" s="1" t="str">
        <f aca="false">VLOOKUP(B3475,Customers!$A$2:$G$502,6,FALSE())</f>
        <v>Corporate</v>
      </c>
      <c r="K3475" s="1" t="str">
        <f aca="false">VLOOKUP(C3475,Products!$A$2:$E$62,3,FALSE())</f>
        <v>Furniture</v>
      </c>
      <c r="L3475" s="1" t="str">
        <f aca="false">TEXT(D3475,"yyyy-mm")</f>
        <v>2023-03</v>
      </c>
    </row>
    <row r="3476" customFormat="false" ht="15" hidden="false" customHeight="true" outlineLevel="0" collapsed="false">
      <c r="A3476" s="1" t="n">
        <v>3553</v>
      </c>
      <c r="B3476" s="1" t="n">
        <v>388</v>
      </c>
      <c r="C3476" s="1" t="n">
        <v>21</v>
      </c>
      <c r="D3476" s="1" t="s">
        <v>1169</v>
      </c>
      <c r="E3476" s="1" t="n">
        <v>7</v>
      </c>
      <c r="F3476" s="1" t="n">
        <v>84.91</v>
      </c>
      <c r="G3476" s="1" t="n">
        <v>0.05</v>
      </c>
      <c r="H3476" s="1" t="s">
        <v>1370</v>
      </c>
      <c r="I3476" s="1" t="n">
        <v>564.65</v>
      </c>
      <c r="J3476" s="1" t="str">
        <f aca="false">VLOOKUP(B3476,Customers!$A$2:$G$502,6,FALSE())</f>
        <v>Corporate</v>
      </c>
      <c r="K3476" s="1" t="str">
        <f aca="false">VLOOKUP(C3476,Products!$A$2:$E$62,3,FALSE())</f>
        <v>Office Supplies</v>
      </c>
      <c r="L3476" s="1" t="str">
        <f aca="false">TEXT(D3476,"yyyy-mm")</f>
        <v>2024-01</v>
      </c>
    </row>
    <row r="3477" customFormat="false" ht="15" hidden="false" customHeight="true" outlineLevel="0" collapsed="false">
      <c r="A3477" s="1" t="n">
        <v>3554</v>
      </c>
      <c r="B3477" s="1" t="n">
        <v>89</v>
      </c>
      <c r="C3477" s="1" t="n">
        <v>33</v>
      </c>
      <c r="D3477" s="1" t="s">
        <v>1612</v>
      </c>
      <c r="E3477" s="1" t="n">
        <v>3</v>
      </c>
      <c r="F3477" s="1" t="n">
        <v>190.1</v>
      </c>
      <c r="G3477" s="1" t="n">
        <v>0.15</v>
      </c>
      <c r="H3477" s="1" t="s">
        <v>1336</v>
      </c>
      <c r="I3477" s="1" t="n">
        <v>484.75</v>
      </c>
      <c r="J3477" s="1" t="str">
        <f aca="false">VLOOKUP(B3477,Customers!$A$2:$G$502,6,FALSE())</f>
        <v>Small Business</v>
      </c>
      <c r="K3477" s="1" t="str">
        <f aca="false">VLOOKUP(C3477,Products!$A$2:$E$62,3,FALSE())</f>
        <v>Office Supplies</v>
      </c>
      <c r="L3477" s="1" t="str">
        <f aca="false">TEXT(D3477,"yyyy-mm")</f>
        <v>2024-10</v>
      </c>
    </row>
    <row r="3478" customFormat="false" ht="15" hidden="false" customHeight="true" outlineLevel="0" collapsed="false">
      <c r="A3478" s="1" t="n">
        <v>3555</v>
      </c>
      <c r="B3478" s="1" t="n">
        <v>221</v>
      </c>
      <c r="C3478" s="1" t="n">
        <v>8</v>
      </c>
      <c r="D3478" s="1" t="s">
        <v>1687</v>
      </c>
      <c r="E3478" s="1" t="n">
        <v>9</v>
      </c>
      <c r="F3478" s="1" t="n">
        <v>104.4</v>
      </c>
      <c r="G3478" s="1" t="n">
        <v>0</v>
      </c>
      <c r="H3478" s="1" t="s">
        <v>1336</v>
      </c>
      <c r="I3478" s="1" t="n">
        <v>939.6</v>
      </c>
      <c r="J3478" s="1" t="str">
        <f aca="false">VLOOKUP(B3478,Customers!$A$2:$G$502,6,FALSE())</f>
        <v>Consumer</v>
      </c>
      <c r="K3478" s="1" t="str">
        <f aca="false">VLOOKUP(C3478,Products!$A$2:$E$62,3,FALSE())</f>
        <v>Electronics</v>
      </c>
      <c r="L3478" s="1" t="str">
        <f aca="false">TEXT(D3478,"yyyy-mm")</f>
        <v>2024-02</v>
      </c>
    </row>
    <row r="3479" customFormat="false" ht="15" hidden="false" customHeight="true" outlineLevel="0" collapsed="false">
      <c r="A3479" s="1" t="n">
        <v>3556</v>
      </c>
      <c r="B3479" s="1" t="n">
        <v>187</v>
      </c>
      <c r="C3479" s="1" t="n">
        <v>58</v>
      </c>
      <c r="D3479" s="1" t="s">
        <v>1495</v>
      </c>
      <c r="E3479" s="1" t="n">
        <v>6</v>
      </c>
      <c r="F3479" s="1" t="n">
        <v>515.55</v>
      </c>
      <c r="G3479" s="1" t="n">
        <v>0</v>
      </c>
      <c r="H3479" s="1" t="s">
        <v>1336</v>
      </c>
      <c r="I3479" s="1" t="n">
        <v>3093.3</v>
      </c>
      <c r="J3479" s="1" t="str">
        <f aca="false">VLOOKUP(B3479,Customers!$A$2:$G$502,6,FALSE())</f>
        <v>Consumer</v>
      </c>
      <c r="K3479" s="1" t="str">
        <f aca="false">VLOOKUP(C3479,Products!$A$2:$E$62,3,FALSE())</f>
        <v>Furniture</v>
      </c>
      <c r="L3479" s="1" t="str">
        <f aca="false">TEXT(D3479,"yyyy-mm")</f>
        <v>2024-03</v>
      </c>
    </row>
    <row r="3480" customFormat="false" ht="15" hidden="false" customHeight="true" outlineLevel="0" collapsed="false">
      <c r="A3480" s="1" t="n">
        <v>3557</v>
      </c>
      <c r="B3480" s="1" t="n">
        <v>482</v>
      </c>
      <c r="C3480" s="1" t="n">
        <v>5</v>
      </c>
      <c r="D3480" s="1" t="s">
        <v>813</v>
      </c>
      <c r="E3480" s="1" t="n">
        <v>9</v>
      </c>
      <c r="F3480" s="1" t="n">
        <v>439.06</v>
      </c>
      <c r="G3480" s="1" t="n">
        <v>0</v>
      </c>
      <c r="H3480" s="1" t="s">
        <v>1336</v>
      </c>
      <c r="I3480" s="1" t="n">
        <v>3951.54</v>
      </c>
      <c r="J3480" s="1" t="str">
        <f aca="false">VLOOKUP(B3480,Customers!$A$2:$G$502,6,FALSE())</f>
        <v>Small Business</v>
      </c>
      <c r="K3480" s="1" t="str">
        <f aca="false">VLOOKUP(C3480,Products!$A$2:$E$62,3,FALSE())</f>
        <v>Electronics</v>
      </c>
      <c r="L3480" s="1" t="str">
        <f aca="false">TEXT(D3480,"yyyy-mm")</f>
        <v>2023-11</v>
      </c>
    </row>
    <row r="3481" customFormat="false" ht="15" hidden="false" customHeight="true" outlineLevel="0" collapsed="false">
      <c r="A3481" s="1" t="n">
        <v>3558</v>
      </c>
      <c r="B3481" s="1" t="n">
        <v>257</v>
      </c>
      <c r="C3481" s="1" t="n">
        <v>52</v>
      </c>
      <c r="D3481" s="1" t="s">
        <v>1047</v>
      </c>
      <c r="E3481" s="1" t="n">
        <v>5</v>
      </c>
      <c r="F3481" s="1" t="n">
        <v>207.67</v>
      </c>
      <c r="G3481" s="1" t="n">
        <v>0.15</v>
      </c>
      <c r="H3481" s="1" t="s">
        <v>1336</v>
      </c>
      <c r="I3481" s="1" t="n">
        <v>882.6</v>
      </c>
      <c r="J3481" s="1" t="str">
        <f aca="false">VLOOKUP(B3481,Customers!$A$2:$G$502,6,FALSE())</f>
        <v>Small Business</v>
      </c>
      <c r="K3481" s="1" t="str">
        <f aca="false">VLOOKUP(C3481,Products!$A$2:$E$62,3,FALSE())</f>
        <v>Software</v>
      </c>
      <c r="L3481" s="1" t="str">
        <f aca="false">TEXT(D3481,"yyyy-mm")</f>
        <v>2024-01</v>
      </c>
    </row>
    <row r="3482" customFormat="false" ht="15" hidden="false" customHeight="true" outlineLevel="0" collapsed="false">
      <c r="A3482" s="1" t="n">
        <v>3559</v>
      </c>
      <c r="B3482" s="1" t="n">
        <v>98</v>
      </c>
      <c r="C3482" s="1" t="n">
        <v>44</v>
      </c>
      <c r="D3482" s="1" t="s">
        <v>419</v>
      </c>
      <c r="E3482" s="1" t="n">
        <v>7</v>
      </c>
      <c r="F3482" s="1" t="n">
        <v>508.26</v>
      </c>
      <c r="G3482" s="1" t="n">
        <v>0.15</v>
      </c>
      <c r="H3482" s="1" t="s">
        <v>1370</v>
      </c>
      <c r="I3482" s="1" t="n">
        <v>3024.15</v>
      </c>
      <c r="J3482" s="1" t="str">
        <f aca="false">VLOOKUP(B3482,Customers!$A$2:$G$502,6,FALSE())</f>
        <v>Corporate</v>
      </c>
      <c r="K3482" s="1" t="str">
        <f aca="false">VLOOKUP(C3482,Products!$A$2:$E$62,3,FALSE())</f>
        <v>Software</v>
      </c>
      <c r="L3482" s="1" t="str">
        <f aca="false">TEXT(D3482,"yyyy-mm")</f>
        <v>2023-08</v>
      </c>
    </row>
    <row r="3483" customFormat="false" ht="15" hidden="false" customHeight="true" outlineLevel="0" collapsed="false">
      <c r="A3483" s="1" t="n">
        <v>3560</v>
      </c>
      <c r="B3483" s="1" t="n">
        <v>392</v>
      </c>
      <c r="C3483" s="1" t="n">
        <v>38</v>
      </c>
      <c r="D3483" s="1" t="s">
        <v>452</v>
      </c>
      <c r="E3483" s="1" t="n">
        <v>4</v>
      </c>
      <c r="F3483" s="1" t="n">
        <v>521.63</v>
      </c>
      <c r="G3483" s="1" t="n">
        <v>0</v>
      </c>
      <c r="H3483" s="1" t="s">
        <v>1336</v>
      </c>
      <c r="I3483" s="1" t="n">
        <v>2086.52</v>
      </c>
      <c r="J3483" s="1" t="str">
        <f aca="false">VLOOKUP(B3483,Customers!$A$2:$G$502,6,FALSE())</f>
        <v>Corporate</v>
      </c>
      <c r="K3483" s="1" t="str">
        <f aca="false">VLOOKUP(C3483,Products!$A$2:$E$62,3,FALSE())</f>
        <v>Software</v>
      </c>
      <c r="L3483" s="1" t="str">
        <f aca="false">TEXT(D3483,"yyyy-mm")</f>
        <v>2023-02</v>
      </c>
    </row>
    <row r="3484" customFormat="false" ht="15" hidden="false" customHeight="true" outlineLevel="0" collapsed="false">
      <c r="A3484" s="1" t="n">
        <v>3561</v>
      </c>
      <c r="B3484" s="1" t="n">
        <v>50</v>
      </c>
      <c r="C3484" s="1" t="n">
        <v>55</v>
      </c>
      <c r="D3484" s="1" t="s">
        <v>1634</v>
      </c>
      <c r="E3484" s="1" t="n">
        <v>7</v>
      </c>
      <c r="F3484" s="1" t="n">
        <v>123.38</v>
      </c>
      <c r="G3484" s="1" t="n">
        <v>0.15</v>
      </c>
      <c r="H3484" s="1" t="s">
        <v>1336</v>
      </c>
      <c r="I3484" s="1" t="n">
        <v>734.11</v>
      </c>
      <c r="J3484" s="1" t="str">
        <f aca="false">VLOOKUP(B3484,Customers!$A$2:$G$502,6,FALSE())</f>
        <v>Consumer</v>
      </c>
      <c r="K3484" s="1" t="str">
        <f aca="false">VLOOKUP(C3484,Products!$A$2:$E$62,3,FALSE())</f>
        <v>Furniture</v>
      </c>
      <c r="L3484" s="1" t="str">
        <f aca="false">TEXT(D3484,"yyyy-mm")</f>
        <v>2023-02</v>
      </c>
    </row>
    <row r="3485" customFormat="false" ht="15" hidden="false" customHeight="true" outlineLevel="0" collapsed="false">
      <c r="A3485" s="1" t="n">
        <v>3562</v>
      </c>
      <c r="B3485" s="1" t="n">
        <v>286</v>
      </c>
      <c r="C3485" s="1" t="n">
        <v>7</v>
      </c>
      <c r="D3485" s="1" t="s">
        <v>1373</v>
      </c>
      <c r="E3485" s="1" t="n">
        <v>1</v>
      </c>
      <c r="F3485" s="1" t="n">
        <v>460</v>
      </c>
      <c r="G3485" s="1" t="n">
        <v>0.1</v>
      </c>
      <c r="H3485" s="1" t="s">
        <v>1336</v>
      </c>
      <c r="I3485" s="1" t="n">
        <v>414</v>
      </c>
      <c r="J3485" s="1" t="str">
        <f aca="false">VLOOKUP(B3485,Customers!$A$2:$G$502,6,FALSE())</f>
        <v>Corporate</v>
      </c>
      <c r="K3485" s="1" t="str">
        <f aca="false">VLOOKUP(C3485,Products!$A$2:$E$62,3,FALSE())</f>
        <v>Electronics</v>
      </c>
      <c r="L3485" s="1" t="str">
        <f aca="false">TEXT(D3485,"yyyy-mm")</f>
        <v>2024-07</v>
      </c>
    </row>
    <row r="3486" customFormat="false" ht="15" hidden="false" customHeight="true" outlineLevel="0" collapsed="false">
      <c r="A3486" s="1" t="n">
        <v>3563</v>
      </c>
      <c r="B3486" s="1" t="n">
        <v>59</v>
      </c>
      <c r="C3486" s="1" t="n">
        <v>25</v>
      </c>
      <c r="D3486" s="1" t="s">
        <v>94</v>
      </c>
      <c r="E3486" s="1" t="n">
        <v>7</v>
      </c>
      <c r="F3486" s="1" t="n">
        <v>300.49</v>
      </c>
      <c r="G3486" s="1" t="n">
        <v>0.1</v>
      </c>
      <c r="H3486" s="1" t="s">
        <v>1336</v>
      </c>
      <c r="I3486" s="1" t="n">
        <v>1893.09</v>
      </c>
      <c r="J3486" s="1" t="str">
        <f aca="false">VLOOKUP(B3486,Customers!$A$2:$G$502,6,FALSE())</f>
        <v>Corporate</v>
      </c>
      <c r="K3486" s="1" t="str">
        <f aca="false">VLOOKUP(C3486,Products!$A$2:$E$62,3,FALSE())</f>
        <v>Office Supplies</v>
      </c>
      <c r="L3486" s="1" t="str">
        <f aca="false">TEXT(D3486,"yyyy-mm")</f>
        <v>2023-09</v>
      </c>
    </row>
    <row r="3487" customFormat="false" ht="15" hidden="false" customHeight="true" outlineLevel="0" collapsed="false">
      <c r="A3487" s="1" t="n">
        <v>3564</v>
      </c>
      <c r="B3487" s="1" t="n">
        <v>376</v>
      </c>
      <c r="C3487" s="1" t="n">
        <v>23</v>
      </c>
      <c r="D3487" s="1" t="s">
        <v>1667</v>
      </c>
      <c r="E3487" s="1" t="n">
        <v>8</v>
      </c>
      <c r="F3487" s="1" t="n">
        <v>188.73</v>
      </c>
      <c r="G3487" s="1" t="n">
        <v>0.1</v>
      </c>
      <c r="H3487" s="1" t="s">
        <v>1336</v>
      </c>
      <c r="I3487" s="1" t="n">
        <v>1358.86</v>
      </c>
      <c r="J3487" s="1" t="str">
        <f aca="false">VLOOKUP(B3487,Customers!$A$2:$G$502,6,FALSE())</f>
        <v>Consumer</v>
      </c>
      <c r="K3487" s="1" t="str">
        <f aca="false">VLOOKUP(C3487,Products!$A$2:$E$62,3,FALSE())</f>
        <v>Office Supplies</v>
      </c>
      <c r="L3487" s="1" t="str">
        <f aca="false">TEXT(D3487,"yyyy-mm")</f>
        <v>2023-04</v>
      </c>
    </row>
    <row r="3488" customFormat="false" ht="15" hidden="false" customHeight="true" outlineLevel="0" collapsed="false">
      <c r="A3488" s="1" t="n">
        <v>3565</v>
      </c>
      <c r="B3488" s="1" t="n">
        <v>180</v>
      </c>
      <c r="C3488" s="1" t="n">
        <v>41</v>
      </c>
      <c r="D3488" s="1" t="s">
        <v>328</v>
      </c>
      <c r="E3488" s="1" t="n">
        <v>5</v>
      </c>
      <c r="F3488" s="1" t="n">
        <v>594.54</v>
      </c>
      <c r="G3488" s="1" t="n">
        <v>0.15</v>
      </c>
      <c r="H3488" s="1" t="s">
        <v>1336</v>
      </c>
      <c r="I3488" s="1" t="n">
        <v>2526.79</v>
      </c>
      <c r="J3488" s="1" t="str">
        <f aca="false">VLOOKUP(B3488,Customers!$A$2:$G$502,6,FALSE())</f>
        <v>Consumer</v>
      </c>
      <c r="K3488" s="1" t="str">
        <f aca="false">VLOOKUP(C3488,Products!$A$2:$E$62,3,FALSE())</f>
        <v>Software</v>
      </c>
      <c r="L3488" s="1" t="str">
        <f aca="false">TEXT(D3488,"yyyy-mm")</f>
        <v>2023-02</v>
      </c>
    </row>
    <row r="3489" customFormat="false" ht="15" hidden="false" customHeight="true" outlineLevel="0" collapsed="false">
      <c r="A3489" s="1" t="n">
        <v>3566</v>
      </c>
      <c r="B3489" s="1" t="n">
        <v>389</v>
      </c>
      <c r="C3489" s="1" t="n">
        <v>11</v>
      </c>
      <c r="D3489" s="1" t="s">
        <v>1054</v>
      </c>
      <c r="E3489" s="1" t="n">
        <v>2</v>
      </c>
      <c r="F3489" s="1" t="n">
        <v>328.39</v>
      </c>
      <c r="G3489" s="1" t="n">
        <v>0.05</v>
      </c>
      <c r="H3489" s="1" t="s">
        <v>1336</v>
      </c>
      <c r="I3489" s="1" t="n">
        <v>623.94</v>
      </c>
      <c r="J3489" s="1" t="str">
        <f aca="false">VLOOKUP(B3489,Customers!$A$2:$G$502,6,FALSE())</f>
        <v>Corporate</v>
      </c>
      <c r="K3489" s="1" t="str">
        <f aca="false">VLOOKUP(C3489,Products!$A$2:$E$62,3,FALSE())</f>
        <v>Electronics</v>
      </c>
      <c r="L3489" s="1" t="str">
        <f aca="false">TEXT(D3489,"yyyy-mm")</f>
        <v>2024-01</v>
      </c>
    </row>
    <row r="3490" customFormat="false" ht="15" hidden="false" customHeight="true" outlineLevel="0" collapsed="false">
      <c r="A3490" s="1" t="n">
        <v>3567</v>
      </c>
      <c r="B3490" s="1" t="n">
        <v>250</v>
      </c>
      <c r="C3490" s="1" t="n">
        <v>11</v>
      </c>
      <c r="D3490" s="1" t="s">
        <v>955</v>
      </c>
      <c r="E3490" s="1" t="n">
        <v>5</v>
      </c>
      <c r="F3490" s="1" t="n">
        <v>328.39</v>
      </c>
      <c r="G3490" s="1" t="n">
        <v>0.15</v>
      </c>
      <c r="H3490" s="1" t="s">
        <v>1336</v>
      </c>
      <c r="I3490" s="1" t="n">
        <v>1395.66</v>
      </c>
      <c r="J3490" s="1" t="str">
        <f aca="false">VLOOKUP(B3490,Customers!$A$2:$G$502,6,FALSE())</f>
        <v>Consumer</v>
      </c>
      <c r="K3490" s="1" t="str">
        <f aca="false">VLOOKUP(C3490,Products!$A$2:$E$62,3,FALSE())</f>
        <v>Electronics</v>
      </c>
      <c r="L3490" s="1" t="str">
        <f aca="false">TEXT(D3490,"yyyy-mm")</f>
        <v>2023-01</v>
      </c>
    </row>
    <row r="3491" customFormat="false" ht="15" hidden="false" customHeight="true" outlineLevel="0" collapsed="false">
      <c r="A3491" s="1" t="n">
        <v>3569</v>
      </c>
      <c r="B3491" s="1" t="n">
        <v>265</v>
      </c>
      <c r="C3491" s="1" t="n">
        <v>15</v>
      </c>
      <c r="D3491" s="1" t="s">
        <v>1013</v>
      </c>
      <c r="E3491" s="1" t="n">
        <v>2</v>
      </c>
      <c r="F3491" s="1" t="n">
        <v>304.95</v>
      </c>
      <c r="G3491" s="1" t="n">
        <v>0.2</v>
      </c>
      <c r="H3491" s="1" t="s">
        <v>1336</v>
      </c>
      <c r="I3491" s="1" t="n">
        <v>487.92</v>
      </c>
      <c r="J3491" s="1" t="str">
        <f aca="false">VLOOKUP(B3491,Customers!$A$2:$G$502,6,FALSE())</f>
        <v>Corporate</v>
      </c>
      <c r="K3491" s="1" t="str">
        <f aca="false">VLOOKUP(C3491,Products!$A$2:$E$62,3,FALSE())</f>
        <v>Electronics</v>
      </c>
      <c r="L3491" s="1" t="str">
        <f aca="false">TEXT(D3491,"yyyy-mm")</f>
        <v>2024-12</v>
      </c>
    </row>
    <row r="3492" customFormat="false" ht="15" hidden="false" customHeight="true" outlineLevel="0" collapsed="false">
      <c r="A3492" s="1" t="n">
        <v>3570</v>
      </c>
      <c r="B3492" s="1" t="n">
        <v>228</v>
      </c>
      <c r="C3492" s="1" t="n">
        <v>57</v>
      </c>
      <c r="D3492" s="1" t="s">
        <v>907</v>
      </c>
      <c r="E3492" s="1" t="n">
        <v>6</v>
      </c>
      <c r="F3492" s="1" t="n">
        <v>719.76</v>
      </c>
      <c r="G3492" s="1" t="n">
        <v>0.2</v>
      </c>
      <c r="H3492" s="1" t="s">
        <v>1336</v>
      </c>
      <c r="I3492" s="1" t="n">
        <v>3454.85</v>
      </c>
      <c r="J3492" s="1" t="str">
        <f aca="false">VLOOKUP(B3492,Customers!$A$2:$G$502,6,FALSE())</f>
        <v>Small Business</v>
      </c>
      <c r="K3492" s="1" t="str">
        <f aca="false">VLOOKUP(C3492,Products!$A$2:$E$62,3,FALSE())</f>
        <v>Furniture</v>
      </c>
      <c r="L3492" s="1" t="str">
        <f aca="false">TEXT(D3492,"yyyy-mm")</f>
        <v>2024-06</v>
      </c>
    </row>
    <row r="3493" customFormat="false" ht="15" hidden="false" customHeight="true" outlineLevel="0" collapsed="false">
      <c r="A3493" s="1" t="n">
        <v>3571</v>
      </c>
      <c r="B3493" s="1" t="n">
        <v>131</v>
      </c>
      <c r="C3493" s="1" t="n">
        <v>23</v>
      </c>
      <c r="D3493" s="1" t="s">
        <v>1530</v>
      </c>
      <c r="E3493" s="1" t="n">
        <v>6</v>
      </c>
      <c r="F3493" s="1" t="n">
        <v>188.73</v>
      </c>
      <c r="G3493" s="1" t="n">
        <v>0.1</v>
      </c>
      <c r="H3493" s="1" t="s">
        <v>1336</v>
      </c>
      <c r="I3493" s="1" t="n">
        <v>1019.14</v>
      </c>
      <c r="J3493" s="1" t="str">
        <f aca="false">VLOOKUP(B3493,Customers!$A$2:$G$502,6,FALSE())</f>
        <v>Corporate</v>
      </c>
      <c r="K3493" s="1" t="str">
        <f aca="false">VLOOKUP(C3493,Products!$A$2:$E$62,3,FALSE())</f>
        <v>Office Supplies</v>
      </c>
      <c r="L3493" s="1" t="str">
        <f aca="false">TEXT(D3493,"yyyy-mm")</f>
        <v>2023-10</v>
      </c>
    </row>
    <row r="3494" customFormat="false" ht="15" hidden="false" customHeight="true" outlineLevel="0" collapsed="false">
      <c r="A3494" s="1" t="n">
        <v>3572</v>
      </c>
      <c r="B3494" s="1" t="n">
        <v>247</v>
      </c>
      <c r="C3494" s="1" t="n">
        <v>17</v>
      </c>
      <c r="D3494" s="1" t="s">
        <v>1666</v>
      </c>
      <c r="E3494" s="1" t="n">
        <v>1</v>
      </c>
      <c r="F3494" s="1" t="n">
        <v>65.61</v>
      </c>
      <c r="G3494" s="1" t="n">
        <v>0</v>
      </c>
      <c r="H3494" s="1" t="s">
        <v>1370</v>
      </c>
      <c r="I3494" s="1" t="n">
        <v>65.61</v>
      </c>
      <c r="J3494" s="1" t="str">
        <f aca="false">VLOOKUP(B3494,Customers!$A$2:$G$502,6,FALSE())</f>
        <v>Small Business</v>
      </c>
      <c r="K3494" s="1" t="str">
        <f aca="false">VLOOKUP(C3494,Products!$A$2:$E$62,3,FALSE())</f>
        <v>Electronics</v>
      </c>
      <c r="L3494" s="1" t="str">
        <f aca="false">TEXT(D3494,"yyyy-mm")</f>
        <v>2024-07</v>
      </c>
    </row>
    <row r="3495" customFormat="false" ht="15" hidden="false" customHeight="true" outlineLevel="0" collapsed="false">
      <c r="A3495" s="1" t="n">
        <v>3573</v>
      </c>
      <c r="B3495" s="1" t="n">
        <v>191</v>
      </c>
      <c r="C3495" s="1" t="n">
        <v>5</v>
      </c>
      <c r="D3495" s="1" t="s">
        <v>1369</v>
      </c>
      <c r="E3495" s="1" t="n">
        <v>1</v>
      </c>
      <c r="F3495" s="1" t="n">
        <v>439.06</v>
      </c>
      <c r="G3495" s="1" t="n">
        <v>0</v>
      </c>
      <c r="H3495" s="1" t="s">
        <v>1336</v>
      </c>
      <c r="I3495" s="1" t="n">
        <v>439.06</v>
      </c>
      <c r="J3495" s="1" t="str">
        <f aca="false">VLOOKUP(B3495,Customers!$A$2:$G$502,6,FALSE())</f>
        <v>Corporate</v>
      </c>
      <c r="K3495" s="1" t="str">
        <f aca="false">VLOOKUP(C3495,Products!$A$2:$E$62,3,FALSE())</f>
        <v>Electronics</v>
      </c>
      <c r="L3495" s="1" t="str">
        <f aca="false">TEXT(D3495,"yyyy-mm")</f>
        <v>2024-07</v>
      </c>
    </row>
    <row r="3496" customFormat="false" ht="15" hidden="false" customHeight="true" outlineLevel="0" collapsed="false">
      <c r="A3496" s="1" t="n">
        <v>3574</v>
      </c>
      <c r="B3496" s="1" t="n">
        <v>221</v>
      </c>
      <c r="C3496" s="1" t="n">
        <v>3</v>
      </c>
      <c r="D3496" s="1" t="s">
        <v>416</v>
      </c>
      <c r="E3496" s="1" t="n">
        <v>3</v>
      </c>
      <c r="F3496" s="1" t="n">
        <v>89.39</v>
      </c>
      <c r="G3496" s="1" t="n">
        <v>0.15</v>
      </c>
      <c r="H3496" s="1" t="s">
        <v>1336</v>
      </c>
      <c r="I3496" s="1" t="n">
        <v>227.94</v>
      </c>
      <c r="J3496" s="1" t="str">
        <f aca="false">VLOOKUP(B3496,Customers!$A$2:$G$502,6,FALSE())</f>
        <v>Consumer</v>
      </c>
      <c r="K3496" s="1" t="str">
        <f aca="false">VLOOKUP(C3496,Products!$A$2:$E$62,3,FALSE())</f>
        <v>Electronics</v>
      </c>
      <c r="L3496" s="1" t="str">
        <f aca="false">TEXT(D3496,"yyyy-mm")</f>
        <v>2023-12</v>
      </c>
    </row>
    <row r="3497" customFormat="false" ht="15" hidden="false" customHeight="true" outlineLevel="0" collapsed="false">
      <c r="A3497" s="1" t="n">
        <v>3575</v>
      </c>
      <c r="B3497" s="1" t="n">
        <v>128</v>
      </c>
      <c r="C3497" s="1" t="n">
        <v>60</v>
      </c>
      <c r="D3497" s="1" t="s">
        <v>1419</v>
      </c>
      <c r="E3497" s="1" t="n">
        <v>3</v>
      </c>
      <c r="F3497" s="1" t="n">
        <v>584.98</v>
      </c>
      <c r="G3497" s="1" t="n">
        <v>0.1</v>
      </c>
      <c r="H3497" s="1" t="s">
        <v>1336</v>
      </c>
      <c r="I3497" s="1" t="n">
        <v>1579.45</v>
      </c>
      <c r="J3497" s="1" t="str">
        <f aca="false">VLOOKUP(B3497,Customers!$A$2:$G$502,6,FALSE())</f>
        <v>Consumer</v>
      </c>
      <c r="K3497" s="1" t="str">
        <f aca="false">VLOOKUP(C3497,Products!$A$2:$E$62,3,FALSE())</f>
        <v>Furniture</v>
      </c>
      <c r="L3497" s="1" t="str">
        <f aca="false">TEXT(D3497,"yyyy-mm")</f>
        <v>2023-04</v>
      </c>
    </row>
    <row r="3498" customFormat="false" ht="15" hidden="false" customHeight="true" outlineLevel="0" collapsed="false">
      <c r="A3498" s="1" t="n">
        <v>3576</v>
      </c>
      <c r="B3498" s="1" t="n">
        <v>76</v>
      </c>
      <c r="C3498" s="1" t="n">
        <v>2</v>
      </c>
      <c r="D3498" s="1" t="s">
        <v>1130</v>
      </c>
      <c r="E3498" s="1" t="n">
        <v>4</v>
      </c>
      <c r="F3498" s="1" t="n">
        <v>498.15</v>
      </c>
      <c r="G3498" s="1" t="n">
        <v>0</v>
      </c>
      <c r="H3498" s="1" t="s">
        <v>1336</v>
      </c>
      <c r="I3498" s="1" t="n">
        <v>1992.6</v>
      </c>
      <c r="J3498" s="1" t="str">
        <f aca="false">VLOOKUP(B3498,Customers!$A$2:$G$502,6,FALSE())</f>
        <v>Consumer</v>
      </c>
      <c r="K3498" s="1" t="str">
        <f aca="false">VLOOKUP(C3498,Products!$A$2:$E$62,3,FALSE())</f>
        <v>Electronics</v>
      </c>
      <c r="L3498" s="1" t="str">
        <f aca="false">TEXT(D3498,"yyyy-mm")</f>
        <v>2023-02</v>
      </c>
    </row>
    <row r="3499" customFormat="false" ht="15" hidden="false" customHeight="true" outlineLevel="0" collapsed="false">
      <c r="A3499" s="1" t="n">
        <v>3578</v>
      </c>
      <c r="B3499" s="1" t="n">
        <v>103</v>
      </c>
      <c r="C3499" s="1" t="n">
        <v>7</v>
      </c>
      <c r="D3499" s="1" t="s">
        <v>1347</v>
      </c>
      <c r="E3499" s="1" t="n">
        <v>9</v>
      </c>
      <c r="F3499" s="1" t="n">
        <v>460</v>
      </c>
      <c r="G3499" s="1" t="n">
        <v>0.05</v>
      </c>
      <c r="H3499" s="1" t="s">
        <v>1336</v>
      </c>
      <c r="I3499" s="1" t="n">
        <v>3933</v>
      </c>
      <c r="J3499" s="1" t="str">
        <f aca="false">VLOOKUP(B3499,Customers!$A$2:$G$502,6,FALSE())</f>
        <v>Small Business</v>
      </c>
      <c r="K3499" s="1" t="str">
        <f aca="false">VLOOKUP(C3499,Products!$A$2:$E$62,3,FALSE())</f>
        <v>Electronics</v>
      </c>
      <c r="L3499" s="1" t="str">
        <f aca="false">TEXT(D3499,"yyyy-mm")</f>
        <v>2024-01</v>
      </c>
    </row>
    <row r="3500" customFormat="false" ht="15" hidden="false" customHeight="true" outlineLevel="0" collapsed="false">
      <c r="A3500" s="1" t="n">
        <v>3579</v>
      </c>
      <c r="B3500" s="1" t="n">
        <v>213</v>
      </c>
      <c r="C3500" s="1" t="n">
        <v>7</v>
      </c>
      <c r="D3500" s="1" t="s">
        <v>1487</v>
      </c>
      <c r="E3500" s="1" t="n">
        <v>7</v>
      </c>
      <c r="F3500" s="1" t="n">
        <v>460</v>
      </c>
      <c r="G3500" s="1" t="n">
        <v>0</v>
      </c>
      <c r="H3500" s="1" t="s">
        <v>1336</v>
      </c>
      <c r="I3500" s="1" t="n">
        <v>3220</v>
      </c>
      <c r="J3500" s="1" t="str">
        <f aca="false">VLOOKUP(B3500,Customers!$A$2:$G$502,6,FALSE())</f>
        <v>Small Business</v>
      </c>
      <c r="K3500" s="1" t="str">
        <f aca="false">VLOOKUP(C3500,Products!$A$2:$E$62,3,FALSE())</f>
        <v>Electronics</v>
      </c>
      <c r="L3500" s="1" t="str">
        <f aca="false">TEXT(D3500,"yyyy-mm")</f>
        <v>2024-01</v>
      </c>
    </row>
    <row r="3501" customFormat="false" ht="15" hidden="false" customHeight="true" outlineLevel="0" collapsed="false">
      <c r="A3501" s="1" t="n">
        <v>3580</v>
      </c>
      <c r="B3501" s="1" t="n">
        <v>135</v>
      </c>
      <c r="C3501" s="1" t="n">
        <v>43</v>
      </c>
      <c r="D3501" s="1" t="s">
        <v>1527</v>
      </c>
      <c r="E3501" s="1" t="n">
        <v>7</v>
      </c>
      <c r="F3501" s="1" t="n">
        <v>186.31</v>
      </c>
      <c r="G3501" s="1" t="n">
        <v>0</v>
      </c>
      <c r="H3501" s="1" t="s">
        <v>1370</v>
      </c>
      <c r="I3501" s="1" t="n">
        <v>1304.17</v>
      </c>
      <c r="J3501" s="1" t="str">
        <f aca="false">VLOOKUP(B3501,Customers!$A$2:$G$502,6,FALSE())</f>
        <v>Corporate</v>
      </c>
      <c r="K3501" s="1" t="str">
        <f aca="false">VLOOKUP(C3501,Products!$A$2:$E$62,3,FALSE())</f>
        <v>Software</v>
      </c>
      <c r="L3501" s="1" t="str">
        <f aca="false">TEXT(D3501,"yyyy-mm")</f>
        <v>2023-02</v>
      </c>
    </row>
    <row r="3502" customFormat="false" ht="15" hidden="false" customHeight="true" outlineLevel="0" collapsed="false">
      <c r="A3502" s="1" t="n">
        <v>3581</v>
      </c>
      <c r="B3502" s="1" t="n">
        <v>337</v>
      </c>
      <c r="C3502" s="1" t="n">
        <v>4</v>
      </c>
      <c r="D3502" s="1" t="s">
        <v>1033</v>
      </c>
      <c r="E3502" s="1" t="n">
        <v>6</v>
      </c>
      <c r="F3502" s="1" t="n">
        <v>56.24</v>
      </c>
      <c r="G3502" s="1" t="n">
        <v>0</v>
      </c>
      <c r="H3502" s="1" t="s">
        <v>1336</v>
      </c>
      <c r="I3502" s="1" t="n">
        <v>337.44</v>
      </c>
      <c r="J3502" s="1" t="str">
        <f aca="false">VLOOKUP(B3502,Customers!$A$2:$G$502,6,FALSE())</f>
        <v>Corporate</v>
      </c>
      <c r="K3502" s="1" t="str">
        <f aca="false">VLOOKUP(C3502,Products!$A$2:$E$62,3,FALSE())</f>
        <v>Electronics</v>
      </c>
      <c r="L3502" s="1" t="str">
        <f aca="false">TEXT(D3502,"yyyy-mm")</f>
        <v>2023-12</v>
      </c>
    </row>
    <row r="3503" customFormat="false" ht="15" hidden="false" customHeight="true" outlineLevel="0" collapsed="false">
      <c r="A3503" s="1" t="n">
        <v>3582</v>
      </c>
      <c r="B3503" s="1" t="n">
        <v>341</v>
      </c>
      <c r="C3503" s="1" t="n">
        <v>37</v>
      </c>
      <c r="D3503" s="1" t="s">
        <v>1492</v>
      </c>
      <c r="E3503" s="1" t="n">
        <v>3</v>
      </c>
      <c r="F3503" s="1" t="n">
        <v>13.95</v>
      </c>
      <c r="G3503" s="1" t="n">
        <v>0.1</v>
      </c>
      <c r="H3503" s="1" t="s">
        <v>1336</v>
      </c>
      <c r="I3503" s="1" t="n">
        <v>37.66</v>
      </c>
      <c r="J3503" s="1" t="str">
        <f aca="false">VLOOKUP(B3503,Customers!$A$2:$G$502,6,FALSE())</f>
        <v>Small Business</v>
      </c>
      <c r="K3503" s="1" t="str">
        <f aca="false">VLOOKUP(C3503,Products!$A$2:$E$62,3,FALSE())</f>
        <v>Software</v>
      </c>
      <c r="L3503" s="1" t="str">
        <f aca="false">TEXT(D3503,"yyyy-mm")</f>
        <v>2024-08</v>
      </c>
    </row>
    <row r="3504" customFormat="false" ht="15" hidden="false" customHeight="true" outlineLevel="0" collapsed="false">
      <c r="A3504" s="1" t="n">
        <v>3584</v>
      </c>
      <c r="B3504" s="1" t="n">
        <v>409</v>
      </c>
      <c r="C3504" s="1" t="n">
        <v>51</v>
      </c>
      <c r="D3504" s="1" t="s">
        <v>1349</v>
      </c>
      <c r="E3504" s="1" t="n">
        <v>8</v>
      </c>
      <c r="F3504" s="1" t="n">
        <v>30.16</v>
      </c>
      <c r="G3504" s="1" t="n">
        <v>0</v>
      </c>
      <c r="H3504" s="1" t="s">
        <v>1336</v>
      </c>
      <c r="I3504" s="1" t="n">
        <v>241.28</v>
      </c>
      <c r="J3504" s="1" t="str">
        <f aca="false">VLOOKUP(B3504,Customers!$A$2:$G$502,6,FALSE())</f>
        <v>Small Business</v>
      </c>
      <c r="K3504" s="1" t="str">
        <f aca="false">VLOOKUP(C3504,Products!$A$2:$E$62,3,FALSE())</f>
        <v>Software</v>
      </c>
      <c r="L3504" s="1" t="str">
        <f aca="false">TEXT(D3504,"yyyy-mm")</f>
        <v>2023-10</v>
      </c>
    </row>
    <row r="3505" customFormat="false" ht="15" hidden="false" customHeight="true" outlineLevel="0" collapsed="false">
      <c r="A3505" s="1" t="n">
        <v>3585</v>
      </c>
      <c r="B3505" s="1" t="n">
        <v>41</v>
      </c>
      <c r="C3505" s="1" t="n">
        <v>19</v>
      </c>
      <c r="D3505" s="1" t="s">
        <v>1636</v>
      </c>
      <c r="E3505" s="1" t="n">
        <v>8</v>
      </c>
      <c r="F3505" s="1" t="n">
        <v>163.64</v>
      </c>
      <c r="G3505" s="1" t="n">
        <v>0</v>
      </c>
      <c r="H3505" s="1" t="s">
        <v>1336</v>
      </c>
      <c r="I3505" s="1" t="n">
        <v>1309.12</v>
      </c>
      <c r="J3505" s="1" t="str">
        <f aca="false">VLOOKUP(B3505,Customers!$A$2:$G$502,6,FALSE())</f>
        <v>Corporate</v>
      </c>
      <c r="K3505" s="1" t="str">
        <f aca="false">VLOOKUP(C3505,Products!$A$2:$E$62,3,FALSE())</f>
        <v>Office Supplies</v>
      </c>
      <c r="L3505" s="1" t="str">
        <f aca="false">TEXT(D3505,"yyyy-mm")</f>
        <v>2023-08</v>
      </c>
    </row>
    <row r="3506" customFormat="false" ht="15" hidden="false" customHeight="true" outlineLevel="0" collapsed="false">
      <c r="A3506" s="1" t="n">
        <v>3586</v>
      </c>
      <c r="B3506" s="1" t="n">
        <v>252</v>
      </c>
      <c r="C3506" s="1" t="n">
        <v>45</v>
      </c>
      <c r="D3506" s="1" t="s">
        <v>24</v>
      </c>
      <c r="E3506" s="1" t="n">
        <v>9</v>
      </c>
      <c r="F3506" s="1" t="n">
        <v>560.01</v>
      </c>
      <c r="G3506" s="1" t="n">
        <v>0</v>
      </c>
      <c r="H3506" s="1" t="s">
        <v>1336</v>
      </c>
      <c r="I3506" s="1" t="n">
        <v>5040.09</v>
      </c>
      <c r="J3506" s="1" t="str">
        <f aca="false">VLOOKUP(B3506,Customers!$A$2:$G$502,6,FALSE())</f>
        <v>Consumer</v>
      </c>
      <c r="K3506" s="1" t="str">
        <f aca="false">VLOOKUP(C3506,Products!$A$2:$E$62,3,FALSE())</f>
        <v>Software</v>
      </c>
      <c r="L3506" s="1" t="str">
        <f aca="false">TEXT(D3506,"yyyy-mm")</f>
        <v>2023-10</v>
      </c>
    </row>
    <row r="3507" customFormat="false" ht="15" hidden="false" customHeight="true" outlineLevel="0" collapsed="false">
      <c r="A3507" s="1" t="n">
        <v>3587</v>
      </c>
      <c r="B3507" s="1" t="n">
        <v>139</v>
      </c>
      <c r="C3507" s="1" t="n">
        <v>27</v>
      </c>
      <c r="D3507" s="1" t="s">
        <v>1424</v>
      </c>
      <c r="E3507" s="1" t="n">
        <v>1</v>
      </c>
      <c r="F3507" s="1" t="n">
        <v>772.58</v>
      </c>
      <c r="G3507" s="1" t="n">
        <v>0</v>
      </c>
      <c r="H3507" s="1" t="s">
        <v>1336</v>
      </c>
      <c r="I3507" s="1" t="n">
        <v>772.58</v>
      </c>
      <c r="J3507" s="1" t="str">
        <f aca="false">VLOOKUP(B3507,Customers!$A$2:$G$502,6,FALSE())</f>
        <v>Consumer</v>
      </c>
      <c r="K3507" s="1" t="str">
        <f aca="false">VLOOKUP(C3507,Products!$A$2:$E$62,3,FALSE())</f>
        <v>Office Supplies</v>
      </c>
      <c r="L3507" s="1" t="str">
        <f aca="false">TEXT(D3507,"yyyy-mm")</f>
        <v>2024-02</v>
      </c>
    </row>
    <row r="3508" customFormat="false" ht="15" hidden="false" customHeight="true" outlineLevel="0" collapsed="false">
      <c r="A3508" s="1" t="n">
        <v>3588</v>
      </c>
      <c r="B3508" s="1" t="n">
        <v>311</v>
      </c>
      <c r="C3508" s="1" t="n">
        <v>52</v>
      </c>
      <c r="D3508" s="1" t="s">
        <v>1358</v>
      </c>
      <c r="E3508" s="1" t="n">
        <v>1</v>
      </c>
      <c r="F3508" s="1" t="n">
        <v>207.67</v>
      </c>
      <c r="G3508" s="1" t="n">
        <v>0</v>
      </c>
      <c r="H3508" s="1" t="s">
        <v>1336</v>
      </c>
      <c r="I3508" s="1" t="n">
        <v>207.67</v>
      </c>
      <c r="J3508" s="1" t="str">
        <f aca="false">VLOOKUP(B3508,Customers!$A$2:$G$502,6,FALSE())</f>
        <v>Consumer</v>
      </c>
      <c r="K3508" s="1" t="str">
        <f aca="false">VLOOKUP(C3508,Products!$A$2:$E$62,3,FALSE())</f>
        <v>Software</v>
      </c>
      <c r="L3508" s="1" t="str">
        <f aca="false">TEXT(D3508,"yyyy-mm")</f>
        <v>2024-01</v>
      </c>
    </row>
    <row r="3509" customFormat="false" ht="15" hidden="false" customHeight="true" outlineLevel="0" collapsed="false">
      <c r="A3509" s="1" t="n">
        <v>3589</v>
      </c>
      <c r="B3509" s="1" t="n">
        <v>29</v>
      </c>
      <c r="C3509" s="1" t="n">
        <v>1</v>
      </c>
      <c r="D3509" s="1" t="s">
        <v>280</v>
      </c>
      <c r="E3509" s="1" t="n">
        <v>3</v>
      </c>
      <c r="F3509" s="1" t="n">
        <v>327.32</v>
      </c>
      <c r="G3509" s="1" t="n">
        <v>0</v>
      </c>
      <c r="H3509" s="1" t="s">
        <v>1336</v>
      </c>
      <c r="I3509" s="1" t="n">
        <v>981.96</v>
      </c>
      <c r="J3509" s="1" t="str">
        <f aca="false">VLOOKUP(B3509,Customers!$A$2:$G$502,6,FALSE())</f>
        <v>Small Business</v>
      </c>
      <c r="K3509" s="1" t="str">
        <f aca="false">VLOOKUP(C3509,Products!$A$2:$E$62,3,FALSE())</f>
        <v>Electronics</v>
      </c>
      <c r="L3509" s="1" t="str">
        <f aca="false">TEXT(D3509,"yyyy-mm")</f>
        <v>2023-06</v>
      </c>
    </row>
    <row r="3510" customFormat="false" ht="15" hidden="false" customHeight="true" outlineLevel="0" collapsed="false">
      <c r="A3510" s="1" t="n">
        <v>3590</v>
      </c>
      <c r="B3510" s="1" t="n">
        <v>191</v>
      </c>
      <c r="C3510" s="1" t="n">
        <v>25</v>
      </c>
      <c r="D3510" s="1" t="s">
        <v>1473</v>
      </c>
      <c r="E3510" s="1" t="n">
        <v>3</v>
      </c>
      <c r="F3510" s="1" t="n">
        <v>300.49</v>
      </c>
      <c r="G3510" s="1" t="n">
        <v>0.05</v>
      </c>
      <c r="H3510" s="1" t="s">
        <v>1336</v>
      </c>
      <c r="I3510" s="1" t="n">
        <v>856.4</v>
      </c>
      <c r="J3510" s="1" t="str">
        <f aca="false">VLOOKUP(B3510,Customers!$A$2:$G$502,6,FALSE())</f>
        <v>Corporate</v>
      </c>
      <c r="K3510" s="1" t="str">
        <f aca="false">VLOOKUP(C3510,Products!$A$2:$E$62,3,FALSE())</f>
        <v>Office Supplies</v>
      </c>
      <c r="L3510" s="1" t="str">
        <f aca="false">TEXT(D3510,"yyyy-mm")</f>
        <v>2024-04</v>
      </c>
    </row>
    <row r="3511" customFormat="false" ht="15" hidden="false" customHeight="true" outlineLevel="0" collapsed="false">
      <c r="A3511" s="1" t="n">
        <v>3591</v>
      </c>
      <c r="B3511" s="1" t="n">
        <v>338</v>
      </c>
      <c r="C3511" s="1" t="n">
        <v>24</v>
      </c>
      <c r="D3511" s="1" t="s">
        <v>1702</v>
      </c>
      <c r="E3511" s="1" t="n">
        <v>8</v>
      </c>
      <c r="F3511" s="1" t="n">
        <v>207.34</v>
      </c>
      <c r="G3511" s="1" t="n">
        <v>0.1</v>
      </c>
      <c r="H3511" s="1" t="s">
        <v>1336</v>
      </c>
      <c r="I3511" s="1" t="n">
        <v>1492.85</v>
      </c>
      <c r="J3511" s="1" t="str">
        <f aca="false">VLOOKUP(B3511,Customers!$A$2:$G$502,6,FALSE())</f>
        <v>Corporate</v>
      </c>
      <c r="K3511" s="1" t="str">
        <f aca="false">VLOOKUP(C3511,Products!$A$2:$E$62,3,FALSE())</f>
        <v>Office Supplies</v>
      </c>
      <c r="L3511" s="1" t="str">
        <f aca="false">TEXT(D3511,"yyyy-mm")</f>
        <v>2024-06</v>
      </c>
    </row>
    <row r="3512" customFormat="false" ht="15" hidden="false" customHeight="true" outlineLevel="0" collapsed="false">
      <c r="A3512" s="1" t="n">
        <v>3592</v>
      </c>
      <c r="B3512" s="1" t="n">
        <v>323</v>
      </c>
      <c r="C3512" s="1" t="n">
        <v>11</v>
      </c>
      <c r="D3512" s="1" t="s">
        <v>1481</v>
      </c>
      <c r="E3512" s="1" t="n">
        <v>1</v>
      </c>
      <c r="F3512" s="1" t="n">
        <v>328.39</v>
      </c>
      <c r="G3512" s="1" t="n">
        <v>0</v>
      </c>
      <c r="H3512" s="1" t="s">
        <v>1336</v>
      </c>
      <c r="I3512" s="1" t="n">
        <v>328.39</v>
      </c>
      <c r="J3512" s="1" t="str">
        <f aca="false">VLOOKUP(B3512,Customers!$A$2:$G$502,6,FALSE())</f>
        <v>Consumer</v>
      </c>
      <c r="K3512" s="1" t="str">
        <f aca="false">VLOOKUP(C3512,Products!$A$2:$E$62,3,FALSE())</f>
        <v>Electronics</v>
      </c>
      <c r="L3512" s="1" t="str">
        <f aca="false">TEXT(D3512,"yyyy-mm")</f>
        <v>2024-06</v>
      </c>
    </row>
    <row r="3513" customFormat="false" ht="15" hidden="false" customHeight="true" outlineLevel="0" collapsed="false">
      <c r="A3513" s="1" t="n">
        <v>3593</v>
      </c>
      <c r="B3513" s="1" t="n">
        <v>411</v>
      </c>
      <c r="C3513" s="1" t="n">
        <v>8</v>
      </c>
      <c r="D3513" s="1" t="s">
        <v>1562</v>
      </c>
      <c r="E3513" s="1" t="n">
        <v>2</v>
      </c>
      <c r="F3513" s="1" t="n">
        <v>104.4</v>
      </c>
      <c r="G3513" s="1" t="n">
        <v>0</v>
      </c>
      <c r="H3513" s="1" t="s">
        <v>1336</v>
      </c>
      <c r="I3513" s="1" t="n">
        <v>208.8</v>
      </c>
      <c r="J3513" s="1" t="str">
        <f aca="false">VLOOKUP(B3513,Customers!$A$2:$G$502,6,FALSE())</f>
        <v>Corporate</v>
      </c>
      <c r="K3513" s="1" t="str">
        <f aca="false">VLOOKUP(C3513,Products!$A$2:$E$62,3,FALSE())</f>
        <v>Electronics</v>
      </c>
      <c r="L3513" s="1" t="str">
        <f aca="false">TEXT(D3513,"yyyy-mm")</f>
        <v>2023-07</v>
      </c>
    </row>
    <row r="3514" customFormat="false" ht="15" hidden="false" customHeight="true" outlineLevel="0" collapsed="false">
      <c r="A3514" s="1" t="n">
        <v>3594</v>
      </c>
      <c r="B3514" s="1" t="n">
        <v>249</v>
      </c>
      <c r="C3514" s="1" t="n">
        <v>41</v>
      </c>
      <c r="D3514" s="1" t="s">
        <v>1669</v>
      </c>
      <c r="E3514" s="1" t="n">
        <v>2</v>
      </c>
      <c r="F3514" s="1" t="n">
        <v>594.54</v>
      </c>
      <c r="G3514" s="1" t="n">
        <v>0</v>
      </c>
      <c r="H3514" s="1" t="s">
        <v>1336</v>
      </c>
      <c r="I3514" s="1" t="n">
        <v>1189.08</v>
      </c>
      <c r="J3514" s="1" t="str">
        <f aca="false">VLOOKUP(B3514,Customers!$A$2:$G$502,6,FALSE())</f>
        <v>Consumer</v>
      </c>
      <c r="K3514" s="1" t="str">
        <f aca="false">VLOOKUP(C3514,Products!$A$2:$E$62,3,FALSE())</f>
        <v>Software</v>
      </c>
      <c r="L3514" s="1" t="str">
        <f aca="false">TEXT(D3514,"yyyy-mm")</f>
        <v>2024-09</v>
      </c>
    </row>
    <row r="3515" customFormat="false" ht="15" hidden="false" customHeight="true" outlineLevel="0" collapsed="false">
      <c r="A3515" s="1" t="n">
        <v>3595</v>
      </c>
      <c r="B3515" s="1" t="n">
        <v>72</v>
      </c>
      <c r="C3515" s="1" t="n">
        <v>31</v>
      </c>
      <c r="D3515" s="1" t="s">
        <v>1510</v>
      </c>
      <c r="E3515" s="1" t="n">
        <v>3</v>
      </c>
      <c r="F3515" s="1" t="n">
        <v>224.86</v>
      </c>
      <c r="G3515" s="1" t="n">
        <v>0.1</v>
      </c>
      <c r="H3515" s="1" t="s">
        <v>1336</v>
      </c>
      <c r="I3515" s="1" t="n">
        <v>607.12</v>
      </c>
      <c r="J3515" s="1" t="str">
        <f aca="false">VLOOKUP(B3515,Customers!$A$2:$G$502,6,FALSE())</f>
        <v>Corporate</v>
      </c>
      <c r="K3515" s="1" t="str">
        <f aca="false">VLOOKUP(C3515,Products!$A$2:$E$62,3,FALSE())</f>
        <v>Office Supplies</v>
      </c>
      <c r="L3515" s="1" t="str">
        <f aca="false">TEXT(D3515,"yyyy-mm")</f>
        <v>2024-02</v>
      </c>
    </row>
    <row r="3516" customFormat="false" ht="15" hidden="false" customHeight="true" outlineLevel="0" collapsed="false">
      <c r="A3516" s="1" t="n">
        <v>3596</v>
      </c>
      <c r="B3516" s="1" t="n">
        <v>156</v>
      </c>
      <c r="C3516" s="1" t="n">
        <v>20</v>
      </c>
      <c r="D3516" s="1" t="s">
        <v>1341</v>
      </c>
      <c r="E3516" s="1" t="n">
        <v>6</v>
      </c>
      <c r="F3516" s="1" t="n">
        <v>426.15</v>
      </c>
      <c r="G3516" s="1" t="n">
        <v>0</v>
      </c>
      <c r="H3516" s="1" t="s">
        <v>1336</v>
      </c>
      <c r="I3516" s="1" t="n">
        <v>2556.9</v>
      </c>
      <c r="J3516" s="1" t="str">
        <f aca="false">VLOOKUP(B3516,Customers!$A$2:$G$502,6,FALSE())</f>
        <v>Corporate</v>
      </c>
      <c r="K3516" s="1" t="str">
        <f aca="false">VLOOKUP(C3516,Products!$A$2:$E$62,3,FALSE())</f>
        <v>Office Supplies</v>
      </c>
      <c r="L3516" s="1" t="str">
        <f aca="false">TEXT(D3516,"yyyy-mm")</f>
        <v>2023-06</v>
      </c>
    </row>
    <row r="3517" customFormat="false" ht="15" hidden="false" customHeight="true" outlineLevel="0" collapsed="false">
      <c r="A3517" s="1" t="n">
        <v>3597</v>
      </c>
      <c r="B3517" s="1" t="n">
        <v>129</v>
      </c>
      <c r="C3517" s="1" t="n">
        <v>35</v>
      </c>
      <c r="D3517" s="1" t="s">
        <v>1558</v>
      </c>
      <c r="E3517" s="1" t="n">
        <v>1</v>
      </c>
      <c r="F3517" s="1" t="n">
        <v>75.78</v>
      </c>
      <c r="G3517" s="1" t="n">
        <v>0.2</v>
      </c>
      <c r="H3517" s="1" t="s">
        <v>1336</v>
      </c>
      <c r="I3517" s="1" t="n">
        <v>60.62</v>
      </c>
      <c r="J3517" s="1" t="str">
        <f aca="false">VLOOKUP(B3517,Customers!$A$2:$G$502,6,FALSE())</f>
        <v>Corporate</v>
      </c>
      <c r="K3517" s="1" t="str">
        <f aca="false">VLOOKUP(C3517,Products!$A$2:$E$62,3,FALSE())</f>
        <v>Software</v>
      </c>
      <c r="L3517" s="1" t="str">
        <f aca="false">TEXT(D3517,"yyyy-mm")</f>
        <v>2024-07</v>
      </c>
    </row>
    <row r="3518" customFormat="false" ht="15" hidden="false" customHeight="true" outlineLevel="0" collapsed="false">
      <c r="A3518" s="1" t="n">
        <v>3598</v>
      </c>
      <c r="B3518" s="1" t="n">
        <v>237</v>
      </c>
      <c r="C3518" s="1" t="n">
        <v>5</v>
      </c>
      <c r="D3518" s="1" t="s">
        <v>689</v>
      </c>
      <c r="E3518" s="1" t="n">
        <v>2</v>
      </c>
      <c r="F3518" s="1" t="n">
        <v>439.06</v>
      </c>
      <c r="G3518" s="1" t="n">
        <v>0</v>
      </c>
      <c r="H3518" s="1" t="s">
        <v>1336</v>
      </c>
      <c r="I3518" s="1" t="n">
        <v>878.12</v>
      </c>
      <c r="J3518" s="1" t="str">
        <f aca="false">VLOOKUP(B3518,Customers!$A$2:$G$502,6,FALSE())</f>
        <v>Consumer</v>
      </c>
      <c r="K3518" s="1" t="str">
        <f aca="false">VLOOKUP(C3518,Products!$A$2:$E$62,3,FALSE())</f>
        <v>Electronics</v>
      </c>
      <c r="L3518" s="1" t="str">
        <f aca="false">TEXT(D3518,"yyyy-mm")</f>
        <v>2023-11</v>
      </c>
    </row>
    <row r="3519" customFormat="false" ht="15" hidden="false" customHeight="true" outlineLevel="0" collapsed="false">
      <c r="A3519" s="1" t="n">
        <v>3599</v>
      </c>
      <c r="B3519" s="1" t="n">
        <v>468</v>
      </c>
      <c r="C3519" s="1" t="n">
        <v>35</v>
      </c>
      <c r="D3519" s="1" t="s">
        <v>89</v>
      </c>
      <c r="E3519" s="1" t="n">
        <v>1</v>
      </c>
      <c r="F3519" s="1" t="n">
        <v>75.78</v>
      </c>
      <c r="G3519" s="1" t="n">
        <v>0.15</v>
      </c>
      <c r="H3519" s="1" t="s">
        <v>1336</v>
      </c>
      <c r="I3519" s="1" t="n">
        <v>64.41</v>
      </c>
      <c r="J3519" s="1" t="str">
        <f aca="false">VLOOKUP(B3519,Customers!$A$2:$G$502,6,FALSE())</f>
        <v>Small Business</v>
      </c>
      <c r="K3519" s="1" t="str">
        <f aca="false">VLOOKUP(C3519,Products!$A$2:$E$62,3,FALSE())</f>
        <v>Software</v>
      </c>
      <c r="L3519" s="1" t="str">
        <f aca="false">TEXT(D3519,"yyyy-mm")</f>
        <v>2023-02</v>
      </c>
    </row>
    <row r="3520" customFormat="false" ht="15" hidden="false" customHeight="true" outlineLevel="0" collapsed="false">
      <c r="A3520" s="1" t="n">
        <v>3600</v>
      </c>
      <c r="B3520" s="1" t="n">
        <v>472</v>
      </c>
      <c r="C3520" s="1" t="n">
        <v>17</v>
      </c>
      <c r="D3520" s="1" t="s">
        <v>501</v>
      </c>
      <c r="E3520" s="1" t="n">
        <v>5</v>
      </c>
      <c r="F3520" s="1" t="n">
        <v>65.61</v>
      </c>
      <c r="G3520" s="1" t="n">
        <v>0.1</v>
      </c>
      <c r="H3520" s="1" t="s">
        <v>1336</v>
      </c>
      <c r="I3520" s="1" t="n">
        <v>295.24</v>
      </c>
      <c r="J3520" s="1" t="str">
        <f aca="false">VLOOKUP(B3520,Customers!$A$2:$G$502,6,FALSE())</f>
        <v>Consumer</v>
      </c>
      <c r="K3520" s="1" t="str">
        <f aca="false">VLOOKUP(C3520,Products!$A$2:$E$62,3,FALSE())</f>
        <v>Electronics</v>
      </c>
      <c r="L3520" s="1" t="str">
        <f aca="false">TEXT(D3520,"yyyy-mm")</f>
        <v>2023-05</v>
      </c>
    </row>
    <row r="3521" customFormat="false" ht="15" hidden="false" customHeight="true" outlineLevel="0" collapsed="false">
      <c r="A3521" s="1" t="n">
        <v>3601</v>
      </c>
      <c r="B3521" s="1" t="n">
        <v>13</v>
      </c>
      <c r="C3521" s="1" t="n">
        <v>17</v>
      </c>
      <c r="D3521" s="1" t="s">
        <v>1202</v>
      </c>
      <c r="E3521" s="1" t="n">
        <v>7</v>
      </c>
      <c r="F3521" s="1" t="n">
        <v>65.61</v>
      </c>
      <c r="G3521" s="1" t="n">
        <v>0.2</v>
      </c>
      <c r="H3521" s="1" t="s">
        <v>1336</v>
      </c>
      <c r="I3521" s="1" t="n">
        <v>367.42</v>
      </c>
      <c r="J3521" s="1" t="str">
        <f aca="false">VLOOKUP(B3521,Customers!$A$2:$G$502,6,FALSE())</f>
        <v>Corporate</v>
      </c>
      <c r="K3521" s="1" t="str">
        <f aca="false">VLOOKUP(C3521,Products!$A$2:$E$62,3,FALSE())</f>
        <v>Electronics</v>
      </c>
      <c r="L3521" s="1" t="str">
        <f aca="false">TEXT(D3521,"yyyy-mm")</f>
        <v>2024-04</v>
      </c>
    </row>
    <row r="3522" customFormat="false" ht="15" hidden="false" customHeight="true" outlineLevel="0" collapsed="false">
      <c r="A3522" s="1" t="n">
        <v>3602</v>
      </c>
      <c r="B3522" s="1" t="n">
        <v>426</v>
      </c>
      <c r="C3522" s="1" t="n">
        <v>7</v>
      </c>
      <c r="D3522" s="1" t="s">
        <v>455</v>
      </c>
      <c r="E3522" s="1" t="n">
        <v>8</v>
      </c>
      <c r="F3522" s="1" t="n">
        <v>460</v>
      </c>
      <c r="G3522" s="1" t="n">
        <v>0.2</v>
      </c>
      <c r="H3522" s="1" t="s">
        <v>1336</v>
      </c>
      <c r="I3522" s="1" t="n">
        <v>2944</v>
      </c>
      <c r="J3522" s="1" t="str">
        <f aca="false">VLOOKUP(B3522,Customers!$A$2:$G$502,6,FALSE())</f>
        <v>Consumer</v>
      </c>
      <c r="K3522" s="1" t="str">
        <f aca="false">VLOOKUP(C3522,Products!$A$2:$E$62,3,FALSE())</f>
        <v>Electronics</v>
      </c>
      <c r="L3522" s="1" t="str">
        <f aca="false">TEXT(D3522,"yyyy-mm")</f>
        <v>2024-08</v>
      </c>
    </row>
    <row r="3523" customFormat="false" ht="15" hidden="false" customHeight="true" outlineLevel="0" collapsed="false">
      <c r="A3523" s="1" t="n">
        <v>3603</v>
      </c>
      <c r="B3523" s="1" t="n">
        <v>490</v>
      </c>
      <c r="C3523" s="1" t="n">
        <v>43</v>
      </c>
      <c r="D3523" s="1" t="s">
        <v>482</v>
      </c>
      <c r="E3523" s="1" t="n">
        <v>1</v>
      </c>
      <c r="F3523" s="1" t="n">
        <v>186.31</v>
      </c>
      <c r="G3523" s="1" t="n">
        <v>0.1</v>
      </c>
      <c r="H3523" s="1" t="s">
        <v>1336</v>
      </c>
      <c r="I3523" s="1" t="n">
        <v>167.68</v>
      </c>
      <c r="J3523" s="1" t="str">
        <f aca="false">VLOOKUP(B3523,Customers!$A$2:$G$502,6,FALSE())</f>
        <v>Consumer</v>
      </c>
      <c r="K3523" s="1" t="str">
        <f aca="false">VLOOKUP(C3523,Products!$A$2:$E$62,3,FALSE())</f>
        <v>Software</v>
      </c>
      <c r="L3523" s="1" t="str">
        <f aca="false">TEXT(D3523,"yyyy-mm")</f>
        <v>2024-11</v>
      </c>
    </row>
    <row r="3524" customFormat="false" ht="15" hidden="false" customHeight="true" outlineLevel="0" collapsed="false">
      <c r="A3524" s="1" t="n">
        <v>3604</v>
      </c>
      <c r="B3524" s="1" t="n">
        <v>343</v>
      </c>
      <c r="C3524" s="1" t="n">
        <v>50</v>
      </c>
      <c r="D3524" s="1" t="s">
        <v>214</v>
      </c>
      <c r="E3524" s="1" t="n">
        <v>7</v>
      </c>
      <c r="F3524" s="1" t="n">
        <v>19.73</v>
      </c>
      <c r="G3524" s="1" t="n">
        <v>0</v>
      </c>
      <c r="H3524" s="1" t="s">
        <v>1336</v>
      </c>
      <c r="I3524" s="1" t="n">
        <v>138.11</v>
      </c>
      <c r="J3524" s="1" t="str">
        <f aca="false">VLOOKUP(B3524,Customers!$A$2:$G$502,6,FALSE())</f>
        <v>Unknown</v>
      </c>
      <c r="K3524" s="1" t="str">
        <f aca="false">VLOOKUP(C3524,Products!$A$2:$E$62,3,FALSE())</f>
        <v>Software</v>
      </c>
      <c r="L3524" s="1" t="str">
        <f aca="false">TEXT(D3524,"yyyy-mm")</f>
        <v>2023-08</v>
      </c>
    </row>
    <row r="3525" customFormat="false" ht="15" hidden="false" customHeight="true" outlineLevel="0" collapsed="false">
      <c r="A3525" s="1" t="n">
        <v>3605</v>
      </c>
      <c r="B3525" s="1" t="n">
        <v>102</v>
      </c>
      <c r="C3525" s="1" t="n">
        <v>49</v>
      </c>
      <c r="D3525" s="1" t="s">
        <v>167</v>
      </c>
      <c r="E3525" s="1" t="n">
        <v>5</v>
      </c>
      <c r="F3525" s="1" t="n">
        <v>325.17</v>
      </c>
      <c r="G3525" s="1" t="n">
        <v>0.1</v>
      </c>
      <c r="H3525" s="1" t="s">
        <v>1336</v>
      </c>
      <c r="I3525" s="1" t="n">
        <v>1463.26</v>
      </c>
      <c r="J3525" s="1" t="str">
        <f aca="false">VLOOKUP(B3525,Customers!$A$2:$G$502,6,FALSE())</f>
        <v>Consumer</v>
      </c>
      <c r="K3525" s="1" t="str">
        <f aca="false">VLOOKUP(C3525,Products!$A$2:$E$62,3,FALSE())</f>
        <v>Software</v>
      </c>
      <c r="L3525" s="1" t="str">
        <f aca="false">TEXT(D3525,"yyyy-mm")</f>
        <v>2023-03</v>
      </c>
    </row>
    <row r="3526" customFormat="false" ht="15" hidden="false" customHeight="true" outlineLevel="0" collapsed="false">
      <c r="A3526" s="1" t="n">
        <v>3606</v>
      </c>
      <c r="B3526" s="1" t="n">
        <v>54</v>
      </c>
      <c r="C3526" s="1" t="n">
        <v>20</v>
      </c>
      <c r="D3526" s="1" t="s">
        <v>1497</v>
      </c>
      <c r="E3526" s="1" t="n">
        <v>1</v>
      </c>
      <c r="F3526" s="1" t="n">
        <v>426.15</v>
      </c>
      <c r="G3526" s="1" t="n">
        <v>0</v>
      </c>
      <c r="H3526" s="1" t="s">
        <v>1346</v>
      </c>
      <c r="I3526" s="1" t="n">
        <v>426.15</v>
      </c>
      <c r="J3526" s="1" t="str">
        <f aca="false">VLOOKUP(B3526,Customers!$A$2:$G$502,6,FALSE())</f>
        <v>Consumer</v>
      </c>
      <c r="K3526" s="1" t="str">
        <f aca="false">VLOOKUP(C3526,Products!$A$2:$E$62,3,FALSE())</f>
        <v>Office Supplies</v>
      </c>
      <c r="L3526" s="1" t="str">
        <f aca="false">TEXT(D3526,"yyyy-mm")</f>
        <v>2023-01</v>
      </c>
    </row>
    <row r="3527" customFormat="false" ht="15" hidden="false" customHeight="true" outlineLevel="0" collapsed="false">
      <c r="A3527" s="1" t="n">
        <v>3607</v>
      </c>
      <c r="B3527" s="1" t="n">
        <v>60</v>
      </c>
      <c r="C3527" s="1" t="n">
        <v>29</v>
      </c>
      <c r="D3527" s="1" t="s">
        <v>737</v>
      </c>
      <c r="E3527" s="1" t="n">
        <v>3</v>
      </c>
      <c r="F3527" s="1" t="n">
        <v>54.62</v>
      </c>
      <c r="G3527" s="1" t="n">
        <v>0.15</v>
      </c>
      <c r="H3527" s="1" t="s">
        <v>1336</v>
      </c>
      <c r="I3527" s="1" t="n">
        <v>139.28</v>
      </c>
      <c r="J3527" s="1" t="str">
        <f aca="false">VLOOKUP(B3527,Customers!$A$2:$G$502,6,FALSE())</f>
        <v>Corporate</v>
      </c>
      <c r="K3527" s="1" t="str">
        <f aca="false">VLOOKUP(C3527,Products!$A$2:$E$62,3,FALSE())</f>
        <v>Office Supplies</v>
      </c>
      <c r="L3527" s="1" t="str">
        <f aca="false">TEXT(D3527,"yyyy-mm")</f>
        <v>2024-08</v>
      </c>
    </row>
    <row r="3528" customFormat="false" ht="15" hidden="false" customHeight="true" outlineLevel="0" collapsed="false">
      <c r="A3528" s="1" t="n">
        <v>3608</v>
      </c>
      <c r="B3528" s="1" t="n">
        <v>1</v>
      </c>
      <c r="C3528" s="1" t="n">
        <v>37</v>
      </c>
      <c r="D3528" s="1" t="s">
        <v>1389</v>
      </c>
      <c r="E3528" s="1" t="n">
        <v>7</v>
      </c>
      <c r="F3528" s="1" t="n">
        <v>13.95</v>
      </c>
      <c r="G3528" s="1" t="n">
        <v>0.2</v>
      </c>
      <c r="H3528" s="1" t="s">
        <v>1336</v>
      </c>
      <c r="I3528" s="1" t="n">
        <v>78.12</v>
      </c>
      <c r="J3528" s="1" t="str">
        <f aca="false">VLOOKUP(B3528,Customers!$A$2:$G$502,6,FALSE())</f>
        <v>Consumer</v>
      </c>
      <c r="K3528" s="1" t="str">
        <f aca="false">VLOOKUP(C3528,Products!$A$2:$E$62,3,FALSE())</f>
        <v>Software</v>
      </c>
      <c r="L3528" s="1" t="str">
        <f aca="false">TEXT(D3528,"yyyy-mm")</f>
        <v>2023-10</v>
      </c>
    </row>
    <row r="3529" customFormat="false" ht="15" hidden="false" customHeight="true" outlineLevel="0" collapsed="false">
      <c r="A3529" s="1" t="n">
        <v>3609</v>
      </c>
      <c r="B3529" s="1" t="n">
        <v>339</v>
      </c>
      <c r="C3529" s="1" t="n">
        <v>53</v>
      </c>
      <c r="D3529" s="1" t="s">
        <v>1544</v>
      </c>
      <c r="E3529" s="1" t="n">
        <v>1</v>
      </c>
      <c r="F3529" s="1" t="n">
        <v>509.98</v>
      </c>
      <c r="G3529" s="1" t="n">
        <v>0.05</v>
      </c>
      <c r="H3529" s="1" t="s">
        <v>1336</v>
      </c>
      <c r="I3529" s="1" t="n">
        <v>484.48</v>
      </c>
      <c r="J3529" s="1" t="str">
        <f aca="false">VLOOKUP(B3529,Customers!$A$2:$G$502,6,FALSE())</f>
        <v>Corporate</v>
      </c>
      <c r="K3529" s="1" t="str">
        <f aca="false">VLOOKUP(C3529,Products!$A$2:$E$62,3,FALSE())</f>
        <v>Software</v>
      </c>
      <c r="L3529" s="1" t="str">
        <f aca="false">TEXT(D3529,"yyyy-mm")</f>
        <v>2024-05</v>
      </c>
    </row>
    <row r="3530" customFormat="false" ht="15" hidden="false" customHeight="true" outlineLevel="0" collapsed="false">
      <c r="A3530" s="1" t="n">
        <v>3610</v>
      </c>
      <c r="B3530" s="1" t="n">
        <v>414</v>
      </c>
      <c r="C3530" s="1" t="n">
        <v>23</v>
      </c>
      <c r="D3530" s="1" t="s">
        <v>508</v>
      </c>
      <c r="E3530" s="1" t="n">
        <v>7</v>
      </c>
      <c r="F3530" s="1" t="n">
        <v>188.73</v>
      </c>
      <c r="G3530" s="1" t="n">
        <v>0</v>
      </c>
      <c r="H3530" s="1" t="s">
        <v>1336</v>
      </c>
      <c r="I3530" s="1" t="n">
        <v>1321.11</v>
      </c>
      <c r="J3530" s="1" t="str">
        <f aca="false">VLOOKUP(B3530,Customers!$A$2:$G$502,6,FALSE())</f>
        <v>Consumer</v>
      </c>
      <c r="K3530" s="1" t="str">
        <f aca="false">VLOOKUP(C3530,Products!$A$2:$E$62,3,FALSE())</f>
        <v>Office Supplies</v>
      </c>
      <c r="L3530" s="1" t="str">
        <f aca="false">TEXT(D3530,"yyyy-mm")</f>
        <v>2024-02</v>
      </c>
    </row>
    <row r="3531" customFormat="false" ht="15" hidden="false" customHeight="true" outlineLevel="0" collapsed="false">
      <c r="A3531" s="1" t="n">
        <v>3611</v>
      </c>
      <c r="B3531" s="1" t="n">
        <v>339</v>
      </c>
      <c r="C3531" s="1" t="n">
        <v>31</v>
      </c>
      <c r="D3531" s="1" t="s">
        <v>1563</v>
      </c>
      <c r="E3531" s="1" t="n">
        <v>5</v>
      </c>
      <c r="F3531" s="1" t="n">
        <v>224.86</v>
      </c>
      <c r="G3531" s="1" t="n">
        <v>0</v>
      </c>
      <c r="H3531" s="1" t="s">
        <v>1336</v>
      </c>
      <c r="I3531" s="1" t="n">
        <v>1124.3</v>
      </c>
      <c r="J3531" s="1" t="str">
        <f aca="false">VLOOKUP(B3531,Customers!$A$2:$G$502,6,FALSE())</f>
        <v>Corporate</v>
      </c>
      <c r="K3531" s="1" t="str">
        <f aca="false">VLOOKUP(C3531,Products!$A$2:$E$62,3,FALSE())</f>
        <v>Office Supplies</v>
      </c>
      <c r="L3531" s="1" t="str">
        <f aca="false">TEXT(D3531,"yyyy-mm")</f>
        <v>2024-09</v>
      </c>
    </row>
    <row r="3532" customFormat="false" ht="15" hidden="false" customHeight="true" outlineLevel="0" collapsed="false">
      <c r="A3532" s="1" t="n">
        <v>3612</v>
      </c>
      <c r="B3532" s="1" t="n">
        <v>440</v>
      </c>
      <c r="C3532" s="1" t="n">
        <v>60</v>
      </c>
      <c r="D3532" s="1" t="s">
        <v>194</v>
      </c>
      <c r="E3532" s="1" t="n">
        <v>1</v>
      </c>
      <c r="F3532" s="1" t="n">
        <v>584.98</v>
      </c>
      <c r="G3532" s="1" t="n">
        <v>0</v>
      </c>
      <c r="H3532" s="1" t="s">
        <v>1336</v>
      </c>
      <c r="I3532" s="1" t="n">
        <v>584.98</v>
      </c>
      <c r="J3532" s="1" t="str">
        <f aca="false">VLOOKUP(B3532,Customers!$A$2:$G$502,6,FALSE())</f>
        <v>Small Business</v>
      </c>
      <c r="K3532" s="1" t="str">
        <f aca="false">VLOOKUP(C3532,Products!$A$2:$E$62,3,FALSE())</f>
        <v>Furniture</v>
      </c>
      <c r="L3532" s="1" t="str">
        <f aca="false">TEXT(D3532,"yyyy-mm")</f>
        <v>2024-04</v>
      </c>
    </row>
    <row r="3533" customFormat="false" ht="15" hidden="false" customHeight="true" outlineLevel="0" collapsed="false">
      <c r="A3533" s="1" t="n">
        <v>3613</v>
      </c>
      <c r="B3533" s="1" t="n">
        <v>231</v>
      </c>
      <c r="C3533" s="1" t="n">
        <v>1</v>
      </c>
      <c r="D3533" s="1" t="s">
        <v>1623</v>
      </c>
      <c r="E3533" s="1" t="n">
        <v>1</v>
      </c>
      <c r="F3533" s="1" t="n">
        <v>327.32</v>
      </c>
      <c r="G3533" s="1" t="n">
        <v>0</v>
      </c>
      <c r="H3533" s="1" t="s">
        <v>1336</v>
      </c>
      <c r="I3533" s="1" t="n">
        <v>327.32</v>
      </c>
      <c r="J3533" s="1" t="str">
        <f aca="false">VLOOKUP(B3533,Customers!$A$2:$G$502,6,FALSE())</f>
        <v>Consumer</v>
      </c>
      <c r="K3533" s="1" t="str">
        <f aca="false">VLOOKUP(C3533,Products!$A$2:$E$62,3,FALSE())</f>
        <v>Electronics</v>
      </c>
      <c r="L3533" s="1" t="str">
        <f aca="false">TEXT(D3533,"yyyy-mm")</f>
        <v>2024-09</v>
      </c>
    </row>
    <row r="3534" customFormat="false" ht="15" hidden="false" customHeight="true" outlineLevel="0" collapsed="false">
      <c r="A3534" s="1" t="n">
        <v>3615</v>
      </c>
      <c r="B3534" s="1" t="n">
        <v>198</v>
      </c>
      <c r="C3534" s="1" t="n">
        <v>2</v>
      </c>
      <c r="D3534" s="1" t="s">
        <v>1437</v>
      </c>
      <c r="E3534" s="1" t="n">
        <v>9</v>
      </c>
      <c r="F3534" s="1" t="n">
        <v>498.15</v>
      </c>
      <c r="G3534" s="1" t="n">
        <v>0</v>
      </c>
      <c r="H3534" s="1" t="s">
        <v>1336</v>
      </c>
      <c r="I3534" s="1" t="n">
        <v>4483.35</v>
      </c>
      <c r="J3534" s="1" t="str">
        <f aca="false">VLOOKUP(B3534,Customers!$A$2:$G$502,6,FALSE())</f>
        <v>Corporate</v>
      </c>
      <c r="K3534" s="1" t="str">
        <f aca="false">VLOOKUP(C3534,Products!$A$2:$E$62,3,FALSE())</f>
        <v>Electronics</v>
      </c>
      <c r="L3534" s="1" t="str">
        <f aca="false">TEXT(D3534,"yyyy-mm")</f>
        <v>2023-08</v>
      </c>
    </row>
    <row r="3535" customFormat="false" ht="15" hidden="false" customHeight="true" outlineLevel="0" collapsed="false">
      <c r="A3535" s="1" t="n">
        <v>3616</v>
      </c>
      <c r="B3535" s="1" t="n">
        <v>360</v>
      </c>
      <c r="C3535" s="1" t="n">
        <v>42</v>
      </c>
      <c r="D3535" s="1" t="s">
        <v>243</v>
      </c>
      <c r="E3535" s="1" t="n">
        <v>3</v>
      </c>
      <c r="F3535" s="1" t="n">
        <v>174.48</v>
      </c>
      <c r="G3535" s="1" t="n">
        <v>0</v>
      </c>
      <c r="H3535" s="1" t="s">
        <v>1336</v>
      </c>
      <c r="I3535" s="1" t="n">
        <v>523.44</v>
      </c>
      <c r="J3535" s="1" t="str">
        <f aca="false">VLOOKUP(B3535,Customers!$A$2:$G$502,6,FALSE())</f>
        <v>Corporate</v>
      </c>
      <c r="K3535" s="1" t="str">
        <f aca="false">VLOOKUP(C3535,Products!$A$2:$E$62,3,FALSE())</f>
        <v>Software</v>
      </c>
      <c r="L3535" s="1" t="str">
        <f aca="false">TEXT(D3535,"yyyy-mm")</f>
        <v>2024-07</v>
      </c>
    </row>
    <row r="3536" customFormat="false" ht="15" hidden="false" customHeight="true" outlineLevel="0" collapsed="false">
      <c r="A3536" s="1" t="n">
        <v>3617</v>
      </c>
      <c r="B3536" s="1" t="n">
        <v>429</v>
      </c>
      <c r="C3536" s="1" t="n">
        <v>3</v>
      </c>
      <c r="D3536" s="1" t="s">
        <v>1498</v>
      </c>
      <c r="E3536" s="1" t="n">
        <v>5</v>
      </c>
      <c r="F3536" s="1" t="n">
        <v>89.39</v>
      </c>
      <c r="G3536" s="1" t="n">
        <v>0</v>
      </c>
      <c r="H3536" s="1" t="s">
        <v>1370</v>
      </c>
      <c r="I3536" s="1" t="n">
        <v>446.95</v>
      </c>
      <c r="J3536" s="1" t="str">
        <f aca="false">VLOOKUP(B3536,Customers!$A$2:$G$502,6,FALSE())</f>
        <v>Corporate</v>
      </c>
      <c r="K3536" s="1" t="str">
        <f aca="false">VLOOKUP(C3536,Products!$A$2:$E$62,3,FALSE())</f>
        <v>Electronics</v>
      </c>
      <c r="L3536" s="1" t="str">
        <f aca="false">TEXT(D3536,"yyyy-mm")</f>
        <v>2023-03</v>
      </c>
    </row>
    <row r="3537" customFormat="false" ht="15" hidden="false" customHeight="true" outlineLevel="0" collapsed="false">
      <c r="A3537" s="1" t="n">
        <v>3618</v>
      </c>
      <c r="B3537" s="1" t="n">
        <v>403</v>
      </c>
      <c r="C3537" s="1" t="n">
        <v>7</v>
      </c>
      <c r="D3537" s="1" t="s">
        <v>280</v>
      </c>
      <c r="E3537" s="1" t="n">
        <v>9</v>
      </c>
      <c r="F3537" s="1" t="n">
        <v>460</v>
      </c>
      <c r="G3537" s="1" t="n">
        <v>0</v>
      </c>
      <c r="H3537" s="1" t="s">
        <v>1336</v>
      </c>
      <c r="I3537" s="1" t="n">
        <v>4140</v>
      </c>
      <c r="J3537" s="1" t="str">
        <f aca="false">VLOOKUP(B3537,Customers!$A$2:$G$502,6,FALSE())</f>
        <v>Consumer</v>
      </c>
      <c r="K3537" s="1" t="str">
        <f aca="false">VLOOKUP(C3537,Products!$A$2:$E$62,3,FALSE())</f>
        <v>Electronics</v>
      </c>
      <c r="L3537" s="1" t="str">
        <f aca="false">TEXT(D3537,"yyyy-mm")</f>
        <v>2023-06</v>
      </c>
    </row>
    <row r="3538" customFormat="false" ht="15" hidden="false" customHeight="true" outlineLevel="0" collapsed="false">
      <c r="A3538" s="1" t="n">
        <v>3619</v>
      </c>
      <c r="B3538" s="1" t="n">
        <v>144</v>
      </c>
      <c r="C3538" s="1" t="n">
        <v>29</v>
      </c>
      <c r="D3538" s="1" t="s">
        <v>1196</v>
      </c>
      <c r="E3538" s="1" t="n">
        <v>6</v>
      </c>
      <c r="F3538" s="1" t="n">
        <v>54.62</v>
      </c>
      <c r="G3538" s="1" t="n">
        <v>0.1</v>
      </c>
      <c r="H3538" s="1" t="s">
        <v>1336</v>
      </c>
      <c r="I3538" s="1" t="n">
        <v>294.95</v>
      </c>
      <c r="J3538" s="1" t="str">
        <f aca="false">VLOOKUP(B3538,Customers!$A$2:$G$502,6,FALSE())</f>
        <v>Small Business</v>
      </c>
      <c r="K3538" s="1" t="str">
        <f aca="false">VLOOKUP(C3538,Products!$A$2:$E$62,3,FALSE())</f>
        <v>Office Supplies</v>
      </c>
      <c r="L3538" s="1" t="str">
        <f aca="false">TEXT(D3538,"yyyy-mm")</f>
        <v>2023-10</v>
      </c>
    </row>
    <row r="3539" customFormat="false" ht="15" hidden="false" customHeight="true" outlineLevel="0" collapsed="false">
      <c r="A3539" s="1" t="n">
        <v>3620</v>
      </c>
      <c r="B3539" s="1" t="n">
        <v>326</v>
      </c>
      <c r="C3539" s="1" t="n">
        <v>41</v>
      </c>
      <c r="D3539" s="1" t="s">
        <v>1429</v>
      </c>
      <c r="E3539" s="1" t="n">
        <v>9</v>
      </c>
      <c r="F3539" s="1" t="n">
        <v>594.54</v>
      </c>
      <c r="G3539" s="1" t="n">
        <v>0.2</v>
      </c>
      <c r="H3539" s="1" t="s">
        <v>1336</v>
      </c>
      <c r="I3539" s="1" t="n">
        <v>4280.69</v>
      </c>
      <c r="J3539" s="1" t="str">
        <f aca="false">VLOOKUP(B3539,Customers!$A$2:$G$502,6,FALSE())</f>
        <v>Corporate</v>
      </c>
      <c r="K3539" s="1" t="str">
        <f aca="false">VLOOKUP(C3539,Products!$A$2:$E$62,3,FALSE())</f>
        <v>Software</v>
      </c>
      <c r="L3539" s="1" t="str">
        <f aca="false">TEXT(D3539,"yyyy-mm")</f>
        <v>2024-08</v>
      </c>
    </row>
    <row r="3540" customFormat="false" ht="15" hidden="false" customHeight="true" outlineLevel="0" collapsed="false">
      <c r="A3540" s="1" t="n">
        <v>3621</v>
      </c>
      <c r="B3540" s="1" t="n">
        <v>7</v>
      </c>
      <c r="C3540" s="1" t="n">
        <v>58</v>
      </c>
      <c r="D3540" s="1" t="s">
        <v>1499</v>
      </c>
      <c r="E3540" s="1" t="n">
        <v>8</v>
      </c>
      <c r="F3540" s="1" t="n">
        <v>515.55</v>
      </c>
      <c r="G3540" s="1" t="n">
        <v>0</v>
      </c>
      <c r="H3540" s="1" t="s">
        <v>1336</v>
      </c>
      <c r="I3540" s="1" t="n">
        <v>4124.4</v>
      </c>
      <c r="J3540" s="1" t="str">
        <f aca="false">VLOOKUP(B3540,Customers!$A$2:$G$502,6,FALSE())</f>
        <v>Small Business</v>
      </c>
      <c r="K3540" s="1" t="str">
        <f aca="false">VLOOKUP(C3540,Products!$A$2:$E$62,3,FALSE())</f>
        <v>Furniture</v>
      </c>
      <c r="L3540" s="1" t="str">
        <f aca="false">TEXT(D3540,"yyyy-mm")</f>
        <v>2024-10</v>
      </c>
    </row>
    <row r="3541" customFormat="false" ht="15" hidden="false" customHeight="true" outlineLevel="0" collapsed="false">
      <c r="A3541" s="1" t="n">
        <v>3622</v>
      </c>
      <c r="B3541" s="1" t="n">
        <v>234</v>
      </c>
      <c r="C3541" s="1" t="n">
        <v>52</v>
      </c>
      <c r="D3541" s="1" t="s">
        <v>1473</v>
      </c>
      <c r="E3541" s="1" t="n">
        <v>8</v>
      </c>
      <c r="F3541" s="1" t="n">
        <v>207.67</v>
      </c>
      <c r="G3541" s="1" t="n">
        <v>0</v>
      </c>
      <c r="H3541" s="1" t="s">
        <v>1336</v>
      </c>
      <c r="I3541" s="1" t="n">
        <v>1661.36</v>
      </c>
      <c r="J3541" s="1" t="str">
        <f aca="false">VLOOKUP(B3541,Customers!$A$2:$G$502,6,FALSE())</f>
        <v>Small Business</v>
      </c>
      <c r="K3541" s="1" t="str">
        <f aca="false">VLOOKUP(C3541,Products!$A$2:$E$62,3,FALSE())</f>
        <v>Software</v>
      </c>
      <c r="L3541" s="1" t="str">
        <f aca="false">TEXT(D3541,"yyyy-mm")</f>
        <v>2024-04</v>
      </c>
    </row>
    <row r="3542" customFormat="false" ht="15" hidden="false" customHeight="true" outlineLevel="0" collapsed="false">
      <c r="A3542" s="1" t="n">
        <v>3623</v>
      </c>
      <c r="B3542" s="1" t="n">
        <v>114</v>
      </c>
      <c r="C3542" s="1" t="n">
        <v>42</v>
      </c>
      <c r="D3542" s="1" t="s">
        <v>1439</v>
      </c>
      <c r="E3542" s="1" t="n">
        <v>1</v>
      </c>
      <c r="F3542" s="1" t="n">
        <v>174.48</v>
      </c>
      <c r="G3542" s="1" t="n">
        <v>0</v>
      </c>
      <c r="H3542" s="1" t="s">
        <v>1336</v>
      </c>
      <c r="I3542" s="1" t="n">
        <v>174.48</v>
      </c>
      <c r="J3542" s="1" t="str">
        <f aca="false">VLOOKUP(B3542,Customers!$A$2:$G$502,6,FALSE())</f>
        <v>Consumer</v>
      </c>
      <c r="K3542" s="1" t="str">
        <f aca="false">VLOOKUP(C3542,Products!$A$2:$E$62,3,FALSE())</f>
        <v>Software</v>
      </c>
      <c r="L3542" s="1" t="str">
        <f aca="false">TEXT(D3542,"yyyy-mm")</f>
        <v>2024-05</v>
      </c>
    </row>
    <row r="3543" customFormat="false" ht="15" hidden="false" customHeight="true" outlineLevel="0" collapsed="false">
      <c r="A3543" s="1" t="n">
        <v>3624</v>
      </c>
      <c r="B3543" s="1" t="n">
        <v>479</v>
      </c>
      <c r="C3543" s="1" t="n">
        <v>3</v>
      </c>
      <c r="D3543" s="1" t="s">
        <v>330</v>
      </c>
      <c r="E3543" s="1" t="n">
        <v>9</v>
      </c>
      <c r="F3543" s="1" t="n">
        <v>89.39</v>
      </c>
      <c r="G3543" s="1" t="n">
        <v>0.1</v>
      </c>
      <c r="H3543" s="1" t="s">
        <v>1336</v>
      </c>
      <c r="I3543" s="1" t="n">
        <v>724.06</v>
      </c>
      <c r="J3543" s="1" t="str">
        <f aca="false">VLOOKUP(B3543,Customers!$A$2:$G$502,6,FALSE())</f>
        <v>Small Business</v>
      </c>
      <c r="K3543" s="1" t="str">
        <f aca="false">VLOOKUP(C3543,Products!$A$2:$E$62,3,FALSE())</f>
        <v>Electronics</v>
      </c>
      <c r="L3543" s="1" t="str">
        <f aca="false">TEXT(D3543,"yyyy-mm")</f>
        <v>2024-03</v>
      </c>
    </row>
    <row r="3544" customFormat="false" ht="15" hidden="false" customHeight="true" outlineLevel="0" collapsed="false">
      <c r="A3544" s="1" t="n">
        <v>3625</v>
      </c>
      <c r="B3544" s="1" t="n">
        <v>361</v>
      </c>
      <c r="C3544" s="1" t="n">
        <v>49</v>
      </c>
      <c r="D3544" s="1" t="s">
        <v>1551</v>
      </c>
      <c r="E3544" s="1" t="n">
        <v>6</v>
      </c>
      <c r="F3544" s="1" t="n">
        <v>325.17</v>
      </c>
      <c r="G3544" s="1" t="n">
        <v>0.2</v>
      </c>
      <c r="H3544" s="1" t="s">
        <v>1336</v>
      </c>
      <c r="I3544" s="1" t="n">
        <v>1560.82</v>
      </c>
      <c r="J3544" s="1" t="str">
        <f aca="false">VLOOKUP(B3544,Customers!$A$2:$G$502,6,FALSE())</f>
        <v>Small Business</v>
      </c>
      <c r="K3544" s="1" t="str">
        <f aca="false">VLOOKUP(C3544,Products!$A$2:$E$62,3,FALSE())</f>
        <v>Software</v>
      </c>
      <c r="L3544" s="1" t="str">
        <f aca="false">TEXT(D3544,"yyyy-mm")</f>
        <v>2024-03</v>
      </c>
    </row>
    <row r="3545" customFormat="false" ht="15" hidden="false" customHeight="true" outlineLevel="0" collapsed="false">
      <c r="A3545" s="1" t="n">
        <v>3626</v>
      </c>
      <c r="B3545" s="1" t="n">
        <v>48</v>
      </c>
      <c r="C3545" s="1" t="n">
        <v>18</v>
      </c>
      <c r="D3545" s="1" t="s">
        <v>1451</v>
      </c>
      <c r="E3545" s="1" t="n">
        <v>9</v>
      </c>
      <c r="F3545" s="1" t="n">
        <v>747.34</v>
      </c>
      <c r="G3545" s="1" t="n">
        <v>0</v>
      </c>
      <c r="H3545" s="1" t="s">
        <v>1336</v>
      </c>
      <c r="I3545" s="1" t="n">
        <v>6726.06</v>
      </c>
      <c r="J3545" s="1" t="str">
        <f aca="false">VLOOKUP(B3545,Customers!$A$2:$G$502,6,FALSE())</f>
        <v>Small Business</v>
      </c>
      <c r="K3545" s="1" t="str">
        <f aca="false">VLOOKUP(C3545,Products!$A$2:$E$62,3,FALSE())</f>
        <v>Electronics</v>
      </c>
      <c r="L3545" s="1" t="str">
        <f aca="false">TEXT(D3545,"yyyy-mm")</f>
        <v>2023-10</v>
      </c>
    </row>
    <row r="3546" customFormat="false" ht="15" hidden="false" customHeight="true" outlineLevel="0" collapsed="false">
      <c r="A3546" s="1" t="n">
        <v>3627</v>
      </c>
      <c r="B3546" s="1" t="n">
        <v>217</v>
      </c>
      <c r="C3546" s="1" t="n">
        <v>29</v>
      </c>
      <c r="D3546" s="1" t="s">
        <v>1377</v>
      </c>
      <c r="E3546" s="1" t="n">
        <v>3</v>
      </c>
      <c r="F3546" s="1" t="n">
        <v>54.62</v>
      </c>
      <c r="G3546" s="1" t="n">
        <v>0</v>
      </c>
      <c r="H3546" s="1" t="s">
        <v>1336</v>
      </c>
      <c r="I3546" s="1" t="n">
        <v>163.86</v>
      </c>
      <c r="J3546" s="1" t="str">
        <f aca="false">VLOOKUP(B3546,Customers!$A$2:$G$502,6,FALSE())</f>
        <v>Consumer</v>
      </c>
      <c r="K3546" s="1" t="str">
        <f aca="false">VLOOKUP(C3546,Products!$A$2:$E$62,3,FALSE())</f>
        <v>Office Supplies</v>
      </c>
      <c r="L3546" s="1" t="str">
        <f aca="false">TEXT(D3546,"yyyy-mm")</f>
        <v>2023-10</v>
      </c>
    </row>
    <row r="3547" customFormat="false" ht="15" hidden="false" customHeight="true" outlineLevel="0" collapsed="false">
      <c r="A3547" s="1" t="n">
        <v>3628</v>
      </c>
      <c r="B3547" s="1" t="n">
        <v>374</v>
      </c>
      <c r="C3547" s="1" t="n">
        <v>27</v>
      </c>
      <c r="D3547" s="1" t="s">
        <v>783</v>
      </c>
      <c r="E3547" s="1" t="n">
        <v>3</v>
      </c>
      <c r="F3547" s="1" t="n">
        <v>772.58</v>
      </c>
      <c r="G3547" s="1" t="n">
        <v>0</v>
      </c>
      <c r="H3547" s="1" t="s">
        <v>1336</v>
      </c>
      <c r="I3547" s="1" t="n">
        <v>2317.74</v>
      </c>
      <c r="J3547" s="1" t="str">
        <f aca="false">VLOOKUP(B3547,Customers!$A$2:$G$502,6,FALSE())</f>
        <v>Consumer</v>
      </c>
      <c r="K3547" s="1" t="str">
        <f aca="false">VLOOKUP(C3547,Products!$A$2:$E$62,3,FALSE())</f>
        <v>Office Supplies</v>
      </c>
      <c r="L3547" s="1" t="str">
        <f aca="false">TEXT(D3547,"yyyy-mm")</f>
        <v>2024-12</v>
      </c>
    </row>
    <row r="3548" customFormat="false" ht="15" hidden="false" customHeight="true" outlineLevel="0" collapsed="false">
      <c r="A3548" s="1" t="n">
        <v>3630</v>
      </c>
      <c r="B3548" s="1" t="n">
        <v>480</v>
      </c>
      <c r="C3548" s="1" t="n">
        <v>49</v>
      </c>
      <c r="D3548" s="1" t="s">
        <v>1576</v>
      </c>
      <c r="E3548" s="1" t="n">
        <v>9</v>
      </c>
      <c r="F3548" s="1" t="n">
        <v>325.17</v>
      </c>
      <c r="G3548" s="1" t="n">
        <v>0</v>
      </c>
      <c r="H3548" s="1" t="s">
        <v>1336</v>
      </c>
      <c r="I3548" s="1" t="n">
        <v>2926.53</v>
      </c>
      <c r="J3548" s="1" t="str">
        <f aca="false">VLOOKUP(B3548,Customers!$A$2:$G$502,6,FALSE())</f>
        <v>Unknown</v>
      </c>
      <c r="K3548" s="1" t="str">
        <f aca="false">VLOOKUP(C3548,Products!$A$2:$E$62,3,FALSE())</f>
        <v>Software</v>
      </c>
      <c r="L3548" s="1" t="str">
        <f aca="false">TEXT(D3548,"yyyy-mm")</f>
        <v>2023-02</v>
      </c>
    </row>
    <row r="3549" customFormat="false" ht="15" hidden="false" customHeight="true" outlineLevel="0" collapsed="false">
      <c r="A3549" s="1" t="n">
        <v>3631</v>
      </c>
      <c r="B3549" s="1" t="n">
        <v>207</v>
      </c>
      <c r="C3549" s="1" t="n">
        <v>23</v>
      </c>
      <c r="D3549" s="1" t="s">
        <v>929</v>
      </c>
      <c r="E3549" s="1" t="n">
        <v>7</v>
      </c>
      <c r="F3549" s="1" t="n">
        <v>188.73</v>
      </c>
      <c r="G3549" s="1" t="n">
        <v>0.15</v>
      </c>
      <c r="H3549" s="1" t="s">
        <v>1336</v>
      </c>
      <c r="I3549" s="1" t="n">
        <v>1122.94</v>
      </c>
      <c r="J3549" s="1" t="str">
        <f aca="false">VLOOKUP(B3549,Customers!$A$2:$G$502,6,FALSE())</f>
        <v>Corporate</v>
      </c>
      <c r="K3549" s="1" t="str">
        <f aca="false">VLOOKUP(C3549,Products!$A$2:$E$62,3,FALSE())</f>
        <v>Office Supplies</v>
      </c>
      <c r="L3549" s="1" t="str">
        <f aca="false">TEXT(D3549,"yyyy-mm")</f>
        <v>2023-08</v>
      </c>
    </row>
    <row r="3550" customFormat="false" ht="15" hidden="false" customHeight="true" outlineLevel="0" collapsed="false">
      <c r="A3550" s="1" t="n">
        <v>3632</v>
      </c>
      <c r="B3550" s="1" t="n">
        <v>426</v>
      </c>
      <c r="C3550" s="1" t="n">
        <v>30</v>
      </c>
      <c r="D3550" s="1" t="s">
        <v>443</v>
      </c>
      <c r="E3550" s="1" t="n">
        <v>3</v>
      </c>
      <c r="F3550" s="1" t="n">
        <v>33.32</v>
      </c>
      <c r="G3550" s="1" t="n">
        <v>0</v>
      </c>
      <c r="H3550" s="1" t="s">
        <v>1370</v>
      </c>
      <c r="I3550" s="1" t="n">
        <v>99.96</v>
      </c>
      <c r="J3550" s="1" t="str">
        <f aca="false">VLOOKUP(B3550,Customers!$A$2:$G$502,6,FALSE())</f>
        <v>Consumer</v>
      </c>
      <c r="K3550" s="1" t="str">
        <f aca="false">VLOOKUP(C3550,Products!$A$2:$E$62,3,FALSE())</f>
        <v>Office Supplies</v>
      </c>
      <c r="L3550" s="1" t="str">
        <f aca="false">TEXT(D3550,"yyyy-mm")</f>
        <v>2023-08</v>
      </c>
    </row>
    <row r="3551" customFormat="false" ht="15" hidden="false" customHeight="true" outlineLevel="0" collapsed="false">
      <c r="A3551" s="1" t="n">
        <v>3633</v>
      </c>
      <c r="B3551" s="1" t="n">
        <v>219</v>
      </c>
      <c r="C3551" s="1" t="n">
        <v>45</v>
      </c>
      <c r="D3551" s="1" t="s">
        <v>368</v>
      </c>
      <c r="E3551" s="1" t="n">
        <v>3</v>
      </c>
      <c r="F3551" s="1" t="n">
        <v>560.01</v>
      </c>
      <c r="G3551" s="1" t="n">
        <v>0</v>
      </c>
      <c r="H3551" s="1" t="s">
        <v>1336</v>
      </c>
      <c r="I3551" s="1" t="n">
        <v>1680.03</v>
      </c>
      <c r="J3551" s="1" t="str">
        <f aca="false">VLOOKUP(B3551,Customers!$A$2:$G$502,6,FALSE())</f>
        <v>Small Business</v>
      </c>
      <c r="K3551" s="1" t="str">
        <f aca="false">VLOOKUP(C3551,Products!$A$2:$E$62,3,FALSE())</f>
        <v>Software</v>
      </c>
      <c r="L3551" s="1" t="str">
        <f aca="false">TEXT(D3551,"yyyy-mm")</f>
        <v>2023-06</v>
      </c>
    </row>
    <row r="3552" customFormat="false" ht="15" hidden="false" customHeight="true" outlineLevel="0" collapsed="false">
      <c r="A3552" s="1" t="n">
        <v>3634</v>
      </c>
      <c r="B3552" s="1" t="n">
        <v>406</v>
      </c>
      <c r="C3552" s="1" t="n">
        <v>48</v>
      </c>
      <c r="D3552" s="1" t="s">
        <v>1624</v>
      </c>
      <c r="E3552" s="1" t="n">
        <v>2</v>
      </c>
      <c r="F3552" s="1" t="n">
        <v>493.53</v>
      </c>
      <c r="G3552" s="1" t="n">
        <v>0.2</v>
      </c>
      <c r="H3552" s="1" t="s">
        <v>1336</v>
      </c>
      <c r="I3552" s="1" t="n">
        <v>789.65</v>
      </c>
      <c r="J3552" s="1" t="str">
        <f aca="false">VLOOKUP(B3552,Customers!$A$2:$G$502,6,FALSE())</f>
        <v>Small Business</v>
      </c>
      <c r="K3552" s="1" t="str">
        <f aca="false">VLOOKUP(C3552,Products!$A$2:$E$62,3,FALSE())</f>
        <v>Software</v>
      </c>
      <c r="L3552" s="1" t="str">
        <f aca="false">TEXT(D3552,"yyyy-mm")</f>
        <v>2024-07</v>
      </c>
    </row>
    <row r="3553" customFormat="false" ht="15" hidden="false" customHeight="true" outlineLevel="0" collapsed="false">
      <c r="A3553" s="1" t="n">
        <v>3635</v>
      </c>
      <c r="B3553" s="1" t="n">
        <v>125</v>
      </c>
      <c r="C3553" s="1" t="n">
        <v>54</v>
      </c>
      <c r="D3553" s="1" t="s">
        <v>1507</v>
      </c>
      <c r="E3553" s="1" t="n">
        <v>9</v>
      </c>
      <c r="F3553" s="1" t="n">
        <v>312.01</v>
      </c>
      <c r="G3553" s="1" t="n">
        <v>0</v>
      </c>
      <c r="H3553" s="1" t="s">
        <v>1336</v>
      </c>
      <c r="I3553" s="1" t="n">
        <v>2808.09</v>
      </c>
      <c r="J3553" s="1" t="str">
        <f aca="false">VLOOKUP(B3553,Customers!$A$2:$G$502,6,FALSE())</f>
        <v>Small Business</v>
      </c>
      <c r="K3553" s="1" t="str">
        <f aca="false">VLOOKUP(C3553,Products!$A$2:$E$62,3,FALSE())</f>
        <v>Software</v>
      </c>
      <c r="L3553" s="1" t="str">
        <f aca="false">TEXT(D3553,"yyyy-mm")</f>
        <v>2024-09</v>
      </c>
    </row>
    <row r="3554" customFormat="false" ht="15" hidden="false" customHeight="true" outlineLevel="0" collapsed="false">
      <c r="A3554" s="1" t="n">
        <v>3636</v>
      </c>
      <c r="B3554" s="1" t="n">
        <v>48</v>
      </c>
      <c r="C3554" s="1" t="n">
        <v>17</v>
      </c>
      <c r="D3554" s="1" t="s">
        <v>783</v>
      </c>
      <c r="E3554" s="1" t="n">
        <v>3</v>
      </c>
      <c r="F3554" s="1" t="n">
        <v>65.61</v>
      </c>
      <c r="G3554" s="1" t="n">
        <v>0</v>
      </c>
      <c r="H3554" s="1" t="s">
        <v>1370</v>
      </c>
      <c r="I3554" s="1" t="n">
        <v>196.83</v>
      </c>
      <c r="J3554" s="1" t="str">
        <f aca="false">VLOOKUP(B3554,Customers!$A$2:$G$502,6,FALSE())</f>
        <v>Small Business</v>
      </c>
      <c r="K3554" s="1" t="str">
        <f aca="false">VLOOKUP(C3554,Products!$A$2:$E$62,3,FALSE())</f>
        <v>Electronics</v>
      </c>
      <c r="L3554" s="1" t="str">
        <f aca="false">TEXT(D3554,"yyyy-mm")</f>
        <v>2024-12</v>
      </c>
    </row>
    <row r="3555" customFormat="false" ht="15" hidden="false" customHeight="true" outlineLevel="0" collapsed="false">
      <c r="A3555" s="1" t="n">
        <v>3637</v>
      </c>
      <c r="B3555" s="1" t="n">
        <v>64</v>
      </c>
      <c r="C3555" s="1" t="n">
        <v>58</v>
      </c>
      <c r="D3555" s="1" t="s">
        <v>1086</v>
      </c>
      <c r="E3555" s="1" t="n">
        <v>5</v>
      </c>
      <c r="F3555" s="1" t="n">
        <v>515.55</v>
      </c>
      <c r="G3555" s="1" t="n">
        <v>0.1</v>
      </c>
      <c r="H3555" s="1" t="s">
        <v>1336</v>
      </c>
      <c r="I3555" s="1" t="n">
        <v>2319.98</v>
      </c>
      <c r="J3555" s="1" t="str">
        <f aca="false">VLOOKUP(B3555,Customers!$A$2:$G$502,6,FALSE())</f>
        <v>Consumer</v>
      </c>
      <c r="K3555" s="1" t="str">
        <f aca="false">VLOOKUP(C3555,Products!$A$2:$E$62,3,FALSE())</f>
        <v>Furniture</v>
      </c>
      <c r="L3555" s="1" t="str">
        <f aca="false">TEXT(D3555,"yyyy-mm")</f>
        <v>2024-05</v>
      </c>
    </row>
    <row r="3556" customFormat="false" ht="15" hidden="false" customHeight="true" outlineLevel="0" collapsed="false">
      <c r="A3556" s="1" t="n">
        <v>3638</v>
      </c>
      <c r="B3556" s="1" t="n">
        <v>287</v>
      </c>
      <c r="C3556" s="1" t="n">
        <v>42</v>
      </c>
      <c r="D3556" s="1" t="s">
        <v>1505</v>
      </c>
      <c r="E3556" s="1" t="n">
        <v>9</v>
      </c>
      <c r="F3556" s="1" t="n">
        <v>174.48</v>
      </c>
      <c r="G3556" s="1" t="n">
        <v>0.05</v>
      </c>
      <c r="H3556" s="1" t="s">
        <v>1336</v>
      </c>
      <c r="I3556" s="1" t="n">
        <v>1491.8</v>
      </c>
      <c r="J3556" s="1" t="str">
        <f aca="false">VLOOKUP(B3556,Customers!$A$2:$G$502,6,FALSE())</f>
        <v>Corporate</v>
      </c>
      <c r="K3556" s="1" t="str">
        <f aca="false">VLOOKUP(C3556,Products!$A$2:$E$62,3,FALSE())</f>
        <v>Software</v>
      </c>
      <c r="L3556" s="1" t="str">
        <f aca="false">TEXT(D3556,"yyyy-mm")</f>
        <v>2023-04</v>
      </c>
    </row>
    <row r="3557" customFormat="false" ht="15" hidden="false" customHeight="true" outlineLevel="0" collapsed="false">
      <c r="A3557" s="1" t="n">
        <v>3639</v>
      </c>
      <c r="B3557" s="1" t="n">
        <v>451</v>
      </c>
      <c r="C3557" s="1" t="n">
        <v>46</v>
      </c>
      <c r="D3557" s="1" t="s">
        <v>501</v>
      </c>
      <c r="E3557" s="1" t="n">
        <v>8</v>
      </c>
      <c r="F3557" s="1" t="n">
        <v>94.92</v>
      </c>
      <c r="G3557" s="1" t="n">
        <v>0.05</v>
      </c>
      <c r="H3557" s="1" t="s">
        <v>1336</v>
      </c>
      <c r="I3557" s="1" t="n">
        <v>721.39</v>
      </c>
      <c r="J3557" s="1" t="str">
        <f aca="false">VLOOKUP(B3557,Customers!$A$2:$G$502,6,FALSE())</f>
        <v>Corporate</v>
      </c>
      <c r="K3557" s="1" t="str">
        <f aca="false">VLOOKUP(C3557,Products!$A$2:$E$62,3,FALSE())</f>
        <v>Software</v>
      </c>
      <c r="L3557" s="1" t="str">
        <f aca="false">TEXT(D3557,"yyyy-mm")</f>
        <v>2023-05</v>
      </c>
    </row>
    <row r="3558" customFormat="false" ht="15" hidden="false" customHeight="true" outlineLevel="0" collapsed="false">
      <c r="A3558" s="1" t="n">
        <v>3640</v>
      </c>
      <c r="B3558" s="1" t="n">
        <v>314</v>
      </c>
      <c r="C3558" s="1" t="n">
        <v>13</v>
      </c>
      <c r="D3558" s="1" t="s">
        <v>1430</v>
      </c>
      <c r="E3558" s="1" t="n">
        <v>2</v>
      </c>
      <c r="F3558" s="1" t="n">
        <v>352.54</v>
      </c>
      <c r="G3558" s="1" t="n">
        <v>0.2</v>
      </c>
      <c r="H3558" s="1" t="s">
        <v>1336</v>
      </c>
      <c r="I3558" s="1" t="n">
        <v>564.06</v>
      </c>
      <c r="J3558" s="1" t="str">
        <f aca="false">VLOOKUP(B3558,Customers!$A$2:$G$502,6,FALSE())</f>
        <v>Small Business</v>
      </c>
      <c r="K3558" s="1" t="str">
        <f aca="false">VLOOKUP(C3558,Products!$A$2:$E$62,3,FALSE())</f>
        <v>Electronics</v>
      </c>
      <c r="L3558" s="1" t="str">
        <f aca="false">TEXT(D3558,"yyyy-mm")</f>
        <v>2024-01</v>
      </c>
    </row>
    <row r="3559" customFormat="false" ht="15" hidden="false" customHeight="true" outlineLevel="0" collapsed="false">
      <c r="A3559" s="1" t="n">
        <v>3641</v>
      </c>
      <c r="B3559" s="1" t="n">
        <v>356</v>
      </c>
      <c r="C3559" s="1" t="n">
        <v>39</v>
      </c>
      <c r="D3559" s="1" t="s">
        <v>1641</v>
      </c>
      <c r="E3559" s="1" t="n">
        <v>3</v>
      </c>
      <c r="F3559" s="1" t="n">
        <v>400.02</v>
      </c>
      <c r="G3559" s="1" t="n">
        <v>0</v>
      </c>
      <c r="H3559" s="1" t="s">
        <v>1336</v>
      </c>
      <c r="I3559" s="1" t="n">
        <v>1200.06</v>
      </c>
      <c r="J3559" s="1" t="str">
        <f aca="false">VLOOKUP(B3559,Customers!$A$2:$G$502,6,FALSE())</f>
        <v>Consumer</v>
      </c>
      <c r="K3559" s="1" t="str">
        <f aca="false">VLOOKUP(C3559,Products!$A$2:$E$62,3,FALSE())</f>
        <v>Software</v>
      </c>
      <c r="L3559" s="1" t="str">
        <f aca="false">TEXT(D3559,"yyyy-mm")</f>
        <v>2024-04</v>
      </c>
    </row>
    <row r="3560" customFormat="false" ht="15" hidden="false" customHeight="true" outlineLevel="0" collapsed="false">
      <c r="A3560" s="1" t="n">
        <v>3642</v>
      </c>
      <c r="B3560" s="1" t="n">
        <v>185</v>
      </c>
      <c r="C3560" s="1" t="n">
        <v>32</v>
      </c>
      <c r="D3560" s="1" t="s">
        <v>1235</v>
      </c>
      <c r="E3560" s="1" t="n">
        <v>2</v>
      </c>
      <c r="F3560" s="1" t="n">
        <v>492.27</v>
      </c>
      <c r="G3560" s="1" t="n">
        <v>0.2</v>
      </c>
      <c r="H3560" s="1" t="s">
        <v>1336</v>
      </c>
      <c r="I3560" s="1" t="n">
        <v>787.63</v>
      </c>
      <c r="J3560" s="1" t="str">
        <f aca="false">VLOOKUP(B3560,Customers!$A$2:$G$502,6,FALSE())</f>
        <v>Consumer</v>
      </c>
      <c r="K3560" s="1" t="str">
        <f aca="false">VLOOKUP(C3560,Products!$A$2:$E$62,3,FALSE())</f>
        <v>Office Supplies</v>
      </c>
      <c r="L3560" s="1" t="str">
        <f aca="false">TEXT(D3560,"yyyy-mm")</f>
        <v>2023-01</v>
      </c>
    </row>
    <row r="3561" customFormat="false" ht="15" hidden="false" customHeight="true" outlineLevel="0" collapsed="false">
      <c r="A3561" s="1" t="n">
        <v>3643</v>
      </c>
      <c r="B3561" s="1" t="n">
        <v>244</v>
      </c>
      <c r="C3561" s="1" t="n">
        <v>45</v>
      </c>
      <c r="D3561" s="1" t="s">
        <v>1677</v>
      </c>
      <c r="E3561" s="1" t="n">
        <v>8</v>
      </c>
      <c r="F3561" s="1" t="n">
        <v>560.01</v>
      </c>
      <c r="G3561" s="1" t="n">
        <v>0.15</v>
      </c>
      <c r="H3561" s="1" t="s">
        <v>1336</v>
      </c>
      <c r="I3561" s="1" t="n">
        <v>3808.07</v>
      </c>
      <c r="J3561" s="1" t="str">
        <f aca="false">VLOOKUP(B3561,Customers!$A$2:$G$502,6,FALSE())</f>
        <v>Small Business</v>
      </c>
      <c r="K3561" s="1" t="str">
        <f aca="false">VLOOKUP(C3561,Products!$A$2:$E$62,3,FALSE())</f>
        <v>Software</v>
      </c>
      <c r="L3561" s="1" t="str">
        <f aca="false">TEXT(D3561,"yyyy-mm")</f>
        <v>2023-04</v>
      </c>
    </row>
    <row r="3562" customFormat="false" ht="15" hidden="false" customHeight="true" outlineLevel="0" collapsed="false">
      <c r="A3562" s="1" t="n">
        <v>3644</v>
      </c>
      <c r="B3562" s="1" t="n">
        <v>78</v>
      </c>
      <c r="C3562" s="1" t="n">
        <v>24</v>
      </c>
      <c r="D3562" s="1" t="s">
        <v>393</v>
      </c>
      <c r="E3562" s="1" t="n">
        <v>6</v>
      </c>
      <c r="F3562" s="1" t="n">
        <v>207.34</v>
      </c>
      <c r="G3562" s="1" t="n">
        <v>0</v>
      </c>
      <c r="H3562" s="1" t="s">
        <v>1336</v>
      </c>
      <c r="I3562" s="1" t="n">
        <v>1244.04</v>
      </c>
      <c r="J3562" s="1" t="str">
        <f aca="false">VLOOKUP(B3562,Customers!$A$2:$G$502,6,FALSE())</f>
        <v>Consumer</v>
      </c>
      <c r="K3562" s="1" t="str">
        <f aca="false">VLOOKUP(C3562,Products!$A$2:$E$62,3,FALSE())</f>
        <v>Office Supplies</v>
      </c>
      <c r="L3562" s="1" t="str">
        <f aca="false">TEXT(D3562,"yyyy-mm")</f>
        <v>2023-11</v>
      </c>
    </row>
    <row r="3563" customFormat="false" ht="15" hidden="false" customHeight="true" outlineLevel="0" collapsed="false">
      <c r="A3563" s="1" t="n">
        <v>3645</v>
      </c>
      <c r="B3563" s="1" t="n">
        <v>474</v>
      </c>
      <c r="C3563" s="1" t="n">
        <v>12</v>
      </c>
      <c r="D3563" s="1" t="s">
        <v>750</v>
      </c>
      <c r="E3563" s="1" t="n">
        <v>6</v>
      </c>
      <c r="F3563" s="1" t="n">
        <v>179.23</v>
      </c>
      <c r="G3563" s="1" t="n">
        <v>0</v>
      </c>
      <c r="H3563" s="1" t="s">
        <v>1336</v>
      </c>
      <c r="I3563" s="1" t="n">
        <v>1075.38</v>
      </c>
      <c r="J3563" s="1" t="str">
        <f aca="false">VLOOKUP(B3563,Customers!$A$2:$G$502,6,FALSE())</f>
        <v>Consumer</v>
      </c>
      <c r="K3563" s="1" t="str">
        <f aca="false">VLOOKUP(C3563,Products!$A$2:$E$62,3,FALSE())</f>
        <v>Electronics</v>
      </c>
      <c r="L3563" s="1" t="str">
        <f aca="false">TEXT(D3563,"yyyy-mm")</f>
        <v>2024-02</v>
      </c>
    </row>
    <row r="3564" customFormat="false" ht="15" hidden="false" customHeight="true" outlineLevel="0" collapsed="false">
      <c r="A3564" s="1" t="n">
        <v>3646</v>
      </c>
      <c r="B3564" s="1" t="n">
        <v>57</v>
      </c>
      <c r="C3564" s="1" t="n">
        <v>43</v>
      </c>
      <c r="D3564" s="1" t="s">
        <v>1576</v>
      </c>
      <c r="E3564" s="1" t="n">
        <v>9</v>
      </c>
      <c r="F3564" s="1" t="n">
        <v>186.31</v>
      </c>
      <c r="G3564" s="1" t="n">
        <v>0</v>
      </c>
      <c r="H3564" s="1" t="s">
        <v>1336</v>
      </c>
      <c r="I3564" s="1" t="n">
        <v>1676.79</v>
      </c>
      <c r="J3564" s="1" t="str">
        <f aca="false">VLOOKUP(B3564,Customers!$A$2:$G$502,6,FALSE())</f>
        <v>Consumer</v>
      </c>
      <c r="K3564" s="1" t="str">
        <f aca="false">VLOOKUP(C3564,Products!$A$2:$E$62,3,FALSE())</f>
        <v>Software</v>
      </c>
      <c r="L3564" s="1" t="str">
        <f aca="false">TEXT(D3564,"yyyy-mm")</f>
        <v>2023-02</v>
      </c>
    </row>
    <row r="3565" customFormat="false" ht="15" hidden="false" customHeight="true" outlineLevel="0" collapsed="false">
      <c r="A3565" s="1" t="n">
        <v>3647</v>
      </c>
      <c r="B3565" s="1" t="n">
        <v>236</v>
      </c>
      <c r="C3565" s="1" t="n">
        <v>13</v>
      </c>
      <c r="D3565" s="1" t="s">
        <v>542</v>
      </c>
      <c r="E3565" s="1" t="n">
        <v>8</v>
      </c>
      <c r="F3565" s="1" t="n">
        <v>352.54</v>
      </c>
      <c r="G3565" s="1" t="n">
        <v>0</v>
      </c>
      <c r="H3565" s="1" t="s">
        <v>1336</v>
      </c>
      <c r="I3565" s="1" t="n">
        <v>2820.32</v>
      </c>
      <c r="J3565" s="1" t="str">
        <f aca="false">VLOOKUP(B3565,Customers!$A$2:$G$502,6,FALSE())</f>
        <v>Corporate</v>
      </c>
      <c r="K3565" s="1" t="str">
        <f aca="false">VLOOKUP(C3565,Products!$A$2:$E$62,3,FALSE())</f>
        <v>Electronics</v>
      </c>
      <c r="L3565" s="1" t="str">
        <f aca="false">TEXT(D3565,"yyyy-mm")</f>
        <v>2024-07</v>
      </c>
    </row>
    <row r="3566" customFormat="false" ht="15" hidden="false" customHeight="true" outlineLevel="0" collapsed="false">
      <c r="A3566" s="1" t="n">
        <v>3648</v>
      </c>
      <c r="B3566" s="1" t="n">
        <v>42</v>
      </c>
      <c r="C3566" s="1" t="n">
        <v>9</v>
      </c>
      <c r="D3566" s="1" t="s">
        <v>753</v>
      </c>
      <c r="E3566" s="1" t="n">
        <v>4</v>
      </c>
      <c r="F3566" s="1" t="n">
        <v>203.1</v>
      </c>
      <c r="G3566" s="1" t="n">
        <v>0.2</v>
      </c>
      <c r="H3566" s="1" t="s">
        <v>1336</v>
      </c>
      <c r="I3566" s="1" t="n">
        <v>649.92</v>
      </c>
      <c r="J3566" s="1" t="str">
        <f aca="false">VLOOKUP(B3566,Customers!$A$2:$G$502,6,FALSE())</f>
        <v>Small Business</v>
      </c>
      <c r="K3566" s="1" t="str">
        <f aca="false">VLOOKUP(C3566,Products!$A$2:$E$62,3,FALSE())</f>
        <v>Electronics</v>
      </c>
      <c r="L3566" s="1" t="str">
        <f aca="false">TEXT(D3566,"yyyy-mm")</f>
        <v>2023-03</v>
      </c>
    </row>
    <row r="3567" customFormat="false" ht="15" hidden="false" customHeight="true" outlineLevel="0" collapsed="false">
      <c r="A3567" s="1" t="n">
        <v>3649</v>
      </c>
      <c r="B3567" s="1" t="n">
        <v>336</v>
      </c>
      <c r="C3567" s="1" t="n">
        <v>49</v>
      </c>
      <c r="D3567" s="1" t="s">
        <v>1485</v>
      </c>
      <c r="E3567" s="1" t="n">
        <v>4</v>
      </c>
      <c r="F3567" s="1" t="n">
        <v>325.17</v>
      </c>
      <c r="G3567" s="1" t="n">
        <v>0.1</v>
      </c>
      <c r="H3567" s="1" t="s">
        <v>1336</v>
      </c>
      <c r="I3567" s="1" t="n">
        <v>1170.61</v>
      </c>
      <c r="J3567" s="1" t="str">
        <f aca="false">VLOOKUP(B3567,Customers!$A$2:$G$502,6,FALSE())</f>
        <v>Consumer</v>
      </c>
      <c r="K3567" s="1" t="str">
        <f aca="false">VLOOKUP(C3567,Products!$A$2:$E$62,3,FALSE())</f>
        <v>Software</v>
      </c>
      <c r="L3567" s="1" t="str">
        <f aca="false">TEXT(D3567,"yyyy-mm")</f>
        <v>2023-07</v>
      </c>
    </row>
    <row r="3568" customFormat="false" ht="15" hidden="false" customHeight="true" outlineLevel="0" collapsed="false">
      <c r="A3568" s="1" t="n">
        <v>3650</v>
      </c>
      <c r="B3568" s="1" t="n">
        <v>27</v>
      </c>
      <c r="C3568" s="1" t="n">
        <v>49</v>
      </c>
      <c r="D3568" s="1" t="s">
        <v>856</v>
      </c>
      <c r="E3568" s="1" t="n">
        <v>9</v>
      </c>
      <c r="F3568" s="1" t="n">
        <v>325.17</v>
      </c>
      <c r="G3568" s="1" t="n">
        <v>0.15</v>
      </c>
      <c r="H3568" s="1" t="s">
        <v>1370</v>
      </c>
      <c r="I3568" s="1" t="n">
        <v>2487.55</v>
      </c>
      <c r="J3568" s="1" t="str">
        <f aca="false">VLOOKUP(B3568,Customers!$A$2:$G$502,6,FALSE())</f>
        <v>Small Business</v>
      </c>
      <c r="K3568" s="1" t="str">
        <f aca="false">VLOOKUP(C3568,Products!$A$2:$E$62,3,FALSE())</f>
        <v>Software</v>
      </c>
      <c r="L3568" s="1" t="str">
        <f aca="false">TEXT(D3568,"yyyy-mm")</f>
        <v>2024-11</v>
      </c>
    </row>
    <row r="3569" customFormat="false" ht="15" hidden="false" customHeight="true" outlineLevel="0" collapsed="false">
      <c r="A3569" s="1" t="n">
        <v>3651</v>
      </c>
      <c r="B3569" s="1" t="n">
        <v>245</v>
      </c>
      <c r="C3569" s="1" t="n">
        <v>9</v>
      </c>
      <c r="D3569" s="1" t="s">
        <v>1574</v>
      </c>
      <c r="E3569" s="1" t="n">
        <v>1</v>
      </c>
      <c r="F3569" s="1" t="n">
        <v>203.1</v>
      </c>
      <c r="G3569" s="1" t="n">
        <v>0.15</v>
      </c>
      <c r="H3569" s="1" t="s">
        <v>1346</v>
      </c>
      <c r="I3569" s="1" t="n">
        <v>172.64</v>
      </c>
      <c r="J3569" s="1" t="str">
        <f aca="false">VLOOKUP(B3569,Customers!$A$2:$G$502,6,FALSE())</f>
        <v>Consumer</v>
      </c>
      <c r="K3569" s="1" t="str">
        <f aca="false">VLOOKUP(C3569,Products!$A$2:$E$62,3,FALSE())</f>
        <v>Electronics</v>
      </c>
      <c r="L3569" s="1" t="str">
        <f aca="false">TEXT(D3569,"yyyy-mm")</f>
        <v>2023-07</v>
      </c>
    </row>
    <row r="3570" customFormat="false" ht="15" hidden="false" customHeight="true" outlineLevel="0" collapsed="false">
      <c r="A3570" s="1" t="n">
        <v>3652</v>
      </c>
      <c r="B3570" s="1" t="n">
        <v>64</v>
      </c>
      <c r="C3570" s="1" t="n">
        <v>32</v>
      </c>
      <c r="D3570" s="1" t="s">
        <v>482</v>
      </c>
      <c r="E3570" s="1" t="n">
        <v>2</v>
      </c>
      <c r="F3570" s="1" t="n">
        <v>492.27</v>
      </c>
      <c r="G3570" s="1" t="n">
        <v>0.05</v>
      </c>
      <c r="H3570" s="1" t="s">
        <v>1370</v>
      </c>
      <c r="I3570" s="1" t="n">
        <v>935.31</v>
      </c>
      <c r="J3570" s="1" t="str">
        <f aca="false">VLOOKUP(B3570,Customers!$A$2:$G$502,6,FALSE())</f>
        <v>Consumer</v>
      </c>
      <c r="K3570" s="1" t="str">
        <f aca="false">VLOOKUP(C3570,Products!$A$2:$E$62,3,FALSE())</f>
        <v>Office Supplies</v>
      </c>
      <c r="L3570" s="1" t="str">
        <f aca="false">TEXT(D3570,"yyyy-mm")</f>
        <v>2024-11</v>
      </c>
    </row>
    <row r="3571" customFormat="false" ht="15" hidden="false" customHeight="true" outlineLevel="0" collapsed="false">
      <c r="A3571" s="1" t="n">
        <v>3653</v>
      </c>
      <c r="B3571" s="1" t="n">
        <v>481</v>
      </c>
      <c r="C3571" s="1" t="n">
        <v>24</v>
      </c>
      <c r="D3571" s="1" t="s">
        <v>617</v>
      </c>
      <c r="E3571" s="1" t="n">
        <v>2</v>
      </c>
      <c r="F3571" s="1" t="n">
        <v>207.34</v>
      </c>
      <c r="G3571" s="1" t="n">
        <v>0.15</v>
      </c>
      <c r="H3571" s="1" t="s">
        <v>1336</v>
      </c>
      <c r="I3571" s="1" t="n">
        <v>352.48</v>
      </c>
      <c r="J3571" s="1" t="str">
        <f aca="false">VLOOKUP(B3571,Customers!$A$2:$G$502,6,FALSE())</f>
        <v>Small Business</v>
      </c>
      <c r="K3571" s="1" t="str">
        <f aca="false">VLOOKUP(C3571,Products!$A$2:$E$62,3,FALSE())</f>
        <v>Office Supplies</v>
      </c>
      <c r="L3571" s="1" t="str">
        <f aca="false">TEXT(D3571,"yyyy-mm")</f>
        <v>2023-11</v>
      </c>
    </row>
    <row r="3572" customFormat="false" ht="15" hidden="false" customHeight="true" outlineLevel="0" collapsed="false">
      <c r="A3572" s="1" t="n">
        <v>3654</v>
      </c>
      <c r="B3572" s="1" t="n">
        <v>272</v>
      </c>
      <c r="C3572" s="1" t="n">
        <v>36</v>
      </c>
      <c r="D3572" s="1" t="s">
        <v>1344</v>
      </c>
      <c r="E3572" s="1" t="n">
        <v>6</v>
      </c>
      <c r="F3572" s="1" t="n">
        <v>424.45</v>
      </c>
      <c r="G3572" s="1" t="n">
        <v>0</v>
      </c>
      <c r="H3572" s="1" t="s">
        <v>1336</v>
      </c>
      <c r="I3572" s="1" t="n">
        <v>2546.7</v>
      </c>
      <c r="J3572" s="1" t="str">
        <f aca="false">VLOOKUP(B3572,Customers!$A$2:$G$502,6,FALSE())</f>
        <v>Consumer</v>
      </c>
      <c r="K3572" s="1" t="str">
        <f aca="false">VLOOKUP(C3572,Products!$A$2:$E$62,3,FALSE())</f>
        <v>Software</v>
      </c>
      <c r="L3572" s="1" t="str">
        <f aca="false">TEXT(D3572,"yyyy-mm")</f>
        <v>2023-05</v>
      </c>
    </row>
    <row r="3573" customFormat="false" ht="15" hidden="false" customHeight="true" outlineLevel="0" collapsed="false">
      <c r="A3573" s="1" t="n">
        <v>3655</v>
      </c>
      <c r="B3573" s="1" t="n">
        <v>204</v>
      </c>
      <c r="C3573" s="1" t="n">
        <v>53</v>
      </c>
      <c r="D3573" s="1" t="s">
        <v>632</v>
      </c>
      <c r="E3573" s="1" t="n">
        <v>4</v>
      </c>
      <c r="F3573" s="1" t="n">
        <v>509.98</v>
      </c>
      <c r="G3573" s="1" t="n">
        <v>0</v>
      </c>
      <c r="H3573" s="1" t="s">
        <v>1336</v>
      </c>
      <c r="I3573" s="1" t="n">
        <v>2039.92</v>
      </c>
      <c r="J3573" s="1" t="str">
        <f aca="false">VLOOKUP(B3573,Customers!$A$2:$G$502,6,FALSE())</f>
        <v>Small Business</v>
      </c>
      <c r="K3573" s="1" t="str">
        <f aca="false">VLOOKUP(C3573,Products!$A$2:$E$62,3,FALSE())</f>
        <v>Software</v>
      </c>
      <c r="L3573" s="1" t="str">
        <f aca="false">TEXT(D3573,"yyyy-mm")</f>
        <v>2023-10</v>
      </c>
    </row>
    <row r="3574" customFormat="false" ht="15" hidden="false" customHeight="true" outlineLevel="0" collapsed="false">
      <c r="A3574" s="1" t="n">
        <v>3656</v>
      </c>
      <c r="B3574" s="1" t="n">
        <v>115</v>
      </c>
      <c r="C3574" s="1" t="n">
        <v>54</v>
      </c>
      <c r="D3574" s="1" t="s">
        <v>1393</v>
      </c>
      <c r="E3574" s="1" t="n">
        <v>3</v>
      </c>
      <c r="F3574" s="1" t="n">
        <v>312.01</v>
      </c>
      <c r="G3574" s="1" t="n">
        <v>0</v>
      </c>
      <c r="H3574" s="1" t="s">
        <v>1336</v>
      </c>
      <c r="I3574" s="1" t="n">
        <v>936.03</v>
      </c>
      <c r="J3574" s="1" t="str">
        <f aca="false">VLOOKUP(B3574,Customers!$A$2:$G$502,6,FALSE())</f>
        <v>Small Business</v>
      </c>
      <c r="K3574" s="1" t="str">
        <f aca="false">VLOOKUP(C3574,Products!$A$2:$E$62,3,FALSE())</f>
        <v>Software</v>
      </c>
      <c r="L3574" s="1" t="str">
        <f aca="false">TEXT(D3574,"yyyy-mm")</f>
        <v>2023-01</v>
      </c>
    </row>
    <row r="3575" customFormat="false" ht="15" hidden="false" customHeight="true" outlineLevel="0" collapsed="false">
      <c r="A3575" s="1" t="n">
        <v>3657</v>
      </c>
      <c r="B3575" s="1" t="n">
        <v>312</v>
      </c>
      <c r="C3575" s="1" t="n">
        <v>16</v>
      </c>
      <c r="D3575" s="1" t="s">
        <v>1551</v>
      </c>
      <c r="E3575" s="1" t="n">
        <v>3</v>
      </c>
      <c r="F3575" s="1" t="n">
        <v>330.91</v>
      </c>
      <c r="G3575" s="1" t="n">
        <v>0.1</v>
      </c>
      <c r="H3575" s="1" t="s">
        <v>1336</v>
      </c>
      <c r="I3575" s="1" t="n">
        <v>893.46</v>
      </c>
      <c r="J3575" s="1" t="str">
        <f aca="false">VLOOKUP(B3575,Customers!$A$2:$G$502,6,FALSE())</f>
        <v>Small Business</v>
      </c>
      <c r="K3575" s="1" t="str">
        <f aca="false">VLOOKUP(C3575,Products!$A$2:$E$62,3,FALSE())</f>
        <v>Electronics</v>
      </c>
      <c r="L3575" s="1" t="str">
        <f aca="false">TEXT(D3575,"yyyy-mm")</f>
        <v>2024-03</v>
      </c>
    </row>
    <row r="3576" customFormat="false" ht="15" hidden="false" customHeight="true" outlineLevel="0" collapsed="false">
      <c r="A3576" s="1" t="n">
        <v>3658</v>
      </c>
      <c r="B3576" s="1" t="n">
        <v>434</v>
      </c>
      <c r="C3576" s="1" t="n">
        <v>30</v>
      </c>
      <c r="D3576" s="1" t="s">
        <v>1354</v>
      </c>
      <c r="E3576" s="1" t="n">
        <v>3</v>
      </c>
      <c r="F3576" s="1" t="n">
        <v>33.32</v>
      </c>
      <c r="G3576" s="1" t="n">
        <v>0</v>
      </c>
      <c r="H3576" s="1" t="s">
        <v>1336</v>
      </c>
      <c r="I3576" s="1" t="n">
        <v>99.96</v>
      </c>
      <c r="J3576" s="1" t="str">
        <f aca="false">VLOOKUP(B3576,Customers!$A$2:$G$502,6,FALSE())</f>
        <v>Consumer</v>
      </c>
      <c r="K3576" s="1" t="str">
        <f aca="false">VLOOKUP(C3576,Products!$A$2:$E$62,3,FALSE())</f>
        <v>Office Supplies</v>
      </c>
      <c r="L3576" s="1" t="str">
        <f aca="false">TEXT(D3576,"yyyy-mm")</f>
        <v>2024-03</v>
      </c>
    </row>
    <row r="3577" customFormat="false" ht="15" hidden="false" customHeight="true" outlineLevel="0" collapsed="false">
      <c r="A3577" s="1" t="n">
        <v>3659</v>
      </c>
      <c r="B3577" s="1" t="n">
        <v>35</v>
      </c>
      <c r="C3577" s="1" t="n">
        <v>46</v>
      </c>
      <c r="D3577" s="1" t="s">
        <v>969</v>
      </c>
      <c r="E3577" s="1" t="n">
        <v>6</v>
      </c>
      <c r="F3577" s="1" t="n">
        <v>94.92</v>
      </c>
      <c r="G3577" s="1" t="n">
        <v>0.15</v>
      </c>
      <c r="H3577" s="1" t="s">
        <v>1336</v>
      </c>
      <c r="I3577" s="1" t="n">
        <v>484.09</v>
      </c>
      <c r="J3577" s="1" t="str">
        <f aca="false">VLOOKUP(B3577,Customers!$A$2:$G$502,6,FALSE())</f>
        <v>Corporate</v>
      </c>
      <c r="K3577" s="1" t="str">
        <f aca="false">VLOOKUP(C3577,Products!$A$2:$E$62,3,FALSE())</f>
        <v>Software</v>
      </c>
      <c r="L3577" s="1" t="str">
        <f aca="false">TEXT(D3577,"yyyy-mm")</f>
        <v>2024-08</v>
      </c>
    </row>
    <row r="3578" customFormat="false" ht="15" hidden="false" customHeight="true" outlineLevel="0" collapsed="false">
      <c r="A3578" s="1" t="n">
        <v>3660</v>
      </c>
      <c r="B3578" s="1" t="n">
        <v>274</v>
      </c>
      <c r="C3578" s="1" t="n">
        <v>10</v>
      </c>
      <c r="D3578" s="1" t="s">
        <v>363</v>
      </c>
      <c r="E3578" s="1" t="n">
        <v>8</v>
      </c>
      <c r="F3578" s="1" t="n">
        <v>251.58</v>
      </c>
      <c r="G3578" s="1" t="n">
        <v>0.2</v>
      </c>
      <c r="H3578" s="1" t="s">
        <v>1336</v>
      </c>
      <c r="I3578" s="1" t="n">
        <v>1610.11</v>
      </c>
      <c r="J3578" s="1" t="str">
        <f aca="false">VLOOKUP(B3578,Customers!$A$2:$G$502,6,FALSE())</f>
        <v>Corporate</v>
      </c>
      <c r="K3578" s="1" t="str">
        <f aca="false">VLOOKUP(C3578,Products!$A$2:$E$62,3,FALSE())</f>
        <v>Electronics</v>
      </c>
      <c r="L3578" s="1" t="str">
        <f aca="false">TEXT(D3578,"yyyy-mm")</f>
        <v>2024-10</v>
      </c>
    </row>
    <row r="3579" customFormat="false" ht="15" hidden="false" customHeight="true" outlineLevel="0" collapsed="false">
      <c r="A3579" s="1" t="n">
        <v>3661</v>
      </c>
      <c r="B3579" s="1" t="n">
        <v>309</v>
      </c>
      <c r="C3579" s="1" t="n">
        <v>16</v>
      </c>
      <c r="D3579" s="1" t="s">
        <v>927</v>
      </c>
      <c r="E3579" s="1" t="n">
        <v>7</v>
      </c>
      <c r="F3579" s="1" t="n">
        <v>330.91</v>
      </c>
      <c r="G3579" s="1" t="n">
        <v>0.1</v>
      </c>
      <c r="H3579" s="1" t="s">
        <v>1336</v>
      </c>
      <c r="I3579" s="1" t="n">
        <v>2084.73</v>
      </c>
      <c r="J3579" s="1" t="str">
        <f aca="false">VLOOKUP(B3579,Customers!$A$2:$G$502,6,FALSE())</f>
        <v>Unknown</v>
      </c>
      <c r="K3579" s="1" t="str">
        <f aca="false">VLOOKUP(C3579,Products!$A$2:$E$62,3,FALSE())</f>
        <v>Electronics</v>
      </c>
      <c r="L3579" s="1" t="str">
        <f aca="false">TEXT(D3579,"yyyy-mm")</f>
        <v>2024-04</v>
      </c>
    </row>
    <row r="3580" customFormat="false" ht="15" hidden="false" customHeight="true" outlineLevel="0" collapsed="false">
      <c r="A3580" s="1" t="n">
        <v>3662</v>
      </c>
      <c r="B3580" s="1" t="n">
        <v>85</v>
      </c>
      <c r="C3580" s="1" t="n">
        <v>60</v>
      </c>
      <c r="D3580" s="1" t="s">
        <v>1472</v>
      </c>
      <c r="E3580" s="1" t="n">
        <v>4</v>
      </c>
      <c r="F3580" s="1" t="n">
        <v>584.98</v>
      </c>
      <c r="G3580" s="1" t="n">
        <v>0</v>
      </c>
      <c r="H3580" s="1" t="s">
        <v>1336</v>
      </c>
      <c r="I3580" s="1" t="n">
        <v>2339.92</v>
      </c>
      <c r="J3580" s="1" t="str">
        <f aca="false">VLOOKUP(B3580,Customers!$A$2:$G$502,6,FALSE())</f>
        <v>Consumer</v>
      </c>
      <c r="K3580" s="1" t="str">
        <f aca="false">VLOOKUP(C3580,Products!$A$2:$E$62,3,FALSE())</f>
        <v>Furniture</v>
      </c>
      <c r="L3580" s="1" t="str">
        <f aca="false">TEXT(D3580,"yyyy-mm")</f>
        <v>2023-07</v>
      </c>
    </row>
    <row r="3581" customFormat="false" ht="15" hidden="false" customHeight="true" outlineLevel="0" collapsed="false">
      <c r="A3581" s="1" t="n">
        <v>3663</v>
      </c>
      <c r="B3581" s="1" t="n">
        <v>351</v>
      </c>
      <c r="C3581" s="1" t="n">
        <v>34</v>
      </c>
      <c r="D3581" s="1" t="s">
        <v>1594</v>
      </c>
      <c r="E3581" s="1" t="n">
        <v>4</v>
      </c>
      <c r="F3581" s="1" t="n">
        <v>116.85</v>
      </c>
      <c r="G3581" s="1" t="n">
        <v>0.2</v>
      </c>
      <c r="H3581" s="1" t="s">
        <v>1370</v>
      </c>
      <c r="I3581" s="1" t="n">
        <v>373.92</v>
      </c>
      <c r="J3581" s="1" t="str">
        <f aca="false">VLOOKUP(B3581,Customers!$A$2:$G$502,6,FALSE())</f>
        <v>Small Business</v>
      </c>
      <c r="K3581" s="1" t="str">
        <f aca="false">VLOOKUP(C3581,Products!$A$2:$E$62,3,FALSE())</f>
        <v>Office Supplies</v>
      </c>
      <c r="L3581" s="1" t="str">
        <f aca="false">TEXT(D3581,"yyyy-mm")</f>
        <v>2023-10</v>
      </c>
    </row>
    <row r="3582" customFormat="false" ht="15" hidden="false" customHeight="true" outlineLevel="0" collapsed="false">
      <c r="A3582" s="1" t="n">
        <v>3664</v>
      </c>
      <c r="B3582" s="1" t="n">
        <v>361</v>
      </c>
      <c r="C3582" s="1" t="n">
        <v>47</v>
      </c>
      <c r="D3582" s="1" t="s">
        <v>112</v>
      </c>
      <c r="E3582" s="1" t="n">
        <v>2</v>
      </c>
      <c r="F3582" s="1" t="n">
        <v>506.19</v>
      </c>
      <c r="G3582" s="1" t="n">
        <v>0.05</v>
      </c>
      <c r="H3582" s="1" t="s">
        <v>1336</v>
      </c>
      <c r="I3582" s="1" t="n">
        <v>961.76</v>
      </c>
      <c r="J3582" s="1" t="str">
        <f aca="false">VLOOKUP(B3582,Customers!$A$2:$G$502,6,FALSE())</f>
        <v>Small Business</v>
      </c>
      <c r="K3582" s="1" t="str">
        <f aca="false">VLOOKUP(C3582,Products!$A$2:$E$62,3,FALSE())</f>
        <v>Software</v>
      </c>
      <c r="L3582" s="1" t="str">
        <f aca="false">TEXT(D3582,"yyyy-mm")</f>
        <v>2024-07</v>
      </c>
    </row>
    <row r="3583" customFormat="false" ht="15" hidden="false" customHeight="true" outlineLevel="0" collapsed="false">
      <c r="A3583" s="1" t="n">
        <v>3665</v>
      </c>
      <c r="B3583" s="1" t="n">
        <v>401</v>
      </c>
      <c r="C3583" s="1" t="n">
        <v>15</v>
      </c>
      <c r="D3583" s="1" t="s">
        <v>1177</v>
      </c>
      <c r="E3583" s="1" t="n">
        <v>1</v>
      </c>
      <c r="F3583" s="1" t="n">
        <v>304.95</v>
      </c>
      <c r="G3583" s="1" t="n">
        <v>0</v>
      </c>
      <c r="H3583" s="1" t="s">
        <v>1336</v>
      </c>
      <c r="I3583" s="1" t="n">
        <v>304.95</v>
      </c>
      <c r="J3583" s="1" t="str">
        <f aca="false">VLOOKUP(B3583,Customers!$A$2:$G$502,6,FALSE())</f>
        <v>Consumer</v>
      </c>
      <c r="K3583" s="1" t="str">
        <f aca="false">VLOOKUP(C3583,Products!$A$2:$E$62,3,FALSE())</f>
        <v>Electronics</v>
      </c>
      <c r="L3583" s="1" t="str">
        <f aca="false">TEXT(D3583,"yyyy-mm")</f>
        <v>2023-08</v>
      </c>
    </row>
    <row r="3584" customFormat="false" ht="15" hidden="false" customHeight="true" outlineLevel="0" collapsed="false">
      <c r="A3584" s="1" t="n">
        <v>3666</v>
      </c>
      <c r="B3584" s="1" t="n">
        <v>288</v>
      </c>
      <c r="C3584" s="1" t="n">
        <v>32</v>
      </c>
      <c r="D3584" s="1" t="s">
        <v>623</v>
      </c>
      <c r="E3584" s="1" t="n">
        <v>9</v>
      </c>
      <c r="F3584" s="1" t="n">
        <v>492.27</v>
      </c>
      <c r="G3584" s="1" t="n">
        <v>0</v>
      </c>
      <c r="H3584" s="1" t="s">
        <v>1336</v>
      </c>
      <c r="I3584" s="1" t="n">
        <v>4430.43</v>
      </c>
      <c r="J3584" s="1" t="str">
        <f aca="false">VLOOKUP(B3584,Customers!$A$2:$G$502,6,FALSE())</f>
        <v>Small Business</v>
      </c>
      <c r="K3584" s="1" t="str">
        <f aca="false">VLOOKUP(C3584,Products!$A$2:$E$62,3,FALSE())</f>
        <v>Office Supplies</v>
      </c>
      <c r="L3584" s="1" t="str">
        <f aca="false">TEXT(D3584,"yyyy-mm")</f>
        <v>2024-05</v>
      </c>
    </row>
    <row r="3585" customFormat="false" ht="15" hidden="false" customHeight="true" outlineLevel="0" collapsed="false">
      <c r="A3585" s="1" t="n">
        <v>3667</v>
      </c>
      <c r="B3585" s="1" t="n">
        <v>401</v>
      </c>
      <c r="C3585" s="1" t="n">
        <v>45</v>
      </c>
      <c r="D3585" s="1" t="s">
        <v>1609</v>
      </c>
      <c r="E3585" s="1" t="n">
        <v>2</v>
      </c>
      <c r="F3585" s="1" t="n">
        <v>560.01</v>
      </c>
      <c r="G3585" s="1" t="n">
        <v>0.2</v>
      </c>
      <c r="H3585" s="1" t="s">
        <v>1336</v>
      </c>
      <c r="I3585" s="1" t="n">
        <v>896.02</v>
      </c>
      <c r="J3585" s="1" t="str">
        <f aca="false">VLOOKUP(B3585,Customers!$A$2:$G$502,6,FALSE())</f>
        <v>Consumer</v>
      </c>
      <c r="K3585" s="1" t="str">
        <f aca="false">VLOOKUP(C3585,Products!$A$2:$E$62,3,FALSE())</f>
        <v>Software</v>
      </c>
      <c r="L3585" s="1" t="str">
        <f aca="false">TEXT(D3585,"yyyy-mm")</f>
        <v>2023-02</v>
      </c>
    </row>
    <row r="3586" customFormat="false" ht="15" hidden="false" customHeight="true" outlineLevel="0" collapsed="false">
      <c r="A3586" s="1" t="n">
        <v>3668</v>
      </c>
      <c r="B3586" s="1" t="n">
        <v>272</v>
      </c>
      <c r="C3586" s="1" t="n">
        <v>31</v>
      </c>
      <c r="D3586" s="1" t="s">
        <v>1524</v>
      </c>
      <c r="E3586" s="1" t="n">
        <v>8</v>
      </c>
      <c r="F3586" s="1" t="n">
        <v>224.86</v>
      </c>
      <c r="G3586" s="1" t="n">
        <v>0</v>
      </c>
      <c r="H3586" s="1" t="s">
        <v>1336</v>
      </c>
      <c r="I3586" s="1" t="n">
        <v>1798.88</v>
      </c>
      <c r="J3586" s="1" t="str">
        <f aca="false">VLOOKUP(B3586,Customers!$A$2:$G$502,6,FALSE())</f>
        <v>Consumer</v>
      </c>
      <c r="K3586" s="1" t="str">
        <f aca="false">VLOOKUP(C3586,Products!$A$2:$E$62,3,FALSE())</f>
        <v>Office Supplies</v>
      </c>
      <c r="L3586" s="1" t="str">
        <f aca="false">TEXT(D3586,"yyyy-mm")</f>
        <v>2024-09</v>
      </c>
    </row>
    <row r="3587" customFormat="false" ht="15" hidden="false" customHeight="true" outlineLevel="0" collapsed="false">
      <c r="A3587" s="1" t="n">
        <v>3669</v>
      </c>
      <c r="B3587" s="1" t="n">
        <v>366</v>
      </c>
      <c r="C3587" s="1" t="n">
        <v>47</v>
      </c>
      <c r="D3587" s="1" t="s">
        <v>1539</v>
      </c>
      <c r="E3587" s="1" t="n">
        <v>9</v>
      </c>
      <c r="F3587" s="1" t="n">
        <v>506.19</v>
      </c>
      <c r="G3587" s="1" t="n">
        <v>0.05</v>
      </c>
      <c r="H3587" s="1" t="s">
        <v>1370</v>
      </c>
      <c r="I3587" s="1" t="n">
        <v>4327.92</v>
      </c>
      <c r="J3587" s="1" t="str">
        <f aca="false">VLOOKUP(B3587,Customers!$A$2:$G$502,6,FALSE())</f>
        <v>Corporate</v>
      </c>
      <c r="K3587" s="1" t="str">
        <f aca="false">VLOOKUP(C3587,Products!$A$2:$E$62,3,FALSE())</f>
        <v>Software</v>
      </c>
      <c r="L3587" s="1" t="str">
        <f aca="false">TEXT(D3587,"yyyy-mm")</f>
        <v>2023-09</v>
      </c>
    </row>
    <row r="3588" customFormat="false" ht="15" hidden="false" customHeight="true" outlineLevel="0" collapsed="false">
      <c r="A3588" s="1" t="n">
        <v>3670</v>
      </c>
      <c r="B3588" s="1" t="n">
        <v>371</v>
      </c>
      <c r="C3588" s="1" t="n">
        <v>26</v>
      </c>
      <c r="D3588" s="1" t="s">
        <v>1629</v>
      </c>
      <c r="E3588" s="1" t="n">
        <v>4</v>
      </c>
      <c r="F3588" s="1" t="n">
        <v>733.85</v>
      </c>
      <c r="G3588" s="1" t="n">
        <v>0.15</v>
      </c>
      <c r="H3588" s="1" t="s">
        <v>1336</v>
      </c>
      <c r="I3588" s="1" t="n">
        <v>2495.09</v>
      </c>
      <c r="J3588" s="1" t="str">
        <f aca="false">VLOOKUP(B3588,Customers!$A$2:$G$502,6,FALSE())</f>
        <v>Unknown</v>
      </c>
      <c r="K3588" s="1" t="str">
        <f aca="false">VLOOKUP(C3588,Products!$A$2:$E$62,3,FALSE())</f>
        <v>Office Supplies</v>
      </c>
      <c r="L3588" s="1" t="str">
        <f aca="false">TEXT(D3588,"yyyy-mm")</f>
        <v>2024-02</v>
      </c>
    </row>
    <row r="3589" customFormat="false" ht="15" hidden="false" customHeight="true" outlineLevel="0" collapsed="false">
      <c r="A3589" s="1" t="n">
        <v>3671</v>
      </c>
      <c r="B3589" s="1" t="n">
        <v>275</v>
      </c>
      <c r="C3589" s="1" t="n">
        <v>51</v>
      </c>
      <c r="D3589" s="1" t="s">
        <v>1689</v>
      </c>
      <c r="E3589" s="1" t="n">
        <v>8</v>
      </c>
      <c r="F3589" s="1" t="n">
        <v>30.16</v>
      </c>
      <c r="G3589" s="1" t="n">
        <v>0</v>
      </c>
      <c r="H3589" s="1" t="s">
        <v>1336</v>
      </c>
      <c r="I3589" s="1" t="n">
        <v>241.28</v>
      </c>
      <c r="J3589" s="1" t="str">
        <f aca="false">VLOOKUP(B3589,Customers!$A$2:$G$502,6,FALSE())</f>
        <v>Consumer</v>
      </c>
      <c r="K3589" s="1" t="str">
        <f aca="false">VLOOKUP(C3589,Products!$A$2:$E$62,3,FALSE())</f>
        <v>Software</v>
      </c>
      <c r="L3589" s="1" t="str">
        <f aca="false">TEXT(D3589,"yyyy-mm")</f>
        <v>2023-01</v>
      </c>
    </row>
    <row r="3590" customFormat="false" ht="15" hidden="false" customHeight="true" outlineLevel="0" collapsed="false">
      <c r="A3590" s="1" t="n">
        <v>3672</v>
      </c>
      <c r="B3590" s="1" t="n">
        <v>251</v>
      </c>
      <c r="C3590" s="1" t="n">
        <v>30</v>
      </c>
      <c r="D3590" s="1" t="s">
        <v>1644</v>
      </c>
      <c r="E3590" s="1" t="n">
        <v>9</v>
      </c>
      <c r="F3590" s="1" t="n">
        <v>33.32</v>
      </c>
      <c r="G3590" s="1" t="n">
        <v>0.15</v>
      </c>
      <c r="H3590" s="1" t="s">
        <v>1336</v>
      </c>
      <c r="I3590" s="1" t="n">
        <v>254.9</v>
      </c>
      <c r="J3590" s="1" t="str">
        <f aca="false">VLOOKUP(B3590,Customers!$A$2:$G$502,6,FALSE())</f>
        <v>Small Business</v>
      </c>
      <c r="K3590" s="1" t="str">
        <f aca="false">VLOOKUP(C3590,Products!$A$2:$E$62,3,FALSE())</f>
        <v>Office Supplies</v>
      </c>
      <c r="L3590" s="1" t="str">
        <f aca="false">TEXT(D3590,"yyyy-mm")</f>
        <v>2023-08</v>
      </c>
    </row>
    <row r="3591" customFormat="false" ht="15" hidden="false" customHeight="true" outlineLevel="0" collapsed="false">
      <c r="A3591" s="1" t="n">
        <v>3673</v>
      </c>
      <c r="B3591" s="1" t="n">
        <v>184</v>
      </c>
      <c r="C3591" s="1" t="n">
        <v>32</v>
      </c>
      <c r="D3591" s="1" t="s">
        <v>1205</v>
      </c>
      <c r="E3591" s="1" t="n">
        <v>5</v>
      </c>
      <c r="F3591" s="1" t="n">
        <v>492.27</v>
      </c>
      <c r="G3591" s="1" t="n">
        <v>0</v>
      </c>
      <c r="H3591" s="1" t="s">
        <v>1336</v>
      </c>
      <c r="I3591" s="1" t="n">
        <v>2461.35</v>
      </c>
      <c r="J3591" s="1" t="str">
        <f aca="false">VLOOKUP(B3591,Customers!$A$2:$G$502,6,FALSE())</f>
        <v>Corporate</v>
      </c>
      <c r="K3591" s="1" t="str">
        <f aca="false">VLOOKUP(C3591,Products!$A$2:$E$62,3,FALSE())</f>
        <v>Office Supplies</v>
      </c>
      <c r="L3591" s="1" t="str">
        <f aca="false">TEXT(D3591,"yyyy-mm")</f>
        <v>2024-08</v>
      </c>
    </row>
    <row r="3592" customFormat="false" ht="15" hidden="false" customHeight="true" outlineLevel="0" collapsed="false">
      <c r="A3592" s="1" t="n">
        <v>3674</v>
      </c>
      <c r="B3592" s="1" t="n">
        <v>131</v>
      </c>
      <c r="C3592" s="1" t="n">
        <v>47</v>
      </c>
      <c r="D3592" s="1" t="s">
        <v>387</v>
      </c>
      <c r="E3592" s="1" t="n">
        <v>7</v>
      </c>
      <c r="F3592" s="1" t="n">
        <v>506.19</v>
      </c>
      <c r="G3592" s="1" t="n">
        <v>0</v>
      </c>
      <c r="H3592" s="1" t="s">
        <v>1336</v>
      </c>
      <c r="I3592" s="1" t="n">
        <v>3543.33</v>
      </c>
      <c r="J3592" s="1" t="str">
        <f aca="false">VLOOKUP(B3592,Customers!$A$2:$G$502,6,FALSE())</f>
        <v>Corporate</v>
      </c>
      <c r="K3592" s="1" t="str">
        <f aca="false">VLOOKUP(C3592,Products!$A$2:$E$62,3,FALSE())</f>
        <v>Software</v>
      </c>
      <c r="L3592" s="1" t="str">
        <f aca="false">TEXT(D3592,"yyyy-mm")</f>
        <v>2024-04</v>
      </c>
    </row>
    <row r="3593" customFormat="false" ht="15" hidden="false" customHeight="true" outlineLevel="0" collapsed="false">
      <c r="A3593" s="1" t="n">
        <v>3675</v>
      </c>
      <c r="B3593" s="1" t="n">
        <v>201</v>
      </c>
      <c r="C3593" s="1" t="n">
        <v>60</v>
      </c>
      <c r="D3593" s="1" t="s">
        <v>1701</v>
      </c>
      <c r="E3593" s="1" t="n">
        <v>4</v>
      </c>
      <c r="F3593" s="1" t="n">
        <v>584.98</v>
      </c>
      <c r="G3593" s="1" t="n">
        <v>0</v>
      </c>
      <c r="H3593" s="1" t="s">
        <v>1336</v>
      </c>
      <c r="I3593" s="1" t="n">
        <v>2339.92</v>
      </c>
      <c r="J3593" s="1" t="str">
        <f aca="false">VLOOKUP(B3593,Customers!$A$2:$G$502,6,FALSE())</f>
        <v>Corporate</v>
      </c>
      <c r="K3593" s="1" t="str">
        <f aca="false">VLOOKUP(C3593,Products!$A$2:$E$62,3,FALSE())</f>
        <v>Furniture</v>
      </c>
      <c r="L3593" s="1" t="str">
        <f aca="false">TEXT(D3593,"yyyy-mm")</f>
        <v>2024-04</v>
      </c>
    </row>
    <row r="3594" customFormat="false" ht="15" hidden="false" customHeight="true" outlineLevel="0" collapsed="false">
      <c r="A3594" s="1" t="n">
        <v>3676</v>
      </c>
      <c r="B3594" s="1" t="n">
        <v>491</v>
      </c>
      <c r="C3594" s="1" t="n">
        <v>42</v>
      </c>
      <c r="D3594" s="1" t="s">
        <v>1632</v>
      </c>
      <c r="E3594" s="1" t="n">
        <v>1</v>
      </c>
      <c r="F3594" s="1" t="n">
        <v>174.48</v>
      </c>
      <c r="G3594" s="1" t="n">
        <v>0.2</v>
      </c>
      <c r="H3594" s="1" t="s">
        <v>1336</v>
      </c>
      <c r="I3594" s="1" t="n">
        <v>139.58</v>
      </c>
      <c r="J3594" s="1" t="str">
        <f aca="false">VLOOKUP(B3594,Customers!$A$2:$G$502,6,FALSE())</f>
        <v>Small Business</v>
      </c>
      <c r="K3594" s="1" t="str">
        <f aca="false">VLOOKUP(C3594,Products!$A$2:$E$62,3,FALSE())</f>
        <v>Software</v>
      </c>
      <c r="L3594" s="1" t="str">
        <f aca="false">TEXT(D3594,"yyyy-mm")</f>
        <v>2024-04</v>
      </c>
    </row>
    <row r="3595" customFormat="false" ht="15" hidden="false" customHeight="true" outlineLevel="0" collapsed="false">
      <c r="A3595" s="1" t="n">
        <v>3677</v>
      </c>
      <c r="B3595" s="1" t="n">
        <v>374</v>
      </c>
      <c r="C3595" s="1" t="n">
        <v>55</v>
      </c>
      <c r="D3595" s="1" t="s">
        <v>1660</v>
      </c>
      <c r="E3595" s="1" t="n">
        <v>3</v>
      </c>
      <c r="F3595" s="1" t="n">
        <v>123.38</v>
      </c>
      <c r="G3595" s="1" t="n">
        <v>0</v>
      </c>
      <c r="H3595" s="1" t="s">
        <v>1336</v>
      </c>
      <c r="I3595" s="1" t="n">
        <v>370.14</v>
      </c>
      <c r="J3595" s="1" t="str">
        <f aca="false">VLOOKUP(B3595,Customers!$A$2:$G$502,6,FALSE())</f>
        <v>Consumer</v>
      </c>
      <c r="K3595" s="1" t="str">
        <f aca="false">VLOOKUP(C3595,Products!$A$2:$E$62,3,FALSE())</f>
        <v>Furniture</v>
      </c>
      <c r="L3595" s="1" t="str">
        <f aca="false">TEXT(D3595,"yyyy-mm")</f>
        <v>2023-06</v>
      </c>
    </row>
    <row r="3596" customFormat="false" ht="15" hidden="false" customHeight="true" outlineLevel="0" collapsed="false">
      <c r="A3596" s="1" t="n">
        <v>3678</v>
      </c>
      <c r="B3596" s="1" t="n">
        <v>490</v>
      </c>
      <c r="C3596" s="1" t="n">
        <v>16</v>
      </c>
      <c r="D3596" s="1" t="s">
        <v>89</v>
      </c>
      <c r="E3596" s="1" t="n">
        <v>5</v>
      </c>
      <c r="F3596" s="1" t="n">
        <v>330.91</v>
      </c>
      <c r="G3596" s="1" t="n">
        <v>0.15</v>
      </c>
      <c r="H3596" s="1" t="s">
        <v>1370</v>
      </c>
      <c r="I3596" s="1" t="n">
        <v>1406.37</v>
      </c>
      <c r="J3596" s="1" t="str">
        <f aca="false">VLOOKUP(B3596,Customers!$A$2:$G$502,6,FALSE())</f>
        <v>Consumer</v>
      </c>
      <c r="K3596" s="1" t="str">
        <f aca="false">VLOOKUP(C3596,Products!$A$2:$E$62,3,FALSE())</f>
        <v>Electronics</v>
      </c>
      <c r="L3596" s="1" t="str">
        <f aca="false">TEXT(D3596,"yyyy-mm")</f>
        <v>2023-02</v>
      </c>
    </row>
    <row r="3597" customFormat="false" ht="15" hidden="false" customHeight="true" outlineLevel="0" collapsed="false">
      <c r="A3597" s="1" t="n">
        <v>3679</v>
      </c>
      <c r="B3597" s="1" t="n">
        <v>130</v>
      </c>
      <c r="C3597" s="1" t="n">
        <v>41</v>
      </c>
      <c r="D3597" s="1" t="s">
        <v>1255</v>
      </c>
      <c r="E3597" s="1" t="n">
        <v>3</v>
      </c>
      <c r="F3597" s="1" t="n">
        <v>594.54</v>
      </c>
      <c r="G3597" s="1" t="n">
        <v>0</v>
      </c>
      <c r="H3597" s="1" t="s">
        <v>1336</v>
      </c>
      <c r="I3597" s="1" t="n">
        <v>1783.62</v>
      </c>
      <c r="J3597" s="1" t="str">
        <f aca="false">VLOOKUP(B3597,Customers!$A$2:$G$502,6,FALSE())</f>
        <v>Consumer</v>
      </c>
      <c r="K3597" s="1" t="str">
        <f aca="false">VLOOKUP(C3597,Products!$A$2:$E$62,3,FALSE())</f>
        <v>Software</v>
      </c>
      <c r="L3597" s="1" t="str">
        <f aca="false">TEXT(D3597,"yyyy-mm")</f>
        <v>2024-07</v>
      </c>
    </row>
    <row r="3598" customFormat="false" ht="15" hidden="false" customHeight="true" outlineLevel="0" collapsed="false">
      <c r="A3598" s="1" t="n">
        <v>3680</v>
      </c>
      <c r="B3598" s="1" t="n">
        <v>410</v>
      </c>
      <c r="C3598" s="1" t="n">
        <v>8</v>
      </c>
      <c r="D3598" s="1" t="s">
        <v>461</v>
      </c>
      <c r="E3598" s="1" t="n">
        <v>7</v>
      </c>
      <c r="F3598" s="1" t="n">
        <v>104.4</v>
      </c>
      <c r="G3598" s="1" t="n">
        <v>0.05</v>
      </c>
      <c r="H3598" s="1" t="s">
        <v>1336</v>
      </c>
      <c r="I3598" s="1" t="n">
        <v>694.26</v>
      </c>
      <c r="J3598" s="1" t="str">
        <f aca="false">VLOOKUP(B3598,Customers!$A$2:$G$502,6,FALSE())</f>
        <v>Consumer</v>
      </c>
      <c r="K3598" s="1" t="str">
        <f aca="false">VLOOKUP(C3598,Products!$A$2:$E$62,3,FALSE())</f>
        <v>Electronics</v>
      </c>
      <c r="L3598" s="1" t="str">
        <f aca="false">TEXT(D3598,"yyyy-mm")</f>
        <v>2023-02</v>
      </c>
    </row>
    <row r="3599" customFormat="false" ht="15" hidden="false" customHeight="true" outlineLevel="0" collapsed="false">
      <c r="A3599" s="1" t="n">
        <v>3681</v>
      </c>
      <c r="B3599" s="1" t="n">
        <v>226</v>
      </c>
      <c r="C3599" s="1" t="n">
        <v>15</v>
      </c>
      <c r="D3599" s="1" t="s">
        <v>1390</v>
      </c>
      <c r="E3599" s="1" t="n">
        <v>9</v>
      </c>
      <c r="F3599" s="1" t="n">
        <v>304.95</v>
      </c>
      <c r="G3599" s="1" t="n">
        <v>0</v>
      </c>
      <c r="H3599" s="1" t="s">
        <v>1336</v>
      </c>
      <c r="I3599" s="1" t="n">
        <v>2744.55</v>
      </c>
      <c r="J3599" s="1" t="str">
        <f aca="false">VLOOKUP(B3599,Customers!$A$2:$G$502,6,FALSE())</f>
        <v>Corporate</v>
      </c>
      <c r="K3599" s="1" t="str">
        <f aca="false">VLOOKUP(C3599,Products!$A$2:$E$62,3,FALSE())</f>
        <v>Electronics</v>
      </c>
      <c r="L3599" s="1" t="str">
        <f aca="false">TEXT(D3599,"yyyy-mm")</f>
        <v>2024-03</v>
      </c>
    </row>
    <row r="3600" customFormat="false" ht="15" hidden="false" customHeight="true" outlineLevel="0" collapsed="false">
      <c r="A3600" s="1" t="n">
        <v>3682</v>
      </c>
      <c r="B3600" s="1" t="n">
        <v>242</v>
      </c>
      <c r="C3600" s="1" t="n">
        <v>9</v>
      </c>
      <c r="D3600" s="1" t="s">
        <v>1689</v>
      </c>
      <c r="E3600" s="1" t="n">
        <v>6</v>
      </c>
      <c r="F3600" s="1" t="n">
        <v>203.1</v>
      </c>
      <c r="G3600" s="1" t="n">
        <v>0</v>
      </c>
      <c r="H3600" s="1" t="s">
        <v>1336</v>
      </c>
      <c r="I3600" s="1" t="n">
        <v>1218.6</v>
      </c>
      <c r="J3600" s="1" t="str">
        <f aca="false">VLOOKUP(B3600,Customers!$A$2:$G$502,6,FALSE())</f>
        <v>Corporate</v>
      </c>
      <c r="K3600" s="1" t="str">
        <f aca="false">VLOOKUP(C3600,Products!$A$2:$E$62,3,FALSE())</f>
        <v>Electronics</v>
      </c>
      <c r="L3600" s="1" t="str">
        <f aca="false">TEXT(D3600,"yyyy-mm")</f>
        <v>2023-01</v>
      </c>
    </row>
    <row r="3601" customFormat="false" ht="15" hidden="false" customHeight="true" outlineLevel="0" collapsed="false">
      <c r="A3601" s="1" t="n">
        <v>3683</v>
      </c>
      <c r="B3601" s="1" t="n">
        <v>241</v>
      </c>
      <c r="C3601" s="1" t="n">
        <v>17</v>
      </c>
      <c r="D3601" s="1" t="s">
        <v>97</v>
      </c>
      <c r="E3601" s="1" t="n">
        <v>1</v>
      </c>
      <c r="F3601" s="1" t="n">
        <v>65.61</v>
      </c>
      <c r="G3601" s="1" t="n">
        <v>0</v>
      </c>
      <c r="H3601" s="1" t="s">
        <v>1336</v>
      </c>
      <c r="I3601" s="1" t="n">
        <v>65.61</v>
      </c>
      <c r="J3601" s="1" t="str">
        <f aca="false">VLOOKUP(B3601,Customers!$A$2:$G$502,6,FALSE())</f>
        <v>Small Business</v>
      </c>
      <c r="K3601" s="1" t="str">
        <f aca="false">VLOOKUP(C3601,Products!$A$2:$E$62,3,FALSE())</f>
        <v>Electronics</v>
      </c>
      <c r="L3601" s="1" t="str">
        <f aca="false">TEXT(D3601,"yyyy-mm")</f>
        <v>2024-11</v>
      </c>
    </row>
    <row r="3602" customFormat="false" ht="15" hidden="false" customHeight="true" outlineLevel="0" collapsed="false">
      <c r="A3602" s="1" t="n">
        <v>3684</v>
      </c>
      <c r="B3602" s="1" t="n">
        <v>391</v>
      </c>
      <c r="C3602" s="1" t="n">
        <v>57</v>
      </c>
      <c r="D3602" s="1" t="s">
        <v>1396</v>
      </c>
      <c r="E3602" s="1" t="n">
        <v>7</v>
      </c>
      <c r="F3602" s="1" t="n">
        <v>719.76</v>
      </c>
      <c r="G3602" s="1" t="n">
        <v>0.15</v>
      </c>
      <c r="H3602" s="1" t="s">
        <v>1336</v>
      </c>
      <c r="I3602" s="1" t="n">
        <v>4282.57</v>
      </c>
      <c r="J3602" s="1" t="str">
        <f aca="false">VLOOKUP(B3602,Customers!$A$2:$G$502,6,FALSE())</f>
        <v>Small Business</v>
      </c>
      <c r="K3602" s="1" t="str">
        <f aca="false">VLOOKUP(C3602,Products!$A$2:$E$62,3,FALSE())</f>
        <v>Furniture</v>
      </c>
      <c r="L3602" s="1" t="str">
        <f aca="false">TEXT(D3602,"yyyy-mm")</f>
        <v>2023-08</v>
      </c>
    </row>
    <row r="3603" customFormat="false" ht="15" hidden="false" customHeight="true" outlineLevel="0" collapsed="false">
      <c r="A3603" s="1" t="n">
        <v>3685</v>
      </c>
      <c r="B3603" s="1" t="n">
        <v>181</v>
      </c>
      <c r="C3603" s="1" t="n">
        <v>22</v>
      </c>
      <c r="D3603" s="1" t="s">
        <v>286</v>
      </c>
      <c r="E3603" s="1" t="n">
        <v>3</v>
      </c>
      <c r="F3603" s="1" t="n">
        <v>38.57</v>
      </c>
      <c r="G3603" s="1" t="n">
        <v>0.15</v>
      </c>
      <c r="H3603" s="1" t="s">
        <v>1336</v>
      </c>
      <c r="I3603" s="1" t="n">
        <v>98.35</v>
      </c>
      <c r="J3603" s="1" t="str">
        <f aca="false">VLOOKUP(B3603,Customers!$A$2:$G$502,6,FALSE())</f>
        <v>Small Business</v>
      </c>
      <c r="K3603" s="1" t="str">
        <f aca="false">VLOOKUP(C3603,Products!$A$2:$E$62,3,FALSE())</f>
        <v>Office Supplies</v>
      </c>
      <c r="L3603" s="1" t="str">
        <f aca="false">TEXT(D3603,"yyyy-mm")</f>
        <v>2023-04</v>
      </c>
    </row>
    <row r="3604" customFormat="false" ht="15" hidden="false" customHeight="true" outlineLevel="0" collapsed="false">
      <c r="A3604" s="1" t="n">
        <v>3686</v>
      </c>
      <c r="B3604" s="1" t="n">
        <v>263</v>
      </c>
      <c r="C3604" s="1" t="n">
        <v>8</v>
      </c>
      <c r="D3604" s="1" t="s">
        <v>1661</v>
      </c>
      <c r="E3604" s="1" t="n">
        <v>5</v>
      </c>
      <c r="F3604" s="1" t="n">
        <v>104.4</v>
      </c>
      <c r="G3604" s="1" t="n">
        <v>0</v>
      </c>
      <c r="H3604" s="1" t="s">
        <v>1336</v>
      </c>
      <c r="I3604" s="1" t="n">
        <v>522</v>
      </c>
      <c r="J3604" s="1" t="str">
        <f aca="false">VLOOKUP(B3604,Customers!$A$2:$G$502,6,FALSE())</f>
        <v>Consumer</v>
      </c>
      <c r="K3604" s="1" t="str">
        <f aca="false">VLOOKUP(C3604,Products!$A$2:$E$62,3,FALSE())</f>
        <v>Electronics</v>
      </c>
      <c r="L3604" s="1" t="str">
        <f aca="false">TEXT(D3604,"yyyy-mm")</f>
        <v>2024-09</v>
      </c>
    </row>
    <row r="3605" customFormat="false" ht="15" hidden="false" customHeight="true" outlineLevel="0" collapsed="false">
      <c r="A3605" s="1" t="n">
        <v>3687</v>
      </c>
      <c r="B3605" s="1" t="n">
        <v>450</v>
      </c>
      <c r="C3605" s="1" t="n">
        <v>12</v>
      </c>
      <c r="D3605" s="1" t="s">
        <v>1386</v>
      </c>
      <c r="E3605" s="1" t="n">
        <v>4</v>
      </c>
      <c r="F3605" s="1" t="n">
        <v>179.23</v>
      </c>
      <c r="G3605" s="1" t="n">
        <v>0</v>
      </c>
      <c r="H3605" s="1" t="s">
        <v>1336</v>
      </c>
      <c r="I3605" s="1" t="n">
        <v>716.92</v>
      </c>
      <c r="J3605" s="1" t="str">
        <f aca="false">VLOOKUP(B3605,Customers!$A$2:$G$502,6,FALSE())</f>
        <v>Consumer</v>
      </c>
      <c r="K3605" s="1" t="str">
        <f aca="false">VLOOKUP(C3605,Products!$A$2:$E$62,3,FALSE())</f>
        <v>Electronics</v>
      </c>
      <c r="L3605" s="1" t="str">
        <f aca="false">TEXT(D3605,"yyyy-mm")</f>
        <v>2023-08</v>
      </c>
    </row>
    <row r="3606" customFormat="false" ht="15" hidden="false" customHeight="true" outlineLevel="0" collapsed="false">
      <c r="A3606" s="1" t="n">
        <v>3688</v>
      </c>
      <c r="B3606" s="1" t="n">
        <v>67</v>
      </c>
      <c r="C3606" s="1" t="n">
        <v>16</v>
      </c>
      <c r="D3606" s="1" t="s">
        <v>393</v>
      </c>
      <c r="E3606" s="1" t="n">
        <v>5</v>
      </c>
      <c r="F3606" s="1" t="n">
        <v>330.91</v>
      </c>
      <c r="G3606" s="1" t="n">
        <v>0</v>
      </c>
      <c r="H3606" s="1" t="s">
        <v>1336</v>
      </c>
      <c r="I3606" s="1" t="n">
        <v>1654.55</v>
      </c>
      <c r="J3606" s="1" t="str">
        <f aca="false">VLOOKUP(B3606,Customers!$A$2:$G$502,6,FALSE())</f>
        <v>Small Business</v>
      </c>
      <c r="K3606" s="1" t="str">
        <f aca="false">VLOOKUP(C3606,Products!$A$2:$E$62,3,FALSE())</f>
        <v>Electronics</v>
      </c>
      <c r="L3606" s="1" t="str">
        <f aca="false">TEXT(D3606,"yyyy-mm")</f>
        <v>2023-11</v>
      </c>
    </row>
    <row r="3607" customFormat="false" ht="15" hidden="false" customHeight="true" outlineLevel="0" collapsed="false">
      <c r="A3607" s="1" t="n">
        <v>3689</v>
      </c>
      <c r="B3607" s="1" t="n">
        <v>98</v>
      </c>
      <c r="C3607" s="1" t="n">
        <v>43</v>
      </c>
      <c r="D3607" s="1" t="s">
        <v>283</v>
      </c>
      <c r="E3607" s="1" t="n">
        <v>5</v>
      </c>
      <c r="F3607" s="1" t="n">
        <v>186.31</v>
      </c>
      <c r="G3607" s="1" t="n">
        <v>0.15</v>
      </c>
      <c r="H3607" s="1" t="s">
        <v>1336</v>
      </c>
      <c r="I3607" s="1" t="n">
        <v>791.82</v>
      </c>
      <c r="J3607" s="1" t="str">
        <f aca="false">VLOOKUP(B3607,Customers!$A$2:$G$502,6,FALSE())</f>
        <v>Corporate</v>
      </c>
      <c r="K3607" s="1" t="str">
        <f aca="false">VLOOKUP(C3607,Products!$A$2:$E$62,3,FALSE())</f>
        <v>Software</v>
      </c>
      <c r="L3607" s="1" t="str">
        <f aca="false">TEXT(D3607,"yyyy-mm")</f>
        <v>2023-10</v>
      </c>
    </row>
    <row r="3608" customFormat="false" ht="15" hidden="false" customHeight="true" outlineLevel="0" collapsed="false">
      <c r="A3608" s="1" t="n">
        <v>3690</v>
      </c>
      <c r="B3608" s="1" t="n">
        <v>170</v>
      </c>
      <c r="C3608" s="1" t="n">
        <v>52</v>
      </c>
      <c r="D3608" s="1" t="s">
        <v>1639</v>
      </c>
      <c r="E3608" s="1" t="n">
        <v>6</v>
      </c>
      <c r="F3608" s="1" t="n">
        <v>207.67</v>
      </c>
      <c r="G3608" s="1" t="n">
        <v>0.1</v>
      </c>
      <c r="H3608" s="1" t="s">
        <v>1336</v>
      </c>
      <c r="I3608" s="1" t="n">
        <v>1121.42</v>
      </c>
      <c r="J3608" s="1" t="str">
        <f aca="false">VLOOKUP(B3608,Customers!$A$2:$G$502,6,FALSE())</f>
        <v>Small Business</v>
      </c>
      <c r="K3608" s="1" t="str">
        <f aca="false">VLOOKUP(C3608,Products!$A$2:$E$62,3,FALSE())</f>
        <v>Software</v>
      </c>
      <c r="L3608" s="1" t="str">
        <f aca="false">TEXT(D3608,"yyyy-mm")</f>
        <v>2023-07</v>
      </c>
    </row>
    <row r="3609" customFormat="false" ht="15" hidden="false" customHeight="true" outlineLevel="0" collapsed="false">
      <c r="A3609" s="1" t="n">
        <v>3691</v>
      </c>
      <c r="B3609" s="1" t="n">
        <v>287</v>
      </c>
      <c r="C3609" s="1" t="n">
        <v>2</v>
      </c>
      <c r="D3609" s="1" t="s">
        <v>345</v>
      </c>
      <c r="E3609" s="1" t="n">
        <v>6</v>
      </c>
      <c r="F3609" s="1" t="n">
        <v>498.15</v>
      </c>
      <c r="G3609" s="1" t="n">
        <v>0</v>
      </c>
      <c r="H3609" s="1" t="s">
        <v>1336</v>
      </c>
      <c r="I3609" s="1" t="n">
        <v>2988.9</v>
      </c>
      <c r="J3609" s="1" t="str">
        <f aca="false">VLOOKUP(B3609,Customers!$A$2:$G$502,6,FALSE())</f>
        <v>Corporate</v>
      </c>
      <c r="K3609" s="1" t="str">
        <f aca="false">VLOOKUP(C3609,Products!$A$2:$E$62,3,FALSE())</f>
        <v>Electronics</v>
      </c>
      <c r="L3609" s="1" t="str">
        <f aca="false">TEXT(D3609,"yyyy-mm")</f>
        <v>2024-09</v>
      </c>
    </row>
    <row r="3610" customFormat="false" ht="15" hidden="false" customHeight="true" outlineLevel="0" collapsed="false">
      <c r="A3610" s="1" t="n">
        <v>3692</v>
      </c>
      <c r="B3610" s="1" t="n">
        <v>461</v>
      </c>
      <c r="C3610" s="1" t="n">
        <v>51</v>
      </c>
      <c r="D3610" s="1" t="s">
        <v>1557</v>
      </c>
      <c r="E3610" s="1" t="n">
        <v>8</v>
      </c>
      <c r="F3610" s="1" t="n">
        <v>30.16</v>
      </c>
      <c r="G3610" s="1" t="n">
        <v>0.1</v>
      </c>
      <c r="H3610" s="1" t="s">
        <v>1336</v>
      </c>
      <c r="I3610" s="1" t="n">
        <v>217.15</v>
      </c>
      <c r="J3610" s="1" t="str">
        <f aca="false">VLOOKUP(B3610,Customers!$A$2:$G$502,6,FALSE())</f>
        <v>Corporate</v>
      </c>
      <c r="K3610" s="1" t="str">
        <f aca="false">VLOOKUP(C3610,Products!$A$2:$E$62,3,FALSE())</f>
        <v>Software</v>
      </c>
      <c r="L3610" s="1" t="str">
        <f aca="false">TEXT(D3610,"yyyy-mm")</f>
        <v>2024-03</v>
      </c>
    </row>
    <row r="3611" customFormat="false" ht="15" hidden="false" customHeight="true" outlineLevel="0" collapsed="false">
      <c r="A3611" s="1" t="n">
        <v>3694</v>
      </c>
      <c r="B3611" s="1" t="n">
        <v>51</v>
      </c>
      <c r="C3611" s="1" t="n">
        <v>28</v>
      </c>
      <c r="D3611" s="1" t="s">
        <v>1510</v>
      </c>
      <c r="E3611" s="1" t="n">
        <v>9</v>
      </c>
      <c r="F3611" s="1" t="n">
        <v>505.23</v>
      </c>
      <c r="G3611" s="1" t="n">
        <v>0</v>
      </c>
      <c r="H3611" s="1" t="s">
        <v>1336</v>
      </c>
      <c r="I3611" s="1" t="n">
        <v>4547.07</v>
      </c>
      <c r="J3611" s="1" t="str">
        <f aca="false">VLOOKUP(B3611,Customers!$A$2:$G$502,6,FALSE())</f>
        <v>Corporate</v>
      </c>
      <c r="K3611" s="1" t="str">
        <f aca="false">VLOOKUP(C3611,Products!$A$2:$E$62,3,FALSE())</f>
        <v>Office Supplies</v>
      </c>
      <c r="L3611" s="1" t="str">
        <f aca="false">TEXT(D3611,"yyyy-mm")</f>
        <v>2024-02</v>
      </c>
    </row>
    <row r="3612" customFormat="false" ht="15" hidden="false" customHeight="true" outlineLevel="0" collapsed="false">
      <c r="A3612" s="1" t="n">
        <v>3695</v>
      </c>
      <c r="B3612" s="1" t="n">
        <v>404</v>
      </c>
      <c r="C3612" s="1" t="n">
        <v>48</v>
      </c>
      <c r="D3612" s="1" t="s">
        <v>1504</v>
      </c>
      <c r="E3612" s="1" t="n">
        <v>8</v>
      </c>
      <c r="F3612" s="1" t="n">
        <v>493.53</v>
      </c>
      <c r="G3612" s="1" t="n">
        <v>0.1</v>
      </c>
      <c r="H3612" s="1" t="s">
        <v>1336</v>
      </c>
      <c r="I3612" s="1" t="n">
        <v>3553.42</v>
      </c>
      <c r="J3612" s="1" t="str">
        <f aca="false">VLOOKUP(B3612,Customers!$A$2:$G$502,6,FALSE())</f>
        <v>Corporate</v>
      </c>
      <c r="K3612" s="1" t="str">
        <f aca="false">VLOOKUP(C3612,Products!$A$2:$E$62,3,FALSE())</f>
        <v>Software</v>
      </c>
      <c r="L3612" s="1" t="str">
        <f aca="false">TEXT(D3612,"yyyy-mm")</f>
        <v>2023-12</v>
      </c>
    </row>
    <row r="3613" customFormat="false" ht="15" hidden="false" customHeight="true" outlineLevel="0" collapsed="false">
      <c r="A3613" s="1" t="n">
        <v>3696</v>
      </c>
      <c r="B3613" s="1" t="n">
        <v>154</v>
      </c>
      <c r="C3613" s="1" t="n">
        <v>10</v>
      </c>
      <c r="D3613" s="1" t="s">
        <v>455</v>
      </c>
      <c r="E3613" s="1" t="n">
        <v>2</v>
      </c>
      <c r="F3613" s="1" t="n">
        <v>251.58</v>
      </c>
      <c r="G3613" s="1" t="n">
        <v>0</v>
      </c>
      <c r="H3613" s="1" t="s">
        <v>1336</v>
      </c>
      <c r="I3613" s="1" t="n">
        <v>503.16</v>
      </c>
      <c r="J3613" s="1" t="str">
        <f aca="false">VLOOKUP(B3613,Customers!$A$2:$G$502,6,FALSE())</f>
        <v>Small Business</v>
      </c>
      <c r="K3613" s="1" t="str">
        <f aca="false">VLOOKUP(C3613,Products!$A$2:$E$62,3,FALSE())</f>
        <v>Electronics</v>
      </c>
      <c r="L3613" s="1" t="str">
        <f aca="false">TEXT(D3613,"yyyy-mm")</f>
        <v>2024-08</v>
      </c>
    </row>
    <row r="3614" customFormat="false" ht="15" hidden="false" customHeight="true" outlineLevel="0" collapsed="false">
      <c r="A3614" s="1" t="n">
        <v>3697</v>
      </c>
      <c r="B3614" s="1" t="n">
        <v>50</v>
      </c>
      <c r="C3614" s="1" t="n">
        <v>8</v>
      </c>
      <c r="D3614" s="1" t="s">
        <v>1047</v>
      </c>
      <c r="E3614" s="1" t="n">
        <v>1</v>
      </c>
      <c r="F3614" s="1" t="n">
        <v>104.4</v>
      </c>
      <c r="G3614" s="1" t="n">
        <v>0</v>
      </c>
      <c r="H3614" s="1" t="s">
        <v>1336</v>
      </c>
      <c r="I3614" s="1" t="n">
        <v>104.4</v>
      </c>
      <c r="J3614" s="1" t="str">
        <f aca="false">VLOOKUP(B3614,Customers!$A$2:$G$502,6,FALSE())</f>
        <v>Consumer</v>
      </c>
      <c r="K3614" s="1" t="str">
        <f aca="false">VLOOKUP(C3614,Products!$A$2:$E$62,3,FALSE())</f>
        <v>Electronics</v>
      </c>
      <c r="L3614" s="1" t="str">
        <f aca="false">TEXT(D3614,"yyyy-mm")</f>
        <v>2024-01</v>
      </c>
    </row>
    <row r="3615" customFormat="false" ht="15" hidden="false" customHeight="true" outlineLevel="0" collapsed="false">
      <c r="A3615" s="1" t="n">
        <v>3698</v>
      </c>
      <c r="B3615" s="1" t="n">
        <v>316</v>
      </c>
      <c r="C3615" s="1" t="n">
        <v>37</v>
      </c>
      <c r="D3615" s="1" t="s">
        <v>1703</v>
      </c>
      <c r="E3615" s="1" t="n">
        <v>2</v>
      </c>
      <c r="F3615" s="1" t="n">
        <v>13.95</v>
      </c>
      <c r="G3615" s="1" t="n">
        <v>0.05</v>
      </c>
      <c r="H3615" s="1" t="s">
        <v>1336</v>
      </c>
      <c r="I3615" s="1" t="n">
        <v>26.5</v>
      </c>
      <c r="J3615" s="1" t="str">
        <f aca="false">VLOOKUP(B3615,Customers!$A$2:$G$502,6,FALSE())</f>
        <v>Small Business</v>
      </c>
      <c r="K3615" s="1" t="str">
        <f aca="false">VLOOKUP(C3615,Products!$A$2:$E$62,3,FALSE())</f>
        <v>Software</v>
      </c>
      <c r="L3615" s="1" t="str">
        <f aca="false">TEXT(D3615,"yyyy-mm")</f>
        <v>2024-12</v>
      </c>
    </row>
    <row r="3616" customFormat="false" ht="15" hidden="false" customHeight="true" outlineLevel="0" collapsed="false">
      <c r="A3616" s="1" t="n">
        <v>3699</v>
      </c>
      <c r="B3616" s="1" t="n">
        <v>84</v>
      </c>
      <c r="C3616" s="1" t="n">
        <v>46</v>
      </c>
      <c r="D3616" s="1" t="s">
        <v>1504</v>
      </c>
      <c r="E3616" s="1" t="n">
        <v>2</v>
      </c>
      <c r="F3616" s="1" t="n">
        <v>94.92</v>
      </c>
      <c r="G3616" s="1" t="n">
        <v>0</v>
      </c>
      <c r="H3616" s="1" t="s">
        <v>1336</v>
      </c>
      <c r="I3616" s="1" t="n">
        <v>189.84</v>
      </c>
      <c r="J3616" s="1" t="str">
        <f aca="false">VLOOKUP(B3616,Customers!$A$2:$G$502,6,FALSE())</f>
        <v>Corporate</v>
      </c>
      <c r="K3616" s="1" t="str">
        <f aca="false">VLOOKUP(C3616,Products!$A$2:$E$62,3,FALSE())</f>
        <v>Software</v>
      </c>
      <c r="L3616" s="1" t="str">
        <f aca="false">TEXT(D3616,"yyyy-mm")</f>
        <v>2023-12</v>
      </c>
    </row>
    <row r="3617" customFormat="false" ht="15" hidden="false" customHeight="true" outlineLevel="0" collapsed="false">
      <c r="A3617" s="1" t="n">
        <v>3700</v>
      </c>
      <c r="B3617" s="1" t="n">
        <v>283</v>
      </c>
      <c r="C3617" s="1" t="n">
        <v>60</v>
      </c>
      <c r="D3617" s="1" t="s">
        <v>1440</v>
      </c>
      <c r="E3617" s="1" t="n">
        <v>3</v>
      </c>
      <c r="F3617" s="1" t="n">
        <v>584.98</v>
      </c>
      <c r="G3617" s="1" t="n">
        <v>0</v>
      </c>
      <c r="H3617" s="1" t="s">
        <v>1336</v>
      </c>
      <c r="I3617" s="1" t="n">
        <v>1754.94</v>
      </c>
      <c r="J3617" s="1" t="str">
        <f aca="false">VLOOKUP(B3617,Customers!$A$2:$G$502,6,FALSE())</f>
        <v>Small Business</v>
      </c>
      <c r="K3617" s="1" t="str">
        <f aca="false">VLOOKUP(C3617,Products!$A$2:$E$62,3,FALSE())</f>
        <v>Furniture</v>
      </c>
      <c r="L3617" s="1" t="str">
        <f aca="false">TEXT(D3617,"yyyy-mm")</f>
        <v>2023-02</v>
      </c>
    </row>
    <row r="3618" customFormat="false" ht="15" hidden="false" customHeight="true" outlineLevel="0" collapsed="false">
      <c r="A3618" s="1" t="n">
        <v>3701</v>
      </c>
      <c r="B3618" s="1" t="n">
        <v>326</v>
      </c>
      <c r="C3618" s="1" t="n">
        <v>20</v>
      </c>
      <c r="D3618" s="1" t="s">
        <v>1267</v>
      </c>
      <c r="E3618" s="1" t="n">
        <v>7</v>
      </c>
      <c r="F3618" s="1" t="n">
        <v>426.15</v>
      </c>
      <c r="G3618" s="1" t="n">
        <v>0</v>
      </c>
      <c r="H3618" s="1" t="s">
        <v>1346</v>
      </c>
      <c r="I3618" s="1" t="n">
        <v>2983.05</v>
      </c>
      <c r="J3618" s="1" t="str">
        <f aca="false">VLOOKUP(B3618,Customers!$A$2:$G$502,6,FALSE())</f>
        <v>Corporate</v>
      </c>
      <c r="K3618" s="1" t="str">
        <f aca="false">VLOOKUP(C3618,Products!$A$2:$E$62,3,FALSE())</f>
        <v>Office Supplies</v>
      </c>
      <c r="L3618" s="1" t="str">
        <f aca="false">TEXT(D3618,"yyyy-mm")</f>
        <v>2023-08</v>
      </c>
    </row>
    <row r="3619" customFormat="false" ht="15" hidden="false" customHeight="true" outlineLevel="0" collapsed="false">
      <c r="A3619" s="1" t="n">
        <v>3702</v>
      </c>
      <c r="B3619" s="1" t="n">
        <v>157</v>
      </c>
      <c r="C3619" s="1" t="n">
        <v>32</v>
      </c>
      <c r="D3619" s="1" t="s">
        <v>1571</v>
      </c>
      <c r="E3619" s="1" t="n">
        <v>2</v>
      </c>
      <c r="F3619" s="1" t="n">
        <v>492.27</v>
      </c>
      <c r="G3619" s="1" t="n">
        <v>0</v>
      </c>
      <c r="H3619" s="1" t="s">
        <v>1346</v>
      </c>
      <c r="I3619" s="1" t="n">
        <v>984.54</v>
      </c>
      <c r="J3619" s="1" t="str">
        <f aca="false">VLOOKUP(B3619,Customers!$A$2:$G$502,6,FALSE())</f>
        <v>Corporate</v>
      </c>
      <c r="K3619" s="1" t="str">
        <f aca="false">VLOOKUP(C3619,Products!$A$2:$E$62,3,FALSE())</f>
        <v>Office Supplies</v>
      </c>
      <c r="L3619" s="1" t="str">
        <f aca="false">TEXT(D3619,"yyyy-mm")</f>
        <v>2024-02</v>
      </c>
    </row>
    <row r="3620" customFormat="false" ht="15" hidden="false" customHeight="true" outlineLevel="0" collapsed="false">
      <c r="A3620" s="1" t="n">
        <v>3703</v>
      </c>
      <c r="B3620" s="1" t="n">
        <v>24</v>
      </c>
      <c r="C3620" s="1" t="n">
        <v>50</v>
      </c>
      <c r="D3620" s="1" t="s">
        <v>764</v>
      </c>
      <c r="E3620" s="1" t="n">
        <v>1</v>
      </c>
      <c r="F3620" s="1" t="n">
        <v>19.73</v>
      </c>
      <c r="G3620" s="1" t="n">
        <v>0</v>
      </c>
      <c r="H3620" s="1" t="s">
        <v>1336</v>
      </c>
      <c r="I3620" s="1" t="n">
        <v>19.73</v>
      </c>
      <c r="J3620" s="1" t="str">
        <f aca="false">VLOOKUP(B3620,Customers!$A$2:$G$502,6,FALSE())</f>
        <v>Consumer</v>
      </c>
      <c r="K3620" s="1" t="str">
        <f aca="false">VLOOKUP(C3620,Products!$A$2:$E$62,3,FALSE())</f>
        <v>Software</v>
      </c>
      <c r="L3620" s="1" t="str">
        <f aca="false">TEXT(D3620,"yyyy-mm")</f>
        <v>2023-04</v>
      </c>
    </row>
    <row r="3621" customFormat="false" ht="15" hidden="false" customHeight="true" outlineLevel="0" collapsed="false">
      <c r="A3621" s="1" t="n">
        <v>3704</v>
      </c>
      <c r="B3621" s="1" t="n">
        <v>260</v>
      </c>
      <c r="C3621" s="1" t="n">
        <v>44</v>
      </c>
      <c r="D3621" s="1" t="s">
        <v>235</v>
      </c>
      <c r="E3621" s="1" t="n">
        <v>6</v>
      </c>
      <c r="F3621" s="1" t="n">
        <v>508.26</v>
      </c>
      <c r="G3621" s="1" t="n">
        <v>0.2</v>
      </c>
      <c r="H3621" s="1" t="s">
        <v>1336</v>
      </c>
      <c r="I3621" s="1" t="n">
        <v>2439.65</v>
      </c>
      <c r="J3621" s="1" t="str">
        <f aca="false">VLOOKUP(B3621,Customers!$A$2:$G$502,6,FALSE())</f>
        <v>Corporate</v>
      </c>
      <c r="K3621" s="1" t="str">
        <f aca="false">VLOOKUP(C3621,Products!$A$2:$E$62,3,FALSE())</f>
        <v>Software</v>
      </c>
      <c r="L3621" s="1" t="str">
        <f aca="false">TEXT(D3621,"yyyy-mm")</f>
        <v>2024-03</v>
      </c>
    </row>
    <row r="3622" customFormat="false" ht="15" hidden="false" customHeight="true" outlineLevel="0" collapsed="false">
      <c r="A3622" s="1" t="n">
        <v>3705</v>
      </c>
      <c r="B3622" s="1" t="n">
        <v>206</v>
      </c>
      <c r="C3622" s="1" t="n">
        <v>3</v>
      </c>
      <c r="D3622" s="1" t="s">
        <v>1177</v>
      </c>
      <c r="E3622" s="1" t="n">
        <v>9</v>
      </c>
      <c r="F3622" s="1" t="n">
        <v>89.39</v>
      </c>
      <c r="G3622" s="1" t="n">
        <v>0</v>
      </c>
      <c r="H3622" s="1" t="s">
        <v>1370</v>
      </c>
      <c r="I3622" s="1" t="n">
        <v>804.51</v>
      </c>
      <c r="J3622" s="1" t="str">
        <f aca="false">VLOOKUP(B3622,Customers!$A$2:$G$502,6,FALSE())</f>
        <v>Small Business</v>
      </c>
      <c r="K3622" s="1" t="str">
        <f aca="false">VLOOKUP(C3622,Products!$A$2:$E$62,3,FALSE())</f>
        <v>Electronics</v>
      </c>
      <c r="L3622" s="1" t="str">
        <f aca="false">TEXT(D3622,"yyyy-mm")</f>
        <v>2023-08</v>
      </c>
    </row>
    <row r="3623" customFormat="false" ht="15" hidden="false" customHeight="true" outlineLevel="0" collapsed="false">
      <c r="A3623" s="1" t="n">
        <v>3706</v>
      </c>
      <c r="B3623" s="1" t="n">
        <v>11</v>
      </c>
      <c r="C3623" s="1" t="n">
        <v>17</v>
      </c>
      <c r="D3623" s="1" t="s">
        <v>1047</v>
      </c>
      <c r="E3623" s="1" t="n">
        <v>3</v>
      </c>
      <c r="F3623" s="1" t="n">
        <v>65.61</v>
      </c>
      <c r="G3623" s="1" t="n">
        <v>0.2</v>
      </c>
      <c r="H3623" s="1" t="s">
        <v>1346</v>
      </c>
      <c r="I3623" s="1" t="n">
        <v>157.46</v>
      </c>
      <c r="J3623" s="1" t="str">
        <f aca="false">VLOOKUP(B3623,Customers!$A$2:$G$502,6,FALSE())</f>
        <v>Consumer</v>
      </c>
      <c r="K3623" s="1" t="str">
        <f aca="false">VLOOKUP(C3623,Products!$A$2:$E$62,3,FALSE())</f>
        <v>Electronics</v>
      </c>
      <c r="L3623" s="1" t="str">
        <f aca="false">TEXT(D3623,"yyyy-mm")</f>
        <v>2024-01</v>
      </c>
    </row>
    <row r="3624" customFormat="false" ht="15" hidden="false" customHeight="true" outlineLevel="0" collapsed="false">
      <c r="A3624" s="1" t="n">
        <v>3707</v>
      </c>
      <c r="B3624" s="1" t="n">
        <v>304</v>
      </c>
      <c r="C3624" s="1" t="n">
        <v>31</v>
      </c>
      <c r="D3624" s="1" t="s">
        <v>1532</v>
      </c>
      <c r="E3624" s="1" t="n">
        <v>6</v>
      </c>
      <c r="F3624" s="1" t="n">
        <v>224.86</v>
      </c>
      <c r="G3624" s="1" t="n">
        <v>0.2</v>
      </c>
      <c r="H3624" s="1" t="s">
        <v>1336</v>
      </c>
      <c r="I3624" s="1" t="n">
        <v>1079.33</v>
      </c>
      <c r="J3624" s="1" t="str">
        <f aca="false">VLOOKUP(B3624,Customers!$A$2:$G$502,6,FALSE())</f>
        <v>Small Business</v>
      </c>
      <c r="K3624" s="1" t="str">
        <f aca="false">VLOOKUP(C3624,Products!$A$2:$E$62,3,FALSE())</f>
        <v>Office Supplies</v>
      </c>
      <c r="L3624" s="1" t="str">
        <f aca="false">TEXT(D3624,"yyyy-mm")</f>
        <v>2023-05</v>
      </c>
    </row>
    <row r="3625" customFormat="false" ht="15" hidden="false" customHeight="true" outlineLevel="0" collapsed="false">
      <c r="A3625" s="1" t="n">
        <v>3708</v>
      </c>
      <c r="B3625" s="1" t="n">
        <v>424</v>
      </c>
      <c r="C3625" s="1" t="n">
        <v>58</v>
      </c>
      <c r="D3625" s="1" t="s">
        <v>124</v>
      </c>
      <c r="E3625" s="1" t="n">
        <v>3</v>
      </c>
      <c r="F3625" s="1" t="n">
        <v>515.55</v>
      </c>
      <c r="G3625" s="1" t="n">
        <v>0</v>
      </c>
      <c r="H3625" s="1" t="s">
        <v>1336</v>
      </c>
      <c r="I3625" s="1" t="n">
        <v>1546.65</v>
      </c>
      <c r="J3625" s="1" t="str">
        <f aca="false">VLOOKUP(B3625,Customers!$A$2:$G$502,6,FALSE())</f>
        <v>Small Business</v>
      </c>
      <c r="K3625" s="1" t="str">
        <f aca="false">VLOOKUP(C3625,Products!$A$2:$E$62,3,FALSE())</f>
        <v>Furniture</v>
      </c>
      <c r="L3625" s="1" t="str">
        <f aca="false">TEXT(D3625,"yyyy-mm")</f>
        <v>2023-05</v>
      </c>
    </row>
    <row r="3626" customFormat="false" ht="15" hidden="false" customHeight="true" outlineLevel="0" collapsed="false">
      <c r="A3626" s="1" t="n">
        <v>3709</v>
      </c>
      <c r="B3626" s="1" t="n">
        <v>492</v>
      </c>
      <c r="C3626" s="1" t="n">
        <v>45</v>
      </c>
      <c r="D3626" s="1" t="s">
        <v>476</v>
      </c>
      <c r="E3626" s="1" t="n">
        <v>1</v>
      </c>
      <c r="F3626" s="1" t="n">
        <v>560.01</v>
      </c>
      <c r="G3626" s="1" t="n">
        <v>0.15</v>
      </c>
      <c r="H3626" s="1" t="s">
        <v>1336</v>
      </c>
      <c r="I3626" s="1" t="n">
        <v>476.01</v>
      </c>
      <c r="J3626" s="1" t="str">
        <f aca="false">VLOOKUP(B3626,Customers!$A$2:$G$502,6,FALSE())</f>
        <v>Consumer</v>
      </c>
      <c r="K3626" s="1" t="str">
        <f aca="false">VLOOKUP(C3626,Products!$A$2:$E$62,3,FALSE())</f>
        <v>Software</v>
      </c>
      <c r="L3626" s="1" t="str">
        <f aca="false">TEXT(D3626,"yyyy-mm")</f>
        <v>2023-10</v>
      </c>
    </row>
    <row r="3627" customFormat="false" ht="15" hidden="false" customHeight="true" outlineLevel="0" collapsed="false">
      <c r="A3627" s="1" t="n">
        <v>3710</v>
      </c>
      <c r="B3627" s="1" t="n">
        <v>407</v>
      </c>
      <c r="C3627" s="1" t="n">
        <v>23</v>
      </c>
      <c r="D3627" s="1" t="s">
        <v>1666</v>
      </c>
      <c r="E3627" s="1" t="n">
        <v>5</v>
      </c>
      <c r="F3627" s="1" t="n">
        <v>188.73</v>
      </c>
      <c r="G3627" s="1" t="n">
        <v>0.05</v>
      </c>
      <c r="H3627" s="1" t="s">
        <v>1336</v>
      </c>
      <c r="I3627" s="1" t="n">
        <v>896.47</v>
      </c>
      <c r="J3627" s="1" t="str">
        <f aca="false">VLOOKUP(B3627,Customers!$A$2:$G$502,6,FALSE())</f>
        <v>Consumer</v>
      </c>
      <c r="K3627" s="1" t="str">
        <f aca="false">VLOOKUP(C3627,Products!$A$2:$E$62,3,FALSE())</f>
        <v>Office Supplies</v>
      </c>
      <c r="L3627" s="1" t="str">
        <f aca="false">TEXT(D3627,"yyyy-mm")</f>
        <v>2024-07</v>
      </c>
    </row>
    <row r="3628" customFormat="false" ht="15" hidden="false" customHeight="true" outlineLevel="0" collapsed="false">
      <c r="A3628" s="1" t="n">
        <v>3711</v>
      </c>
      <c r="B3628" s="1" t="n">
        <v>46</v>
      </c>
      <c r="C3628" s="1" t="n">
        <v>7</v>
      </c>
      <c r="D3628" s="1" t="s">
        <v>856</v>
      </c>
      <c r="E3628" s="1" t="n">
        <v>4</v>
      </c>
      <c r="F3628" s="1" t="n">
        <v>460</v>
      </c>
      <c r="G3628" s="1" t="n">
        <v>0</v>
      </c>
      <c r="H3628" s="1" t="s">
        <v>1336</v>
      </c>
      <c r="I3628" s="1" t="n">
        <v>1840</v>
      </c>
      <c r="J3628" s="1" t="str">
        <f aca="false">VLOOKUP(B3628,Customers!$A$2:$G$502,6,FALSE())</f>
        <v>Consumer</v>
      </c>
      <c r="K3628" s="1" t="str">
        <f aca="false">VLOOKUP(C3628,Products!$A$2:$E$62,3,FALSE())</f>
        <v>Electronics</v>
      </c>
      <c r="L3628" s="1" t="str">
        <f aca="false">TEXT(D3628,"yyyy-mm")</f>
        <v>2024-11</v>
      </c>
    </row>
    <row r="3629" customFormat="false" ht="15" hidden="false" customHeight="true" outlineLevel="0" collapsed="false">
      <c r="A3629" s="1" t="n">
        <v>3712</v>
      </c>
      <c r="B3629" s="1" t="n">
        <v>363</v>
      </c>
      <c r="C3629" s="1" t="n">
        <v>20</v>
      </c>
      <c r="D3629" s="1" t="s">
        <v>1504</v>
      </c>
      <c r="E3629" s="1" t="n">
        <v>7</v>
      </c>
      <c r="F3629" s="1" t="n">
        <v>426.15</v>
      </c>
      <c r="G3629" s="1" t="n">
        <v>0.05</v>
      </c>
      <c r="H3629" s="1" t="s">
        <v>1336</v>
      </c>
      <c r="I3629" s="1" t="n">
        <v>2833.9</v>
      </c>
      <c r="J3629" s="1" t="str">
        <f aca="false">VLOOKUP(B3629,Customers!$A$2:$G$502,6,FALSE())</f>
        <v>Small Business</v>
      </c>
      <c r="K3629" s="1" t="str">
        <f aca="false">VLOOKUP(C3629,Products!$A$2:$E$62,3,FALSE())</f>
        <v>Office Supplies</v>
      </c>
      <c r="L3629" s="1" t="str">
        <f aca="false">TEXT(D3629,"yyyy-mm")</f>
        <v>2023-12</v>
      </c>
    </row>
    <row r="3630" customFormat="false" ht="15" hidden="false" customHeight="true" outlineLevel="0" collapsed="false">
      <c r="A3630" s="1" t="n">
        <v>3713</v>
      </c>
      <c r="B3630" s="1" t="n">
        <v>445</v>
      </c>
      <c r="C3630" s="1" t="n">
        <v>44</v>
      </c>
      <c r="D3630" s="1" t="s">
        <v>904</v>
      </c>
      <c r="E3630" s="1" t="n">
        <v>6</v>
      </c>
      <c r="F3630" s="1" t="n">
        <v>508.26</v>
      </c>
      <c r="G3630" s="1" t="n">
        <v>0</v>
      </c>
      <c r="H3630" s="1" t="s">
        <v>1370</v>
      </c>
      <c r="I3630" s="1" t="n">
        <v>3049.56</v>
      </c>
      <c r="J3630" s="1" t="str">
        <f aca="false">VLOOKUP(B3630,Customers!$A$2:$G$502,6,FALSE())</f>
        <v>Small Business</v>
      </c>
      <c r="K3630" s="1" t="str">
        <f aca="false">VLOOKUP(C3630,Products!$A$2:$E$62,3,FALSE())</f>
        <v>Software</v>
      </c>
      <c r="L3630" s="1" t="str">
        <f aca="false">TEXT(D3630,"yyyy-mm")</f>
        <v>2023-04</v>
      </c>
    </row>
    <row r="3631" customFormat="false" ht="15" hidden="false" customHeight="true" outlineLevel="0" collapsed="false">
      <c r="A3631" s="1" t="n">
        <v>3714</v>
      </c>
      <c r="B3631" s="1" t="n">
        <v>183</v>
      </c>
      <c r="C3631" s="1" t="n">
        <v>34</v>
      </c>
      <c r="D3631" s="1" t="s">
        <v>1367</v>
      </c>
      <c r="E3631" s="1" t="n">
        <v>7</v>
      </c>
      <c r="F3631" s="1" t="n">
        <v>116.85</v>
      </c>
      <c r="G3631" s="1" t="n">
        <v>0.05</v>
      </c>
      <c r="H3631" s="1" t="s">
        <v>1346</v>
      </c>
      <c r="I3631" s="1" t="n">
        <v>777.05</v>
      </c>
      <c r="J3631" s="1" t="str">
        <f aca="false">VLOOKUP(B3631,Customers!$A$2:$G$502,6,FALSE())</f>
        <v>Corporate</v>
      </c>
      <c r="K3631" s="1" t="str">
        <f aca="false">VLOOKUP(C3631,Products!$A$2:$E$62,3,FALSE())</f>
        <v>Office Supplies</v>
      </c>
      <c r="L3631" s="1" t="str">
        <f aca="false">TEXT(D3631,"yyyy-mm")</f>
        <v>2024-08</v>
      </c>
    </row>
    <row r="3632" customFormat="false" ht="15" hidden="false" customHeight="true" outlineLevel="0" collapsed="false">
      <c r="A3632" s="1" t="n">
        <v>3715</v>
      </c>
      <c r="B3632" s="1" t="n">
        <v>338</v>
      </c>
      <c r="C3632" s="1" t="n">
        <v>60</v>
      </c>
      <c r="D3632" s="1" t="s">
        <v>223</v>
      </c>
      <c r="E3632" s="1" t="n">
        <v>5</v>
      </c>
      <c r="F3632" s="1" t="n">
        <v>584.98</v>
      </c>
      <c r="G3632" s="1" t="n">
        <v>0</v>
      </c>
      <c r="H3632" s="1" t="s">
        <v>1336</v>
      </c>
      <c r="I3632" s="1" t="n">
        <v>2924.9</v>
      </c>
      <c r="J3632" s="1" t="str">
        <f aca="false">VLOOKUP(B3632,Customers!$A$2:$G$502,6,FALSE())</f>
        <v>Corporate</v>
      </c>
      <c r="K3632" s="1" t="str">
        <f aca="false">VLOOKUP(C3632,Products!$A$2:$E$62,3,FALSE())</f>
        <v>Furniture</v>
      </c>
      <c r="L3632" s="1" t="str">
        <f aca="false">TEXT(D3632,"yyyy-mm")</f>
        <v>2023-06</v>
      </c>
    </row>
    <row r="3633" customFormat="false" ht="15" hidden="false" customHeight="true" outlineLevel="0" collapsed="false">
      <c r="A3633" s="1" t="n">
        <v>3716</v>
      </c>
      <c r="B3633" s="1" t="n">
        <v>398</v>
      </c>
      <c r="C3633" s="1" t="n">
        <v>25</v>
      </c>
      <c r="D3633" s="1" t="s">
        <v>390</v>
      </c>
      <c r="E3633" s="1" t="n">
        <v>4</v>
      </c>
      <c r="F3633" s="1" t="n">
        <v>300.49</v>
      </c>
      <c r="G3633" s="1" t="n">
        <v>0</v>
      </c>
      <c r="H3633" s="1" t="s">
        <v>1346</v>
      </c>
      <c r="I3633" s="1" t="n">
        <v>1201.96</v>
      </c>
      <c r="J3633" s="1" t="str">
        <f aca="false">VLOOKUP(B3633,Customers!$A$2:$G$502,6,FALSE())</f>
        <v>Small Business</v>
      </c>
      <c r="K3633" s="1" t="str">
        <f aca="false">VLOOKUP(C3633,Products!$A$2:$E$62,3,FALSE())</f>
        <v>Office Supplies</v>
      </c>
      <c r="L3633" s="1" t="str">
        <f aca="false">TEXT(D3633,"yyyy-mm")</f>
        <v>2023-03</v>
      </c>
    </row>
    <row r="3634" customFormat="false" ht="15" hidden="false" customHeight="true" outlineLevel="0" collapsed="false">
      <c r="A3634" s="1" t="n">
        <v>3717</v>
      </c>
      <c r="B3634" s="1" t="n">
        <v>37</v>
      </c>
      <c r="C3634" s="1" t="n">
        <v>9</v>
      </c>
      <c r="D3634" s="1" t="s">
        <v>1567</v>
      </c>
      <c r="E3634" s="1" t="n">
        <v>7</v>
      </c>
      <c r="F3634" s="1" t="n">
        <v>203.1</v>
      </c>
      <c r="G3634" s="1" t="n">
        <v>0.1</v>
      </c>
      <c r="H3634" s="1" t="s">
        <v>1336</v>
      </c>
      <c r="I3634" s="1" t="n">
        <v>1279.53</v>
      </c>
      <c r="J3634" s="1" t="str">
        <f aca="false">VLOOKUP(B3634,Customers!$A$2:$G$502,6,FALSE())</f>
        <v>Corporate</v>
      </c>
      <c r="K3634" s="1" t="str">
        <f aca="false">VLOOKUP(C3634,Products!$A$2:$E$62,3,FALSE())</f>
        <v>Electronics</v>
      </c>
      <c r="L3634" s="1" t="str">
        <f aca="false">TEXT(D3634,"yyyy-mm")</f>
        <v>2024-11</v>
      </c>
    </row>
    <row r="3635" customFormat="false" ht="15" hidden="false" customHeight="true" outlineLevel="0" collapsed="false">
      <c r="A3635" s="1" t="n">
        <v>3718</v>
      </c>
      <c r="B3635" s="1" t="n">
        <v>4</v>
      </c>
      <c r="C3635" s="1" t="n">
        <v>44</v>
      </c>
      <c r="D3635" s="1" t="s">
        <v>1575</v>
      </c>
      <c r="E3635" s="1" t="n">
        <v>7</v>
      </c>
      <c r="F3635" s="1" t="n">
        <v>508.26</v>
      </c>
      <c r="G3635" s="1" t="n">
        <v>0</v>
      </c>
      <c r="H3635" s="1" t="s">
        <v>1336</v>
      </c>
      <c r="I3635" s="1" t="n">
        <v>3557.82</v>
      </c>
      <c r="J3635" s="1" t="str">
        <f aca="false">VLOOKUP(B3635,Customers!$A$2:$G$502,6,FALSE())</f>
        <v>Consumer</v>
      </c>
      <c r="K3635" s="1" t="str">
        <f aca="false">VLOOKUP(C3635,Products!$A$2:$E$62,3,FALSE())</f>
        <v>Software</v>
      </c>
      <c r="L3635" s="1" t="str">
        <f aca="false">TEXT(D3635,"yyyy-mm")</f>
        <v>2024-05</v>
      </c>
    </row>
    <row r="3636" customFormat="false" ht="15" hidden="false" customHeight="true" outlineLevel="0" collapsed="false">
      <c r="A3636" s="1" t="n">
        <v>3719</v>
      </c>
      <c r="B3636" s="1" t="n">
        <v>429</v>
      </c>
      <c r="C3636" s="1" t="n">
        <v>37</v>
      </c>
      <c r="D3636" s="1" t="s">
        <v>1623</v>
      </c>
      <c r="E3636" s="1" t="n">
        <v>6</v>
      </c>
      <c r="F3636" s="1" t="n">
        <v>13.95</v>
      </c>
      <c r="G3636" s="1" t="n">
        <v>0.2</v>
      </c>
      <c r="H3636" s="1" t="s">
        <v>1336</v>
      </c>
      <c r="I3636" s="1" t="n">
        <v>66.96</v>
      </c>
      <c r="J3636" s="1" t="str">
        <f aca="false">VLOOKUP(B3636,Customers!$A$2:$G$502,6,FALSE())</f>
        <v>Corporate</v>
      </c>
      <c r="K3636" s="1" t="str">
        <f aca="false">VLOOKUP(C3636,Products!$A$2:$E$62,3,FALSE())</f>
        <v>Software</v>
      </c>
      <c r="L3636" s="1" t="str">
        <f aca="false">TEXT(D3636,"yyyy-mm")</f>
        <v>2024-09</v>
      </c>
    </row>
    <row r="3637" customFormat="false" ht="15" hidden="false" customHeight="true" outlineLevel="0" collapsed="false">
      <c r="A3637" s="1" t="n">
        <v>3720</v>
      </c>
      <c r="B3637" s="1" t="n">
        <v>239</v>
      </c>
      <c r="C3637" s="1" t="n">
        <v>7</v>
      </c>
      <c r="D3637" s="1" t="s">
        <v>1602</v>
      </c>
      <c r="E3637" s="1" t="n">
        <v>8</v>
      </c>
      <c r="F3637" s="1" t="n">
        <v>460</v>
      </c>
      <c r="G3637" s="1" t="n">
        <v>0</v>
      </c>
      <c r="H3637" s="1" t="s">
        <v>1336</v>
      </c>
      <c r="I3637" s="1" t="n">
        <v>3680</v>
      </c>
      <c r="J3637" s="1" t="str">
        <f aca="false">VLOOKUP(B3637,Customers!$A$2:$G$502,6,FALSE())</f>
        <v>Corporate</v>
      </c>
      <c r="K3637" s="1" t="str">
        <f aca="false">VLOOKUP(C3637,Products!$A$2:$E$62,3,FALSE())</f>
        <v>Electronics</v>
      </c>
      <c r="L3637" s="1" t="str">
        <f aca="false">TEXT(D3637,"yyyy-mm")</f>
        <v>2024-10</v>
      </c>
    </row>
    <row r="3638" customFormat="false" ht="15" hidden="false" customHeight="true" outlineLevel="0" collapsed="false">
      <c r="A3638" s="1" t="n">
        <v>3721</v>
      </c>
      <c r="B3638" s="1" t="n">
        <v>113</v>
      </c>
      <c r="C3638" s="1" t="n">
        <v>14</v>
      </c>
      <c r="D3638" s="1" t="s">
        <v>1621</v>
      </c>
      <c r="E3638" s="1" t="n">
        <v>4</v>
      </c>
      <c r="F3638" s="1" t="n">
        <v>135.27</v>
      </c>
      <c r="G3638" s="1" t="n">
        <v>0.15</v>
      </c>
      <c r="H3638" s="1" t="s">
        <v>1336</v>
      </c>
      <c r="I3638" s="1" t="n">
        <v>459.92</v>
      </c>
      <c r="J3638" s="1" t="str">
        <f aca="false">VLOOKUP(B3638,Customers!$A$2:$G$502,6,FALSE())</f>
        <v>Small Business</v>
      </c>
      <c r="K3638" s="1" t="str">
        <f aca="false">VLOOKUP(C3638,Products!$A$2:$E$62,3,FALSE())</f>
        <v>Electronics</v>
      </c>
      <c r="L3638" s="1" t="str">
        <f aca="false">TEXT(D3638,"yyyy-mm")</f>
        <v>2024-06</v>
      </c>
    </row>
    <row r="3639" customFormat="false" ht="15" hidden="false" customHeight="true" outlineLevel="0" collapsed="false">
      <c r="A3639" s="1" t="n">
        <v>3722</v>
      </c>
      <c r="B3639" s="1" t="n">
        <v>425</v>
      </c>
      <c r="C3639" s="1" t="n">
        <v>10</v>
      </c>
      <c r="D3639" s="1" t="s">
        <v>704</v>
      </c>
      <c r="E3639" s="1" t="n">
        <v>5</v>
      </c>
      <c r="F3639" s="1" t="n">
        <v>251.58</v>
      </c>
      <c r="G3639" s="1" t="n">
        <v>0</v>
      </c>
      <c r="H3639" s="1" t="s">
        <v>1336</v>
      </c>
      <c r="I3639" s="1" t="n">
        <v>1257.9</v>
      </c>
      <c r="J3639" s="1" t="str">
        <f aca="false">VLOOKUP(B3639,Customers!$A$2:$G$502,6,FALSE())</f>
        <v>Unknown</v>
      </c>
      <c r="K3639" s="1" t="str">
        <f aca="false">VLOOKUP(C3639,Products!$A$2:$E$62,3,FALSE())</f>
        <v>Electronics</v>
      </c>
      <c r="L3639" s="1" t="str">
        <f aca="false">TEXT(D3639,"yyyy-mm")</f>
        <v>2024-06</v>
      </c>
    </row>
    <row r="3640" customFormat="false" ht="15" hidden="false" customHeight="true" outlineLevel="0" collapsed="false">
      <c r="A3640" s="1" t="n">
        <v>3723</v>
      </c>
      <c r="B3640" s="1" t="n">
        <v>204</v>
      </c>
      <c r="C3640" s="1" t="n">
        <v>33</v>
      </c>
      <c r="D3640" s="1" t="s">
        <v>103</v>
      </c>
      <c r="E3640" s="1" t="n">
        <v>4</v>
      </c>
      <c r="F3640" s="1" t="n">
        <v>190.1</v>
      </c>
      <c r="G3640" s="1" t="n">
        <v>0</v>
      </c>
      <c r="H3640" s="1" t="s">
        <v>1336</v>
      </c>
      <c r="I3640" s="1" t="n">
        <v>760.4</v>
      </c>
      <c r="J3640" s="1" t="str">
        <f aca="false">VLOOKUP(B3640,Customers!$A$2:$G$502,6,FALSE())</f>
        <v>Small Business</v>
      </c>
      <c r="K3640" s="1" t="str">
        <f aca="false">VLOOKUP(C3640,Products!$A$2:$E$62,3,FALSE())</f>
        <v>Office Supplies</v>
      </c>
      <c r="L3640" s="1" t="str">
        <f aca="false">TEXT(D3640,"yyyy-mm")</f>
        <v>2024-10</v>
      </c>
    </row>
    <row r="3641" customFormat="false" ht="15" hidden="false" customHeight="true" outlineLevel="0" collapsed="false">
      <c r="A3641" s="1" t="n">
        <v>3724</v>
      </c>
      <c r="B3641" s="1" t="n">
        <v>240</v>
      </c>
      <c r="C3641" s="1" t="n">
        <v>26</v>
      </c>
      <c r="D3641" s="1" t="s">
        <v>109</v>
      </c>
      <c r="E3641" s="1" t="n">
        <v>1</v>
      </c>
      <c r="F3641" s="1" t="n">
        <v>733.85</v>
      </c>
      <c r="G3641" s="1" t="n">
        <v>0</v>
      </c>
      <c r="H3641" s="1" t="s">
        <v>1336</v>
      </c>
      <c r="I3641" s="1" t="n">
        <v>733.85</v>
      </c>
      <c r="J3641" s="1" t="str">
        <f aca="false">VLOOKUP(B3641,Customers!$A$2:$G$502,6,FALSE())</f>
        <v>Corporate</v>
      </c>
      <c r="K3641" s="1" t="str">
        <f aca="false">VLOOKUP(C3641,Products!$A$2:$E$62,3,FALSE())</f>
        <v>Office Supplies</v>
      </c>
      <c r="L3641" s="1" t="str">
        <f aca="false">TEXT(D3641,"yyyy-mm")</f>
        <v>2024-12</v>
      </c>
    </row>
    <row r="3642" customFormat="false" ht="15" hidden="false" customHeight="true" outlineLevel="0" collapsed="false">
      <c r="A3642" s="1" t="n">
        <v>3725</v>
      </c>
      <c r="B3642" s="1" t="n">
        <v>241</v>
      </c>
      <c r="C3642" s="1" t="n">
        <v>16</v>
      </c>
      <c r="D3642" s="1" t="s">
        <v>1647</v>
      </c>
      <c r="E3642" s="1" t="n">
        <v>8</v>
      </c>
      <c r="F3642" s="1" t="n">
        <v>330.91</v>
      </c>
      <c r="G3642" s="1" t="n">
        <v>0.1</v>
      </c>
      <c r="H3642" s="1" t="s">
        <v>1336</v>
      </c>
      <c r="I3642" s="1" t="n">
        <v>2382.55</v>
      </c>
      <c r="J3642" s="1" t="str">
        <f aca="false">VLOOKUP(B3642,Customers!$A$2:$G$502,6,FALSE())</f>
        <v>Small Business</v>
      </c>
      <c r="K3642" s="1" t="str">
        <f aca="false">VLOOKUP(C3642,Products!$A$2:$E$62,3,FALSE())</f>
        <v>Electronics</v>
      </c>
      <c r="L3642" s="1" t="str">
        <f aca="false">TEXT(D3642,"yyyy-mm")</f>
        <v>2024-05</v>
      </c>
    </row>
    <row r="3643" customFormat="false" ht="15" hidden="false" customHeight="true" outlineLevel="0" collapsed="false">
      <c r="A3643" s="1" t="n">
        <v>3726</v>
      </c>
      <c r="B3643" s="1" t="n">
        <v>373</v>
      </c>
      <c r="C3643" s="1" t="n">
        <v>42</v>
      </c>
      <c r="D3643" s="1" t="s">
        <v>269</v>
      </c>
      <c r="E3643" s="1" t="n">
        <v>1</v>
      </c>
      <c r="F3643" s="1" t="n">
        <v>174.48</v>
      </c>
      <c r="G3643" s="1" t="n">
        <v>0.2</v>
      </c>
      <c r="H3643" s="1" t="s">
        <v>1336</v>
      </c>
      <c r="I3643" s="1" t="n">
        <v>139.58</v>
      </c>
      <c r="J3643" s="1" t="str">
        <f aca="false">VLOOKUP(B3643,Customers!$A$2:$G$502,6,FALSE())</f>
        <v>Corporate</v>
      </c>
      <c r="K3643" s="1" t="str">
        <f aca="false">VLOOKUP(C3643,Products!$A$2:$E$62,3,FALSE())</f>
        <v>Software</v>
      </c>
      <c r="L3643" s="1" t="str">
        <f aca="false">TEXT(D3643,"yyyy-mm")</f>
        <v>2023-11</v>
      </c>
    </row>
    <row r="3644" customFormat="false" ht="15" hidden="false" customHeight="true" outlineLevel="0" collapsed="false">
      <c r="A3644" s="1" t="n">
        <v>3727</v>
      </c>
      <c r="B3644" s="1" t="n">
        <v>446</v>
      </c>
      <c r="C3644" s="1" t="n">
        <v>52</v>
      </c>
      <c r="D3644" s="1" t="s">
        <v>1597</v>
      </c>
      <c r="E3644" s="1" t="n">
        <v>5</v>
      </c>
      <c r="F3644" s="1" t="n">
        <v>207.67</v>
      </c>
      <c r="G3644" s="1" t="n">
        <v>0</v>
      </c>
      <c r="H3644" s="1" t="s">
        <v>1336</v>
      </c>
      <c r="I3644" s="1" t="n">
        <v>1038.35</v>
      </c>
      <c r="J3644" s="1" t="str">
        <f aca="false">VLOOKUP(B3644,Customers!$A$2:$G$502,6,FALSE())</f>
        <v>Small Business</v>
      </c>
      <c r="K3644" s="1" t="str">
        <f aca="false">VLOOKUP(C3644,Products!$A$2:$E$62,3,FALSE())</f>
        <v>Software</v>
      </c>
      <c r="L3644" s="1" t="str">
        <f aca="false">TEXT(D3644,"yyyy-mm")</f>
        <v>2023-11</v>
      </c>
    </row>
    <row r="3645" customFormat="false" ht="15" hidden="false" customHeight="true" outlineLevel="0" collapsed="false">
      <c r="A3645" s="1" t="n">
        <v>3728</v>
      </c>
      <c r="B3645" s="1" t="n">
        <v>425</v>
      </c>
      <c r="C3645" s="1" t="n">
        <v>11</v>
      </c>
      <c r="D3645" s="1" t="s">
        <v>1557</v>
      </c>
      <c r="E3645" s="1" t="n">
        <v>6</v>
      </c>
      <c r="F3645" s="1" t="n">
        <v>328.39</v>
      </c>
      <c r="G3645" s="1" t="n">
        <v>0</v>
      </c>
      <c r="H3645" s="1" t="s">
        <v>1336</v>
      </c>
      <c r="I3645" s="1" t="n">
        <v>1970.34</v>
      </c>
      <c r="J3645" s="1" t="str">
        <f aca="false">VLOOKUP(B3645,Customers!$A$2:$G$502,6,FALSE())</f>
        <v>Unknown</v>
      </c>
      <c r="K3645" s="1" t="str">
        <f aca="false">VLOOKUP(C3645,Products!$A$2:$E$62,3,FALSE())</f>
        <v>Electronics</v>
      </c>
      <c r="L3645" s="1" t="str">
        <f aca="false">TEXT(D3645,"yyyy-mm")</f>
        <v>2024-03</v>
      </c>
    </row>
    <row r="3646" customFormat="false" ht="15" hidden="false" customHeight="true" outlineLevel="0" collapsed="false">
      <c r="A3646" s="1" t="n">
        <v>3729</v>
      </c>
      <c r="B3646" s="1" t="n">
        <v>153</v>
      </c>
      <c r="C3646" s="1" t="n">
        <v>50</v>
      </c>
      <c r="D3646" s="1" t="s">
        <v>387</v>
      </c>
      <c r="E3646" s="1" t="n">
        <v>6</v>
      </c>
      <c r="F3646" s="1" t="n">
        <v>19.73</v>
      </c>
      <c r="G3646" s="1" t="n">
        <v>0.2</v>
      </c>
      <c r="H3646" s="1" t="s">
        <v>1336</v>
      </c>
      <c r="I3646" s="1" t="n">
        <v>94.7</v>
      </c>
      <c r="J3646" s="1" t="str">
        <f aca="false">VLOOKUP(B3646,Customers!$A$2:$G$502,6,FALSE())</f>
        <v>Corporate</v>
      </c>
      <c r="K3646" s="1" t="str">
        <f aca="false">VLOOKUP(C3646,Products!$A$2:$E$62,3,FALSE())</f>
        <v>Software</v>
      </c>
      <c r="L3646" s="1" t="str">
        <f aca="false">TEXT(D3646,"yyyy-mm")</f>
        <v>2024-04</v>
      </c>
    </row>
    <row r="3647" customFormat="false" ht="15" hidden="false" customHeight="true" outlineLevel="0" collapsed="false">
      <c r="A3647" s="1" t="n">
        <v>3730</v>
      </c>
      <c r="B3647" s="1" t="n">
        <v>410</v>
      </c>
      <c r="C3647" s="1" t="n">
        <v>47</v>
      </c>
      <c r="D3647" s="1" t="s">
        <v>1413</v>
      </c>
      <c r="E3647" s="1" t="n">
        <v>5</v>
      </c>
      <c r="F3647" s="1" t="n">
        <v>506.19</v>
      </c>
      <c r="G3647" s="1" t="n">
        <v>0</v>
      </c>
      <c r="H3647" s="1" t="s">
        <v>1336</v>
      </c>
      <c r="I3647" s="1" t="n">
        <v>2530.95</v>
      </c>
      <c r="J3647" s="1" t="str">
        <f aca="false">VLOOKUP(B3647,Customers!$A$2:$G$502,6,FALSE())</f>
        <v>Consumer</v>
      </c>
      <c r="K3647" s="1" t="str">
        <f aca="false">VLOOKUP(C3647,Products!$A$2:$E$62,3,FALSE())</f>
        <v>Software</v>
      </c>
      <c r="L3647" s="1" t="str">
        <f aca="false">TEXT(D3647,"yyyy-mm")</f>
        <v>2023-09</v>
      </c>
    </row>
    <row r="3648" customFormat="false" ht="15" hidden="false" customHeight="true" outlineLevel="0" collapsed="false">
      <c r="A3648" s="1" t="n">
        <v>3731</v>
      </c>
      <c r="B3648" s="1" t="n">
        <v>265</v>
      </c>
      <c r="C3648" s="1" t="n">
        <v>22</v>
      </c>
      <c r="D3648" s="1" t="s">
        <v>1160</v>
      </c>
      <c r="E3648" s="1" t="n">
        <v>3</v>
      </c>
      <c r="F3648" s="1" t="n">
        <v>38.57</v>
      </c>
      <c r="G3648" s="1" t="n">
        <v>0.15</v>
      </c>
      <c r="H3648" s="1" t="s">
        <v>1336</v>
      </c>
      <c r="I3648" s="1" t="n">
        <v>98.35</v>
      </c>
      <c r="J3648" s="1" t="str">
        <f aca="false">VLOOKUP(B3648,Customers!$A$2:$G$502,6,FALSE())</f>
        <v>Corporate</v>
      </c>
      <c r="K3648" s="1" t="str">
        <f aca="false">VLOOKUP(C3648,Products!$A$2:$E$62,3,FALSE())</f>
        <v>Office Supplies</v>
      </c>
      <c r="L3648" s="1" t="str">
        <f aca="false">TEXT(D3648,"yyyy-mm")</f>
        <v>2024-10</v>
      </c>
    </row>
    <row r="3649" customFormat="false" ht="15" hidden="false" customHeight="true" outlineLevel="0" collapsed="false">
      <c r="A3649" s="1" t="n">
        <v>3732</v>
      </c>
      <c r="B3649" s="1" t="n">
        <v>361</v>
      </c>
      <c r="C3649" s="1" t="n">
        <v>51</v>
      </c>
      <c r="D3649" s="1" t="s">
        <v>980</v>
      </c>
      <c r="E3649" s="1" t="n">
        <v>5</v>
      </c>
      <c r="F3649" s="1" t="n">
        <v>30.16</v>
      </c>
      <c r="G3649" s="1" t="n">
        <v>0.05</v>
      </c>
      <c r="H3649" s="1" t="s">
        <v>1336</v>
      </c>
      <c r="I3649" s="1" t="n">
        <v>143.26</v>
      </c>
      <c r="J3649" s="1" t="str">
        <f aca="false">VLOOKUP(B3649,Customers!$A$2:$G$502,6,FALSE())</f>
        <v>Small Business</v>
      </c>
      <c r="K3649" s="1" t="str">
        <f aca="false">VLOOKUP(C3649,Products!$A$2:$E$62,3,FALSE())</f>
        <v>Software</v>
      </c>
      <c r="L3649" s="1" t="str">
        <f aca="false">TEXT(D3649,"yyyy-mm")</f>
        <v>2024-08</v>
      </c>
    </row>
    <row r="3650" customFormat="false" ht="15" hidden="false" customHeight="true" outlineLevel="0" collapsed="false">
      <c r="A3650" s="1" t="n">
        <v>3733</v>
      </c>
      <c r="B3650" s="1" t="n">
        <v>473</v>
      </c>
      <c r="C3650" s="1" t="n">
        <v>44</v>
      </c>
      <c r="D3650" s="1" t="s">
        <v>1647</v>
      </c>
      <c r="E3650" s="1" t="n">
        <v>8</v>
      </c>
      <c r="F3650" s="1" t="n">
        <v>508.26</v>
      </c>
      <c r="G3650" s="1" t="n">
        <v>0</v>
      </c>
      <c r="H3650" s="1" t="s">
        <v>1336</v>
      </c>
      <c r="I3650" s="1" t="n">
        <v>4066.08</v>
      </c>
      <c r="J3650" s="1" t="str">
        <f aca="false">VLOOKUP(B3650,Customers!$A$2:$G$502,6,FALSE())</f>
        <v>Small Business</v>
      </c>
      <c r="K3650" s="1" t="str">
        <f aca="false">VLOOKUP(C3650,Products!$A$2:$E$62,3,FALSE())</f>
        <v>Software</v>
      </c>
      <c r="L3650" s="1" t="str">
        <f aca="false">TEXT(D3650,"yyyy-mm")</f>
        <v>2024-05</v>
      </c>
    </row>
    <row r="3651" customFormat="false" ht="15" hidden="false" customHeight="true" outlineLevel="0" collapsed="false">
      <c r="A3651" s="1" t="n">
        <v>3734</v>
      </c>
      <c r="B3651" s="1" t="n">
        <v>270</v>
      </c>
      <c r="C3651" s="1" t="n">
        <v>20</v>
      </c>
      <c r="D3651" s="1" t="s">
        <v>18</v>
      </c>
      <c r="E3651" s="1" t="n">
        <v>2</v>
      </c>
      <c r="F3651" s="1" t="n">
        <v>426.15</v>
      </c>
      <c r="G3651" s="1" t="n">
        <v>0</v>
      </c>
      <c r="H3651" s="1" t="s">
        <v>1336</v>
      </c>
      <c r="I3651" s="1" t="n">
        <v>852.3</v>
      </c>
      <c r="J3651" s="1" t="str">
        <f aca="false">VLOOKUP(B3651,Customers!$A$2:$G$502,6,FALSE())</f>
        <v>Small Business</v>
      </c>
      <c r="K3651" s="1" t="str">
        <f aca="false">VLOOKUP(C3651,Products!$A$2:$E$62,3,FALSE())</f>
        <v>Office Supplies</v>
      </c>
      <c r="L3651" s="1" t="str">
        <f aca="false">TEXT(D3651,"yyyy-mm")</f>
        <v>2023-08</v>
      </c>
    </row>
    <row r="3652" customFormat="false" ht="15" hidden="false" customHeight="true" outlineLevel="0" collapsed="false">
      <c r="A3652" s="1" t="n">
        <v>3735</v>
      </c>
      <c r="B3652" s="1" t="n">
        <v>227</v>
      </c>
      <c r="C3652" s="1" t="n">
        <v>42</v>
      </c>
      <c r="D3652" s="1" t="s">
        <v>1531</v>
      </c>
      <c r="E3652" s="1" t="n">
        <v>6</v>
      </c>
      <c r="F3652" s="1" t="n">
        <v>174.48</v>
      </c>
      <c r="G3652" s="1" t="n">
        <v>0</v>
      </c>
      <c r="H3652" s="1" t="s">
        <v>1336</v>
      </c>
      <c r="I3652" s="1" t="n">
        <v>1046.88</v>
      </c>
      <c r="J3652" s="1" t="str">
        <f aca="false">VLOOKUP(B3652,Customers!$A$2:$G$502,6,FALSE())</f>
        <v>Consumer</v>
      </c>
      <c r="K3652" s="1" t="str">
        <f aca="false">VLOOKUP(C3652,Products!$A$2:$E$62,3,FALSE())</f>
        <v>Software</v>
      </c>
      <c r="L3652" s="1" t="str">
        <f aca="false">TEXT(D3652,"yyyy-mm")</f>
        <v>2024-11</v>
      </c>
    </row>
    <row r="3653" customFormat="false" ht="15" hidden="false" customHeight="true" outlineLevel="0" collapsed="false">
      <c r="A3653" s="1" t="n">
        <v>3736</v>
      </c>
      <c r="B3653" s="1" t="n">
        <v>451</v>
      </c>
      <c r="C3653" s="1" t="n">
        <v>59</v>
      </c>
      <c r="D3653" s="1" t="s">
        <v>1223</v>
      </c>
      <c r="E3653" s="1" t="n">
        <v>9</v>
      </c>
      <c r="F3653" s="1" t="n">
        <v>438.89</v>
      </c>
      <c r="G3653" s="1" t="n">
        <v>0</v>
      </c>
      <c r="H3653" s="1" t="s">
        <v>1336</v>
      </c>
      <c r="I3653" s="1" t="n">
        <v>3950.01</v>
      </c>
      <c r="J3653" s="1" t="str">
        <f aca="false">VLOOKUP(B3653,Customers!$A$2:$G$502,6,FALSE())</f>
        <v>Corporate</v>
      </c>
      <c r="K3653" s="1" t="str">
        <f aca="false">VLOOKUP(C3653,Products!$A$2:$E$62,3,FALSE())</f>
        <v>Furniture</v>
      </c>
      <c r="L3653" s="1" t="str">
        <f aca="false">TEXT(D3653,"yyyy-mm")</f>
        <v>2024-12</v>
      </c>
    </row>
    <row r="3654" customFormat="false" ht="15" hidden="false" customHeight="true" outlineLevel="0" collapsed="false">
      <c r="A3654" s="1" t="n">
        <v>3737</v>
      </c>
      <c r="B3654" s="1" t="n">
        <v>252</v>
      </c>
      <c r="C3654" s="1" t="n">
        <v>33</v>
      </c>
      <c r="D3654" s="1" t="s">
        <v>846</v>
      </c>
      <c r="E3654" s="1" t="n">
        <v>8</v>
      </c>
      <c r="F3654" s="1" t="n">
        <v>190.1</v>
      </c>
      <c r="G3654" s="1" t="n">
        <v>0</v>
      </c>
      <c r="H3654" s="1" t="s">
        <v>1336</v>
      </c>
      <c r="I3654" s="1" t="n">
        <v>1520.8</v>
      </c>
      <c r="J3654" s="1" t="str">
        <f aca="false">VLOOKUP(B3654,Customers!$A$2:$G$502,6,FALSE())</f>
        <v>Consumer</v>
      </c>
      <c r="K3654" s="1" t="str">
        <f aca="false">VLOOKUP(C3654,Products!$A$2:$E$62,3,FALSE())</f>
        <v>Office Supplies</v>
      </c>
      <c r="L3654" s="1" t="str">
        <f aca="false">TEXT(D3654,"yyyy-mm")</f>
        <v>2024-07</v>
      </c>
    </row>
    <row r="3655" customFormat="false" ht="15" hidden="false" customHeight="true" outlineLevel="0" collapsed="false">
      <c r="A3655" s="1" t="n">
        <v>3738</v>
      </c>
      <c r="B3655" s="1" t="n">
        <v>257</v>
      </c>
      <c r="C3655" s="1" t="n">
        <v>21</v>
      </c>
      <c r="D3655" s="1" t="s">
        <v>1668</v>
      </c>
      <c r="E3655" s="1" t="n">
        <v>8</v>
      </c>
      <c r="F3655" s="1" t="n">
        <v>84.91</v>
      </c>
      <c r="G3655" s="1" t="n">
        <v>0</v>
      </c>
      <c r="H3655" s="1" t="s">
        <v>1336</v>
      </c>
      <c r="I3655" s="1" t="n">
        <v>679.28</v>
      </c>
      <c r="J3655" s="1" t="str">
        <f aca="false">VLOOKUP(B3655,Customers!$A$2:$G$502,6,FALSE())</f>
        <v>Small Business</v>
      </c>
      <c r="K3655" s="1" t="str">
        <f aca="false">VLOOKUP(C3655,Products!$A$2:$E$62,3,FALSE())</f>
        <v>Office Supplies</v>
      </c>
      <c r="L3655" s="1" t="str">
        <f aca="false">TEXT(D3655,"yyyy-mm")</f>
        <v>2023-10</v>
      </c>
    </row>
    <row r="3656" customFormat="false" ht="15" hidden="false" customHeight="true" outlineLevel="0" collapsed="false">
      <c r="A3656" s="1" t="n">
        <v>3739</v>
      </c>
      <c r="B3656" s="1" t="n">
        <v>67</v>
      </c>
      <c r="C3656" s="1" t="n">
        <v>36</v>
      </c>
      <c r="D3656" s="1" t="s">
        <v>377</v>
      </c>
      <c r="E3656" s="1" t="n">
        <v>8</v>
      </c>
      <c r="F3656" s="1" t="n">
        <v>424.45</v>
      </c>
      <c r="G3656" s="1" t="n">
        <v>0.15</v>
      </c>
      <c r="H3656" s="1" t="s">
        <v>1336</v>
      </c>
      <c r="I3656" s="1" t="n">
        <v>2886.26</v>
      </c>
      <c r="J3656" s="1" t="str">
        <f aca="false">VLOOKUP(B3656,Customers!$A$2:$G$502,6,FALSE())</f>
        <v>Small Business</v>
      </c>
      <c r="K3656" s="1" t="str">
        <f aca="false">VLOOKUP(C3656,Products!$A$2:$E$62,3,FALSE())</f>
        <v>Software</v>
      </c>
      <c r="L3656" s="1" t="str">
        <f aca="false">TEXT(D3656,"yyyy-mm")</f>
        <v>2023-12</v>
      </c>
    </row>
    <row r="3657" customFormat="false" ht="15" hidden="false" customHeight="true" outlineLevel="0" collapsed="false">
      <c r="A3657" s="1" t="n">
        <v>3740</v>
      </c>
      <c r="B3657" s="1" t="n">
        <v>493</v>
      </c>
      <c r="C3657" s="1" t="n">
        <v>9</v>
      </c>
      <c r="D3657" s="1" t="s">
        <v>1455</v>
      </c>
      <c r="E3657" s="1" t="n">
        <v>7</v>
      </c>
      <c r="F3657" s="1" t="n">
        <v>203.1</v>
      </c>
      <c r="G3657" s="1" t="n">
        <v>0.2</v>
      </c>
      <c r="H3657" s="1" t="s">
        <v>1336</v>
      </c>
      <c r="I3657" s="1" t="n">
        <v>1137.36</v>
      </c>
      <c r="J3657" s="1" t="str">
        <f aca="false">VLOOKUP(B3657,Customers!$A$2:$G$502,6,FALSE())</f>
        <v>Corporate</v>
      </c>
      <c r="K3657" s="1" t="str">
        <f aca="false">VLOOKUP(C3657,Products!$A$2:$E$62,3,FALSE())</f>
        <v>Electronics</v>
      </c>
      <c r="L3657" s="1" t="str">
        <f aca="false">TEXT(D3657,"yyyy-mm")</f>
        <v>2024-11</v>
      </c>
    </row>
    <row r="3658" customFormat="false" ht="15" hidden="false" customHeight="true" outlineLevel="0" collapsed="false">
      <c r="A3658" s="1" t="n">
        <v>3741</v>
      </c>
      <c r="B3658" s="1" t="n">
        <v>344</v>
      </c>
      <c r="C3658" s="1" t="n">
        <v>46</v>
      </c>
      <c r="D3658" s="1" t="s">
        <v>1092</v>
      </c>
      <c r="E3658" s="1" t="n">
        <v>8</v>
      </c>
      <c r="F3658" s="1" t="n">
        <v>94.92</v>
      </c>
      <c r="G3658" s="1" t="n">
        <v>0.2</v>
      </c>
      <c r="H3658" s="1" t="s">
        <v>1336</v>
      </c>
      <c r="I3658" s="1" t="n">
        <v>607.49</v>
      </c>
      <c r="J3658" s="1" t="str">
        <f aca="false">VLOOKUP(B3658,Customers!$A$2:$G$502,6,FALSE())</f>
        <v>Small Business</v>
      </c>
      <c r="K3658" s="1" t="str">
        <f aca="false">VLOOKUP(C3658,Products!$A$2:$E$62,3,FALSE())</f>
        <v>Software</v>
      </c>
      <c r="L3658" s="1" t="str">
        <f aca="false">TEXT(D3658,"yyyy-mm")</f>
        <v>2023-12</v>
      </c>
    </row>
    <row r="3659" customFormat="false" ht="15" hidden="false" customHeight="true" outlineLevel="0" collapsed="false">
      <c r="A3659" s="1" t="n">
        <v>3742</v>
      </c>
      <c r="B3659" s="1" t="n">
        <v>28</v>
      </c>
      <c r="C3659" s="1" t="n">
        <v>13</v>
      </c>
      <c r="D3659" s="1" t="s">
        <v>100</v>
      </c>
      <c r="E3659" s="1" t="n">
        <v>6</v>
      </c>
      <c r="F3659" s="1" t="n">
        <v>352.54</v>
      </c>
      <c r="G3659" s="1" t="n">
        <v>0</v>
      </c>
      <c r="H3659" s="1" t="s">
        <v>1336</v>
      </c>
      <c r="I3659" s="1" t="n">
        <v>2115.24</v>
      </c>
      <c r="J3659" s="1" t="str">
        <f aca="false">VLOOKUP(B3659,Customers!$A$2:$G$502,6,FALSE())</f>
        <v>Small Business</v>
      </c>
      <c r="K3659" s="1" t="str">
        <f aca="false">VLOOKUP(C3659,Products!$A$2:$E$62,3,FALSE())</f>
        <v>Electronics</v>
      </c>
      <c r="L3659" s="1" t="str">
        <f aca="false">TEXT(D3659,"yyyy-mm")</f>
        <v>2023-05</v>
      </c>
    </row>
    <row r="3660" customFormat="false" ht="15" hidden="false" customHeight="true" outlineLevel="0" collapsed="false">
      <c r="A3660" s="1" t="n">
        <v>3743</v>
      </c>
      <c r="B3660" s="1" t="n">
        <v>314</v>
      </c>
      <c r="C3660" s="1" t="n">
        <v>22</v>
      </c>
      <c r="D3660" s="1" t="s">
        <v>351</v>
      </c>
      <c r="E3660" s="1" t="n">
        <v>2</v>
      </c>
      <c r="F3660" s="1" t="n">
        <v>38.57</v>
      </c>
      <c r="G3660" s="1" t="n">
        <v>0.1</v>
      </c>
      <c r="H3660" s="1" t="s">
        <v>1336</v>
      </c>
      <c r="I3660" s="1" t="n">
        <v>69.43</v>
      </c>
      <c r="J3660" s="1" t="str">
        <f aca="false">VLOOKUP(B3660,Customers!$A$2:$G$502,6,FALSE())</f>
        <v>Small Business</v>
      </c>
      <c r="K3660" s="1" t="str">
        <f aca="false">VLOOKUP(C3660,Products!$A$2:$E$62,3,FALSE())</f>
        <v>Office Supplies</v>
      </c>
      <c r="L3660" s="1" t="str">
        <f aca="false">TEXT(D3660,"yyyy-mm")</f>
        <v>2023-02</v>
      </c>
    </row>
    <row r="3661" customFormat="false" ht="15" hidden="false" customHeight="true" outlineLevel="0" collapsed="false">
      <c r="A3661" s="1" t="n">
        <v>3744</v>
      </c>
      <c r="B3661" s="1" t="n">
        <v>22</v>
      </c>
      <c r="C3661" s="1" t="n">
        <v>59</v>
      </c>
      <c r="D3661" s="1" t="s">
        <v>1651</v>
      </c>
      <c r="E3661" s="1" t="n">
        <v>2</v>
      </c>
      <c r="F3661" s="1" t="n">
        <v>438.89</v>
      </c>
      <c r="G3661" s="1" t="n">
        <v>0</v>
      </c>
      <c r="H3661" s="1" t="s">
        <v>1336</v>
      </c>
      <c r="I3661" s="1" t="n">
        <v>877.78</v>
      </c>
      <c r="J3661" s="1" t="str">
        <f aca="false">VLOOKUP(B3661,Customers!$A$2:$G$502,6,FALSE())</f>
        <v>Consumer</v>
      </c>
      <c r="K3661" s="1" t="str">
        <f aca="false">VLOOKUP(C3661,Products!$A$2:$E$62,3,FALSE())</f>
        <v>Furniture</v>
      </c>
      <c r="L3661" s="1" t="str">
        <f aca="false">TEXT(D3661,"yyyy-mm")</f>
        <v>2023-06</v>
      </c>
    </row>
    <row r="3662" customFormat="false" ht="15" hidden="false" customHeight="true" outlineLevel="0" collapsed="false">
      <c r="A3662" s="1" t="n">
        <v>3745</v>
      </c>
      <c r="B3662" s="1" t="n">
        <v>499</v>
      </c>
      <c r="C3662" s="1" t="n">
        <v>20</v>
      </c>
      <c r="D3662" s="1" t="s">
        <v>1412</v>
      </c>
      <c r="E3662" s="1" t="n">
        <v>8</v>
      </c>
      <c r="F3662" s="1" t="n">
        <v>426.15</v>
      </c>
      <c r="G3662" s="1" t="n">
        <v>0.2</v>
      </c>
      <c r="H3662" s="1" t="s">
        <v>1336</v>
      </c>
      <c r="I3662" s="1" t="n">
        <v>2727.36</v>
      </c>
      <c r="J3662" s="1" t="str">
        <f aca="false">VLOOKUP(B3662,Customers!$A$2:$G$502,6,FALSE())</f>
        <v>Consumer</v>
      </c>
      <c r="K3662" s="1" t="str">
        <f aca="false">VLOOKUP(C3662,Products!$A$2:$E$62,3,FALSE())</f>
        <v>Office Supplies</v>
      </c>
      <c r="L3662" s="1" t="str">
        <f aca="false">TEXT(D3662,"yyyy-mm")</f>
        <v>2023-09</v>
      </c>
    </row>
    <row r="3663" customFormat="false" ht="15" hidden="false" customHeight="true" outlineLevel="0" collapsed="false">
      <c r="A3663" s="1" t="n">
        <v>3746</v>
      </c>
      <c r="B3663" s="1" t="n">
        <v>393</v>
      </c>
      <c r="C3663" s="1" t="n">
        <v>11</v>
      </c>
      <c r="D3663" s="1" t="s">
        <v>960</v>
      </c>
      <c r="E3663" s="1" t="n">
        <v>1</v>
      </c>
      <c r="F3663" s="1" t="n">
        <v>328.39</v>
      </c>
      <c r="G3663" s="1" t="n">
        <v>0.1</v>
      </c>
      <c r="H3663" s="1" t="s">
        <v>1336</v>
      </c>
      <c r="I3663" s="1" t="n">
        <v>295.55</v>
      </c>
      <c r="J3663" s="1" t="str">
        <f aca="false">VLOOKUP(B3663,Customers!$A$2:$G$502,6,FALSE())</f>
        <v>Consumer</v>
      </c>
      <c r="K3663" s="1" t="str">
        <f aca="false">VLOOKUP(C3663,Products!$A$2:$E$62,3,FALSE())</f>
        <v>Electronics</v>
      </c>
      <c r="L3663" s="1" t="str">
        <f aca="false">TEXT(D3663,"yyyy-mm")</f>
        <v>2023-04</v>
      </c>
    </row>
    <row r="3664" customFormat="false" ht="15" hidden="false" customHeight="true" outlineLevel="0" collapsed="false">
      <c r="A3664" s="1" t="n">
        <v>3747</v>
      </c>
      <c r="B3664" s="1" t="n">
        <v>76</v>
      </c>
      <c r="C3664" s="1" t="n">
        <v>31</v>
      </c>
      <c r="D3664" s="1" t="s">
        <v>739</v>
      </c>
      <c r="E3664" s="1" t="n">
        <v>6</v>
      </c>
      <c r="F3664" s="1" t="n">
        <v>224.86</v>
      </c>
      <c r="G3664" s="1" t="n">
        <v>0.15</v>
      </c>
      <c r="H3664" s="1" t="s">
        <v>1336</v>
      </c>
      <c r="I3664" s="1" t="n">
        <v>1146.79</v>
      </c>
      <c r="J3664" s="1" t="str">
        <f aca="false">VLOOKUP(B3664,Customers!$A$2:$G$502,6,FALSE())</f>
        <v>Consumer</v>
      </c>
      <c r="K3664" s="1" t="str">
        <f aca="false">VLOOKUP(C3664,Products!$A$2:$E$62,3,FALSE())</f>
        <v>Office Supplies</v>
      </c>
      <c r="L3664" s="1" t="str">
        <f aca="false">TEXT(D3664,"yyyy-mm")</f>
        <v>2024-11</v>
      </c>
    </row>
    <row r="3665" customFormat="false" ht="15" hidden="false" customHeight="true" outlineLevel="0" collapsed="false">
      <c r="A3665" s="1" t="n">
        <v>3748</v>
      </c>
      <c r="B3665" s="1" t="n">
        <v>377</v>
      </c>
      <c r="C3665" s="1" t="n">
        <v>26</v>
      </c>
      <c r="D3665" s="1" t="s">
        <v>260</v>
      </c>
      <c r="E3665" s="1" t="n">
        <v>6</v>
      </c>
      <c r="F3665" s="1" t="n">
        <v>733.85</v>
      </c>
      <c r="G3665" s="1" t="n">
        <v>0</v>
      </c>
      <c r="H3665" s="1" t="s">
        <v>1336</v>
      </c>
      <c r="I3665" s="1" t="n">
        <v>4403.1</v>
      </c>
      <c r="J3665" s="1" t="str">
        <f aca="false">VLOOKUP(B3665,Customers!$A$2:$G$502,6,FALSE())</f>
        <v>Corporate</v>
      </c>
      <c r="K3665" s="1" t="str">
        <f aca="false">VLOOKUP(C3665,Products!$A$2:$E$62,3,FALSE())</f>
        <v>Office Supplies</v>
      </c>
      <c r="L3665" s="1" t="str">
        <f aca="false">TEXT(D3665,"yyyy-mm")</f>
        <v>2023-04</v>
      </c>
    </row>
    <row r="3666" customFormat="false" ht="15" hidden="false" customHeight="true" outlineLevel="0" collapsed="false">
      <c r="A3666" s="1" t="n">
        <v>3749</v>
      </c>
      <c r="B3666" s="1" t="n">
        <v>336</v>
      </c>
      <c r="C3666" s="1" t="n">
        <v>46</v>
      </c>
      <c r="D3666" s="1" t="s">
        <v>1120</v>
      </c>
      <c r="E3666" s="1" t="n">
        <v>4</v>
      </c>
      <c r="F3666" s="1" t="n">
        <v>94.92</v>
      </c>
      <c r="G3666" s="1" t="n">
        <v>0</v>
      </c>
      <c r="H3666" s="1" t="s">
        <v>1336</v>
      </c>
      <c r="I3666" s="1" t="n">
        <v>379.68</v>
      </c>
      <c r="J3666" s="1" t="str">
        <f aca="false">VLOOKUP(B3666,Customers!$A$2:$G$502,6,FALSE())</f>
        <v>Consumer</v>
      </c>
      <c r="K3666" s="1" t="str">
        <f aca="false">VLOOKUP(C3666,Products!$A$2:$E$62,3,FALSE())</f>
        <v>Software</v>
      </c>
      <c r="L3666" s="1" t="str">
        <f aca="false">TEXT(D3666,"yyyy-mm")</f>
        <v>2024-10</v>
      </c>
    </row>
    <row r="3667" customFormat="false" ht="15" hidden="false" customHeight="true" outlineLevel="0" collapsed="false">
      <c r="A3667" s="1" t="n">
        <v>3750</v>
      </c>
      <c r="B3667" s="1" t="n">
        <v>128</v>
      </c>
      <c r="C3667" s="1" t="n">
        <v>43</v>
      </c>
      <c r="D3667" s="1" t="s">
        <v>1696</v>
      </c>
      <c r="E3667" s="1" t="n">
        <v>3</v>
      </c>
      <c r="F3667" s="1" t="n">
        <v>186.31</v>
      </c>
      <c r="G3667" s="1" t="n">
        <v>0</v>
      </c>
      <c r="H3667" s="1" t="s">
        <v>1336</v>
      </c>
      <c r="I3667" s="1" t="n">
        <v>558.93</v>
      </c>
      <c r="J3667" s="1" t="str">
        <f aca="false">VLOOKUP(B3667,Customers!$A$2:$G$502,6,FALSE())</f>
        <v>Consumer</v>
      </c>
      <c r="K3667" s="1" t="str">
        <f aca="false">VLOOKUP(C3667,Products!$A$2:$E$62,3,FALSE())</f>
        <v>Software</v>
      </c>
      <c r="L3667" s="1" t="str">
        <f aca="false">TEXT(D3667,"yyyy-mm")</f>
        <v>2023-01</v>
      </c>
    </row>
    <row r="3668" customFormat="false" ht="15" hidden="false" customHeight="true" outlineLevel="0" collapsed="false">
      <c r="A3668" s="1" t="n">
        <v>3751</v>
      </c>
      <c r="B3668" s="1" t="n">
        <v>27</v>
      </c>
      <c r="C3668" s="1" t="n">
        <v>9</v>
      </c>
      <c r="D3668" s="1" t="s">
        <v>1662</v>
      </c>
      <c r="E3668" s="1" t="n">
        <v>3</v>
      </c>
      <c r="F3668" s="1" t="n">
        <v>203.1</v>
      </c>
      <c r="G3668" s="1" t="n">
        <v>0</v>
      </c>
      <c r="H3668" s="1" t="s">
        <v>1336</v>
      </c>
      <c r="I3668" s="1" t="n">
        <v>609.3</v>
      </c>
      <c r="J3668" s="1" t="str">
        <f aca="false">VLOOKUP(B3668,Customers!$A$2:$G$502,6,FALSE())</f>
        <v>Small Business</v>
      </c>
      <c r="K3668" s="1" t="str">
        <f aca="false">VLOOKUP(C3668,Products!$A$2:$E$62,3,FALSE())</f>
        <v>Electronics</v>
      </c>
      <c r="L3668" s="1" t="str">
        <f aca="false">TEXT(D3668,"yyyy-mm")</f>
        <v>2024-02</v>
      </c>
    </row>
    <row r="3669" customFormat="false" ht="15" hidden="false" customHeight="true" outlineLevel="0" collapsed="false">
      <c r="A3669" s="1" t="n">
        <v>3752</v>
      </c>
      <c r="B3669" s="1" t="n">
        <v>276</v>
      </c>
      <c r="C3669" s="1" t="n">
        <v>39</v>
      </c>
      <c r="D3669" s="1" t="s">
        <v>1388</v>
      </c>
      <c r="E3669" s="1" t="n">
        <v>1</v>
      </c>
      <c r="F3669" s="1" t="n">
        <v>400.02</v>
      </c>
      <c r="G3669" s="1" t="n">
        <v>0</v>
      </c>
      <c r="H3669" s="1" t="s">
        <v>1346</v>
      </c>
      <c r="I3669" s="1" t="n">
        <v>400.02</v>
      </c>
      <c r="J3669" s="1" t="str">
        <f aca="false">VLOOKUP(B3669,Customers!$A$2:$G$502,6,FALSE())</f>
        <v>Corporate</v>
      </c>
      <c r="K3669" s="1" t="str">
        <f aca="false">VLOOKUP(C3669,Products!$A$2:$E$62,3,FALSE())</f>
        <v>Software</v>
      </c>
      <c r="L3669" s="1" t="str">
        <f aca="false">TEXT(D3669,"yyyy-mm")</f>
        <v>2024-11</v>
      </c>
    </row>
    <row r="3670" customFormat="false" ht="15" hidden="false" customHeight="true" outlineLevel="0" collapsed="false">
      <c r="A3670" s="1" t="n">
        <v>3753</v>
      </c>
      <c r="B3670" s="1" t="n">
        <v>440</v>
      </c>
      <c r="C3670" s="1" t="n">
        <v>13</v>
      </c>
      <c r="D3670" s="1" t="s">
        <v>1477</v>
      </c>
      <c r="E3670" s="1" t="n">
        <v>3</v>
      </c>
      <c r="F3670" s="1" t="n">
        <v>352.54</v>
      </c>
      <c r="G3670" s="1" t="n">
        <v>0.15</v>
      </c>
      <c r="H3670" s="1" t="s">
        <v>1336</v>
      </c>
      <c r="I3670" s="1" t="n">
        <v>898.98</v>
      </c>
      <c r="J3670" s="1" t="str">
        <f aca="false">VLOOKUP(B3670,Customers!$A$2:$G$502,6,FALSE())</f>
        <v>Small Business</v>
      </c>
      <c r="K3670" s="1" t="str">
        <f aca="false">VLOOKUP(C3670,Products!$A$2:$E$62,3,FALSE())</f>
        <v>Electronics</v>
      </c>
      <c r="L3670" s="1" t="str">
        <f aca="false">TEXT(D3670,"yyyy-mm")</f>
        <v>2024-08</v>
      </c>
    </row>
    <row r="3671" customFormat="false" ht="15" hidden="false" customHeight="true" outlineLevel="0" collapsed="false">
      <c r="A3671" s="1" t="n">
        <v>3754</v>
      </c>
      <c r="B3671" s="1" t="n">
        <v>267</v>
      </c>
      <c r="C3671" s="1" t="n">
        <v>12</v>
      </c>
      <c r="D3671" s="1" t="s">
        <v>952</v>
      </c>
      <c r="E3671" s="1" t="n">
        <v>4</v>
      </c>
      <c r="F3671" s="1" t="n">
        <v>179.23</v>
      </c>
      <c r="G3671" s="1" t="n">
        <v>0.15</v>
      </c>
      <c r="H3671" s="1" t="s">
        <v>1336</v>
      </c>
      <c r="I3671" s="1" t="n">
        <v>609.38</v>
      </c>
      <c r="J3671" s="1" t="str">
        <f aca="false">VLOOKUP(B3671,Customers!$A$2:$G$502,6,FALSE())</f>
        <v>Corporate</v>
      </c>
      <c r="K3671" s="1" t="str">
        <f aca="false">VLOOKUP(C3671,Products!$A$2:$E$62,3,FALSE())</f>
        <v>Electronics</v>
      </c>
      <c r="L3671" s="1" t="str">
        <f aca="false">TEXT(D3671,"yyyy-mm")</f>
        <v>2024-12</v>
      </c>
    </row>
    <row r="3672" customFormat="false" ht="15" hidden="false" customHeight="true" outlineLevel="0" collapsed="false">
      <c r="A3672" s="1" t="n">
        <v>3755</v>
      </c>
      <c r="B3672" s="1" t="n">
        <v>420</v>
      </c>
      <c r="C3672" s="1" t="n">
        <v>54</v>
      </c>
      <c r="D3672" s="1" t="s">
        <v>1680</v>
      </c>
      <c r="E3672" s="1" t="n">
        <v>5</v>
      </c>
      <c r="F3672" s="1" t="n">
        <v>312.01</v>
      </c>
      <c r="G3672" s="1" t="n">
        <v>0.05</v>
      </c>
      <c r="H3672" s="1" t="s">
        <v>1346</v>
      </c>
      <c r="I3672" s="1" t="n">
        <v>1482.05</v>
      </c>
      <c r="J3672" s="1" t="str">
        <f aca="false">VLOOKUP(B3672,Customers!$A$2:$G$502,6,FALSE())</f>
        <v>Small Business</v>
      </c>
      <c r="K3672" s="1" t="str">
        <f aca="false">VLOOKUP(C3672,Products!$A$2:$E$62,3,FALSE())</f>
        <v>Software</v>
      </c>
      <c r="L3672" s="1" t="str">
        <f aca="false">TEXT(D3672,"yyyy-mm")</f>
        <v>2023-05</v>
      </c>
    </row>
    <row r="3673" customFormat="false" ht="15" hidden="false" customHeight="true" outlineLevel="0" collapsed="false">
      <c r="A3673" s="1" t="n">
        <v>3756</v>
      </c>
      <c r="B3673" s="1" t="n">
        <v>77</v>
      </c>
      <c r="C3673" s="1" t="n">
        <v>4</v>
      </c>
      <c r="D3673" s="1" t="s">
        <v>1666</v>
      </c>
      <c r="E3673" s="1" t="n">
        <v>3</v>
      </c>
      <c r="F3673" s="1" t="n">
        <v>56.24</v>
      </c>
      <c r="G3673" s="1" t="n">
        <v>0</v>
      </c>
      <c r="H3673" s="1" t="s">
        <v>1336</v>
      </c>
      <c r="I3673" s="1" t="n">
        <v>168.72</v>
      </c>
      <c r="J3673" s="1" t="str">
        <f aca="false">VLOOKUP(B3673,Customers!$A$2:$G$502,6,FALSE())</f>
        <v>Consumer</v>
      </c>
      <c r="K3673" s="1" t="str">
        <f aca="false">VLOOKUP(C3673,Products!$A$2:$E$62,3,FALSE())</f>
        <v>Electronics</v>
      </c>
      <c r="L3673" s="1" t="str">
        <f aca="false">TEXT(D3673,"yyyy-mm")</f>
        <v>2024-07</v>
      </c>
    </row>
    <row r="3674" customFormat="false" ht="15" hidden="false" customHeight="true" outlineLevel="0" collapsed="false">
      <c r="A3674" s="1" t="n">
        <v>3757</v>
      </c>
      <c r="B3674" s="1" t="n">
        <v>396</v>
      </c>
      <c r="C3674" s="1" t="n">
        <v>39</v>
      </c>
      <c r="D3674" s="1" t="s">
        <v>452</v>
      </c>
      <c r="E3674" s="1" t="n">
        <v>6</v>
      </c>
      <c r="F3674" s="1" t="n">
        <v>400.02</v>
      </c>
      <c r="G3674" s="1" t="n">
        <v>0</v>
      </c>
      <c r="H3674" s="1" t="s">
        <v>1336</v>
      </c>
      <c r="I3674" s="1" t="n">
        <v>2400.12</v>
      </c>
      <c r="J3674" s="1" t="str">
        <f aca="false">VLOOKUP(B3674,Customers!$A$2:$G$502,6,FALSE())</f>
        <v>Small Business</v>
      </c>
      <c r="K3674" s="1" t="str">
        <f aca="false">VLOOKUP(C3674,Products!$A$2:$E$62,3,FALSE())</f>
        <v>Software</v>
      </c>
      <c r="L3674" s="1" t="str">
        <f aca="false">TEXT(D3674,"yyyy-mm")</f>
        <v>2023-02</v>
      </c>
    </row>
    <row r="3675" customFormat="false" ht="15" hidden="false" customHeight="true" outlineLevel="0" collapsed="false">
      <c r="A3675" s="1" t="n">
        <v>3758</v>
      </c>
      <c r="B3675" s="1" t="n">
        <v>490</v>
      </c>
      <c r="C3675" s="1" t="n">
        <v>22</v>
      </c>
      <c r="D3675" s="1" t="s">
        <v>1378</v>
      </c>
      <c r="E3675" s="1" t="n">
        <v>5</v>
      </c>
      <c r="F3675" s="1" t="n">
        <v>38.57</v>
      </c>
      <c r="G3675" s="1" t="n">
        <v>0</v>
      </c>
      <c r="H3675" s="1" t="s">
        <v>1336</v>
      </c>
      <c r="I3675" s="1" t="n">
        <v>192.85</v>
      </c>
      <c r="J3675" s="1" t="str">
        <f aca="false">VLOOKUP(B3675,Customers!$A$2:$G$502,6,FALSE())</f>
        <v>Consumer</v>
      </c>
      <c r="K3675" s="1" t="str">
        <f aca="false">VLOOKUP(C3675,Products!$A$2:$E$62,3,FALSE())</f>
        <v>Office Supplies</v>
      </c>
      <c r="L3675" s="1" t="str">
        <f aca="false">TEXT(D3675,"yyyy-mm")</f>
        <v>2024-11</v>
      </c>
    </row>
    <row r="3676" customFormat="false" ht="15" hidden="false" customHeight="true" outlineLevel="0" collapsed="false">
      <c r="A3676" s="1" t="n">
        <v>3759</v>
      </c>
      <c r="B3676" s="1" t="n">
        <v>159</v>
      </c>
      <c r="C3676" s="1" t="n">
        <v>40</v>
      </c>
      <c r="D3676" s="1" t="s">
        <v>1130</v>
      </c>
      <c r="E3676" s="1" t="n">
        <v>3</v>
      </c>
      <c r="F3676" s="1" t="n">
        <v>193.02</v>
      </c>
      <c r="G3676" s="1" t="n">
        <v>0.05</v>
      </c>
      <c r="H3676" s="1" t="s">
        <v>1336</v>
      </c>
      <c r="I3676" s="1" t="n">
        <v>550.11</v>
      </c>
      <c r="J3676" s="1" t="str">
        <f aca="false">VLOOKUP(B3676,Customers!$A$2:$G$502,6,FALSE())</f>
        <v>Corporate</v>
      </c>
      <c r="K3676" s="1" t="str">
        <f aca="false">VLOOKUP(C3676,Products!$A$2:$E$62,3,FALSE())</f>
        <v>Software</v>
      </c>
      <c r="L3676" s="1" t="str">
        <f aca="false">TEXT(D3676,"yyyy-mm")</f>
        <v>2023-02</v>
      </c>
    </row>
    <row r="3677" customFormat="false" ht="15" hidden="false" customHeight="true" outlineLevel="0" collapsed="false">
      <c r="A3677" s="1" t="n">
        <v>3760</v>
      </c>
      <c r="B3677" s="1" t="n">
        <v>94</v>
      </c>
      <c r="C3677" s="1" t="n">
        <v>47</v>
      </c>
      <c r="D3677" s="1" t="s">
        <v>127</v>
      </c>
      <c r="E3677" s="1" t="n">
        <v>6</v>
      </c>
      <c r="F3677" s="1" t="n">
        <v>506.19</v>
      </c>
      <c r="G3677" s="1" t="n">
        <v>0.1</v>
      </c>
      <c r="H3677" s="1" t="s">
        <v>1336</v>
      </c>
      <c r="I3677" s="1" t="n">
        <v>2733.43</v>
      </c>
      <c r="J3677" s="1" t="str">
        <f aca="false">VLOOKUP(B3677,Customers!$A$2:$G$502,6,FALSE())</f>
        <v>Small Business</v>
      </c>
      <c r="K3677" s="1" t="str">
        <f aca="false">VLOOKUP(C3677,Products!$A$2:$E$62,3,FALSE())</f>
        <v>Software</v>
      </c>
      <c r="L3677" s="1" t="str">
        <f aca="false">TEXT(D3677,"yyyy-mm")</f>
        <v>2023-03</v>
      </c>
    </row>
    <row r="3678" customFormat="false" ht="15" hidden="false" customHeight="true" outlineLevel="0" collapsed="false">
      <c r="A3678" s="1" t="n">
        <v>3761</v>
      </c>
      <c r="B3678" s="1" t="n">
        <v>302</v>
      </c>
      <c r="C3678" s="1" t="n">
        <v>48</v>
      </c>
      <c r="D3678" s="1" t="s">
        <v>363</v>
      </c>
      <c r="E3678" s="1" t="n">
        <v>6</v>
      </c>
      <c r="F3678" s="1" t="n">
        <v>493.53</v>
      </c>
      <c r="G3678" s="1" t="n">
        <v>0.2</v>
      </c>
      <c r="H3678" s="1" t="s">
        <v>1336</v>
      </c>
      <c r="I3678" s="1" t="n">
        <v>2368.94</v>
      </c>
      <c r="J3678" s="1" t="str">
        <f aca="false">VLOOKUP(B3678,Customers!$A$2:$G$502,6,FALSE())</f>
        <v>Corporate</v>
      </c>
      <c r="K3678" s="1" t="str">
        <f aca="false">VLOOKUP(C3678,Products!$A$2:$E$62,3,FALSE())</f>
        <v>Software</v>
      </c>
      <c r="L3678" s="1" t="str">
        <f aca="false">TEXT(D3678,"yyyy-mm")</f>
        <v>2024-10</v>
      </c>
    </row>
    <row r="3679" customFormat="false" ht="15" hidden="false" customHeight="true" outlineLevel="0" collapsed="false">
      <c r="A3679" s="1" t="n">
        <v>3762</v>
      </c>
      <c r="B3679" s="1" t="n">
        <v>401</v>
      </c>
      <c r="C3679" s="1" t="n">
        <v>42</v>
      </c>
      <c r="D3679" s="1" t="s">
        <v>1524</v>
      </c>
      <c r="E3679" s="1" t="n">
        <v>8</v>
      </c>
      <c r="F3679" s="1" t="n">
        <v>174.48</v>
      </c>
      <c r="G3679" s="1" t="n">
        <v>0</v>
      </c>
      <c r="H3679" s="1" t="s">
        <v>1336</v>
      </c>
      <c r="I3679" s="1" t="n">
        <v>1395.84</v>
      </c>
      <c r="J3679" s="1" t="str">
        <f aca="false">VLOOKUP(B3679,Customers!$A$2:$G$502,6,FALSE())</f>
        <v>Consumer</v>
      </c>
      <c r="K3679" s="1" t="str">
        <f aca="false">VLOOKUP(C3679,Products!$A$2:$E$62,3,FALSE())</f>
        <v>Software</v>
      </c>
      <c r="L3679" s="1" t="str">
        <f aca="false">TEXT(D3679,"yyyy-mm")</f>
        <v>2024-09</v>
      </c>
    </row>
    <row r="3680" customFormat="false" ht="15" hidden="false" customHeight="true" outlineLevel="0" collapsed="false">
      <c r="A3680" s="1" t="n">
        <v>3763</v>
      </c>
      <c r="B3680" s="1" t="n">
        <v>82</v>
      </c>
      <c r="C3680" s="1" t="n">
        <v>12</v>
      </c>
      <c r="D3680" s="1" t="s">
        <v>635</v>
      </c>
      <c r="E3680" s="1" t="n">
        <v>2</v>
      </c>
      <c r="F3680" s="1" t="n">
        <v>179.23</v>
      </c>
      <c r="G3680" s="1" t="n">
        <v>0</v>
      </c>
      <c r="H3680" s="1" t="s">
        <v>1336</v>
      </c>
      <c r="I3680" s="1" t="n">
        <v>358.46</v>
      </c>
      <c r="J3680" s="1" t="str">
        <f aca="false">VLOOKUP(B3680,Customers!$A$2:$G$502,6,FALSE())</f>
        <v>Consumer</v>
      </c>
      <c r="K3680" s="1" t="str">
        <f aca="false">VLOOKUP(C3680,Products!$A$2:$E$62,3,FALSE())</f>
        <v>Electronics</v>
      </c>
      <c r="L3680" s="1" t="str">
        <f aca="false">TEXT(D3680,"yyyy-mm")</f>
        <v>2024-03</v>
      </c>
    </row>
    <row r="3681" customFormat="false" ht="15" hidden="false" customHeight="true" outlineLevel="0" collapsed="false">
      <c r="A3681" s="1" t="n">
        <v>3764</v>
      </c>
      <c r="B3681" s="1" t="n">
        <v>120</v>
      </c>
      <c r="C3681" s="1" t="n">
        <v>42</v>
      </c>
      <c r="D3681" s="1" t="s">
        <v>1632</v>
      </c>
      <c r="E3681" s="1" t="n">
        <v>1</v>
      </c>
      <c r="F3681" s="1" t="n">
        <v>174.48</v>
      </c>
      <c r="G3681" s="1" t="n">
        <v>0.05</v>
      </c>
      <c r="H3681" s="1" t="s">
        <v>1336</v>
      </c>
      <c r="I3681" s="1" t="n">
        <v>165.76</v>
      </c>
      <c r="J3681" s="1" t="str">
        <f aca="false">VLOOKUP(B3681,Customers!$A$2:$G$502,6,FALSE())</f>
        <v>Consumer</v>
      </c>
      <c r="K3681" s="1" t="str">
        <f aca="false">VLOOKUP(C3681,Products!$A$2:$E$62,3,FALSE())</f>
        <v>Software</v>
      </c>
      <c r="L3681" s="1" t="str">
        <f aca="false">TEXT(D3681,"yyyy-mm")</f>
        <v>2024-04</v>
      </c>
    </row>
    <row r="3682" customFormat="false" ht="15" hidden="false" customHeight="true" outlineLevel="0" collapsed="false">
      <c r="A3682" s="1" t="n">
        <v>3765</v>
      </c>
      <c r="B3682" s="1" t="n">
        <v>318</v>
      </c>
      <c r="C3682" s="1" t="n">
        <v>36</v>
      </c>
      <c r="D3682" s="1" t="s">
        <v>1469</v>
      </c>
      <c r="E3682" s="1" t="n">
        <v>4</v>
      </c>
      <c r="F3682" s="1" t="n">
        <v>424.45</v>
      </c>
      <c r="G3682" s="1" t="n">
        <v>0.05</v>
      </c>
      <c r="H3682" s="1" t="s">
        <v>1336</v>
      </c>
      <c r="I3682" s="1" t="n">
        <v>1612.91</v>
      </c>
      <c r="J3682" s="1" t="str">
        <f aca="false">VLOOKUP(B3682,Customers!$A$2:$G$502,6,FALSE())</f>
        <v>Consumer</v>
      </c>
      <c r="K3682" s="1" t="str">
        <f aca="false">VLOOKUP(C3682,Products!$A$2:$E$62,3,FALSE())</f>
        <v>Software</v>
      </c>
      <c r="L3682" s="1" t="str">
        <f aca="false">TEXT(D3682,"yyyy-mm")</f>
        <v>2023-11</v>
      </c>
    </row>
    <row r="3683" customFormat="false" ht="15" hidden="false" customHeight="true" outlineLevel="0" collapsed="false">
      <c r="A3683" s="1" t="n">
        <v>3766</v>
      </c>
      <c r="B3683" s="1" t="n">
        <v>281</v>
      </c>
      <c r="C3683" s="1" t="n">
        <v>60</v>
      </c>
      <c r="D3683" s="1" t="s">
        <v>309</v>
      </c>
      <c r="E3683" s="1" t="n">
        <v>7</v>
      </c>
      <c r="F3683" s="1" t="n">
        <v>584.98</v>
      </c>
      <c r="G3683" s="1" t="n">
        <v>0</v>
      </c>
      <c r="H3683" s="1" t="s">
        <v>1336</v>
      </c>
      <c r="I3683" s="1" t="n">
        <v>4094.86</v>
      </c>
      <c r="J3683" s="1" t="str">
        <f aca="false">VLOOKUP(B3683,Customers!$A$2:$G$502,6,FALSE())</f>
        <v>Corporate</v>
      </c>
      <c r="K3683" s="1" t="str">
        <f aca="false">VLOOKUP(C3683,Products!$A$2:$E$62,3,FALSE())</f>
        <v>Furniture</v>
      </c>
      <c r="L3683" s="1" t="str">
        <f aca="false">TEXT(D3683,"yyyy-mm")</f>
        <v>2023-05</v>
      </c>
    </row>
    <row r="3684" customFormat="false" ht="15" hidden="false" customHeight="true" outlineLevel="0" collapsed="false">
      <c r="A3684" s="1" t="n">
        <v>3767</v>
      </c>
      <c r="B3684" s="1" t="n">
        <v>356</v>
      </c>
      <c r="C3684" s="1" t="n">
        <v>48</v>
      </c>
      <c r="D3684" s="1" t="s">
        <v>413</v>
      </c>
      <c r="E3684" s="1" t="n">
        <v>3</v>
      </c>
      <c r="F3684" s="1" t="n">
        <v>493.53</v>
      </c>
      <c r="G3684" s="1" t="n">
        <v>0</v>
      </c>
      <c r="H3684" s="1" t="s">
        <v>1370</v>
      </c>
      <c r="I3684" s="1" t="n">
        <v>1480.59</v>
      </c>
      <c r="J3684" s="1" t="str">
        <f aca="false">VLOOKUP(B3684,Customers!$A$2:$G$502,6,FALSE())</f>
        <v>Consumer</v>
      </c>
      <c r="K3684" s="1" t="str">
        <f aca="false">VLOOKUP(C3684,Products!$A$2:$E$62,3,FALSE())</f>
        <v>Software</v>
      </c>
      <c r="L3684" s="1" t="str">
        <f aca="false">TEXT(D3684,"yyyy-mm")</f>
        <v>2023-01</v>
      </c>
    </row>
    <row r="3685" customFormat="false" ht="15" hidden="false" customHeight="true" outlineLevel="0" collapsed="false">
      <c r="A3685" s="1" t="n">
        <v>3768</v>
      </c>
      <c r="B3685" s="1" t="n">
        <v>462</v>
      </c>
      <c r="C3685" s="1" t="n">
        <v>19</v>
      </c>
      <c r="D3685" s="1" t="s">
        <v>1628</v>
      </c>
      <c r="E3685" s="1" t="n">
        <v>3</v>
      </c>
      <c r="F3685" s="1" t="n">
        <v>163.64</v>
      </c>
      <c r="G3685" s="1" t="n">
        <v>0.05</v>
      </c>
      <c r="H3685" s="1" t="s">
        <v>1336</v>
      </c>
      <c r="I3685" s="1" t="n">
        <v>466.37</v>
      </c>
      <c r="J3685" s="1" t="str">
        <f aca="false">VLOOKUP(B3685,Customers!$A$2:$G$502,6,FALSE())</f>
        <v>Small Business</v>
      </c>
      <c r="K3685" s="1" t="str">
        <f aca="false">VLOOKUP(C3685,Products!$A$2:$E$62,3,FALSE())</f>
        <v>Office Supplies</v>
      </c>
      <c r="L3685" s="1" t="str">
        <f aca="false">TEXT(D3685,"yyyy-mm")</f>
        <v>2023-09</v>
      </c>
    </row>
    <row r="3686" customFormat="false" ht="15" hidden="false" customHeight="true" outlineLevel="0" collapsed="false">
      <c r="A3686" s="1" t="n">
        <v>3769</v>
      </c>
      <c r="B3686" s="1" t="n">
        <v>452</v>
      </c>
      <c r="C3686" s="1" t="n">
        <v>18</v>
      </c>
      <c r="D3686" s="1" t="s">
        <v>1147</v>
      </c>
      <c r="E3686" s="1" t="n">
        <v>5</v>
      </c>
      <c r="F3686" s="1" t="n">
        <v>747.34</v>
      </c>
      <c r="G3686" s="1" t="n">
        <v>0.05</v>
      </c>
      <c r="H3686" s="1" t="s">
        <v>1336</v>
      </c>
      <c r="I3686" s="1" t="n">
        <v>3549.86</v>
      </c>
      <c r="J3686" s="1" t="str">
        <f aca="false">VLOOKUP(B3686,Customers!$A$2:$G$502,6,FALSE())</f>
        <v>Consumer</v>
      </c>
      <c r="K3686" s="1" t="str">
        <f aca="false">VLOOKUP(C3686,Products!$A$2:$E$62,3,FALSE())</f>
        <v>Electronics</v>
      </c>
      <c r="L3686" s="1" t="str">
        <f aca="false">TEXT(D3686,"yyyy-mm")</f>
        <v>2024-05</v>
      </c>
    </row>
    <row r="3687" customFormat="false" ht="15" hidden="false" customHeight="true" outlineLevel="0" collapsed="false">
      <c r="A3687" s="1" t="n">
        <v>3770</v>
      </c>
      <c r="B3687" s="1" t="n">
        <v>332</v>
      </c>
      <c r="C3687" s="1" t="n">
        <v>28</v>
      </c>
      <c r="D3687" s="1" t="s">
        <v>1412</v>
      </c>
      <c r="E3687" s="1" t="n">
        <v>5</v>
      </c>
      <c r="F3687" s="1" t="n">
        <v>505.23</v>
      </c>
      <c r="G3687" s="1" t="n">
        <v>0.05</v>
      </c>
      <c r="H3687" s="1" t="s">
        <v>1336</v>
      </c>
      <c r="I3687" s="1" t="n">
        <v>2399.84</v>
      </c>
      <c r="J3687" s="1" t="str">
        <f aca="false">VLOOKUP(B3687,Customers!$A$2:$G$502,6,FALSE())</f>
        <v>Consumer</v>
      </c>
      <c r="K3687" s="1" t="str">
        <f aca="false">VLOOKUP(C3687,Products!$A$2:$E$62,3,FALSE())</f>
        <v>Office Supplies</v>
      </c>
      <c r="L3687" s="1" t="str">
        <f aca="false">TEXT(D3687,"yyyy-mm")</f>
        <v>2023-09</v>
      </c>
    </row>
    <row r="3688" customFormat="false" ht="15" hidden="false" customHeight="true" outlineLevel="0" collapsed="false">
      <c r="A3688" s="1" t="n">
        <v>3771</v>
      </c>
      <c r="B3688" s="1" t="n">
        <v>91</v>
      </c>
      <c r="C3688" s="1" t="n">
        <v>24</v>
      </c>
      <c r="D3688" s="1" t="s">
        <v>927</v>
      </c>
      <c r="E3688" s="1" t="n">
        <v>3</v>
      </c>
      <c r="F3688" s="1" t="n">
        <v>207.34</v>
      </c>
      <c r="G3688" s="1" t="n">
        <v>0</v>
      </c>
      <c r="H3688" s="1" t="s">
        <v>1336</v>
      </c>
      <c r="I3688" s="1" t="n">
        <v>622.02</v>
      </c>
      <c r="J3688" s="1" t="str">
        <f aca="false">VLOOKUP(B3688,Customers!$A$2:$G$502,6,FALSE())</f>
        <v>Consumer</v>
      </c>
      <c r="K3688" s="1" t="str">
        <f aca="false">VLOOKUP(C3688,Products!$A$2:$E$62,3,FALSE())</f>
        <v>Office Supplies</v>
      </c>
      <c r="L3688" s="1" t="str">
        <f aca="false">TEXT(D3688,"yyyy-mm")</f>
        <v>2024-04</v>
      </c>
    </row>
    <row r="3689" customFormat="false" ht="15" hidden="false" customHeight="true" outlineLevel="0" collapsed="false">
      <c r="A3689" s="1" t="n">
        <v>3772</v>
      </c>
      <c r="B3689" s="1" t="n">
        <v>464</v>
      </c>
      <c r="C3689" s="1" t="n">
        <v>35</v>
      </c>
      <c r="D3689" s="1" t="s">
        <v>1496</v>
      </c>
      <c r="E3689" s="1" t="n">
        <v>9</v>
      </c>
      <c r="F3689" s="1" t="n">
        <v>75.78</v>
      </c>
      <c r="G3689" s="1" t="n">
        <v>0</v>
      </c>
      <c r="H3689" s="1" t="s">
        <v>1336</v>
      </c>
      <c r="I3689" s="1" t="n">
        <v>682.02</v>
      </c>
      <c r="J3689" s="1" t="str">
        <f aca="false">VLOOKUP(B3689,Customers!$A$2:$G$502,6,FALSE())</f>
        <v>Consumer</v>
      </c>
      <c r="K3689" s="1" t="str">
        <f aca="false">VLOOKUP(C3689,Products!$A$2:$E$62,3,FALSE())</f>
        <v>Software</v>
      </c>
      <c r="L3689" s="1" t="str">
        <f aca="false">TEXT(D3689,"yyyy-mm")</f>
        <v>2023-09</v>
      </c>
    </row>
    <row r="3690" customFormat="false" ht="15" hidden="false" customHeight="true" outlineLevel="0" collapsed="false">
      <c r="A3690" s="1" t="n">
        <v>3773</v>
      </c>
      <c r="B3690" s="1" t="n">
        <v>163</v>
      </c>
      <c r="C3690" s="1" t="n">
        <v>31</v>
      </c>
      <c r="D3690" s="1" t="s">
        <v>1473</v>
      </c>
      <c r="E3690" s="1" t="n">
        <v>4</v>
      </c>
      <c r="F3690" s="1" t="n">
        <v>224.86</v>
      </c>
      <c r="G3690" s="1" t="n">
        <v>0.05</v>
      </c>
      <c r="H3690" s="1" t="s">
        <v>1336</v>
      </c>
      <c r="I3690" s="1" t="n">
        <v>854.47</v>
      </c>
      <c r="J3690" s="1" t="str">
        <f aca="false">VLOOKUP(B3690,Customers!$A$2:$G$502,6,FALSE())</f>
        <v>Small Business</v>
      </c>
      <c r="K3690" s="1" t="str">
        <f aca="false">VLOOKUP(C3690,Products!$A$2:$E$62,3,FALSE())</f>
        <v>Office Supplies</v>
      </c>
      <c r="L3690" s="1" t="str">
        <f aca="false">TEXT(D3690,"yyyy-mm")</f>
        <v>2024-04</v>
      </c>
    </row>
    <row r="3691" customFormat="false" ht="15" hidden="false" customHeight="true" outlineLevel="0" collapsed="false">
      <c r="A3691" s="1" t="n">
        <v>3774</v>
      </c>
      <c r="B3691" s="1" t="n">
        <v>315</v>
      </c>
      <c r="C3691" s="1" t="n">
        <v>33</v>
      </c>
      <c r="D3691" s="1" t="s">
        <v>71</v>
      </c>
      <c r="E3691" s="1" t="n">
        <v>3</v>
      </c>
      <c r="F3691" s="1" t="n">
        <v>190.1</v>
      </c>
      <c r="G3691" s="1" t="n">
        <v>0.1</v>
      </c>
      <c r="H3691" s="1" t="s">
        <v>1336</v>
      </c>
      <c r="I3691" s="1" t="n">
        <v>513.27</v>
      </c>
      <c r="J3691" s="1" t="str">
        <f aca="false">VLOOKUP(B3691,Customers!$A$2:$G$502,6,FALSE())</f>
        <v>Consumer</v>
      </c>
      <c r="K3691" s="1" t="str">
        <f aca="false">VLOOKUP(C3691,Products!$A$2:$E$62,3,FALSE())</f>
        <v>Office Supplies</v>
      </c>
      <c r="L3691" s="1" t="str">
        <f aca="false">TEXT(D3691,"yyyy-mm")</f>
        <v>2024-05</v>
      </c>
    </row>
    <row r="3692" customFormat="false" ht="15" hidden="false" customHeight="true" outlineLevel="0" collapsed="false">
      <c r="A3692" s="1" t="n">
        <v>3775</v>
      </c>
      <c r="B3692" s="1" t="n">
        <v>268</v>
      </c>
      <c r="C3692" s="1" t="n">
        <v>4</v>
      </c>
      <c r="D3692" s="1" t="s">
        <v>1359</v>
      </c>
      <c r="E3692" s="1" t="n">
        <v>2</v>
      </c>
      <c r="F3692" s="1" t="n">
        <v>56.24</v>
      </c>
      <c r="G3692" s="1" t="n">
        <v>0</v>
      </c>
      <c r="H3692" s="1" t="s">
        <v>1336</v>
      </c>
      <c r="I3692" s="1" t="n">
        <v>112.48</v>
      </c>
      <c r="J3692" s="1" t="str">
        <f aca="false">VLOOKUP(B3692,Customers!$A$2:$G$502,6,FALSE())</f>
        <v>Small Business</v>
      </c>
      <c r="K3692" s="1" t="str">
        <f aca="false">VLOOKUP(C3692,Products!$A$2:$E$62,3,FALSE())</f>
        <v>Electronics</v>
      </c>
      <c r="L3692" s="1" t="str">
        <f aca="false">TEXT(D3692,"yyyy-mm")</f>
        <v>2024-09</v>
      </c>
    </row>
    <row r="3693" customFormat="false" ht="15" hidden="false" customHeight="true" outlineLevel="0" collapsed="false">
      <c r="A3693" s="1" t="n">
        <v>3776</v>
      </c>
      <c r="B3693" s="1" t="n">
        <v>37</v>
      </c>
      <c r="C3693" s="1" t="n">
        <v>46</v>
      </c>
      <c r="D3693" s="1" t="s">
        <v>1066</v>
      </c>
      <c r="E3693" s="1" t="n">
        <v>9</v>
      </c>
      <c r="F3693" s="1" t="n">
        <v>94.92</v>
      </c>
      <c r="G3693" s="1" t="n">
        <v>0</v>
      </c>
      <c r="H3693" s="1" t="s">
        <v>1336</v>
      </c>
      <c r="I3693" s="1" t="n">
        <v>854.28</v>
      </c>
      <c r="J3693" s="1" t="str">
        <f aca="false">VLOOKUP(B3693,Customers!$A$2:$G$502,6,FALSE())</f>
        <v>Corporate</v>
      </c>
      <c r="K3693" s="1" t="str">
        <f aca="false">VLOOKUP(C3693,Products!$A$2:$E$62,3,FALSE())</f>
        <v>Software</v>
      </c>
      <c r="L3693" s="1" t="str">
        <f aca="false">TEXT(D3693,"yyyy-mm")</f>
        <v>2024-10</v>
      </c>
    </row>
    <row r="3694" customFormat="false" ht="15" hidden="false" customHeight="true" outlineLevel="0" collapsed="false">
      <c r="A3694" s="1" t="n">
        <v>3777</v>
      </c>
      <c r="B3694" s="1" t="n">
        <v>444</v>
      </c>
      <c r="C3694" s="1" t="n">
        <v>32</v>
      </c>
      <c r="D3694" s="1" t="s">
        <v>909</v>
      </c>
      <c r="E3694" s="1" t="n">
        <v>4</v>
      </c>
      <c r="F3694" s="1" t="n">
        <v>492.27</v>
      </c>
      <c r="G3694" s="1" t="n">
        <v>0.15</v>
      </c>
      <c r="H3694" s="1" t="s">
        <v>1336</v>
      </c>
      <c r="I3694" s="1" t="n">
        <v>1673.72</v>
      </c>
      <c r="J3694" s="1" t="str">
        <f aca="false">VLOOKUP(B3694,Customers!$A$2:$G$502,6,FALSE())</f>
        <v>Small Business</v>
      </c>
      <c r="K3694" s="1" t="str">
        <f aca="false">VLOOKUP(C3694,Products!$A$2:$E$62,3,FALSE())</f>
        <v>Office Supplies</v>
      </c>
      <c r="L3694" s="1" t="str">
        <f aca="false">TEXT(D3694,"yyyy-mm")</f>
        <v>2023-03</v>
      </c>
    </row>
    <row r="3695" customFormat="false" ht="15" hidden="false" customHeight="true" outlineLevel="0" collapsed="false">
      <c r="A3695" s="1" t="n">
        <v>3778</v>
      </c>
      <c r="B3695" s="1" t="n">
        <v>204</v>
      </c>
      <c r="C3695" s="1" t="n">
        <v>35</v>
      </c>
      <c r="D3695" s="1" t="s">
        <v>645</v>
      </c>
      <c r="E3695" s="1" t="n">
        <v>3</v>
      </c>
      <c r="F3695" s="1" t="n">
        <v>75.78</v>
      </c>
      <c r="G3695" s="1" t="n">
        <v>0</v>
      </c>
      <c r="H3695" s="1" t="s">
        <v>1336</v>
      </c>
      <c r="I3695" s="1" t="n">
        <v>227.34</v>
      </c>
      <c r="J3695" s="1" t="str">
        <f aca="false">VLOOKUP(B3695,Customers!$A$2:$G$502,6,FALSE())</f>
        <v>Small Business</v>
      </c>
      <c r="K3695" s="1" t="str">
        <f aca="false">VLOOKUP(C3695,Products!$A$2:$E$62,3,FALSE())</f>
        <v>Software</v>
      </c>
      <c r="L3695" s="1" t="str">
        <f aca="false">TEXT(D3695,"yyyy-mm")</f>
        <v>2024-06</v>
      </c>
    </row>
    <row r="3696" customFormat="false" ht="15" hidden="false" customHeight="true" outlineLevel="0" collapsed="false">
      <c r="A3696" s="1" t="n">
        <v>3779</v>
      </c>
      <c r="B3696" s="1" t="n">
        <v>194</v>
      </c>
      <c r="C3696" s="1" t="n">
        <v>20</v>
      </c>
      <c r="D3696" s="1" t="s">
        <v>1586</v>
      </c>
      <c r="E3696" s="1" t="n">
        <v>7</v>
      </c>
      <c r="F3696" s="1" t="n">
        <v>426.15</v>
      </c>
      <c r="G3696" s="1" t="n">
        <v>0.2</v>
      </c>
      <c r="H3696" s="1" t="s">
        <v>1336</v>
      </c>
      <c r="I3696" s="1" t="n">
        <v>2386.44</v>
      </c>
      <c r="J3696" s="1" t="str">
        <f aca="false">VLOOKUP(B3696,Customers!$A$2:$G$502,6,FALSE())</f>
        <v>Corporate</v>
      </c>
      <c r="K3696" s="1" t="str">
        <f aca="false">VLOOKUP(C3696,Products!$A$2:$E$62,3,FALSE())</f>
        <v>Office Supplies</v>
      </c>
      <c r="L3696" s="1" t="str">
        <f aca="false">TEXT(D3696,"yyyy-mm")</f>
        <v>2024-04</v>
      </c>
    </row>
    <row r="3697" customFormat="false" ht="15" hidden="false" customHeight="true" outlineLevel="0" collapsed="false">
      <c r="A3697" s="1" t="n">
        <v>3780</v>
      </c>
      <c r="B3697" s="1" t="n">
        <v>269</v>
      </c>
      <c r="C3697" s="1" t="n">
        <v>13</v>
      </c>
      <c r="D3697" s="1" t="s">
        <v>1385</v>
      </c>
      <c r="E3697" s="1" t="n">
        <v>8</v>
      </c>
      <c r="F3697" s="1" t="n">
        <v>352.54</v>
      </c>
      <c r="G3697" s="1" t="n">
        <v>0</v>
      </c>
      <c r="H3697" s="1" t="s">
        <v>1336</v>
      </c>
      <c r="I3697" s="1" t="n">
        <v>2820.32</v>
      </c>
      <c r="J3697" s="1" t="str">
        <f aca="false">VLOOKUP(B3697,Customers!$A$2:$G$502,6,FALSE())</f>
        <v>Corporate</v>
      </c>
      <c r="K3697" s="1" t="str">
        <f aca="false">VLOOKUP(C3697,Products!$A$2:$E$62,3,FALSE())</f>
        <v>Electronics</v>
      </c>
      <c r="L3697" s="1" t="str">
        <f aca="false">TEXT(D3697,"yyyy-mm")</f>
        <v>2023-05</v>
      </c>
    </row>
    <row r="3698" customFormat="false" ht="15" hidden="false" customHeight="true" outlineLevel="0" collapsed="false">
      <c r="A3698" s="1" t="n">
        <v>3781</v>
      </c>
      <c r="B3698" s="1" t="n">
        <v>122</v>
      </c>
      <c r="C3698" s="1" t="n">
        <v>24</v>
      </c>
      <c r="D3698" s="1" t="s">
        <v>1388</v>
      </c>
      <c r="E3698" s="1" t="n">
        <v>2</v>
      </c>
      <c r="F3698" s="1" t="n">
        <v>207.34</v>
      </c>
      <c r="G3698" s="1" t="n">
        <v>0.15</v>
      </c>
      <c r="H3698" s="1" t="s">
        <v>1336</v>
      </c>
      <c r="I3698" s="1" t="n">
        <v>352.48</v>
      </c>
      <c r="J3698" s="1" t="str">
        <f aca="false">VLOOKUP(B3698,Customers!$A$2:$G$502,6,FALSE())</f>
        <v>Corporate</v>
      </c>
      <c r="K3698" s="1" t="str">
        <f aca="false">VLOOKUP(C3698,Products!$A$2:$E$62,3,FALSE())</f>
        <v>Office Supplies</v>
      </c>
      <c r="L3698" s="1" t="str">
        <f aca="false">TEXT(D3698,"yyyy-mm")</f>
        <v>2024-11</v>
      </c>
    </row>
    <row r="3699" customFormat="false" ht="15" hidden="false" customHeight="true" outlineLevel="0" collapsed="false">
      <c r="A3699" s="1" t="n">
        <v>3783</v>
      </c>
      <c r="B3699" s="1" t="n">
        <v>360</v>
      </c>
      <c r="C3699" s="1" t="n">
        <v>8</v>
      </c>
      <c r="D3699" s="1" t="s">
        <v>1423</v>
      </c>
      <c r="E3699" s="1" t="n">
        <v>5</v>
      </c>
      <c r="F3699" s="1" t="n">
        <v>104.4</v>
      </c>
      <c r="G3699" s="1" t="n">
        <v>0</v>
      </c>
      <c r="H3699" s="1" t="s">
        <v>1336</v>
      </c>
      <c r="I3699" s="1" t="n">
        <v>522</v>
      </c>
      <c r="J3699" s="1" t="str">
        <f aca="false">VLOOKUP(B3699,Customers!$A$2:$G$502,6,FALSE())</f>
        <v>Corporate</v>
      </c>
      <c r="K3699" s="1" t="str">
        <f aca="false">VLOOKUP(C3699,Products!$A$2:$E$62,3,FALSE())</f>
        <v>Electronics</v>
      </c>
      <c r="L3699" s="1" t="str">
        <f aca="false">TEXT(D3699,"yyyy-mm")</f>
        <v>2024-04</v>
      </c>
    </row>
    <row r="3700" customFormat="false" ht="15" hidden="false" customHeight="true" outlineLevel="0" collapsed="false">
      <c r="A3700" s="1" t="n">
        <v>3784</v>
      </c>
      <c r="B3700" s="1" t="n">
        <v>460</v>
      </c>
      <c r="C3700" s="1" t="n">
        <v>7</v>
      </c>
      <c r="D3700" s="1" t="s">
        <v>1360</v>
      </c>
      <c r="E3700" s="1" t="n">
        <v>5</v>
      </c>
      <c r="F3700" s="1" t="n">
        <v>460</v>
      </c>
      <c r="G3700" s="1" t="n">
        <v>0</v>
      </c>
      <c r="H3700" s="1" t="s">
        <v>1336</v>
      </c>
      <c r="I3700" s="1" t="n">
        <v>2300</v>
      </c>
      <c r="J3700" s="1" t="str">
        <f aca="false">VLOOKUP(B3700,Customers!$A$2:$G$502,6,FALSE())</f>
        <v>Corporate</v>
      </c>
      <c r="K3700" s="1" t="str">
        <f aca="false">VLOOKUP(C3700,Products!$A$2:$E$62,3,FALSE())</f>
        <v>Electronics</v>
      </c>
      <c r="L3700" s="1" t="str">
        <f aca="false">TEXT(D3700,"yyyy-mm")</f>
        <v>2024-01</v>
      </c>
    </row>
    <row r="3701" customFormat="false" ht="15" hidden="false" customHeight="true" outlineLevel="0" collapsed="false">
      <c r="A3701" s="1" t="n">
        <v>3785</v>
      </c>
      <c r="B3701" s="1" t="n">
        <v>242</v>
      </c>
      <c r="C3701" s="1" t="n">
        <v>53</v>
      </c>
      <c r="D3701" s="1" t="s">
        <v>1124</v>
      </c>
      <c r="E3701" s="1" t="n">
        <v>3</v>
      </c>
      <c r="F3701" s="1" t="n">
        <v>509.98</v>
      </c>
      <c r="G3701" s="1" t="n">
        <v>0</v>
      </c>
      <c r="H3701" s="1" t="s">
        <v>1336</v>
      </c>
      <c r="I3701" s="1" t="n">
        <v>1529.94</v>
      </c>
      <c r="J3701" s="1" t="str">
        <f aca="false">VLOOKUP(B3701,Customers!$A$2:$G$502,6,FALSE())</f>
        <v>Corporate</v>
      </c>
      <c r="K3701" s="1" t="str">
        <f aca="false">VLOOKUP(C3701,Products!$A$2:$E$62,3,FALSE())</f>
        <v>Software</v>
      </c>
      <c r="L3701" s="1" t="str">
        <f aca="false">TEXT(D3701,"yyyy-mm")</f>
        <v>2023-10</v>
      </c>
    </row>
    <row r="3702" customFormat="false" ht="15" hidden="false" customHeight="true" outlineLevel="0" collapsed="false">
      <c r="A3702" s="1" t="n">
        <v>3786</v>
      </c>
      <c r="B3702" s="1" t="n">
        <v>375</v>
      </c>
      <c r="C3702" s="1" t="n">
        <v>29</v>
      </c>
      <c r="D3702" s="1" t="s">
        <v>479</v>
      </c>
      <c r="E3702" s="1" t="n">
        <v>5</v>
      </c>
      <c r="F3702" s="1" t="n">
        <v>54.62</v>
      </c>
      <c r="G3702" s="1" t="n">
        <v>0.05</v>
      </c>
      <c r="H3702" s="1" t="s">
        <v>1336</v>
      </c>
      <c r="I3702" s="1" t="n">
        <v>259.44</v>
      </c>
      <c r="J3702" s="1" t="str">
        <f aca="false">VLOOKUP(B3702,Customers!$A$2:$G$502,6,FALSE())</f>
        <v>Consumer</v>
      </c>
      <c r="K3702" s="1" t="str">
        <f aca="false">VLOOKUP(C3702,Products!$A$2:$E$62,3,FALSE())</f>
        <v>Office Supplies</v>
      </c>
      <c r="L3702" s="1" t="str">
        <f aca="false">TEXT(D3702,"yyyy-mm")</f>
        <v>2024-09</v>
      </c>
    </row>
    <row r="3703" customFormat="false" ht="15" hidden="false" customHeight="true" outlineLevel="0" collapsed="false">
      <c r="A3703" s="1" t="n">
        <v>3788</v>
      </c>
      <c r="B3703" s="1" t="n">
        <v>347</v>
      </c>
      <c r="C3703" s="1" t="n">
        <v>31</v>
      </c>
      <c r="D3703" s="1" t="s">
        <v>408</v>
      </c>
      <c r="E3703" s="1" t="n">
        <v>4</v>
      </c>
      <c r="F3703" s="1" t="n">
        <v>224.86</v>
      </c>
      <c r="G3703" s="1" t="n">
        <v>0.2</v>
      </c>
      <c r="H3703" s="1" t="s">
        <v>1336</v>
      </c>
      <c r="I3703" s="1" t="n">
        <v>719.55</v>
      </c>
      <c r="J3703" s="1" t="str">
        <f aca="false">VLOOKUP(B3703,Customers!$A$2:$G$502,6,FALSE())</f>
        <v>Small Business</v>
      </c>
      <c r="K3703" s="1" t="str">
        <f aca="false">VLOOKUP(C3703,Products!$A$2:$E$62,3,FALSE())</f>
        <v>Office Supplies</v>
      </c>
      <c r="L3703" s="1" t="str">
        <f aca="false">TEXT(D3703,"yyyy-mm")</f>
        <v>2023-02</v>
      </c>
    </row>
    <row r="3704" customFormat="false" ht="15" hidden="false" customHeight="true" outlineLevel="0" collapsed="false">
      <c r="A3704" s="1" t="n">
        <v>3789</v>
      </c>
      <c r="B3704" s="1" t="n">
        <v>7</v>
      </c>
      <c r="C3704" s="1" t="n">
        <v>24</v>
      </c>
      <c r="D3704" s="1" t="s">
        <v>1440</v>
      </c>
      <c r="E3704" s="1" t="n">
        <v>6</v>
      </c>
      <c r="F3704" s="1" t="n">
        <v>207.34</v>
      </c>
      <c r="G3704" s="1" t="n">
        <v>0</v>
      </c>
      <c r="H3704" s="1" t="s">
        <v>1336</v>
      </c>
      <c r="I3704" s="1" t="n">
        <v>1244.04</v>
      </c>
      <c r="J3704" s="1" t="str">
        <f aca="false">VLOOKUP(B3704,Customers!$A$2:$G$502,6,FALSE())</f>
        <v>Small Business</v>
      </c>
      <c r="K3704" s="1" t="str">
        <f aca="false">VLOOKUP(C3704,Products!$A$2:$E$62,3,FALSE())</f>
        <v>Office Supplies</v>
      </c>
      <c r="L3704" s="1" t="str">
        <f aca="false">TEXT(D3704,"yyyy-mm")</f>
        <v>2023-02</v>
      </c>
    </row>
    <row r="3705" customFormat="false" ht="15" hidden="false" customHeight="true" outlineLevel="0" collapsed="false">
      <c r="A3705" s="1" t="n">
        <v>3790</v>
      </c>
      <c r="B3705" s="1" t="n">
        <v>477</v>
      </c>
      <c r="C3705" s="1" t="n">
        <v>41</v>
      </c>
      <c r="D3705" s="1" t="s">
        <v>1671</v>
      </c>
      <c r="E3705" s="1" t="n">
        <v>1</v>
      </c>
      <c r="F3705" s="1" t="n">
        <v>594.54</v>
      </c>
      <c r="G3705" s="1" t="n">
        <v>0.15</v>
      </c>
      <c r="H3705" s="1" t="s">
        <v>1336</v>
      </c>
      <c r="I3705" s="1" t="n">
        <v>505.36</v>
      </c>
      <c r="J3705" s="1" t="str">
        <f aca="false">VLOOKUP(B3705,Customers!$A$2:$G$502,6,FALSE())</f>
        <v>Corporate</v>
      </c>
      <c r="K3705" s="1" t="str">
        <f aca="false">VLOOKUP(C3705,Products!$A$2:$E$62,3,FALSE())</f>
        <v>Software</v>
      </c>
      <c r="L3705" s="1" t="str">
        <f aca="false">TEXT(D3705,"yyyy-mm")</f>
        <v>2023-08</v>
      </c>
    </row>
    <row r="3706" customFormat="false" ht="15" hidden="false" customHeight="true" outlineLevel="0" collapsed="false">
      <c r="A3706" s="1" t="n">
        <v>3791</v>
      </c>
      <c r="B3706" s="1" t="n">
        <v>89</v>
      </c>
      <c r="C3706" s="1" t="n">
        <v>40</v>
      </c>
      <c r="D3706" s="1" t="s">
        <v>1448</v>
      </c>
      <c r="E3706" s="1" t="n">
        <v>4</v>
      </c>
      <c r="F3706" s="1" t="n">
        <v>193.02</v>
      </c>
      <c r="G3706" s="1" t="n">
        <v>0</v>
      </c>
      <c r="H3706" s="1" t="s">
        <v>1346</v>
      </c>
      <c r="I3706" s="1" t="n">
        <v>772.08</v>
      </c>
      <c r="J3706" s="1" t="str">
        <f aca="false">VLOOKUP(B3706,Customers!$A$2:$G$502,6,FALSE())</f>
        <v>Small Business</v>
      </c>
      <c r="K3706" s="1" t="str">
        <f aca="false">VLOOKUP(C3706,Products!$A$2:$E$62,3,FALSE())</f>
        <v>Software</v>
      </c>
      <c r="L3706" s="1" t="str">
        <f aca="false">TEXT(D3706,"yyyy-mm")</f>
        <v>2024-04</v>
      </c>
    </row>
    <row r="3707" customFormat="false" ht="15" hidden="false" customHeight="true" outlineLevel="0" collapsed="false">
      <c r="A3707" s="1" t="n">
        <v>3792</v>
      </c>
      <c r="B3707" s="1" t="n">
        <v>346</v>
      </c>
      <c r="C3707" s="1" t="n">
        <v>45</v>
      </c>
      <c r="D3707" s="1" t="s">
        <v>1471</v>
      </c>
      <c r="E3707" s="1" t="n">
        <v>6</v>
      </c>
      <c r="F3707" s="1" t="n">
        <v>560.01</v>
      </c>
      <c r="G3707" s="1" t="n">
        <v>0.15</v>
      </c>
      <c r="H3707" s="1" t="s">
        <v>1336</v>
      </c>
      <c r="I3707" s="1" t="n">
        <v>2856.05</v>
      </c>
      <c r="J3707" s="1" t="str">
        <f aca="false">VLOOKUP(B3707,Customers!$A$2:$G$502,6,FALSE())</f>
        <v>Consumer</v>
      </c>
      <c r="K3707" s="1" t="str">
        <f aca="false">VLOOKUP(C3707,Products!$A$2:$E$62,3,FALSE())</f>
        <v>Software</v>
      </c>
      <c r="L3707" s="1" t="str">
        <f aca="false">TEXT(D3707,"yyyy-mm")</f>
        <v>2024-10</v>
      </c>
    </row>
    <row r="3708" customFormat="false" ht="15" hidden="false" customHeight="true" outlineLevel="0" collapsed="false">
      <c r="A3708" s="1" t="n">
        <v>3793</v>
      </c>
      <c r="B3708" s="1" t="n">
        <v>165</v>
      </c>
      <c r="C3708" s="1" t="n">
        <v>39</v>
      </c>
      <c r="D3708" s="1" t="s">
        <v>387</v>
      </c>
      <c r="E3708" s="1" t="n">
        <v>9</v>
      </c>
      <c r="F3708" s="1" t="n">
        <v>400.02</v>
      </c>
      <c r="G3708" s="1" t="n">
        <v>0.15</v>
      </c>
      <c r="H3708" s="1" t="s">
        <v>1336</v>
      </c>
      <c r="I3708" s="1" t="n">
        <v>3060.15</v>
      </c>
      <c r="J3708" s="1" t="str">
        <f aca="false">VLOOKUP(B3708,Customers!$A$2:$G$502,6,FALSE())</f>
        <v>Consumer</v>
      </c>
      <c r="K3708" s="1" t="str">
        <f aca="false">VLOOKUP(C3708,Products!$A$2:$E$62,3,FALSE())</f>
        <v>Software</v>
      </c>
      <c r="L3708" s="1" t="str">
        <f aca="false">TEXT(D3708,"yyyy-mm")</f>
        <v>2024-04</v>
      </c>
    </row>
    <row r="3709" customFormat="false" ht="15" hidden="false" customHeight="true" outlineLevel="0" collapsed="false">
      <c r="A3709" s="1" t="n">
        <v>3794</v>
      </c>
      <c r="B3709" s="1" t="n">
        <v>340</v>
      </c>
      <c r="C3709" s="1" t="n">
        <v>44</v>
      </c>
      <c r="D3709" s="1" t="s">
        <v>856</v>
      </c>
      <c r="E3709" s="1" t="n">
        <v>2</v>
      </c>
      <c r="F3709" s="1" t="n">
        <v>508.26</v>
      </c>
      <c r="G3709" s="1" t="n">
        <v>0.1</v>
      </c>
      <c r="H3709" s="1" t="s">
        <v>1336</v>
      </c>
      <c r="I3709" s="1" t="n">
        <v>914.87</v>
      </c>
      <c r="J3709" s="1" t="str">
        <f aca="false">VLOOKUP(B3709,Customers!$A$2:$G$502,6,FALSE())</f>
        <v>Consumer</v>
      </c>
      <c r="K3709" s="1" t="str">
        <f aca="false">VLOOKUP(C3709,Products!$A$2:$E$62,3,FALSE())</f>
        <v>Software</v>
      </c>
      <c r="L3709" s="1" t="str">
        <f aca="false">TEXT(D3709,"yyyy-mm")</f>
        <v>2024-11</v>
      </c>
    </row>
    <row r="3710" customFormat="false" ht="15" hidden="false" customHeight="true" outlineLevel="0" collapsed="false">
      <c r="A3710" s="1" t="n">
        <v>3795</v>
      </c>
      <c r="B3710" s="1" t="n">
        <v>43</v>
      </c>
      <c r="C3710" s="1" t="n">
        <v>26</v>
      </c>
      <c r="D3710" s="1" t="s">
        <v>1604</v>
      </c>
      <c r="E3710" s="1" t="n">
        <v>7</v>
      </c>
      <c r="F3710" s="1" t="n">
        <v>733.85</v>
      </c>
      <c r="G3710" s="1" t="n">
        <v>0</v>
      </c>
      <c r="H3710" s="1" t="s">
        <v>1336</v>
      </c>
      <c r="I3710" s="1" t="n">
        <v>5136.95</v>
      </c>
      <c r="J3710" s="1" t="str">
        <f aca="false">VLOOKUP(B3710,Customers!$A$2:$G$502,6,FALSE())</f>
        <v>Small Business</v>
      </c>
      <c r="K3710" s="1" t="str">
        <f aca="false">VLOOKUP(C3710,Products!$A$2:$E$62,3,FALSE())</f>
        <v>Office Supplies</v>
      </c>
      <c r="L3710" s="1" t="str">
        <f aca="false">TEXT(D3710,"yyyy-mm")</f>
        <v>2023-10</v>
      </c>
    </row>
    <row r="3711" customFormat="false" ht="15" hidden="false" customHeight="true" outlineLevel="0" collapsed="false">
      <c r="A3711" s="1" t="n">
        <v>3796</v>
      </c>
      <c r="B3711" s="1" t="n">
        <v>407</v>
      </c>
      <c r="C3711" s="1" t="n">
        <v>51</v>
      </c>
      <c r="D3711" s="1" t="s">
        <v>856</v>
      </c>
      <c r="E3711" s="1" t="n">
        <v>6</v>
      </c>
      <c r="F3711" s="1" t="n">
        <v>30.16</v>
      </c>
      <c r="G3711" s="1" t="n">
        <v>0.2</v>
      </c>
      <c r="H3711" s="1" t="s">
        <v>1336</v>
      </c>
      <c r="I3711" s="1" t="n">
        <v>144.77</v>
      </c>
      <c r="J3711" s="1" t="str">
        <f aca="false">VLOOKUP(B3711,Customers!$A$2:$G$502,6,FALSE())</f>
        <v>Consumer</v>
      </c>
      <c r="K3711" s="1" t="str">
        <f aca="false">VLOOKUP(C3711,Products!$A$2:$E$62,3,FALSE())</f>
        <v>Software</v>
      </c>
      <c r="L3711" s="1" t="str">
        <f aca="false">TEXT(D3711,"yyyy-mm")</f>
        <v>2024-11</v>
      </c>
    </row>
    <row r="3712" customFormat="false" ht="15" hidden="false" customHeight="true" outlineLevel="0" collapsed="false">
      <c r="A3712" s="1" t="n">
        <v>3797</v>
      </c>
      <c r="B3712" s="1" t="n">
        <v>480</v>
      </c>
      <c r="C3712" s="1" t="n">
        <v>50</v>
      </c>
      <c r="D3712" s="1" t="s">
        <v>1382</v>
      </c>
      <c r="E3712" s="1" t="n">
        <v>2</v>
      </c>
      <c r="F3712" s="1" t="n">
        <v>19.73</v>
      </c>
      <c r="G3712" s="1" t="n">
        <v>0.2</v>
      </c>
      <c r="H3712" s="1" t="s">
        <v>1336</v>
      </c>
      <c r="I3712" s="1" t="n">
        <v>31.57</v>
      </c>
      <c r="J3712" s="1" t="str">
        <f aca="false">VLOOKUP(B3712,Customers!$A$2:$G$502,6,FALSE())</f>
        <v>Unknown</v>
      </c>
      <c r="K3712" s="1" t="str">
        <f aca="false">VLOOKUP(C3712,Products!$A$2:$E$62,3,FALSE())</f>
        <v>Software</v>
      </c>
      <c r="L3712" s="1" t="str">
        <f aca="false">TEXT(D3712,"yyyy-mm")</f>
        <v>2024-09</v>
      </c>
    </row>
    <row r="3713" customFormat="false" ht="15" hidden="false" customHeight="true" outlineLevel="0" collapsed="false">
      <c r="A3713" s="1" t="n">
        <v>3798</v>
      </c>
      <c r="B3713" s="1" t="n">
        <v>380</v>
      </c>
      <c r="C3713" s="1" t="n">
        <v>37</v>
      </c>
      <c r="D3713" s="1" t="s">
        <v>1692</v>
      </c>
      <c r="E3713" s="1" t="n">
        <v>8</v>
      </c>
      <c r="F3713" s="1" t="n">
        <v>13.95</v>
      </c>
      <c r="G3713" s="1" t="n">
        <v>0.1</v>
      </c>
      <c r="H3713" s="1" t="s">
        <v>1336</v>
      </c>
      <c r="I3713" s="1" t="n">
        <v>100.44</v>
      </c>
      <c r="J3713" s="1" t="str">
        <f aca="false">VLOOKUP(B3713,Customers!$A$2:$G$502,6,FALSE())</f>
        <v>Small Business</v>
      </c>
      <c r="K3713" s="1" t="str">
        <f aca="false">VLOOKUP(C3713,Products!$A$2:$E$62,3,FALSE())</f>
        <v>Software</v>
      </c>
      <c r="L3713" s="1" t="str">
        <f aca="false">TEXT(D3713,"yyyy-mm")</f>
        <v>2024-12</v>
      </c>
    </row>
    <row r="3714" customFormat="false" ht="15" hidden="false" customHeight="true" outlineLevel="0" collapsed="false">
      <c r="A3714" s="1" t="n">
        <v>3799</v>
      </c>
      <c r="B3714" s="1" t="n">
        <v>393</v>
      </c>
      <c r="C3714" s="1" t="n">
        <v>59</v>
      </c>
      <c r="D3714" s="1" t="s">
        <v>1696</v>
      </c>
      <c r="E3714" s="1" t="n">
        <v>7</v>
      </c>
      <c r="F3714" s="1" t="n">
        <v>438.89</v>
      </c>
      <c r="G3714" s="1" t="n">
        <v>0.2</v>
      </c>
      <c r="H3714" s="1" t="s">
        <v>1336</v>
      </c>
      <c r="I3714" s="1" t="n">
        <v>2457.78</v>
      </c>
      <c r="J3714" s="1" t="str">
        <f aca="false">VLOOKUP(B3714,Customers!$A$2:$G$502,6,FALSE())</f>
        <v>Consumer</v>
      </c>
      <c r="K3714" s="1" t="str">
        <f aca="false">VLOOKUP(C3714,Products!$A$2:$E$62,3,FALSE())</f>
        <v>Furniture</v>
      </c>
      <c r="L3714" s="1" t="str">
        <f aca="false">TEXT(D3714,"yyyy-mm")</f>
        <v>2023-01</v>
      </c>
    </row>
    <row r="3715" customFormat="false" ht="15" hidden="false" customHeight="true" outlineLevel="0" collapsed="false">
      <c r="A3715" s="1" t="n">
        <v>3800</v>
      </c>
      <c r="B3715" s="1" t="n">
        <v>235</v>
      </c>
      <c r="C3715" s="1" t="n">
        <v>20</v>
      </c>
      <c r="D3715" s="1" t="s">
        <v>1359</v>
      </c>
      <c r="E3715" s="1" t="n">
        <v>5</v>
      </c>
      <c r="F3715" s="1" t="n">
        <v>426.15</v>
      </c>
      <c r="G3715" s="1" t="n">
        <v>0.15</v>
      </c>
      <c r="H3715" s="1" t="s">
        <v>1336</v>
      </c>
      <c r="I3715" s="1" t="n">
        <v>1811.14</v>
      </c>
      <c r="J3715" s="1" t="str">
        <f aca="false">VLOOKUP(B3715,Customers!$A$2:$G$502,6,FALSE())</f>
        <v>Small Business</v>
      </c>
      <c r="K3715" s="1" t="str">
        <f aca="false">VLOOKUP(C3715,Products!$A$2:$E$62,3,FALSE())</f>
        <v>Office Supplies</v>
      </c>
      <c r="L3715" s="1" t="str">
        <f aca="false">TEXT(D3715,"yyyy-mm")</f>
        <v>2024-09</v>
      </c>
    </row>
    <row r="3716" customFormat="false" ht="15" hidden="false" customHeight="true" outlineLevel="0" collapsed="false">
      <c r="A3716" s="1" t="n">
        <v>3801</v>
      </c>
      <c r="B3716" s="1" t="n">
        <v>265</v>
      </c>
      <c r="C3716" s="1" t="n">
        <v>33</v>
      </c>
      <c r="D3716" s="1" t="s">
        <v>34</v>
      </c>
      <c r="E3716" s="1" t="n">
        <v>5</v>
      </c>
      <c r="F3716" s="1" t="n">
        <v>190.1</v>
      </c>
      <c r="G3716" s="1" t="n">
        <v>0</v>
      </c>
      <c r="H3716" s="1" t="s">
        <v>1336</v>
      </c>
      <c r="I3716" s="1" t="n">
        <v>950.5</v>
      </c>
      <c r="J3716" s="1" t="str">
        <f aca="false">VLOOKUP(B3716,Customers!$A$2:$G$502,6,FALSE())</f>
        <v>Corporate</v>
      </c>
      <c r="K3716" s="1" t="str">
        <f aca="false">VLOOKUP(C3716,Products!$A$2:$E$62,3,FALSE())</f>
        <v>Office Supplies</v>
      </c>
      <c r="L3716" s="1" t="str">
        <f aca="false">TEXT(D3716,"yyyy-mm")</f>
        <v>2023-03</v>
      </c>
    </row>
    <row r="3717" customFormat="false" ht="15" hidden="false" customHeight="true" outlineLevel="0" collapsed="false">
      <c r="A3717" s="1" t="n">
        <v>3802</v>
      </c>
      <c r="B3717" s="1" t="n">
        <v>420</v>
      </c>
      <c r="C3717" s="1" t="n">
        <v>52</v>
      </c>
      <c r="D3717" s="1" t="s">
        <v>1619</v>
      </c>
      <c r="E3717" s="1" t="n">
        <v>7</v>
      </c>
      <c r="F3717" s="1" t="n">
        <v>207.67</v>
      </c>
      <c r="G3717" s="1" t="n">
        <v>0.1</v>
      </c>
      <c r="H3717" s="1" t="s">
        <v>1336</v>
      </c>
      <c r="I3717" s="1" t="n">
        <v>1308.32</v>
      </c>
      <c r="J3717" s="1" t="str">
        <f aca="false">VLOOKUP(B3717,Customers!$A$2:$G$502,6,FALSE())</f>
        <v>Small Business</v>
      </c>
      <c r="K3717" s="1" t="str">
        <f aca="false">VLOOKUP(C3717,Products!$A$2:$E$62,3,FALSE())</f>
        <v>Software</v>
      </c>
      <c r="L3717" s="1" t="str">
        <f aca="false">TEXT(D3717,"yyyy-mm")</f>
        <v>2023-12</v>
      </c>
    </row>
    <row r="3718" customFormat="false" ht="15" hidden="false" customHeight="true" outlineLevel="0" collapsed="false">
      <c r="A3718" s="1" t="n">
        <v>3803</v>
      </c>
      <c r="B3718" s="1" t="n">
        <v>131</v>
      </c>
      <c r="C3718" s="1" t="n">
        <v>17</v>
      </c>
      <c r="D3718" s="1" t="s">
        <v>1092</v>
      </c>
      <c r="E3718" s="1" t="n">
        <v>9</v>
      </c>
      <c r="F3718" s="1" t="n">
        <v>65.61</v>
      </c>
      <c r="G3718" s="1" t="n">
        <v>0</v>
      </c>
      <c r="H3718" s="1" t="s">
        <v>1336</v>
      </c>
      <c r="I3718" s="1" t="n">
        <v>590.49</v>
      </c>
      <c r="J3718" s="1" t="str">
        <f aca="false">VLOOKUP(B3718,Customers!$A$2:$G$502,6,FALSE())</f>
        <v>Corporate</v>
      </c>
      <c r="K3718" s="1" t="str">
        <f aca="false">VLOOKUP(C3718,Products!$A$2:$E$62,3,FALSE())</f>
        <v>Electronics</v>
      </c>
      <c r="L3718" s="1" t="str">
        <f aca="false">TEXT(D3718,"yyyy-mm")</f>
        <v>2023-12</v>
      </c>
    </row>
    <row r="3719" customFormat="false" ht="15" hidden="false" customHeight="true" outlineLevel="0" collapsed="false">
      <c r="A3719" s="1" t="n">
        <v>3804</v>
      </c>
      <c r="B3719" s="1" t="n">
        <v>192</v>
      </c>
      <c r="C3719" s="1" t="n">
        <v>49</v>
      </c>
      <c r="D3719" s="1" t="s">
        <v>726</v>
      </c>
      <c r="E3719" s="1" t="n">
        <v>9</v>
      </c>
      <c r="F3719" s="1" t="n">
        <v>325.17</v>
      </c>
      <c r="G3719" s="1" t="n">
        <v>0</v>
      </c>
      <c r="H3719" s="1" t="s">
        <v>1336</v>
      </c>
      <c r="I3719" s="1" t="n">
        <v>2926.53</v>
      </c>
      <c r="J3719" s="1" t="str">
        <f aca="false">VLOOKUP(B3719,Customers!$A$2:$G$502,6,FALSE())</f>
        <v>Corporate</v>
      </c>
      <c r="K3719" s="1" t="str">
        <f aca="false">VLOOKUP(C3719,Products!$A$2:$E$62,3,FALSE())</f>
        <v>Software</v>
      </c>
      <c r="L3719" s="1" t="str">
        <f aca="false">TEXT(D3719,"yyyy-mm")</f>
        <v>2023-09</v>
      </c>
    </row>
    <row r="3720" customFormat="false" ht="15" hidden="false" customHeight="true" outlineLevel="0" collapsed="false">
      <c r="A3720" s="1" t="n">
        <v>3805</v>
      </c>
      <c r="B3720" s="1" t="n">
        <v>60</v>
      </c>
      <c r="C3720" s="1" t="n">
        <v>6</v>
      </c>
      <c r="D3720" s="1" t="s">
        <v>1111</v>
      </c>
      <c r="E3720" s="1" t="n">
        <v>9</v>
      </c>
      <c r="F3720" s="1" t="n">
        <v>28.51</v>
      </c>
      <c r="G3720" s="1" t="n">
        <v>0</v>
      </c>
      <c r="H3720" s="1" t="s">
        <v>1346</v>
      </c>
      <c r="I3720" s="1" t="n">
        <v>256.59</v>
      </c>
      <c r="J3720" s="1" t="str">
        <f aca="false">VLOOKUP(B3720,Customers!$A$2:$G$502,6,FALSE())</f>
        <v>Corporate</v>
      </c>
      <c r="K3720" s="1" t="str">
        <f aca="false">VLOOKUP(C3720,Products!$A$2:$E$62,3,FALSE())</f>
        <v>Electronics</v>
      </c>
      <c r="L3720" s="1" t="str">
        <f aca="false">TEXT(D3720,"yyyy-mm")</f>
        <v>2024-12</v>
      </c>
    </row>
    <row r="3721" customFormat="false" ht="15" hidden="false" customHeight="true" outlineLevel="0" collapsed="false">
      <c r="A3721" s="1" t="n">
        <v>3806</v>
      </c>
      <c r="B3721" s="1" t="n">
        <v>493</v>
      </c>
      <c r="C3721" s="1" t="n">
        <v>35</v>
      </c>
      <c r="D3721" s="1" t="s">
        <v>1694</v>
      </c>
      <c r="E3721" s="1" t="n">
        <v>6</v>
      </c>
      <c r="F3721" s="1" t="n">
        <v>75.78</v>
      </c>
      <c r="G3721" s="1" t="n">
        <v>0.05</v>
      </c>
      <c r="H3721" s="1" t="s">
        <v>1336</v>
      </c>
      <c r="I3721" s="1" t="n">
        <v>431.95</v>
      </c>
      <c r="J3721" s="1" t="str">
        <f aca="false">VLOOKUP(B3721,Customers!$A$2:$G$502,6,FALSE())</f>
        <v>Corporate</v>
      </c>
      <c r="K3721" s="1" t="str">
        <f aca="false">VLOOKUP(C3721,Products!$A$2:$E$62,3,FALSE())</f>
        <v>Software</v>
      </c>
      <c r="L3721" s="1" t="str">
        <f aca="false">TEXT(D3721,"yyyy-mm")</f>
        <v>2023-09</v>
      </c>
    </row>
    <row r="3722" customFormat="false" ht="15" hidden="false" customHeight="true" outlineLevel="0" collapsed="false">
      <c r="A3722" s="1" t="n">
        <v>3807</v>
      </c>
      <c r="B3722" s="1" t="n">
        <v>373</v>
      </c>
      <c r="C3722" s="1" t="n">
        <v>21</v>
      </c>
      <c r="D3722" s="1" t="s">
        <v>64</v>
      </c>
      <c r="E3722" s="1" t="n">
        <v>6</v>
      </c>
      <c r="F3722" s="1" t="n">
        <v>84.91</v>
      </c>
      <c r="G3722" s="1" t="n">
        <v>0</v>
      </c>
      <c r="H3722" s="1" t="s">
        <v>1336</v>
      </c>
      <c r="I3722" s="1" t="n">
        <v>509.46</v>
      </c>
      <c r="J3722" s="1" t="str">
        <f aca="false">VLOOKUP(B3722,Customers!$A$2:$G$502,6,FALSE())</f>
        <v>Corporate</v>
      </c>
      <c r="K3722" s="1" t="str">
        <f aca="false">VLOOKUP(C3722,Products!$A$2:$E$62,3,FALSE())</f>
        <v>Office Supplies</v>
      </c>
      <c r="L3722" s="1" t="str">
        <f aca="false">TEXT(D3722,"yyyy-mm")</f>
        <v>2024-09</v>
      </c>
    </row>
    <row r="3723" customFormat="false" ht="15" hidden="false" customHeight="true" outlineLevel="0" collapsed="false">
      <c r="A3723" s="1" t="n">
        <v>3808</v>
      </c>
      <c r="B3723" s="1" t="n">
        <v>61</v>
      </c>
      <c r="C3723" s="1" t="n">
        <v>33</v>
      </c>
      <c r="D3723" s="1" t="s">
        <v>402</v>
      </c>
      <c r="E3723" s="1" t="n">
        <v>3</v>
      </c>
      <c r="F3723" s="1" t="n">
        <v>190.1</v>
      </c>
      <c r="G3723" s="1" t="n">
        <v>0</v>
      </c>
      <c r="H3723" s="1" t="s">
        <v>1336</v>
      </c>
      <c r="I3723" s="1" t="n">
        <v>570.3</v>
      </c>
      <c r="J3723" s="1" t="str">
        <f aca="false">VLOOKUP(B3723,Customers!$A$2:$G$502,6,FALSE())</f>
        <v>Small Business</v>
      </c>
      <c r="K3723" s="1" t="str">
        <f aca="false">VLOOKUP(C3723,Products!$A$2:$E$62,3,FALSE())</f>
        <v>Office Supplies</v>
      </c>
      <c r="L3723" s="1" t="str">
        <f aca="false">TEXT(D3723,"yyyy-mm")</f>
        <v>2024-11</v>
      </c>
    </row>
    <row r="3724" customFormat="false" ht="15" hidden="false" customHeight="true" outlineLevel="0" collapsed="false">
      <c r="A3724" s="1" t="n">
        <v>3809</v>
      </c>
      <c r="B3724" s="1" t="n">
        <v>141</v>
      </c>
      <c r="C3724" s="1" t="n">
        <v>45</v>
      </c>
      <c r="D3724" s="1" t="s">
        <v>1613</v>
      </c>
      <c r="E3724" s="1" t="n">
        <v>1</v>
      </c>
      <c r="F3724" s="1" t="n">
        <v>560.01</v>
      </c>
      <c r="G3724" s="1" t="n">
        <v>0</v>
      </c>
      <c r="H3724" s="1" t="s">
        <v>1336</v>
      </c>
      <c r="I3724" s="1" t="n">
        <v>560.01</v>
      </c>
      <c r="J3724" s="1" t="str">
        <f aca="false">VLOOKUP(B3724,Customers!$A$2:$G$502,6,FALSE())</f>
        <v>Small Business</v>
      </c>
      <c r="K3724" s="1" t="str">
        <f aca="false">VLOOKUP(C3724,Products!$A$2:$E$62,3,FALSE())</f>
        <v>Software</v>
      </c>
      <c r="L3724" s="1" t="str">
        <f aca="false">TEXT(D3724,"yyyy-mm")</f>
        <v>2024-06</v>
      </c>
    </row>
    <row r="3725" customFormat="false" ht="15" hidden="false" customHeight="true" outlineLevel="0" collapsed="false">
      <c r="A3725" s="1" t="n">
        <v>3810</v>
      </c>
      <c r="B3725" s="1" t="n">
        <v>215</v>
      </c>
      <c r="C3725" s="1" t="n">
        <v>17</v>
      </c>
      <c r="D3725" s="1" t="s">
        <v>368</v>
      </c>
      <c r="E3725" s="1" t="n">
        <v>7</v>
      </c>
      <c r="F3725" s="1" t="n">
        <v>65.61</v>
      </c>
      <c r="G3725" s="1" t="n">
        <v>0</v>
      </c>
      <c r="H3725" s="1" t="s">
        <v>1336</v>
      </c>
      <c r="I3725" s="1" t="n">
        <v>459.27</v>
      </c>
      <c r="J3725" s="1" t="str">
        <f aca="false">VLOOKUP(B3725,Customers!$A$2:$G$502,6,FALSE())</f>
        <v>Corporate</v>
      </c>
      <c r="K3725" s="1" t="str">
        <f aca="false">VLOOKUP(C3725,Products!$A$2:$E$62,3,FALSE())</f>
        <v>Electronics</v>
      </c>
      <c r="L3725" s="1" t="str">
        <f aca="false">TEXT(D3725,"yyyy-mm")</f>
        <v>2023-06</v>
      </c>
    </row>
    <row r="3726" customFormat="false" ht="15" hidden="false" customHeight="true" outlineLevel="0" collapsed="false">
      <c r="A3726" s="1" t="n">
        <v>3811</v>
      </c>
      <c r="B3726" s="1" t="n">
        <v>172</v>
      </c>
      <c r="C3726" s="1" t="n">
        <v>55</v>
      </c>
      <c r="D3726" s="1" t="s">
        <v>1504</v>
      </c>
      <c r="E3726" s="1" t="n">
        <v>4</v>
      </c>
      <c r="F3726" s="1" t="n">
        <v>123.38</v>
      </c>
      <c r="G3726" s="1" t="n">
        <v>0</v>
      </c>
      <c r="H3726" s="1" t="s">
        <v>1336</v>
      </c>
      <c r="I3726" s="1" t="n">
        <v>493.52</v>
      </c>
      <c r="J3726" s="1" t="str">
        <f aca="false">VLOOKUP(B3726,Customers!$A$2:$G$502,6,FALSE())</f>
        <v>Consumer</v>
      </c>
      <c r="K3726" s="1" t="str">
        <f aca="false">VLOOKUP(C3726,Products!$A$2:$E$62,3,FALSE())</f>
        <v>Furniture</v>
      </c>
      <c r="L3726" s="1" t="str">
        <f aca="false">TEXT(D3726,"yyyy-mm")</f>
        <v>2023-12</v>
      </c>
    </row>
    <row r="3727" customFormat="false" ht="15" hidden="false" customHeight="true" outlineLevel="0" collapsed="false">
      <c r="A3727" s="1" t="n">
        <v>3812</v>
      </c>
      <c r="B3727" s="1" t="n">
        <v>475</v>
      </c>
      <c r="C3727" s="1" t="n">
        <v>31</v>
      </c>
      <c r="D3727" s="1" t="s">
        <v>1340</v>
      </c>
      <c r="E3727" s="1" t="n">
        <v>1</v>
      </c>
      <c r="F3727" s="1" t="n">
        <v>224.86</v>
      </c>
      <c r="G3727" s="1" t="n">
        <v>0.2</v>
      </c>
      <c r="H3727" s="1" t="s">
        <v>1336</v>
      </c>
      <c r="I3727" s="1" t="n">
        <v>179.89</v>
      </c>
      <c r="J3727" s="1" t="str">
        <f aca="false">VLOOKUP(B3727,Customers!$A$2:$G$502,6,FALSE())</f>
        <v>Small Business</v>
      </c>
      <c r="K3727" s="1" t="str">
        <f aca="false">VLOOKUP(C3727,Products!$A$2:$E$62,3,FALSE())</f>
        <v>Office Supplies</v>
      </c>
      <c r="L3727" s="1" t="str">
        <f aca="false">TEXT(D3727,"yyyy-mm")</f>
        <v>2024-07</v>
      </c>
    </row>
    <row r="3728" customFormat="false" ht="15" hidden="false" customHeight="true" outlineLevel="0" collapsed="false">
      <c r="A3728" s="1" t="n">
        <v>3813</v>
      </c>
      <c r="B3728" s="1" t="n">
        <v>412</v>
      </c>
      <c r="C3728" s="1" t="n">
        <v>19</v>
      </c>
      <c r="D3728" s="1" t="s">
        <v>1448</v>
      </c>
      <c r="E3728" s="1" t="n">
        <v>8</v>
      </c>
      <c r="F3728" s="1" t="n">
        <v>163.64</v>
      </c>
      <c r="G3728" s="1" t="n">
        <v>0.15</v>
      </c>
      <c r="H3728" s="1" t="s">
        <v>1336</v>
      </c>
      <c r="I3728" s="1" t="n">
        <v>1112.75</v>
      </c>
      <c r="J3728" s="1" t="str">
        <f aca="false">VLOOKUP(B3728,Customers!$A$2:$G$502,6,FALSE())</f>
        <v>Corporate</v>
      </c>
      <c r="K3728" s="1" t="str">
        <f aca="false">VLOOKUP(C3728,Products!$A$2:$E$62,3,FALSE())</f>
        <v>Office Supplies</v>
      </c>
      <c r="L3728" s="1" t="str">
        <f aca="false">TEXT(D3728,"yyyy-mm")</f>
        <v>2024-04</v>
      </c>
    </row>
    <row r="3729" customFormat="false" ht="15" hidden="false" customHeight="true" outlineLevel="0" collapsed="false">
      <c r="A3729" s="1" t="n">
        <v>3814</v>
      </c>
      <c r="B3729" s="1" t="n">
        <v>3</v>
      </c>
      <c r="C3729" s="1" t="n">
        <v>19</v>
      </c>
      <c r="D3729" s="1" t="s">
        <v>1407</v>
      </c>
      <c r="E3729" s="1" t="n">
        <v>6</v>
      </c>
      <c r="F3729" s="1" t="n">
        <v>163.64</v>
      </c>
      <c r="G3729" s="1" t="n">
        <v>0.1</v>
      </c>
      <c r="H3729" s="1" t="s">
        <v>1336</v>
      </c>
      <c r="I3729" s="1" t="n">
        <v>883.66</v>
      </c>
      <c r="J3729" s="1" t="str">
        <f aca="false">VLOOKUP(B3729,Customers!$A$2:$G$502,6,FALSE())</f>
        <v>Corporate</v>
      </c>
      <c r="K3729" s="1" t="str">
        <f aca="false">VLOOKUP(C3729,Products!$A$2:$E$62,3,FALSE())</f>
        <v>Office Supplies</v>
      </c>
      <c r="L3729" s="1" t="str">
        <f aca="false">TEXT(D3729,"yyyy-mm")</f>
        <v>2023-06</v>
      </c>
    </row>
    <row r="3730" customFormat="false" ht="15" hidden="false" customHeight="true" outlineLevel="0" collapsed="false">
      <c r="A3730" s="1" t="n">
        <v>3815</v>
      </c>
      <c r="B3730" s="1" t="n">
        <v>471</v>
      </c>
      <c r="C3730" s="1" t="n">
        <v>17</v>
      </c>
      <c r="D3730" s="1" t="s">
        <v>68</v>
      </c>
      <c r="E3730" s="1" t="n">
        <v>6</v>
      </c>
      <c r="F3730" s="1" t="n">
        <v>65.61</v>
      </c>
      <c r="G3730" s="1" t="n">
        <v>0.05</v>
      </c>
      <c r="H3730" s="1" t="s">
        <v>1370</v>
      </c>
      <c r="I3730" s="1" t="n">
        <v>373.98</v>
      </c>
      <c r="J3730" s="1" t="str">
        <f aca="false">VLOOKUP(B3730,Customers!$A$2:$G$502,6,FALSE())</f>
        <v>Small Business</v>
      </c>
      <c r="K3730" s="1" t="str">
        <f aca="false">VLOOKUP(C3730,Products!$A$2:$E$62,3,FALSE())</f>
        <v>Electronics</v>
      </c>
      <c r="L3730" s="1" t="str">
        <f aca="false">TEXT(D3730,"yyyy-mm")</f>
        <v>2024-11</v>
      </c>
    </row>
    <row r="3731" customFormat="false" ht="15" hidden="false" customHeight="true" outlineLevel="0" collapsed="false">
      <c r="A3731" s="1" t="n">
        <v>3816</v>
      </c>
      <c r="B3731" s="1" t="n">
        <v>235</v>
      </c>
      <c r="C3731" s="1" t="n">
        <v>12</v>
      </c>
      <c r="D3731" s="1" t="s">
        <v>1466</v>
      </c>
      <c r="E3731" s="1" t="n">
        <v>2</v>
      </c>
      <c r="F3731" s="1" t="n">
        <v>179.23</v>
      </c>
      <c r="G3731" s="1" t="n">
        <v>0</v>
      </c>
      <c r="H3731" s="1" t="s">
        <v>1336</v>
      </c>
      <c r="I3731" s="1" t="n">
        <v>358.46</v>
      </c>
      <c r="J3731" s="1" t="str">
        <f aca="false">VLOOKUP(B3731,Customers!$A$2:$G$502,6,FALSE())</f>
        <v>Small Business</v>
      </c>
      <c r="K3731" s="1" t="str">
        <f aca="false">VLOOKUP(C3731,Products!$A$2:$E$62,3,FALSE())</f>
        <v>Electronics</v>
      </c>
      <c r="L3731" s="1" t="str">
        <f aca="false">TEXT(D3731,"yyyy-mm")</f>
        <v>2024-05</v>
      </c>
    </row>
    <row r="3732" customFormat="false" ht="15" hidden="false" customHeight="true" outlineLevel="0" collapsed="false">
      <c r="A3732" s="1" t="n">
        <v>3817</v>
      </c>
      <c r="B3732" s="1" t="n">
        <v>427</v>
      </c>
      <c r="C3732" s="1" t="n">
        <v>58</v>
      </c>
      <c r="D3732" s="1" t="s">
        <v>1078</v>
      </c>
      <c r="E3732" s="1" t="n">
        <v>1</v>
      </c>
      <c r="F3732" s="1" t="n">
        <v>515.55</v>
      </c>
      <c r="G3732" s="1" t="n">
        <v>0.05</v>
      </c>
      <c r="H3732" s="1" t="s">
        <v>1336</v>
      </c>
      <c r="I3732" s="1" t="n">
        <v>489.77</v>
      </c>
      <c r="J3732" s="1" t="str">
        <f aca="false">VLOOKUP(B3732,Customers!$A$2:$G$502,6,FALSE())</f>
        <v>Small Business</v>
      </c>
      <c r="K3732" s="1" t="str">
        <f aca="false">VLOOKUP(C3732,Products!$A$2:$E$62,3,FALSE())</f>
        <v>Furniture</v>
      </c>
      <c r="L3732" s="1" t="str">
        <f aca="false">TEXT(D3732,"yyyy-mm")</f>
        <v>2023-07</v>
      </c>
    </row>
    <row r="3733" customFormat="false" ht="15" hidden="false" customHeight="true" outlineLevel="0" collapsed="false">
      <c r="A3733" s="1" t="n">
        <v>3818</v>
      </c>
      <c r="B3733" s="1" t="n">
        <v>266</v>
      </c>
      <c r="C3733" s="1" t="n">
        <v>42</v>
      </c>
      <c r="D3733" s="1" t="s">
        <v>1661</v>
      </c>
      <c r="E3733" s="1" t="n">
        <v>2</v>
      </c>
      <c r="F3733" s="1" t="n">
        <v>174.48</v>
      </c>
      <c r="G3733" s="1" t="n">
        <v>0.05</v>
      </c>
      <c r="H3733" s="1" t="s">
        <v>1336</v>
      </c>
      <c r="I3733" s="1" t="n">
        <v>331.51</v>
      </c>
      <c r="J3733" s="1" t="str">
        <f aca="false">VLOOKUP(B3733,Customers!$A$2:$G$502,6,FALSE())</f>
        <v>Corporate</v>
      </c>
      <c r="K3733" s="1" t="str">
        <f aca="false">VLOOKUP(C3733,Products!$A$2:$E$62,3,FALSE())</f>
        <v>Software</v>
      </c>
      <c r="L3733" s="1" t="str">
        <f aca="false">TEXT(D3733,"yyyy-mm")</f>
        <v>2024-09</v>
      </c>
    </row>
    <row r="3734" customFormat="false" ht="15" hidden="false" customHeight="true" outlineLevel="0" collapsed="false">
      <c r="A3734" s="1" t="n">
        <v>3819</v>
      </c>
      <c r="B3734" s="1" t="n">
        <v>151</v>
      </c>
      <c r="C3734" s="1" t="n">
        <v>18</v>
      </c>
      <c r="D3734" s="1" t="s">
        <v>1415</v>
      </c>
      <c r="E3734" s="1" t="n">
        <v>4</v>
      </c>
      <c r="F3734" s="1" t="n">
        <v>747.34</v>
      </c>
      <c r="G3734" s="1" t="n">
        <v>0.1</v>
      </c>
      <c r="H3734" s="1" t="s">
        <v>1336</v>
      </c>
      <c r="I3734" s="1" t="n">
        <v>2690.42</v>
      </c>
      <c r="J3734" s="1" t="str">
        <f aca="false">VLOOKUP(B3734,Customers!$A$2:$G$502,6,FALSE())</f>
        <v>Small Business</v>
      </c>
      <c r="K3734" s="1" t="str">
        <f aca="false">VLOOKUP(C3734,Products!$A$2:$E$62,3,FALSE())</f>
        <v>Electronics</v>
      </c>
      <c r="L3734" s="1" t="str">
        <f aca="false">TEXT(D3734,"yyyy-mm")</f>
        <v>2023-12</v>
      </c>
    </row>
    <row r="3735" customFormat="false" ht="15" hidden="false" customHeight="true" outlineLevel="0" collapsed="false">
      <c r="A3735" s="1" t="n">
        <v>3820</v>
      </c>
      <c r="B3735" s="1" t="n">
        <v>143</v>
      </c>
      <c r="C3735" s="1" t="n">
        <v>1</v>
      </c>
      <c r="D3735" s="1" t="s">
        <v>365</v>
      </c>
      <c r="E3735" s="1" t="n">
        <v>2</v>
      </c>
      <c r="F3735" s="1" t="n">
        <v>327.32</v>
      </c>
      <c r="G3735" s="1" t="n">
        <v>0.1</v>
      </c>
      <c r="H3735" s="1" t="s">
        <v>1346</v>
      </c>
      <c r="I3735" s="1" t="n">
        <v>589.18</v>
      </c>
      <c r="J3735" s="1" t="str">
        <f aca="false">VLOOKUP(B3735,Customers!$A$2:$G$502,6,FALSE())</f>
        <v>Small Business</v>
      </c>
      <c r="K3735" s="1" t="str">
        <f aca="false">VLOOKUP(C3735,Products!$A$2:$E$62,3,FALSE())</f>
        <v>Electronics</v>
      </c>
      <c r="L3735" s="1" t="str">
        <f aca="false">TEXT(D3735,"yyyy-mm")</f>
        <v>2023-04</v>
      </c>
    </row>
    <row r="3736" customFormat="false" ht="15" hidden="false" customHeight="true" outlineLevel="0" collapsed="false">
      <c r="A3736" s="1" t="n">
        <v>3821</v>
      </c>
      <c r="B3736" s="1" t="n">
        <v>110</v>
      </c>
      <c r="C3736" s="1" t="n">
        <v>27</v>
      </c>
      <c r="D3736" s="1" t="s">
        <v>1543</v>
      </c>
      <c r="E3736" s="1" t="n">
        <v>1</v>
      </c>
      <c r="F3736" s="1" t="n">
        <v>772.58</v>
      </c>
      <c r="G3736" s="1" t="n">
        <v>0.15</v>
      </c>
      <c r="H3736" s="1" t="s">
        <v>1336</v>
      </c>
      <c r="I3736" s="1" t="n">
        <v>656.69</v>
      </c>
      <c r="J3736" s="1" t="str">
        <f aca="false">VLOOKUP(B3736,Customers!$A$2:$G$502,6,FALSE())</f>
        <v>Corporate</v>
      </c>
      <c r="K3736" s="1" t="str">
        <f aca="false">VLOOKUP(C3736,Products!$A$2:$E$62,3,FALSE())</f>
        <v>Office Supplies</v>
      </c>
      <c r="L3736" s="1" t="str">
        <f aca="false">TEXT(D3736,"yyyy-mm")</f>
        <v>2023-01</v>
      </c>
    </row>
    <row r="3737" customFormat="false" ht="15" hidden="false" customHeight="true" outlineLevel="0" collapsed="false">
      <c r="A3737" s="1" t="n">
        <v>3822</v>
      </c>
      <c r="B3737" s="1" t="n">
        <v>340</v>
      </c>
      <c r="C3737" s="1" t="n">
        <v>5</v>
      </c>
      <c r="D3737" s="1" t="s">
        <v>1513</v>
      </c>
      <c r="E3737" s="1" t="n">
        <v>7</v>
      </c>
      <c r="F3737" s="1" t="n">
        <v>439.06</v>
      </c>
      <c r="G3737" s="1" t="n">
        <v>0.1</v>
      </c>
      <c r="H3737" s="1" t="s">
        <v>1336</v>
      </c>
      <c r="I3737" s="1" t="n">
        <v>2766.08</v>
      </c>
      <c r="J3737" s="1" t="str">
        <f aca="false">VLOOKUP(B3737,Customers!$A$2:$G$502,6,FALSE())</f>
        <v>Consumer</v>
      </c>
      <c r="K3737" s="1" t="str">
        <f aca="false">VLOOKUP(C3737,Products!$A$2:$E$62,3,FALSE())</f>
        <v>Electronics</v>
      </c>
      <c r="L3737" s="1" t="str">
        <f aca="false">TEXT(D3737,"yyyy-mm")</f>
        <v>2024-12</v>
      </c>
    </row>
    <row r="3738" customFormat="false" ht="15" hidden="false" customHeight="true" outlineLevel="0" collapsed="false">
      <c r="A3738" s="1" t="n">
        <v>3823</v>
      </c>
      <c r="B3738" s="1" t="n">
        <v>57</v>
      </c>
      <c r="C3738" s="1" t="n">
        <v>10</v>
      </c>
      <c r="D3738" s="1" t="s">
        <v>1594</v>
      </c>
      <c r="E3738" s="1" t="n">
        <v>8</v>
      </c>
      <c r="F3738" s="1" t="n">
        <v>251.58</v>
      </c>
      <c r="G3738" s="1" t="n">
        <v>0.2</v>
      </c>
      <c r="H3738" s="1" t="s">
        <v>1370</v>
      </c>
      <c r="I3738" s="1" t="n">
        <v>1610.11</v>
      </c>
      <c r="J3738" s="1" t="str">
        <f aca="false">VLOOKUP(B3738,Customers!$A$2:$G$502,6,FALSE())</f>
        <v>Consumer</v>
      </c>
      <c r="K3738" s="1" t="str">
        <f aca="false">VLOOKUP(C3738,Products!$A$2:$E$62,3,FALSE())</f>
        <v>Electronics</v>
      </c>
      <c r="L3738" s="1" t="str">
        <f aca="false">TEXT(D3738,"yyyy-mm")</f>
        <v>2023-10</v>
      </c>
    </row>
    <row r="3739" customFormat="false" ht="15" hidden="false" customHeight="true" outlineLevel="0" collapsed="false">
      <c r="A3739" s="1" t="n">
        <v>3824</v>
      </c>
      <c r="B3739" s="1" t="n">
        <v>217</v>
      </c>
      <c r="C3739" s="1" t="n">
        <v>47</v>
      </c>
      <c r="D3739" s="1" t="s">
        <v>1401</v>
      </c>
      <c r="E3739" s="1" t="n">
        <v>6</v>
      </c>
      <c r="F3739" s="1" t="n">
        <v>506.19</v>
      </c>
      <c r="G3739" s="1" t="n">
        <v>0</v>
      </c>
      <c r="H3739" s="1" t="s">
        <v>1336</v>
      </c>
      <c r="I3739" s="1" t="n">
        <v>3037.14</v>
      </c>
      <c r="J3739" s="1" t="str">
        <f aca="false">VLOOKUP(B3739,Customers!$A$2:$G$502,6,FALSE())</f>
        <v>Consumer</v>
      </c>
      <c r="K3739" s="1" t="str">
        <f aca="false">VLOOKUP(C3739,Products!$A$2:$E$62,3,FALSE())</f>
        <v>Software</v>
      </c>
      <c r="L3739" s="1" t="str">
        <f aca="false">TEXT(D3739,"yyyy-mm")</f>
        <v>2024-11</v>
      </c>
    </row>
    <row r="3740" customFormat="false" ht="15" hidden="false" customHeight="true" outlineLevel="0" collapsed="false">
      <c r="A3740" s="1" t="n">
        <v>3825</v>
      </c>
      <c r="B3740" s="1" t="n">
        <v>284</v>
      </c>
      <c r="C3740" s="1" t="n">
        <v>52</v>
      </c>
      <c r="D3740" s="1" t="s">
        <v>594</v>
      </c>
      <c r="E3740" s="1" t="n">
        <v>4</v>
      </c>
      <c r="F3740" s="1" t="n">
        <v>207.67</v>
      </c>
      <c r="G3740" s="1" t="n">
        <v>0</v>
      </c>
      <c r="H3740" s="1" t="s">
        <v>1336</v>
      </c>
      <c r="I3740" s="1" t="n">
        <v>830.68</v>
      </c>
      <c r="J3740" s="1" t="str">
        <f aca="false">VLOOKUP(B3740,Customers!$A$2:$G$502,6,FALSE())</f>
        <v>Consumer</v>
      </c>
      <c r="K3740" s="1" t="str">
        <f aca="false">VLOOKUP(C3740,Products!$A$2:$E$62,3,FALSE())</f>
        <v>Software</v>
      </c>
      <c r="L3740" s="1" t="str">
        <f aca="false">TEXT(D3740,"yyyy-mm")</f>
        <v>2024-02</v>
      </c>
    </row>
    <row r="3741" customFormat="false" ht="15" hidden="false" customHeight="true" outlineLevel="0" collapsed="false">
      <c r="A3741" s="1" t="n">
        <v>3826</v>
      </c>
      <c r="B3741" s="1" t="n">
        <v>495</v>
      </c>
      <c r="C3741" s="1" t="n">
        <v>52</v>
      </c>
      <c r="D3741" s="1" t="s">
        <v>176</v>
      </c>
      <c r="E3741" s="1" t="n">
        <v>6</v>
      </c>
      <c r="F3741" s="1" t="n">
        <v>207.67</v>
      </c>
      <c r="G3741" s="1" t="n">
        <v>0</v>
      </c>
      <c r="H3741" s="1" t="s">
        <v>1336</v>
      </c>
      <c r="I3741" s="1" t="n">
        <v>1246.02</v>
      </c>
      <c r="J3741" s="1" t="str">
        <f aca="false">VLOOKUP(B3741,Customers!$A$2:$G$502,6,FALSE())</f>
        <v>Small Business</v>
      </c>
      <c r="K3741" s="1" t="str">
        <f aca="false">VLOOKUP(C3741,Products!$A$2:$E$62,3,FALSE())</f>
        <v>Software</v>
      </c>
      <c r="L3741" s="1" t="str">
        <f aca="false">TEXT(D3741,"yyyy-mm")</f>
        <v>2024-04</v>
      </c>
    </row>
    <row r="3742" customFormat="false" ht="15" hidden="false" customHeight="true" outlineLevel="0" collapsed="false">
      <c r="A3742" s="1" t="n">
        <v>3827</v>
      </c>
      <c r="B3742" s="1" t="n">
        <v>162</v>
      </c>
      <c r="C3742" s="1" t="n">
        <v>15</v>
      </c>
      <c r="D3742" s="1" t="s">
        <v>29</v>
      </c>
      <c r="E3742" s="1" t="n">
        <v>3</v>
      </c>
      <c r="F3742" s="1" t="n">
        <v>304.95</v>
      </c>
      <c r="G3742" s="1" t="n">
        <v>0.05</v>
      </c>
      <c r="H3742" s="1" t="s">
        <v>1336</v>
      </c>
      <c r="I3742" s="1" t="n">
        <v>869.11</v>
      </c>
      <c r="J3742" s="1" t="str">
        <f aca="false">VLOOKUP(B3742,Customers!$A$2:$G$502,6,FALSE())</f>
        <v>Small Business</v>
      </c>
      <c r="K3742" s="1" t="str">
        <f aca="false">VLOOKUP(C3742,Products!$A$2:$E$62,3,FALSE())</f>
        <v>Electronics</v>
      </c>
      <c r="L3742" s="1" t="str">
        <f aca="false">TEXT(D3742,"yyyy-mm")</f>
        <v>2023-04</v>
      </c>
    </row>
    <row r="3743" customFormat="false" ht="15" hidden="false" customHeight="true" outlineLevel="0" collapsed="false">
      <c r="A3743" s="1" t="n">
        <v>3828</v>
      </c>
      <c r="B3743" s="1" t="n">
        <v>124</v>
      </c>
      <c r="C3743" s="1" t="n">
        <v>16</v>
      </c>
      <c r="D3743" s="1" t="s">
        <v>742</v>
      </c>
      <c r="E3743" s="1" t="n">
        <v>8</v>
      </c>
      <c r="F3743" s="1" t="n">
        <v>330.91</v>
      </c>
      <c r="G3743" s="1" t="n">
        <v>0</v>
      </c>
      <c r="H3743" s="1" t="s">
        <v>1336</v>
      </c>
      <c r="I3743" s="1" t="n">
        <v>2647.28</v>
      </c>
      <c r="J3743" s="1" t="str">
        <f aca="false">VLOOKUP(B3743,Customers!$A$2:$G$502,6,FALSE())</f>
        <v>Small Business</v>
      </c>
      <c r="K3743" s="1" t="str">
        <f aca="false">VLOOKUP(C3743,Products!$A$2:$E$62,3,FALSE())</f>
        <v>Electronics</v>
      </c>
      <c r="L3743" s="1" t="str">
        <f aca="false">TEXT(D3743,"yyyy-mm")</f>
        <v>2023-02</v>
      </c>
    </row>
    <row r="3744" customFormat="false" ht="15" hidden="false" customHeight="true" outlineLevel="0" collapsed="false">
      <c r="A3744" s="1" t="n">
        <v>3829</v>
      </c>
      <c r="B3744" s="1" t="n">
        <v>334</v>
      </c>
      <c r="C3744" s="1" t="n">
        <v>46</v>
      </c>
      <c r="D3744" s="1" t="s">
        <v>1348</v>
      </c>
      <c r="E3744" s="1" t="n">
        <v>2</v>
      </c>
      <c r="F3744" s="1" t="n">
        <v>94.92</v>
      </c>
      <c r="G3744" s="1" t="n">
        <v>0</v>
      </c>
      <c r="H3744" s="1" t="s">
        <v>1336</v>
      </c>
      <c r="I3744" s="1" t="n">
        <v>189.84</v>
      </c>
      <c r="J3744" s="1" t="str">
        <f aca="false">VLOOKUP(B3744,Customers!$A$2:$G$502,6,FALSE())</f>
        <v>Unknown</v>
      </c>
      <c r="K3744" s="1" t="str">
        <f aca="false">VLOOKUP(C3744,Products!$A$2:$E$62,3,FALSE())</f>
        <v>Software</v>
      </c>
      <c r="L3744" s="1" t="str">
        <f aca="false">TEXT(D3744,"yyyy-mm")</f>
        <v>2024-05</v>
      </c>
    </row>
    <row r="3745" customFormat="false" ht="15" hidden="false" customHeight="true" outlineLevel="0" collapsed="false">
      <c r="A3745" s="1" t="n">
        <v>3830</v>
      </c>
      <c r="B3745" s="1" t="n">
        <v>447</v>
      </c>
      <c r="C3745" s="1" t="n">
        <v>56</v>
      </c>
      <c r="D3745" s="1" t="s">
        <v>810</v>
      </c>
      <c r="E3745" s="1" t="n">
        <v>5</v>
      </c>
      <c r="F3745" s="1" t="n">
        <v>160.64</v>
      </c>
      <c r="G3745" s="1" t="n">
        <v>0.05</v>
      </c>
      <c r="H3745" s="1" t="s">
        <v>1336</v>
      </c>
      <c r="I3745" s="1" t="n">
        <v>763.04</v>
      </c>
      <c r="J3745" s="1" t="str">
        <f aca="false">VLOOKUP(B3745,Customers!$A$2:$G$502,6,FALSE())</f>
        <v>Small Business</v>
      </c>
      <c r="K3745" s="1" t="str">
        <f aca="false">VLOOKUP(C3745,Products!$A$2:$E$62,3,FALSE())</f>
        <v>Furniture</v>
      </c>
      <c r="L3745" s="1" t="str">
        <f aca="false">TEXT(D3745,"yyyy-mm")</f>
        <v>2023-12</v>
      </c>
    </row>
    <row r="3746" customFormat="false" ht="15" hidden="false" customHeight="true" outlineLevel="0" collapsed="false">
      <c r="A3746" s="1" t="n">
        <v>3831</v>
      </c>
      <c r="B3746" s="1" t="n">
        <v>40</v>
      </c>
      <c r="C3746" s="1" t="n">
        <v>14</v>
      </c>
      <c r="D3746" s="1" t="s">
        <v>1351</v>
      </c>
      <c r="E3746" s="1" t="n">
        <v>1</v>
      </c>
      <c r="F3746" s="1" t="n">
        <v>135.27</v>
      </c>
      <c r="G3746" s="1" t="n">
        <v>0.15</v>
      </c>
      <c r="H3746" s="1" t="s">
        <v>1336</v>
      </c>
      <c r="I3746" s="1" t="n">
        <v>114.98</v>
      </c>
      <c r="J3746" s="1" t="str">
        <f aca="false">VLOOKUP(B3746,Customers!$A$2:$G$502,6,FALSE())</f>
        <v>Consumer</v>
      </c>
      <c r="K3746" s="1" t="str">
        <f aca="false">VLOOKUP(C3746,Products!$A$2:$E$62,3,FALSE())</f>
        <v>Electronics</v>
      </c>
      <c r="L3746" s="1" t="str">
        <f aca="false">TEXT(D3746,"yyyy-mm")</f>
        <v>2024-07</v>
      </c>
    </row>
    <row r="3747" customFormat="false" ht="15" hidden="false" customHeight="true" outlineLevel="0" collapsed="false">
      <c r="A3747" s="1" t="n">
        <v>3832</v>
      </c>
      <c r="B3747" s="1" t="n">
        <v>277</v>
      </c>
      <c r="C3747" s="1" t="n">
        <v>49</v>
      </c>
      <c r="D3747" s="1" t="s">
        <v>1569</v>
      </c>
      <c r="E3747" s="1" t="n">
        <v>6</v>
      </c>
      <c r="F3747" s="1" t="n">
        <v>325.17</v>
      </c>
      <c r="G3747" s="1" t="n">
        <v>0.05</v>
      </c>
      <c r="H3747" s="1" t="s">
        <v>1336</v>
      </c>
      <c r="I3747" s="1" t="n">
        <v>1853.47</v>
      </c>
      <c r="J3747" s="1" t="str">
        <f aca="false">VLOOKUP(B3747,Customers!$A$2:$G$502,6,FALSE())</f>
        <v>Corporate</v>
      </c>
      <c r="K3747" s="1" t="str">
        <f aca="false">VLOOKUP(C3747,Products!$A$2:$E$62,3,FALSE())</f>
        <v>Software</v>
      </c>
      <c r="L3747" s="1" t="str">
        <f aca="false">TEXT(D3747,"yyyy-mm")</f>
        <v>2023-02</v>
      </c>
    </row>
    <row r="3748" customFormat="false" ht="15" hidden="false" customHeight="true" outlineLevel="0" collapsed="false">
      <c r="A3748" s="1" t="n">
        <v>3833</v>
      </c>
      <c r="B3748" s="1" t="n">
        <v>442</v>
      </c>
      <c r="C3748" s="1" t="n">
        <v>33</v>
      </c>
      <c r="D3748" s="1" t="s">
        <v>1504</v>
      </c>
      <c r="E3748" s="1" t="n">
        <v>2</v>
      </c>
      <c r="F3748" s="1" t="n">
        <v>190.1</v>
      </c>
      <c r="G3748" s="1" t="n">
        <v>0.1</v>
      </c>
      <c r="H3748" s="1" t="s">
        <v>1336</v>
      </c>
      <c r="I3748" s="1" t="n">
        <v>342.18</v>
      </c>
      <c r="J3748" s="1" t="str">
        <f aca="false">VLOOKUP(B3748,Customers!$A$2:$G$502,6,FALSE())</f>
        <v>Small Business</v>
      </c>
      <c r="K3748" s="1" t="str">
        <f aca="false">VLOOKUP(C3748,Products!$A$2:$E$62,3,FALSE())</f>
        <v>Office Supplies</v>
      </c>
      <c r="L3748" s="1" t="str">
        <f aca="false">TEXT(D3748,"yyyy-mm")</f>
        <v>2023-12</v>
      </c>
    </row>
    <row r="3749" customFormat="false" ht="15" hidden="false" customHeight="true" outlineLevel="0" collapsed="false">
      <c r="A3749" s="1" t="n">
        <v>3834</v>
      </c>
      <c r="B3749" s="1" t="n">
        <v>152</v>
      </c>
      <c r="C3749" s="1" t="n">
        <v>6</v>
      </c>
      <c r="D3749" s="1" t="s">
        <v>989</v>
      </c>
      <c r="E3749" s="1" t="n">
        <v>4</v>
      </c>
      <c r="F3749" s="1" t="n">
        <v>28.51</v>
      </c>
      <c r="G3749" s="1" t="n">
        <v>0</v>
      </c>
      <c r="H3749" s="1" t="s">
        <v>1336</v>
      </c>
      <c r="I3749" s="1" t="n">
        <v>114.04</v>
      </c>
      <c r="J3749" s="1" t="str">
        <f aca="false">VLOOKUP(B3749,Customers!$A$2:$G$502,6,FALSE())</f>
        <v>Corporate</v>
      </c>
      <c r="K3749" s="1" t="str">
        <f aca="false">VLOOKUP(C3749,Products!$A$2:$E$62,3,FALSE())</f>
        <v>Electronics</v>
      </c>
      <c r="L3749" s="1" t="str">
        <f aca="false">TEXT(D3749,"yyyy-mm")</f>
        <v>2024-06</v>
      </c>
    </row>
    <row r="3750" customFormat="false" ht="15" hidden="false" customHeight="true" outlineLevel="0" collapsed="false">
      <c r="A3750" s="1" t="n">
        <v>3835</v>
      </c>
      <c r="B3750" s="1" t="n">
        <v>72</v>
      </c>
      <c r="C3750" s="1" t="n">
        <v>5</v>
      </c>
      <c r="D3750" s="1" t="s">
        <v>1398</v>
      </c>
      <c r="E3750" s="1" t="n">
        <v>6</v>
      </c>
      <c r="F3750" s="1" t="n">
        <v>439.06</v>
      </c>
      <c r="G3750" s="1" t="n">
        <v>0.15</v>
      </c>
      <c r="H3750" s="1" t="s">
        <v>1336</v>
      </c>
      <c r="I3750" s="1" t="n">
        <v>2239.21</v>
      </c>
      <c r="J3750" s="1" t="str">
        <f aca="false">VLOOKUP(B3750,Customers!$A$2:$G$502,6,FALSE())</f>
        <v>Corporate</v>
      </c>
      <c r="K3750" s="1" t="str">
        <f aca="false">VLOOKUP(C3750,Products!$A$2:$E$62,3,FALSE())</f>
        <v>Electronics</v>
      </c>
      <c r="L3750" s="1" t="str">
        <f aca="false">TEXT(D3750,"yyyy-mm")</f>
        <v>2023-06</v>
      </c>
    </row>
    <row r="3751" customFormat="false" ht="15" hidden="false" customHeight="true" outlineLevel="0" collapsed="false">
      <c r="A3751" s="1" t="n">
        <v>3836</v>
      </c>
      <c r="B3751" s="1" t="n">
        <v>474</v>
      </c>
      <c r="C3751" s="1" t="n">
        <v>21</v>
      </c>
      <c r="D3751" s="1" t="s">
        <v>1669</v>
      </c>
      <c r="E3751" s="1" t="n">
        <v>8</v>
      </c>
      <c r="F3751" s="1" t="n">
        <v>84.91</v>
      </c>
      <c r="G3751" s="1" t="n">
        <v>0</v>
      </c>
      <c r="H3751" s="1" t="s">
        <v>1336</v>
      </c>
      <c r="I3751" s="1" t="n">
        <v>679.28</v>
      </c>
      <c r="J3751" s="1" t="str">
        <f aca="false">VLOOKUP(B3751,Customers!$A$2:$G$502,6,FALSE())</f>
        <v>Consumer</v>
      </c>
      <c r="K3751" s="1" t="str">
        <f aca="false">VLOOKUP(C3751,Products!$A$2:$E$62,3,FALSE())</f>
        <v>Office Supplies</v>
      </c>
      <c r="L3751" s="1" t="str">
        <f aca="false">TEXT(D3751,"yyyy-mm")</f>
        <v>2024-09</v>
      </c>
    </row>
    <row r="3752" customFormat="false" ht="15" hidden="false" customHeight="true" outlineLevel="0" collapsed="false">
      <c r="A3752" s="1" t="n">
        <v>3837</v>
      </c>
      <c r="B3752" s="1" t="n">
        <v>90</v>
      </c>
      <c r="C3752" s="1" t="n">
        <v>35</v>
      </c>
      <c r="D3752" s="1" t="s">
        <v>458</v>
      </c>
      <c r="E3752" s="1" t="n">
        <v>8</v>
      </c>
      <c r="F3752" s="1" t="n">
        <v>75.78</v>
      </c>
      <c r="G3752" s="1" t="n">
        <v>0</v>
      </c>
      <c r="H3752" s="1" t="s">
        <v>1370</v>
      </c>
      <c r="I3752" s="1" t="n">
        <v>606.24</v>
      </c>
      <c r="J3752" s="1" t="str">
        <f aca="false">VLOOKUP(B3752,Customers!$A$2:$G$502,6,FALSE())</f>
        <v>Consumer</v>
      </c>
      <c r="K3752" s="1" t="str">
        <f aca="false">VLOOKUP(C3752,Products!$A$2:$E$62,3,FALSE())</f>
        <v>Software</v>
      </c>
      <c r="L3752" s="1" t="str">
        <f aca="false">TEXT(D3752,"yyyy-mm")</f>
        <v>2024-05</v>
      </c>
    </row>
    <row r="3753" customFormat="false" ht="15" hidden="false" customHeight="true" outlineLevel="0" collapsed="false">
      <c r="A3753" s="1" t="n">
        <v>3838</v>
      </c>
      <c r="B3753" s="1" t="n">
        <v>19</v>
      </c>
      <c r="C3753" s="1" t="n">
        <v>22</v>
      </c>
      <c r="D3753" s="1" t="s">
        <v>565</v>
      </c>
      <c r="E3753" s="1" t="n">
        <v>6</v>
      </c>
      <c r="F3753" s="1" t="n">
        <v>38.57</v>
      </c>
      <c r="G3753" s="1" t="n">
        <v>0</v>
      </c>
      <c r="H3753" s="1" t="s">
        <v>1336</v>
      </c>
      <c r="I3753" s="1" t="n">
        <v>231.42</v>
      </c>
      <c r="J3753" s="1" t="str">
        <f aca="false">VLOOKUP(B3753,Customers!$A$2:$G$502,6,FALSE())</f>
        <v>Consumer</v>
      </c>
      <c r="K3753" s="1" t="str">
        <f aca="false">VLOOKUP(C3753,Products!$A$2:$E$62,3,FALSE())</f>
        <v>Office Supplies</v>
      </c>
      <c r="L3753" s="1" t="str">
        <f aca="false">TEXT(D3753,"yyyy-mm")</f>
        <v>2023-06</v>
      </c>
    </row>
    <row r="3754" customFormat="false" ht="15" hidden="false" customHeight="true" outlineLevel="0" collapsed="false">
      <c r="A3754" s="1" t="n">
        <v>3839</v>
      </c>
      <c r="B3754" s="1" t="n">
        <v>316</v>
      </c>
      <c r="C3754" s="1" t="n">
        <v>35</v>
      </c>
      <c r="D3754" s="1" t="s">
        <v>1670</v>
      </c>
      <c r="E3754" s="1" t="n">
        <v>4</v>
      </c>
      <c r="F3754" s="1" t="n">
        <v>75.78</v>
      </c>
      <c r="G3754" s="1" t="n">
        <v>0.2</v>
      </c>
      <c r="H3754" s="1" t="s">
        <v>1346</v>
      </c>
      <c r="I3754" s="1" t="n">
        <v>242.5</v>
      </c>
      <c r="J3754" s="1" t="str">
        <f aca="false">VLOOKUP(B3754,Customers!$A$2:$G$502,6,FALSE())</f>
        <v>Small Business</v>
      </c>
      <c r="K3754" s="1" t="str">
        <f aca="false">VLOOKUP(C3754,Products!$A$2:$E$62,3,FALSE())</f>
        <v>Software</v>
      </c>
      <c r="L3754" s="1" t="str">
        <f aca="false">TEXT(D3754,"yyyy-mm")</f>
        <v>2024-07</v>
      </c>
    </row>
    <row r="3755" customFormat="false" ht="15" hidden="false" customHeight="true" outlineLevel="0" collapsed="false">
      <c r="A3755" s="1" t="n">
        <v>3840</v>
      </c>
      <c r="B3755" s="1" t="n">
        <v>108</v>
      </c>
      <c r="C3755" s="1" t="n">
        <v>48</v>
      </c>
      <c r="D3755" s="1" t="s">
        <v>1607</v>
      </c>
      <c r="E3755" s="1" t="n">
        <v>8</v>
      </c>
      <c r="F3755" s="1" t="n">
        <v>493.53</v>
      </c>
      <c r="G3755" s="1" t="n">
        <v>0</v>
      </c>
      <c r="H3755" s="1" t="s">
        <v>1336</v>
      </c>
      <c r="I3755" s="1" t="n">
        <v>3948.24</v>
      </c>
      <c r="J3755" s="1" t="str">
        <f aca="false">VLOOKUP(B3755,Customers!$A$2:$G$502,6,FALSE())</f>
        <v>Consumer</v>
      </c>
      <c r="K3755" s="1" t="str">
        <f aca="false">VLOOKUP(C3755,Products!$A$2:$E$62,3,FALSE())</f>
        <v>Software</v>
      </c>
      <c r="L3755" s="1" t="str">
        <f aca="false">TEXT(D3755,"yyyy-mm")</f>
        <v>2023-06</v>
      </c>
    </row>
    <row r="3756" customFormat="false" ht="15" hidden="false" customHeight="true" outlineLevel="0" collapsed="false">
      <c r="A3756" s="1" t="n">
        <v>3841</v>
      </c>
      <c r="B3756" s="1" t="n">
        <v>151</v>
      </c>
      <c r="C3756" s="1" t="n">
        <v>9</v>
      </c>
      <c r="D3756" s="1" t="s">
        <v>191</v>
      </c>
      <c r="E3756" s="1" t="n">
        <v>8</v>
      </c>
      <c r="F3756" s="1" t="n">
        <v>203.1</v>
      </c>
      <c r="G3756" s="1" t="n">
        <v>0.2</v>
      </c>
      <c r="H3756" s="1" t="s">
        <v>1336</v>
      </c>
      <c r="I3756" s="1" t="n">
        <v>1299.84</v>
      </c>
      <c r="J3756" s="1" t="str">
        <f aca="false">VLOOKUP(B3756,Customers!$A$2:$G$502,6,FALSE())</f>
        <v>Small Business</v>
      </c>
      <c r="K3756" s="1" t="str">
        <f aca="false">VLOOKUP(C3756,Products!$A$2:$E$62,3,FALSE())</f>
        <v>Electronics</v>
      </c>
      <c r="L3756" s="1" t="str">
        <f aca="false">TEXT(D3756,"yyyy-mm")</f>
        <v>2024-03</v>
      </c>
    </row>
    <row r="3757" customFormat="false" ht="15" hidden="false" customHeight="true" outlineLevel="0" collapsed="false">
      <c r="A3757" s="1" t="n">
        <v>3842</v>
      </c>
      <c r="B3757" s="1" t="n">
        <v>360</v>
      </c>
      <c r="C3757" s="1" t="n">
        <v>43</v>
      </c>
      <c r="D3757" s="1" t="s">
        <v>464</v>
      </c>
      <c r="E3757" s="1" t="n">
        <v>1</v>
      </c>
      <c r="F3757" s="1" t="n">
        <v>186.31</v>
      </c>
      <c r="G3757" s="1" t="n">
        <v>0</v>
      </c>
      <c r="H3757" s="1" t="s">
        <v>1336</v>
      </c>
      <c r="I3757" s="1" t="n">
        <v>186.31</v>
      </c>
      <c r="J3757" s="1" t="str">
        <f aca="false">VLOOKUP(B3757,Customers!$A$2:$G$502,6,FALSE())</f>
        <v>Corporate</v>
      </c>
      <c r="K3757" s="1" t="str">
        <f aca="false">VLOOKUP(C3757,Products!$A$2:$E$62,3,FALSE())</f>
        <v>Software</v>
      </c>
      <c r="L3757" s="1" t="str">
        <f aca="false">TEXT(D3757,"yyyy-mm")</f>
        <v>2023-12</v>
      </c>
    </row>
    <row r="3758" customFormat="false" ht="15" hidden="false" customHeight="true" outlineLevel="0" collapsed="false">
      <c r="A3758" s="1" t="n">
        <v>3843</v>
      </c>
      <c r="B3758" s="1" t="n">
        <v>370</v>
      </c>
      <c r="C3758" s="1" t="n">
        <v>16</v>
      </c>
      <c r="D3758" s="1" t="s">
        <v>1285</v>
      </c>
      <c r="E3758" s="1" t="n">
        <v>4</v>
      </c>
      <c r="F3758" s="1" t="n">
        <v>330.91</v>
      </c>
      <c r="G3758" s="1" t="n">
        <v>0</v>
      </c>
      <c r="H3758" s="1" t="s">
        <v>1336</v>
      </c>
      <c r="I3758" s="1" t="n">
        <v>1323.64</v>
      </c>
      <c r="J3758" s="1" t="str">
        <f aca="false">VLOOKUP(B3758,Customers!$A$2:$G$502,6,FALSE())</f>
        <v>Small Business</v>
      </c>
      <c r="K3758" s="1" t="str">
        <f aca="false">VLOOKUP(C3758,Products!$A$2:$E$62,3,FALSE())</f>
        <v>Electronics</v>
      </c>
      <c r="L3758" s="1" t="str">
        <f aca="false">TEXT(D3758,"yyyy-mm")</f>
        <v>2023-06</v>
      </c>
    </row>
    <row r="3759" customFormat="false" ht="15" hidden="false" customHeight="true" outlineLevel="0" collapsed="false">
      <c r="A3759" s="1" t="n">
        <v>3844</v>
      </c>
      <c r="B3759" s="1" t="n">
        <v>138</v>
      </c>
      <c r="C3759" s="1" t="n">
        <v>29</v>
      </c>
      <c r="D3759" s="1" t="s">
        <v>1247</v>
      </c>
      <c r="E3759" s="1" t="n">
        <v>4</v>
      </c>
      <c r="F3759" s="1" t="n">
        <v>54.62</v>
      </c>
      <c r="G3759" s="1" t="n">
        <v>0.15</v>
      </c>
      <c r="H3759" s="1" t="s">
        <v>1336</v>
      </c>
      <c r="I3759" s="1" t="n">
        <v>185.71</v>
      </c>
      <c r="J3759" s="1" t="str">
        <f aca="false">VLOOKUP(B3759,Customers!$A$2:$G$502,6,FALSE())</f>
        <v>Consumer</v>
      </c>
      <c r="K3759" s="1" t="str">
        <f aca="false">VLOOKUP(C3759,Products!$A$2:$E$62,3,FALSE())</f>
        <v>Office Supplies</v>
      </c>
      <c r="L3759" s="1" t="str">
        <f aca="false">TEXT(D3759,"yyyy-mm")</f>
        <v>2023-03</v>
      </c>
    </row>
    <row r="3760" customFormat="false" ht="15" hidden="false" customHeight="true" outlineLevel="0" collapsed="false">
      <c r="A3760" s="1" t="n">
        <v>3845</v>
      </c>
      <c r="B3760" s="1" t="n">
        <v>137</v>
      </c>
      <c r="C3760" s="1" t="n">
        <v>41</v>
      </c>
      <c r="D3760" s="1" t="s">
        <v>1602</v>
      </c>
      <c r="E3760" s="1" t="n">
        <v>7</v>
      </c>
      <c r="F3760" s="1" t="n">
        <v>594.54</v>
      </c>
      <c r="G3760" s="1" t="n">
        <v>0</v>
      </c>
      <c r="H3760" s="1" t="s">
        <v>1336</v>
      </c>
      <c r="I3760" s="1" t="n">
        <v>4161.78</v>
      </c>
      <c r="J3760" s="1" t="str">
        <f aca="false">VLOOKUP(B3760,Customers!$A$2:$G$502,6,FALSE())</f>
        <v>Consumer</v>
      </c>
      <c r="K3760" s="1" t="str">
        <f aca="false">VLOOKUP(C3760,Products!$A$2:$E$62,3,FALSE())</f>
        <v>Software</v>
      </c>
      <c r="L3760" s="1" t="str">
        <f aca="false">TEXT(D3760,"yyyy-mm")</f>
        <v>2024-10</v>
      </c>
    </row>
    <row r="3761" customFormat="false" ht="15" hidden="false" customHeight="true" outlineLevel="0" collapsed="false">
      <c r="A3761" s="1" t="n">
        <v>3846</v>
      </c>
      <c r="B3761" s="1" t="n">
        <v>189</v>
      </c>
      <c r="C3761" s="1" t="n">
        <v>31</v>
      </c>
      <c r="D3761" s="1" t="s">
        <v>94</v>
      </c>
      <c r="E3761" s="1" t="n">
        <v>7</v>
      </c>
      <c r="F3761" s="1" t="n">
        <v>224.86</v>
      </c>
      <c r="G3761" s="1" t="n">
        <v>0</v>
      </c>
      <c r="H3761" s="1" t="s">
        <v>1346</v>
      </c>
      <c r="I3761" s="1" t="n">
        <v>1574.02</v>
      </c>
      <c r="J3761" s="1" t="str">
        <f aca="false">VLOOKUP(B3761,Customers!$A$2:$G$502,6,FALSE())</f>
        <v>Small Business</v>
      </c>
      <c r="K3761" s="1" t="str">
        <f aca="false">VLOOKUP(C3761,Products!$A$2:$E$62,3,FALSE())</f>
        <v>Office Supplies</v>
      </c>
      <c r="L3761" s="1" t="str">
        <f aca="false">TEXT(D3761,"yyyy-mm")</f>
        <v>2023-09</v>
      </c>
    </row>
    <row r="3762" customFormat="false" ht="15" hidden="false" customHeight="true" outlineLevel="0" collapsed="false">
      <c r="A3762" s="1" t="n">
        <v>3847</v>
      </c>
      <c r="B3762" s="1" t="n">
        <v>412</v>
      </c>
      <c r="C3762" s="1" t="n">
        <v>55</v>
      </c>
      <c r="D3762" s="1" t="s">
        <v>919</v>
      </c>
      <c r="E3762" s="1" t="n">
        <v>8</v>
      </c>
      <c r="F3762" s="1" t="n">
        <v>123.38</v>
      </c>
      <c r="G3762" s="1" t="n">
        <v>0.05</v>
      </c>
      <c r="H3762" s="1" t="s">
        <v>1336</v>
      </c>
      <c r="I3762" s="1" t="n">
        <v>937.69</v>
      </c>
      <c r="J3762" s="1" t="str">
        <f aca="false">VLOOKUP(B3762,Customers!$A$2:$G$502,6,FALSE())</f>
        <v>Corporate</v>
      </c>
      <c r="K3762" s="1" t="str">
        <f aca="false">VLOOKUP(C3762,Products!$A$2:$E$62,3,FALSE())</f>
        <v>Furniture</v>
      </c>
      <c r="L3762" s="1" t="str">
        <f aca="false">TEXT(D3762,"yyyy-mm")</f>
        <v>2024-04</v>
      </c>
    </row>
    <row r="3763" customFormat="false" ht="15" hidden="false" customHeight="true" outlineLevel="0" collapsed="false">
      <c r="A3763" s="1" t="n">
        <v>3848</v>
      </c>
      <c r="B3763" s="1" t="n">
        <v>174</v>
      </c>
      <c r="C3763" s="1" t="n">
        <v>34</v>
      </c>
      <c r="D3763" s="1" t="s">
        <v>1480</v>
      </c>
      <c r="E3763" s="1" t="n">
        <v>5</v>
      </c>
      <c r="F3763" s="1" t="n">
        <v>116.85</v>
      </c>
      <c r="G3763" s="1" t="n">
        <v>0.15</v>
      </c>
      <c r="H3763" s="1" t="s">
        <v>1336</v>
      </c>
      <c r="I3763" s="1" t="n">
        <v>496.61</v>
      </c>
      <c r="J3763" s="1" t="str">
        <f aca="false">VLOOKUP(B3763,Customers!$A$2:$G$502,6,FALSE())</f>
        <v>Small Business</v>
      </c>
      <c r="K3763" s="1" t="str">
        <f aca="false">VLOOKUP(C3763,Products!$A$2:$E$62,3,FALSE())</f>
        <v>Office Supplies</v>
      </c>
      <c r="L3763" s="1" t="str">
        <f aca="false">TEXT(D3763,"yyyy-mm")</f>
        <v>2024-01</v>
      </c>
    </row>
    <row r="3764" customFormat="false" ht="15" hidden="false" customHeight="true" outlineLevel="0" collapsed="false">
      <c r="A3764" s="1" t="n">
        <v>3849</v>
      </c>
      <c r="B3764" s="1" t="n">
        <v>113</v>
      </c>
      <c r="C3764" s="1" t="n">
        <v>48</v>
      </c>
      <c r="D3764" s="1" t="s">
        <v>1244</v>
      </c>
      <c r="E3764" s="1" t="n">
        <v>7</v>
      </c>
      <c r="F3764" s="1" t="n">
        <v>493.53</v>
      </c>
      <c r="G3764" s="1" t="n">
        <v>0.15</v>
      </c>
      <c r="H3764" s="1" t="s">
        <v>1336</v>
      </c>
      <c r="I3764" s="1" t="n">
        <v>2936.5</v>
      </c>
      <c r="J3764" s="1" t="str">
        <f aca="false">VLOOKUP(B3764,Customers!$A$2:$G$502,6,FALSE())</f>
        <v>Small Business</v>
      </c>
      <c r="K3764" s="1" t="str">
        <f aca="false">VLOOKUP(C3764,Products!$A$2:$E$62,3,FALSE())</f>
        <v>Software</v>
      </c>
      <c r="L3764" s="1" t="str">
        <f aca="false">TEXT(D3764,"yyyy-mm")</f>
        <v>2024-10</v>
      </c>
    </row>
    <row r="3765" customFormat="false" ht="15" hidden="false" customHeight="true" outlineLevel="0" collapsed="false">
      <c r="A3765" s="1" t="n">
        <v>3850</v>
      </c>
      <c r="B3765" s="1" t="n">
        <v>230</v>
      </c>
      <c r="C3765" s="1" t="n">
        <v>60</v>
      </c>
      <c r="D3765" s="1" t="s">
        <v>1432</v>
      </c>
      <c r="E3765" s="1" t="n">
        <v>8</v>
      </c>
      <c r="F3765" s="1" t="n">
        <v>584.98</v>
      </c>
      <c r="G3765" s="1" t="n">
        <v>0</v>
      </c>
      <c r="H3765" s="1" t="s">
        <v>1336</v>
      </c>
      <c r="I3765" s="1" t="n">
        <v>4679.84</v>
      </c>
      <c r="J3765" s="1" t="str">
        <f aca="false">VLOOKUP(B3765,Customers!$A$2:$G$502,6,FALSE())</f>
        <v>Corporate</v>
      </c>
      <c r="K3765" s="1" t="str">
        <f aca="false">VLOOKUP(C3765,Products!$A$2:$E$62,3,FALSE())</f>
        <v>Furniture</v>
      </c>
      <c r="L3765" s="1" t="str">
        <f aca="false">TEXT(D3765,"yyyy-mm")</f>
        <v>2023-01</v>
      </c>
    </row>
    <row r="3766" customFormat="false" ht="15" hidden="false" customHeight="true" outlineLevel="0" collapsed="false">
      <c r="A3766" s="1" t="n">
        <v>3851</v>
      </c>
      <c r="B3766" s="1" t="n">
        <v>79</v>
      </c>
      <c r="C3766" s="1" t="n">
        <v>22</v>
      </c>
      <c r="D3766" s="1" t="s">
        <v>1033</v>
      </c>
      <c r="E3766" s="1" t="n">
        <v>9</v>
      </c>
      <c r="F3766" s="1" t="n">
        <v>38.57</v>
      </c>
      <c r="G3766" s="1" t="n">
        <v>0</v>
      </c>
      <c r="H3766" s="1" t="s">
        <v>1336</v>
      </c>
      <c r="I3766" s="1" t="n">
        <v>347.13</v>
      </c>
      <c r="J3766" s="1" t="str">
        <f aca="false">VLOOKUP(B3766,Customers!$A$2:$G$502,6,FALSE())</f>
        <v>Small Business</v>
      </c>
      <c r="K3766" s="1" t="str">
        <f aca="false">VLOOKUP(C3766,Products!$A$2:$E$62,3,FALSE())</f>
        <v>Office Supplies</v>
      </c>
      <c r="L3766" s="1" t="str">
        <f aca="false">TEXT(D3766,"yyyy-mm")</f>
        <v>2023-12</v>
      </c>
    </row>
    <row r="3767" customFormat="false" ht="15" hidden="false" customHeight="true" outlineLevel="0" collapsed="false">
      <c r="A3767" s="1" t="n">
        <v>3852</v>
      </c>
      <c r="B3767" s="1" t="n">
        <v>351</v>
      </c>
      <c r="C3767" s="1" t="n">
        <v>15</v>
      </c>
      <c r="D3767" s="1" t="s">
        <v>1205</v>
      </c>
      <c r="E3767" s="1" t="n">
        <v>3</v>
      </c>
      <c r="F3767" s="1" t="n">
        <v>304.95</v>
      </c>
      <c r="G3767" s="1" t="n">
        <v>0.2</v>
      </c>
      <c r="H3767" s="1" t="s">
        <v>1336</v>
      </c>
      <c r="I3767" s="1" t="n">
        <v>731.88</v>
      </c>
      <c r="J3767" s="1" t="str">
        <f aca="false">VLOOKUP(B3767,Customers!$A$2:$G$502,6,FALSE())</f>
        <v>Small Business</v>
      </c>
      <c r="K3767" s="1" t="str">
        <f aca="false">VLOOKUP(C3767,Products!$A$2:$E$62,3,FALSE())</f>
        <v>Electronics</v>
      </c>
      <c r="L3767" s="1" t="str">
        <f aca="false">TEXT(D3767,"yyyy-mm")</f>
        <v>2024-08</v>
      </c>
    </row>
    <row r="3768" customFormat="false" ht="15" hidden="false" customHeight="true" outlineLevel="0" collapsed="false">
      <c r="A3768" s="1" t="n">
        <v>3853</v>
      </c>
      <c r="B3768" s="1" t="n">
        <v>54</v>
      </c>
      <c r="C3768" s="1" t="n">
        <v>7</v>
      </c>
      <c r="D3768" s="1" t="s">
        <v>656</v>
      </c>
      <c r="E3768" s="1" t="n">
        <v>3</v>
      </c>
      <c r="F3768" s="1" t="n">
        <v>460</v>
      </c>
      <c r="G3768" s="1" t="n">
        <v>0.05</v>
      </c>
      <c r="H3768" s="1" t="s">
        <v>1370</v>
      </c>
      <c r="I3768" s="1" t="n">
        <v>1311</v>
      </c>
      <c r="J3768" s="1" t="str">
        <f aca="false">VLOOKUP(B3768,Customers!$A$2:$G$502,6,FALSE())</f>
        <v>Consumer</v>
      </c>
      <c r="K3768" s="1" t="str">
        <f aca="false">VLOOKUP(C3768,Products!$A$2:$E$62,3,FALSE())</f>
        <v>Electronics</v>
      </c>
      <c r="L3768" s="1" t="str">
        <f aca="false">TEXT(D3768,"yyyy-mm")</f>
        <v>2024-03</v>
      </c>
    </row>
    <row r="3769" customFormat="false" ht="15" hidden="false" customHeight="true" outlineLevel="0" collapsed="false">
      <c r="A3769" s="1" t="n">
        <v>3854</v>
      </c>
      <c r="B3769" s="1" t="n">
        <v>299</v>
      </c>
      <c r="C3769" s="1" t="n">
        <v>27</v>
      </c>
      <c r="D3769" s="1" t="s">
        <v>1219</v>
      </c>
      <c r="E3769" s="1" t="n">
        <v>4</v>
      </c>
      <c r="F3769" s="1" t="n">
        <v>772.58</v>
      </c>
      <c r="G3769" s="1" t="n">
        <v>0.2</v>
      </c>
      <c r="H3769" s="1" t="s">
        <v>1336</v>
      </c>
      <c r="I3769" s="1" t="n">
        <v>2472.26</v>
      </c>
      <c r="J3769" s="1" t="str">
        <f aca="false">VLOOKUP(B3769,Customers!$A$2:$G$502,6,FALSE())</f>
        <v>Small Business</v>
      </c>
      <c r="K3769" s="1" t="str">
        <f aca="false">VLOOKUP(C3769,Products!$A$2:$E$62,3,FALSE())</f>
        <v>Office Supplies</v>
      </c>
      <c r="L3769" s="1" t="str">
        <f aca="false">TEXT(D3769,"yyyy-mm")</f>
        <v>2024-10</v>
      </c>
    </row>
    <row r="3770" customFormat="false" ht="15" hidden="false" customHeight="true" outlineLevel="0" collapsed="false">
      <c r="A3770" s="1" t="n">
        <v>3855</v>
      </c>
      <c r="B3770" s="1" t="n">
        <v>201</v>
      </c>
      <c r="C3770" s="1" t="n">
        <v>54</v>
      </c>
      <c r="D3770" s="1" t="s">
        <v>795</v>
      </c>
      <c r="E3770" s="1" t="n">
        <v>5</v>
      </c>
      <c r="F3770" s="1" t="n">
        <v>312.01</v>
      </c>
      <c r="G3770" s="1" t="n">
        <v>0.05</v>
      </c>
      <c r="H3770" s="1" t="s">
        <v>1336</v>
      </c>
      <c r="I3770" s="1" t="n">
        <v>1482.05</v>
      </c>
      <c r="J3770" s="1" t="str">
        <f aca="false">VLOOKUP(B3770,Customers!$A$2:$G$502,6,FALSE())</f>
        <v>Corporate</v>
      </c>
      <c r="K3770" s="1" t="str">
        <f aca="false">VLOOKUP(C3770,Products!$A$2:$E$62,3,FALSE())</f>
        <v>Software</v>
      </c>
      <c r="L3770" s="1" t="str">
        <f aca="false">TEXT(D3770,"yyyy-mm")</f>
        <v>2023-12</v>
      </c>
    </row>
    <row r="3771" customFormat="false" ht="15" hidden="false" customHeight="true" outlineLevel="0" collapsed="false">
      <c r="A3771" s="1" t="n">
        <v>3856</v>
      </c>
      <c r="B3771" s="1" t="n">
        <v>475</v>
      </c>
      <c r="C3771" s="1" t="n">
        <v>58</v>
      </c>
      <c r="D3771" s="1" t="s">
        <v>1593</v>
      </c>
      <c r="E3771" s="1" t="n">
        <v>1</v>
      </c>
      <c r="F3771" s="1" t="n">
        <v>515.55</v>
      </c>
      <c r="G3771" s="1" t="n">
        <v>0.15</v>
      </c>
      <c r="H3771" s="1" t="s">
        <v>1336</v>
      </c>
      <c r="I3771" s="1" t="n">
        <v>438.22</v>
      </c>
      <c r="J3771" s="1" t="str">
        <f aca="false">VLOOKUP(B3771,Customers!$A$2:$G$502,6,FALSE())</f>
        <v>Small Business</v>
      </c>
      <c r="K3771" s="1" t="str">
        <f aca="false">VLOOKUP(C3771,Products!$A$2:$E$62,3,FALSE())</f>
        <v>Furniture</v>
      </c>
      <c r="L3771" s="1" t="str">
        <f aca="false">TEXT(D3771,"yyyy-mm")</f>
        <v>2023-09</v>
      </c>
    </row>
    <row r="3772" customFormat="false" ht="15" hidden="false" customHeight="true" outlineLevel="0" collapsed="false">
      <c r="A3772" s="1" t="n">
        <v>3857</v>
      </c>
      <c r="B3772" s="1" t="n">
        <v>92</v>
      </c>
      <c r="C3772" s="1" t="n">
        <v>40</v>
      </c>
      <c r="D3772" s="1" t="s">
        <v>1470</v>
      </c>
      <c r="E3772" s="1" t="n">
        <v>7</v>
      </c>
      <c r="F3772" s="1" t="n">
        <v>193.02</v>
      </c>
      <c r="G3772" s="1" t="n">
        <v>0.15</v>
      </c>
      <c r="H3772" s="1" t="s">
        <v>1336</v>
      </c>
      <c r="I3772" s="1" t="n">
        <v>1148.47</v>
      </c>
      <c r="J3772" s="1" t="str">
        <f aca="false">VLOOKUP(B3772,Customers!$A$2:$G$502,6,FALSE())</f>
        <v>Corporate</v>
      </c>
      <c r="K3772" s="1" t="str">
        <f aca="false">VLOOKUP(C3772,Products!$A$2:$E$62,3,FALSE())</f>
        <v>Software</v>
      </c>
      <c r="L3772" s="1" t="str">
        <f aca="false">TEXT(D3772,"yyyy-mm")</f>
        <v>2023-03</v>
      </c>
    </row>
    <row r="3773" customFormat="false" ht="15" hidden="false" customHeight="true" outlineLevel="0" collapsed="false">
      <c r="A3773" s="1" t="n">
        <v>3858</v>
      </c>
      <c r="B3773" s="1" t="n">
        <v>471</v>
      </c>
      <c r="C3773" s="1" t="n">
        <v>45</v>
      </c>
      <c r="D3773" s="1" t="s">
        <v>130</v>
      </c>
      <c r="E3773" s="1" t="n">
        <v>9</v>
      </c>
      <c r="F3773" s="1" t="n">
        <v>560.01</v>
      </c>
      <c r="G3773" s="1" t="n">
        <v>0</v>
      </c>
      <c r="H3773" s="1" t="s">
        <v>1336</v>
      </c>
      <c r="I3773" s="1" t="n">
        <v>5040.09</v>
      </c>
      <c r="J3773" s="1" t="str">
        <f aca="false">VLOOKUP(B3773,Customers!$A$2:$G$502,6,FALSE())</f>
        <v>Small Business</v>
      </c>
      <c r="K3773" s="1" t="str">
        <f aca="false">VLOOKUP(C3773,Products!$A$2:$E$62,3,FALSE())</f>
        <v>Software</v>
      </c>
      <c r="L3773" s="1" t="str">
        <f aca="false">TEXT(D3773,"yyyy-mm")</f>
        <v>2024-03</v>
      </c>
    </row>
    <row r="3774" customFormat="false" ht="15" hidden="false" customHeight="true" outlineLevel="0" collapsed="false">
      <c r="A3774" s="1" t="n">
        <v>3859</v>
      </c>
      <c r="B3774" s="1" t="n">
        <v>315</v>
      </c>
      <c r="C3774" s="1" t="n">
        <v>17</v>
      </c>
      <c r="D3774" s="1" t="s">
        <v>813</v>
      </c>
      <c r="E3774" s="1" t="n">
        <v>8</v>
      </c>
      <c r="F3774" s="1" t="n">
        <v>65.61</v>
      </c>
      <c r="G3774" s="1" t="n">
        <v>0.1</v>
      </c>
      <c r="H3774" s="1" t="s">
        <v>1336</v>
      </c>
      <c r="I3774" s="1" t="n">
        <v>472.39</v>
      </c>
      <c r="J3774" s="1" t="str">
        <f aca="false">VLOOKUP(B3774,Customers!$A$2:$G$502,6,FALSE())</f>
        <v>Consumer</v>
      </c>
      <c r="K3774" s="1" t="str">
        <f aca="false">VLOOKUP(C3774,Products!$A$2:$E$62,3,FALSE())</f>
        <v>Electronics</v>
      </c>
      <c r="L3774" s="1" t="str">
        <f aca="false">TEXT(D3774,"yyyy-mm")</f>
        <v>2023-11</v>
      </c>
    </row>
    <row r="3775" customFormat="false" ht="15" hidden="false" customHeight="true" outlineLevel="0" collapsed="false">
      <c r="A3775" s="1" t="n">
        <v>3860</v>
      </c>
      <c r="B3775" s="1" t="n">
        <v>141</v>
      </c>
      <c r="C3775" s="1" t="n">
        <v>3</v>
      </c>
      <c r="D3775" s="1" t="s">
        <v>1036</v>
      </c>
      <c r="E3775" s="1" t="n">
        <v>5</v>
      </c>
      <c r="F3775" s="1" t="n">
        <v>89.39</v>
      </c>
      <c r="G3775" s="1" t="n">
        <v>0.05</v>
      </c>
      <c r="H3775" s="1" t="s">
        <v>1336</v>
      </c>
      <c r="I3775" s="1" t="n">
        <v>424.6</v>
      </c>
      <c r="J3775" s="1" t="str">
        <f aca="false">VLOOKUP(B3775,Customers!$A$2:$G$502,6,FALSE())</f>
        <v>Small Business</v>
      </c>
      <c r="K3775" s="1" t="str">
        <f aca="false">VLOOKUP(C3775,Products!$A$2:$E$62,3,FALSE())</f>
        <v>Electronics</v>
      </c>
      <c r="L3775" s="1" t="str">
        <f aca="false">TEXT(D3775,"yyyy-mm")</f>
        <v>2024-05</v>
      </c>
    </row>
    <row r="3776" customFormat="false" ht="15" hidden="false" customHeight="true" outlineLevel="0" collapsed="false">
      <c r="A3776" s="1" t="n">
        <v>3861</v>
      </c>
      <c r="B3776" s="1" t="n">
        <v>66</v>
      </c>
      <c r="C3776" s="1" t="n">
        <v>46</v>
      </c>
      <c r="D3776" s="1" t="s">
        <v>1569</v>
      </c>
      <c r="E3776" s="1" t="n">
        <v>4</v>
      </c>
      <c r="F3776" s="1" t="n">
        <v>94.92</v>
      </c>
      <c r="G3776" s="1" t="n">
        <v>0</v>
      </c>
      <c r="H3776" s="1" t="s">
        <v>1336</v>
      </c>
      <c r="I3776" s="1" t="n">
        <v>379.68</v>
      </c>
      <c r="J3776" s="1" t="str">
        <f aca="false">VLOOKUP(B3776,Customers!$A$2:$G$502,6,FALSE())</f>
        <v>Corporate</v>
      </c>
      <c r="K3776" s="1" t="str">
        <f aca="false">VLOOKUP(C3776,Products!$A$2:$E$62,3,FALSE())</f>
        <v>Software</v>
      </c>
      <c r="L3776" s="1" t="str">
        <f aca="false">TEXT(D3776,"yyyy-mm")</f>
        <v>2023-02</v>
      </c>
    </row>
    <row r="3777" customFormat="false" ht="15" hidden="false" customHeight="true" outlineLevel="0" collapsed="false">
      <c r="A3777" s="1" t="n">
        <v>3862</v>
      </c>
      <c r="B3777" s="1" t="n">
        <v>124</v>
      </c>
      <c r="C3777" s="1" t="n">
        <v>47</v>
      </c>
      <c r="D3777" s="1" t="s">
        <v>1226</v>
      </c>
      <c r="E3777" s="1" t="n">
        <v>7</v>
      </c>
      <c r="F3777" s="1" t="n">
        <v>506.19</v>
      </c>
      <c r="G3777" s="1" t="n">
        <v>0.05</v>
      </c>
      <c r="H3777" s="1" t="s">
        <v>1336</v>
      </c>
      <c r="I3777" s="1" t="n">
        <v>3366.16</v>
      </c>
      <c r="J3777" s="1" t="str">
        <f aca="false">VLOOKUP(B3777,Customers!$A$2:$G$502,6,FALSE())</f>
        <v>Small Business</v>
      </c>
      <c r="K3777" s="1" t="str">
        <f aca="false">VLOOKUP(C3777,Products!$A$2:$E$62,3,FALSE())</f>
        <v>Software</v>
      </c>
      <c r="L3777" s="1" t="str">
        <f aca="false">TEXT(D3777,"yyyy-mm")</f>
        <v>2024-05</v>
      </c>
    </row>
    <row r="3778" customFormat="false" ht="15" hidden="false" customHeight="true" outlineLevel="0" collapsed="false">
      <c r="A3778" s="1" t="n">
        <v>3863</v>
      </c>
      <c r="B3778" s="1" t="n">
        <v>183</v>
      </c>
      <c r="C3778" s="1" t="n">
        <v>28</v>
      </c>
      <c r="D3778" s="1" t="s">
        <v>300</v>
      </c>
      <c r="E3778" s="1" t="n">
        <v>5</v>
      </c>
      <c r="F3778" s="1" t="n">
        <v>505.23</v>
      </c>
      <c r="G3778" s="1" t="n">
        <v>0.1</v>
      </c>
      <c r="H3778" s="1" t="s">
        <v>1336</v>
      </c>
      <c r="I3778" s="1" t="n">
        <v>2273.54</v>
      </c>
      <c r="J3778" s="1" t="str">
        <f aca="false">VLOOKUP(B3778,Customers!$A$2:$G$502,6,FALSE())</f>
        <v>Corporate</v>
      </c>
      <c r="K3778" s="1" t="str">
        <f aca="false">VLOOKUP(C3778,Products!$A$2:$E$62,3,FALSE())</f>
        <v>Office Supplies</v>
      </c>
      <c r="L3778" s="1" t="str">
        <f aca="false">TEXT(D3778,"yyyy-mm")</f>
        <v>2024-07</v>
      </c>
    </row>
    <row r="3779" customFormat="false" ht="15" hidden="false" customHeight="true" outlineLevel="0" collapsed="false">
      <c r="A3779" s="1" t="n">
        <v>3864</v>
      </c>
      <c r="B3779" s="1" t="n">
        <v>20</v>
      </c>
      <c r="C3779" s="1" t="n">
        <v>35</v>
      </c>
      <c r="D3779" s="1" t="s">
        <v>97</v>
      </c>
      <c r="E3779" s="1" t="n">
        <v>7</v>
      </c>
      <c r="F3779" s="1" t="n">
        <v>75.78</v>
      </c>
      <c r="G3779" s="1" t="n">
        <v>0</v>
      </c>
      <c r="H3779" s="1" t="s">
        <v>1370</v>
      </c>
      <c r="I3779" s="1" t="n">
        <v>530.46</v>
      </c>
      <c r="J3779" s="1" t="str">
        <f aca="false">VLOOKUP(B3779,Customers!$A$2:$G$502,6,FALSE())</f>
        <v>Consumer</v>
      </c>
      <c r="K3779" s="1" t="str">
        <f aca="false">VLOOKUP(C3779,Products!$A$2:$E$62,3,FALSE())</f>
        <v>Software</v>
      </c>
      <c r="L3779" s="1" t="str">
        <f aca="false">TEXT(D3779,"yyyy-mm")</f>
        <v>2024-11</v>
      </c>
    </row>
    <row r="3780" customFormat="false" ht="15" hidden="false" customHeight="true" outlineLevel="0" collapsed="false">
      <c r="A3780" s="1" t="n">
        <v>3865</v>
      </c>
      <c r="B3780" s="1" t="n">
        <v>429</v>
      </c>
      <c r="C3780" s="1" t="n">
        <v>52</v>
      </c>
      <c r="D3780" s="1" t="s">
        <v>1568</v>
      </c>
      <c r="E3780" s="1" t="n">
        <v>1</v>
      </c>
      <c r="F3780" s="1" t="n">
        <v>207.67</v>
      </c>
      <c r="G3780" s="1" t="n">
        <v>0</v>
      </c>
      <c r="H3780" s="1" t="s">
        <v>1336</v>
      </c>
      <c r="I3780" s="1" t="n">
        <v>207.67</v>
      </c>
      <c r="J3780" s="1" t="str">
        <f aca="false">VLOOKUP(B3780,Customers!$A$2:$G$502,6,FALSE())</f>
        <v>Corporate</v>
      </c>
      <c r="K3780" s="1" t="str">
        <f aca="false">VLOOKUP(C3780,Products!$A$2:$E$62,3,FALSE())</f>
        <v>Software</v>
      </c>
      <c r="L3780" s="1" t="str">
        <f aca="false">TEXT(D3780,"yyyy-mm")</f>
        <v>2023-07</v>
      </c>
    </row>
    <row r="3781" customFormat="false" ht="15" hidden="false" customHeight="true" outlineLevel="0" collapsed="false">
      <c r="A3781" s="1" t="n">
        <v>3866</v>
      </c>
      <c r="B3781" s="1" t="n">
        <v>85</v>
      </c>
      <c r="C3781" s="1" t="n">
        <v>33</v>
      </c>
      <c r="D3781" s="1" t="s">
        <v>1555</v>
      </c>
      <c r="E3781" s="1" t="n">
        <v>1</v>
      </c>
      <c r="F3781" s="1" t="n">
        <v>190.1</v>
      </c>
      <c r="G3781" s="1" t="n">
        <v>0</v>
      </c>
      <c r="H3781" s="1" t="s">
        <v>1370</v>
      </c>
      <c r="I3781" s="1" t="n">
        <v>190.1</v>
      </c>
      <c r="J3781" s="1" t="str">
        <f aca="false">VLOOKUP(B3781,Customers!$A$2:$G$502,6,FALSE())</f>
        <v>Consumer</v>
      </c>
      <c r="K3781" s="1" t="str">
        <f aca="false">VLOOKUP(C3781,Products!$A$2:$E$62,3,FALSE())</f>
        <v>Office Supplies</v>
      </c>
      <c r="L3781" s="1" t="str">
        <f aca="false">TEXT(D3781,"yyyy-mm")</f>
        <v>2024-04</v>
      </c>
    </row>
    <row r="3782" customFormat="false" ht="15" hidden="false" customHeight="true" outlineLevel="0" collapsed="false">
      <c r="A3782" s="1" t="n">
        <v>3867</v>
      </c>
      <c r="B3782" s="1" t="n">
        <v>318</v>
      </c>
      <c r="C3782" s="1" t="n">
        <v>24</v>
      </c>
      <c r="D3782" s="1" t="s">
        <v>297</v>
      </c>
      <c r="E3782" s="1" t="n">
        <v>3</v>
      </c>
      <c r="F3782" s="1" t="n">
        <v>207.34</v>
      </c>
      <c r="G3782" s="1" t="n">
        <v>0.15</v>
      </c>
      <c r="H3782" s="1" t="s">
        <v>1346</v>
      </c>
      <c r="I3782" s="1" t="n">
        <v>528.72</v>
      </c>
      <c r="J3782" s="1" t="str">
        <f aca="false">VLOOKUP(B3782,Customers!$A$2:$G$502,6,FALSE())</f>
        <v>Consumer</v>
      </c>
      <c r="K3782" s="1" t="str">
        <f aca="false">VLOOKUP(C3782,Products!$A$2:$E$62,3,FALSE())</f>
        <v>Office Supplies</v>
      </c>
      <c r="L3782" s="1" t="str">
        <f aca="false">TEXT(D3782,"yyyy-mm")</f>
        <v>2024-04</v>
      </c>
    </row>
    <row r="3783" customFormat="false" ht="15" hidden="false" customHeight="true" outlineLevel="0" collapsed="false">
      <c r="A3783" s="1" t="n">
        <v>3868</v>
      </c>
      <c r="B3783" s="1" t="n">
        <v>175</v>
      </c>
      <c r="C3783" s="1" t="n">
        <v>37</v>
      </c>
      <c r="D3783" s="1" t="s">
        <v>795</v>
      </c>
      <c r="E3783" s="1" t="n">
        <v>2</v>
      </c>
      <c r="F3783" s="1" t="n">
        <v>13.95</v>
      </c>
      <c r="G3783" s="1" t="n">
        <v>0</v>
      </c>
      <c r="H3783" s="1" t="s">
        <v>1336</v>
      </c>
      <c r="I3783" s="1" t="n">
        <v>27.9</v>
      </c>
      <c r="J3783" s="1" t="str">
        <f aca="false">VLOOKUP(B3783,Customers!$A$2:$G$502,6,FALSE())</f>
        <v>Consumer</v>
      </c>
      <c r="K3783" s="1" t="str">
        <f aca="false">VLOOKUP(C3783,Products!$A$2:$E$62,3,FALSE())</f>
        <v>Software</v>
      </c>
      <c r="L3783" s="1" t="str">
        <f aca="false">TEXT(D3783,"yyyy-mm")</f>
        <v>2023-12</v>
      </c>
    </row>
    <row r="3784" customFormat="false" ht="15" hidden="false" customHeight="true" outlineLevel="0" collapsed="false">
      <c r="A3784" s="1" t="n">
        <v>3869</v>
      </c>
      <c r="B3784" s="1" t="n">
        <v>460</v>
      </c>
      <c r="C3784" s="1" t="n">
        <v>42</v>
      </c>
      <c r="D3784" s="1" t="s">
        <v>626</v>
      </c>
      <c r="E3784" s="1" t="n">
        <v>2</v>
      </c>
      <c r="F3784" s="1" t="n">
        <v>174.48</v>
      </c>
      <c r="G3784" s="1" t="n">
        <v>0.15</v>
      </c>
      <c r="H3784" s="1" t="s">
        <v>1336</v>
      </c>
      <c r="I3784" s="1" t="n">
        <v>296.62</v>
      </c>
      <c r="J3784" s="1" t="str">
        <f aca="false">VLOOKUP(B3784,Customers!$A$2:$G$502,6,FALSE())</f>
        <v>Corporate</v>
      </c>
      <c r="K3784" s="1" t="str">
        <f aca="false">VLOOKUP(C3784,Products!$A$2:$E$62,3,FALSE())</f>
        <v>Software</v>
      </c>
      <c r="L3784" s="1" t="str">
        <f aca="false">TEXT(D3784,"yyyy-mm")</f>
        <v>2023-09</v>
      </c>
    </row>
    <row r="3785" customFormat="false" ht="15" hidden="false" customHeight="true" outlineLevel="0" collapsed="false">
      <c r="A3785" s="1" t="n">
        <v>3870</v>
      </c>
      <c r="B3785" s="1" t="n">
        <v>59</v>
      </c>
      <c r="C3785" s="1" t="n">
        <v>20</v>
      </c>
      <c r="D3785" s="1" t="s">
        <v>1141</v>
      </c>
      <c r="E3785" s="1" t="n">
        <v>7</v>
      </c>
      <c r="F3785" s="1" t="n">
        <v>426.15</v>
      </c>
      <c r="G3785" s="1" t="n">
        <v>0</v>
      </c>
      <c r="H3785" s="1" t="s">
        <v>1336</v>
      </c>
      <c r="I3785" s="1" t="n">
        <v>2983.05</v>
      </c>
      <c r="J3785" s="1" t="str">
        <f aca="false">VLOOKUP(B3785,Customers!$A$2:$G$502,6,FALSE())</f>
        <v>Corporate</v>
      </c>
      <c r="K3785" s="1" t="str">
        <f aca="false">VLOOKUP(C3785,Products!$A$2:$E$62,3,FALSE())</f>
        <v>Office Supplies</v>
      </c>
      <c r="L3785" s="1" t="str">
        <f aca="false">TEXT(D3785,"yyyy-mm")</f>
        <v>2024-06</v>
      </c>
    </row>
    <row r="3786" customFormat="false" ht="15" hidden="false" customHeight="true" outlineLevel="0" collapsed="false">
      <c r="A3786" s="1" t="n">
        <v>3871</v>
      </c>
      <c r="B3786" s="1" t="n">
        <v>115</v>
      </c>
      <c r="C3786" s="1" t="n">
        <v>40</v>
      </c>
      <c r="D3786" s="1" t="s">
        <v>620</v>
      </c>
      <c r="E3786" s="1" t="n">
        <v>2</v>
      </c>
      <c r="F3786" s="1" t="n">
        <v>193.02</v>
      </c>
      <c r="G3786" s="1" t="n">
        <v>0</v>
      </c>
      <c r="H3786" s="1" t="s">
        <v>1336</v>
      </c>
      <c r="I3786" s="1" t="n">
        <v>386.04</v>
      </c>
      <c r="J3786" s="1" t="str">
        <f aca="false">VLOOKUP(B3786,Customers!$A$2:$G$502,6,FALSE())</f>
        <v>Small Business</v>
      </c>
      <c r="K3786" s="1" t="str">
        <f aca="false">VLOOKUP(C3786,Products!$A$2:$E$62,3,FALSE())</f>
        <v>Software</v>
      </c>
      <c r="L3786" s="1" t="str">
        <f aca="false">TEXT(D3786,"yyyy-mm")</f>
        <v>2023-12</v>
      </c>
    </row>
    <row r="3787" customFormat="false" ht="15" hidden="false" customHeight="true" outlineLevel="0" collapsed="false">
      <c r="A3787" s="1" t="n">
        <v>3872</v>
      </c>
      <c r="B3787" s="1" t="n">
        <v>74</v>
      </c>
      <c r="C3787" s="1" t="n">
        <v>52</v>
      </c>
      <c r="D3787" s="1" t="s">
        <v>609</v>
      </c>
      <c r="E3787" s="1" t="n">
        <v>4</v>
      </c>
      <c r="F3787" s="1" t="n">
        <v>207.67</v>
      </c>
      <c r="G3787" s="1" t="n">
        <v>0.05</v>
      </c>
      <c r="H3787" s="1" t="s">
        <v>1346</v>
      </c>
      <c r="I3787" s="1" t="n">
        <v>789.15</v>
      </c>
      <c r="J3787" s="1" t="str">
        <f aca="false">VLOOKUP(B3787,Customers!$A$2:$G$502,6,FALSE())</f>
        <v>Consumer</v>
      </c>
      <c r="K3787" s="1" t="str">
        <f aca="false">VLOOKUP(C3787,Products!$A$2:$E$62,3,FALSE())</f>
        <v>Software</v>
      </c>
      <c r="L3787" s="1" t="str">
        <f aca="false">TEXT(D3787,"yyyy-mm")</f>
        <v>2023-03</v>
      </c>
    </row>
    <row r="3788" customFormat="false" ht="15" hidden="false" customHeight="true" outlineLevel="0" collapsed="false">
      <c r="A3788" s="1" t="n">
        <v>3873</v>
      </c>
      <c r="B3788" s="1" t="n">
        <v>397</v>
      </c>
      <c r="C3788" s="1" t="n">
        <v>49</v>
      </c>
      <c r="D3788" s="1" t="s">
        <v>909</v>
      </c>
      <c r="E3788" s="1" t="n">
        <v>2</v>
      </c>
      <c r="F3788" s="1" t="n">
        <v>325.17</v>
      </c>
      <c r="G3788" s="1" t="n">
        <v>0.05</v>
      </c>
      <c r="H3788" s="1" t="s">
        <v>1336</v>
      </c>
      <c r="I3788" s="1" t="n">
        <v>617.82</v>
      </c>
      <c r="J3788" s="1" t="str">
        <f aca="false">VLOOKUP(B3788,Customers!$A$2:$G$502,6,FALSE())</f>
        <v>Consumer</v>
      </c>
      <c r="K3788" s="1" t="str">
        <f aca="false">VLOOKUP(C3788,Products!$A$2:$E$62,3,FALSE())</f>
        <v>Software</v>
      </c>
      <c r="L3788" s="1" t="str">
        <f aca="false">TEXT(D3788,"yyyy-mm")</f>
        <v>2023-03</v>
      </c>
    </row>
    <row r="3789" customFormat="false" ht="15" hidden="false" customHeight="true" outlineLevel="0" collapsed="false">
      <c r="A3789" s="1" t="n">
        <v>3874</v>
      </c>
      <c r="B3789" s="1" t="n">
        <v>95</v>
      </c>
      <c r="C3789" s="1" t="n">
        <v>6</v>
      </c>
      <c r="D3789" s="1" t="s">
        <v>761</v>
      </c>
      <c r="E3789" s="1" t="n">
        <v>6</v>
      </c>
      <c r="F3789" s="1" t="n">
        <v>28.51</v>
      </c>
      <c r="G3789" s="1" t="n">
        <v>0.2</v>
      </c>
      <c r="H3789" s="1" t="s">
        <v>1346</v>
      </c>
      <c r="I3789" s="1" t="n">
        <v>136.85</v>
      </c>
      <c r="J3789" s="1" t="str">
        <f aca="false">VLOOKUP(B3789,Customers!$A$2:$G$502,6,FALSE())</f>
        <v>Corporate</v>
      </c>
      <c r="K3789" s="1" t="str">
        <f aca="false">VLOOKUP(C3789,Products!$A$2:$E$62,3,FALSE())</f>
        <v>Electronics</v>
      </c>
      <c r="L3789" s="1" t="str">
        <f aca="false">TEXT(D3789,"yyyy-mm")</f>
        <v>2023-11</v>
      </c>
    </row>
    <row r="3790" customFormat="false" ht="15" hidden="false" customHeight="true" outlineLevel="0" collapsed="false">
      <c r="A3790" s="1" t="n">
        <v>3875</v>
      </c>
      <c r="B3790" s="1" t="n">
        <v>31</v>
      </c>
      <c r="C3790" s="1" t="n">
        <v>52</v>
      </c>
      <c r="D3790" s="1" t="s">
        <v>1639</v>
      </c>
      <c r="E3790" s="1" t="n">
        <v>8</v>
      </c>
      <c r="F3790" s="1" t="n">
        <v>207.67</v>
      </c>
      <c r="G3790" s="1" t="n">
        <v>0</v>
      </c>
      <c r="H3790" s="1" t="s">
        <v>1336</v>
      </c>
      <c r="I3790" s="1" t="n">
        <v>1661.36</v>
      </c>
      <c r="J3790" s="1" t="str">
        <f aca="false">VLOOKUP(B3790,Customers!$A$2:$G$502,6,FALSE())</f>
        <v>Consumer</v>
      </c>
      <c r="K3790" s="1" t="str">
        <f aca="false">VLOOKUP(C3790,Products!$A$2:$E$62,3,FALSE())</f>
        <v>Software</v>
      </c>
      <c r="L3790" s="1" t="str">
        <f aca="false">TEXT(D3790,"yyyy-mm")</f>
        <v>2023-07</v>
      </c>
    </row>
    <row r="3791" customFormat="false" ht="15" hidden="false" customHeight="true" outlineLevel="0" collapsed="false">
      <c r="A3791" s="1" t="n">
        <v>3876</v>
      </c>
      <c r="B3791" s="1" t="n">
        <v>319</v>
      </c>
      <c r="C3791" s="1" t="n">
        <v>57</v>
      </c>
      <c r="D3791" s="1" t="s">
        <v>807</v>
      </c>
      <c r="E3791" s="1" t="n">
        <v>4</v>
      </c>
      <c r="F3791" s="1" t="n">
        <v>719.76</v>
      </c>
      <c r="G3791" s="1" t="n">
        <v>0.05</v>
      </c>
      <c r="H3791" s="1" t="s">
        <v>1336</v>
      </c>
      <c r="I3791" s="1" t="n">
        <v>2735.09</v>
      </c>
      <c r="J3791" s="1" t="str">
        <f aca="false">VLOOKUP(B3791,Customers!$A$2:$G$502,6,FALSE())</f>
        <v>Corporate</v>
      </c>
      <c r="K3791" s="1" t="str">
        <f aca="false">VLOOKUP(C3791,Products!$A$2:$E$62,3,FALSE())</f>
        <v>Furniture</v>
      </c>
      <c r="L3791" s="1" t="str">
        <f aca="false">TEXT(D3791,"yyyy-mm")</f>
        <v>2023-09</v>
      </c>
    </row>
    <row r="3792" customFormat="false" ht="15" hidden="false" customHeight="true" outlineLevel="0" collapsed="false">
      <c r="A3792" s="1" t="n">
        <v>3877</v>
      </c>
      <c r="B3792" s="1" t="n">
        <v>487</v>
      </c>
      <c r="C3792" s="1" t="n">
        <v>4</v>
      </c>
      <c r="D3792" s="1" t="s">
        <v>1345</v>
      </c>
      <c r="E3792" s="1" t="n">
        <v>5</v>
      </c>
      <c r="F3792" s="1" t="n">
        <v>56.24</v>
      </c>
      <c r="G3792" s="1" t="n">
        <v>0.2</v>
      </c>
      <c r="H3792" s="1" t="s">
        <v>1336</v>
      </c>
      <c r="I3792" s="1" t="n">
        <v>224.96</v>
      </c>
      <c r="J3792" s="1" t="str">
        <f aca="false">VLOOKUP(B3792,Customers!$A$2:$G$502,6,FALSE())</f>
        <v>Small Business</v>
      </c>
      <c r="K3792" s="1" t="str">
        <f aca="false">VLOOKUP(C3792,Products!$A$2:$E$62,3,FALSE())</f>
        <v>Electronics</v>
      </c>
      <c r="L3792" s="1" t="str">
        <f aca="false">TEXT(D3792,"yyyy-mm")</f>
        <v>2023-07</v>
      </c>
    </row>
    <row r="3793" customFormat="false" ht="15" hidden="false" customHeight="true" outlineLevel="0" collapsed="false">
      <c r="A3793" s="1" t="n">
        <v>3878</v>
      </c>
      <c r="B3793" s="1" t="n">
        <v>47</v>
      </c>
      <c r="C3793" s="1" t="n">
        <v>51</v>
      </c>
      <c r="D3793" s="1" t="s">
        <v>1418</v>
      </c>
      <c r="E3793" s="1" t="n">
        <v>4</v>
      </c>
      <c r="F3793" s="1" t="n">
        <v>30.16</v>
      </c>
      <c r="G3793" s="1" t="n">
        <v>0.15</v>
      </c>
      <c r="H3793" s="1" t="s">
        <v>1370</v>
      </c>
      <c r="I3793" s="1" t="n">
        <v>102.54</v>
      </c>
      <c r="J3793" s="1" t="str">
        <f aca="false">VLOOKUP(B3793,Customers!$A$2:$G$502,6,FALSE())</f>
        <v>Small Business</v>
      </c>
      <c r="K3793" s="1" t="str">
        <f aca="false">VLOOKUP(C3793,Products!$A$2:$E$62,3,FALSE())</f>
        <v>Software</v>
      </c>
      <c r="L3793" s="1" t="str">
        <f aca="false">TEXT(D3793,"yyyy-mm")</f>
        <v>2023-06</v>
      </c>
    </row>
    <row r="3794" customFormat="false" ht="15" hidden="false" customHeight="true" outlineLevel="0" collapsed="false">
      <c r="A3794" s="1" t="n">
        <v>3879</v>
      </c>
      <c r="B3794" s="1" t="n">
        <v>89</v>
      </c>
      <c r="C3794" s="1" t="n">
        <v>38</v>
      </c>
      <c r="D3794" s="1" t="s">
        <v>1578</v>
      </c>
      <c r="E3794" s="1" t="n">
        <v>3</v>
      </c>
      <c r="F3794" s="1" t="n">
        <v>521.63</v>
      </c>
      <c r="G3794" s="1" t="n">
        <v>0.2</v>
      </c>
      <c r="H3794" s="1" t="s">
        <v>1336</v>
      </c>
      <c r="I3794" s="1" t="n">
        <v>1251.91</v>
      </c>
      <c r="J3794" s="1" t="str">
        <f aca="false">VLOOKUP(B3794,Customers!$A$2:$G$502,6,FALSE())</f>
        <v>Small Business</v>
      </c>
      <c r="K3794" s="1" t="str">
        <f aca="false">VLOOKUP(C3794,Products!$A$2:$E$62,3,FALSE())</f>
        <v>Software</v>
      </c>
      <c r="L3794" s="1" t="str">
        <f aca="false">TEXT(D3794,"yyyy-mm")</f>
        <v>2023-07</v>
      </c>
    </row>
    <row r="3795" customFormat="false" ht="15" hidden="false" customHeight="true" outlineLevel="0" collapsed="false">
      <c r="A3795" s="1" t="n">
        <v>3880</v>
      </c>
      <c r="B3795" s="1" t="n">
        <v>295</v>
      </c>
      <c r="C3795" s="1" t="n">
        <v>17</v>
      </c>
      <c r="D3795" s="1" t="s">
        <v>915</v>
      </c>
      <c r="E3795" s="1" t="n">
        <v>5</v>
      </c>
      <c r="F3795" s="1" t="n">
        <v>65.61</v>
      </c>
      <c r="G3795" s="1" t="n">
        <v>0</v>
      </c>
      <c r="H3795" s="1" t="s">
        <v>1336</v>
      </c>
      <c r="I3795" s="1" t="n">
        <v>328.05</v>
      </c>
      <c r="J3795" s="1" t="str">
        <f aca="false">VLOOKUP(B3795,Customers!$A$2:$G$502,6,FALSE())</f>
        <v>Small Business</v>
      </c>
      <c r="K3795" s="1" t="str">
        <f aca="false">VLOOKUP(C3795,Products!$A$2:$E$62,3,FALSE())</f>
        <v>Electronics</v>
      </c>
      <c r="L3795" s="1" t="str">
        <f aca="false">TEXT(D3795,"yyyy-mm")</f>
        <v>2023-04</v>
      </c>
    </row>
    <row r="3796" customFormat="false" ht="15" hidden="false" customHeight="true" outlineLevel="0" collapsed="false">
      <c r="A3796" s="1" t="n">
        <v>3881</v>
      </c>
      <c r="B3796" s="1" t="n">
        <v>368</v>
      </c>
      <c r="C3796" s="1" t="n">
        <v>54</v>
      </c>
      <c r="D3796" s="1" t="s">
        <v>719</v>
      </c>
      <c r="E3796" s="1" t="n">
        <v>9</v>
      </c>
      <c r="F3796" s="1" t="n">
        <v>312.01</v>
      </c>
      <c r="G3796" s="1" t="n">
        <v>0</v>
      </c>
      <c r="H3796" s="1" t="s">
        <v>1336</v>
      </c>
      <c r="I3796" s="1" t="n">
        <v>2808.09</v>
      </c>
      <c r="J3796" s="1" t="str">
        <f aca="false">VLOOKUP(B3796,Customers!$A$2:$G$502,6,FALSE())</f>
        <v>Corporate</v>
      </c>
      <c r="K3796" s="1" t="str">
        <f aca="false">VLOOKUP(C3796,Products!$A$2:$E$62,3,FALSE())</f>
        <v>Software</v>
      </c>
      <c r="L3796" s="1" t="str">
        <f aca="false">TEXT(D3796,"yyyy-mm")</f>
        <v>2024-11</v>
      </c>
    </row>
    <row r="3797" customFormat="false" ht="15" hidden="false" customHeight="true" outlineLevel="0" collapsed="false">
      <c r="A3797" s="1" t="n">
        <v>3882</v>
      </c>
      <c r="B3797" s="1" t="n">
        <v>14</v>
      </c>
      <c r="C3797" s="1" t="n">
        <v>19</v>
      </c>
      <c r="D3797" s="1" t="s">
        <v>1684</v>
      </c>
      <c r="E3797" s="1" t="n">
        <v>8</v>
      </c>
      <c r="F3797" s="1" t="n">
        <v>163.64</v>
      </c>
      <c r="G3797" s="1" t="n">
        <v>0.1</v>
      </c>
      <c r="H3797" s="1" t="s">
        <v>1346</v>
      </c>
      <c r="I3797" s="1" t="n">
        <v>1178.21</v>
      </c>
      <c r="J3797" s="1" t="str">
        <f aca="false">VLOOKUP(B3797,Customers!$A$2:$G$502,6,FALSE())</f>
        <v>Small Business</v>
      </c>
      <c r="K3797" s="1" t="str">
        <f aca="false">VLOOKUP(C3797,Products!$A$2:$E$62,3,FALSE())</f>
        <v>Office Supplies</v>
      </c>
      <c r="L3797" s="1" t="str">
        <f aca="false">TEXT(D3797,"yyyy-mm")</f>
        <v>2024-05</v>
      </c>
    </row>
    <row r="3798" customFormat="false" ht="15" hidden="false" customHeight="true" outlineLevel="0" collapsed="false">
      <c r="A3798" s="1" t="n">
        <v>3883</v>
      </c>
      <c r="B3798" s="1" t="n">
        <v>463</v>
      </c>
      <c r="C3798" s="1" t="n">
        <v>10</v>
      </c>
      <c r="D3798" s="1" t="s">
        <v>1606</v>
      </c>
      <c r="E3798" s="1" t="n">
        <v>8</v>
      </c>
      <c r="F3798" s="1" t="n">
        <v>251.58</v>
      </c>
      <c r="G3798" s="1" t="n">
        <v>0</v>
      </c>
      <c r="H3798" s="1" t="s">
        <v>1336</v>
      </c>
      <c r="I3798" s="1" t="n">
        <v>2012.64</v>
      </c>
      <c r="J3798" s="1" t="str">
        <f aca="false">VLOOKUP(B3798,Customers!$A$2:$G$502,6,FALSE())</f>
        <v>Consumer</v>
      </c>
      <c r="K3798" s="1" t="str">
        <f aca="false">VLOOKUP(C3798,Products!$A$2:$E$62,3,FALSE())</f>
        <v>Electronics</v>
      </c>
      <c r="L3798" s="1" t="str">
        <f aca="false">TEXT(D3798,"yyyy-mm")</f>
        <v>2023-11</v>
      </c>
    </row>
    <row r="3799" customFormat="false" ht="15" hidden="false" customHeight="true" outlineLevel="0" collapsed="false">
      <c r="A3799" s="1" t="n">
        <v>3884</v>
      </c>
      <c r="B3799" s="1" t="n">
        <v>495</v>
      </c>
      <c r="C3799" s="1" t="n">
        <v>51</v>
      </c>
      <c r="D3799" s="1" t="s">
        <v>263</v>
      </c>
      <c r="E3799" s="1" t="n">
        <v>8</v>
      </c>
      <c r="F3799" s="1" t="n">
        <v>30.16</v>
      </c>
      <c r="G3799" s="1" t="n">
        <v>0</v>
      </c>
      <c r="H3799" s="1" t="s">
        <v>1336</v>
      </c>
      <c r="I3799" s="1" t="n">
        <v>241.28</v>
      </c>
      <c r="J3799" s="1" t="str">
        <f aca="false">VLOOKUP(B3799,Customers!$A$2:$G$502,6,FALSE())</f>
        <v>Small Business</v>
      </c>
      <c r="K3799" s="1" t="str">
        <f aca="false">VLOOKUP(C3799,Products!$A$2:$E$62,3,FALSE())</f>
        <v>Software</v>
      </c>
      <c r="L3799" s="1" t="str">
        <f aca="false">TEXT(D3799,"yyyy-mm")</f>
        <v>2023-04</v>
      </c>
    </row>
    <row r="3800" customFormat="false" ht="15" hidden="false" customHeight="true" outlineLevel="0" collapsed="false">
      <c r="A3800" s="1" t="n">
        <v>3885</v>
      </c>
      <c r="B3800" s="1" t="n">
        <v>411</v>
      </c>
      <c r="C3800" s="1" t="n">
        <v>33</v>
      </c>
      <c r="D3800" s="1" t="s">
        <v>832</v>
      </c>
      <c r="E3800" s="1" t="n">
        <v>8</v>
      </c>
      <c r="F3800" s="1" t="n">
        <v>190.1</v>
      </c>
      <c r="G3800" s="1" t="n">
        <v>0</v>
      </c>
      <c r="H3800" s="1" t="s">
        <v>1336</v>
      </c>
      <c r="I3800" s="1" t="n">
        <v>1520.8</v>
      </c>
      <c r="J3800" s="1" t="str">
        <f aca="false">VLOOKUP(B3800,Customers!$A$2:$G$502,6,FALSE())</f>
        <v>Corporate</v>
      </c>
      <c r="K3800" s="1" t="str">
        <f aca="false">VLOOKUP(C3800,Products!$A$2:$E$62,3,FALSE())</f>
        <v>Office Supplies</v>
      </c>
      <c r="L3800" s="1" t="str">
        <f aca="false">TEXT(D3800,"yyyy-mm")</f>
        <v>2024-12</v>
      </c>
    </row>
    <row r="3801" customFormat="false" ht="15" hidden="false" customHeight="true" outlineLevel="0" collapsed="false">
      <c r="A3801" s="1" t="n">
        <v>3886</v>
      </c>
      <c r="B3801" s="1" t="n">
        <v>222</v>
      </c>
      <c r="C3801" s="1" t="n">
        <v>45</v>
      </c>
      <c r="D3801" s="1" t="s">
        <v>1421</v>
      </c>
      <c r="E3801" s="1" t="n">
        <v>7</v>
      </c>
      <c r="F3801" s="1" t="n">
        <v>560.01</v>
      </c>
      <c r="G3801" s="1" t="n">
        <v>0.05</v>
      </c>
      <c r="H3801" s="1" t="s">
        <v>1336</v>
      </c>
      <c r="I3801" s="1" t="n">
        <v>3724.07</v>
      </c>
      <c r="J3801" s="1" t="str">
        <f aca="false">VLOOKUP(B3801,Customers!$A$2:$G$502,6,FALSE())</f>
        <v>Consumer</v>
      </c>
      <c r="K3801" s="1" t="str">
        <f aca="false">VLOOKUP(C3801,Products!$A$2:$E$62,3,FALSE())</f>
        <v>Software</v>
      </c>
      <c r="L3801" s="1" t="str">
        <f aca="false">TEXT(D3801,"yyyy-mm")</f>
        <v>2023-06</v>
      </c>
    </row>
    <row r="3802" customFormat="false" ht="15" hidden="false" customHeight="true" outlineLevel="0" collapsed="false">
      <c r="A3802" s="1" t="n">
        <v>3887</v>
      </c>
      <c r="B3802" s="1" t="n">
        <v>420</v>
      </c>
      <c r="C3802" s="1" t="n">
        <v>9</v>
      </c>
      <c r="D3802" s="1" t="s">
        <v>365</v>
      </c>
      <c r="E3802" s="1" t="n">
        <v>8</v>
      </c>
      <c r="F3802" s="1" t="n">
        <v>203.1</v>
      </c>
      <c r="G3802" s="1" t="n">
        <v>0.2</v>
      </c>
      <c r="H3802" s="1" t="s">
        <v>1336</v>
      </c>
      <c r="I3802" s="1" t="n">
        <v>1299.84</v>
      </c>
      <c r="J3802" s="1" t="str">
        <f aca="false">VLOOKUP(B3802,Customers!$A$2:$G$502,6,FALSE())</f>
        <v>Small Business</v>
      </c>
      <c r="K3802" s="1" t="str">
        <f aca="false">VLOOKUP(C3802,Products!$A$2:$E$62,3,FALSE())</f>
        <v>Electronics</v>
      </c>
      <c r="L3802" s="1" t="str">
        <f aca="false">TEXT(D3802,"yyyy-mm")</f>
        <v>2023-04</v>
      </c>
    </row>
    <row r="3803" customFormat="false" ht="15" hidden="false" customHeight="true" outlineLevel="0" collapsed="false">
      <c r="A3803" s="1" t="n">
        <v>3888</v>
      </c>
      <c r="B3803" s="1" t="n">
        <v>357</v>
      </c>
      <c r="C3803" s="1" t="n">
        <v>46</v>
      </c>
      <c r="D3803" s="1" t="s">
        <v>1545</v>
      </c>
      <c r="E3803" s="1" t="n">
        <v>8</v>
      </c>
      <c r="F3803" s="1" t="n">
        <v>94.92</v>
      </c>
      <c r="G3803" s="1" t="n">
        <v>0.1</v>
      </c>
      <c r="H3803" s="1" t="s">
        <v>1336</v>
      </c>
      <c r="I3803" s="1" t="n">
        <v>683.42</v>
      </c>
      <c r="J3803" s="1" t="str">
        <f aca="false">VLOOKUP(B3803,Customers!$A$2:$G$502,6,FALSE())</f>
        <v>Consumer</v>
      </c>
      <c r="K3803" s="1" t="str">
        <f aca="false">VLOOKUP(C3803,Products!$A$2:$E$62,3,FALSE())</f>
        <v>Software</v>
      </c>
      <c r="L3803" s="1" t="str">
        <f aca="false">TEXT(D3803,"yyyy-mm")</f>
        <v>2023-07</v>
      </c>
    </row>
    <row r="3804" customFormat="false" ht="15" hidden="false" customHeight="true" outlineLevel="0" collapsed="false">
      <c r="A3804" s="1" t="n">
        <v>3889</v>
      </c>
      <c r="B3804" s="1" t="n">
        <v>157</v>
      </c>
      <c r="C3804" s="1" t="n">
        <v>36</v>
      </c>
      <c r="D3804" s="1" t="s">
        <v>1516</v>
      </c>
      <c r="E3804" s="1" t="n">
        <v>8</v>
      </c>
      <c r="F3804" s="1" t="n">
        <v>424.45</v>
      </c>
      <c r="G3804" s="1" t="n">
        <v>0</v>
      </c>
      <c r="H3804" s="1" t="s">
        <v>1336</v>
      </c>
      <c r="I3804" s="1" t="n">
        <v>3395.6</v>
      </c>
      <c r="J3804" s="1" t="str">
        <f aca="false">VLOOKUP(B3804,Customers!$A$2:$G$502,6,FALSE())</f>
        <v>Corporate</v>
      </c>
      <c r="K3804" s="1" t="str">
        <f aca="false">VLOOKUP(C3804,Products!$A$2:$E$62,3,FALSE())</f>
        <v>Software</v>
      </c>
      <c r="L3804" s="1" t="str">
        <f aca="false">TEXT(D3804,"yyyy-mm")</f>
        <v>2023-02</v>
      </c>
    </row>
    <row r="3805" customFormat="false" ht="15" hidden="false" customHeight="true" outlineLevel="0" collapsed="false">
      <c r="A3805" s="1" t="n">
        <v>3890</v>
      </c>
      <c r="B3805" s="1" t="n">
        <v>271</v>
      </c>
      <c r="C3805" s="1" t="n">
        <v>46</v>
      </c>
      <c r="D3805" s="1" t="s">
        <v>167</v>
      </c>
      <c r="E3805" s="1" t="n">
        <v>7</v>
      </c>
      <c r="F3805" s="1" t="n">
        <v>94.92</v>
      </c>
      <c r="G3805" s="1" t="n">
        <v>0.1</v>
      </c>
      <c r="H3805" s="1" t="s">
        <v>1336</v>
      </c>
      <c r="I3805" s="1" t="n">
        <v>598</v>
      </c>
      <c r="J3805" s="1" t="str">
        <f aca="false">VLOOKUP(B3805,Customers!$A$2:$G$502,6,FALSE())</f>
        <v>Small Business</v>
      </c>
      <c r="K3805" s="1" t="str">
        <f aca="false">VLOOKUP(C3805,Products!$A$2:$E$62,3,FALSE())</f>
        <v>Software</v>
      </c>
      <c r="L3805" s="1" t="str">
        <f aca="false">TEXT(D3805,"yyyy-mm")</f>
        <v>2023-03</v>
      </c>
    </row>
    <row r="3806" customFormat="false" ht="15" hidden="false" customHeight="true" outlineLevel="0" collapsed="false">
      <c r="A3806" s="1" t="n">
        <v>3891</v>
      </c>
      <c r="B3806" s="1" t="n">
        <v>60</v>
      </c>
      <c r="C3806" s="1" t="n">
        <v>53</v>
      </c>
      <c r="D3806" s="1" t="s">
        <v>980</v>
      </c>
      <c r="E3806" s="1" t="n">
        <v>1</v>
      </c>
      <c r="F3806" s="1" t="n">
        <v>509.98</v>
      </c>
      <c r="G3806" s="1" t="n">
        <v>0</v>
      </c>
      <c r="H3806" s="1" t="s">
        <v>1336</v>
      </c>
      <c r="I3806" s="1" t="n">
        <v>509.98</v>
      </c>
      <c r="J3806" s="1" t="str">
        <f aca="false">VLOOKUP(B3806,Customers!$A$2:$G$502,6,FALSE())</f>
        <v>Corporate</v>
      </c>
      <c r="K3806" s="1" t="str">
        <f aca="false">VLOOKUP(C3806,Products!$A$2:$E$62,3,FALSE())</f>
        <v>Software</v>
      </c>
      <c r="L3806" s="1" t="str">
        <f aca="false">TEXT(D3806,"yyyy-mm")</f>
        <v>2024-08</v>
      </c>
    </row>
    <row r="3807" customFormat="false" ht="15" hidden="false" customHeight="true" outlineLevel="0" collapsed="false">
      <c r="A3807" s="1" t="n">
        <v>3892</v>
      </c>
      <c r="B3807" s="1" t="n">
        <v>344</v>
      </c>
      <c r="C3807" s="1" t="n">
        <v>14</v>
      </c>
      <c r="D3807" s="1" t="s">
        <v>614</v>
      </c>
      <c r="E3807" s="1" t="n">
        <v>4</v>
      </c>
      <c r="F3807" s="1" t="n">
        <v>135.27</v>
      </c>
      <c r="G3807" s="1" t="n">
        <v>0</v>
      </c>
      <c r="H3807" s="1" t="s">
        <v>1336</v>
      </c>
      <c r="I3807" s="1" t="n">
        <v>541.08</v>
      </c>
      <c r="J3807" s="1" t="str">
        <f aca="false">VLOOKUP(B3807,Customers!$A$2:$G$502,6,FALSE())</f>
        <v>Small Business</v>
      </c>
      <c r="K3807" s="1" t="str">
        <f aca="false">VLOOKUP(C3807,Products!$A$2:$E$62,3,FALSE())</f>
        <v>Electronics</v>
      </c>
      <c r="L3807" s="1" t="str">
        <f aca="false">TEXT(D3807,"yyyy-mm")</f>
        <v>2023-07</v>
      </c>
    </row>
    <row r="3808" customFormat="false" ht="15" hidden="false" customHeight="true" outlineLevel="0" collapsed="false">
      <c r="A3808" s="1" t="n">
        <v>3893</v>
      </c>
      <c r="B3808" s="1" t="n">
        <v>227</v>
      </c>
      <c r="C3808" s="1" t="n">
        <v>10</v>
      </c>
      <c r="D3808" s="1" t="s">
        <v>317</v>
      </c>
      <c r="E3808" s="1" t="n">
        <v>4</v>
      </c>
      <c r="F3808" s="1" t="n">
        <v>251.58</v>
      </c>
      <c r="G3808" s="1" t="n">
        <v>0.2</v>
      </c>
      <c r="H3808" s="1" t="s">
        <v>1336</v>
      </c>
      <c r="I3808" s="1" t="n">
        <v>805.06</v>
      </c>
      <c r="J3808" s="1" t="str">
        <f aca="false">VLOOKUP(B3808,Customers!$A$2:$G$502,6,FALSE())</f>
        <v>Consumer</v>
      </c>
      <c r="K3808" s="1" t="str">
        <f aca="false">VLOOKUP(C3808,Products!$A$2:$E$62,3,FALSE())</f>
        <v>Electronics</v>
      </c>
      <c r="L3808" s="1" t="str">
        <f aca="false">TEXT(D3808,"yyyy-mm")</f>
        <v>2023-08</v>
      </c>
    </row>
    <row r="3809" customFormat="false" ht="15" hidden="false" customHeight="true" outlineLevel="0" collapsed="false">
      <c r="A3809" s="1" t="n">
        <v>3894</v>
      </c>
      <c r="B3809" s="1" t="n">
        <v>154</v>
      </c>
      <c r="C3809" s="1" t="n">
        <v>60</v>
      </c>
      <c r="D3809" s="1" t="s">
        <v>489</v>
      </c>
      <c r="E3809" s="1" t="n">
        <v>5</v>
      </c>
      <c r="F3809" s="1" t="n">
        <v>584.98</v>
      </c>
      <c r="G3809" s="1" t="n">
        <v>0.15</v>
      </c>
      <c r="H3809" s="1" t="s">
        <v>1370</v>
      </c>
      <c r="I3809" s="1" t="n">
        <v>2486.16</v>
      </c>
      <c r="J3809" s="1" t="str">
        <f aca="false">VLOOKUP(B3809,Customers!$A$2:$G$502,6,FALSE())</f>
        <v>Small Business</v>
      </c>
      <c r="K3809" s="1" t="str">
        <f aca="false">VLOOKUP(C3809,Products!$A$2:$E$62,3,FALSE())</f>
        <v>Furniture</v>
      </c>
      <c r="L3809" s="1" t="str">
        <f aca="false">TEXT(D3809,"yyyy-mm")</f>
        <v>2024-12</v>
      </c>
    </row>
    <row r="3810" customFormat="false" ht="15" hidden="false" customHeight="true" outlineLevel="0" collapsed="false">
      <c r="A3810" s="1" t="n">
        <v>3895</v>
      </c>
      <c r="B3810" s="1" t="n">
        <v>112</v>
      </c>
      <c r="C3810" s="1" t="n">
        <v>45</v>
      </c>
      <c r="D3810" s="1" t="s">
        <v>1340</v>
      </c>
      <c r="E3810" s="1" t="n">
        <v>6</v>
      </c>
      <c r="F3810" s="1" t="n">
        <v>560.01</v>
      </c>
      <c r="G3810" s="1" t="n">
        <v>0.1</v>
      </c>
      <c r="H3810" s="1" t="s">
        <v>1336</v>
      </c>
      <c r="I3810" s="1" t="n">
        <v>3024.05</v>
      </c>
      <c r="J3810" s="1" t="str">
        <f aca="false">VLOOKUP(B3810,Customers!$A$2:$G$502,6,FALSE())</f>
        <v>Corporate</v>
      </c>
      <c r="K3810" s="1" t="str">
        <f aca="false">VLOOKUP(C3810,Products!$A$2:$E$62,3,FALSE())</f>
        <v>Software</v>
      </c>
      <c r="L3810" s="1" t="str">
        <f aca="false">TEXT(D3810,"yyyy-mm")</f>
        <v>2024-07</v>
      </c>
    </row>
    <row r="3811" customFormat="false" ht="15" hidden="false" customHeight="true" outlineLevel="0" collapsed="false">
      <c r="A3811" s="1" t="n">
        <v>3896</v>
      </c>
      <c r="B3811" s="1" t="n">
        <v>149</v>
      </c>
      <c r="C3811" s="1" t="n">
        <v>3</v>
      </c>
      <c r="D3811" s="1" t="s">
        <v>1627</v>
      </c>
      <c r="E3811" s="1" t="n">
        <v>4</v>
      </c>
      <c r="F3811" s="1" t="n">
        <v>89.39</v>
      </c>
      <c r="G3811" s="1" t="n">
        <v>0.2</v>
      </c>
      <c r="H3811" s="1" t="s">
        <v>1336</v>
      </c>
      <c r="I3811" s="1" t="n">
        <v>286.05</v>
      </c>
      <c r="J3811" s="1" t="str">
        <f aca="false">VLOOKUP(B3811,Customers!$A$2:$G$502,6,FALSE())</f>
        <v>Consumer</v>
      </c>
      <c r="K3811" s="1" t="str">
        <f aca="false">VLOOKUP(C3811,Products!$A$2:$E$62,3,FALSE())</f>
        <v>Electronics</v>
      </c>
      <c r="L3811" s="1" t="str">
        <f aca="false">TEXT(D3811,"yyyy-mm")</f>
        <v>2023-11</v>
      </c>
    </row>
    <row r="3812" customFormat="false" ht="15" hidden="false" customHeight="true" outlineLevel="0" collapsed="false">
      <c r="A3812" s="1" t="n">
        <v>3897</v>
      </c>
      <c r="B3812" s="1" t="n">
        <v>12</v>
      </c>
      <c r="C3812" s="1" t="n">
        <v>49</v>
      </c>
      <c r="D3812" s="1" t="s">
        <v>266</v>
      </c>
      <c r="E3812" s="1" t="n">
        <v>2</v>
      </c>
      <c r="F3812" s="1" t="n">
        <v>325.17</v>
      </c>
      <c r="G3812" s="1" t="n">
        <v>0</v>
      </c>
      <c r="H3812" s="1" t="s">
        <v>1370</v>
      </c>
      <c r="I3812" s="1" t="n">
        <v>650.34</v>
      </c>
      <c r="J3812" s="1" t="str">
        <f aca="false">VLOOKUP(B3812,Customers!$A$2:$G$502,6,FALSE())</f>
        <v>Small Business</v>
      </c>
      <c r="K3812" s="1" t="str">
        <f aca="false">VLOOKUP(C3812,Products!$A$2:$E$62,3,FALSE())</f>
        <v>Software</v>
      </c>
      <c r="L3812" s="1" t="str">
        <f aca="false">TEXT(D3812,"yyyy-mm")</f>
        <v>2023-09</v>
      </c>
    </row>
    <row r="3813" customFormat="false" ht="15" hidden="false" customHeight="true" outlineLevel="0" collapsed="false">
      <c r="A3813" s="1" t="n">
        <v>3898</v>
      </c>
      <c r="B3813" s="1" t="n">
        <v>253</v>
      </c>
      <c r="C3813" s="1" t="n">
        <v>5</v>
      </c>
      <c r="D3813" s="1" t="s">
        <v>1676</v>
      </c>
      <c r="E3813" s="1" t="n">
        <v>6</v>
      </c>
      <c r="F3813" s="1" t="n">
        <v>439.06</v>
      </c>
      <c r="G3813" s="1" t="n">
        <v>0.1</v>
      </c>
      <c r="H3813" s="1" t="s">
        <v>1336</v>
      </c>
      <c r="I3813" s="1" t="n">
        <v>2370.92</v>
      </c>
      <c r="J3813" s="1" t="str">
        <f aca="false">VLOOKUP(B3813,Customers!$A$2:$G$502,6,FALSE())</f>
        <v>Consumer</v>
      </c>
      <c r="K3813" s="1" t="str">
        <f aca="false">VLOOKUP(C3813,Products!$A$2:$E$62,3,FALSE())</f>
        <v>Electronics</v>
      </c>
      <c r="L3813" s="1" t="str">
        <f aca="false">TEXT(D3813,"yyyy-mm")</f>
        <v>2023-09</v>
      </c>
    </row>
    <row r="3814" customFormat="false" ht="15" hidden="false" customHeight="true" outlineLevel="0" collapsed="false">
      <c r="A3814" s="1" t="n">
        <v>3899</v>
      </c>
      <c r="B3814" s="1" t="n">
        <v>233</v>
      </c>
      <c r="C3814" s="1" t="n">
        <v>23</v>
      </c>
      <c r="D3814" s="1" t="s">
        <v>804</v>
      </c>
      <c r="E3814" s="1" t="n">
        <v>8</v>
      </c>
      <c r="F3814" s="1" t="n">
        <v>188.73</v>
      </c>
      <c r="G3814" s="1" t="n">
        <v>0</v>
      </c>
      <c r="H3814" s="1" t="s">
        <v>1336</v>
      </c>
      <c r="I3814" s="1" t="n">
        <v>1509.84</v>
      </c>
      <c r="J3814" s="1" t="str">
        <f aca="false">VLOOKUP(B3814,Customers!$A$2:$G$502,6,FALSE())</f>
        <v>Corporate</v>
      </c>
      <c r="K3814" s="1" t="str">
        <f aca="false">VLOOKUP(C3814,Products!$A$2:$E$62,3,FALSE())</f>
        <v>Office Supplies</v>
      </c>
      <c r="L3814" s="1" t="str">
        <f aca="false">TEXT(D3814,"yyyy-mm")</f>
        <v>2024-12</v>
      </c>
    </row>
    <row r="3815" customFormat="false" ht="15" hidden="false" customHeight="true" outlineLevel="0" collapsed="false">
      <c r="A3815" s="1" t="n">
        <v>3900</v>
      </c>
      <c r="B3815" s="1" t="n">
        <v>423</v>
      </c>
      <c r="C3815" s="1" t="n">
        <v>25</v>
      </c>
      <c r="D3815" s="1" t="s">
        <v>1699</v>
      </c>
      <c r="E3815" s="1" t="n">
        <v>8</v>
      </c>
      <c r="F3815" s="1" t="n">
        <v>300.49</v>
      </c>
      <c r="G3815" s="1" t="n">
        <v>0</v>
      </c>
      <c r="H3815" s="1" t="s">
        <v>1336</v>
      </c>
      <c r="I3815" s="1" t="n">
        <v>2403.92</v>
      </c>
      <c r="J3815" s="1" t="str">
        <f aca="false">VLOOKUP(B3815,Customers!$A$2:$G$502,6,FALSE())</f>
        <v>Small Business</v>
      </c>
      <c r="K3815" s="1" t="str">
        <f aca="false">VLOOKUP(C3815,Products!$A$2:$E$62,3,FALSE())</f>
        <v>Office Supplies</v>
      </c>
      <c r="L3815" s="1" t="str">
        <f aca="false">TEXT(D3815,"yyyy-mm")</f>
        <v>2023-08</v>
      </c>
    </row>
    <row r="3816" customFormat="false" ht="15" hidden="false" customHeight="true" outlineLevel="0" collapsed="false">
      <c r="A3816" s="1" t="n">
        <v>3901</v>
      </c>
      <c r="B3816" s="1" t="n">
        <v>258</v>
      </c>
      <c r="C3816" s="1" t="n">
        <v>47</v>
      </c>
      <c r="D3816" s="1" t="s">
        <v>1441</v>
      </c>
      <c r="E3816" s="1" t="n">
        <v>7</v>
      </c>
      <c r="F3816" s="1" t="n">
        <v>506.19</v>
      </c>
      <c r="G3816" s="1" t="n">
        <v>0</v>
      </c>
      <c r="H3816" s="1" t="s">
        <v>1336</v>
      </c>
      <c r="I3816" s="1" t="n">
        <v>3543.33</v>
      </c>
      <c r="J3816" s="1" t="str">
        <f aca="false">VLOOKUP(B3816,Customers!$A$2:$G$502,6,FALSE())</f>
        <v>Small Business</v>
      </c>
      <c r="K3816" s="1" t="str">
        <f aca="false">VLOOKUP(C3816,Products!$A$2:$E$62,3,FALSE())</f>
        <v>Software</v>
      </c>
      <c r="L3816" s="1" t="str">
        <f aca="false">TEXT(D3816,"yyyy-mm")</f>
        <v>2023-03</v>
      </c>
    </row>
    <row r="3817" customFormat="false" ht="15" hidden="false" customHeight="true" outlineLevel="0" collapsed="false">
      <c r="A3817" s="1" t="n">
        <v>3902</v>
      </c>
      <c r="B3817" s="1" t="n">
        <v>162</v>
      </c>
      <c r="C3817" s="1" t="n">
        <v>50</v>
      </c>
      <c r="D3817" s="1" t="s">
        <v>84</v>
      </c>
      <c r="E3817" s="1" t="n">
        <v>6</v>
      </c>
      <c r="F3817" s="1" t="n">
        <v>19.73</v>
      </c>
      <c r="G3817" s="1" t="n">
        <v>0.2</v>
      </c>
      <c r="H3817" s="1" t="s">
        <v>1336</v>
      </c>
      <c r="I3817" s="1" t="n">
        <v>94.7</v>
      </c>
      <c r="J3817" s="1" t="str">
        <f aca="false">VLOOKUP(B3817,Customers!$A$2:$G$502,6,FALSE())</f>
        <v>Small Business</v>
      </c>
      <c r="K3817" s="1" t="str">
        <f aca="false">VLOOKUP(C3817,Products!$A$2:$E$62,3,FALSE())</f>
        <v>Software</v>
      </c>
      <c r="L3817" s="1" t="str">
        <f aca="false">TEXT(D3817,"yyyy-mm")</f>
        <v>2024-12</v>
      </c>
    </row>
    <row r="3818" customFormat="false" ht="15" hidden="false" customHeight="true" outlineLevel="0" collapsed="false">
      <c r="A3818" s="1" t="n">
        <v>3903</v>
      </c>
      <c r="B3818" s="1" t="n">
        <v>439</v>
      </c>
      <c r="C3818" s="1" t="n">
        <v>37</v>
      </c>
      <c r="D3818" s="1" t="s">
        <v>1476</v>
      </c>
      <c r="E3818" s="1" t="n">
        <v>2</v>
      </c>
      <c r="F3818" s="1" t="n">
        <v>13.95</v>
      </c>
      <c r="G3818" s="1" t="n">
        <v>0.05</v>
      </c>
      <c r="H3818" s="1" t="s">
        <v>1336</v>
      </c>
      <c r="I3818" s="1" t="n">
        <v>26.5</v>
      </c>
      <c r="J3818" s="1" t="str">
        <f aca="false">VLOOKUP(B3818,Customers!$A$2:$G$502,6,FALSE())</f>
        <v>Corporate</v>
      </c>
      <c r="K3818" s="1" t="str">
        <f aca="false">VLOOKUP(C3818,Products!$A$2:$E$62,3,FALSE())</f>
        <v>Software</v>
      </c>
      <c r="L3818" s="1" t="str">
        <f aca="false">TEXT(D3818,"yyyy-mm")</f>
        <v>2024-09</v>
      </c>
    </row>
    <row r="3819" customFormat="false" ht="15" hidden="false" customHeight="true" outlineLevel="0" collapsed="false">
      <c r="A3819" s="1" t="n">
        <v>3904</v>
      </c>
      <c r="B3819" s="1" t="n">
        <v>12</v>
      </c>
      <c r="C3819" s="1" t="n">
        <v>1</v>
      </c>
      <c r="D3819" s="1" t="s">
        <v>620</v>
      </c>
      <c r="E3819" s="1" t="n">
        <v>7</v>
      </c>
      <c r="F3819" s="1" t="n">
        <v>327.32</v>
      </c>
      <c r="G3819" s="1" t="n">
        <v>0.1</v>
      </c>
      <c r="H3819" s="1" t="s">
        <v>1336</v>
      </c>
      <c r="I3819" s="1" t="n">
        <v>2062.12</v>
      </c>
      <c r="J3819" s="1" t="str">
        <f aca="false">VLOOKUP(B3819,Customers!$A$2:$G$502,6,FALSE())</f>
        <v>Small Business</v>
      </c>
      <c r="K3819" s="1" t="str">
        <f aca="false">VLOOKUP(C3819,Products!$A$2:$E$62,3,FALSE())</f>
        <v>Electronics</v>
      </c>
      <c r="L3819" s="1" t="str">
        <f aca="false">TEXT(D3819,"yyyy-mm")</f>
        <v>2023-12</v>
      </c>
    </row>
    <row r="3820" customFormat="false" ht="15" hidden="false" customHeight="true" outlineLevel="0" collapsed="false">
      <c r="A3820" s="1" t="n">
        <v>3905</v>
      </c>
      <c r="B3820" s="1" t="n">
        <v>204</v>
      </c>
      <c r="C3820" s="1" t="n">
        <v>26</v>
      </c>
      <c r="D3820" s="1" t="s">
        <v>1223</v>
      </c>
      <c r="E3820" s="1" t="n">
        <v>5</v>
      </c>
      <c r="F3820" s="1" t="n">
        <v>733.85</v>
      </c>
      <c r="G3820" s="1" t="n">
        <v>0.1</v>
      </c>
      <c r="H3820" s="1" t="s">
        <v>1336</v>
      </c>
      <c r="I3820" s="1" t="n">
        <v>3302.32</v>
      </c>
      <c r="J3820" s="1" t="str">
        <f aca="false">VLOOKUP(B3820,Customers!$A$2:$G$502,6,FALSE())</f>
        <v>Small Business</v>
      </c>
      <c r="K3820" s="1" t="str">
        <f aca="false">VLOOKUP(C3820,Products!$A$2:$E$62,3,FALSE())</f>
        <v>Office Supplies</v>
      </c>
      <c r="L3820" s="1" t="str">
        <f aca="false">TEXT(D3820,"yyyy-mm")</f>
        <v>2024-12</v>
      </c>
    </row>
    <row r="3821" customFormat="false" ht="15" hidden="false" customHeight="true" outlineLevel="0" collapsed="false">
      <c r="A3821" s="1" t="n">
        <v>3906</v>
      </c>
      <c r="B3821" s="1" t="n">
        <v>354</v>
      </c>
      <c r="C3821" s="1" t="n">
        <v>30</v>
      </c>
      <c r="D3821" s="1" t="s">
        <v>1674</v>
      </c>
      <c r="E3821" s="1" t="n">
        <v>6</v>
      </c>
      <c r="F3821" s="1" t="n">
        <v>33.32</v>
      </c>
      <c r="G3821" s="1" t="n">
        <v>0</v>
      </c>
      <c r="H3821" s="1" t="s">
        <v>1336</v>
      </c>
      <c r="I3821" s="1" t="n">
        <v>199.92</v>
      </c>
      <c r="J3821" s="1" t="str">
        <f aca="false">VLOOKUP(B3821,Customers!$A$2:$G$502,6,FALSE())</f>
        <v>Consumer</v>
      </c>
      <c r="K3821" s="1" t="str">
        <f aca="false">VLOOKUP(C3821,Products!$A$2:$E$62,3,FALSE())</f>
        <v>Office Supplies</v>
      </c>
      <c r="L3821" s="1" t="str">
        <f aca="false">TEXT(D3821,"yyyy-mm")</f>
        <v>2023-03</v>
      </c>
    </row>
    <row r="3822" customFormat="false" ht="15" hidden="false" customHeight="true" outlineLevel="0" collapsed="false">
      <c r="A3822" s="1" t="n">
        <v>3907</v>
      </c>
      <c r="B3822" s="1" t="n">
        <v>401</v>
      </c>
      <c r="C3822" s="1" t="n">
        <v>2</v>
      </c>
      <c r="D3822" s="1" t="s">
        <v>446</v>
      </c>
      <c r="E3822" s="1" t="n">
        <v>8</v>
      </c>
      <c r="F3822" s="1" t="n">
        <v>498.15</v>
      </c>
      <c r="G3822" s="1" t="n">
        <v>0.05</v>
      </c>
      <c r="H3822" s="1" t="s">
        <v>1336</v>
      </c>
      <c r="I3822" s="1" t="n">
        <v>3785.94</v>
      </c>
      <c r="J3822" s="1" t="str">
        <f aca="false">VLOOKUP(B3822,Customers!$A$2:$G$502,6,FALSE())</f>
        <v>Consumer</v>
      </c>
      <c r="K3822" s="1" t="str">
        <f aca="false">VLOOKUP(C3822,Products!$A$2:$E$62,3,FALSE())</f>
        <v>Electronics</v>
      </c>
      <c r="L3822" s="1" t="str">
        <f aca="false">TEXT(D3822,"yyyy-mm")</f>
        <v>2024-08</v>
      </c>
    </row>
    <row r="3823" customFormat="false" ht="15" hidden="false" customHeight="true" outlineLevel="0" collapsed="false">
      <c r="A3823" s="1" t="n">
        <v>3908</v>
      </c>
      <c r="B3823" s="1" t="n">
        <v>102</v>
      </c>
      <c r="C3823" s="1" t="n">
        <v>16</v>
      </c>
      <c r="D3823" s="1" t="s">
        <v>1474</v>
      </c>
      <c r="E3823" s="1" t="n">
        <v>8</v>
      </c>
      <c r="F3823" s="1" t="n">
        <v>330.91</v>
      </c>
      <c r="G3823" s="1" t="n">
        <v>0</v>
      </c>
      <c r="H3823" s="1" t="s">
        <v>1336</v>
      </c>
      <c r="I3823" s="1" t="n">
        <v>2647.28</v>
      </c>
      <c r="J3823" s="1" t="str">
        <f aca="false">VLOOKUP(B3823,Customers!$A$2:$G$502,6,FALSE())</f>
        <v>Consumer</v>
      </c>
      <c r="K3823" s="1" t="str">
        <f aca="false">VLOOKUP(C3823,Products!$A$2:$E$62,3,FALSE())</f>
        <v>Electronics</v>
      </c>
      <c r="L3823" s="1" t="str">
        <f aca="false">TEXT(D3823,"yyyy-mm")</f>
        <v>2023-07</v>
      </c>
    </row>
    <row r="3824" customFormat="false" ht="15" hidden="false" customHeight="true" outlineLevel="0" collapsed="false">
      <c r="A3824" s="1" t="n">
        <v>3909</v>
      </c>
      <c r="B3824" s="1" t="n">
        <v>456</v>
      </c>
      <c r="C3824" s="1" t="n">
        <v>35</v>
      </c>
      <c r="D3824" s="1" t="s">
        <v>1147</v>
      </c>
      <c r="E3824" s="1" t="n">
        <v>3</v>
      </c>
      <c r="F3824" s="1" t="n">
        <v>75.78</v>
      </c>
      <c r="G3824" s="1" t="n">
        <v>0</v>
      </c>
      <c r="H3824" s="1" t="s">
        <v>1336</v>
      </c>
      <c r="I3824" s="1" t="n">
        <v>227.34</v>
      </c>
      <c r="J3824" s="1" t="str">
        <f aca="false">VLOOKUP(B3824,Customers!$A$2:$G$502,6,FALSE())</f>
        <v>Consumer</v>
      </c>
      <c r="K3824" s="1" t="str">
        <f aca="false">VLOOKUP(C3824,Products!$A$2:$E$62,3,FALSE())</f>
        <v>Software</v>
      </c>
      <c r="L3824" s="1" t="str">
        <f aca="false">TEXT(D3824,"yyyy-mm")</f>
        <v>2024-05</v>
      </c>
    </row>
    <row r="3825" customFormat="false" ht="15" hidden="false" customHeight="true" outlineLevel="0" collapsed="false">
      <c r="A3825" s="1" t="n">
        <v>3910</v>
      </c>
      <c r="B3825" s="1" t="n">
        <v>320</v>
      </c>
      <c r="C3825" s="1" t="n">
        <v>57</v>
      </c>
      <c r="D3825" s="1" t="s">
        <v>1610</v>
      </c>
      <c r="E3825" s="1" t="n">
        <v>7</v>
      </c>
      <c r="F3825" s="1" t="n">
        <v>719.76</v>
      </c>
      <c r="G3825" s="1" t="n">
        <v>0</v>
      </c>
      <c r="H3825" s="1" t="s">
        <v>1336</v>
      </c>
      <c r="I3825" s="1" t="n">
        <v>5038.32</v>
      </c>
      <c r="J3825" s="1" t="str">
        <f aca="false">VLOOKUP(B3825,Customers!$A$2:$G$502,6,FALSE())</f>
        <v>Corporate</v>
      </c>
      <c r="K3825" s="1" t="str">
        <f aca="false">VLOOKUP(C3825,Products!$A$2:$E$62,3,FALSE())</f>
        <v>Furniture</v>
      </c>
      <c r="L3825" s="1" t="str">
        <f aca="false">TEXT(D3825,"yyyy-mm")</f>
        <v>2024-10</v>
      </c>
    </row>
    <row r="3826" customFormat="false" ht="15" hidden="false" customHeight="true" outlineLevel="0" collapsed="false">
      <c r="A3826" s="1" t="n">
        <v>3911</v>
      </c>
      <c r="B3826" s="1" t="n">
        <v>253</v>
      </c>
      <c r="C3826" s="1" t="n">
        <v>12</v>
      </c>
      <c r="D3826" s="1" t="s">
        <v>1680</v>
      </c>
      <c r="E3826" s="1" t="n">
        <v>1</v>
      </c>
      <c r="F3826" s="1" t="n">
        <v>179.23</v>
      </c>
      <c r="G3826" s="1" t="n">
        <v>0.1</v>
      </c>
      <c r="H3826" s="1" t="s">
        <v>1336</v>
      </c>
      <c r="I3826" s="1" t="n">
        <v>161.31</v>
      </c>
      <c r="J3826" s="1" t="str">
        <f aca="false">VLOOKUP(B3826,Customers!$A$2:$G$502,6,FALSE())</f>
        <v>Consumer</v>
      </c>
      <c r="K3826" s="1" t="str">
        <f aca="false">VLOOKUP(C3826,Products!$A$2:$E$62,3,FALSE())</f>
        <v>Electronics</v>
      </c>
      <c r="L3826" s="1" t="str">
        <f aca="false">TEXT(D3826,"yyyy-mm")</f>
        <v>2023-05</v>
      </c>
    </row>
    <row r="3827" customFormat="false" ht="15" hidden="false" customHeight="true" outlineLevel="0" collapsed="false">
      <c r="A3827" s="1" t="n">
        <v>3912</v>
      </c>
      <c r="B3827" s="1" t="n">
        <v>352</v>
      </c>
      <c r="C3827" s="1" t="n">
        <v>24</v>
      </c>
      <c r="D3827" s="1" t="s">
        <v>295</v>
      </c>
      <c r="E3827" s="1" t="n">
        <v>1</v>
      </c>
      <c r="F3827" s="1" t="n">
        <v>207.34</v>
      </c>
      <c r="G3827" s="1" t="n">
        <v>0</v>
      </c>
      <c r="H3827" s="1" t="s">
        <v>1336</v>
      </c>
      <c r="I3827" s="1" t="n">
        <v>207.34</v>
      </c>
      <c r="J3827" s="1" t="str">
        <f aca="false">VLOOKUP(B3827,Customers!$A$2:$G$502,6,FALSE())</f>
        <v>Corporate</v>
      </c>
      <c r="K3827" s="1" t="str">
        <f aca="false">VLOOKUP(C3827,Products!$A$2:$E$62,3,FALSE())</f>
        <v>Office Supplies</v>
      </c>
      <c r="L3827" s="1" t="str">
        <f aca="false">TEXT(D3827,"yyyy-mm")</f>
        <v>2024-07</v>
      </c>
    </row>
    <row r="3828" customFormat="false" ht="15" hidden="false" customHeight="true" outlineLevel="0" collapsed="false">
      <c r="A3828" s="1" t="n">
        <v>3913</v>
      </c>
      <c r="B3828" s="1" t="n">
        <v>318</v>
      </c>
      <c r="C3828" s="1" t="n">
        <v>50</v>
      </c>
      <c r="D3828" s="1" t="s">
        <v>356</v>
      </c>
      <c r="E3828" s="1" t="n">
        <v>7</v>
      </c>
      <c r="F3828" s="1" t="n">
        <v>19.73</v>
      </c>
      <c r="G3828" s="1" t="n">
        <v>0.1</v>
      </c>
      <c r="H3828" s="1" t="s">
        <v>1370</v>
      </c>
      <c r="I3828" s="1" t="n">
        <v>124.3</v>
      </c>
      <c r="J3828" s="1" t="str">
        <f aca="false">VLOOKUP(B3828,Customers!$A$2:$G$502,6,FALSE())</f>
        <v>Consumer</v>
      </c>
      <c r="K3828" s="1" t="str">
        <f aca="false">VLOOKUP(C3828,Products!$A$2:$E$62,3,FALSE())</f>
        <v>Software</v>
      </c>
      <c r="L3828" s="1" t="str">
        <f aca="false">TEXT(D3828,"yyyy-mm")</f>
        <v>2023-04</v>
      </c>
    </row>
    <row r="3829" customFormat="false" ht="15" hidden="false" customHeight="true" outlineLevel="0" collapsed="false">
      <c r="A3829" s="1" t="n">
        <v>3914</v>
      </c>
      <c r="B3829" s="1" t="n">
        <v>266</v>
      </c>
      <c r="C3829" s="1" t="n">
        <v>56</v>
      </c>
      <c r="D3829" s="1" t="s">
        <v>280</v>
      </c>
      <c r="E3829" s="1" t="n">
        <v>9</v>
      </c>
      <c r="F3829" s="1" t="n">
        <v>160.64</v>
      </c>
      <c r="G3829" s="1" t="n">
        <v>0.2</v>
      </c>
      <c r="H3829" s="1" t="s">
        <v>1336</v>
      </c>
      <c r="I3829" s="1" t="n">
        <v>1156.61</v>
      </c>
      <c r="J3829" s="1" t="str">
        <f aca="false">VLOOKUP(B3829,Customers!$A$2:$G$502,6,FALSE())</f>
        <v>Corporate</v>
      </c>
      <c r="K3829" s="1" t="str">
        <f aca="false">VLOOKUP(C3829,Products!$A$2:$E$62,3,FALSE())</f>
        <v>Furniture</v>
      </c>
      <c r="L3829" s="1" t="str">
        <f aca="false">TEXT(D3829,"yyyy-mm")</f>
        <v>2023-06</v>
      </c>
    </row>
    <row r="3830" customFormat="false" ht="15" hidden="false" customHeight="true" outlineLevel="0" collapsed="false">
      <c r="A3830" s="1" t="n">
        <v>3915</v>
      </c>
      <c r="B3830" s="1" t="n">
        <v>281</v>
      </c>
      <c r="C3830" s="1" t="n">
        <v>46</v>
      </c>
      <c r="D3830" s="1" t="s">
        <v>1488</v>
      </c>
      <c r="E3830" s="1" t="n">
        <v>7</v>
      </c>
      <c r="F3830" s="1" t="n">
        <v>94.92</v>
      </c>
      <c r="G3830" s="1" t="n">
        <v>0</v>
      </c>
      <c r="H3830" s="1" t="s">
        <v>1336</v>
      </c>
      <c r="I3830" s="1" t="n">
        <v>664.44</v>
      </c>
      <c r="J3830" s="1" t="str">
        <f aca="false">VLOOKUP(B3830,Customers!$A$2:$G$502,6,FALSE())</f>
        <v>Corporate</v>
      </c>
      <c r="K3830" s="1" t="str">
        <f aca="false">VLOOKUP(C3830,Products!$A$2:$E$62,3,FALSE())</f>
        <v>Software</v>
      </c>
      <c r="L3830" s="1" t="str">
        <f aca="false">TEXT(D3830,"yyyy-mm")</f>
        <v>2024-05</v>
      </c>
    </row>
    <row r="3831" customFormat="false" ht="15" hidden="false" customHeight="true" outlineLevel="0" collapsed="false">
      <c r="A3831" s="1" t="n">
        <v>3916</v>
      </c>
      <c r="B3831" s="1" t="n">
        <v>124</v>
      </c>
      <c r="C3831" s="1" t="n">
        <v>35</v>
      </c>
      <c r="D3831" s="1" t="s">
        <v>1549</v>
      </c>
      <c r="E3831" s="1" t="n">
        <v>5</v>
      </c>
      <c r="F3831" s="1" t="n">
        <v>75.78</v>
      </c>
      <c r="G3831" s="1" t="n">
        <v>0</v>
      </c>
      <c r="H3831" s="1" t="s">
        <v>1336</v>
      </c>
      <c r="I3831" s="1" t="n">
        <v>378.9</v>
      </c>
      <c r="J3831" s="1" t="str">
        <f aca="false">VLOOKUP(B3831,Customers!$A$2:$G$502,6,FALSE())</f>
        <v>Small Business</v>
      </c>
      <c r="K3831" s="1" t="str">
        <f aca="false">VLOOKUP(C3831,Products!$A$2:$E$62,3,FALSE())</f>
        <v>Software</v>
      </c>
      <c r="L3831" s="1" t="str">
        <f aca="false">TEXT(D3831,"yyyy-mm")</f>
        <v>2023-01</v>
      </c>
    </row>
    <row r="3832" customFormat="false" ht="15" hidden="false" customHeight="true" outlineLevel="0" collapsed="false">
      <c r="A3832" s="1" t="n">
        <v>3917</v>
      </c>
      <c r="B3832" s="1" t="n">
        <v>160</v>
      </c>
      <c r="C3832" s="1" t="n">
        <v>27</v>
      </c>
      <c r="D3832" s="1" t="s">
        <v>1405</v>
      </c>
      <c r="E3832" s="1" t="n">
        <v>8</v>
      </c>
      <c r="F3832" s="1" t="n">
        <v>772.58</v>
      </c>
      <c r="G3832" s="1" t="n">
        <v>0.2</v>
      </c>
      <c r="H3832" s="1" t="s">
        <v>1336</v>
      </c>
      <c r="I3832" s="1" t="n">
        <v>4944.51</v>
      </c>
      <c r="J3832" s="1" t="str">
        <f aca="false">VLOOKUP(B3832,Customers!$A$2:$G$502,6,FALSE())</f>
        <v>Consumer</v>
      </c>
      <c r="K3832" s="1" t="str">
        <f aca="false">VLOOKUP(C3832,Products!$A$2:$E$62,3,FALSE())</f>
        <v>Office Supplies</v>
      </c>
      <c r="L3832" s="1" t="str">
        <f aca="false">TEXT(D3832,"yyyy-mm")</f>
        <v>2024-03</v>
      </c>
    </row>
    <row r="3833" customFormat="false" ht="15" hidden="false" customHeight="true" outlineLevel="0" collapsed="false">
      <c r="A3833" s="1" t="n">
        <v>3918</v>
      </c>
      <c r="B3833" s="1" t="n">
        <v>51</v>
      </c>
      <c r="C3833" s="1" t="n">
        <v>26</v>
      </c>
      <c r="D3833" s="1" t="s">
        <v>1650</v>
      </c>
      <c r="E3833" s="1" t="n">
        <v>2</v>
      </c>
      <c r="F3833" s="1" t="n">
        <v>733.85</v>
      </c>
      <c r="G3833" s="1" t="n">
        <v>0.05</v>
      </c>
      <c r="H3833" s="1" t="s">
        <v>1336</v>
      </c>
      <c r="I3833" s="1" t="n">
        <v>1394.32</v>
      </c>
      <c r="J3833" s="1" t="str">
        <f aca="false">VLOOKUP(B3833,Customers!$A$2:$G$502,6,FALSE())</f>
        <v>Corporate</v>
      </c>
      <c r="K3833" s="1" t="str">
        <f aca="false">VLOOKUP(C3833,Products!$A$2:$E$62,3,FALSE())</f>
        <v>Office Supplies</v>
      </c>
      <c r="L3833" s="1" t="str">
        <f aca="false">TEXT(D3833,"yyyy-mm")</f>
        <v>2023-08</v>
      </c>
    </row>
    <row r="3834" customFormat="false" ht="15" hidden="false" customHeight="true" outlineLevel="0" collapsed="false">
      <c r="A3834" s="1" t="n">
        <v>3919</v>
      </c>
      <c r="B3834" s="1" t="n">
        <v>171</v>
      </c>
      <c r="C3834" s="1" t="n">
        <v>23</v>
      </c>
      <c r="D3834" s="1" t="s">
        <v>1418</v>
      </c>
      <c r="E3834" s="1" t="n">
        <v>9</v>
      </c>
      <c r="F3834" s="1" t="n">
        <v>188.73</v>
      </c>
      <c r="G3834" s="1" t="n">
        <v>0.1</v>
      </c>
      <c r="H3834" s="1" t="s">
        <v>1336</v>
      </c>
      <c r="I3834" s="1" t="n">
        <v>1528.71</v>
      </c>
      <c r="J3834" s="1" t="str">
        <f aca="false">VLOOKUP(B3834,Customers!$A$2:$G$502,6,FALSE())</f>
        <v>Small Business</v>
      </c>
      <c r="K3834" s="1" t="str">
        <f aca="false">VLOOKUP(C3834,Products!$A$2:$E$62,3,FALSE())</f>
        <v>Office Supplies</v>
      </c>
      <c r="L3834" s="1" t="str">
        <f aca="false">TEXT(D3834,"yyyy-mm")</f>
        <v>2023-06</v>
      </c>
    </row>
    <row r="3835" customFormat="false" ht="15" hidden="false" customHeight="true" outlineLevel="0" collapsed="false">
      <c r="A3835" s="1" t="n">
        <v>3920</v>
      </c>
      <c r="B3835" s="1" t="n">
        <v>155</v>
      </c>
      <c r="C3835" s="1" t="n">
        <v>1</v>
      </c>
      <c r="D3835" s="1" t="s">
        <v>704</v>
      </c>
      <c r="E3835" s="1" t="n">
        <v>6</v>
      </c>
      <c r="F3835" s="1" t="n">
        <v>327.32</v>
      </c>
      <c r="G3835" s="1" t="n">
        <v>0</v>
      </c>
      <c r="H3835" s="1" t="s">
        <v>1336</v>
      </c>
      <c r="I3835" s="1" t="n">
        <v>1963.92</v>
      </c>
      <c r="J3835" s="1" t="str">
        <f aca="false">VLOOKUP(B3835,Customers!$A$2:$G$502,6,FALSE())</f>
        <v>Consumer</v>
      </c>
      <c r="K3835" s="1" t="str">
        <f aca="false">VLOOKUP(C3835,Products!$A$2:$E$62,3,FALSE())</f>
        <v>Electronics</v>
      </c>
      <c r="L3835" s="1" t="str">
        <f aca="false">TEXT(D3835,"yyyy-mm")</f>
        <v>2024-06</v>
      </c>
    </row>
    <row r="3836" customFormat="false" ht="15" hidden="false" customHeight="true" outlineLevel="0" collapsed="false">
      <c r="A3836" s="1" t="n">
        <v>3921</v>
      </c>
      <c r="B3836" s="1" t="n">
        <v>225</v>
      </c>
      <c r="C3836" s="1" t="n">
        <v>12</v>
      </c>
      <c r="D3836" s="1" t="s">
        <v>1558</v>
      </c>
      <c r="E3836" s="1" t="n">
        <v>9</v>
      </c>
      <c r="F3836" s="1" t="n">
        <v>179.23</v>
      </c>
      <c r="G3836" s="1" t="n">
        <v>0</v>
      </c>
      <c r="H3836" s="1" t="s">
        <v>1336</v>
      </c>
      <c r="I3836" s="1" t="n">
        <v>1613.07</v>
      </c>
      <c r="J3836" s="1" t="str">
        <f aca="false">VLOOKUP(B3836,Customers!$A$2:$G$502,6,FALSE())</f>
        <v>Consumer</v>
      </c>
      <c r="K3836" s="1" t="str">
        <f aca="false">VLOOKUP(C3836,Products!$A$2:$E$62,3,FALSE())</f>
        <v>Electronics</v>
      </c>
      <c r="L3836" s="1" t="str">
        <f aca="false">TEXT(D3836,"yyyy-mm")</f>
        <v>2024-07</v>
      </c>
    </row>
    <row r="3837" customFormat="false" ht="15" hidden="false" customHeight="true" outlineLevel="0" collapsed="false">
      <c r="A3837" s="1" t="n">
        <v>3922</v>
      </c>
      <c r="B3837" s="1" t="n">
        <v>38</v>
      </c>
      <c r="C3837" s="1" t="n">
        <v>27</v>
      </c>
      <c r="D3837" s="1" t="s">
        <v>205</v>
      </c>
      <c r="E3837" s="1" t="n">
        <v>2</v>
      </c>
      <c r="F3837" s="1" t="n">
        <v>772.58</v>
      </c>
      <c r="G3837" s="1" t="n">
        <v>0.05</v>
      </c>
      <c r="H3837" s="1" t="s">
        <v>1336</v>
      </c>
      <c r="I3837" s="1" t="n">
        <v>1467.9</v>
      </c>
      <c r="J3837" s="1" t="str">
        <f aca="false">VLOOKUP(B3837,Customers!$A$2:$G$502,6,FALSE())</f>
        <v>Small Business</v>
      </c>
      <c r="K3837" s="1" t="str">
        <f aca="false">VLOOKUP(C3837,Products!$A$2:$E$62,3,FALSE())</f>
        <v>Office Supplies</v>
      </c>
      <c r="L3837" s="1" t="str">
        <f aca="false">TEXT(D3837,"yyyy-mm")</f>
        <v>2024-07</v>
      </c>
    </row>
    <row r="3838" customFormat="false" ht="15" hidden="false" customHeight="true" outlineLevel="0" collapsed="false">
      <c r="A3838" s="1" t="n">
        <v>3923</v>
      </c>
      <c r="B3838" s="1" t="n">
        <v>450</v>
      </c>
      <c r="C3838" s="1" t="n">
        <v>25</v>
      </c>
      <c r="D3838" s="1" t="s">
        <v>1191</v>
      </c>
      <c r="E3838" s="1" t="n">
        <v>3</v>
      </c>
      <c r="F3838" s="1" t="n">
        <v>300.49</v>
      </c>
      <c r="G3838" s="1" t="n">
        <v>0</v>
      </c>
      <c r="H3838" s="1" t="s">
        <v>1336</v>
      </c>
      <c r="I3838" s="1" t="n">
        <v>901.47</v>
      </c>
      <c r="J3838" s="1" t="str">
        <f aca="false">VLOOKUP(B3838,Customers!$A$2:$G$502,6,FALSE())</f>
        <v>Consumer</v>
      </c>
      <c r="K3838" s="1" t="str">
        <f aca="false">VLOOKUP(C3838,Products!$A$2:$E$62,3,FALSE())</f>
        <v>Office Supplies</v>
      </c>
      <c r="L3838" s="1" t="str">
        <f aca="false">TEXT(D3838,"yyyy-mm")</f>
        <v>2023-03</v>
      </c>
    </row>
    <row r="3839" customFormat="false" ht="15" hidden="false" customHeight="true" outlineLevel="0" collapsed="false">
      <c r="A3839" s="1" t="n">
        <v>3924</v>
      </c>
      <c r="B3839" s="1" t="n">
        <v>171</v>
      </c>
      <c r="C3839" s="1" t="n">
        <v>22</v>
      </c>
      <c r="D3839" s="1" t="s">
        <v>440</v>
      </c>
      <c r="E3839" s="1" t="n">
        <v>8</v>
      </c>
      <c r="F3839" s="1" t="n">
        <v>38.57</v>
      </c>
      <c r="G3839" s="1" t="n">
        <v>0.15</v>
      </c>
      <c r="H3839" s="1" t="s">
        <v>1336</v>
      </c>
      <c r="I3839" s="1" t="n">
        <v>262.28</v>
      </c>
      <c r="J3839" s="1" t="str">
        <f aca="false">VLOOKUP(B3839,Customers!$A$2:$G$502,6,FALSE())</f>
        <v>Small Business</v>
      </c>
      <c r="K3839" s="1" t="str">
        <f aca="false">VLOOKUP(C3839,Products!$A$2:$E$62,3,FALSE())</f>
        <v>Office Supplies</v>
      </c>
      <c r="L3839" s="1" t="str">
        <f aca="false">TEXT(D3839,"yyyy-mm")</f>
        <v>2023-12</v>
      </c>
    </row>
    <row r="3840" customFormat="false" ht="15" hidden="false" customHeight="true" outlineLevel="0" collapsed="false">
      <c r="A3840" s="1" t="n">
        <v>3925</v>
      </c>
      <c r="B3840" s="1" t="n">
        <v>380</v>
      </c>
      <c r="C3840" s="1" t="n">
        <v>26</v>
      </c>
      <c r="D3840" s="1" t="s">
        <v>71</v>
      </c>
      <c r="E3840" s="1" t="n">
        <v>1</v>
      </c>
      <c r="F3840" s="1" t="n">
        <v>733.85</v>
      </c>
      <c r="G3840" s="1" t="n">
        <v>0</v>
      </c>
      <c r="H3840" s="1" t="s">
        <v>1336</v>
      </c>
      <c r="I3840" s="1" t="n">
        <v>733.85</v>
      </c>
      <c r="J3840" s="1" t="str">
        <f aca="false">VLOOKUP(B3840,Customers!$A$2:$G$502,6,FALSE())</f>
        <v>Small Business</v>
      </c>
      <c r="K3840" s="1" t="str">
        <f aca="false">VLOOKUP(C3840,Products!$A$2:$E$62,3,FALSE())</f>
        <v>Office Supplies</v>
      </c>
      <c r="L3840" s="1" t="str">
        <f aca="false">TEXT(D3840,"yyyy-mm")</f>
        <v>2024-05</v>
      </c>
    </row>
    <row r="3841" customFormat="false" ht="15" hidden="false" customHeight="true" outlineLevel="0" collapsed="false">
      <c r="A3841" s="1" t="n">
        <v>3926</v>
      </c>
      <c r="B3841" s="1" t="n">
        <v>498</v>
      </c>
      <c r="C3841" s="1" t="n">
        <v>55</v>
      </c>
      <c r="D3841" s="1" t="s">
        <v>1579</v>
      </c>
      <c r="E3841" s="1" t="n">
        <v>7</v>
      </c>
      <c r="F3841" s="1" t="n">
        <v>123.38</v>
      </c>
      <c r="G3841" s="1" t="n">
        <v>0.05</v>
      </c>
      <c r="H3841" s="1" t="s">
        <v>1336</v>
      </c>
      <c r="I3841" s="1" t="n">
        <v>820.48</v>
      </c>
      <c r="J3841" s="1" t="str">
        <f aca="false">VLOOKUP(B3841,Customers!$A$2:$G$502,6,FALSE())</f>
        <v>Corporate</v>
      </c>
      <c r="K3841" s="1" t="str">
        <f aca="false">VLOOKUP(C3841,Products!$A$2:$E$62,3,FALSE())</f>
        <v>Furniture</v>
      </c>
      <c r="L3841" s="1" t="str">
        <f aca="false">TEXT(D3841,"yyyy-mm")</f>
        <v>2023-08</v>
      </c>
    </row>
    <row r="3842" customFormat="false" ht="15" hidden="false" customHeight="true" outlineLevel="0" collapsed="false">
      <c r="A3842" s="1" t="n">
        <v>3927</v>
      </c>
      <c r="B3842" s="1" t="n">
        <v>450</v>
      </c>
      <c r="C3842" s="1" t="n">
        <v>52</v>
      </c>
      <c r="D3842" s="1" t="s">
        <v>482</v>
      </c>
      <c r="E3842" s="1" t="n">
        <v>7</v>
      </c>
      <c r="F3842" s="1" t="n">
        <v>207.67</v>
      </c>
      <c r="G3842" s="1" t="n">
        <v>0</v>
      </c>
      <c r="H3842" s="1" t="s">
        <v>1336</v>
      </c>
      <c r="I3842" s="1" t="n">
        <v>1453.69</v>
      </c>
      <c r="J3842" s="1" t="str">
        <f aca="false">VLOOKUP(B3842,Customers!$A$2:$G$502,6,FALSE())</f>
        <v>Consumer</v>
      </c>
      <c r="K3842" s="1" t="str">
        <f aca="false">VLOOKUP(C3842,Products!$A$2:$E$62,3,FALSE())</f>
        <v>Software</v>
      </c>
      <c r="L3842" s="1" t="str">
        <f aca="false">TEXT(D3842,"yyyy-mm")</f>
        <v>2024-11</v>
      </c>
    </row>
    <row r="3843" customFormat="false" ht="15" hidden="false" customHeight="true" outlineLevel="0" collapsed="false">
      <c r="A3843" s="1" t="n">
        <v>3928</v>
      </c>
      <c r="B3843" s="1" t="n">
        <v>182</v>
      </c>
      <c r="C3843" s="1" t="n">
        <v>44</v>
      </c>
      <c r="D3843" s="1" t="s">
        <v>1687</v>
      </c>
      <c r="E3843" s="1" t="n">
        <v>1</v>
      </c>
      <c r="F3843" s="1" t="n">
        <v>508.26</v>
      </c>
      <c r="G3843" s="1" t="n">
        <v>0.2</v>
      </c>
      <c r="H3843" s="1" t="s">
        <v>1336</v>
      </c>
      <c r="I3843" s="1" t="n">
        <v>406.61</v>
      </c>
      <c r="J3843" s="1" t="str">
        <f aca="false">VLOOKUP(B3843,Customers!$A$2:$G$502,6,FALSE())</f>
        <v>Unknown</v>
      </c>
      <c r="K3843" s="1" t="str">
        <f aca="false">VLOOKUP(C3843,Products!$A$2:$E$62,3,FALSE())</f>
        <v>Software</v>
      </c>
      <c r="L3843" s="1" t="str">
        <f aca="false">TEXT(D3843,"yyyy-mm")</f>
        <v>2024-02</v>
      </c>
    </row>
    <row r="3844" customFormat="false" ht="15" hidden="false" customHeight="true" outlineLevel="0" collapsed="false">
      <c r="A3844" s="1" t="n">
        <v>3929</v>
      </c>
      <c r="B3844" s="1" t="n">
        <v>48</v>
      </c>
      <c r="C3844" s="1" t="n">
        <v>39</v>
      </c>
      <c r="D3844" s="1" t="s">
        <v>1556</v>
      </c>
      <c r="E3844" s="1" t="n">
        <v>9</v>
      </c>
      <c r="F3844" s="1" t="n">
        <v>400.02</v>
      </c>
      <c r="G3844" s="1" t="n">
        <v>0.15</v>
      </c>
      <c r="H3844" s="1" t="s">
        <v>1370</v>
      </c>
      <c r="I3844" s="1" t="n">
        <v>3060.15</v>
      </c>
      <c r="J3844" s="1" t="str">
        <f aca="false">VLOOKUP(B3844,Customers!$A$2:$G$502,6,FALSE())</f>
        <v>Small Business</v>
      </c>
      <c r="K3844" s="1" t="str">
        <f aca="false">VLOOKUP(C3844,Products!$A$2:$E$62,3,FALSE())</f>
        <v>Software</v>
      </c>
      <c r="L3844" s="1" t="str">
        <f aca="false">TEXT(D3844,"yyyy-mm")</f>
        <v>2024-02</v>
      </c>
    </row>
    <row r="3845" customFormat="false" ht="15" hidden="false" customHeight="true" outlineLevel="0" collapsed="false">
      <c r="A3845" s="1" t="n">
        <v>3930</v>
      </c>
      <c r="B3845" s="1" t="n">
        <v>496</v>
      </c>
      <c r="C3845" s="1" t="n">
        <v>34</v>
      </c>
      <c r="D3845" s="1" t="s">
        <v>1208</v>
      </c>
      <c r="E3845" s="1" t="n">
        <v>8</v>
      </c>
      <c r="F3845" s="1" t="n">
        <v>116.85</v>
      </c>
      <c r="G3845" s="1" t="n">
        <v>0.2</v>
      </c>
      <c r="H3845" s="1" t="s">
        <v>1336</v>
      </c>
      <c r="I3845" s="1" t="n">
        <v>747.84</v>
      </c>
      <c r="J3845" s="1" t="str">
        <f aca="false">VLOOKUP(B3845,Customers!$A$2:$G$502,6,FALSE())</f>
        <v>Small Business</v>
      </c>
      <c r="K3845" s="1" t="str">
        <f aca="false">VLOOKUP(C3845,Products!$A$2:$E$62,3,FALSE())</f>
        <v>Office Supplies</v>
      </c>
      <c r="L3845" s="1" t="str">
        <f aca="false">TEXT(D3845,"yyyy-mm")</f>
        <v>2024-01</v>
      </c>
    </row>
    <row r="3846" customFormat="false" ht="15" hidden="false" customHeight="true" outlineLevel="0" collapsed="false">
      <c r="A3846" s="1" t="n">
        <v>3931</v>
      </c>
      <c r="B3846" s="1" t="n">
        <v>334</v>
      </c>
      <c r="C3846" s="1" t="n">
        <v>55</v>
      </c>
      <c r="D3846" s="1" t="s">
        <v>371</v>
      </c>
      <c r="E3846" s="1" t="n">
        <v>4</v>
      </c>
      <c r="F3846" s="1" t="n">
        <v>123.38</v>
      </c>
      <c r="G3846" s="1" t="n">
        <v>0.15</v>
      </c>
      <c r="H3846" s="1" t="s">
        <v>1336</v>
      </c>
      <c r="I3846" s="1" t="n">
        <v>419.49</v>
      </c>
      <c r="J3846" s="1" t="str">
        <f aca="false">VLOOKUP(B3846,Customers!$A$2:$G$502,6,FALSE())</f>
        <v>Unknown</v>
      </c>
      <c r="K3846" s="1" t="str">
        <f aca="false">VLOOKUP(C3846,Products!$A$2:$E$62,3,FALSE())</f>
        <v>Furniture</v>
      </c>
      <c r="L3846" s="1" t="str">
        <f aca="false">TEXT(D3846,"yyyy-mm")</f>
        <v>2024-03</v>
      </c>
    </row>
    <row r="3847" customFormat="false" ht="15" hidden="false" customHeight="true" outlineLevel="0" collapsed="false">
      <c r="A3847" s="1" t="n">
        <v>3932</v>
      </c>
      <c r="B3847" s="1" t="n">
        <v>189</v>
      </c>
      <c r="C3847" s="1" t="n">
        <v>43</v>
      </c>
      <c r="D3847" s="1" t="s">
        <v>1576</v>
      </c>
      <c r="E3847" s="1" t="n">
        <v>5</v>
      </c>
      <c r="F3847" s="1" t="n">
        <v>186.31</v>
      </c>
      <c r="G3847" s="1" t="n">
        <v>0.1</v>
      </c>
      <c r="H3847" s="1" t="s">
        <v>1336</v>
      </c>
      <c r="I3847" s="1" t="n">
        <v>838.4</v>
      </c>
      <c r="J3847" s="1" t="str">
        <f aca="false">VLOOKUP(B3847,Customers!$A$2:$G$502,6,FALSE())</f>
        <v>Small Business</v>
      </c>
      <c r="K3847" s="1" t="str">
        <f aca="false">VLOOKUP(C3847,Products!$A$2:$E$62,3,FALSE())</f>
        <v>Software</v>
      </c>
      <c r="L3847" s="1" t="str">
        <f aca="false">TEXT(D3847,"yyyy-mm")</f>
        <v>2023-02</v>
      </c>
    </row>
    <row r="3848" customFormat="false" ht="15" hidden="false" customHeight="true" outlineLevel="0" collapsed="false">
      <c r="A3848" s="1" t="n">
        <v>3933</v>
      </c>
      <c r="B3848" s="1" t="n">
        <v>300</v>
      </c>
      <c r="C3848" s="1" t="n">
        <v>13</v>
      </c>
      <c r="D3848" s="1" t="s">
        <v>1628</v>
      </c>
      <c r="E3848" s="1" t="n">
        <v>2</v>
      </c>
      <c r="F3848" s="1" t="n">
        <v>352.54</v>
      </c>
      <c r="G3848" s="1" t="n">
        <v>0</v>
      </c>
      <c r="H3848" s="1" t="s">
        <v>1336</v>
      </c>
      <c r="I3848" s="1" t="n">
        <v>705.08</v>
      </c>
      <c r="J3848" s="1" t="str">
        <f aca="false">VLOOKUP(B3848,Customers!$A$2:$G$502,6,FALSE())</f>
        <v>Consumer</v>
      </c>
      <c r="K3848" s="1" t="str">
        <f aca="false">VLOOKUP(C3848,Products!$A$2:$E$62,3,FALSE())</f>
        <v>Electronics</v>
      </c>
      <c r="L3848" s="1" t="str">
        <f aca="false">TEXT(D3848,"yyyy-mm")</f>
        <v>2023-09</v>
      </c>
    </row>
    <row r="3849" customFormat="false" ht="15" hidden="false" customHeight="true" outlineLevel="0" collapsed="false">
      <c r="A3849" s="1" t="n">
        <v>3934</v>
      </c>
      <c r="B3849" s="1" t="n">
        <v>465</v>
      </c>
      <c r="C3849" s="1" t="n">
        <v>24</v>
      </c>
      <c r="D3849" s="1" t="s">
        <v>1130</v>
      </c>
      <c r="E3849" s="1" t="n">
        <v>9</v>
      </c>
      <c r="F3849" s="1" t="n">
        <v>207.34</v>
      </c>
      <c r="G3849" s="1" t="n">
        <v>0.1</v>
      </c>
      <c r="H3849" s="1" t="s">
        <v>1336</v>
      </c>
      <c r="I3849" s="1" t="n">
        <v>1679.45</v>
      </c>
      <c r="J3849" s="1" t="str">
        <f aca="false">VLOOKUP(B3849,Customers!$A$2:$G$502,6,FALSE())</f>
        <v>Consumer</v>
      </c>
      <c r="K3849" s="1" t="str">
        <f aca="false">VLOOKUP(C3849,Products!$A$2:$E$62,3,FALSE())</f>
        <v>Office Supplies</v>
      </c>
      <c r="L3849" s="1" t="str">
        <f aca="false">TEXT(D3849,"yyyy-mm")</f>
        <v>2023-02</v>
      </c>
    </row>
    <row r="3850" customFormat="false" ht="15" hidden="false" customHeight="true" outlineLevel="0" collapsed="false">
      <c r="A3850" s="1" t="n">
        <v>3935</v>
      </c>
      <c r="B3850" s="1" t="n">
        <v>439</v>
      </c>
      <c r="C3850" s="1" t="n">
        <v>58</v>
      </c>
      <c r="D3850" s="1" t="s">
        <v>499</v>
      </c>
      <c r="E3850" s="1" t="n">
        <v>6</v>
      </c>
      <c r="F3850" s="1" t="n">
        <v>515.55</v>
      </c>
      <c r="G3850" s="1" t="n">
        <v>0</v>
      </c>
      <c r="H3850" s="1" t="s">
        <v>1336</v>
      </c>
      <c r="I3850" s="1" t="n">
        <v>3093.3</v>
      </c>
      <c r="J3850" s="1" t="str">
        <f aca="false">VLOOKUP(B3850,Customers!$A$2:$G$502,6,FALSE())</f>
        <v>Corporate</v>
      </c>
      <c r="K3850" s="1" t="str">
        <f aca="false">VLOOKUP(C3850,Products!$A$2:$E$62,3,FALSE())</f>
        <v>Furniture</v>
      </c>
      <c r="L3850" s="1" t="str">
        <f aca="false">TEXT(D3850,"yyyy-mm")</f>
        <v>2023-01</v>
      </c>
    </row>
    <row r="3851" customFormat="false" ht="15" hidden="false" customHeight="true" outlineLevel="0" collapsed="false">
      <c r="A3851" s="1" t="n">
        <v>3936</v>
      </c>
      <c r="B3851" s="1" t="n">
        <v>447</v>
      </c>
      <c r="C3851" s="1" t="n">
        <v>48</v>
      </c>
      <c r="D3851" s="1" t="s">
        <v>1383</v>
      </c>
      <c r="E3851" s="1" t="n">
        <v>3</v>
      </c>
      <c r="F3851" s="1" t="n">
        <v>493.53</v>
      </c>
      <c r="G3851" s="1" t="n">
        <v>0.2</v>
      </c>
      <c r="H3851" s="1" t="s">
        <v>1336</v>
      </c>
      <c r="I3851" s="1" t="n">
        <v>1184.47</v>
      </c>
      <c r="J3851" s="1" t="str">
        <f aca="false">VLOOKUP(B3851,Customers!$A$2:$G$502,6,FALSE())</f>
        <v>Small Business</v>
      </c>
      <c r="K3851" s="1" t="str">
        <f aca="false">VLOOKUP(C3851,Products!$A$2:$E$62,3,FALSE())</f>
        <v>Software</v>
      </c>
      <c r="L3851" s="1" t="str">
        <f aca="false">TEXT(D3851,"yyyy-mm")</f>
        <v>2024-04</v>
      </c>
    </row>
    <row r="3852" customFormat="false" ht="15" hidden="false" customHeight="true" outlineLevel="0" collapsed="false">
      <c r="A3852" s="1" t="n">
        <v>3937</v>
      </c>
      <c r="B3852" s="1" t="n">
        <v>476</v>
      </c>
      <c r="C3852" s="1" t="n">
        <v>37</v>
      </c>
      <c r="D3852" s="1" t="s">
        <v>1092</v>
      </c>
      <c r="E3852" s="1" t="n">
        <v>7</v>
      </c>
      <c r="F3852" s="1" t="n">
        <v>13.95</v>
      </c>
      <c r="G3852" s="1" t="n">
        <v>0.15</v>
      </c>
      <c r="H3852" s="1" t="s">
        <v>1336</v>
      </c>
      <c r="I3852" s="1" t="n">
        <v>83</v>
      </c>
      <c r="J3852" s="1" t="str">
        <f aca="false">VLOOKUP(B3852,Customers!$A$2:$G$502,6,FALSE())</f>
        <v>Small Business</v>
      </c>
      <c r="K3852" s="1" t="str">
        <f aca="false">VLOOKUP(C3852,Products!$A$2:$E$62,3,FALSE())</f>
        <v>Software</v>
      </c>
      <c r="L3852" s="1" t="str">
        <f aca="false">TEXT(D3852,"yyyy-mm")</f>
        <v>2023-12</v>
      </c>
    </row>
    <row r="3853" customFormat="false" ht="15" hidden="false" customHeight="true" outlineLevel="0" collapsed="false">
      <c r="A3853" s="1" t="n">
        <v>3938</v>
      </c>
      <c r="B3853" s="1" t="n">
        <v>93</v>
      </c>
      <c r="C3853" s="1" t="n">
        <v>39</v>
      </c>
      <c r="D3853" s="1" t="s">
        <v>44</v>
      </c>
      <c r="E3853" s="1" t="n">
        <v>9</v>
      </c>
      <c r="F3853" s="1" t="n">
        <v>400.02</v>
      </c>
      <c r="G3853" s="1" t="n">
        <v>0</v>
      </c>
      <c r="H3853" s="1" t="s">
        <v>1336</v>
      </c>
      <c r="I3853" s="1" t="n">
        <v>3600.18</v>
      </c>
      <c r="J3853" s="1" t="str">
        <f aca="false">VLOOKUP(B3853,Customers!$A$2:$G$502,6,FALSE())</f>
        <v>Consumer</v>
      </c>
      <c r="K3853" s="1" t="str">
        <f aca="false">VLOOKUP(C3853,Products!$A$2:$E$62,3,FALSE())</f>
        <v>Software</v>
      </c>
      <c r="L3853" s="1" t="str">
        <f aca="false">TEXT(D3853,"yyyy-mm")</f>
        <v>2023-12</v>
      </c>
    </row>
    <row r="3854" customFormat="false" ht="15" hidden="false" customHeight="true" outlineLevel="0" collapsed="false">
      <c r="A3854" s="1" t="n">
        <v>3939</v>
      </c>
      <c r="B3854" s="1" t="n">
        <v>71</v>
      </c>
      <c r="C3854" s="1" t="n">
        <v>54</v>
      </c>
      <c r="D3854" s="1" t="s">
        <v>1533</v>
      </c>
      <c r="E3854" s="1" t="n">
        <v>3</v>
      </c>
      <c r="F3854" s="1" t="n">
        <v>312.01</v>
      </c>
      <c r="G3854" s="1" t="n">
        <v>0.15</v>
      </c>
      <c r="H3854" s="1" t="s">
        <v>1336</v>
      </c>
      <c r="I3854" s="1" t="n">
        <v>795.63</v>
      </c>
      <c r="J3854" s="1" t="str">
        <f aca="false">VLOOKUP(B3854,Customers!$A$2:$G$502,6,FALSE())</f>
        <v>Corporate</v>
      </c>
      <c r="K3854" s="1" t="str">
        <f aca="false">VLOOKUP(C3854,Products!$A$2:$E$62,3,FALSE())</f>
        <v>Software</v>
      </c>
      <c r="L3854" s="1" t="str">
        <f aca="false">TEXT(D3854,"yyyy-mm")</f>
        <v>2023-03</v>
      </c>
    </row>
    <row r="3855" customFormat="false" ht="15" hidden="false" customHeight="true" outlineLevel="0" collapsed="false">
      <c r="A3855" s="1" t="n">
        <v>3940</v>
      </c>
      <c r="B3855" s="1" t="n">
        <v>433</v>
      </c>
      <c r="C3855" s="1" t="n">
        <v>28</v>
      </c>
      <c r="D3855" s="1" t="s">
        <v>138</v>
      </c>
      <c r="E3855" s="1" t="n">
        <v>2</v>
      </c>
      <c r="F3855" s="1" t="n">
        <v>505.23</v>
      </c>
      <c r="G3855" s="1" t="n">
        <v>0.05</v>
      </c>
      <c r="H3855" s="1" t="s">
        <v>1336</v>
      </c>
      <c r="I3855" s="1" t="n">
        <v>959.94</v>
      </c>
      <c r="J3855" s="1" t="str">
        <f aca="false">VLOOKUP(B3855,Customers!$A$2:$G$502,6,FALSE())</f>
        <v>Small Business</v>
      </c>
      <c r="K3855" s="1" t="str">
        <f aca="false">VLOOKUP(C3855,Products!$A$2:$E$62,3,FALSE())</f>
        <v>Office Supplies</v>
      </c>
      <c r="L3855" s="1" t="str">
        <f aca="false">TEXT(D3855,"yyyy-mm")</f>
        <v>2023-05</v>
      </c>
    </row>
    <row r="3856" customFormat="false" ht="15" hidden="false" customHeight="true" outlineLevel="0" collapsed="false">
      <c r="A3856" s="1" t="n">
        <v>3941</v>
      </c>
      <c r="B3856" s="1" t="n">
        <v>496</v>
      </c>
      <c r="C3856" s="1" t="n">
        <v>60</v>
      </c>
      <c r="D3856" s="1" t="s">
        <v>986</v>
      </c>
      <c r="E3856" s="1" t="n">
        <v>7</v>
      </c>
      <c r="F3856" s="1" t="n">
        <v>584.98</v>
      </c>
      <c r="G3856" s="1" t="n">
        <v>0.15</v>
      </c>
      <c r="H3856" s="1" t="s">
        <v>1370</v>
      </c>
      <c r="I3856" s="1" t="n">
        <v>3480.63</v>
      </c>
      <c r="J3856" s="1" t="str">
        <f aca="false">VLOOKUP(B3856,Customers!$A$2:$G$502,6,FALSE())</f>
        <v>Small Business</v>
      </c>
      <c r="K3856" s="1" t="str">
        <f aca="false">VLOOKUP(C3856,Products!$A$2:$E$62,3,FALSE())</f>
        <v>Furniture</v>
      </c>
      <c r="L3856" s="1" t="str">
        <f aca="false">TEXT(D3856,"yyyy-mm")</f>
        <v>2023-03</v>
      </c>
    </row>
    <row r="3857" customFormat="false" ht="15" hidden="false" customHeight="true" outlineLevel="0" collapsed="false">
      <c r="A3857" s="1" t="n">
        <v>3942</v>
      </c>
      <c r="B3857" s="1" t="n">
        <v>401</v>
      </c>
      <c r="C3857" s="1" t="n">
        <v>19</v>
      </c>
      <c r="D3857" s="1" t="s">
        <v>109</v>
      </c>
      <c r="E3857" s="1" t="n">
        <v>7</v>
      </c>
      <c r="F3857" s="1" t="n">
        <v>163.64</v>
      </c>
      <c r="G3857" s="1" t="n">
        <v>0.2</v>
      </c>
      <c r="H3857" s="1" t="s">
        <v>1336</v>
      </c>
      <c r="I3857" s="1" t="n">
        <v>916.38</v>
      </c>
      <c r="J3857" s="1" t="str">
        <f aca="false">VLOOKUP(B3857,Customers!$A$2:$G$502,6,FALSE())</f>
        <v>Consumer</v>
      </c>
      <c r="K3857" s="1" t="str">
        <f aca="false">VLOOKUP(C3857,Products!$A$2:$E$62,3,FALSE())</f>
        <v>Office Supplies</v>
      </c>
      <c r="L3857" s="1" t="str">
        <f aca="false">TEXT(D3857,"yyyy-mm")</f>
        <v>2024-12</v>
      </c>
    </row>
    <row r="3858" customFormat="false" ht="15" hidden="false" customHeight="true" outlineLevel="0" collapsed="false">
      <c r="A3858" s="1" t="n">
        <v>3943</v>
      </c>
      <c r="B3858" s="1" t="n">
        <v>210</v>
      </c>
      <c r="C3858" s="1" t="n">
        <v>46</v>
      </c>
      <c r="D3858" s="1" t="s">
        <v>1392</v>
      </c>
      <c r="E3858" s="1" t="n">
        <v>4</v>
      </c>
      <c r="F3858" s="1" t="n">
        <v>94.92</v>
      </c>
      <c r="G3858" s="1" t="n">
        <v>0.1</v>
      </c>
      <c r="H3858" s="1" t="s">
        <v>1336</v>
      </c>
      <c r="I3858" s="1" t="n">
        <v>341.71</v>
      </c>
      <c r="J3858" s="1" t="str">
        <f aca="false">VLOOKUP(B3858,Customers!$A$2:$G$502,6,FALSE())</f>
        <v>Corporate</v>
      </c>
      <c r="K3858" s="1" t="str">
        <f aca="false">VLOOKUP(C3858,Products!$A$2:$E$62,3,FALSE())</f>
        <v>Software</v>
      </c>
      <c r="L3858" s="1" t="str">
        <f aca="false">TEXT(D3858,"yyyy-mm")</f>
        <v>2023-08</v>
      </c>
    </row>
    <row r="3859" customFormat="false" ht="15" hidden="false" customHeight="true" outlineLevel="0" collapsed="false">
      <c r="A3859" s="1" t="n">
        <v>3944</v>
      </c>
      <c r="B3859" s="1" t="n">
        <v>311</v>
      </c>
      <c r="C3859" s="1" t="n">
        <v>32</v>
      </c>
      <c r="D3859" s="1" t="s">
        <v>286</v>
      </c>
      <c r="E3859" s="1" t="n">
        <v>9</v>
      </c>
      <c r="F3859" s="1" t="n">
        <v>492.27</v>
      </c>
      <c r="G3859" s="1" t="n">
        <v>0.15</v>
      </c>
      <c r="H3859" s="1" t="s">
        <v>1370</v>
      </c>
      <c r="I3859" s="1" t="n">
        <v>3765.87</v>
      </c>
      <c r="J3859" s="1" t="str">
        <f aca="false">VLOOKUP(B3859,Customers!$A$2:$G$502,6,FALSE())</f>
        <v>Consumer</v>
      </c>
      <c r="K3859" s="1" t="str">
        <f aca="false">VLOOKUP(C3859,Products!$A$2:$E$62,3,FALSE())</f>
        <v>Office Supplies</v>
      </c>
      <c r="L3859" s="1" t="str">
        <f aca="false">TEXT(D3859,"yyyy-mm")</f>
        <v>2023-04</v>
      </c>
    </row>
    <row r="3860" customFormat="false" ht="15" hidden="false" customHeight="true" outlineLevel="0" collapsed="false">
      <c r="A3860" s="1" t="n">
        <v>3945</v>
      </c>
      <c r="B3860" s="1" t="n">
        <v>239</v>
      </c>
      <c r="C3860" s="1" t="n">
        <v>36</v>
      </c>
      <c r="D3860" s="1" t="s">
        <v>260</v>
      </c>
      <c r="E3860" s="1" t="n">
        <v>8</v>
      </c>
      <c r="F3860" s="1" t="n">
        <v>424.45</v>
      </c>
      <c r="G3860" s="1" t="n">
        <v>0</v>
      </c>
      <c r="H3860" s="1" t="s">
        <v>1336</v>
      </c>
      <c r="I3860" s="1" t="n">
        <v>3395.6</v>
      </c>
      <c r="J3860" s="1" t="str">
        <f aca="false">VLOOKUP(B3860,Customers!$A$2:$G$502,6,FALSE())</f>
        <v>Corporate</v>
      </c>
      <c r="K3860" s="1" t="str">
        <f aca="false">VLOOKUP(C3860,Products!$A$2:$E$62,3,FALSE())</f>
        <v>Software</v>
      </c>
      <c r="L3860" s="1" t="str">
        <f aca="false">TEXT(D3860,"yyyy-mm")</f>
        <v>2023-04</v>
      </c>
    </row>
    <row r="3861" customFormat="false" ht="15" hidden="false" customHeight="true" outlineLevel="0" collapsed="false">
      <c r="A3861" s="1" t="n">
        <v>3946</v>
      </c>
      <c r="B3861" s="1" t="n">
        <v>208</v>
      </c>
      <c r="C3861" s="1" t="n">
        <v>5</v>
      </c>
      <c r="D3861" s="1" t="s">
        <v>626</v>
      </c>
      <c r="E3861" s="1" t="n">
        <v>1</v>
      </c>
      <c r="F3861" s="1" t="n">
        <v>439.06</v>
      </c>
      <c r="G3861" s="1" t="n">
        <v>0</v>
      </c>
      <c r="H3861" s="1" t="s">
        <v>1336</v>
      </c>
      <c r="I3861" s="1" t="n">
        <v>439.06</v>
      </c>
      <c r="J3861" s="1" t="str">
        <f aca="false">VLOOKUP(B3861,Customers!$A$2:$G$502,6,FALSE())</f>
        <v>Corporate</v>
      </c>
      <c r="K3861" s="1" t="str">
        <f aca="false">VLOOKUP(C3861,Products!$A$2:$E$62,3,FALSE())</f>
        <v>Electronics</v>
      </c>
      <c r="L3861" s="1" t="str">
        <f aca="false">TEXT(D3861,"yyyy-mm")</f>
        <v>2023-09</v>
      </c>
    </row>
    <row r="3862" customFormat="false" ht="15" hidden="false" customHeight="true" outlineLevel="0" collapsed="false">
      <c r="A3862" s="1" t="n">
        <v>3947</v>
      </c>
      <c r="B3862" s="1" t="n">
        <v>155</v>
      </c>
      <c r="C3862" s="1" t="n">
        <v>36</v>
      </c>
      <c r="D3862" s="1" t="s">
        <v>1349</v>
      </c>
      <c r="E3862" s="1" t="n">
        <v>1</v>
      </c>
      <c r="F3862" s="1" t="n">
        <v>424.45</v>
      </c>
      <c r="G3862" s="1" t="n">
        <v>0</v>
      </c>
      <c r="H3862" s="1" t="s">
        <v>1336</v>
      </c>
      <c r="I3862" s="1" t="n">
        <v>424.45</v>
      </c>
      <c r="J3862" s="1" t="str">
        <f aca="false">VLOOKUP(B3862,Customers!$A$2:$G$502,6,FALSE())</f>
        <v>Consumer</v>
      </c>
      <c r="K3862" s="1" t="str">
        <f aca="false">VLOOKUP(C3862,Products!$A$2:$E$62,3,FALSE())</f>
        <v>Software</v>
      </c>
      <c r="L3862" s="1" t="str">
        <f aca="false">TEXT(D3862,"yyyy-mm")</f>
        <v>2023-10</v>
      </c>
    </row>
    <row r="3863" customFormat="false" ht="15" hidden="false" customHeight="true" outlineLevel="0" collapsed="false">
      <c r="A3863" s="1" t="n">
        <v>3948</v>
      </c>
      <c r="B3863" s="1" t="n">
        <v>327</v>
      </c>
      <c r="C3863" s="1" t="n">
        <v>55</v>
      </c>
      <c r="D3863" s="1" t="s">
        <v>1489</v>
      </c>
      <c r="E3863" s="1" t="n">
        <v>5</v>
      </c>
      <c r="F3863" s="1" t="n">
        <v>123.38</v>
      </c>
      <c r="G3863" s="1" t="n">
        <v>0</v>
      </c>
      <c r="H3863" s="1" t="s">
        <v>1336</v>
      </c>
      <c r="I3863" s="1" t="n">
        <v>616.9</v>
      </c>
      <c r="J3863" s="1" t="str">
        <f aca="false">VLOOKUP(B3863,Customers!$A$2:$G$502,6,FALSE())</f>
        <v>Consumer</v>
      </c>
      <c r="K3863" s="1" t="str">
        <f aca="false">VLOOKUP(C3863,Products!$A$2:$E$62,3,FALSE())</f>
        <v>Furniture</v>
      </c>
      <c r="L3863" s="1" t="str">
        <f aca="false">TEXT(D3863,"yyyy-mm")</f>
        <v>2023-09</v>
      </c>
    </row>
    <row r="3864" customFormat="false" ht="15" hidden="false" customHeight="true" outlineLevel="0" collapsed="false">
      <c r="A3864" s="1" t="n">
        <v>3949</v>
      </c>
      <c r="B3864" s="1" t="n">
        <v>457</v>
      </c>
      <c r="C3864" s="1" t="n">
        <v>35</v>
      </c>
      <c r="D3864" s="1" t="s">
        <v>516</v>
      </c>
      <c r="E3864" s="1" t="n">
        <v>6</v>
      </c>
      <c r="F3864" s="1" t="n">
        <v>75.78</v>
      </c>
      <c r="G3864" s="1" t="n">
        <v>0.15</v>
      </c>
      <c r="H3864" s="1" t="s">
        <v>1336</v>
      </c>
      <c r="I3864" s="1" t="n">
        <v>386.48</v>
      </c>
      <c r="J3864" s="1" t="str">
        <f aca="false">VLOOKUP(B3864,Customers!$A$2:$G$502,6,FALSE())</f>
        <v>Small Business</v>
      </c>
      <c r="K3864" s="1" t="str">
        <f aca="false">VLOOKUP(C3864,Products!$A$2:$E$62,3,FALSE())</f>
        <v>Software</v>
      </c>
      <c r="L3864" s="1" t="str">
        <f aca="false">TEXT(D3864,"yyyy-mm")</f>
        <v>2023-07</v>
      </c>
    </row>
    <row r="3865" customFormat="false" ht="15" hidden="false" customHeight="true" outlineLevel="0" collapsed="false">
      <c r="A3865" s="1" t="n">
        <v>3950</v>
      </c>
      <c r="B3865" s="1" t="n">
        <v>184</v>
      </c>
      <c r="C3865" s="1" t="n">
        <v>56</v>
      </c>
      <c r="D3865" s="1" t="s">
        <v>1403</v>
      </c>
      <c r="E3865" s="1" t="n">
        <v>3</v>
      </c>
      <c r="F3865" s="1" t="n">
        <v>160.64</v>
      </c>
      <c r="G3865" s="1" t="n">
        <v>0.15</v>
      </c>
      <c r="H3865" s="1" t="s">
        <v>1336</v>
      </c>
      <c r="I3865" s="1" t="n">
        <v>409.63</v>
      </c>
      <c r="J3865" s="1" t="str">
        <f aca="false">VLOOKUP(B3865,Customers!$A$2:$G$502,6,FALSE())</f>
        <v>Corporate</v>
      </c>
      <c r="K3865" s="1" t="str">
        <f aca="false">VLOOKUP(C3865,Products!$A$2:$E$62,3,FALSE())</f>
        <v>Furniture</v>
      </c>
      <c r="L3865" s="1" t="str">
        <f aca="false">TEXT(D3865,"yyyy-mm")</f>
        <v>2024-02</v>
      </c>
    </row>
    <row r="3866" customFormat="false" ht="15" hidden="false" customHeight="true" outlineLevel="0" collapsed="false">
      <c r="A3866" s="1" t="n">
        <v>3951</v>
      </c>
      <c r="B3866" s="1" t="n">
        <v>471</v>
      </c>
      <c r="C3866" s="1" t="n">
        <v>9</v>
      </c>
      <c r="D3866" s="1" t="s">
        <v>424</v>
      </c>
      <c r="E3866" s="1" t="n">
        <v>9</v>
      </c>
      <c r="F3866" s="1" t="n">
        <v>203.1</v>
      </c>
      <c r="G3866" s="1" t="n">
        <v>0</v>
      </c>
      <c r="H3866" s="1" t="s">
        <v>1336</v>
      </c>
      <c r="I3866" s="1" t="n">
        <v>1827.9</v>
      </c>
      <c r="J3866" s="1" t="str">
        <f aca="false">VLOOKUP(B3866,Customers!$A$2:$G$502,6,FALSE())</f>
        <v>Small Business</v>
      </c>
      <c r="K3866" s="1" t="str">
        <f aca="false">VLOOKUP(C3866,Products!$A$2:$E$62,3,FALSE())</f>
        <v>Electronics</v>
      </c>
      <c r="L3866" s="1" t="str">
        <f aca="false">TEXT(D3866,"yyyy-mm")</f>
        <v>2024-02</v>
      </c>
    </row>
    <row r="3867" customFormat="false" ht="15" hidden="false" customHeight="true" outlineLevel="0" collapsed="false">
      <c r="A3867" s="1" t="n">
        <v>3952</v>
      </c>
      <c r="B3867" s="1" t="n">
        <v>424</v>
      </c>
      <c r="C3867" s="1" t="n">
        <v>6</v>
      </c>
      <c r="D3867" s="1" t="s">
        <v>1622</v>
      </c>
      <c r="E3867" s="1" t="n">
        <v>6</v>
      </c>
      <c r="F3867" s="1" t="n">
        <v>28.51</v>
      </c>
      <c r="G3867" s="1" t="n">
        <v>0.1</v>
      </c>
      <c r="H3867" s="1" t="s">
        <v>1336</v>
      </c>
      <c r="I3867" s="1" t="n">
        <v>153.95</v>
      </c>
      <c r="J3867" s="1" t="str">
        <f aca="false">VLOOKUP(B3867,Customers!$A$2:$G$502,6,FALSE())</f>
        <v>Small Business</v>
      </c>
      <c r="K3867" s="1" t="str">
        <f aca="false">VLOOKUP(C3867,Products!$A$2:$E$62,3,FALSE())</f>
        <v>Electronics</v>
      </c>
      <c r="L3867" s="1" t="str">
        <f aca="false">TEXT(D3867,"yyyy-mm")</f>
        <v>2023-12</v>
      </c>
    </row>
    <row r="3868" customFormat="false" ht="15" hidden="false" customHeight="true" outlineLevel="0" collapsed="false">
      <c r="A3868" s="1" t="n">
        <v>3953</v>
      </c>
      <c r="B3868" s="1" t="n">
        <v>269</v>
      </c>
      <c r="C3868" s="1" t="n">
        <v>56</v>
      </c>
      <c r="D3868" s="1" t="s">
        <v>1473</v>
      </c>
      <c r="E3868" s="1" t="n">
        <v>4</v>
      </c>
      <c r="F3868" s="1" t="n">
        <v>160.64</v>
      </c>
      <c r="G3868" s="1" t="n">
        <v>0</v>
      </c>
      <c r="H3868" s="1" t="s">
        <v>1336</v>
      </c>
      <c r="I3868" s="1" t="n">
        <v>642.56</v>
      </c>
      <c r="J3868" s="1" t="str">
        <f aca="false">VLOOKUP(B3868,Customers!$A$2:$G$502,6,FALSE())</f>
        <v>Corporate</v>
      </c>
      <c r="K3868" s="1" t="str">
        <f aca="false">VLOOKUP(C3868,Products!$A$2:$E$62,3,FALSE())</f>
        <v>Furniture</v>
      </c>
      <c r="L3868" s="1" t="str">
        <f aca="false">TEXT(D3868,"yyyy-mm")</f>
        <v>2024-04</v>
      </c>
    </row>
    <row r="3869" customFormat="false" ht="15" hidden="false" customHeight="true" outlineLevel="0" collapsed="false">
      <c r="A3869" s="1" t="n">
        <v>3954</v>
      </c>
      <c r="B3869" s="1" t="n">
        <v>370</v>
      </c>
      <c r="C3869" s="1" t="n">
        <v>60</v>
      </c>
      <c r="D3869" s="1" t="s">
        <v>1659</v>
      </c>
      <c r="E3869" s="1" t="n">
        <v>7</v>
      </c>
      <c r="F3869" s="1" t="n">
        <v>584.98</v>
      </c>
      <c r="G3869" s="1" t="n">
        <v>0.05</v>
      </c>
      <c r="H3869" s="1" t="s">
        <v>1336</v>
      </c>
      <c r="I3869" s="1" t="n">
        <v>3890.12</v>
      </c>
      <c r="J3869" s="1" t="str">
        <f aca="false">VLOOKUP(B3869,Customers!$A$2:$G$502,6,FALSE())</f>
        <v>Small Business</v>
      </c>
      <c r="K3869" s="1" t="str">
        <f aca="false">VLOOKUP(C3869,Products!$A$2:$E$62,3,FALSE())</f>
        <v>Furniture</v>
      </c>
      <c r="L3869" s="1" t="str">
        <f aca="false">TEXT(D3869,"yyyy-mm")</f>
        <v>2023-01</v>
      </c>
    </row>
    <row r="3870" customFormat="false" ht="15" hidden="false" customHeight="true" outlineLevel="0" collapsed="false">
      <c r="A3870" s="1" t="n">
        <v>3955</v>
      </c>
      <c r="B3870" s="1" t="n">
        <v>154</v>
      </c>
      <c r="C3870" s="1" t="n">
        <v>60</v>
      </c>
      <c r="D3870" s="1" t="s">
        <v>106</v>
      </c>
      <c r="E3870" s="1" t="n">
        <v>8</v>
      </c>
      <c r="F3870" s="1" t="n">
        <v>584.98</v>
      </c>
      <c r="G3870" s="1" t="n">
        <v>0</v>
      </c>
      <c r="H3870" s="1" t="s">
        <v>1336</v>
      </c>
      <c r="I3870" s="1" t="n">
        <v>4679.84</v>
      </c>
      <c r="J3870" s="1" t="str">
        <f aca="false">VLOOKUP(B3870,Customers!$A$2:$G$502,6,FALSE())</f>
        <v>Small Business</v>
      </c>
      <c r="K3870" s="1" t="str">
        <f aca="false">VLOOKUP(C3870,Products!$A$2:$E$62,3,FALSE())</f>
        <v>Furniture</v>
      </c>
      <c r="L3870" s="1" t="str">
        <f aca="false">TEXT(D3870,"yyyy-mm")</f>
        <v>2024-02</v>
      </c>
    </row>
    <row r="3871" customFormat="false" ht="15" hidden="false" customHeight="true" outlineLevel="0" collapsed="false">
      <c r="A3871" s="1" t="n">
        <v>3956</v>
      </c>
      <c r="B3871" s="1" t="n">
        <v>299</v>
      </c>
      <c r="C3871" s="1" t="n">
        <v>55</v>
      </c>
      <c r="D3871" s="1" t="s">
        <v>1226</v>
      </c>
      <c r="E3871" s="1" t="n">
        <v>9</v>
      </c>
      <c r="F3871" s="1" t="n">
        <v>123.38</v>
      </c>
      <c r="G3871" s="1" t="n">
        <v>0</v>
      </c>
      <c r="H3871" s="1" t="s">
        <v>1336</v>
      </c>
      <c r="I3871" s="1" t="n">
        <v>1110.42</v>
      </c>
      <c r="J3871" s="1" t="str">
        <f aca="false">VLOOKUP(B3871,Customers!$A$2:$G$502,6,FALSE())</f>
        <v>Small Business</v>
      </c>
      <c r="K3871" s="1" t="str">
        <f aca="false">VLOOKUP(C3871,Products!$A$2:$E$62,3,FALSE())</f>
        <v>Furniture</v>
      </c>
      <c r="L3871" s="1" t="str">
        <f aca="false">TEXT(D3871,"yyyy-mm")</f>
        <v>2024-05</v>
      </c>
    </row>
    <row r="3872" customFormat="false" ht="15" hidden="false" customHeight="true" outlineLevel="0" collapsed="false">
      <c r="A3872" s="1" t="n">
        <v>3957</v>
      </c>
      <c r="B3872" s="1" t="n">
        <v>375</v>
      </c>
      <c r="C3872" s="1" t="n">
        <v>50</v>
      </c>
      <c r="D3872" s="1" t="s">
        <v>1366</v>
      </c>
      <c r="E3872" s="1" t="n">
        <v>6</v>
      </c>
      <c r="F3872" s="1" t="n">
        <v>19.73</v>
      </c>
      <c r="G3872" s="1" t="n">
        <v>0.2</v>
      </c>
      <c r="H3872" s="1" t="s">
        <v>1346</v>
      </c>
      <c r="I3872" s="1" t="n">
        <v>94.7</v>
      </c>
      <c r="J3872" s="1" t="str">
        <f aca="false">VLOOKUP(B3872,Customers!$A$2:$G$502,6,FALSE())</f>
        <v>Consumer</v>
      </c>
      <c r="K3872" s="1" t="str">
        <f aca="false">VLOOKUP(C3872,Products!$A$2:$E$62,3,FALSE())</f>
        <v>Software</v>
      </c>
      <c r="L3872" s="1" t="str">
        <f aca="false">TEXT(D3872,"yyyy-mm")</f>
        <v>2023-11</v>
      </c>
    </row>
    <row r="3873" customFormat="false" ht="15" hidden="false" customHeight="true" outlineLevel="0" collapsed="false">
      <c r="A3873" s="1" t="n">
        <v>3958</v>
      </c>
      <c r="B3873" s="1" t="n">
        <v>265</v>
      </c>
      <c r="C3873" s="1" t="n">
        <v>59</v>
      </c>
      <c r="D3873" s="1" t="s">
        <v>828</v>
      </c>
      <c r="E3873" s="1" t="n">
        <v>6</v>
      </c>
      <c r="F3873" s="1" t="n">
        <v>438.89</v>
      </c>
      <c r="G3873" s="1" t="n">
        <v>0.2</v>
      </c>
      <c r="H3873" s="1" t="s">
        <v>1336</v>
      </c>
      <c r="I3873" s="1" t="n">
        <v>2106.67</v>
      </c>
      <c r="J3873" s="1" t="str">
        <f aca="false">VLOOKUP(B3873,Customers!$A$2:$G$502,6,FALSE())</f>
        <v>Corporate</v>
      </c>
      <c r="K3873" s="1" t="str">
        <f aca="false">VLOOKUP(C3873,Products!$A$2:$E$62,3,FALSE())</f>
        <v>Furniture</v>
      </c>
      <c r="L3873" s="1" t="str">
        <f aca="false">TEXT(D3873,"yyyy-mm")</f>
        <v>2024-07</v>
      </c>
    </row>
    <row r="3874" customFormat="false" ht="15" hidden="false" customHeight="true" outlineLevel="0" collapsed="false">
      <c r="A3874" s="1" t="n">
        <v>3959</v>
      </c>
      <c r="B3874" s="1" t="n">
        <v>370</v>
      </c>
      <c r="C3874" s="1" t="n">
        <v>43</v>
      </c>
      <c r="D3874" s="1" t="s">
        <v>1598</v>
      </c>
      <c r="E3874" s="1" t="n">
        <v>8</v>
      </c>
      <c r="F3874" s="1" t="n">
        <v>186.31</v>
      </c>
      <c r="G3874" s="1" t="n">
        <v>0</v>
      </c>
      <c r="H3874" s="1" t="s">
        <v>1336</v>
      </c>
      <c r="I3874" s="1" t="n">
        <v>1490.48</v>
      </c>
      <c r="J3874" s="1" t="str">
        <f aca="false">VLOOKUP(B3874,Customers!$A$2:$G$502,6,FALSE())</f>
        <v>Small Business</v>
      </c>
      <c r="K3874" s="1" t="str">
        <f aca="false">VLOOKUP(C3874,Products!$A$2:$E$62,3,FALSE())</f>
        <v>Software</v>
      </c>
      <c r="L3874" s="1" t="str">
        <f aca="false">TEXT(D3874,"yyyy-mm")</f>
        <v>2024-05</v>
      </c>
    </row>
    <row r="3875" customFormat="false" ht="15" hidden="false" customHeight="true" outlineLevel="0" collapsed="false">
      <c r="A3875" s="1" t="n">
        <v>3960</v>
      </c>
      <c r="B3875" s="1" t="n">
        <v>29</v>
      </c>
      <c r="C3875" s="1" t="n">
        <v>31</v>
      </c>
      <c r="D3875" s="1" t="s">
        <v>1624</v>
      </c>
      <c r="E3875" s="1" t="n">
        <v>5</v>
      </c>
      <c r="F3875" s="1" t="n">
        <v>224.86</v>
      </c>
      <c r="G3875" s="1" t="n">
        <v>0.1</v>
      </c>
      <c r="H3875" s="1" t="s">
        <v>1346</v>
      </c>
      <c r="I3875" s="1" t="n">
        <v>1011.87</v>
      </c>
      <c r="J3875" s="1" t="str">
        <f aca="false">VLOOKUP(B3875,Customers!$A$2:$G$502,6,FALSE())</f>
        <v>Small Business</v>
      </c>
      <c r="K3875" s="1" t="str">
        <f aca="false">VLOOKUP(C3875,Products!$A$2:$E$62,3,FALSE())</f>
        <v>Office Supplies</v>
      </c>
      <c r="L3875" s="1" t="str">
        <f aca="false">TEXT(D3875,"yyyy-mm")</f>
        <v>2024-07</v>
      </c>
    </row>
    <row r="3876" customFormat="false" ht="15" hidden="false" customHeight="true" outlineLevel="0" collapsed="false">
      <c r="A3876" s="1" t="n">
        <v>3961</v>
      </c>
      <c r="B3876" s="1" t="n">
        <v>477</v>
      </c>
      <c r="C3876" s="1" t="n">
        <v>7</v>
      </c>
      <c r="D3876" s="1" t="s">
        <v>1590</v>
      </c>
      <c r="E3876" s="1" t="n">
        <v>3</v>
      </c>
      <c r="F3876" s="1" t="n">
        <v>460</v>
      </c>
      <c r="G3876" s="1" t="n">
        <v>0</v>
      </c>
      <c r="H3876" s="1" t="s">
        <v>1336</v>
      </c>
      <c r="I3876" s="1" t="n">
        <v>1380</v>
      </c>
      <c r="J3876" s="1" t="str">
        <f aca="false">VLOOKUP(B3876,Customers!$A$2:$G$502,6,FALSE())</f>
        <v>Corporate</v>
      </c>
      <c r="K3876" s="1" t="str">
        <f aca="false">VLOOKUP(C3876,Products!$A$2:$E$62,3,FALSE())</f>
        <v>Electronics</v>
      </c>
      <c r="L3876" s="1" t="str">
        <f aca="false">TEXT(D3876,"yyyy-mm")</f>
        <v>2023-06</v>
      </c>
    </row>
    <row r="3877" customFormat="false" ht="15" hidden="false" customHeight="true" outlineLevel="0" collapsed="false">
      <c r="A3877" s="1" t="n">
        <v>3962</v>
      </c>
      <c r="B3877" s="1" t="n">
        <v>497</v>
      </c>
      <c r="C3877" s="1" t="n">
        <v>11</v>
      </c>
      <c r="D3877" s="1" t="s">
        <v>280</v>
      </c>
      <c r="E3877" s="1" t="n">
        <v>3</v>
      </c>
      <c r="F3877" s="1" t="n">
        <v>328.39</v>
      </c>
      <c r="G3877" s="1" t="n">
        <v>0.05</v>
      </c>
      <c r="H3877" s="1" t="s">
        <v>1336</v>
      </c>
      <c r="I3877" s="1" t="n">
        <v>935.91</v>
      </c>
      <c r="J3877" s="1" t="str">
        <f aca="false">VLOOKUP(B3877,Customers!$A$2:$G$502,6,FALSE())</f>
        <v>Consumer</v>
      </c>
      <c r="K3877" s="1" t="str">
        <f aca="false">VLOOKUP(C3877,Products!$A$2:$E$62,3,FALSE())</f>
        <v>Electronics</v>
      </c>
      <c r="L3877" s="1" t="str">
        <f aca="false">TEXT(D3877,"yyyy-mm")</f>
        <v>2023-06</v>
      </c>
    </row>
    <row r="3878" customFormat="false" ht="15" hidden="false" customHeight="true" outlineLevel="0" collapsed="false">
      <c r="A3878" s="1" t="n">
        <v>3963</v>
      </c>
      <c r="B3878" s="1" t="n">
        <v>208</v>
      </c>
      <c r="C3878" s="1" t="n">
        <v>27</v>
      </c>
      <c r="D3878" s="1" t="s">
        <v>499</v>
      </c>
      <c r="E3878" s="1" t="n">
        <v>6</v>
      </c>
      <c r="F3878" s="1" t="n">
        <v>772.58</v>
      </c>
      <c r="G3878" s="1" t="n">
        <v>0</v>
      </c>
      <c r="H3878" s="1" t="s">
        <v>1336</v>
      </c>
      <c r="I3878" s="1" t="n">
        <v>4635.48</v>
      </c>
      <c r="J3878" s="1" t="str">
        <f aca="false">VLOOKUP(B3878,Customers!$A$2:$G$502,6,FALSE())</f>
        <v>Corporate</v>
      </c>
      <c r="K3878" s="1" t="str">
        <f aca="false">VLOOKUP(C3878,Products!$A$2:$E$62,3,FALSE())</f>
        <v>Office Supplies</v>
      </c>
      <c r="L3878" s="1" t="str">
        <f aca="false">TEXT(D3878,"yyyy-mm")</f>
        <v>2023-01</v>
      </c>
    </row>
    <row r="3879" customFormat="false" ht="15" hidden="false" customHeight="true" outlineLevel="0" collapsed="false">
      <c r="A3879" s="1" t="n">
        <v>3964</v>
      </c>
      <c r="B3879" s="1" t="n">
        <v>111</v>
      </c>
      <c r="C3879" s="1" t="n">
        <v>54</v>
      </c>
      <c r="D3879" s="1" t="s">
        <v>1367</v>
      </c>
      <c r="E3879" s="1" t="n">
        <v>2</v>
      </c>
      <c r="F3879" s="1" t="n">
        <v>312.01</v>
      </c>
      <c r="G3879" s="1" t="n">
        <v>0.15</v>
      </c>
      <c r="H3879" s="1" t="s">
        <v>1370</v>
      </c>
      <c r="I3879" s="1" t="n">
        <v>530.42</v>
      </c>
      <c r="J3879" s="1" t="str">
        <f aca="false">VLOOKUP(B3879,Customers!$A$2:$G$502,6,FALSE())</f>
        <v>Small Business</v>
      </c>
      <c r="K3879" s="1" t="str">
        <f aca="false">VLOOKUP(C3879,Products!$A$2:$E$62,3,FALSE())</f>
        <v>Software</v>
      </c>
      <c r="L3879" s="1" t="str">
        <f aca="false">TEXT(D3879,"yyyy-mm")</f>
        <v>2024-08</v>
      </c>
    </row>
    <row r="3880" customFormat="false" ht="15" hidden="false" customHeight="true" outlineLevel="0" collapsed="false">
      <c r="A3880" s="1" t="n">
        <v>3966</v>
      </c>
      <c r="B3880" s="1" t="n">
        <v>350</v>
      </c>
      <c r="C3880" s="1" t="n">
        <v>48</v>
      </c>
      <c r="D3880" s="1" t="s">
        <v>1586</v>
      </c>
      <c r="E3880" s="1" t="n">
        <v>6</v>
      </c>
      <c r="F3880" s="1" t="n">
        <v>493.53</v>
      </c>
      <c r="G3880" s="1" t="n">
        <v>0</v>
      </c>
      <c r="H3880" s="1" t="s">
        <v>1336</v>
      </c>
      <c r="I3880" s="1" t="n">
        <v>2961.18</v>
      </c>
      <c r="J3880" s="1" t="str">
        <f aca="false">VLOOKUP(B3880,Customers!$A$2:$G$502,6,FALSE())</f>
        <v>Consumer</v>
      </c>
      <c r="K3880" s="1" t="str">
        <f aca="false">VLOOKUP(C3880,Products!$A$2:$E$62,3,FALSE())</f>
        <v>Software</v>
      </c>
      <c r="L3880" s="1" t="str">
        <f aca="false">TEXT(D3880,"yyyy-mm")</f>
        <v>2024-04</v>
      </c>
    </row>
    <row r="3881" customFormat="false" ht="15" hidden="false" customHeight="true" outlineLevel="0" collapsed="false">
      <c r="A3881" s="1" t="n">
        <v>3967</v>
      </c>
      <c r="B3881" s="1" t="n">
        <v>24</v>
      </c>
      <c r="C3881" s="1" t="n">
        <v>52</v>
      </c>
      <c r="D3881" s="1" t="s">
        <v>1489</v>
      </c>
      <c r="E3881" s="1" t="n">
        <v>8</v>
      </c>
      <c r="F3881" s="1" t="n">
        <v>207.67</v>
      </c>
      <c r="G3881" s="1" t="n">
        <v>0.05</v>
      </c>
      <c r="H3881" s="1" t="s">
        <v>1336</v>
      </c>
      <c r="I3881" s="1" t="n">
        <v>1578.29</v>
      </c>
      <c r="J3881" s="1" t="str">
        <f aca="false">VLOOKUP(B3881,Customers!$A$2:$G$502,6,FALSE())</f>
        <v>Consumer</v>
      </c>
      <c r="K3881" s="1" t="str">
        <f aca="false">VLOOKUP(C3881,Products!$A$2:$E$62,3,FALSE())</f>
        <v>Software</v>
      </c>
      <c r="L3881" s="1" t="str">
        <f aca="false">TEXT(D3881,"yyyy-mm")</f>
        <v>2023-09</v>
      </c>
    </row>
    <row r="3882" customFormat="false" ht="15" hidden="false" customHeight="true" outlineLevel="0" collapsed="false">
      <c r="A3882" s="1" t="n">
        <v>3968</v>
      </c>
      <c r="B3882" s="1" t="n">
        <v>214</v>
      </c>
      <c r="C3882" s="1" t="n">
        <v>59</v>
      </c>
      <c r="D3882" s="1" t="s">
        <v>1400</v>
      </c>
      <c r="E3882" s="1" t="n">
        <v>7</v>
      </c>
      <c r="F3882" s="1" t="n">
        <v>438.89</v>
      </c>
      <c r="G3882" s="1" t="n">
        <v>0.15</v>
      </c>
      <c r="H3882" s="1" t="s">
        <v>1336</v>
      </c>
      <c r="I3882" s="1" t="n">
        <v>2611.4</v>
      </c>
      <c r="J3882" s="1" t="str">
        <f aca="false">VLOOKUP(B3882,Customers!$A$2:$G$502,6,FALSE())</f>
        <v>Corporate</v>
      </c>
      <c r="K3882" s="1" t="str">
        <f aca="false">VLOOKUP(C3882,Products!$A$2:$E$62,3,FALSE())</f>
        <v>Furniture</v>
      </c>
      <c r="L3882" s="1" t="str">
        <f aca="false">TEXT(D3882,"yyyy-mm")</f>
        <v>2024-12</v>
      </c>
    </row>
    <row r="3883" customFormat="false" ht="15" hidden="false" customHeight="true" outlineLevel="0" collapsed="false">
      <c r="A3883" s="1" t="n">
        <v>3969</v>
      </c>
      <c r="B3883" s="1" t="n">
        <v>19</v>
      </c>
      <c r="C3883" s="1" t="n">
        <v>32</v>
      </c>
      <c r="D3883" s="1" t="s">
        <v>199</v>
      </c>
      <c r="E3883" s="1" t="n">
        <v>8</v>
      </c>
      <c r="F3883" s="1" t="n">
        <v>492.27</v>
      </c>
      <c r="G3883" s="1" t="n">
        <v>0</v>
      </c>
      <c r="H3883" s="1" t="s">
        <v>1336</v>
      </c>
      <c r="I3883" s="1" t="n">
        <v>3938.16</v>
      </c>
      <c r="J3883" s="1" t="str">
        <f aca="false">VLOOKUP(B3883,Customers!$A$2:$G$502,6,FALSE())</f>
        <v>Consumer</v>
      </c>
      <c r="K3883" s="1" t="str">
        <f aca="false">VLOOKUP(C3883,Products!$A$2:$E$62,3,FALSE())</f>
        <v>Office Supplies</v>
      </c>
      <c r="L3883" s="1" t="str">
        <f aca="false">TEXT(D3883,"yyyy-mm")</f>
        <v>2024-12</v>
      </c>
    </row>
    <row r="3884" customFormat="false" ht="15" hidden="false" customHeight="true" outlineLevel="0" collapsed="false">
      <c r="A3884" s="1" t="n">
        <v>3970</v>
      </c>
      <c r="B3884" s="1" t="n">
        <v>139</v>
      </c>
      <c r="C3884" s="1" t="n">
        <v>39</v>
      </c>
      <c r="D3884" s="1" t="s">
        <v>368</v>
      </c>
      <c r="E3884" s="1" t="n">
        <v>9</v>
      </c>
      <c r="F3884" s="1" t="n">
        <v>400.02</v>
      </c>
      <c r="G3884" s="1" t="n">
        <v>0.15</v>
      </c>
      <c r="H3884" s="1" t="s">
        <v>1336</v>
      </c>
      <c r="I3884" s="1" t="n">
        <v>3060.15</v>
      </c>
      <c r="J3884" s="1" t="str">
        <f aca="false">VLOOKUP(B3884,Customers!$A$2:$G$502,6,FALSE())</f>
        <v>Consumer</v>
      </c>
      <c r="K3884" s="1" t="str">
        <f aca="false">VLOOKUP(C3884,Products!$A$2:$E$62,3,FALSE())</f>
        <v>Software</v>
      </c>
      <c r="L3884" s="1" t="str">
        <f aca="false">TEXT(D3884,"yyyy-mm")</f>
        <v>2023-06</v>
      </c>
    </row>
    <row r="3885" customFormat="false" ht="15" hidden="false" customHeight="true" outlineLevel="0" collapsed="false">
      <c r="A3885" s="1" t="n">
        <v>3971</v>
      </c>
      <c r="B3885" s="1" t="n">
        <v>443</v>
      </c>
      <c r="C3885" s="1" t="n">
        <v>27</v>
      </c>
      <c r="D3885" s="1" t="s">
        <v>229</v>
      </c>
      <c r="E3885" s="1" t="n">
        <v>6</v>
      </c>
      <c r="F3885" s="1" t="n">
        <v>772.58</v>
      </c>
      <c r="G3885" s="1" t="n">
        <v>0</v>
      </c>
      <c r="H3885" s="1" t="s">
        <v>1336</v>
      </c>
      <c r="I3885" s="1" t="n">
        <v>4635.48</v>
      </c>
      <c r="J3885" s="1" t="str">
        <f aca="false">VLOOKUP(B3885,Customers!$A$2:$G$502,6,FALSE())</f>
        <v>Consumer</v>
      </c>
      <c r="K3885" s="1" t="str">
        <f aca="false">VLOOKUP(C3885,Products!$A$2:$E$62,3,FALSE())</f>
        <v>Office Supplies</v>
      </c>
      <c r="L3885" s="1" t="str">
        <f aca="false">TEXT(D3885,"yyyy-mm")</f>
        <v>2024-12</v>
      </c>
    </row>
    <row r="3886" customFormat="false" ht="15" hidden="false" customHeight="true" outlineLevel="0" collapsed="false">
      <c r="A3886" s="1" t="n">
        <v>3972</v>
      </c>
      <c r="B3886" s="1" t="n">
        <v>345</v>
      </c>
      <c r="C3886" s="1" t="n">
        <v>56</v>
      </c>
      <c r="D3886" s="1" t="s">
        <v>1493</v>
      </c>
      <c r="E3886" s="1" t="n">
        <v>3</v>
      </c>
      <c r="F3886" s="1" t="n">
        <v>160.64</v>
      </c>
      <c r="G3886" s="1" t="n">
        <v>0.2</v>
      </c>
      <c r="H3886" s="1" t="s">
        <v>1336</v>
      </c>
      <c r="I3886" s="1" t="n">
        <v>385.54</v>
      </c>
      <c r="J3886" s="1" t="str">
        <f aca="false">VLOOKUP(B3886,Customers!$A$2:$G$502,6,FALSE())</f>
        <v>Corporate</v>
      </c>
      <c r="K3886" s="1" t="str">
        <f aca="false">VLOOKUP(C3886,Products!$A$2:$E$62,3,FALSE())</f>
        <v>Furniture</v>
      </c>
      <c r="L3886" s="1" t="str">
        <f aca="false">TEXT(D3886,"yyyy-mm")</f>
        <v>2023-10</v>
      </c>
    </row>
    <row r="3887" customFormat="false" ht="15" hidden="false" customHeight="true" outlineLevel="0" collapsed="false">
      <c r="A3887" s="1" t="n">
        <v>3973</v>
      </c>
      <c r="B3887" s="1" t="n">
        <v>185</v>
      </c>
      <c r="C3887" s="1" t="n">
        <v>44</v>
      </c>
      <c r="D3887" s="1" t="s">
        <v>374</v>
      </c>
      <c r="E3887" s="1" t="n">
        <v>3</v>
      </c>
      <c r="F3887" s="1" t="n">
        <v>508.26</v>
      </c>
      <c r="G3887" s="1" t="n">
        <v>0</v>
      </c>
      <c r="H3887" s="1" t="s">
        <v>1336</v>
      </c>
      <c r="I3887" s="1" t="n">
        <v>1524.78</v>
      </c>
      <c r="J3887" s="1" t="str">
        <f aca="false">VLOOKUP(B3887,Customers!$A$2:$G$502,6,FALSE())</f>
        <v>Consumer</v>
      </c>
      <c r="K3887" s="1" t="str">
        <f aca="false">VLOOKUP(C3887,Products!$A$2:$E$62,3,FALSE())</f>
        <v>Software</v>
      </c>
      <c r="L3887" s="1" t="str">
        <f aca="false">TEXT(D3887,"yyyy-mm")</f>
        <v>2023-10</v>
      </c>
    </row>
    <row r="3888" customFormat="false" ht="15" hidden="false" customHeight="true" outlineLevel="0" collapsed="false">
      <c r="A3888" s="1" t="n">
        <v>3974</v>
      </c>
      <c r="B3888" s="1" t="n">
        <v>301</v>
      </c>
      <c r="C3888" s="1" t="n">
        <v>18</v>
      </c>
      <c r="D3888" s="1" t="s">
        <v>306</v>
      </c>
      <c r="E3888" s="1" t="n">
        <v>1</v>
      </c>
      <c r="F3888" s="1" t="n">
        <v>747.34</v>
      </c>
      <c r="G3888" s="1" t="n">
        <v>0.05</v>
      </c>
      <c r="H3888" s="1" t="s">
        <v>1336</v>
      </c>
      <c r="I3888" s="1" t="n">
        <v>709.97</v>
      </c>
      <c r="J3888" s="1" t="str">
        <f aca="false">VLOOKUP(B3888,Customers!$A$2:$G$502,6,FALSE())</f>
        <v>Corporate</v>
      </c>
      <c r="K3888" s="1" t="str">
        <f aca="false">VLOOKUP(C3888,Products!$A$2:$E$62,3,FALSE())</f>
        <v>Electronics</v>
      </c>
      <c r="L3888" s="1" t="str">
        <f aca="false">TEXT(D3888,"yyyy-mm")</f>
        <v>2024-05</v>
      </c>
    </row>
    <row r="3889" customFormat="false" ht="15" hidden="false" customHeight="true" outlineLevel="0" collapsed="false">
      <c r="A3889" s="1" t="n">
        <v>3975</v>
      </c>
      <c r="B3889" s="1" t="n">
        <v>158</v>
      </c>
      <c r="C3889" s="1" t="n">
        <v>22</v>
      </c>
      <c r="D3889" s="1" t="s">
        <v>1465</v>
      </c>
      <c r="E3889" s="1" t="n">
        <v>5</v>
      </c>
      <c r="F3889" s="1" t="n">
        <v>38.57</v>
      </c>
      <c r="G3889" s="1" t="n">
        <v>0.2</v>
      </c>
      <c r="H3889" s="1" t="s">
        <v>1336</v>
      </c>
      <c r="I3889" s="1" t="n">
        <v>154.28</v>
      </c>
      <c r="J3889" s="1" t="str">
        <f aca="false">VLOOKUP(B3889,Customers!$A$2:$G$502,6,FALSE())</f>
        <v>Small Business</v>
      </c>
      <c r="K3889" s="1" t="str">
        <f aca="false">VLOOKUP(C3889,Products!$A$2:$E$62,3,FALSE())</f>
        <v>Office Supplies</v>
      </c>
      <c r="L3889" s="1" t="str">
        <f aca="false">TEXT(D3889,"yyyy-mm")</f>
        <v>2023-05</v>
      </c>
    </row>
    <row r="3890" customFormat="false" ht="15" hidden="false" customHeight="true" outlineLevel="0" collapsed="false">
      <c r="A3890" s="1" t="n">
        <v>3976</v>
      </c>
      <c r="B3890" s="1" t="n">
        <v>116</v>
      </c>
      <c r="C3890" s="1" t="n">
        <v>4</v>
      </c>
      <c r="D3890" s="1" t="s">
        <v>1426</v>
      </c>
      <c r="E3890" s="1" t="n">
        <v>4</v>
      </c>
      <c r="F3890" s="1" t="n">
        <v>56.24</v>
      </c>
      <c r="G3890" s="1" t="n">
        <v>0</v>
      </c>
      <c r="H3890" s="1" t="s">
        <v>1336</v>
      </c>
      <c r="I3890" s="1" t="n">
        <v>224.96</v>
      </c>
      <c r="J3890" s="1" t="str">
        <f aca="false">VLOOKUP(B3890,Customers!$A$2:$G$502,6,FALSE())</f>
        <v>Corporate</v>
      </c>
      <c r="K3890" s="1" t="str">
        <f aca="false">VLOOKUP(C3890,Products!$A$2:$E$62,3,FALSE())</f>
        <v>Electronics</v>
      </c>
      <c r="L3890" s="1" t="str">
        <f aca="false">TEXT(D3890,"yyyy-mm")</f>
        <v>2023-08</v>
      </c>
    </row>
    <row r="3891" customFormat="false" ht="15" hidden="false" customHeight="true" outlineLevel="0" collapsed="false">
      <c r="A3891" s="1" t="n">
        <v>3977</v>
      </c>
      <c r="B3891" s="1" t="n">
        <v>88</v>
      </c>
      <c r="C3891" s="1" t="n">
        <v>60</v>
      </c>
      <c r="D3891" s="1" t="s">
        <v>1487</v>
      </c>
      <c r="E3891" s="1" t="n">
        <v>9</v>
      </c>
      <c r="F3891" s="1" t="n">
        <v>584.98</v>
      </c>
      <c r="G3891" s="1" t="n">
        <v>0.05</v>
      </c>
      <c r="H3891" s="1" t="s">
        <v>1336</v>
      </c>
      <c r="I3891" s="1" t="n">
        <v>5001.58</v>
      </c>
      <c r="J3891" s="1" t="str">
        <f aca="false">VLOOKUP(B3891,Customers!$A$2:$G$502,6,FALSE())</f>
        <v>Corporate</v>
      </c>
      <c r="K3891" s="1" t="str">
        <f aca="false">VLOOKUP(C3891,Products!$A$2:$E$62,3,FALSE())</f>
        <v>Furniture</v>
      </c>
      <c r="L3891" s="1" t="str">
        <f aca="false">TEXT(D3891,"yyyy-mm")</f>
        <v>2024-01</v>
      </c>
    </row>
    <row r="3892" customFormat="false" ht="15" hidden="false" customHeight="true" outlineLevel="0" collapsed="false">
      <c r="A3892" s="1" t="n">
        <v>3978</v>
      </c>
      <c r="B3892" s="1" t="n">
        <v>237</v>
      </c>
      <c r="C3892" s="1" t="n">
        <v>49</v>
      </c>
      <c r="D3892" s="1" t="s">
        <v>1628</v>
      </c>
      <c r="E3892" s="1" t="n">
        <v>9</v>
      </c>
      <c r="F3892" s="1" t="n">
        <v>325.17</v>
      </c>
      <c r="G3892" s="1" t="n">
        <v>0.2</v>
      </c>
      <c r="H3892" s="1" t="s">
        <v>1336</v>
      </c>
      <c r="I3892" s="1" t="n">
        <v>2341.22</v>
      </c>
      <c r="J3892" s="1" t="str">
        <f aca="false">VLOOKUP(B3892,Customers!$A$2:$G$502,6,FALSE())</f>
        <v>Consumer</v>
      </c>
      <c r="K3892" s="1" t="str">
        <f aca="false">VLOOKUP(C3892,Products!$A$2:$E$62,3,FALSE())</f>
        <v>Software</v>
      </c>
      <c r="L3892" s="1" t="str">
        <f aca="false">TEXT(D3892,"yyyy-mm")</f>
        <v>2023-09</v>
      </c>
    </row>
    <row r="3893" customFormat="false" ht="15" hidden="false" customHeight="true" outlineLevel="0" collapsed="false">
      <c r="A3893" s="1" t="n">
        <v>3979</v>
      </c>
      <c r="B3893" s="1" t="n">
        <v>264</v>
      </c>
      <c r="C3893" s="1" t="n">
        <v>22</v>
      </c>
      <c r="D3893" s="1" t="s">
        <v>1447</v>
      </c>
      <c r="E3893" s="1" t="n">
        <v>5</v>
      </c>
      <c r="F3893" s="1" t="n">
        <v>38.57</v>
      </c>
      <c r="G3893" s="1" t="n">
        <v>0.15</v>
      </c>
      <c r="H3893" s="1" t="s">
        <v>1336</v>
      </c>
      <c r="I3893" s="1" t="n">
        <v>163.92</v>
      </c>
      <c r="J3893" s="1" t="str">
        <f aca="false">VLOOKUP(B3893,Customers!$A$2:$G$502,6,FALSE())</f>
        <v>Small Business</v>
      </c>
      <c r="K3893" s="1" t="str">
        <f aca="false">VLOOKUP(C3893,Products!$A$2:$E$62,3,FALSE())</f>
        <v>Office Supplies</v>
      </c>
      <c r="L3893" s="1" t="str">
        <f aca="false">TEXT(D3893,"yyyy-mm")</f>
        <v>2023-05</v>
      </c>
    </row>
    <row r="3894" customFormat="false" ht="15" hidden="false" customHeight="true" outlineLevel="0" collapsed="false">
      <c r="A3894" s="1" t="n">
        <v>3980</v>
      </c>
      <c r="B3894" s="1" t="n">
        <v>65</v>
      </c>
      <c r="C3894" s="1" t="n">
        <v>22</v>
      </c>
      <c r="D3894" s="1" t="s">
        <v>958</v>
      </c>
      <c r="E3894" s="1" t="n">
        <v>4</v>
      </c>
      <c r="F3894" s="1" t="n">
        <v>38.57</v>
      </c>
      <c r="G3894" s="1" t="n">
        <v>0.1</v>
      </c>
      <c r="H3894" s="1" t="s">
        <v>1336</v>
      </c>
      <c r="I3894" s="1" t="n">
        <v>138.85</v>
      </c>
      <c r="J3894" s="1" t="str">
        <f aca="false">VLOOKUP(B3894,Customers!$A$2:$G$502,6,FALSE())</f>
        <v>Corporate</v>
      </c>
      <c r="K3894" s="1" t="str">
        <f aca="false">VLOOKUP(C3894,Products!$A$2:$E$62,3,FALSE())</f>
        <v>Office Supplies</v>
      </c>
      <c r="L3894" s="1" t="str">
        <f aca="false">TEXT(D3894,"yyyy-mm")</f>
        <v>2024-12</v>
      </c>
    </row>
    <row r="3895" customFormat="false" ht="15" hidden="false" customHeight="true" outlineLevel="0" collapsed="false">
      <c r="A3895" s="1" t="n">
        <v>3981</v>
      </c>
      <c r="B3895" s="1" t="n">
        <v>32</v>
      </c>
      <c r="C3895" s="1" t="n">
        <v>47</v>
      </c>
      <c r="D3895" s="1" t="s">
        <v>1169</v>
      </c>
      <c r="E3895" s="1" t="n">
        <v>7</v>
      </c>
      <c r="F3895" s="1" t="n">
        <v>506.19</v>
      </c>
      <c r="G3895" s="1" t="n">
        <v>0.2</v>
      </c>
      <c r="H3895" s="1" t="s">
        <v>1336</v>
      </c>
      <c r="I3895" s="1" t="n">
        <v>2834.66</v>
      </c>
      <c r="J3895" s="1" t="str">
        <f aca="false">VLOOKUP(B3895,Customers!$A$2:$G$502,6,FALSE())</f>
        <v>Small Business</v>
      </c>
      <c r="K3895" s="1" t="str">
        <f aca="false">VLOOKUP(C3895,Products!$A$2:$E$62,3,FALSE())</f>
        <v>Software</v>
      </c>
      <c r="L3895" s="1" t="str">
        <f aca="false">TEXT(D3895,"yyyy-mm")</f>
        <v>2024-01</v>
      </c>
    </row>
    <row r="3896" customFormat="false" ht="15" hidden="false" customHeight="true" outlineLevel="0" collapsed="false">
      <c r="A3896" s="1" t="n">
        <v>3982</v>
      </c>
      <c r="B3896" s="1" t="n">
        <v>308</v>
      </c>
      <c r="C3896" s="1" t="n">
        <v>60</v>
      </c>
      <c r="D3896" s="1" t="s">
        <v>1699</v>
      </c>
      <c r="E3896" s="1" t="n">
        <v>6</v>
      </c>
      <c r="F3896" s="1" t="n">
        <v>584.98</v>
      </c>
      <c r="G3896" s="1" t="n">
        <v>0</v>
      </c>
      <c r="H3896" s="1" t="s">
        <v>1336</v>
      </c>
      <c r="I3896" s="1" t="n">
        <v>3509.88</v>
      </c>
      <c r="J3896" s="1" t="str">
        <f aca="false">VLOOKUP(B3896,Customers!$A$2:$G$502,6,FALSE())</f>
        <v>Consumer</v>
      </c>
      <c r="K3896" s="1" t="str">
        <f aca="false">VLOOKUP(C3896,Products!$A$2:$E$62,3,FALSE())</f>
        <v>Furniture</v>
      </c>
      <c r="L3896" s="1" t="str">
        <f aca="false">TEXT(D3896,"yyyy-mm")</f>
        <v>2023-08</v>
      </c>
    </row>
    <row r="3897" customFormat="false" ht="15" hidden="false" customHeight="true" outlineLevel="0" collapsed="false">
      <c r="A3897" s="1" t="n">
        <v>3983</v>
      </c>
      <c r="B3897" s="1" t="n">
        <v>77</v>
      </c>
      <c r="C3897" s="1" t="n">
        <v>35</v>
      </c>
      <c r="D3897" s="1" t="s">
        <v>44</v>
      </c>
      <c r="E3897" s="1" t="n">
        <v>4</v>
      </c>
      <c r="F3897" s="1" t="n">
        <v>75.78</v>
      </c>
      <c r="G3897" s="1" t="n">
        <v>0.15</v>
      </c>
      <c r="H3897" s="1" t="s">
        <v>1336</v>
      </c>
      <c r="I3897" s="1" t="n">
        <v>257.65</v>
      </c>
      <c r="J3897" s="1" t="str">
        <f aca="false">VLOOKUP(B3897,Customers!$A$2:$G$502,6,FALSE())</f>
        <v>Consumer</v>
      </c>
      <c r="K3897" s="1" t="str">
        <f aca="false">VLOOKUP(C3897,Products!$A$2:$E$62,3,FALSE())</f>
        <v>Software</v>
      </c>
      <c r="L3897" s="1" t="str">
        <f aca="false">TEXT(D3897,"yyyy-mm")</f>
        <v>2023-12</v>
      </c>
    </row>
    <row r="3898" customFormat="false" ht="15" hidden="false" customHeight="true" outlineLevel="0" collapsed="false">
      <c r="A3898" s="1" t="n">
        <v>3984</v>
      </c>
      <c r="B3898" s="1" t="n">
        <v>72</v>
      </c>
      <c r="C3898" s="1" t="n">
        <v>58</v>
      </c>
      <c r="D3898" s="1" t="s">
        <v>59</v>
      </c>
      <c r="E3898" s="1" t="n">
        <v>2</v>
      </c>
      <c r="F3898" s="1" t="n">
        <v>515.55</v>
      </c>
      <c r="G3898" s="1" t="n">
        <v>0.05</v>
      </c>
      <c r="H3898" s="1" t="s">
        <v>1336</v>
      </c>
      <c r="I3898" s="1" t="n">
        <v>979.54</v>
      </c>
      <c r="J3898" s="1" t="str">
        <f aca="false">VLOOKUP(B3898,Customers!$A$2:$G$502,6,FALSE())</f>
        <v>Corporate</v>
      </c>
      <c r="K3898" s="1" t="str">
        <f aca="false">VLOOKUP(C3898,Products!$A$2:$E$62,3,FALSE())</f>
        <v>Furniture</v>
      </c>
      <c r="L3898" s="1" t="str">
        <f aca="false">TEXT(D3898,"yyyy-mm")</f>
        <v>2023-08</v>
      </c>
    </row>
    <row r="3899" customFormat="false" ht="15" hidden="false" customHeight="true" outlineLevel="0" collapsed="false">
      <c r="A3899" s="1" t="n">
        <v>3985</v>
      </c>
      <c r="B3899" s="1" t="n">
        <v>19</v>
      </c>
      <c r="C3899" s="1" t="n">
        <v>15</v>
      </c>
      <c r="D3899" s="1" t="s">
        <v>1537</v>
      </c>
      <c r="E3899" s="1" t="n">
        <v>1</v>
      </c>
      <c r="F3899" s="1" t="n">
        <v>304.95</v>
      </c>
      <c r="G3899" s="1" t="n">
        <v>0.15</v>
      </c>
      <c r="H3899" s="1" t="s">
        <v>1336</v>
      </c>
      <c r="I3899" s="1" t="n">
        <v>259.21</v>
      </c>
      <c r="J3899" s="1" t="str">
        <f aca="false">VLOOKUP(B3899,Customers!$A$2:$G$502,6,FALSE())</f>
        <v>Consumer</v>
      </c>
      <c r="K3899" s="1" t="str">
        <f aca="false">VLOOKUP(C3899,Products!$A$2:$E$62,3,FALSE())</f>
        <v>Electronics</v>
      </c>
      <c r="L3899" s="1" t="str">
        <f aca="false">TEXT(D3899,"yyyy-mm")</f>
        <v>2023-08</v>
      </c>
    </row>
    <row r="3900" customFormat="false" ht="15" hidden="false" customHeight="true" outlineLevel="0" collapsed="false">
      <c r="A3900" s="1" t="n">
        <v>3986</v>
      </c>
      <c r="B3900" s="1" t="n">
        <v>4</v>
      </c>
      <c r="C3900" s="1" t="n">
        <v>35</v>
      </c>
      <c r="D3900" s="1" t="s">
        <v>651</v>
      </c>
      <c r="E3900" s="1" t="n">
        <v>4</v>
      </c>
      <c r="F3900" s="1" t="n">
        <v>75.78</v>
      </c>
      <c r="G3900" s="1" t="n">
        <v>0.1</v>
      </c>
      <c r="H3900" s="1" t="s">
        <v>1336</v>
      </c>
      <c r="I3900" s="1" t="n">
        <v>272.81</v>
      </c>
      <c r="J3900" s="1" t="str">
        <f aca="false">VLOOKUP(B3900,Customers!$A$2:$G$502,6,FALSE())</f>
        <v>Consumer</v>
      </c>
      <c r="K3900" s="1" t="str">
        <f aca="false">VLOOKUP(C3900,Products!$A$2:$E$62,3,FALSE())</f>
        <v>Software</v>
      </c>
      <c r="L3900" s="1" t="str">
        <f aca="false">TEXT(D3900,"yyyy-mm")</f>
        <v>2024-12</v>
      </c>
    </row>
    <row r="3901" customFormat="false" ht="15" hidden="false" customHeight="true" outlineLevel="0" collapsed="false">
      <c r="A3901" s="1" t="n">
        <v>3987</v>
      </c>
      <c r="B3901" s="1" t="n">
        <v>105</v>
      </c>
      <c r="C3901" s="1" t="n">
        <v>48</v>
      </c>
      <c r="D3901" s="1" t="s">
        <v>664</v>
      </c>
      <c r="E3901" s="1" t="n">
        <v>4</v>
      </c>
      <c r="F3901" s="1" t="n">
        <v>493.53</v>
      </c>
      <c r="G3901" s="1" t="n">
        <v>0</v>
      </c>
      <c r="H3901" s="1" t="s">
        <v>1336</v>
      </c>
      <c r="I3901" s="1" t="n">
        <v>1974.12</v>
      </c>
      <c r="J3901" s="1" t="str">
        <f aca="false">VLOOKUP(B3901,Customers!$A$2:$G$502,6,FALSE())</f>
        <v>Corporate</v>
      </c>
      <c r="K3901" s="1" t="str">
        <f aca="false">VLOOKUP(C3901,Products!$A$2:$E$62,3,FALSE())</f>
        <v>Software</v>
      </c>
      <c r="L3901" s="1" t="str">
        <f aca="false">TEXT(D3901,"yyyy-mm")</f>
        <v>2024-04</v>
      </c>
    </row>
    <row r="3902" customFormat="false" ht="15" hidden="false" customHeight="true" outlineLevel="0" collapsed="false">
      <c r="A3902" s="1" t="n">
        <v>3988</v>
      </c>
      <c r="B3902" s="1" t="n">
        <v>64</v>
      </c>
      <c r="C3902" s="1" t="n">
        <v>41</v>
      </c>
      <c r="D3902" s="1" t="s">
        <v>1160</v>
      </c>
      <c r="E3902" s="1" t="n">
        <v>1</v>
      </c>
      <c r="F3902" s="1" t="n">
        <v>594.54</v>
      </c>
      <c r="G3902" s="1" t="n">
        <v>0.1</v>
      </c>
      <c r="H3902" s="1" t="s">
        <v>1346</v>
      </c>
      <c r="I3902" s="1" t="n">
        <v>535.09</v>
      </c>
      <c r="J3902" s="1" t="str">
        <f aca="false">VLOOKUP(B3902,Customers!$A$2:$G$502,6,FALSE())</f>
        <v>Consumer</v>
      </c>
      <c r="K3902" s="1" t="str">
        <f aca="false">VLOOKUP(C3902,Products!$A$2:$E$62,3,FALSE())</f>
        <v>Software</v>
      </c>
      <c r="L3902" s="1" t="str">
        <f aca="false">TEXT(D3902,"yyyy-mm")</f>
        <v>2024-10</v>
      </c>
    </row>
    <row r="3903" customFormat="false" ht="15" hidden="false" customHeight="true" outlineLevel="0" collapsed="false">
      <c r="A3903" s="1" t="n">
        <v>3989</v>
      </c>
      <c r="B3903" s="1" t="n">
        <v>325</v>
      </c>
      <c r="C3903" s="1" t="n">
        <v>50</v>
      </c>
      <c r="D3903" s="1" t="s">
        <v>874</v>
      </c>
      <c r="E3903" s="1" t="n">
        <v>6</v>
      </c>
      <c r="F3903" s="1" t="n">
        <v>19.73</v>
      </c>
      <c r="G3903" s="1" t="n">
        <v>0</v>
      </c>
      <c r="H3903" s="1" t="s">
        <v>1336</v>
      </c>
      <c r="I3903" s="1" t="n">
        <v>118.38</v>
      </c>
      <c r="J3903" s="1" t="str">
        <f aca="false">VLOOKUP(B3903,Customers!$A$2:$G$502,6,FALSE())</f>
        <v>Small Business</v>
      </c>
      <c r="K3903" s="1" t="str">
        <f aca="false">VLOOKUP(C3903,Products!$A$2:$E$62,3,FALSE())</f>
        <v>Software</v>
      </c>
      <c r="L3903" s="1" t="str">
        <f aca="false">TEXT(D3903,"yyyy-mm")</f>
        <v>2023-03</v>
      </c>
    </row>
    <row r="3904" customFormat="false" ht="15" hidden="false" customHeight="true" outlineLevel="0" collapsed="false">
      <c r="A3904" s="1" t="n">
        <v>3990</v>
      </c>
      <c r="B3904" s="1" t="n">
        <v>138</v>
      </c>
      <c r="C3904" s="1" t="n">
        <v>30</v>
      </c>
      <c r="D3904" s="1" t="s">
        <v>59</v>
      </c>
      <c r="E3904" s="1" t="n">
        <v>4</v>
      </c>
      <c r="F3904" s="1" t="n">
        <v>33.32</v>
      </c>
      <c r="G3904" s="1" t="n">
        <v>0.05</v>
      </c>
      <c r="H3904" s="1" t="s">
        <v>1336</v>
      </c>
      <c r="I3904" s="1" t="n">
        <v>126.62</v>
      </c>
      <c r="J3904" s="1" t="str">
        <f aca="false">VLOOKUP(B3904,Customers!$A$2:$G$502,6,FALSE())</f>
        <v>Consumer</v>
      </c>
      <c r="K3904" s="1" t="str">
        <f aca="false">VLOOKUP(C3904,Products!$A$2:$E$62,3,FALSE())</f>
        <v>Office Supplies</v>
      </c>
      <c r="L3904" s="1" t="str">
        <f aca="false">TEXT(D3904,"yyyy-mm")</f>
        <v>2023-08</v>
      </c>
    </row>
    <row r="3905" customFormat="false" ht="15" hidden="false" customHeight="true" outlineLevel="0" collapsed="false">
      <c r="A3905" s="1" t="n">
        <v>3991</v>
      </c>
      <c r="B3905" s="1" t="n">
        <v>386</v>
      </c>
      <c r="C3905" s="1" t="n">
        <v>60</v>
      </c>
      <c r="D3905" s="1" t="s">
        <v>1692</v>
      </c>
      <c r="E3905" s="1" t="n">
        <v>1</v>
      </c>
      <c r="F3905" s="1" t="n">
        <v>584.98</v>
      </c>
      <c r="G3905" s="1" t="n">
        <v>0.15</v>
      </c>
      <c r="H3905" s="1" t="s">
        <v>1336</v>
      </c>
      <c r="I3905" s="1" t="n">
        <v>497.23</v>
      </c>
      <c r="J3905" s="1" t="str">
        <f aca="false">VLOOKUP(B3905,Customers!$A$2:$G$502,6,FALSE())</f>
        <v>Consumer</v>
      </c>
      <c r="K3905" s="1" t="str">
        <f aca="false">VLOOKUP(C3905,Products!$A$2:$E$62,3,FALSE())</f>
        <v>Furniture</v>
      </c>
      <c r="L3905" s="1" t="str">
        <f aca="false">TEXT(D3905,"yyyy-mm")</f>
        <v>2024-12</v>
      </c>
    </row>
    <row r="3906" customFormat="false" ht="15" hidden="false" customHeight="true" outlineLevel="0" collapsed="false">
      <c r="A3906" s="1" t="n">
        <v>3992</v>
      </c>
      <c r="B3906" s="1" t="n">
        <v>9</v>
      </c>
      <c r="C3906" s="1" t="n">
        <v>58</v>
      </c>
      <c r="D3906" s="1" t="s">
        <v>1479</v>
      </c>
      <c r="E3906" s="1" t="n">
        <v>1</v>
      </c>
      <c r="F3906" s="1" t="n">
        <v>515.55</v>
      </c>
      <c r="G3906" s="1" t="n">
        <v>0.15</v>
      </c>
      <c r="H3906" s="1" t="s">
        <v>1336</v>
      </c>
      <c r="I3906" s="1" t="n">
        <v>438.22</v>
      </c>
      <c r="J3906" s="1" t="str">
        <f aca="false">VLOOKUP(B3906,Customers!$A$2:$G$502,6,FALSE())</f>
        <v>Small Business</v>
      </c>
      <c r="K3906" s="1" t="str">
        <f aca="false">VLOOKUP(C3906,Products!$A$2:$E$62,3,FALSE())</f>
        <v>Furniture</v>
      </c>
      <c r="L3906" s="1" t="str">
        <f aca="false">TEXT(D3906,"yyyy-mm")</f>
        <v>2024-10</v>
      </c>
    </row>
    <row r="3907" customFormat="false" ht="15" hidden="false" customHeight="true" outlineLevel="0" collapsed="false">
      <c r="A3907" s="1" t="n">
        <v>3993</v>
      </c>
      <c r="B3907" s="1" t="n">
        <v>373</v>
      </c>
      <c r="C3907" s="1" t="n">
        <v>54</v>
      </c>
      <c r="D3907" s="1" t="s">
        <v>1456</v>
      </c>
      <c r="E3907" s="1" t="n">
        <v>1</v>
      </c>
      <c r="F3907" s="1" t="n">
        <v>312.01</v>
      </c>
      <c r="G3907" s="1" t="n">
        <v>0</v>
      </c>
      <c r="H3907" s="1" t="s">
        <v>1336</v>
      </c>
      <c r="I3907" s="1" t="n">
        <v>312.01</v>
      </c>
      <c r="J3907" s="1" t="str">
        <f aca="false">VLOOKUP(B3907,Customers!$A$2:$G$502,6,FALSE())</f>
        <v>Corporate</v>
      </c>
      <c r="K3907" s="1" t="str">
        <f aca="false">VLOOKUP(C3907,Products!$A$2:$E$62,3,FALSE())</f>
        <v>Software</v>
      </c>
      <c r="L3907" s="1" t="str">
        <f aca="false">TEXT(D3907,"yyyy-mm")</f>
        <v>2024-12</v>
      </c>
    </row>
    <row r="3908" customFormat="false" ht="15" hidden="false" customHeight="true" outlineLevel="0" collapsed="false">
      <c r="A3908" s="1" t="n">
        <v>3994</v>
      </c>
      <c r="B3908" s="1" t="n">
        <v>238</v>
      </c>
      <c r="C3908" s="1" t="n">
        <v>40</v>
      </c>
      <c r="D3908" s="1" t="s">
        <v>432</v>
      </c>
      <c r="E3908" s="1" t="n">
        <v>8</v>
      </c>
      <c r="F3908" s="1" t="n">
        <v>193.02</v>
      </c>
      <c r="G3908" s="1" t="n">
        <v>0</v>
      </c>
      <c r="H3908" s="1" t="s">
        <v>1336</v>
      </c>
      <c r="I3908" s="1" t="n">
        <v>1544.16</v>
      </c>
      <c r="J3908" s="1" t="str">
        <f aca="false">VLOOKUP(B3908,Customers!$A$2:$G$502,6,FALSE())</f>
        <v>Corporate</v>
      </c>
      <c r="K3908" s="1" t="str">
        <f aca="false">VLOOKUP(C3908,Products!$A$2:$E$62,3,FALSE())</f>
        <v>Software</v>
      </c>
      <c r="L3908" s="1" t="str">
        <f aca="false">TEXT(D3908,"yyyy-mm")</f>
        <v>2024-11</v>
      </c>
    </row>
    <row r="3909" customFormat="false" ht="15" hidden="false" customHeight="true" outlineLevel="0" collapsed="false">
      <c r="A3909" s="1" t="n">
        <v>3995</v>
      </c>
      <c r="B3909" s="1" t="n">
        <v>422</v>
      </c>
      <c r="C3909" s="1" t="n">
        <v>29</v>
      </c>
      <c r="D3909" s="1" t="s">
        <v>1568</v>
      </c>
      <c r="E3909" s="1" t="n">
        <v>8</v>
      </c>
      <c r="F3909" s="1" t="n">
        <v>54.62</v>
      </c>
      <c r="G3909" s="1" t="n">
        <v>0.15</v>
      </c>
      <c r="H3909" s="1" t="s">
        <v>1370</v>
      </c>
      <c r="I3909" s="1" t="n">
        <v>371.42</v>
      </c>
      <c r="J3909" s="1" t="str">
        <f aca="false">VLOOKUP(B3909,Customers!$A$2:$G$502,6,FALSE())</f>
        <v>Small Business</v>
      </c>
      <c r="K3909" s="1" t="str">
        <f aca="false">VLOOKUP(C3909,Products!$A$2:$E$62,3,FALSE())</f>
        <v>Office Supplies</v>
      </c>
      <c r="L3909" s="1" t="str">
        <f aca="false">TEXT(D3909,"yyyy-mm")</f>
        <v>2023-07</v>
      </c>
    </row>
    <row r="3910" customFormat="false" ht="15" hidden="false" customHeight="true" outlineLevel="0" collapsed="false">
      <c r="A3910" s="1" t="n">
        <v>3996</v>
      </c>
      <c r="B3910" s="1" t="n">
        <v>316</v>
      </c>
      <c r="C3910" s="1" t="n">
        <v>14</v>
      </c>
      <c r="D3910" s="1" t="s">
        <v>1467</v>
      </c>
      <c r="E3910" s="1" t="n">
        <v>2</v>
      </c>
      <c r="F3910" s="1" t="n">
        <v>135.27</v>
      </c>
      <c r="G3910" s="1" t="n">
        <v>0.15</v>
      </c>
      <c r="H3910" s="1" t="s">
        <v>1370</v>
      </c>
      <c r="I3910" s="1" t="n">
        <v>229.96</v>
      </c>
      <c r="J3910" s="1" t="str">
        <f aca="false">VLOOKUP(B3910,Customers!$A$2:$G$502,6,FALSE())</f>
        <v>Small Business</v>
      </c>
      <c r="K3910" s="1" t="str">
        <f aca="false">VLOOKUP(C3910,Products!$A$2:$E$62,3,FALSE())</f>
        <v>Electronics</v>
      </c>
      <c r="L3910" s="1" t="str">
        <f aca="false">TEXT(D3910,"yyyy-mm")</f>
        <v>2023-09</v>
      </c>
    </row>
    <row r="3911" customFormat="false" ht="15" hidden="false" customHeight="true" outlineLevel="0" collapsed="false">
      <c r="A3911" s="1" t="n">
        <v>3997</v>
      </c>
      <c r="B3911" s="1" t="n">
        <v>293</v>
      </c>
      <c r="C3911" s="1" t="n">
        <v>3</v>
      </c>
      <c r="D3911" s="1" t="s">
        <v>1177</v>
      </c>
      <c r="E3911" s="1" t="n">
        <v>7</v>
      </c>
      <c r="F3911" s="1" t="n">
        <v>89.39</v>
      </c>
      <c r="G3911" s="1" t="n">
        <v>0.1</v>
      </c>
      <c r="H3911" s="1" t="s">
        <v>1336</v>
      </c>
      <c r="I3911" s="1" t="n">
        <v>563.16</v>
      </c>
      <c r="J3911" s="1" t="str">
        <f aca="false">VLOOKUP(B3911,Customers!$A$2:$G$502,6,FALSE())</f>
        <v>Small Business</v>
      </c>
      <c r="K3911" s="1" t="str">
        <f aca="false">VLOOKUP(C3911,Products!$A$2:$E$62,3,FALSE())</f>
        <v>Electronics</v>
      </c>
      <c r="L3911" s="1" t="str">
        <f aca="false">TEXT(D3911,"yyyy-mm")</f>
        <v>2023-08</v>
      </c>
    </row>
    <row r="3912" customFormat="false" ht="15" hidden="false" customHeight="true" outlineLevel="0" collapsed="false">
      <c r="A3912" s="1" t="n">
        <v>3998</v>
      </c>
      <c r="B3912" s="1" t="n">
        <v>345</v>
      </c>
      <c r="C3912" s="1" t="n">
        <v>34</v>
      </c>
      <c r="D3912" s="1" t="s">
        <v>1350</v>
      </c>
      <c r="E3912" s="1" t="n">
        <v>8</v>
      </c>
      <c r="F3912" s="1" t="n">
        <v>116.85</v>
      </c>
      <c r="G3912" s="1" t="n">
        <v>0</v>
      </c>
      <c r="H3912" s="1" t="s">
        <v>1336</v>
      </c>
      <c r="I3912" s="1" t="n">
        <v>934.8</v>
      </c>
      <c r="J3912" s="1" t="str">
        <f aca="false">VLOOKUP(B3912,Customers!$A$2:$G$502,6,FALSE())</f>
        <v>Corporate</v>
      </c>
      <c r="K3912" s="1" t="str">
        <f aca="false">VLOOKUP(C3912,Products!$A$2:$E$62,3,FALSE())</f>
        <v>Office Supplies</v>
      </c>
      <c r="L3912" s="1" t="str">
        <f aca="false">TEXT(D3912,"yyyy-mm")</f>
        <v>2023-08</v>
      </c>
    </row>
    <row r="3913" customFormat="false" ht="15" hidden="false" customHeight="true" outlineLevel="0" collapsed="false">
      <c r="A3913" s="1" t="n">
        <v>3999</v>
      </c>
      <c r="B3913" s="1" t="n">
        <v>305</v>
      </c>
      <c r="C3913" s="1" t="n">
        <v>33</v>
      </c>
      <c r="D3913" s="1" t="s">
        <v>1525</v>
      </c>
      <c r="E3913" s="1" t="n">
        <v>8</v>
      </c>
      <c r="F3913" s="1" t="n">
        <v>190.1</v>
      </c>
      <c r="G3913" s="1" t="n">
        <v>0.2</v>
      </c>
      <c r="H3913" s="1" t="s">
        <v>1336</v>
      </c>
      <c r="I3913" s="1" t="n">
        <v>1216.64</v>
      </c>
      <c r="J3913" s="1" t="str">
        <f aca="false">VLOOKUP(B3913,Customers!$A$2:$G$502,6,FALSE())</f>
        <v>Consumer</v>
      </c>
      <c r="K3913" s="1" t="str">
        <f aca="false">VLOOKUP(C3913,Products!$A$2:$E$62,3,FALSE())</f>
        <v>Office Supplies</v>
      </c>
      <c r="L3913" s="1" t="str">
        <f aca="false">TEXT(D3913,"yyyy-mm")</f>
        <v>2024-01</v>
      </c>
    </row>
    <row r="3914" customFormat="false" ht="15" hidden="false" customHeight="true" outlineLevel="0" collapsed="false">
      <c r="A3914" s="1" t="n">
        <v>4000</v>
      </c>
      <c r="B3914" s="1" t="n">
        <v>400</v>
      </c>
      <c r="C3914" s="1" t="n">
        <v>6</v>
      </c>
      <c r="D3914" s="1" t="s">
        <v>1554</v>
      </c>
      <c r="E3914" s="1" t="n">
        <v>7</v>
      </c>
      <c r="F3914" s="1" t="n">
        <v>28.51</v>
      </c>
      <c r="G3914" s="1" t="n">
        <v>0</v>
      </c>
      <c r="H3914" s="1" t="s">
        <v>1336</v>
      </c>
      <c r="I3914" s="1" t="n">
        <v>199.57</v>
      </c>
      <c r="J3914" s="1" t="str">
        <f aca="false">VLOOKUP(B3914,Customers!$A$2:$G$502,6,FALSE())</f>
        <v>Small Business</v>
      </c>
      <c r="K3914" s="1" t="str">
        <f aca="false">VLOOKUP(C3914,Products!$A$2:$E$62,3,FALSE())</f>
        <v>Electronics</v>
      </c>
      <c r="L3914" s="1" t="str">
        <f aca="false">TEXT(D3914,"yyyy-mm")</f>
        <v>2024-11</v>
      </c>
    </row>
    <row r="3915" customFormat="false" ht="15" hidden="false" customHeight="true" outlineLevel="0" collapsed="false">
      <c r="A3915" s="1" t="n">
        <v>4001</v>
      </c>
      <c r="B3915" s="1" t="n">
        <v>449</v>
      </c>
      <c r="C3915" s="1" t="n">
        <v>59</v>
      </c>
      <c r="D3915" s="1" t="s">
        <v>1483</v>
      </c>
      <c r="E3915" s="1" t="n">
        <v>5</v>
      </c>
      <c r="F3915" s="1" t="n">
        <v>438.89</v>
      </c>
      <c r="G3915" s="1" t="n">
        <v>0.1</v>
      </c>
      <c r="H3915" s="1" t="s">
        <v>1336</v>
      </c>
      <c r="I3915" s="1" t="n">
        <v>1975</v>
      </c>
      <c r="J3915" s="1" t="str">
        <f aca="false">VLOOKUP(B3915,Customers!$A$2:$G$502,6,FALSE())</f>
        <v>Corporate</v>
      </c>
      <c r="K3915" s="1" t="str">
        <f aca="false">VLOOKUP(C3915,Products!$A$2:$E$62,3,FALSE())</f>
        <v>Furniture</v>
      </c>
      <c r="L3915" s="1" t="str">
        <f aca="false">TEXT(D3915,"yyyy-mm")</f>
        <v>2024-10</v>
      </c>
    </row>
    <row r="3916" customFormat="false" ht="15" hidden="false" customHeight="true" outlineLevel="0" collapsed="false">
      <c r="A3916" s="1" t="n">
        <v>4002</v>
      </c>
      <c r="B3916" s="1" t="n">
        <v>115</v>
      </c>
      <c r="C3916" s="1" t="n">
        <v>20</v>
      </c>
      <c r="D3916" s="1" t="s">
        <v>185</v>
      </c>
      <c r="E3916" s="1" t="n">
        <v>1</v>
      </c>
      <c r="F3916" s="1" t="n">
        <v>426.15</v>
      </c>
      <c r="G3916" s="1" t="n">
        <v>0.05</v>
      </c>
      <c r="H3916" s="1" t="s">
        <v>1336</v>
      </c>
      <c r="I3916" s="1" t="n">
        <v>404.84</v>
      </c>
      <c r="J3916" s="1" t="str">
        <f aca="false">VLOOKUP(B3916,Customers!$A$2:$G$502,6,FALSE())</f>
        <v>Small Business</v>
      </c>
      <c r="K3916" s="1" t="str">
        <f aca="false">VLOOKUP(C3916,Products!$A$2:$E$62,3,FALSE())</f>
        <v>Office Supplies</v>
      </c>
      <c r="L3916" s="1" t="str">
        <f aca="false">TEXT(D3916,"yyyy-mm")</f>
        <v>2024-05</v>
      </c>
    </row>
    <row r="3917" customFormat="false" ht="15" hidden="false" customHeight="true" outlineLevel="0" collapsed="false">
      <c r="A3917" s="1" t="n">
        <v>4003</v>
      </c>
      <c r="B3917" s="1" t="n">
        <v>273</v>
      </c>
      <c r="C3917" s="1" t="n">
        <v>28</v>
      </c>
      <c r="D3917" s="1" t="s">
        <v>1526</v>
      </c>
      <c r="E3917" s="1" t="n">
        <v>9</v>
      </c>
      <c r="F3917" s="1" t="n">
        <v>505.23</v>
      </c>
      <c r="G3917" s="1" t="n">
        <v>0</v>
      </c>
      <c r="H3917" s="1" t="s">
        <v>1336</v>
      </c>
      <c r="I3917" s="1" t="n">
        <v>4547.07</v>
      </c>
      <c r="J3917" s="1" t="str">
        <f aca="false">VLOOKUP(B3917,Customers!$A$2:$G$502,6,FALSE())</f>
        <v>Corporate</v>
      </c>
      <c r="K3917" s="1" t="str">
        <f aca="false">VLOOKUP(C3917,Products!$A$2:$E$62,3,FALSE())</f>
        <v>Office Supplies</v>
      </c>
      <c r="L3917" s="1" t="str">
        <f aca="false">TEXT(D3917,"yyyy-mm")</f>
        <v>2023-09</v>
      </c>
    </row>
    <row r="3918" customFormat="false" ht="15" hidden="false" customHeight="true" outlineLevel="0" collapsed="false">
      <c r="A3918" s="1" t="n">
        <v>4004</v>
      </c>
      <c r="B3918" s="1" t="n">
        <v>1</v>
      </c>
      <c r="C3918" s="1" t="n">
        <v>15</v>
      </c>
      <c r="D3918" s="1" t="s">
        <v>1490</v>
      </c>
      <c r="E3918" s="1" t="n">
        <v>7</v>
      </c>
      <c r="F3918" s="1" t="n">
        <v>304.95</v>
      </c>
      <c r="G3918" s="1" t="n">
        <v>0</v>
      </c>
      <c r="H3918" s="1" t="s">
        <v>1336</v>
      </c>
      <c r="I3918" s="1" t="n">
        <v>2134.65</v>
      </c>
      <c r="J3918" s="1" t="str">
        <f aca="false">VLOOKUP(B3918,Customers!$A$2:$G$502,6,FALSE())</f>
        <v>Consumer</v>
      </c>
      <c r="K3918" s="1" t="str">
        <f aca="false">VLOOKUP(C3918,Products!$A$2:$E$62,3,FALSE())</f>
        <v>Electronics</v>
      </c>
      <c r="L3918" s="1" t="str">
        <f aca="false">TEXT(D3918,"yyyy-mm")</f>
        <v>2024-06</v>
      </c>
    </row>
    <row r="3919" customFormat="false" ht="15" hidden="false" customHeight="true" outlineLevel="0" collapsed="false">
      <c r="A3919" s="1" t="n">
        <v>4005</v>
      </c>
      <c r="B3919" s="1" t="n">
        <v>53</v>
      </c>
      <c r="C3919" s="1" t="n">
        <v>21</v>
      </c>
      <c r="D3919" s="1" t="s">
        <v>810</v>
      </c>
      <c r="E3919" s="1" t="n">
        <v>2</v>
      </c>
      <c r="F3919" s="1" t="n">
        <v>84.91</v>
      </c>
      <c r="G3919" s="1" t="n">
        <v>0.1</v>
      </c>
      <c r="H3919" s="1" t="s">
        <v>1336</v>
      </c>
      <c r="I3919" s="1" t="n">
        <v>152.84</v>
      </c>
      <c r="J3919" s="1" t="str">
        <f aca="false">VLOOKUP(B3919,Customers!$A$2:$G$502,6,FALSE())</f>
        <v>Small Business</v>
      </c>
      <c r="K3919" s="1" t="str">
        <f aca="false">VLOOKUP(C3919,Products!$A$2:$E$62,3,FALSE())</f>
        <v>Office Supplies</v>
      </c>
      <c r="L3919" s="1" t="str">
        <f aca="false">TEXT(D3919,"yyyy-mm")</f>
        <v>2023-12</v>
      </c>
    </row>
    <row r="3920" customFormat="false" ht="15" hidden="false" customHeight="true" outlineLevel="0" collapsed="false">
      <c r="A3920" s="1" t="n">
        <v>4006</v>
      </c>
      <c r="B3920" s="1" t="n">
        <v>294</v>
      </c>
      <c r="C3920" s="1" t="n">
        <v>44</v>
      </c>
      <c r="D3920" s="1" t="s">
        <v>424</v>
      </c>
      <c r="E3920" s="1" t="n">
        <v>6</v>
      </c>
      <c r="F3920" s="1" t="n">
        <v>508.26</v>
      </c>
      <c r="G3920" s="1" t="n">
        <v>0</v>
      </c>
      <c r="H3920" s="1" t="s">
        <v>1336</v>
      </c>
      <c r="I3920" s="1" t="n">
        <v>3049.56</v>
      </c>
      <c r="J3920" s="1" t="str">
        <f aca="false">VLOOKUP(B3920,Customers!$A$2:$G$502,6,FALSE())</f>
        <v>Consumer</v>
      </c>
      <c r="K3920" s="1" t="str">
        <f aca="false">VLOOKUP(C3920,Products!$A$2:$E$62,3,FALSE())</f>
        <v>Software</v>
      </c>
      <c r="L3920" s="1" t="str">
        <f aca="false">TEXT(D3920,"yyyy-mm")</f>
        <v>2024-02</v>
      </c>
    </row>
    <row r="3921" customFormat="false" ht="15" hidden="false" customHeight="true" outlineLevel="0" collapsed="false">
      <c r="A3921" s="1" t="n">
        <v>4007</v>
      </c>
      <c r="B3921" s="1" t="n">
        <v>4</v>
      </c>
      <c r="C3921" s="1" t="n">
        <v>13</v>
      </c>
      <c r="D3921" s="1" t="s">
        <v>243</v>
      </c>
      <c r="E3921" s="1" t="n">
        <v>2</v>
      </c>
      <c r="F3921" s="1" t="n">
        <v>352.54</v>
      </c>
      <c r="G3921" s="1" t="n">
        <v>0.1</v>
      </c>
      <c r="H3921" s="1" t="s">
        <v>1336</v>
      </c>
      <c r="I3921" s="1" t="n">
        <v>634.57</v>
      </c>
      <c r="J3921" s="1" t="str">
        <f aca="false">VLOOKUP(B3921,Customers!$A$2:$G$502,6,FALSE())</f>
        <v>Consumer</v>
      </c>
      <c r="K3921" s="1" t="str">
        <f aca="false">VLOOKUP(C3921,Products!$A$2:$E$62,3,FALSE())</f>
        <v>Electronics</v>
      </c>
      <c r="L3921" s="1" t="str">
        <f aca="false">TEXT(D3921,"yyyy-mm")</f>
        <v>2024-07</v>
      </c>
    </row>
    <row r="3922" customFormat="false" ht="15" hidden="false" customHeight="true" outlineLevel="0" collapsed="false">
      <c r="A3922" s="1" t="n">
        <v>4008</v>
      </c>
      <c r="B3922" s="1" t="n">
        <v>399</v>
      </c>
      <c r="C3922" s="1" t="n">
        <v>43</v>
      </c>
      <c r="D3922" s="1" t="s">
        <v>1479</v>
      </c>
      <c r="E3922" s="1" t="n">
        <v>1</v>
      </c>
      <c r="F3922" s="1" t="n">
        <v>186.31</v>
      </c>
      <c r="G3922" s="1" t="n">
        <v>0</v>
      </c>
      <c r="H3922" s="1" t="s">
        <v>1336</v>
      </c>
      <c r="I3922" s="1" t="n">
        <v>186.31</v>
      </c>
      <c r="J3922" s="1" t="str">
        <f aca="false">VLOOKUP(B3922,Customers!$A$2:$G$502,6,FALSE())</f>
        <v>Corporate</v>
      </c>
      <c r="K3922" s="1" t="str">
        <f aca="false">VLOOKUP(C3922,Products!$A$2:$E$62,3,FALSE())</f>
        <v>Software</v>
      </c>
      <c r="L3922" s="1" t="str">
        <f aca="false">TEXT(D3922,"yyyy-mm")</f>
        <v>2024-10</v>
      </c>
    </row>
    <row r="3923" customFormat="false" ht="15" hidden="false" customHeight="true" outlineLevel="0" collapsed="false">
      <c r="A3923" s="1" t="n">
        <v>4009</v>
      </c>
      <c r="B3923" s="1" t="n">
        <v>28</v>
      </c>
      <c r="C3923" s="1" t="n">
        <v>10</v>
      </c>
      <c r="D3923" s="1" t="s">
        <v>286</v>
      </c>
      <c r="E3923" s="1" t="n">
        <v>7</v>
      </c>
      <c r="F3923" s="1" t="n">
        <v>251.58</v>
      </c>
      <c r="G3923" s="1" t="n">
        <v>0</v>
      </c>
      <c r="H3923" s="1" t="s">
        <v>1336</v>
      </c>
      <c r="I3923" s="1" t="n">
        <v>1761.06</v>
      </c>
      <c r="J3923" s="1" t="str">
        <f aca="false">VLOOKUP(B3923,Customers!$A$2:$G$502,6,FALSE())</f>
        <v>Small Business</v>
      </c>
      <c r="K3923" s="1" t="str">
        <f aca="false">VLOOKUP(C3923,Products!$A$2:$E$62,3,FALSE())</f>
        <v>Electronics</v>
      </c>
      <c r="L3923" s="1" t="str">
        <f aca="false">TEXT(D3923,"yyyy-mm")</f>
        <v>2023-04</v>
      </c>
    </row>
    <row r="3924" customFormat="false" ht="15" hidden="false" customHeight="true" outlineLevel="0" collapsed="false">
      <c r="A3924" s="1" t="n">
        <v>4010</v>
      </c>
      <c r="B3924" s="1" t="n">
        <v>195</v>
      </c>
      <c r="C3924" s="1" t="n">
        <v>43</v>
      </c>
      <c r="D3924" s="1" t="s">
        <v>1208</v>
      </c>
      <c r="E3924" s="1" t="n">
        <v>2</v>
      </c>
      <c r="F3924" s="1" t="n">
        <v>186.31</v>
      </c>
      <c r="G3924" s="1" t="n">
        <v>0</v>
      </c>
      <c r="H3924" s="1" t="s">
        <v>1336</v>
      </c>
      <c r="I3924" s="1" t="n">
        <v>372.62</v>
      </c>
      <c r="J3924" s="1" t="str">
        <f aca="false">VLOOKUP(B3924,Customers!$A$2:$G$502,6,FALSE())</f>
        <v>Corporate</v>
      </c>
      <c r="K3924" s="1" t="str">
        <f aca="false">VLOOKUP(C3924,Products!$A$2:$E$62,3,FALSE())</f>
        <v>Software</v>
      </c>
      <c r="L3924" s="1" t="str">
        <f aca="false">TEXT(D3924,"yyyy-mm")</f>
        <v>2024-01</v>
      </c>
    </row>
    <row r="3925" customFormat="false" ht="15" hidden="false" customHeight="true" outlineLevel="0" collapsed="false">
      <c r="A3925" s="1" t="n">
        <v>4011</v>
      </c>
      <c r="B3925" s="1" t="n">
        <v>407</v>
      </c>
      <c r="C3925" s="1" t="n">
        <v>30</v>
      </c>
      <c r="D3925" s="1" t="s">
        <v>1639</v>
      </c>
      <c r="E3925" s="1" t="n">
        <v>2</v>
      </c>
      <c r="F3925" s="1" t="n">
        <v>33.32</v>
      </c>
      <c r="G3925" s="1" t="n">
        <v>0.15</v>
      </c>
      <c r="H3925" s="1" t="s">
        <v>1336</v>
      </c>
      <c r="I3925" s="1" t="n">
        <v>56.64</v>
      </c>
      <c r="J3925" s="1" t="str">
        <f aca="false">VLOOKUP(B3925,Customers!$A$2:$G$502,6,FALSE())</f>
        <v>Consumer</v>
      </c>
      <c r="K3925" s="1" t="str">
        <f aca="false">VLOOKUP(C3925,Products!$A$2:$E$62,3,FALSE())</f>
        <v>Office Supplies</v>
      </c>
      <c r="L3925" s="1" t="str">
        <f aca="false">TEXT(D3925,"yyyy-mm")</f>
        <v>2023-07</v>
      </c>
    </row>
    <row r="3926" customFormat="false" ht="15" hidden="false" customHeight="true" outlineLevel="0" collapsed="false">
      <c r="A3926" s="1" t="n">
        <v>4012</v>
      </c>
      <c r="B3926" s="1" t="n">
        <v>471</v>
      </c>
      <c r="C3926" s="1" t="n">
        <v>33</v>
      </c>
      <c r="D3926" s="1" t="s">
        <v>387</v>
      </c>
      <c r="E3926" s="1" t="n">
        <v>5</v>
      </c>
      <c r="F3926" s="1" t="n">
        <v>190.1</v>
      </c>
      <c r="G3926" s="1" t="n">
        <v>0</v>
      </c>
      <c r="H3926" s="1" t="s">
        <v>1336</v>
      </c>
      <c r="I3926" s="1" t="n">
        <v>950.5</v>
      </c>
      <c r="J3926" s="1" t="str">
        <f aca="false">VLOOKUP(B3926,Customers!$A$2:$G$502,6,FALSE())</f>
        <v>Small Business</v>
      </c>
      <c r="K3926" s="1" t="str">
        <f aca="false">VLOOKUP(C3926,Products!$A$2:$E$62,3,FALSE())</f>
        <v>Office Supplies</v>
      </c>
      <c r="L3926" s="1" t="str">
        <f aca="false">TEXT(D3926,"yyyy-mm")</f>
        <v>2024-04</v>
      </c>
    </row>
    <row r="3927" customFormat="false" ht="15" hidden="false" customHeight="true" outlineLevel="0" collapsed="false">
      <c r="A3927" s="1" t="n">
        <v>4013</v>
      </c>
      <c r="B3927" s="1" t="n">
        <v>3</v>
      </c>
      <c r="C3927" s="1" t="n">
        <v>52</v>
      </c>
      <c r="D3927" s="1" t="s">
        <v>1517</v>
      </c>
      <c r="E3927" s="1" t="n">
        <v>5</v>
      </c>
      <c r="F3927" s="1" t="n">
        <v>207.67</v>
      </c>
      <c r="G3927" s="1" t="n">
        <v>0.1</v>
      </c>
      <c r="H3927" s="1" t="s">
        <v>1336</v>
      </c>
      <c r="I3927" s="1" t="n">
        <v>934.52</v>
      </c>
      <c r="J3927" s="1" t="str">
        <f aca="false">VLOOKUP(B3927,Customers!$A$2:$G$502,6,FALSE())</f>
        <v>Corporate</v>
      </c>
      <c r="K3927" s="1" t="str">
        <f aca="false">VLOOKUP(C3927,Products!$A$2:$E$62,3,FALSE())</f>
        <v>Software</v>
      </c>
      <c r="L3927" s="1" t="str">
        <f aca="false">TEXT(D3927,"yyyy-mm")</f>
        <v>2023-04</v>
      </c>
    </row>
    <row r="3928" customFormat="false" ht="15" hidden="false" customHeight="true" outlineLevel="0" collapsed="false">
      <c r="A3928" s="1" t="n">
        <v>4014</v>
      </c>
      <c r="B3928" s="1" t="n">
        <v>203</v>
      </c>
      <c r="C3928" s="1" t="n">
        <v>47</v>
      </c>
      <c r="D3928" s="1" t="s">
        <v>1432</v>
      </c>
      <c r="E3928" s="1" t="n">
        <v>7</v>
      </c>
      <c r="F3928" s="1" t="n">
        <v>506.19</v>
      </c>
      <c r="G3928" s="1" t="n">
        <v>0.15</v>
      </c>
      <c r="H3928" s="1" t="s">
        <v>1336</v>
      </c>
      <c r="I3928" s="1" t="n">
        <v>3011.83</v>
      </c>
      <c r="J3928" s="1" t="str">
        <f aca="false">VLOOKUP(B3928,Customers!$A$2:$G$502,6,FALSE())</f>
        <v>Corporate</v>
      </c>
      <c r="K3928" s="1" t="str">
        <f aca="false">VLOOKUP(C3928,Products!$A$2:$E$62,3,FALSE())</f>
        <v>Software</v>
      </c>
      <c r="L3928" s="1" t="str">
        <f aca="false">TEXT(D3928,"yyyy-mm")</f>
        <v>2023-01</v>
      </c>
    </row>
    <row r="3929" customFormat="false" ht="15" hidden="false" customHeight="true" outlineLevel="0" collapsed="false">
      <c r="A3929" s="1" t="n">
        <v>4015</v>
      </c>
      <c r="B3929" s="1" t="n">
        <v>156</v>
      </c>
      <c r="C3929" s="1" t="n">
        <v>60</v>
      </c>
      <c r="D3929" s="1" t="s">
        <v>1641</v>
      </c>
      <c r="E3929" s="1" t="n">
        <v>1</v>
      </c>
      <c r="F3929" s="1" t="n">
        <v>584.98</v>
      </c>
      <c r="G3929" s="1" t="n">
        <v>0.2</v>
      </c>
      <c r="H3929" s="1" t="s">
        <v>1336</v>
      </c>
      <c r="I3929" s="1" t="n">
        <v>467.98</v>
      </c>
      <c r="J3929" s="1" t="str">
        <f aca="false">VLOOKUP(B3929,Customers!$A$2:$G$502,6,FALSE())</f>
        <v>Corporate</v>
      </c>
      <c r="K3929" s="1" t="str">
        <f aca="false">VLOOKUP(C3929,Products!$A$2:$E$62,3,FALSE())</f>
        <v>Furniture</v>
      </c>
      <c r="L3929" s="1" t="str">
        <f aca="false">TEXT(D3929,"yyyy-mm")</f>
        <v>2024-04</v>
      </c>
    </row>
    <row r="3930" customFormat="false" ht="15" hidden="false" customHeight="true" outlineLevel="0" collapsed="false">
      <c r="A3930" s="1" t="n">
        <v>4016</v>
      </c>
      <c r="B3930" s="1" t="n">
        <v>241</v>
      </c>
      <c r="C3930" s="1" t="n">
        <v>33</v>
      </c>
      <c r="D3930" s="1" t="s">
        <v>1480</v>
      </c>
      <c r="E3930" s="1" t="n">
        <v>8</v>
      </c>
      <c r="F3930" s="1" t="n">
        <v>190.1</v>
      </c>
      <c r="G3930" s="1" t="n">
        <v>0.1</v>
      </c>
      <c r="H3930" s="1" t="s">
        <v>1336</v>
      </c>
      <c r="I3930" s="1" t="n">
        <v>1368.72</v>
      </c>
      <c r="J3930" s="1" t="str">
        <f aca="false">VLOOKUP(B3930,Customers!$A$2:$G$502,6,FALSE())</f>
        <v>Small Business</v>
      </c>
      <c r="K3930" s="1" t="str">
        <f aca="false">VLOOKUP(C3930,Products!$A$2:$E$62,3,FALSE())</f>
        <v>Office Supplies</v>
      </c>
      <c r="L3930" s="1" t="str">
        <f aca="false">TEXT(D3930,"yyyy-mm")</f>
        <v>2024-01</v>
      </c>
    </row>
    <row r="3931" customFormat="false" ht="15" hidden="false" customHeight="true" outlineLevel="0" collapsed="false">
      <c r="A3931" s="1" t="n">
        <v>4017</v>
      </c>
      <c r="B3931" s="1" t="n">
        <v>408</v>
      </c>
      <c r="C3931" s="1" t="n">
        <v>4</v>
      </c>
      <c r="D3931" s="1" t="s">
        <v>1363</v>
      </c>
      <c r="E3931" s="1" t="n">
        <v>3</v>
      </c>
      <c r="F3931" s="1" t="n">
        <v>56.24</v>
      </c>
      <c r="G3931" s="1" t="n">
        <v>0.15</v>
      </c>
      <c r="H3931" s="1" t="s">
        <v>1336</v>
      </c>
      <c r="I3931" s="1" t="n">
        <v>143.41</v>
      </c>
      <c r="J3931" s="1" t="str">
        <f aca="false">VLOOKUP(B3931,Customers!$A$2:$G$502,6,FALSE())</f>
        <v>Small Business</v>
      </c>
      <c r="K3931" s="1" t="str">
        <f aca="false">VLOOKUP(C3931,Products!$A$2:$E$62,3,FALSE())</f>
        <v>Electronics</v>
      </c>
      <c r="L3931" s="1" t="str">
        <f aca="false">TEXT(D3931,"yyyy-mm")</f>
        <v>2024-09</v>
      </c>
    </row>
    <row r="3932" customFormat="false" ht="15" hidden="false" customHeight="true" outlineLevel="0" collapsed="false">
      <c r="A3932" s="1" t="n">
        <v>4019</v>
      </c>
      <c r="B3932" s="1" t="n">
        <v>180</v>
      </c>
      <c r="C3932" s="1" t="n">
        <v>49</v>
      </c>
      <c r="D3932" s="1" t="s">
        <v>1147</v>
      </c>
      <c r="E3932" s="1" t="n">
        <v>9</v>
      </c>
      <c r="F3932" s="1" t="n">
        <v>325.17</v>
      </c>
      <c r="G3932" s="1" t="n">
        <v>0.2</v>
      </c>
      <c r="H3932" s="1" t="s">
        <v>1336</v>
      </c>
      <c r="I3932" s="1" t="n">
        <v>2341.22</v>
      </c>
      <c r="J3932" s="1" t="str">
        <f aca="false">VLOOKUP(B3932,Customers!$A$2:$G$502,6,FALSE())</f>
        <v>Consumer</v>
      </c>
      <c r="K3932" s="1" t="str">
        <f aca="false">VLOOKUP(C3932,Products!$A$2:$E$62,3,FALSE())</f>
        <v>Software</v>
      </c>
      <c r="L3932" s="1" t="str">
        <f aca="false">TEXT(D3932,"yyyy-mm")</f>
        <v>2024-05</v>
      </c>
    </row>
    <row r="3933" customFormat="false" ht="15" hidden="false" customHeight="true" outlineLevel="0" collapsed="false">
      <c r="A3933" s="1" t="n">
        <v>4020</v>
      </c>
      <c r="B3933" s="1" t="n">
        <v>154</v>
      </c>
      <c r="C3933" s="1" t="n">
        <v>17</v>
      </c>
      <c r="D3933" s="1" t="s">
        <v>899</v>
      </c>
      <c r="E3933" s="1" t="n">
        <v>4</v>
      </c>
      <c r="F3933" s="1" t="n">
        <v>65.61</v>
      </c>
      <c r="G3933" s="1" t="n">
        <v>0.2</v>
      </c>
      <c r="H3933" s="1" t="s">
        <v>1336</v>
      </c>
      <c r="I3933" s="1" t="n">
        <v>209.95</v>
      </c>
      <c r="J3933" s="1" t="str">
        <f aca="false">VLOOKUP(B3933,Customers!$A$2:$G$502,6,FALSE())</f>
        <v>Small Business</v>
      </c>
      <c r="K3933" s="1" t="str">
        <f aca="false">VLOOKUP(C3933,Products!$A$2:$E$62,3,FALSE())</f>
        <v>Electronics</v>
      </c>
      <c r="L3933" s="1" t="str">
        <f aca="false">TEXT(D3933,"yyyy-mm")</f>
        <v>2024-05</v>
      </c>
    </row>
    <row r="3934" customFormat="false" ht="15" hidden="false" customHeight="true" outlineLevel="0" collapsed="false">
      <c r="A3934" s="1" t="n">
        <v>4021</v>
      </c>
      <c r="B3934" s="1" t="n">
        <v>282</v>
      </c>
      <c r="C3934" s="1" t="n">
        <v>57</v>
      </c>
      <c r="D3934" s="1" t="s">
        <v>1527</v>
      </c>
      <c r="E3934" s="1" t="n">
        <v>5</v>
      </c>
      <c r="F3934" s="1" t="n">
        <v>719.76</v>
      </c>
      <c r="G3934" s="1" t="n">
        <v>0.15</v>
      </c>
      <c r="H3934" s="1" t="s">
        <v>1336</v>
      </c>
      <c r="I3934" s="1" t="n">
        <v>3058.98</v>
      </c>
      <c r="J3934" s="1" t="str">
        <f aca="false">VLOOKUP(B3934,Customers!$A$2:$G$502,6,FALSE())</f>
        <v>Corporate</v>
      </c>
      <c r="K3934" s="1" t="str">
        <f aca="false">VLOOKUP(C3934,Products!$A$2:$E$62,3,FALSE())</f>
        <v>Furniture</v>
      </c>
      <c r="L3934" s="1" t="str">
        <f aca="false">TEXT(D3934,"yyyy-mm")</f>
        <v>2023-02</v>
      </c>
    </row>
    <row r="3935" customFormat="false" ht="15" hidden="false" customHeight="true" outlineLevel="0" collapsed="false">
      <c r="A3935" s="1" t="n">
        <v>4022</v>
      </c>
      <c r="B3935" s="1" t="n">
        <v>484</v>
      </c>
      <c r="C3935" s="1" t="n">
        <v>37</v>
      </c>
      <c r="D3935" s="1" t="s">
        <v>745</v>
      </c>
      <c r="E3935" s="1" t="n">
        <v>7</v>
      </c>
      <c r="F3935" s="1" t="n">
        <v>13.95</v>
      </c>
      <c r="G3935" s="1" t="n">
        <v>0.15</v>
      </c>
      <c r="H3935" s="1" t="s">
        <v>1336</v>
      </c>
      <c r="I3935" s="1" t="n">
        <v>83</v>
      </c>
      <c r="J3935" s="1" t="str">
        <f aca="false">VLOOKUP(B3935,Customers!$A$2:$G$502,6,FALSE())</f>
        <v>Corporate</v>
      </c>
      <c r="K3935" s="1" t="str">
        <f aca="false">VLOOKUP(C3935,Products!$A$2:$E$62,3,FALSE())</f>
        <v>Software</v>
      </c>
      <c r="L3935" s="1" t="str">
        <f aca="false">TEXT(D3935,"yyyy-mm")</f>
        <v>2023-01</v>
      </c>
    </row>
    <row r="3936" customFormat="false" ht="15" hidden="false" customHeight="true" outlineLevel="0" collapsed="false">
      <c r="A3936" s="1" t="n">
        <v>4023</v>
      </c>
      <c r="B3936" s="1" t="n">
        <v>98</v>
      </c>
      <c r="C3936" s="1" t="n">
        <v>29</v>
      </c>
      <c r="D3936" s="1" t="s">
        <v>112</v>
      </c>
      <c r="E3936" s="1" t="n">
        <v>4</v>
      </c>
      <c r="F3936" s="1" t="n">
        <v>54.62</v>
      </c>
      <c r="G3936" s="1" t="n">
        <v>0.2</v>
      </c>
      <c r="H3936" s="1" t="s">
        <v>1346</v>
      </c>
      <c r="I3936" s="1" t="n">
        <v>174.78</v>
      </c>
      <c r="J3936" s="1" t="str">
        <f aca="false">VLOOKUP(B3936,Customers!$A$2:$G$502,6,FALSE())</f>
        <v>Corporate</v>
      </c>
      <c r="K3936" s="1" t="str">
        <f aca="false">VLOOKUP(C3936,Products!$A$2:$E$62,3,FALSE())</f>
        <v>Office Supplies</v>
      </c>
      <c r="L3936" s="1" t="str">
        <f aca="false">TEXT(D3936,"yyyy-mm")</f>
        <v>2024-07</v>
      </c>
    </row>
    <row r="3937" customFormat="false" ht="15" hidden="false" customHeight="true" outlineLevel="0" collapsed="false">
      <c r="A3937" s="1" t="n">
        <v>4024</v>
      </c>
      <c r="B3937" s="1" t="n">
        <v>473</v>
      </c>
      <c r="C3937" s="1" t="n">
        <v>49</v>
      </c>
      <c r="D3937" s="1" t="s">
        <v>217</v>
      </c>
      <c r="E3937" s="1" t="n">
        <v>1</v>
      </c>
      <c r="F3937" s="1" t="n">
        <v>325.17</v>
      </c>
      <c r="G3937" s="1" t="n">
        <v>0.1</v>
      </c>
      <c r="H3937" s="1" t="s">
        <v>1336</v>
      </c>
      <c r="I3937" s="1" t="n">
        <v>292.65</v>
      </c>
      <c r="J3937" s="1" t="str">
        <f aca="false">VLOOKUP(B3937,Customers!$A$2:$G$502,6,FALSE())</f>
        <v>Small Business</v>
      </c>
      <c r="K3937" s="1" t="str">
        <f aca="false">VLOOKUP(C3937,Products!$A$2:$E$62,3,FALSE())</f>
        <v>Software</v>
      </c>
      <c r="L3937" s="1" t="str">
        <f aca="false">TEXT(D3937,"yyyy-mm")</f>
        <v>2024-07</v>
      </c>
    </row>
    <row r="3938" customFormat="false" ht="15" hidden="false" customHeight="true" outlineLevel="0" collapsed="false">
      <c r="A3938" s="1" t="n">
        <v>4025</v>
      </c>
      <c r="B3938" s="1" t="n">
        <v>23</v>
      </c>
      <c r="C3938" s="1" t="n">
        <v>39</v>
      </c>
      <c r="D3938" s="1" t="s">
        <v>1486</v>
      </c>
      <c r="E3938" s="1" t="n">
        <v>9</v>
      </c>
      <c r="F3938" s="1" t="n">
        <v>400.02</v>
      </c>
      <c r="G3938" s="1" t="n">
        <v>0.1</v>
      </c>
      <c r="H3938" s="1" t="s">
        <v>1336</v>
      </c>
      <c r="I3938" s="1" t="n">
        <v>3240.16</v>
      </c>
      <c r="J3938" s="1" t="str">
        <f aca="false">VLOOKUP(B3938,Customers!$A$2:$G$502,6,FALSE())</f>
        <v>Corporate</v>
      </c>
      <c r="K3938" s="1" t="str">
        <f aca="false">VLOOKUP(C3938,Products!$A$2:$E$62,3,FALSE())</f>
        <v>Software</v>
      </c>
      <c r="L3938" s="1" t="str">
        <f aca="false">TEXT(D3938,"yyyy-mm")</f>
        <v>2024-02</v>
      </c>
    </row>
    <row r="3939" customFormat="false" ht="15" hidden="false" customHeight="true" outlineLevel="0" collapsed="false">
      <c r="A3939" s="1" t="n">
        <v>4026</v>
      </c>
      <c r="B3939" s="1" t="n">
        <v>166</v>
      </c>
      <c r="C3939" s="1" t="n">
        <v>4</v>
      </c>
      <c r="D3939" s="1" t="s">
        <v>1285</v>
      </c>
      <c r="E3939" s="1" t="n">
        <v>4</v>
      </c>
      <c r="F3939" s="1" t="n">
        <v>56.24</v>
      </c>
      <c r="G3939" s="1" t="n">
        <v>0</v>
      </c>
      <c r="H3939" s="1" t="s">
        <v>1336</v>
      </c>
      <c r="I3939" s="1" t="n">
        <v>224.96</v>
      </c>
      <c r="J3939" s="1" t="str">
        <f aca="false">VLOOKUP(B3939,Customers!$A$2:$G$502,6,FALSE())</f>
        <v>Small Business</v>
      </c>
      <c r="K3939" s="1" t="str">
        <f aca="false">VLOOKUP(C3939,Products!$A$2:$E$62,3,FALSE())</f>
        <v>Electronics</v>
      </c>
      <c r="L3939" s="1" t="str">
        <f aca="false">TEXT(D3939,"yyyy-mm")</f>
        <v>2023-06</v>
      </c>
    </row>
    <row r="3940" customFormat="false" ht="15" hidden="false" customHeight="true" outlineLevel="0" collapsed="false">
      <c r="A3940" s="1" t="n">
        <v>4027</v>
      </c>
      <c r="B3940" s="1" t="n">
        <v>200</v>
      </c>
      <c r="C3940" s="1" t="n">
        <v>18</v>
      </c>
      <c r="D3940" s="1" t="s">
        <v>1461</v>
      </c>
      <c r="E3940" s="1" t="n">
        <v>9</v>
      </c>
      <c r="F3940" s="1" t="n">
        <v>747.34</v>
      </c>
      <c r="G3940" s="1" t="n">
        <v>0.2</v>
      </c>
      <c r="H3940" s="1" t="s">
        <v>1336</v>
      </c>
      <c r="I3940" s="1" t="n">
        <v>5380.85</v>
      </c>
      <c r="J3940" s="1" t="str">
        <f aca="false">VLOOKUP(B3940,Customers!$A$2:$G$502,6,FALSE())</f>
        <v>Small Business</v>
      </c>
      <c r="K3940" s="1" t="str">
        <f aca="false">VLOOKUP(C3940,Products!$A$2:$E$62,3,FALSE())</f>
        <v>Electronics</v>
      </c>
      <c r="L3940" s="1" t="str">
        <f aca="false">TEXT(D3940,"yyyy-mm")</f>
        <v>2024-02</v>
      </c>
    </row>
    <row r="3941" customFormat="false" ht="15" hidden="false" customHeight="true" outlineLevel="0" collapsed="false">
      <c r="A3941" s="1" t="n">
        <v>4028</v>
      </c>
      <c r="B3941" s="1" t="n">
        <v>397</v>
      </c>
      <c r="C3941" s="1" t="n">
        <v>56</v>
      </c>
      <c r="D3941" s="1" t="s">
        <v>1579</v>
      </c>
      <c r="E3941" s="1" t="n">
        <v>6</v>
      </c>
      <c r="F3941" s="1" t="n">
        <v>160.64</v>
      </c>
      <c r="G3941" s="1" t="n">
        <v>0</v>
      </c>
      <c r="H3941" s="1" t="s">
        <v>1336</v>
      </c>
      <c r="I3941" s="1" t="n">
        <v>963.84</v>
      </c>
      <c r="J3941" s="1" t="str">
        <f aca="false">VLOOKUP(B3941,Customers!$A$2:$G$502,6,FALSE())</f>
        <v>Consumer</v>
      </c>
      <c r="K3941" s="1" t="str">
        <f aca="false">VLOOKUP(C3941,Products!$A$2:$E$62,3,FALSE())</f>
        <v>Furniture</v>
      </c>
      <c r="L3941" s="1" t="str">
        <f aca="false">TEXT(D3941,"yyyy-mm")</f>
        <v>2023-08</v>
      </c>
    </row>
    <row r="3942" customFormat="false" ht="15" hidden="false" customHeight="true" outlineLevel="0" collapsed="false">
      <c r="A3942" s="1" t="n">
        <v>4029</v>
      </c>
      <c r="B3942" s="1" t="n">
        <v>96</v>
      </c>
      <c r="C3942" s="1" t="n">
        <v>53</v>
      </c>
      <c r="D3942" s="1" t="s">
        <v>29</v>
      </c>
      <c r="E3942" s="1" t="n">
        <v>1</v>
      </c>
      <c r="F3942" s="1" t="n">
        <v>509.98</v>
      </c>
      <c r="G3942" s="1" t="n">
        <v>0.15</v>
      </c>
      <c r="H3942" s="1" t="s">
        <v>1336</v>
      </c>
      <c r="I3942" s="1" t="n">
        <v>433.48</v>
      </c>
      <c r="J3942" s="1" t="str">
        <f aca="false">VLOOKUP(B3942,Customers!$A$2:$G$502,6,FALSE())</f>
        <v>Corporate</v>
      </c>
      <c r="K3942" s="1" t="str">
        <f aca="false">VLOOKUP(C3942,Products!$A$2:$E$62,3,FALSE())</f>
        <v>Software</v>
      </c>
      <c r="L3942" s="1" t="str">
        <f aca="false">TEXT(D3942,"yyyy-mm")</f>
        <v>2023-04</v>
      </c>
    </row>
    <row r="3943" customFormat="false" ht="15" hidden="false" customHeight="true" outlineLevel="0" collapsed="false">
      <c r="A3943" s="1" t="n">
        <v>4030</v>
      </c>
      <c r="B3943" s="1" t="n">
        <v>3</v>
      </c>
      <c r="C3943" s="1" t="n">
        <v>34</v>
      </c>
      <c r="D3943" s="1" t="s">
        <v>828</v>
      </c>
      <c r="E3943" s="1" t="n">
        <v>3</v>
      </c>
      <c r="F3943" s="1" t="n">
        <v>116.85</v>
      </c>
      <c r="G3943" s="1" t="n">
        <v>0</v>
      </c>
      <c r="H3943" s="1" t="s">
        <v>1336</v>
      </c>
      <c r="I3943" s="1" t="n">
        <v>350.55</v>
      </c>
      <c r="J3943" s="1" t="str">
        <f aca="false">VLOOKUP(B3943,Customers!$A$2:$G$502,6,FALSE())</f>
        <v>Corporate</v>
      </c>
      <c r="K3943" s="1" t="str">
        <f aca="false">VLOOKUP(C3943,Products!$A$2:$E$62,3,FALSE())</f>
        <v>Office Supplies</v>
      </c>
      <c r="L3943" s="1" t="str">
        <f aca="false">TEXT(D3943,"yyyy-mm")</f>
        <v>2024-07</v>
      </c>
    </row>
    <row r="3944" customFormat="false" ht="15" hidden="false" customHeight="true" outlineLevel="0" collapsed="false">
      <c r="A3944" s="1" t="n">
        <v>4031</v>
      </c>
      <c r="B3944" s="1" t="n">
        <v>219</v>
      </c>
      <c r="C3944" s="1" t="n">
        <v>1</v>
      </c>
      <c r="D3944" s="1" t="s">
        <v>761</v>
      </c>
      <c r="E3944" s="1" t="n">
        <v>2</v>
      </c>
      <c r="F3944" s="1" t="n">
        <v>327.32</v>
      </c>
      <c r="G3944" s="1" t="n">
        <v>0.1</v>
      </c>
      <c r="H3944" s="1" t="s">
        <v>1336</v>
      </c>
      <c r="I3944" s="1" t="n">
        <v>589.18</v>
      </c>
      <c r="J3944" s="1" t="str">
        <f aca="false">VLOOKUP(B3944,Customers!$A$2:$G$502,6,FALSE())</f>
        <v>Small Business</v>
      </c>
      <c r="K3944" s="1" t="str">
        <f aca="false">VLOOKUP(C3944,Products!$A$2:$E$62,3,FALSE())</f>
        <v>Electronics</v>
      </c>
      <c r="L3944" s="1" t="str">
        <f aca="false">TEXT(D3944,"yyyy-mm")</f>
        <v>2023-11</v>
      </c>
    </row>
    <row r="3945" customFormat="false" ht="15" hidden="false" customHeight="true" outlineLevel="0" collapsed="false">
      <c r="A3945" s="1" t="n">
        <v>4032</v>
      </c>
      <c r="B3945" s="1" t="n">
        <v>236</v>
      </c>
      <c r="C3945" s="1" t="n">
        <v>28</v>
      </c>
      <c r="D3945" s="1" t="s">
        <v>1654</v>
      </c>
      <c r="E3945" s="1" t="n">
        <v>9</v>
      </c>
      <c r="F3945" s="1" t="n">
        <v>505.23</v>
      </c>
      <c r="G3945" s="1" t="n">
        <v>0</v>
      </c>
      <c r="H3945" s="1" t="s">
        <v>1336</v>
      </c>
      <c r="I3945" s="1" t="n">
        <v>4547.07</v>
      </c>
      <c r="J3945" s="1" t="str">
        <f aca="false">VLOOKUP(B3945,Customers!$A$2:$G$502,6,FALSE())</f>
        <v>Corporate</v>
      </c>
      <c r="K3945" s="1" t="str">
        <f aca="false">VLOOKUP(C3945,Products!$A$2:$E$62,3,FALSE())</f>
        <v>Office Supplies</v>
      </c>
      <c r="L3945" s="1" t="str">
        <f aca="false">TEXT(D3945,"yyyy-mm")</f>
        <v>2024-08</v>
      </c>
    </row>
    <row r="3946" customFormat="false" ht="15" hidden="false" customHeight="true" outlineLevel="0" collapsed="false">
      <c r="A3946" s="1" t="n">
        <v>4033</v>
      </c>
      <c r="B3946" s="1" t="n">
        <v>60</v>
      </c>
      <c r="C3946" s="1" t="n">
        <v>52</v>
      </c>
      <c r="D3946" s="1" t="s">
        <v>464</v>
      </c>
      <c r="E3946" s="1" t="n">
        <v>1</v>
      </c>
      <c r="F3946" s="1" t="n">
        <v>207.67</v>
      </c>
      <c r="G3946" s="1" t="n">
        <v>0</v>
      </c>
      <c r="H3946" s="1" t="s">
        <v>1370</v>
      </c>
      <c r="I3946" s="1" t="n">
        <v>207.67</v>
      </c>
      <c r="J3946" s="1" t="str">
        <f aca="false">VLOOKUP(B3946,Customers!$A$2:$G$502,6,FALSE())</f>
        <v>Corporate</v>
      </c>
      <c r="K3946" s="1" t="str">
        <f aca="false">VLOOKUP(C3946,Products!$A$2:$E$62,3,FALSE())</f>
        <v>Software</v>
      </c>
      <c r="L3946" s="1" t="str">
        <f aca="false">TEXT(D3946,"yyyy-mm")</f>
        <v>2023-12</v>
      </c>
    </row>
    <row r="3947" customFormat="false" ht="15" hidden="false" customHeight="true" outlineLevel="0" collapsed="false">
      <c r="A3947" s="1" t="n">
        <v>4034</v>
      </c>
      <c r="B3947" s="1" t="n">
        <v>358</v>
      </c>
      <c r="C3947" s="1" t="n">
        <v>21</v>
      </c>
      <c r="D3947" s="1" t="s">
        <v>416</v>
      </c>
      <c r="E3947" s="1" t="n">
        <v>9</v>
      </c>
      <c r="F3947" s="1" t="n">
        <v>84.91</v>
      </c>
      <c r="G3947" s="1" t="n">
        <v>0.1</v>
      </c>
      <c r="H3947" s="1" t="s">
        <v>1336</v>
      </c>
      <c r="I3947" s="1" t="n">
        <v>687.77</v>
      </c>
      <c r="J3947" s="1" t="str">
        <f aca="false">VLOOKUP(B3947,Customers!$A$2:$G$502,6,FALSE())</f>
        <v>Corporate</v>
      </c>
      <c r="K3947" s="1" t="str">
        <f aca="false">VLOOKUP(C3947,Products!$A$2:$E$62,3,FALSE())</f>
        <v>Office Supplies</v>
      </c>
      <c r="L3947" s="1" t="str">
        <f aca="false">TEXT(D3947,"yyyy-mm")</f>
        <v>2023-12</v>
      </c>
    </row>
    <row r="3948" customFormat="false" ht="15" hidden="false" customHeight="true" outlineLevel="0" collapsed="false">
      <c r="A3948" s="1" t="n">
        <v>4035</v>
      </c>
      <c r="B3948" s="1" t="n">
        <v>327</v>
      </c>
      <c r="C3948" s="1" t="n">
        <v>37</v>
      </c>
      <c r="D3948" s="1" t="s">
        <v>653</v>
      </c>
      <c r="E3948" s="1" t="n">
        <v>9</v>
      </c>
      <c r="F3948" s="1" t="n">
        <v>13.95</v>
      </c>
      <c r="G3948" s="1" t="n">
        <v>0</v>
      </c>
      <c r="H3948" s="1" t="s">
        <v>1336</v>
      </c>
      <c r="I3948" s="1" t="n">
        <v>125.55</v>
      </c>
      <c r="J3948" s="1" t="str">
        <f aca="false">VLOOKUP(B3948,Customers!$A$2:$G$502,6,FALSE())</f>
        <v>Consumer</v>
      </c>
      <c r="K3948" s="1" t="str">
        <f aca="false">VLOOKUP(C3948,Products!$A$2:$E$62,3,FALSE())</f>
        <v>Software</v>
      </c>
      <c r="L3948" s="1" t="str">
        <f aca="false">TEXT(D3948,"yyyy-mm")</f>
        <v>2024-10</v>
      </c>
    </row>
    <row r="3949" customFormat="false" ht="15" hidden="false" customHeight="true" outlineLevel="0" collapsed="false">
      <c r="A3949" s="1" t="n">
        <v>4036</v>
      </c>
      <c r="B3949" s="1" t="n">
        <v>114</v>
      </c>
      <c r="C3949" s="1" t="n">
        <v>14</v>
      </c>
      <c r="D3949" s="1" t="s">
        <v>1426</v>
      </c>
      <c r="E3949" s="1" t="n">
        <v>8</v>
      </c>
      <c r="F3949" s="1" t="n">
        <v>135.27</v>
      </c>
      <c r="G3949" s="1" t="n">
        <v>0</v>
      </c>
      <c r="H3949" s="1" t="s">
        <v>1336</v>
      </c>
      <c r="I3949" s="1" t="n">
        <v>1082.16</v>
      </c>
      <c r="J3949" s="1" t="str">
        <f aca="false">VLOOKUP(B3949,Customers!$A$2:$G$502,6,FALSE())</f>
        <v>Consumer</v>
      </c>
      <c r="K3949" s="1" t="str">
        <f aca="false">VLOOKUP(C3949,Products!$A$2:$E$62,3,FALSE())</f>
        <v>Electronics</v>
      </c>
      <c r="L3949" s="1" t="str">
        <f aca="false">TEXT(D3949,"yyyy-mm")</f>
        <v>2023-08</v>
      </c>
    </row>
    <row r="3950" customFormat="false" ht="15" hidden="false" customHeight="true" outlineLevel="0" collapsed="false">
      <c r="A3950" s="1" t="n">
        <v>4037</v>
      </c>
      <c r="B3950" s="1" t="n">
        <v>1</v>
      </c>
      <c r="C3950" s="1" t="n">
        <v>7</v>
      </c>
      <c r="D3950" s="1" t="s">
        <v>1636</v>
      </c>
      <c r="E3950" s="1" t="n">
        <v>8</v>
      </c>
      <c r="F3950" s="1" t="n">
        <v>460</v>
      </c>
      <c r="G3950" s="1" t="n">
        <v>0.1</v>
      </c>
      <c r="H3950" s="1" t="s">
        <v>1336</v>
      </c>
      <c r="I3950" s="1" t="n">
        <v>3312</v>
      </c>
      <c r="J3950" s="1" t="str">
        <f aca="false">VLOOKUP(B3950,Customers!$A$2:$G$502,6,FALSE())</f>
        <v>Consumer</v>
      </c>
      <c r="K3950" s="1" t="str">
        <f aca="false">VLOOKUP(C3950,Products!$A$2:$E$62,3,FALSE())</f>
        <v>Electronics</v>
      </c>
      <c r="L3950" s="1" t="str">
        <f aca="false">TEXT(D3950,"yyyy-mm")</f>
        <v>2023-08</v>
      </c>
    </row>
    <row r="3951" customFormat="false" ht="15" hidden="false" customHeight="true" outlineLevel="0" collapsed="false">
      <c r="A3951" s="1" t="n">
        <v>4038</v>
      </c>
      <c r="B3951" s="1" t="n">
        <v>301</v>
      </c>
      <c r="C3951" s="1" t="n">
        <v>22</v>
      </c>
      <c r="D3951" s="1" t="s">
        <v>1086</v>
      </c>
      <c r="E3951" s="1" t="n">
        <v>1</v>
      </c>
      <c r="F3951" s="1" t="n">
        <v>38.57</v>
      </c>
      <c r="G3951" s="1" t="n">
        <v>0</v>
      </c>
      <c r="H3951" s="1" t="s">
        <v>1336</v>
      </c>
      <c r="I3951" s="1" t="n">
        <v>38.57</v>
      </c>
      <c r="J3951" s="1" t="str">
        <f aca="false">VLOOKUP(B3951,Customers!$A$2:$G$502,6,FALSE())</f>
        <v>Corporate</v>
      </c>
      <c r="K3951" s="1" t="str">
        <f aca="false">VLOOKUP(C3951,Products!$A$2:$E$62,3,FALSE())</f>
        <v>Office Supplies</v>
      </c>
      <c r="L3951" s="1" t="str">
        <f aca="false">TEXT(D3951,"yyyy-mm")</f>
        <v>2024-05</v>
      </c>
    </row>
    <row r="3952" customFormat="false" ht="15" hidden="false" customHeight="true" outlineLevel="0" collapsed="false">
      <c r="A3952" s="1" t="n">
        <v>4039</v>
      </c>
      <c r="B3952" s="1" t="n">
        <v>36</v>
      </c>
      <c r="C3952" s="1" t="n">
        <v>12</v>
      </c>
      <c r="D3952" s="1" t="s">
        <v>396</v>
      </c>
      <c r="E3952" s="1" t="n">
        <v>8</v>
      </c>
      <c r="F3952" s="1" t="n">
        <v>179.23</v>
      </c>
      <c r="G3952" s="1" t="n">
        <v>0.2</v>
      </c>
      <c r="H3952" s="1" t="s">
        <v>1336</v>
      </c>
      <c r="I3952" s="1" t="n">
        <v>1147.07</v>
      </c>
      <c r="J3952" s="1" t="str">
        <f aca="false">VLOOKUP(B3952,Customers!$A$2:$G$502,6,FALSE())</f>
        <v>Consumer</v>
      </c>
      <c r="K3952" s="1" t="str">
        <f aca="false">VLOOKUP(C3952,Products!$A$2:$E$62,3,FALSE())</f>
        <v>Electronics</v>
      </c>
      <c r="L3952" s="1" t="str">
        <f aca="false">TEXT(D3952,"yyyy-mm")</f>
        <v>2023-10</v>
      </c>
    </row>
    <row r="3953" customFormat="false" ht="15" hidden="false" customHeight="true" outlineLevel="0" collapsed="false">
      <c r="A3953" s="1" t="n">
        <v>4040</v>
      </c>
      <c r="B3953" s="1" t="n">
        <v>192</v>
      </c>
      <c r="C3953" s="1" t="n">
        <v>36</v>
      </c>
      <c r="D3953" s="1" t="s">
        <v>1576</v>
      </c>
      <c r="E3953" s="1" t="n">
        <v>3</v>
      </c>
      <c r="F3953" s="1" t="n">
        <v>424.45</v>
      </c>
      <c r="G3953" s="1" t="n">
        <v>0.05</v>
      </c>
      <c r="H3953" s="1" t="s">
        <v>1336</v>
      </c>
      <c r="I3953" s="1" t="n">
        <v>1209.68</v>
      </c>
      <c r="J3953" s="1" t="str">
        <f aca="false">VLOOKUP(B3953,Customers!$A$2:$G$502,6,FALSE())</f>
        <v>Corporate</v>
      </c>
      <c r="K3953" s="1" t="str">
        <f aca="false">VLOOKUP(C3953,Products!$A$2:$E$62,3,FALSE())</f>
        <v>Software</v>
      </c>
      <c r="L3953" s="1" t="str">
        <f aca="false">TEXT(D3953,"yyyy-mm")</f>
        <v>2023-02</v>
      </c>
    </row>
    <row r="3954" customFormat="false" ht="15" hidden="false" customHeight="true" outlineLevel="0" collapsed="false">
      <c r="A3954" s="1" t="n">
        <v>4041</v>
      </c>
      <c r="B3954" s="1" t="n">
        <v>291</v>
      </c>
      <c r="C3954" s="1" t="n">
        <v>50</v>
      </c>
      <c r="D3954" s="1" t="s">
        <v>1205</v>
      </c>
      <c r="E3954" s="1" t="n">
        <v>7</v>
      </c>
      <c r="F3954" s="1" t="n">
        <v>19.73</v>
      </c>
      <c r="G3954" s="1" t="n">
        <v>0</v>
      </c>
      <c r="H3954" s="1" t="s">
        <v>1336</v>
      </c>
      <c r="I3954" s="1" t="n">
        <v>138.11</v>
      </c>
      <c r="J3954" s="1" t="str">
        <f aca="false">VLOOKUP(B3954,Customers!$A$2:$G$502,6,FALSE())</f>
        <v>Consumer</v>
      </c>
      <c r="K3954" s="1" t="str">
        <f aca="false">VLOOKUP(C3954,Products!$A$2:$E$62,3,FALSE())</f>
        <v>Software</v>
      </c>
      <c r="L3954" s="1" t="str">
        <f aca="false">TEXT(D3954,"yyyy-mm")</f>
        <v>2024-08</v>
      </c>
    </row>
    <row r="3955" customFormat="false" ht="15" hidden="false" customHeight="true" outlineLevel="0" collapsed="false">
      <c r="A3955" s="1" t="n">
        <v>4042</v>
      </c>
      <c r="B3955" s="1" t="n">
        <v>450</v>
      </c>
      <c r="C3955" s="1" t="n">
        <v>23</v>
      </c>
      <c r="D3955" s="1" t="s">
        <v>208</v>
      </c>
      <c r="E3955" s="1" t="n">
        <v>1</v>
      </c>
      <c r="F3955" s="1" t="n">
        <v>188.73</v>
      </c>
      <c r="G3955" s="1" t="n">
        <v>0</v>
      </c>
      <c r="H3955" s="1" t="s">
        <v>1336</v>
      </c>
      <c r="I3955" s="1" t="n">
        <v>188.73</v>
      </c>
      <c r="J3955" s="1" t="str">
        <f aca="false">VLOOKUP(B3955,Customers!$A$2:$G$502,6,FALSE())</f>
        <v>Consumer</v>
      </c>
      <c r="K3955" s="1" t="str">
        <f aca="false">VLOOKUP(C3955,Products!$A$2:$E$62,3,FALSE())</f>
        <v>Office Supplies</v>
      </c>
      <c r="L3955" s="1" t="str">
        <f aca="false">TEXT(D3955,"yyyy-mm")</f>
        <v>2023-12</v>
      </c>
    </row>
    <row r="3956" customFormat="false" ht="15" hidden="false" customHeight="true" outlineLevel="0" collapsed="false">
      <c r="A3956" s="1" t="n">
        <v>4043</v>
      </c>
      <c r="B3956" s="1" t="n">
        <v>427</v>
      </c>
      <c r="C3956" s="1" t="n">
        <v>60</v>
      </c>
      <c r="D3956" s="1" t="s">
        <v>1477</v>
      </c>
      <c r="E3956" s="1" t="n">
        <v>1</v>
      </c>
      <c r="F3956" s="1" t="n">
        <v>584.98</v>
      </c>
      <c r="G3956" s="1" t="n">
        <v>0.05</v>
      </c>
      <c r="H3956" s="1" t="s">
        <v>1336</v>
      </c>
      <c r="I3956" s="1" t="n">
        <v>555.73</v>
      </c>
      <c r="J3956" s="1" t="str">
        <f aca="false">VLOOKUP(B3956,Customers!$A$2:$G$502,6,FALSE())</f>
        <v>Small Business</v>
      </c>
      <c r="K3956" s="1" t="str">
        <f aca="false">VLOOKUP(C3956,Products!$A$2:$E$62,3,FALSE())</f>
        <v>Furniture</v>
      </c>
      <c r="L3956" s="1" t="str">
        <f aca="false">TEXT(D3956,"yyyy-mm")</f>
        <v>2024-08</v>
      </c>
    </row>
    <row r="3957" customFormat="false" ht="15" hidden="false" customHeight="true" outlineLevel="0" collapsed="false">
      <c r="A3957" s="1" t="n">
        <v>4044</v>
      </c>
      <c r="B3957" s="1" t="n">
        <v>40</v>
      </c>
      <c r="C3957" s="1" t="n">
        <v>31</v>
      </c>
      <c r="D3957" s="1" t="s">
        <v>1559</v>
      </c>
      <c r="E3957" s="1" t="n">
        <v>5</v>
      </c>
      <c r="F3957" s="1" t="n">
        <v>224.86</v>
      </c>
      <c r="G3957" s="1" t="n">
        <v>0.1</v>
      </c>
      <c r="H3957" s="1" t="s">
        <v>1336</v>
      </c>
      <c r="I3957" s="1" t="n">
        <v>1011.87</v>
      </c>
      <c r="J3957" s="1" t="str">
        <f aca="false">VLOOKUP(B3957,Customers!$A$2:$G$502,6,FALSE())</f>
        <v>Consumer</v>
      </c>
      <c r="K3957" s="1" t="str">
        <f aca="false">VLOOKUP(C3957,Products!$A$2:$E$62,3,FALSE())</f>
        <v>Office Supplies</v>
      </c>
      <c r="L3957" s="1" t="str">
        <f aca="false">TEXT(D3957,"yyyy-mm")</f>
        <v>2023-01</v>
      </c>
    </row>
    <row r="3958" customFormat="false" ht="15" hidden="false" customHeight="true" outlineLevel="0" collapsed="false">
      <c r="A3958" s="1" t="n">
        <v>4045</v>
      </c>
      <c r="B3958" s="1" t="n">
        <v>105</v>
      </c>
      <c r="C3958" s="1" t="n">
        <v>46</v>
      </c>
      <c r="D3958" s="1" t="s">
        <v>148</v>
      </c>
      <c r="E3958" s="1" t="n">
        <v>5</v>
      </c>
      <c r="F3958" s="1" t="n">
        <v>94.92</v>
      </c>
      <c r="G3958" s="1" t="n">
        <v>0.2</v>
      </c>
      <c r="H3958" s="1" t="s">
        <v>1336</v>
      </c>
      <c r="I3958" s="1" t="n">
        <v>379.68</v>
      </c>
      <c r="J3958" s="1" t="str">
        <f aca="false">VLOOKUP(B3958,Customers!$A$2:$G$502,6,FALSE())</f>
        <v>Corporate</v>
      </c>
      <c r="K3958" s="1" t="str">
        <f aca="false">VLOOKUP(C3958,Products!$A$2:$E$62,3,FALSE())</f>
        <v>Software</v>
      </c>
      <c r="L3958" s="1" t="str">
        <f aca="false">TEXT(D3958,"yyyy-mm")</f>
        <v>2023-06</v>
      </c>
    </row>
    <row r="3959" customFormat="false" ht="15" hidden="false" customHeight="true" outlineLevel="0" collapsed="false">
      <c r="A3959" s="1" t="n">
        <v>4046</v>
      </c>
      <c r="B3959" s="1" t="n">
        <v>401</v>
      </c>
      <c r="C3959" s="1" t="n">
        <v>55</v>
      </c>
      <c r="D3959" s="1" t="s">
        <v>353</v>
      </c>
      <c r="E3959" s="1" t="n">
        <v>8</v>
      </c>
      <c r="F3959" s="1" t="n">
        <v>123.38</v>
      </c>
      <c r="G3959" s="1" t="n">
        <v>0</v>
      </c>
      <c r="H3959" s="1" t="s">
        <v>1336</v>
      </c>
      <c r="I3959" s="1" t="n">
        <v>987.04</v>
      </c>
      <c r="J3959" s="1" t="str">
        <f aca="false">VLOOKUP(B3959,Customers!$A$2:$G$502,6,FALSE())</f>
        <v>Consumer</v>
      </c>
      <c r="K3959" s="1" t="str">
        <f aca="false">VLOOKUP(C3959,Products!$A$2:$E$62,3,FALSE())</f>
        <v>Furniture</v>
      </c>
      <c r="L3959" s="1" t="str">
        <f aca="false">TEXT(D3959,"yyyy-mm")</f>
        <v>2024-01</v>
      </c>
    </row>
    <row r="3960" customFormat="false" ht="15" hidden="false" customHeight="true" outlineLevel="0" collapsed="false">
      <c r="A3960" s="1" t="n">
        <v>4047</v>
      </c>
      <c r="B3960" s="1" t="n">
        <v>79</v>
      </c>
      <c r="C3960" s="1" t="n">
        <v>38</v>
      </c>
      <c r="D3960" s="1" t="s">
        <v>822</v>
      </c>
      <c r="E3960" s="1" t="n">
        <v>7</v>
      </c>
      <c r="F3960" s="1" t="n">
        <v>521.63</v>
      </c>
      <c r="G3960" s="1" t="n">
        <v>0</v>
      </c>
      <c r="H3960" s="1" t="s">
        <v>1336</v>
      </c>
      <c r="I3960" s="1" t="n">
        <v>3651.41</v>
      </c>
      <c r="J3960" s="1" t="str">
        <f aca="false">VLOOKUP(B3960,Customers!$A$2:$G$502,6,FALSE())</f>
        <v>Small Business</v>
      </c>
      <c r="K3960" s="1" t="str">
        <f aca="false">VLOOKUP(C3960,Products!$A$2:$E$62,3,FALSE())</f>
        <v>Software</v>
      </c>
      <c r="L3960" s="1" t="str">
        <f aca="false">TEXT(D3960,"yyyy-mm")</f>
        <v>2023-08</v>
      </c>
    </row>
    <row r="3961" customFormat="false" ht="15" hidden="false" customHeight="true" outlineLevel="0" collapsed="false">
      <c r="A3961" s="1" t="n">
        <v>4048</v>
      </c>
      <c r="B3961" s="1" t="n">
        <v>84</v>
      </c>
      <c r="C3961" s="1" t="n">
        <v>9</v>
      </c>
      <c r="D3961" s="1" t="s">
        <v>1355</v>
      </c>
      <c r="E3961" s="1" t="n">
        <v>8</v>
      </c>
      <c r="F3961" s="1" t="n">
        <v>203.1</v>
      </c>
      <c r="G3961" s="1" t="n">
        <v>0.1</v>
      </c>
      <c r="H3961" s="1" t="s">
        <v>1336</v>
      </c>
      <c r="I3961" s="1" t="n">
        <v>1462.32</v>
      </c>
      <c r="J3961" s="1" t="str">
        <f aca="false">VLOOKUP(B3961,Customers!$A$2:$G$502,6,FALSE())</f>
        <v>Corporate</v>
      </c>
      <c r="K3961" s="1" t="str">
        <f aca="false">VLOOKUP(C3961,Products!$A$2:$E$62,3,FALSE())</f>
        <v>Electronics</v>
      </c>
      <c r="L3961" s="1" t="str">
        <f aca="false">TEXT(D3961,"yyyy-mm")</f>
        <v>2023-02</v>
      </c>
    </row>
    <row r="3962" customFormat="false" ht="15" hidden="false" customHeight="true" outlineLevel="0" collapsed="false">
      <c r="A3962" s="1" t="n">
        <v>4049</v>
      </c>
      <c r="B3962" s="1" t="n">
        <v>27</v>
      </c>
      <c r="C3962" s="1" t="n">
        <v>53</v>
      </c>
      <c r="D3962" s="1" t="s">
        <v>1417</v>
      </c>
      <c r="E3962" s="1" t="n">
        <v>6</v>
      </c>
      <c r="F3962" s="1" t="n">
        <v>509.98</v>
      </c>
      <c r="G3962" s="1" t="n">
        <v>0.05</v>
      </c>
      <c r="H3962" s="1" t="s">
        <v>1336</v>
      </c>
      <c r="I3962" s="1" t="n">
        <v>2906.89</v>
      </c>
      <c r="J3962" s="1" t="str">
        <f aca="false">VLOOKUP(B3962,Customers!$A$2:$G$502,6,FALSE())</f>
        <v>Small Business</v>
      </c>
      <c r="K3962" s="1" t="str">
        <f aca="false">VLOOKUP(C3962,Products!$A$2:$E$62,3,FALSE())</f>
        <v>Software</v>
      </c>
      <c r="L3962" s="1" t="str">
        <f aca="false">TEXT(D3962,"yyyy-mm")</f>
        <v>2023-08</v>
      </c>
    </row>
    <row r="3963" customFormat="false" ht="15" hidden="false" customHeight="true" outlineLevel="0" collapsed="false">
      <c r="A3963" s="1" t="n">
        <v>4050</v>
      </c>
      <c r="B3963" s="1" t="n">
        <v>268</v>
      </c>
      <c r="C3963" s="1" t="n">
        <v>36</v>
      </c>
      <c r="D3963" s="1" t="s">
        <v>1535</v>
      </c>
      <c r="E3963" s="1" t="n">
        <v>6</v>
      </c>
      <c r="F3963" s="1" t="n">
        <v>424.45</v>
      </c>
      <c r="G3963" s="1" t="n">
        <v>0.05</v>
      </c>
      <c r="H3963" s="1" t="s">
        <v>1336</v>
      </c>
      <c r="I3963" s="1" t="n">
        <v>2419.36</v>
      </c>
      <c r="J3963" s="1" t="str">
        <f aca="false">VLOOKUP(B3963,Customers!$A$2:$G$502,6,FALSE())</f>
        <v>Small Business</v>
      </c>
      <c r="K3963" s="1" t="str">
        <f aca="false">VLOOKUP(C3963,Products!$A$2:$E$62,3,FALSE())</f>
        <v>Software</v>
      </c>
      <c r="L3963" s="1" t="str">
        <f aca="false">TEXT(D3963,"yyyy-mm")</f>
        <v>2023-12</v>
      </c>
    </row>
    <row r="3964" customFormat="false" ht="15" hidden="false" customHeight="true" outlineLevel="0" collapsed="false">
      <c r="A3964" s="1" t="n">
        <v>4051</v>
      </c>
      <c r="B3964" s="1" t="n">
        <v>55</v>
      </c>
      <c r="C3964" s="1" t="n">
        <v>5</v>
      </c>
      <c r="D3964" s="1" t="s">
        <v>1456</v>
      </c>
      <c r="E3964" s="1" t="n">
        <v>2</v>
      </c>
      <c r="F3964" s="1" t="n">
        <v>439.06</v>
      </c>
      <c r="G3964" s="1" t="n">
        <v>0</v>
      </c>
      <c r="H3964" s="1" t="s">
        <v>1346</v>
      </c>
      <c r="I3964" s="1" t="n">
        <v>878.12</v>
      </c>
      <c r="J3964" s="1" t="str">
        <f aca="false">VLOOKUP(B3964,Customers!$A$2:$G$502,6,FALSE())</f>
        <v>Consumer</v>
      </c>
      <c r="K3964" s="1" t="str">
        <f aca="false">VLOOKUP(C3964,Products!$A$2:$E$62,3,FALSE())</f>
        <v>Electronics</v>
      </c>
      <c r="L3964" s="1" t="str">
        <f aca="false">TEXT(D3964,"yyyy-mm")</f>
        <v>2024-12</v>
      </c>
    </row>
    <row r="3965" customFormat="false" ht="15" hidden="false" customHeight="true" outlineLevel="0" collapsed="false">
      <c r="A3965" s="1" t="n">
        <v>4052</v>
      </c>
      <c r="B3965" s="1" t="n">
        <v>333</v>
      </c>
      <c r="C3965" s="1" t="n">
        <v>15</v>
      </c>
      <c r="D3965" s="1" t="s">
        <v>1674</v>
      </c>
      <c r="E3965" s="1" t="n">
        <v>6</v>
      </c>
      <c r="F3965" s="1" t="n">
        <v>304.95</v>
      </c>
      <c r="G3965" s="1" t="n">
        <v>0.05</v>
      </c>
      <c r="H3965" s="1" t="s">
        <v>1336</v>
      </c>
      <c r="I3965" s="1" t="n">
        <v>1738.21</v>
      </c>
      <c r="J3965" s="1" t="str">
        <f aca="false">VLOOKUP(B3965,Customers!$A$2:$G$502,6,FALSE())</f>
        <v>Consumer</v>
      </c>
      <c r="K3965" s="1" t="str">
        <f aca="false">VLOOKUP(C3965,Products!$A$2:$E$62,3,FALSE())</f>
        <v>Electronics</v>
      </c>
      <c r="L3965" s="1" t="str">
        <f aca="false">TEXT(D3965,"yyyy-mm")</f>
        <v>2023-03</v>
      </c>
    </row>
    <row r="3966" customFormat="false" ht="15" hidden="false" customHeight="true" outlineLevel="0" collapsed="false">
      <c r="A3966" s="1" t="n">
        <v>4053</v>
      </c>
      <c r="B3966" s="1" t="n">
        <v>252</v>
      </c>
      <c r="C3966" s="1" t="n">
        <v>44</v>
      </c>
      <c r="D3966" s="1" t="s">
        <v>852</v>
      </c>
      <c r="E3966" s="1" t="n">
        <v>5</v>
      </c>
      <c r="F3966" s="1" t="n">
        <v>508.26</v>
      </c>
      <c r="G3966" s="1" t="n">
        <v>0</v>
      </c>
      <c r="H3966" s="1" t="s">
        <v>1336</v>
      </c>
      <c r="I3966" s="1" t="n">
        <v>2541.3</v>
      </c>
      <c r="J3966" s="1" t="str">
        <f aca="false">VLOOKUP(B3966,Customers!$A$2:$G$502,6,FALSE())</f>
        <v>Consumer</v>
      </c>
      <c r="K3966" s="1" t="str">
        <f aca="false">VLOOKUP(C3966,Products!$A$2:$E$62,3,FALSE())</f>
        <v>Software</v>
      </c>
      <c r="L3966" s="1" t="str">
        <f aca="false">TEXT(D3966,"yyyy-mm")</f>
        <v>2023-04</v>
      </c>
    </row>
    <row r="3967" customFormat="false" ht="15" hidden="false" customHeight="true" outlineLevel="0" collapsed="false">
      <c r="A3967" s="1" t="n">
        <v>4054</v>
      </c>
      <c r="B3967" s="1" t="n">
        <v>278</v>
      </c>
      <c r="C3967" s="1" t="n">
        <v>6</v>
      </c>
      <c r="D3967" s="1" t="s">
        <v>501</v>
      </c>
      <c r="E3967" s="1" t="n">
        <v>3</v>
      </c>
      <c r="F3967" s="1" t="n">
        <v>28.51</v>
      </c>
      <c r="G3967" s="1" t="n">
        <v>0.15</v>
      </c>
      <c r="H3967" s="1" t="s">
        <v>1336</v>
      </c>
      <c r="I3967" s="1" t="n">
        <v>72.7</v>
      </c>
      <c r="J3967" s="1" t="str">
        <f aca="false">VLOOKUP(B3967,Customers!$A$2:$G$502,6,FALSE())</f>
        <v>Consumer</v>
      </c>
      <c r="K3967" s="1" t="str">
        <f aca="false">VLOOKUP(C3967,Products!$A$2:$E$62,3,FALSE())</f>
        <v>Electronics</v>
      </c>
      <c r="L3967" s="1" t="str">
        <f aca="false">TEXT(D3967,"yyyy-mm")</f>
        <v>2023-05</v>
      </c>
    </row>
    <row r="3968" customFormat="false" ht="15" hidden="false" customHeight="true" outlineLevel="0" collapsed="false">
      <c r="A3968" s="1" t="n">
        <v>4055</v>
      </c>
      <c r="B3968" s="1" t="n">
        <v>448</v>
      </c>
      <c r="C3968" s="1" t="n">
        <v>44</v>
      </c>
      <c r="D3968" s="1" t="s">
        <v>530</v>
      </c>
      <c r="E3968" s="1" t="n">
        <v>6</v>
      </c>
      <c r="F3968" s="1" t="n">
        <v>508.26</v>
      </c>
      <c r="G3968" s="1" t="n">
        <v>0.2</v>
      </c>
      <c r="H3968" s="1" t="s">
        <v>1336</v>
      </c>
      <c r="I3968" s="1" t="n">
        <v>2439.65</v>
      </c>
      <c r="J3968" s="1" t="str">
        <f aca="false">VLOOKUP(B3968,Customers!$A$2:$G$502,6,FALSE())</f>
        <v>Corporate</v>
      </c>
      <c r="K3968" s="1" t="str">
        <f aca="false">VLOOKUP(C3968,Products!$A$2:$E$62,3,FALSE())</f>
        <v>Software</v>
      </c>
      <c r="L3968" s="1" t="str">
        <f aca="false">TEXT(D3968,"yyyy-mm")</f>
        <v>2024-09</v>
      </c>
    </row>
    <row r="3969" customFormat="false" ht="15" hidden="false" customHeight="true" outlineLevel="0" collapsed="false">
      <c r="A3969" s="1" t="n">
        <v>4056</v>
      </c>
      <c r="B3969" s="1" t="n">
        <v>299</v>
      </c>
      <c r="C3969" s="1" t="n">
        <v>56</v>
      </c>
      <c r="D3969" s="1" t="s">
        <v>473</v>
      </c>
      <c r="E3969" s="1" t="n">
        <v>8</v>
      </c>
      <c r="F3969" s="1" t="n">
        <v>160.64</v>
      </c>
      <c r="G3969" s="1" t="n">
        <v>0.2</v>
      </c>
      <c r="H3969" s="1" t="s">
        <v>1336</v>
      </c>
      <c r="I3969" s="1" t="n">
        <v>1028.1</v>
      </c>
      <c r="J3969" s="1" t="str">
        <f aca="false">VLOOKUP(B3969,Customers!$A$2:$G$502,6,FALSE())</f>
        <v>Small Business</v>
      </c>
      <c r="K3969" s="1" t="str">
        <f aca="false">VLOOKUP(C3969,Products!$A$2:$E$62,3,FALSE())</f>
        <v>Furniture</v>
      </c>
      <c r="L3969" s="1" t="str">
        <f aca="false">TEXT(D3969,"yyyy-mm")</f>
        <v>2024-06</v>
      </c>
    </row>
    <row r="3970" customFormat="false" ht="15" hidden="false" customHeight="true" outlineLevel="0" collapsed="false">
      <c r="A3970" s="1" t="n">
        <v>4057</v>
      </c>
      <c r="B3970" s="1" t="n">
        <v>78</v>
      </c>
      <c r="C3970" s="1" t="n">
        <v>15</v>
      </c>
      <c r="D3970" s="1" t="s">
        <v>356</v>
      </c>
      <c r="E3970" s="1" t="n">
        <v>9</v>
      </c>
      <c r="F3970" s="1" t="n">
        <v>304.95</v>
      </c>
      <c r="G3970" s="1" t="n">
        <v>0.2</v>
      </c>
      <c r="H3970" s="1" t="s">
        <v>1336</v>
      </c>
      <c r="I3970" s="1" t="n">
        <v>2195.64</v>
      </c>
      <c r="J3970" s="1" t="str">
        <f aca="false">VLOOKUP(B3970,Customers!$A$2:$G$502,6,FALSE())</f>
        <v>Consumer</v>
      </c>
      <c r="K3970" s="1" t="str">
        <f aca="false">VLOOKUP(C3970,Products!$A$2:$E$62,3,FALSE())</f>
        <v>Electronics</v>
      </c>
      <c r="L3970" s="1" t="str">
        <f aca="false">TEXT(D3970,"yyyy-mm")</f>
        <v>2023-04</v>
      </c>
    </row>
    <row r="3971" customFormat="false" ht="15" hidden="false" customHeight="true" outlineLevel="0" collapsed="false">
      <c r="A3971" s="1" t="n">
        <v>4058</v>
      </c>
      <c r="B3971" s="1" t="n">
        <v>353</v>
      </c>
      <c r="C3971" s="1" t="n">
        <v>33</v>
      </c>
      <c r="D3971" s="1" t="s">
        <v>606</v>
      </c>
      <c r="E3971" s="1" t="n">
        <v>1</v>
      </c>
      <c r="F3971" s="1" t="n">
        <v>190.1</v>
      </c>
      <c r="G3971" s="1" t="n">
        <v>0.1</v>
      </c>
      <c r="H3971" s="1" t="s">
        <v>1370</v>
      </c>
      <c r="I3971" s="1" t="n">
        <v>171.09</v>
      </c>
      <c r="J3971" s="1" t="str">
        <f aca="false">VLOOKUP(B3971,Customers!$A$2:$G$502,6,FALSE())</f>
        <v>Corporate</v>
      </c>
      <c r="K3971" s="1" t="str">
        <f aca="false">VLOOKUP(C3971,Products!$A$2:$E$62,3,FALSE())</f>
        <v>Office Supplies</v>
      </c>
      <c r="L3971" s="1" t="str">
        <f aca="false">TEXT(D3971,"yyyy-mm")</f>
        <v>2024-12</v>
      </c>
    </row>
    <row r="3972" customFormat="false" ht="15" hidden="false" customHeight="true" outlineLevel="0" collapsed="false">
      <c r="A3972" s="1" t="n">
        <v>4059</v>
      </c>
      <c r="B3972" s="1" t="n">
        <v>361</v>
      </c>
      <c r="C3972" s="1" t="n">
        <v>25</v>
      </c>
      <c r="D3972" s="1" t="s">
        <v>1602</v>
      </c>
      <c r="E3972" s="1" t="n">
        <v>3</v>
      </c>
      <c r="F3972" s="1" t="n">
        <v>300.49</v>
      </c>
      <c r="G3972" s="1" t="n">
        <v>0</v>
      </c>
      <c r="H3972" s="1" t="s">
        <v>1336</v>
      </c>
      <c r="I3972" s="1" t="n">
        <v>901.47</v>
      </c>
      <c r="J3972" s="1" t="str">
        <f aca="false">VLOOKUP(B3972,Customers!$A$2:$G$502,6,FALSE())</f>
        <v>Small Business</v>
      </c>
      <c r="K3972" s="1" t="str">
        <f aca="false">VLOOKUP(C3972,Products!$A$2:$E$62,3,FALSE())</f>
        <v>Office Supplies</v>
      </c>
      <c r="L3972" s="1" t="str">
        <f aca="false">TEXT(D3972,"yyyy-mm")</f>
        <v>2024-10</v>
      </c>
    </row>
    <row r="3973" customFormat="false" ht="15" hidden="false" customHeight="true" outlineLevel="0" collapsed="false">
      <c r="A3973" s="1" t="n">
        <v>4060</v>
      </c>
      <c r="B3973" s="1" t="n">
        <v>184</v>
      </c>
      <c r="C3973" s="1" t="n">
        <v>2</v>
      </c>
      <c r="D3973" s="1" t="s">
        <v>1402</v>
      </c>
      <c r="E3973" s="1" t="n">
        <v>3</v>
      </c>
      <c r="F3973" s="1" t="n">
        <v>498.15</v>
      </c>
      <c r="G3973" s="1" t="n">
        <v>0</v>
      </c>
      <c r="H3973" s="1" t="s">
        <v>1336</v>
      </c>
      <c r="I3973" s="1" t="n">
        <v>1494.45</v>
      </c>
      <c r="J3973" s="1" t="str">
        <f aca="false">VLOOKUP(B3973,Customers!$A$2:$G$502,6,FALSE())</f>
        <v>Corporate</v>
      </c>
      <c r="K3973" s="1" t="str">
        <f aca="false">VLOOKUP(C3973,Products!$A$2:$E$62,3,FALSE())</f>
        <v>Electronics</v>
      </c>
      <c r="L3973" s="1" t="str">
        <f aca="false">TEXT(D3973,"yyyy-mm")</f>
        <v>2023-12</v>
      </c>
    </row>
    <row r="3974" customFormat="false" ht="15" hidden="false" customHeight="true" outlineLevel="0" collapsed="false">
      <c r="A3974" s="1" t="n">
        <v>4061</v>
      </c>
      <c r="B3974" s="1" t="n">
        <v>217</v>
      </c>
      <c r="C3974" s="1" t="n">
        <v>1</v>
      </c>
      <c r="D3974" s="1" t="s">
        <v>1702</v>
      </c>
      <c r="E3974" s="1" t="n">
        <v>8</v>
      </c>
      <c r="F3974" s="1" t="n">
        <v>327.32</v>
      </c>
      <c r="G3974" s="1" t="n">
        <v>0</v>
      </c>
      <c r="H3974" s="1" t="s">
        <v>1336</v>
      </c>
      <c r="I3974" s="1" t="n">
        <v>2618.56</v>
      </c>
      <c r="J3974" s="1" t="str">
        <f aca="false">VLOOKUP(B3974,Customers!$A$2:$G$502,6,FALSE())</f>
        <v>Consumer</v>
      </c>
      <c r="K3974" s="1" t="str">
        <f aca="false">VLOOKUP(C3974,Products!$A$2:$E$62,3,FALSE())</f>
        <v>Electronics</v>
      </c>
      <c r="L3974" s="1" t="str">
        <f aca="false">TEXT(D3974,"yyyy-mm")</f>
        <v>2024-06</v>
      </c>
    </row>
    <row r="3975" customFormat="false" ht="15" hidden="false" customHeight="true" outlineLevel="0" collapsed="false">
      <c r="A3975" s="1" t="n">
        <v>4062</v>
      </c>
      <c r="B3975" s="1" t="n">
        <v>286</v>
      </c>
      <c r="C3975" s="1" t="n">
        <v>50</v>
      </c>
      <c r="D3975" s="1" t="s">
        <v>1136</v>
      </c>
      <c r="E3975" s="1" t="n">
        <v>1</v>
      </c>
      <c r="F3975" s="1" t="n">
        <v>19.73</v>
      </c>
      <c r="G3975" s="1" t="n">
        <v>0</v>
      </c>
      <c r="H3975" s="1" t="s">
        <v>1336</v>
      </c>
      <c r="I3975" s="1" t="n">
        <v>19.73</v>
      </c>
      <c r="J3975" s="1" t="str">
        <f aca="false">VLOOKUP(B3975,Customers!$A$2:$G$502,6,FALSE())</f>
        <v>Corporate</v>
      </c>
      <c r="K3975" s="1" t="str">
        <f aca="false">VLOOKUP(C3975,Products!$A$2:$E$62,3,FALSE())</f>
        <v>Software</v>
      </c>
      <c r="L3975" s="1" t="str">
        <f aca="false">TEXT(D3975,"yyyy-mm")</f>
        <v>2023-01</v>
      </c>
    </row>
    <row r="3976" customFormat="false" ht="15" hidden="false" customHeight="true" outlineLevel="0" collapsed="false">
      <c r="A3976" s="1" t="n">
        <v>4063</v>
      </c>
      <c r="B3976" s="1" t="n">
        <v>278</v>
      </c>
      <c r="C3976" s="1" t="n">
        <v>45</v>
      </c>
      <c r="D3976" s="1" t="s">
        <v>1191</v>
      </c>
      <c r="E3976" s="1" t="n">
        <v>5</v>
      </c>
      <c r="F3976" s="1" t="n">
        <v>560.01</v>
      </c>
      <c r="G3976" s="1" t="n">
        <v>0.15</v>
      </c>
      <c r="H3976" s="1" t="s">
        <v>1336</v>
      </c>
      <c r="I3976" s="1" t="n">
        <v>2380.04</v>
      </c>
      <c r="J3976" s="1" t="str">
        <f aca="false">VLOOKUP(B3976,Customers!$A$2:$G$502,6,FALSE())</f>
        <v>Consumer</v>
      </c>
      <c r="K3976" s="1" t="str">
        <f aca="false">VLOOKUP(C3976,Products!$A$2:$E$62,3,FALSE())</f>
        <v>Software</v>
      </c>
      <c r="L3976" s="1" t="str">
        <f aca="false">TEXT(D3976,"yyyy-mm")</f>
        <v>2023-03</v>
      </c>
    </row>
    <row r="3977" customFormat="false" ht="15" hidden="false" customHeight="true" outlineLevel="0" collapsed="false">
      <c r="A3977" s="1" t="n">
        <v>4064</v>
      </c>
      <c r="B3977" s="1" t="n">
        <v>283</v>
      </c>
      <c r="C3977" s="1" t="n">
        <v>54</v>
      </c>
      <c r="D3977" s="1" t="s">
        <v>443</v>
      </c>
      <c r="E3977" s="1" t="n">
        <v>3</v>
      </c>
      <c r="F3977" s="1" t="n">
        <v>312.01</v>
      </c>
      <c r="G3977" s="1" t="n">
        <v>0</v>
      </c>
      <c r="H3977" s="1" t="s">
        <v>1336</v>
      </c>
      <c r="I3977" s="1" t="n">
        <v>936.03</v>
      </c>
      <c r="J3977" s="1" t="str">
        <f aca="false">VLOOKUP(B3977,Customers!$A$2:$G$502,6,FALSE())</f>
        <v>Small Business</v>
      </c>
      <c r="K3977" s="1" t="str">
        <f aca="false">VLOOKUP(C3977,Products!$A$2:$E$62,3,FALSE())</f>
        <v>Software</v>
      </c>
      <c r="L3977" s="1" t="str">
        <f aca="false">TEXT(D3977,"yyyy-mm")</f>
        <v>2023-08</v>
      </c>
    </row>
    <row r="3978" customFormat="false" ht="15" hidden="false" customHeight="true" outlineLevel="0" collapsed="false">
      <c r="A3978" s="1" t="n">
        <v>4065</v>
      </c>
      <c r="B3978" s="1" t="n">
        <v>16</v>
      </c>
      <c r="C3978" s="1" t="n">
        <v>53</v>
      </c>
      <c r="D3978" s="1" t="s">
        <v>1605</v>
      </c>
      <c r="E3978" s="1" t="n">
        <v>2</v>
      </c>
      <c r="F3978" s="1" t="n">
        <v>509.98</v>
      </c>
      <c r="G3978" s="1" t="n">
        <v>0</v>
      </c>
      <c r="H3978" s="1" t="s">
        <v>1336</v>
      </c>
      <c r="I3978" s="1" t="n">
        <v>1019.96</v>
      </c>
      <c r="J3978" s="1" t="str">
        <f aca="false">VLOOKUP(B3978,Customers!$A$2:$G$502,6,FALSE())</f>
        <v>Small Business</v>
      </c>
      <c r="K3978" s="1" t="str">
        <f aca="false">VLOOKUP(C3978,Products!$A$2:$E$62,3,FALSE())</f>
        <v>Software</v>
      </c>
      <c r="L3978" s="1" t="str">
        <f aca="false">TEXT(D3978,"yyyy-mm")</f>
        <v>2024-02</v>
      </c>
    </row>
    <row r="3979" customFormat="false" ht="15" hidden="false" customHeight="true" outlineLevel="0" collapsed="false">
      <c r="A3979" s="1" t="n">
        <v>4066</v>
      </c>
      <c r="B3979" s="1" t="n">
        <v>467</v>
      </c>
      <c r="C3979" s="1" t="n">
        <v>33</v>
      </c>
      <c r="D3979" s="1" t="s">
        <v>1516</v>
      </c>
      <c r="E3979" s="1" t="n">
        <v>8</v>
      </c>
      <c r="F3979" s="1" t="n">
        <v>190.1</v>
      </c>
      <c r="G3979" s="1" t="n">
        <v>0.05</v>
      </c>
      <c r="H3979" s="1" t="s">
        <v>1336</v>
      </c>
      <c r="I3979" s="1" t="n">
        <v>1444.76</v>
      </c>
      <c r="J3979" s="1" t="str">
        <f aca="false">VLOOKUP(B3979,Customers!$A$2:$G$502,6,FALSE())</f>
        <v>Corporate</v>
      </c>
      <c r="K3979" s="1" t="str">
        <f aca="false">VLOOKUP(C3979,Products!$A$2:$E$62,3,FALSE())</f>
        <v>Office Supplies</v>
      </c>
      <c r="L3979" s="1" t="str">
        <f aca="false">TEXT(D3979,"yyyy-mm")</f>
        <v>2023-02</v>
      </c>
    </row>
    <row r="3980" customFormat="false" ht="15" hidden="false" customHeight="true" outlineLevel="0" collapsed="false">
      <c r="A3980" s="1" t="n">
        <v>4067</v>
      </c>
      <c r="B3980" s="1" t="n">
        <v>222</v>
      </c>
      <c r="C3980" s="1" t="n">
        <v>39</v>
      </c>
      <c r="D3980" s="1" t="s">
        <v>1640</v>
      </c>
      <c r="E3980" s="1" t="n">
        <v>3</v>
      </c>
      <c r="F3980" s="1" t="n">
        <v>400.02</v>
      </c>
      <c r="G3980" s="1" t="n">
        <v>0</v>
      </c>
      <c r="H3980" s="1" t="s">
        <v>1336</v>
      </c>
      <c r="I3980" s="1" t="n">
        <v>1200.06</v>
      </c>
      <c r="J3980" s="1" t="str">
        <f aca="false">VLOOKUP(B3980,Customers!$A$2:$G$502,6,FALSE())</f>
        <v>Consumer</v>
      </c>
      <c r="K3980" s="1" t="str">
        <f aca="false">VLOOKUP(C3980,Products!$A$2:$E$62,3,FALSE())</f>
        <v>Software</v>
      </c>
      <c r="L3980" s="1" t="str">
        <f aca="false">TEXT(D3980,"yyyy-mm")</f>
        <v>2024-07</v>
      </c>
    </row>
    <row r="3981" customFormat="false" ht="15" hidden="false" customHeight="true" outlineLevel="0" collapsed="false">
      <c r="A3981" s="1" t="n">
        <v>4068</v>
      </c>
      <c r="B3981" s="1" t="n">
        <v>335</v>
      </c>
      <c r="C3981" s="1" t="n">
        <v>3</v>
      </c>
      <c r="D3981" s="1" t="s">
        <v>1693</v>
      </c>
      <c r="E3981" s="1" t="n">
        <v>7</v>
      </c>
      <c r="F3981" s="1" t="n">
        <v>89.39</v>
      </c>
      <c r="G3981" s="1" t="n">
        <v>0</v>
      </c>
      <c r="H3981" s="1" t="s">
        <v>1336</v>
      </c>
      <c r="I3981" s="1" t="n">
        <v>625.73</v>
      </c>
      <c r="J3981" s="1" t="str">
        <f aca="false">VLOOKUP(B3981,Customers!$A$2:$G$502,6,FALSE())</f>
        <v>Small Business</v>
      </c>
      <c r="K3981" s="1" t="str">
        <f aca="false">VLOOKUP(C3981,Products!$A$2:$E$62,3,FALSE())</f>
        <v>Electronics</v>
      </c>
      <c r="L3981" s="1" t="str">
        <f aca="false">TEXT(D3981,"yyyy-mm")</f>
        <v>2024-05</v>
      </c>
    </row>
    <row r="3982" customFormat="false" ht="15" hidden="false" customHeight="true" outlineLevel="0" collapsed="false">
      <c r="A3982" s="1" t="n">
        <v>4069</v>
      </c>
      <c r="B3982" s="1" t="n">
        <v>317</v>
      </c>
      <c r="C3982" s="1" t="n">
        <v>43</v>
      </c>
      <c r="D3982" s="1" t="s">
        <v>503</v>
      </c>
      <c r="E3982" s="1" t="n">
        <v>1</v>
      </c>
      <c r="F3982" s="1" t="n">
        <v>186.31</v>
      </c>
      <c r="G3982" s="1" t="n">
        <v>0</v>
      </c>
      <c r="H3982" s="1" t="s">
        <v>1336</v>
      </c>
      <c r="I3982" s="1" t="n">
        <v>186.31</v>
      </c>
      <c r="J3982" s="1" t="str">
        <f aca="false">VLOOKUP(B3982,Customers!$A$2:$G$502,6,FALSE())</f>
        <v>Small Business</v>
      </c>
      <c r="K3982" s="1" t="str">
        <f aca="false">VLOOKUP(C3982,Products!$A$2:$E$62,3,FALSE())</f>
        <v>Software</v>
      </c>
      <c r="L3982" s="1" t="str">
        <f aca="false">TEXT(D3982,"yyyy-mm")</f>
        <v>2023-01</v>
      </c>
    </row>
    <row r="3983" customFormat="false" ht="15" hidden="false" customHeight="true" outlineLevel="0" collapsed="false">
      <c r="A3983" s="1" t="n">
        <v>4070</v>
      </c>
      <c r="B3983" s="1" t="n">
        <v>465</v>
      </c>
      <c r="C3983" s="1" t="n">
        <v>28</v>
      </c>
      <c r="D3983" s="1" t="s">
        <v>257</v>
      </c>
      <c r="E3983" s="1" t="n">
        <v>6</v>
      </c>
      <c r="F3983" s="1" t="n">
        <v>505.23</v>
      </c>
      <c r="G3983" s="1" t="n">
        <v>0</v>
      </c>
      <c r="H3983" s="1" t="s">
        <v>1336</v>
      </c>
      <c r="I3983" s="1" t="n">
        <v>3031.38</v>
      </c>
      <c r="J3983" s="1" t="str">
        <f aca="false">VLOOKUP(B3983,Customers!$A$2:$G$502,6,FALSE())</f>
        <v>Consumer</v>
      </c>
      <c r="K3983" s="1" t="str">
        <f aca="false">VLOOKUP(C3983,Products!$A$2:$E$62,3,FALSE())</f>
        <v>Office Supplies</v>
      </c>
      <c r="L3983" s="1" t="str">
        <f aca="false">TEXT(D3983,"yyyy-mm")</f>
        <v>2023-07</v>
      </c>
    </row>
    <row r="3984" customFormat="false" ht="15" hidden="false" customHeight="true" outlineLevel="0" collapsed="false">
      <c r="A3984" s="1" t="n">
        <v>4071</v>
      </c>
      <c r="B3984" s="1" t="n">
        <v>208</v>
      </c>
      <c r="C3984" s="1" t="n">
        <v>49</v>
      </c>
      <c r="D3984" s="1" t="s">
        <v>508</v>
      </c>
      <c r="E3984" s="1" t="n">
        <v>3</v>
      </c>
      <c r="F3984" s="1" t="n">
        <v>325.17</v>
      </c>
      <c r="G3984" s="1" t="n">
        <v>0.1</v>
      </c>
      <c r="H3984" s="1" t="s">
        <v>1336</v>
      </c>
      <c r="I3984" s="1" t="n">
        <v>877.96</v>
      </c>
      <c r="J3984" s="1" t="str">
        <f aca="false">VLOOKUP(B3984,Customers!$A$2:$G$502,6,FALSE())</f>
        <v>Corporate</v>
      </c>
      <c r="K3984" s="1" t="str">
        <f aca="false">VLOOKUP(C3984,Products!$A$2:$E$62,3,FALSE())</f>
        <v>Software</v>
      </c>
      <c r="L3984" s="1" t="str">
        <f aca="false">TEXT(D3984,"yyyy-mm")</f>
        <v>2024-02</v>
      </c>
    </row>
    <row r="3985" customFormat="false" ht="15" hidden="false" customHeight="true" outlineLevel="0" collapsed="false">
      <c r="A3985" s="1" t="n">
        <v>4072</v>
      </c>
      <c r="B3985" s="1" t="n">
        <v>201</v>
      </c>
      <c r="C3985" s="1" t="n">
        <v>55</v>
      </c>
      <c r="D3985" s="1" t="s">
        <v>1124</v>
      </c>
      <c r="E3985" s="1" t="n">
        <v>8</v>
      </c>
      <c r="F3985" s="1" t="n">
        <v>123.38</v>
      </c>
      <c r="G3985" s="1" t="n">
        <v>0.05</v>
      </c>
      <c r="H3985" s="1" t="s">
        <v>1336</v>
      </c>
      <c r="I3985" s="1" t="n">
        <v>937.69</v>
      </c>
      <c r="J3985" s="1" t="str">
        <f aca="false">VLOOKUP(B3985,Customers!$A$2:$G$502,6,FALSE())</f>
        <v>Corporate</v>
      </c>
      <c r="K3985" s="1" t="str">
        <f aca="false">VLOOKUP(C3985,Products!$A$2:$E$62,3,FALSE())</f>
        <v>Furniture</v>
      </c>
      <c r="L3985" s="1" t="str">
        <f aca="false">TEXT(D3985,"yyyy-mm")</f>
        <v>2023-10</v>
      </c>
    </row>
    <row r="3986" customFormat="false" ht="15" hidden="false" customHeight="true" outlineLevel="0" collapsed="false">
      <c r="A3986" s="1" t="n">
        <v>4073</v>
      </c>
      <c r="B3986" s="1" t="n">
        <v>151</v>
      </c>
      <c r="C3986" s="1" t="n">
        <v>44</v>
      </c>
      <c r="D3986" s="1" t="s">
        <v>1013</v>
      </c>
      <c r="E3986" s="1" t="n">
        <v>6</v>
      </c>
      <c r="F3986" s="1" t="n">
        <v>508.26</v>
      </c>
      <c r="G3986" s="1" t="n">
        <v>0.05</v>
      </c>
      <c r="H3986" s="1" t="s">
        <v>1346</v>
      </c>
      <c r="I3986" s="1" t="n">
        <v>2897.08</v>
      </c>
      <c r="J3986" s="1" t="str">
        <f aca="false">VLOOKUP(B3986,Customers!$A$2:$G$502,6,FALSE())</f>
        <v>Small Business</v>
      </c>
      <c r="K3986" s="1" t="str">
        <f aca="false">VLOOKUP(C3986,Products!$A$2:$E$62,3,FALSE())</f>
        <v>Software</v>
      </c>
      <c r="L3986" s="1" t="str">
        <f aca="false">TEXT(D3986,"yyyy-mm")</f>
        <v>2024-12</v>
      </c>
    </row>
    <row r="3987" customFormat="false" ht="15" hidden="false" customHeight="true" outlineLevel="0" collapsed="false">
      <c r="A3987" s="1" t="n">
        <v>4074</v>
      </c>
      <c r="B3987" s="1" t="n">
        <v>401</v>
      </c>
      <c r="C3987" s="1" t="n">
        <v>44</v>
      </c>
      <c r="D3987" s="1" t="s">
        <v>1424</v>
      </c>
      <c r="E3987" s="1" t="n">
        <v>2</v>
      </c>
      <c r="F3987" s="1" t="n">
        <v>508.26</v>
      </c>
      <c r="G3987" s="1" t="n">
        <v>0</v>
      </c>
      <c r="H3987" s="1" t="s">
        <v>1336</v>
      </c>
      <c r="I3987" s="1" t="n">
        <v>1016.52</v>
      </c>
      <c r="J3987" s="1" t="str">
        <f aca="false">VLOOKUP(B3987,Customers!$A$2:$G$502,6,FALSE())</f>
        <v>Consumer</v>
      </c>
      <c r="K3987" s="1" t="str">
        <f aca="false">VLOOKUP(C3987,Products!$A$2:$E$62,3,FALSE())</f>
        <v>Software</v>
      </c>
      <c r="L3987" s="1" t="str">
        <f aca="false">TEXT(D3987,"yyyy-mm")</f>
        <v>2024-02</v>
      </c>
    </row>
    <row r="3988" customFormat="false" ht="15" hidden="false" customHeight="true" outlineLevel="0" collapsed="false">
      <c r="A3988" s="1" t="n">
        <v>4075</v>
      </c>
      <c r="B3988" s="1" t="n">
        <v>200</v>
      </c>
      <c r="C3988" s="1" t="n">
        <v>25</v>
      </c>
      <c r="D3988" s="1" t="s">
        <v>496</v>
      </c>
      <c r="E3988" s="1" t="n">
        <v>6</v>
      </c>
      <c r="F3988" s="1" t="n">
        <v>300.49</v>
      </c>
      <c r="G3988" s="1" t="n">
        <v>0</v>
      </c>
      <c r="H3988" s="1" t="s">
        <v>1336</v>
      </c>
      <c r="I3988" s="1" t="n">
        <v>1802.94</v>
      </c>
      <c r="J3988" s="1" t="str">
        <f aca="false">VLOOKUP(B3988,Customers!$A$2:$G$502,6,FALSE())</f>
        <v>Small Business</v>
      </c>
      <c r="K3988" s="1" t="str">
        <f aca="false">VLOOKUP(C3988,Products!$A$2:$E$62,3,FALSE())</f>
        <v>Office Supplies</v>
      </c>
      <c r="L3988" s="1" t="str">
        <f aca="false">TEXT(D3988,"yyyy-mm")</f>
        <v>2023-05</v>
      </c>
    </row>
    <row r="3989" customFormat="false" ht="15" hidden="false" customHeight="true" outlineLevel="0" collapsed="false">
      <c r="A3989" s="1" t="n">
        <v>4076</v>
      </c>
      <c r="B3989" s="1" t="n">
        <v>306</v>
      </c>
      <c r="C3989" s="1" t="n">
        <v>34</v>
      </c>
      <c r="D3989" s="1" t="s">
        <v>1425</v>
      </c>
      <c r="E3989" s="1" t="n">
        <v>7</v>
      </c>
      <c r="F3989" s="1" t="n">
        <v>116.85</v>
      </c>
      <c r="G3989" s="1" t="n">
        <v>0</v>
      </c>
      <c r="H3989" s="1" t="s">
        <v>1336</v>
      </c>
      <c r="I3989" s="1" t="n">
        <v>817.95</v>
      </c>
      <c r="J3989" s="1" t="str">
        <f aca="false">VLOOKUP(B3989,Customers!$A$2:$G$502,6,FALSE())</f>
        <v>Small Business</v>
      </c>
      <c r="K3989" s="1" t="str">
        <f aca="false">VLOOKUP(C3989,Products!$A$2:$E$62,3,FALSE())</f>
        <v>Office Supplies</v>
      </c>
      <c r="L3989" s="1" t="str">
        <f aca="false">TEXT(D3989,"yyyy-mm")</f>
        <v>2023-05</v>
      </c>
    </row>
    <row r="3990" customFormat="false" ht="15" hidden="false" customHeight="true" outlineLevel="0" collapsed="false">
      <c r="A3990" s="1" t="n">
        <v>4077</v>
      </c>
      <c r="B3990" s="1" t="n">
        <v>403</v>
      </c>
      <c r="C3990" s="1" t="n">
        <v>44</v>
      </c>
      <c r="D3990" s="1" t="s">
        <v>1097</v>
      </c>
      <c r="E3990" s="1" t="n">
        <v>5</v>
      </c>
      <c r="F3990" s="1" t="n">
        <v>508.26</v>
      </c>
      <c r="G3990" s="1" t="n">
        <v>0.05</v>
      </c>
      <c r="H3990" s="1" t="s">
        <v>1336</v>
      </c>
      <c r="I3990" s="1" t="n">
        <v>2414.24</v>
      </c>
      <c r="J3990" s="1" t="str">
        <f aca="false">VLOOKUP(B3990,Customers!$A$2:$G$502,6,FALSE())</f>
        <v>Consumer</v>
      </c>
      <c r="K3990" s="1" t="str">
        <f aca="false">VLOOKUP(C3990,Products!$A$2:$E$62,3,FALSE())</f>
        <v>Software</v>
      </c>
      <c r="L3990" s="1" t="str">
        <f aca="false">TEXT(D3990,"yyyy-mm")</f>
        <v>2024-02</v>
      </c>
    </row>
    <row r="3991" customFormat="false" ht="15" hidden="false" customHeight="true" outlineLevel="0" collapsed="false">
      <c r="A3991" s="1" t="n">
        <v>4078</v>
      </c>
      <c r="B3991" s="1" t="n">
        <v>255</v>
      </c>
      <c r="C3991" s="1" t="n">
        <v>48</v>
      </c>
      <c r="D3991" s="1" t="s">
        <v>1147</v>
      </c>
      <c r="E3991" s="1" t="n">
        <v>3</v>
      </c>
      <c r="F3991" s="1" t="n">
        <v>493.53</v>
      </c>
      <c r="G3991" s="1" t="n">
        <v>0.2</v>
      </c>
      <c r="H3991" s="1" t="s">
        <v>1336</v>
      </c>
      <c r="I3991" s="1" t="n">
        <v>1184.47</v>
      </c>
      <c r="J3991" s="1" t="str">
        <f aca="false">VLOOKUP(B3991,Customers!$A$2:$G$502,6,FALSE())</f>
        <v>Corporate</v>
      </c>
      <c r="K3991" s="1" t="str">
        <f aca="false">VLOOKUP(C3991,Products!$A$2:$E$62,3,FALSE())</f>
        <v>Software</v>
      </c>
      <c r="L3991" s="1" t="str">
        <f aca="false">TEXT(D3991,"yyyy-mm")</f>
        <v>2024-05</v>
      </c>
    </row>
    <row r="3992" customFormat="false" ht="15" hidden="false" customHeight="true" outlineLevel="0" collapsed="false">
      <c r="A3992" s="1" t="n">
        <v>4079</v>
      </c>
      <c r="B3992" s="1" t="n">
        <v>479</v>
      </c>
      <c r="C3992" s="1" t="n">
        <v>32</v>
      </c>
      <c r="D3992" s="1" t="s">
        <v>1465</v>
      </c>
      <c r="E3992" s="1" t="n">
        <v>4</v>
      </c>
      <c r="F3992" s="1" t="n">
        <v>492.27</v>
      </c>
      <c r="G3992" s="1" t="n">
        <v>0</v>
      </c>
      <c r="H3992" s="1" t="s">
        <v>1336</v>
      </c>
      <c r="I3992" s="1" t="n">
        <v>1969.08</v>
      </c>
      <c r="J3992" s="1" t="str">
        <f aca="false">VLOOKUP(B3992,Customers!$A$2:$G$502,6,FALSE())</f>
        <v>Small Business</v>
      </c>
      <c r="K3992" s="1" t="str">
        <f aca="false">VLOOKUP(C3992,Products!$A$2:$E$62,3,FALSE())</f>
        <v>Office Supplies</v>
      </c>
      <c r="L3992" s="1" t="str">
        <f aca="false">TEXT(D3992,"yyyy-mm")</f>
        <v>2023-05</v>
      </c>
    </row>
    <row r="3993" customFormat="false" ht="15" hidden="false" customHeight="true" outlineLevel="0" collapsed="false">
      <c r="A3993" s="1" t="n">
        <v>4081</v>
      </c>
      <c r="B3993" s="1" t="n">
        <v>165</v>
      </c>
      <c r="C3993" s="1" t="n">
        <v>48</v>
      </c>
      <c r="D3993" s="1" t="s">
        <v>989</v>
      </c>
      <c r="E3993" s="1" t="n">
        <v>6</v>
      </c>
      <c r="F3993" s="1" t="n">
        <v>493.53</v>
      </c>
      <c r="G3993" s="1" t="n">
        <v>0.2</v>
      </c>
      <c r="H3993" s="1" t="s">
        <v>1336</v>
      </c>
      <c r="I3993" s="1" t="n">
        <v>2368.94</v>
      </c>
      <c r="J3993" s="1" t="str">
        <f aca="false">VLOOKUP(B3993,Customers!$A$2:$G$502,6,FALSE())</f>
        <v>Consumer</v>
      </c>
      <c r="K3993" s="1" t="str">
        <f aca="false">VLOOKUP(C3993,Products!$A$2:$E$62,3,FALSE())</f>
        <v>Software</v>
      </c>
      <c r="L3993" s="1" t="str">
        <f aca="false">TEXT(D3993,"yyyy-mm")</f>
        <v>2024-06</v>
      </c>
    </row>
    <row r="3994" customFormat="false" ht="15" hidden="false" customHeight="true" outlineLevel="0" collapsed="false">
      <c r="A3994" s="1" t="n">
        <v>4082</v>
      </c>
      <c r="B3994" s="1" t="n">
        <v>56</v>
      </c>
      <c r="C3994" s="1" t="n">
        <v>24</v>
      </c>
      <c r="D3994" s="1" t="s">
        <v>1609</v>
      </c>
      <c r="E3994" s="1" t="n">
        <v>1</v>
      </c>
      <c r="F3994" s="1" t="n">
        <v>207.34</v>
      </c>
      <c r="G3994" s="1" t="n">
        <v>0</v>
      </c>
      <c r="H3994" s="1" t="s">
        <v>1336</v>
      </c>
      <c r="I3994" s="1" t="n">
        <v>207.34</v>
      </c>
      <c r="J3994" s="1" t="str">
        <f aca="false">VLOOKUP(B3994,Customers!$A$2:$G$502,6,FALSE())</f>
        <v>Corporate</v>
      </c>
      <c r="K3994" s="1" t="str">
        <f aca="false">VLOOKUP(C3994,Products!$A$2:$E$62,3,FALSE())</f>
        <v>Office Supplies</v>
      </c>
      <c r="L3994" s="1" t="str">
        <f aca="false">TEXT(D3994,"yyyy-mm")</f>
        <v>2023-02</v>
      </c>
    </row>
    <row r="3995" customFormat="false" ht="15" hidden="false" customHeight="true" outlineLevel="0" collapsed="false">
      <c r="A3995" s="1" t="n">
        <v>4083</v>
      </c>
      <c r="B3995" s="1" t="n">
        <v>117</v>
      </c>
      <c r="C3995" s="1" t="n">
        <v>22</v>
      </c>
      <c r="D3995" s="1" t="s">
        <v>1673</v>
      </c>
      <c r="E3995" s="1" t="n">
        <v>4</v>
      </c>
      <c r="F3995" s="1" t="n">
        <v>38.57</v>
      </c>
      <c r="G3995" s="1" t="n">
        <v>0.2</v>
      </c>
      <c r="H3995" s="1" t="s">
        <v>1336</v>
      </c>
      <c r="I3995" s="1" t="n">
        <v>123.42</v>
      </c>
      <c r="J3995" s="1" t="str">
        <f aca="false">VLOOKUP(B3995,Customers!$A$2:$G$502,6,FALSE())</f>
        <v>Small Business</v>
      </c>
      <c r="K3995" s="1" t="str">
        <f aca="false">VLOOKUP(C3995,Products!$A$2:$E$62,3,FALSE())</f>
        <v>Office Supplies</v>
      </c>
      <c r="L3995" s="1" t="str">
        <f aca="false">TEXT(D3995,"yyyy-mm")</f>
        <v>2023-07</v>
      </c>
    </row>
    <row r="3996" customFormat="false" ht="15" hidden="false" customHeight="true" outlineLevel="0" collapsed="false">
      <c r="A3996" s="1" t="n">
        <v>4084</v>
      </c>
      <c r="B3996" s="1" t="n">
        <v>212</v>
      </c>
      <c r="C3996" s="1" t="n">
        <v>2</v>
      </c>
      <c r="D3996" s="1" t="s">
        <v>1415</v>
      </c>
      <c r="E3996" s="1" t="n">
        <v>4</v>
      </c>
      <c r="F3996" s="1" t="n">
        <v>498.15</v>
      </c>
      <c r="G3996" s="1" t="n">
        <v>0.1</v>
      </c>
      <c r="H3996" s="1" t="s">
        <v>1370</v>
      </c>
      <c r="I3996" s="1" t="n">
        <v>1793.34</v>
      </c>
      <c r="J3996" s="1" t="str">
        <f aca="false">VLOOKUP(B3996,Customers!$A$2:$G$502,6,FALSE())</f>
        <v>Consumer</v>
      </c>
      <c r="K3996" s="1" t="str">
        <f aca="false">VLOOKUP(C3996,Products!$A$2:$E$62,3,FALSE())</f>
        <v>Electronics</v>
      </c>
      <c r="L3996" s="1" t="str">
        <f aca="false">TEXT(D3996,"yyyy-mm")</f>
        <v>2023-12</v>
      </c>
    </row>
    <row r="3997" customFormat="false" ht="15" hidden="false" customHeight="true" outlineLevel="0" collapsed="false">
      <c r="A3997" s="1" t="n">
        <v>4085</v>
      </c>
      <c r="B3997" s="1" t="n">
        <v>77</v>
      </c>
      <c r="C3997" s="1" t="n">
        <v>9</v>
      </c>
      <c r="D3997" s="1" t="s">
        <v>489</v>
      </c>
      <c r="E3997" s="1" t="n">
        <v>1</v>
      </c>
      <c r="F3997" s="1" t="n">
        <v>203.1</v>
      </c>
      <c r="G3997" s="1" t="n">
        <v>0</v>
      </c>
      <c r="H3997" s="1" t="s">
        <v>1336</v>
      </c>
      <c r="I3997" s="1" t="n">
        <v>203.1</v>
      </c>
      <c r="J3997" s="1" t="str">
        <f aca="false">VLOOKUP(B3997,Customers!$A$2:$G$502,6,FALSE())</f>
        <v>Consumer</v>
      </c>
      <c r="K3997" s="1" t="str">
        <f aca="false">VLOOKUP(C3997,Products!$A$2:$E$62,3,FALSE())</f>
        <v>Electronics</v>
      </c>
      <c r="L3997" s="1" t="str">
        <f aca="false">TEXT(D3997,"yyyy-mm")</f>
        <v>2024-12</v>
      </c>
    </row>
    <row r="3998" customFormat="false" ht="15" hidden="false" customHeight="true" outlineLevel="0" collapsed="false">
      <c r="A3998" s="1" t="n">
        <v>4086</v>
      </c>
      <c r="B3998" s="1" t="n">
        <v>139</v>
      </c>
      <c r="C3998" s="1" t="n">
        <v>59</v>
      </c>
      <c r="D3998" s="1" t="s">
        <v>1628</v>
      </c>
      <c r="E3998" s="1" t="n">
        <v>9</v>
      </c>
      <c r="F3998" s="1" t="n">
        <v>438.89</v>
      </c>
      <c r="G3998" s="1" t="n">
        <v>0.15</v>
      </c>
      <c r="H3998" s="1" t="s">
        <v>1336</v>
      </c>
      <c r="I3998" s="1" t="n">
        <v>3357.51</v>
      </c>
      <c r="J3998" s="1" t="str">
        <f aca="false">VLOOKUP(B3998,Customers!$A$2:$G$502,6,FALSE())</f>
        <v>Consumer</v>
      </c>
      <c r="K3998" s="1" t="str">
        <f aca="false">VLOOKUP(C3998,Products!$A$2:$E$62,3,FALSE())</f>
        <v>Furniture</v>
      </c>
      <c r="L3998" s="1" t="str">
        <f aca="false">TEXT(D3998,"yyyy-mm")</f>
        <v>2023-09</v>
      </c>
    </row>
    <row r="3999" customFormat="false" ht="15" hidden="false" customHeight="true" outlineLevel="0" collapsed="false">
      <c r="A3999" s="1" t="n">
        <v>4087</v>
      </c>
      <c r="B3999" s="1" t="n">
        <v>329</v>
      </c>
      <c r="C3999" s="1" t="n">
        <v>52</v>
      </c>
      <c r="D3999" s="1" t="s">
        <v>909</v>
      </c>
      <c r="E3999" s="1" t="n">
        <v>4</v>
      </c>
      <c r="F3999" s="1" t="n">
        <v>207.67</v>
      </c>
      <c r="G3999" s="1" t="n">
        <v>0</v>
      </c>
      <c r="H3999" s="1" t="s">
        <v>1336</v>
      </c>
      <c r="I3999" s="1" t="n">
        <v>830.68</v>
      </c>
      <c r="J3999" s="1" t="str">
        <f aca="false">VLOOKUP(B3999,Customers!$A$2:$G$502,6,FALSE())</f>
        <v>Consumer</v>
      </c>
      <c r="K3999" s="1" t="str">
        <f aca="false">VLOOKUP(C3999,Products!$A$2:$E$62,3,FALSE())</f>
        <v>Software</v>
      </c>
      <c r="L3999" s="1" t="str">
        <f aca="false">TEXT(D3999,"yyyy-mm")</f>
        <v>2023-03</v>
      </c>
    </row>
    <row r="4000" customFormat="false" ht="15" hidden="false" customHeight="true" outlineLevel="0" collapsed="false">
      <c r="A4000" s="1" t="n">
        <v>4088</v>
      </c>
      <c r="B4000" s="1" t="n">
        <v>263</v>
      </c>
      <c r="C4000" s="1" t="n">
        <v>15</v>
      </c>
      <c r="D4000" s="1" t="s">
        <v>1412</v>
      </c>
      <c r="E4000" s="1" t="n">
        <v>7</v>
      </c>
      <c r="F4000" s="1" t="n">
        <v>304.95</v>
      </c>
      <c r="G4000" s="1" t="n">
        <v>0.15</v>
      </c>
      <c r="H4000" s="1" t="s">
        <v>1346</v>
      </c>
      <c r="I4000" s="1" t="n">
        <v>1814.45</v>
      </c>
      <c r="J4000" s="1" t="str">
        <f aca="false">VLOOKUP(B4000,Customers!$A$2:$G$502,6,FALSE())</f>
        <v>Consumer</v>
      </c>
      <c r="K4000" s="1" t="str">
        <f aca="false">VLOOKUP(C4000,Products!$A$2:$E$62,3,FALSE())</f>
        <v>Electronics</v>
      </c>
      <c r="L4000" s="1" t="str">
        <f aca="false">TEXT(D4000,"yyyy-mm")</f>
        <v>2023-09</v>
      </c>
    </row>
    <row r="4001" customFormat="false" ht="15" hidden="false" customHeight="true" outlineLevel="0" collapsed="false">
      <c r="A4001" s="1" t="n">
        <v>4089</v>
      </c>
      <c r="B4001" s="1" t="n">
        <v>449</v>
      </c>
      <c r="C4001" s="1" t="n">
        <v>54</v>
      </c>
      <c r="D4001" s="1" t="s">
        <v>1086</v>
      </c>
      <c r="E4001" s="1" t="n">
        <v>3</v>
      </c>
      <c r="F4001" s="1" t="n">
        <v>312.01</v>
      </c>
      <c r="G4001" s="1" t="n">
        <v>0.1</v>
      </c>
      <c r="H4001" s="1" t="s">
        <v>1336</v>
      </c>
      <c r="I4001" s="1" t="n">
        <v>842.43</v>
      </c>
      <c r="J4001" s="1" t="str">
        <f aca="false">VLOOKUP(B4001,Customers!$A$2:$G$502,6,FALSE())</f>
        <v>Corporate</v>
      </c>
      <c r="K4001" s="1" t="str">
        <f aca="false">VLOOKUP(C4001,Products!$A$2:$E$62,3,FALSE())</f>
        <v>Software</v>
      </c>
      <c r="L4001" s="1" t="str">
        <f aca="false">TEXT(D4001,"yyyy-mm")</f>
        <v>2024-05</v>
      </c>
    </row>
    <row r="4002" customFormat="false" ht="15" hidden="false" customHeight="true" outlineLevel="0" collapsed="false">
      <c r="A4002" s="1" t="n">
        <v>4090</v>
      </c>
      <c r="B4002" s="1" t="n">
        <v>77</v>
      </c>
      <c r="C4002" s="1" t="n">
        <v>7</v>
      </c>
      <c r="D4002" s="1" t="s">
        <v>356</v>
      </c>
      <c r="E4002" s="1" t="n">
        <v>3</v>
      </c>
      <c r="F4002" s="1" t="n">
        <v>460</v>
      </c>
      <c r="G4002" s="1" t="n">
        <v>0.05</v>
      </c>
      <c r="H4002" s="1" t="s">
        <v>1346</v>
      </c>
      <c r="I4002" s="1" t="n">
        <v>1311</v>
      </c>
      <c r="J4002" s="1" t="str">
        <f aca="false">VLOOKUP(B4002,Customers!$A$2:$G$502,6,FALSE())</f>
        <v>Consumer</v>
      </c>
      <c r="K4002" s="1" t="str">
        <f aca="false">VLOOKUP(C4002,Products!$A$2:$E$62,3,FALSE())</f>
        <v>Electronics</v>
      </c>
      <c r="L4002" s="1" t="str">
        <f aca="false">TEXT(D4002,"yyyy-mm")</f>
        <v>2023-04</v>
      </c>
    </row>
    <row r="4003" customFormat="false" ht="15" hidden="false" customHeight="true" outlineLevel="0" collapsed="false">
      <c r="A4003" s="1" t="n">
        <v>4091</v>
      </c>
      <c r="B4003" s="1" t="n">
        <v>482</v>
      </c>
      <c r="C4003" s="1" t="n">
        <v>37</v>
      </c>
      <c r="D4003" s="1" t="s">
        <v>1554</v>
      </c>
      <c r="E4003" s="1" t="n">
        <v>8</v>
      </c>
      <c r="F4003" s="1" t="n">
        <v>13.95</v>
      </c>
      <c r="G4003" s="1" t="n">
        <v>0.15</v>
      </c>
      <c r="H4003" s="1" t="s">
        <v>1336</v>
      </c>
      <c r="I4003" s="1" t="n">
        <v>94.86</v>
      </c>
      <c r="J4003" s="1" t="str">
        <f aca="false">VLOOKUP(B4003,Customers!$A$2:$G$502,6,FALSE())</f>
        <v>Small Business</v>
      </c>
      <c r="K4003" s="1" t="str">
        <f aca="false">VLOOKUP(C4003,Products!$A$2:$E$62,3,FALSE())</f>
        <v>Software</v>
      </c>
      <c r="L4003" s="1" t="str">
        <f aca="false">TEXT(D4003,"yyyy-mm")</f>
        <v>2024-11</v>
      </c>
    </row>
    <row r="4004" customFormat="false" ht="15" hidden="false" customHeight="true" outlineLevel="0" collapsed="false">
      <c r="A4004" s="1" t="n">
        <v>4092</v>
      </c>
      <c r="B4004" s="1" t="n">
        <v>412</v>
      </c>
      <c r="C4004" s="1" t="n">
        <v>44</v>
      </c>
      <c r="D4004" s="1" t="s">
        <v>1462</v>
      </c>
      <c r="E4004" s="1" t="n">
        <v>8</v>
      </c>
      <c r="F4004" s="1" t="n">
        <v>508.26</v>
      </c>
      <c r="G4004" s="1" t="n">
        <v>0.05</v>
      </c>
      <c r="H4004" s="1" t="s">
        <v>1336</v>
      </c>
      <c r="I4004" s="1" t="n">
        <v>3862.78</v>
      </c>
      <c r="J4004" s="1" t="str">
        <f aca="false">VLOOKUP(B4004,Customers!$A$2:$G$502,6,FALSE())</f>
        <v>Corporate</v>
      </c>
      <c r="K4004" s="1" t="str">
        <f aca="false">VLOOKUP(C4004,Products!$A$2:$E$62,3,FALSE())</f>
        <v>Software</v>
      </c>
      <c r="L4004" s="1" t="str">
        <f aca="false">TEXT(D4004,"yyyy-mm")</f>
        <v>2024-08</v>
      </c>
    </row>
    <row r="4005" customFormat="false" ht="15" hidden="false" customHeight="true" outlineLevel="0" collapsed="false">
      <c r="A4005" s="1" t="n">
        <v>4093</v>
      </c>
      <c r="B4005" s="1" t="n">
        <v>238</v>
      </c>
      <c r="C4005" s="1" t="n">
        <v>34</v>
      </c>
      <c r="D4005" s="1" t="s">
        <v>1363</v>
      </c>
      <c r="E4005" s="1" t="n">
        <v>1</v>
      </c>
      <c r="F4005" s="1" t="n">
        <v>116.85</v>
      </c>
      <c r="G4005" s="1" t="n">
        <v>0.2</v>
      </c>
      <c r="H4005" s="1" t="s">
        <v>1336</v>
      </c>
      <c r="I4005" s="1" t="n">
        <v>93.48</v>
      </c>
      <c r="J4005" s="1" t="str">
        <f aca="false">VLOOKUP(B4005,Customers!$A$2:$G$502,6,FALSE())</f>
        <v>Corporate</v>
      </c>
      <c r="K4005" s="1" t="str">
        <f aca="false">VLOOKUP(C4005,Products!$A$2:$E$62,3,FALSE())</f>
        <v>Office Supplies</v>
      </c>
      <c r="L4005" s="1" t="str">
        <f aca="false">TEXT(D4005,"yyyy-mm")</f>
        <v>2024-09</v>
      </c>
    </row>
    <row r="4006" customFormat="false" ht="15" hidden="false" customHeight="true" outlineLevel="0" collapsed="false">
      <c r="A4006" s="1" t="n">
        <v>4094</v>
      </c>
      <c r="B4006" s="1" t="n">
        <v>243</v>
      </c>
      <c r="C4006" s="1" t="n">
        <v>29</v>
      </c>
      <c r="D4006" s="1" t="s">
        <v>1668</v>
      </c>
      <c r="E4006" s="1" t="n">
        <v>2</v>
      </c>
      <c r="F4006" s="1" t="n">
        <v>54.62</v>
      </c>
      <c r="G4006" s="1" t="n">
        <v>0.2</v>
      </c>
      <c r="H4006" s="1" t="s">
        <v>1370</v>
      </c>
      <c r="I4006" s="1" t="n">
        <v>87.39</v>
      </c>
      <c r="J4006" s="1" t="str">
        <f aca="false">VLOOKUP(B4006,Customers!$A$2:$G$502,6,FALSE())</f>
        <v>Small Business</v>
      </c>
      <c r="K4006" s="1" t="str">
        <f aca="false">VLOOKUP(C4006,Products!$A$2:$E$62,3,FALSE())</f>
        <v>Office Supplies</v>
      </c>
      <c r="L4006" s="1" t="str">
        <f aca="false">TEXT(D4006,"yyyy-mm")</f>
        <v>2023-10</v>
      </c>
    </row>
    <row r="4007" customFormat="false" ht="15" hidden="false" customHeight="true" outlineLevel="0" collapsed="false">
      <c r="A4007" s="1" t="n">
        <v>4095</v>
      </c>
      <c r="B4007" s="1" t="n">
        <v>360</v>
      </c>
      <c r="C4007" s="1" t="n">
        <v>20</v>
      </c>
      <c r="D4007" s="1" t="s">
        <v>722</v>
      </c>
      <c r="E4007" s="1" t="n">
        <v>8</v>
      </c>
      <c r="F4007" s="1" t="n">
        <v>426.15</v>
      </c>
      <c r="G4007" s="1" t="n">
        <v>0.1</v>
      </c>
      <c r="H4007" s="1" t="s">
        <v>1370</v>
      </c>
      <c r="I4007" s="1" t="n">
        <v>3068.28</v>
      </c>
      <c r="J4007" s="1" t="str">
        <f aca="false">VLOOKUP(B4007,Customers!$A$2:$G$502,6,FALSE())</f>
        <v>Corporate</v>
      </c>
      <c r="K4007" s="1" t="str">
        <f aca="false">VLOOKUP(C4007,Products!$A$2:$E$62,3,FALSE())</f>
        <v>Office Supplies</v>
      </c>
      <c r="L4007" s="1" t="str">
        <f aca="false">TEXT(D4007,"yyyy-mm")</f>
        <v>2024-05</v>
      </c>
    </row>
    <row r="4008" customFormat="false" ht="15" hidden="false" customHeight="true" outlineLevel="0" collapsed="false">
      <c r="A4008" s="1" t="n">
        <v>4096</v>
      </c>
      <c r="B4008" s="1" t="n">
        <v>422</v>
      </c>
      <c r="C4008" s="1" t="n">
        <v>41</v>
      </c>
      <c r="D4008" s="1" t="s">
        <v>1651</v>
      </c>
      <c r="E4008" s="1" t="n">
        <v>1</v>
      </c>
      <c r="F4008" s="1" t="n">
        <v>594.54</v>
      </c>
      <c r="G4008" s="1" t="n">
        <v>0</v>
      </c>
      <c r="H4008" s="1" t="s">
        <v>1336</v>
      </c>
      <c r="I4008" s="1" t="n">
        <v>594.54</v>
      </c>
      <c r="J4008" s="1" t="str">
        <f aca="false">VLOOKUP(B4008,Customers!$A$2:$G$502,6,FALSE())</f>
        <v>Small Business</v>
      </c>
      <c r="K4008" s="1" t="str">
        <f aca="false">VLOOKUP(C4008,Products!$A$2:$E$62,3,FALSE())</f>
        <v>Software</v>
      </c>
      <c r="L4008" s="1" t="str">
        <f aca="false">TEXT(D4008,"yyyy-mm")</f>
        <v>2023-06</v>
      </c>
    </row>
    <row r="4009" customFormat="false" ht="15" hidden="false" customHeight="true" outlineLevel="0" collapsed="false">
      <c r="A4009" s="1" t="n">
        <v>4097</v>
      </c>
      <c r="B4009" s="1" t="n">
        <v>168</v>
      </c>
      <c r="C4009" s="1" t="n">
        <v>8</v>
      </c>
      <c r="D4009" s="1" t="s">
        <v>449</v>
      </c>
      <c r="E4009" s="1" t="n">
        <v>8</v>
      </c>
      <c r="F4009" s="1" t="n">
        <v>104.4</v>
      </c>
      <c r="G4009" s="1" t="n">
        <v>0.05</v>
      </c>
      <c r="H4009" s="1" t="s">
        <v>1370</v>
      </c>
      <c r="I4009" s="1" t="n">
        <v>793.44</v>
      </c>
      <c r="J4009" s="1" t="str">
        <f aca="false">VLOOKUP(B4009,Customers!$A$2:$G$502,6,FALSE())</f>
        <v>Consumer</v>
      </c>
      <c r="K4009" s="1" t="str">
        <f aca="false">VLOOKUP(C4009,Products!$A$2:$E$62,3,FALSE())</f>
        <v>Electronics</v>
      </c>
      <c r="L4009" s="1" t="str">
        <f aca="false">TEXT(D4009,"yyyy-mm")</f>
        <v>2023-03</v>
      </c>
    </row>
    <row r="4010" customFormat="false" ht="15" hidden="false" customHeight="true" outlineLevel="0" collapsed="false">
      <c r="A4010" s="1" t="n">
        <v>4098</v>
      </c>
      <c r="B4010" s="1" t="n">
        <v>170</v>
      </c>
      <c r="C4010" s="1" t="n">
        <v>3</v>
      </c>
      <c r="D4010" s="1" t="s">
        <v>1646</v>
      </c>
      <c r="E4010" s="1" t="n">
        <v>8</v>
      </c>
      <c r="F4010" s="1" t="n">
        <v>89.39</v>
      </c>
      <c r="G4010" s="1" t="n">
        <v>0</v>
      </c>
      <c r="H4010" s="1" t="s">
        <v>1336</v>
      </c>
      <c r="I4010" s="1" t="n">
        <v>715.12</v>
      </c>
      <c r="J4010" s="1" t="str">
        <f aca="false">VLOOKUP(B4010,Customers!$A$2:$G$502,6,FALSE())</f>
        <v>Small Business</v>
      </c>
      <c r="K4010" s="1" t="str">
        <f aca="false">VLOOKUP(C4010,Products!$A$2:$E$62,3,FALSE())</f>
        <v>Electronics</v>
      </c>
      <c r="L4010" s="1" t="str">
        <f aca="false">TEXT(D4010,"yyyy-mm")</f>
        <v>2023-09</v>
      </c>
    </row>
    <row r="4011" customFormat="false" ht="15" hidden="false" customHeight="true" outlineLevel="0" collapsed="false">
      <c r="A4011" s="1" t="n">
        <v>4099</v>
      </c>
      <c r="B4011" s="1" t="n">
        <v>493</v>
      </c>
      <c r="C4011" s="1" t="n">
        <v>31</v>
      </c>
      <c r="D4011" s="1" t="s">
        <v>1353</v>
      </c>
      <c r="E4011" s="1" t="n">
        <v>2</v>
      </c>
      <c r="F4011" s="1" t="n">
        <v>224.86</v>
      </c>
      <c r="G4011" s="1" t="n">
        <v>0</v>
      </c>
      <c r="H4011" s="1" t="s">
        <v>1370</v>
      </c>
      <c r="I4011" s="1" t="n">
        <v>449.72</v>
      </c>
      <c r="J4011" s="1" t="str">
        <f aca="false">VLOOKUP(B4011,Customers!$A$2:$G$502,6,FALSE())</f>
        <v>Corporate</v>
      </c>
      <c r="K4011" s="1" t="str">
        <f aca="false">VLOOKUP(C4011,Products!$A$2:$E$62,3,FALSE())</f>
        <v>Office Supplies</v>
      </c>
      <c r="L4011" s="1" t="str">
        <f aca="false">TEXT(D4011,"yyyy-mm")</f>
        <v>2023-06</v>
      </c>
    </row>
    <row r="4012" customFormat="false" ht="15" hidden="false" customHeight="true" outlineLevel="0" collapsed="false">
      <c r="A4012" s="1" t="n">
        <v>4100</v>
      </c>
      <c r="B4012" s="1" t="n">
        <v>194</v>
      </c>
      <c r="C4012" s="1" t="n">
        <v>46</v>
      </c>
      <c r="D4012" s="1" t="s">
        <v>164</v>
      </c>
      <c r="E4012" s="1" t="n">
        <v>4</v>
      </c>
      <c r="F4012" s="1" t="n">
        <v>94.92</v>
      </c>
      <c r="G4012" s="1" t="n">
        <v>0.1</v>
      </c>
      <c r="H4012" s="1" t="s">
        <v>1336</v>
      </c>
      <c r="I4012" s="1" t="n">
        <v>341.71</v>
      </c>
      <c r="J4012" s="1" t="str">
        <f aca="false">VLOOKUP(B4012,Customers!$A$2:$G$502,6,FALSE())</f>
        <v>Corporate</v>
      </c>
      <c r="K4012" s="1" t="str">
        <f aca="false">VLOOKUP(C4012,Products!$A$2:$E$62,3,FALSE())</f>
        <v>Software</v>
      </c>
      <c r="L4012" s="1" t="str">
        <f aca="false">TEXT(D4012,"yyyy-mm")</f>
        <v>2023-02</v>
      </c>
    </row>
    <row r="4013" customFormat="false" ht="15" hidden="false" customHeight="true" outlineLevel="0" collapsed="false">
      <c r="A4013" s="1" t="n">
        <v>4101</v>
      </c>
      <c r="B4013" s="1" t="n">
        <v>357</v>
      </c>
      <c r="C4013" s="1" t="n">
        <v>53</v>
      </c>
      <c r="D4013" s="1" t="s">
        <v>71</v>
      </c>
      <c r="E4013" s="1" t="n">
        <v>6</v>
      </c>
      <c r="F4013" s="1" t="n">
        <v>509.98</v>
      </c>
      <c r="G4013" s="1" t="n">
        <v>0.05</v>
      </c>
      <c r="H4013" s="1" t="s">
        <v>1336</v>
      </c>
      <c r="I4013" s="1" t="n">
        <v>2906.89</v>
      </c>
      <c r="J4013" s="1" t="str">
        <f aca="false">VLOOKUP(B4013,Customers!$A$2:$G$502,6,FALSE())</f>
        <v>Consumer</v>
      </c>
      <c r="K4013" s="1" t="str">
        <f aca="false">VLOOKUP(C4013,Products!$A$2:$E$62,3,FALSE())</f>
        <v>Software</v>
      </c>
      <c r="L4013" s="1" t="str">
        <f aca="false">TEXT(D4013,"yyyy-mm")</f>
        <v>2024-05</v>
      </c>
    </row>
    <row r="4014" customFormat="false" ht="15" hidden="false" customHeight="true" outlineLevel="0" collapsed="false">
      <c r="A4014" s="1" t="n">
        <v>4102</v>
      </c>
      <c r="B4014" s="1" t="n">
        <v>107</v>
      </c>
      <c r="C4014" s="1" t="n">
        <v>5</v>
      </c>
      <c r="D4014" s="1" t="s">
        <v>229</v>
      </c>
      <c r="E4014" s="1" t="n">
        <v>9</v>
      </c>
      <c r="F4014" s="1" t="n">
        <v>439.06</v>
      </c>
      <c r="G4014" s="1" t="n">
        <v>0.2</v>
      </c>
      <c r="H4014" s="1" t="s">
        <v>1336</v>
      </c>
      <c r="I4014" s="1" t="n">
        <v>3161.23</v>
      </c>
      <c r="J4014" s="1" t="str">
        <f aca="false">VLOOKUP(B4014,Customers!$A$2:$G$502,6,FALSE())</f>
        <v>Consumer</v>
      </c>
      <c r="K4014" s="1" t="str">
        <f aca="false">VLOOKUP(C4014,Products!$A$2:$E$62,3,FALSE())</f>
        <v>Electronics</v>
      </c>
      <c r="L4014" s="1" t="str">
        <f aca="false">TEXT(D4014,"yyyy-mm")</f>
        <v>2024-12</v>
      </c>
    </row>
    <row r="4015" customFormat="false" ht="15" hidden="false" customHeight="true" outlineLevel="0" collapsed="false">
      <c r="A4015" s="1" t="n">
        <v>4103</v>
      </c>
      <c r="B4015" s="1" t="n">
        <v>98</v>
      </c>
      <c r="C4015" s="1" t="n">
        <v>7</v>
      </c>
      <c r="D4015" s="1" t="s">
        <v>1487</v>
      </c>
      <c r="E4015" s="1" t="n">
        <v>8</v>
      </c>
      <c r="F4015" s="1" t="n">
        <v>460</v>
      </c>
      <c r="G4015" s="1" t="n">
        <v>0.2</v>
      </c>
      <c r="H4015" s="1" t="s">
        <v>1336</v>
      </c>
      <c r="I4015" s="1" t="n">
        <v>2944</v>
      </c>
      <c r="J4015" s="1" t="str">
        <f aca="false">VLOOKUP(B4015,Customers!$A$2:$G$502,6,FALSE())</f>
        <v>Corporate</v>
      </c>
      <c r="K4015" s="1" t="str">
        <f aca="false">VLOOKUP(C4015,Products!$A$2:$E$62,3,FALSE())</f>
        <v>Electronics</v>
      </c>
      <c r="L4015" s="1" t="str">
        <f aca="false">TEXT(D4015,"yyyy-mm")</f>
        <v>2024-01</v>
      </c>
    </row>
    <row r="4016" customFormat="false" ht="15" hidden="false" customHeight="true" outlineLevel="0" collapsed="false">
      <c r="A4016" s="1" t="n">
        <v>4104</v>
      </c>
      <c r="B4016" s="1" t="n">
        <v>18</v>
      </c>
      <c r="C4016" s="1" t="n">
        <v>31</v>
      </c>
      <c r="D4016" s="1" t="s">
        <v>476</v>
      </c>
      <c r="E4016" s="1" t="n">
        <v>8</v>
      </c>
      <c r="F4016" s="1" t="n">
        <v>224.86</v>
      </c>
      <c r="G4016" s="1" t="n">
        <v>0.15</v>
      </c>
      <c r="H4016" s="1" t="s">
        <v>1346</v>
      </c>
      <c r="I4016" s="1" t="n">
        <v>1529.05</v>
      </c>
      <c r="J4016" s="1" t="str">
        <f aca="false">VLOOKUP(B4016,Customers!$A$2:$G$502,6,FALSE())</f>
        <v>Corporate</v>
      </c>
      <c r="K4016" s="1" t="str">
        <f aca="false">VLOOKUP(C4016,Products!$A$2:$E$62,3,FALSE())</f>
        <v>Office Supplies</v>
      </c>
      <c r="L4016" s="1" t="str">
        <f aca="false">TEXT(D4016,"yyyy-mm")</f>
        <v>2023-10</v>
      </c>
    </row>
    <row r="4017" customFormat="false" ht="15" hidden="false" customHeight="true" outlineLevel="0" collapsed="false">
      <c r="A4017" s="1" t="n">
        <v>4105</v>
      </c>
      <c r="B4017" s="1" t="n">
        <v>2</v>
      </c>
      <c r="C4017" s="1" t="n">
        <v>41</v>
      </c>
      <c r="D4017" s="1" t="s">
        <v>501</v>
      </c>
      <c r="E4017" s="1" t="n">
        <v>7</v>
      </c>
      <c r="F4017" s="1" t="n">
        <v>594.54</v>
      </c>
      <c r="G4017" s="1" t="n">
        <v>0</v>
      </c>
      <c r="H4017" s="1" t="s">
        <v>1336</v>
      </c>
      <c r="I4017" s="1" t="n">
        <v>4161.78</v>
      </c>
      <c r="J4017" s="1" t="str">
        <f aca="false">VLOOKUP(B4017,Customers!$A$2:$G$502,6,FALSE())</f>
        <v>Small Business</v>
      </c>
      <c r="K4017" s="1" t="str">
        <f aca="false">VLOOKUP(C4017,Products!$A$2:$E$62,3,FALSE())</f>
        <v>Software</v>
      </c>
      <c r="L4017" s="1" t="str">
        <f aca="false">TEXT(D4017,"yyyy-mm")</f>
        <v>2023-05</v>
      </c>
    </row>
    <row r="4018" customFormat="false" ht="15" hidden="false" customHeight="true" outlineLevel="0" collapsed="false">
      <c r="A4018" s="1" t="n">
        <v>4106</v>
      </c>
      <c r="B4018" s="1" t="n">
        <v>303</v>
      </c>
      <c r="C4018" s="1" t="n">
        <v>51</v>
      </c>
      <c r="D4018" s="1" t="s">
        <v>479</v>
      </c>
      <c r="E4018" s="1" t="n">
        <v>9</v>
      </c>
      <c r="F4018" s="1" t="n">
        <v>30.16</v>
      </c>
      <c r="G4018" s="1" t="n">
        <v>0.05</v>
      </c>
      <c r="H4018" s="1" t="s">
        <v>1346</v>
      </c>
      <c r="I4018" s="1" t="n">
        <v>257.87</v>
      </c>
      <c r="J4018" s="1" t="str">
        <f aca="false">VLOOKUP(B4018,Customers!$A$2:$G$502,6,FALSE())</f>
        <v>Corporate</v>
      </c>
      <c r="K4018" s="1" t="str">
        <f aca="false">VLOOKUP(C4018,Products!$A$2:$E$62,3,FALSE())</f>
        <v>Software</v>
      </c>
      <c r="L4018" s="1" t="str">
        <f aca="false">TEXT(D4018,"yyyy-mm")</f>
        <v>2024-09</v>
      </c>
    </row>
    <row r="4019" customFormat="false" ht="15" hidden="false" customHeight="true" outlineLevel="0" collapsed="false">
      <c r="A4019" s="1" t="n">
        <v>4107</v>
      </c>
      <c r="B4019" s="1" t="n">
        <v>105</v>
      </c>
      <c r="C4019" s="1" t="n">
        <v>14</v>
      </c>
      <c r="D4019" s="1" t="s">
        <v>117</v>
      </c>
      <c r="E4019" s="1" t="n">
        <v>2</v>
      </c>
      <c r="F4019" s="1" t="n">
        <v>135.27</v>
      </c>
      <c r="G4019" s="1" t="n">
        <v>0.1</v>
      </c>
      <c r="H4019" s="1" t="s">
        <v>1336</v>
      </c>
      <c r="I4019" s="1" t="n">
        <v>243.49</v>
      </c>
      <c r="J4019" s="1" t="str">
        <f aca="false">VLOOKUP(B4019,Customers!$A$2:$G$502,6,FALSE())</f>
        <v>Corporate</v>
      </c>
      <c r="K4019" s="1" t="str">
        <f aca="false">VLOOKUP(C4019,Products!$A$2:$E$62,3,FALSE())</f>
        <v>Electronics</v>
      </c>
      <c r="L4019" s="1" t="str">
        <f aca="false">TEXT(D4019,"yyyy-mm")</f>
        <v>2023-03</v>
      </c>
    </row>
    <row r="4020" customFormat="false" ht="15" hidden="false" customHeight="true" outlineLevel="0" collapsed="false">
      <c r="A4020" s="1" t="n">
        <v>4108</v>
      </c>
      <c r="B4020" s="1" t="n">
        <v>436</v>
      </c>
      <c r="C4020" s="1" t="n">
        <v>24</v>
      </c>
      <c r="D4020" s="1" t="s">
        <v>1644</v>
      </c>
      <c r="E4020" s="1" t="n">
        <v>3</v>
      </c>
      <c r="F4020" s="1" t="n">
        <v>207.34</v>
      </c>
      <c r="G4020" s="1" t="n">
        <v>0</v>
      </c>
      <c r="H4020" s="1" t="s">
        <v>1336</v>
      </c>
      <c r="I4020" s="1" t="n">
        <v>622.02</v>
      </c>
      <c r="J4020" s="1" t="str">
        <f aca="false">VLOOKUP(B4020,Customers!$A$2:$G$502,6,FALSE())</f>
        <v>Corporate</v>
      </c>
      <c r="K4020" s="1" t="str">
        <f aca="false">VLOOKUP(C4020,Products!$A$2:$E$62,3,FALSE())</f>
        <v>Office Supplies</v>
      </c>
      <c r="L4020" s="1" t="str">
        <f aca="false">TEXT(D4020,"yyyy-mm")</f>
        <v>2023-08</v>
      </c>
    </row>
    <row r="4021" customFormat="false" ht="15" hidden="false" customHeight="true" outlineLevel="0" collapsed="false">
      <c r="A4021" s="1" t="n">
        <v>4109</v>
      </c>
      <c r="B4021" s="1" t="n">
        <v>85</v>
      </c>
      <c r="C4021" s="1" t="n">
        <v>40</v>
      </c>
      <c r="D4021" s="1" t="s">
        <v>1495</v>
      </c>
      <c r="E4021" s="1" t="n">
        <v>8</v>
      </c>
      <c r="F4021" s="1" t="n">
        <v>193.02</v>
      </c>
      <c r="G4021" s="1" t="n">
        <v>0</v>
      </c>
      <c r="H4021" s="1" t="s">
        <v>1336</v>
      </c>
      <c r="I4021" s="1" t="n">
        <v>1544.16</v>
      </c>
      <c r="J4021" s="1" t="str">
        <f aca="false">VLOOKUP(B4021,Customers!$A$2:$G$502,6,FALSE())</f>
        <v>Consumer</v>
      </c>
      <c r="K4021" s="1" t="str">
        <f aca="false">VLOOKUP(C4021,Products!$A$2:$E$62,3,FALSE())</f>
        <v>Software</v>
      </c>
      <c r="L4021" s="1" t="str">
        <f aca="false">TEXT(D4021,"yyyy-mm")</f>
        <v>2024-03</v>
      </c>
    </row>
    <row r="4022" customFormat="false" ht="15" hidden="false" customHeight="true" outlineLevel="0" collapsed="false">
      <c r="A4022" s="1" t="n">
        <v>4110</v>
      </c>
      <c r="B4022" s="1" t="n">
        <v>106</v>
      </c>
      <c r="C4022" s="1" t="n">
        <v>51</v>
      </c>
      <c r="D4022" s="1" t="s">
        <v>1602</v>
      </c>
      <c r="E4022" s="1" t="n">
        <v>6</v>
      </c>
      <c r="F4022" s="1" t="n">
        <v>30.16</v>
      </c>
      <c r="G4022" s="1" t="n">
        <v>0</v>
      </c>
      <c r="H4022" s="1" t="s">
        <v>1336</v>
      </c>
      <c r="I4022" s="1" t="n">
        <v>180.96</v>
      </c>
      <c r="J4022" s="1" t="str">
        <f aca="false">VLOOKUP(B4022,Customers!$A$2:$G$502,6,FALSE())</f>
        <v>Small Business</v>
      </c>
      <c r="K4022" s="1" t="str">
        <f aca="false">VLOOKUP(C4022,Products!$A$2:$E$62,3,FALSE())</f>
        <v>Software</v>
      </c>
      <c r="L4022" s="1" t="str">
        <f aca="false">TEXT(D4022,"yyyy-mm")</f>
        <v>2024-10</v>
      </c>
    </row>
    <row r="4023" customFormat="false" ht="15" hidden="false" customHeight="true" outlineLevel="0" collapsed="false">
      <c r="A4023" s="1" t="n">
        <v>4111</v>
      </c>
      <c r="B4023" s="1" t="n">
        <v>365</v>
      </c>
      <c r="C4023" s="1" t="n">
        <v>35</v>
      </c>
      <c r="D4023" s="1" t="s">
        <v>606</v>
      </c>
      <c r="E4023" s="1" t="n">
        <v>9</v>
      </c>
      <c r="F4023" s="1" t="n">
        <v>75.78</v>
      </c>
      <c r="G4023" s="1" t="n">
        <v>0</v>
      </c>
      <c r="H4023" s="1" t="s">
        <v>1336</v>
      </c>
      <c r="I4023" s="1" t="n">
        <v>682.02</v>
      </c>
      <c r="J4023" s="1" t="str">
        <f aca="false">VLOOKUP(B4023,Customers!$A$2:$G$502,6,FALSE())</f>
        <v>Small Business</v>
      </c>
      <c r="K4023" s="1" t="str">
        <f aca="false">VLOOKUP(C4023,Products!$A$2:$E$62,3,FALSE())</f>
        <v>Software</v>
      </c>
      <c r="L4023" s="1" t="str">
        <f aca="false">TEXT(D4023,"yyyy-mm")</f>
        <v>2024-12</v>
      </c>
    </row>
    <row r="4024" customFormat="false" ht="15" hidden="false" customHeight="true" outlineLevel="0" collapsed="false">
      <c r="A4024" s="1" t="n">
        <v>4112</v>
      </c>
      <c r="B4024" s="1" t="n">
        <v>269</v>
      </c>
      <c r="C4024" s="1" t="n">
        <v>33</v>
      </c>
      <c r="D4024" s="1" t="s">
        <v>1395</v>
      </c>
      <c r="E4024" s="1" t="n">
        <v>4</v>
      </c>
      <c r="F4024" s="1" t="n">
        <v>190.1</v>
      </c>
      <c r="G4024" s="1" t="n">
        <v>0.2</v>
      </c>
      <c r="H4024" s="1" t="s">
        <v>1346</v>
      </c>
      <c r="I4024" s="1" t="n">
        <v>608.32</v>
      </c>
      <c r="J4024" s="1" t="str">
        <f aca="false">VLOOKUP(B4024,Customers!$A$2:$G$502,6,FALSE())</f>
        <v>Corporate</v>
      </c>
      <c r="K4024" s="1" t="str">
        <f aca="false">VLOOKUP(C4024,Products!$A$2:$E$62,3,FALSE())</f>
        <v>Office Supplies</v>
      </c>
      <c r="L4024" s="1" t="str">
        <f aca="false">TEXT(D4024,"yyyy-mm")</f>
        <v>2023-04</v>
      </c>
    </row>
    <row r="4025" customFormat="false" ht="15" hidden="false" customHeight="true" outlineLevel="0" collapsed="false">
      <c r="A4025" s="1" t="n">
        <v>4113</v>
      </c>
      <c r="B4025" s="1" t="n">
        <v>477</v>
      </c>
      <c r="C4025" s="1" t="n">
        <v>52</v>
      </c>
      <c r="D4025" s="1" t="s">
        <v>138</v>
      </c>
      <c r="E4025" s="1" t="n">
        <v>8</v>
      </c>
      <c r="F4025" s="1" t="n">
        <v>207.67</v>
      </c>
      <c r="G4025" s="1" t="n">
        <v>0</v>
      </c>
      <c r="H4025" s="1" t="s">
        <v>1336</v>
      </c>
      <c r="I4025" s="1" t="n">
        <v>1661.36</v>
      </c>
      <c r="J4025" s="1" t="str">
        <f aca="false">VLOOKUP(B4025,Customers!$A$2:$G$502,6,FALSE())</f>
        <v>Corporate</v>
      </c>
      <c r="K4025" s="1" t="str">
        <f aca="false">VLOOKUP(C4025,Products!$A$2:$E$62,3,FALSE())</f>
        <v>Software</v>
      </c>
      <c r="L4025" s="1" t="str">
        <f aca="false">TEXT(D4025,"yyyy-mm")</f>
        <v>2023-05</v>
      </c>
    </row>
    <row r="4026" customFormat="false" ht="15" hidden="false" customHeight="true" outlineLevel="0" collapsed="false">
      <c r="A4026" s="1" t="n">
        <v>4114</v>
      </c>
      <c r="B4026" s="1" t="n">
        <v>234</v>
      </c>
      <c r="C4026" s="1" t="n">
        <v>28</v>
      </c>
      <c r="D4026" s="1" t="s">
        <v>59</v>
      </c>
      <c r="E4026" s="1" t="n">
        <v>3</v>
      </c>
      <c r="F4026" s="1" t="n">
        <v>505.23</v>
      </c>
      <c r="G4026" s="1" t="n">
        <v>0.1</v>
      </c>
      <c r="H4026" s="1" t="s">
        <v>1336</v>
      </c>
      <c r="I4026" s="1" t="n">
        <v>1364.12</v>
      </c>
      <c r="J4026" s="1" t="str">
        <f aca="false">VLOOKUP(B4026,Customers!$A$2:$G$502,6,FALSE())</f>
        <v>Small Business</v>
      </c>
      <c r="K4026" s="1" t="str">
        <f aca="false">VLOOKUP(C4026,Products!$A$2:$E$62,3,FALSE())</f>
        <v>Office Supplies</v>
      </c>
      <c r="L4026" s="1" t="str">
        <f aca="false">TEXT(D4026,"yyyy-mm")</f>
        <v>2023-08</v>
      </c>
    </row>
    <row r="4027" customFormat="false" ht="15" hidden="false" customHeight="true" outlineLevel="0" collapsed="false">
      <c r="A4027" s="1" t="n">
        <v>4115</v>
      </c>
      <c r="B4027" s="1" t="n">
        <v>471</v>
      </c>
      <c r="C4027" s="1" t="n">
        <v>14</v>
      </c>
      <c r="D4027" s="1" t="s">
        <v>929</v>
      </c>
      <c r="E4027" s="1" t="n">
        <v>3</v>
      </c>
      <c r="F4027" s="1" t="n">
        <v>135.27</v>
      </c>
      <c r="G4027" s="1" t="n">
        <v>0</v>
      </c>
      <c r="H4027" s="1" t="s">
        <v>1336</v>
      </c>
      <c r="I4027" s="1" t="n">
        <v>405.81</v>
      </c>
      <c r="J4027" s="1" t="str">
        <f aca="false">VLOOKUP(B4027,Customers!$A$2:$G$502,6,FALSE())</f>
        <v>Small Business</v>
      </c>
      <c r="K4027" s="1" t="str">
        <f aca="false">VLOOKUP(C4027,Products!$A$2:$E$62,3,FALSE())</f>
        <v>Electronics</v>
      </c>
      <c r="L4027" s="1" t="str">
        <f aca="false">TEXT(D4027,"yyyy-mm")</f>
        <v>2023-08</v>
      </c>
    </row>
    <row r="4028" customFormat="false" ht="15" hidden="false" customHeight="true" outlineLevel="0" collapsed="false">
      <c r="A4028" s="1" t="n">
        <v>4116</v>
      </c>
      <c r="B4028" s="1" t="n">
        <v>286</v>
      </c>
      <c r="C4028" s="1" t="n">
        <v>3</v>
      </c>
      <c r="D4028" s="1" t="s">
        <v>1457</v>
      </c>
      <c r="E4028" s="1" t="n">
        <v>8</v>
      </c>
      <c r="F4028" s="1" t="n">
        <v>89.39</v>
      </c>
      <c r="G4028" s="1" t="n">
        <v>0</v>
      </c>
      <c r="H4028" s="1" t="s">
        <v>1336</v>
      </c>
      <c r="I4028" s="1" t="n">
        <v>715.12</v>
      </c>
      <c r="J4028" s="1" t="str">
        <f aca="false">VLOOKUP(B4028,Customers!$A$2:$G$502,6,FALSE())</f>
        <v>Corporate</v>
      </c>
      <c r="K4028" s="1" t="str">
        <f aca="false">VLOOKUP(C4028,Products!$A$2:$E$62,3,FALSE())</f>
        <v>Electronics</v>
      </c>
      <c r="L4028" s="1" t="str">
        <f aca="false">TEXT(D4028,"yyyy-mm")</f>
        <v>2024-03</v>
      </c>
    </row>
    <row r="4029" customFormat="false" ht="15" hidden="false" customHeight="true" outlineLevel="0" collapsed="false">
      <c r="A4029" s="1" t="n">
        <v>4117</v>
      </c>
      <c r="B4029" s="1" t="n">
        <v>483</v>
      </c>
      <c r="C4029" s="1" t="n">
        <v>57</v>
      </c>
      <c r="D4029" s="1" t="s">
        <v>1589</v>
      </c>
      <c r="E4029" s="1" t="n">
        <v>5</v>
      </c>
      <c r="F4029" s="1" t="n">
        <v>719.76</v>
      </c>
      <c r="G4029" s="1" t="n">
        <v>0</v>
      </c>
      <c r="H4029" s="1" t="s">
        <v>1336</v>
      </c>
      <c r="I4029" s="1" t="n">
        <v>3598.8</v>
      </c>
      <c r="J4029" s="1" t="str">
        <f aca="false">VLOOKUP(B4029,Customers!$A$2:$G$502,6,FALSE())</f>
        <v>Small Business</v>
      </c>
      <c r="K4029" s="1" t="str">
        <f aca="false">VLOOKUP(C4029,Products!$A$2:$E$62,3,FALSE())</f>
        <v>Furniture</v>
      </c>
      <c r="L4029" s="1" t="str">
        <f aca="false">TEXT(D4029,"yyyy-mm")</f>
        <v>2024-06</v>
      </c>
    </row>
    <row r="4030" customFormat="false" ht="15" hidden="false" customHeight="true" outlineLevel="0" collapsed="false">
      <c r="A4030" s="1" t="n">
        <v>4118</v>
      </c>
      <c r="B4030" s="1" t="n">
        <v>440</v>
      </c>
      <c r="C4030" s="1" t="n">
        <v>32</v>
      </c>
      <c r="D4030" s="1" t="s">
        <v>429</v>
      </c>
      <c r="E4030" s="1" t="n">
        <v>3</v>
      </c>
      <c r="F4030" s="1" t="n">
        <v>492.27</v>
      </c>
      <c r="G4030" s="1" t="n">
        <v>0</v>
      </c>
      <c r="H4030" s="1" t="s">
        <v>1336</v>
      </c>
      <c r="I4030" s="1" t="n">
        <v>1476.81</v>
      </c>
      <c r="J4030" s="1" t="str">
        <f aca="false">VLOOKUP(B4030,Customers!$A$2:$G$502,6,FALSE())</f>
        <v>Small Business</v>
      </c>
      <c r="K4030" s="1" t="str">
        <f aca="false">VLOOKUP(C4030,Products!$A$2:$E$62,3,FALSE())</f>
        <v>Office Supplies</v>
      </c>
      <c r="L4030" s="1" t="str">
        <f aca="false">TEXT(D4030,"yyyy-mm")</f>
        <v>2023-09</v>
      </c>
    </row>
    <row r="4031" customFormat="false" ht="15" hidden="false" customHeight="true" outlineLevel="0" collapsed="false">
      <c r="A4031" s="1" t="n">
        <v>4119</v>
      </c>
      <c r="B4031" s="1" t="n">
        <v>391</v>
      </c>
      <c r="C4031" s="1" t="n">
        <v>23</v>
      </c>
      <c r="D4031" s="1" t="s">
        <v>594</v>
      </c>
      <c r="E4031" s="1" t="n">
        <v>1</v>
      </c>
      <c r="F4031" s="1" t="n">
        <v>188.73</v>
      </c>
      <c r="G4031" s="1" t="n">
        <v>0</v>
      </c>
      <c r="H4031" s="1" t="s">
        <v>1336</v>
      </c>
      <c r="I4031" s="1" t="n">
        <v>188.73</v>
      </c>
      <c r="J4031" s="1" t="str">
        <f aca="false">VLOOKUP(B4031,Customers!$A$2:$G$502,6,FALSE())</f>
        <v>Small Business</v>
      </c>
      <c r="K4031" s="1" t="str">
        <f aca="false">VLOOKUP(C4031,Products!$A$2:$E$62,3,FALSE())</f>
        <v>Office Supplies</v>
      </c>
      <c r="L4031" s="1" t="str">
        <f aca="false">TEXT(D4031,"yyyy-mm")</f>
        <v>2024-02</v>
      </c>
    </row>
    <row r="4032" customFormat="false" ht="15" hidden="false" customHeight="true" outlineLevel="0" collapsed="false">
      <c r="A4032" s="1" t="n">
        <v>4120</v>
      </c>
      <c r="B4032" s="1" t="n">
        <v>83</v>
      </c>
      <c r="C4032" s="1" t="n">
        <v>55</v>
      </c>
      <c r="D4032" s="1" t="s">
        <v>300</v>
      </c>
      <c r="E4032" s="1" t="n">
        <v>3</v>
      </c>
      <c r="F4032" s="1" t="n">
        <v>123.38</v>
      </c>
      <c r="G4032" s="1" t="n">
        <v>0.2</v>
      </c>
      <c r="H4032" s="1" t="s">
        <v>1336</v>
      </c>
      <c r="I4032" s="1" t="n">
        <v>296.11</v>
      </c>
      <c r="J4032" s="1" t="str">
        <f aca="false">VLOOKUP(B4032,Customers!$A$2:$G$502,6,FALSE())</f>
        <v>Corporate</v>
      </c>
      <c r="K4032" s="1" t="str">
        <f aca="false">VLOOKUP(C4032,Products!$A$2:$E$62,3,FALSE())</f>
        <v>Furniture</v>
      </c>
      <c r="L4032" s="1" t="str">
        <f aca="false">TEXT(D4032,"yyyy-mm")</f>
        <v>2024-07</v>
      </c>
    </row>
    <row r="4033" customFormat="false" ht="15" hidden="false" customHeight="true" outlineLevel="0" collapsed="false">
      <c r="A4033" s="1" t="n">
        <v>4121</v>
      </c>
      <c r="B4033" s="1" t="n">
        <v>276</v>
      </c>
      <c r="C4033" s="1" t="n">
        <v>9</v>
      </c>
      <c r="D4033" s="1" t="s">
        <v>1519</v>
      </c>
      <c r="E4033" s="1" t="n">
        <v>9</v>
      </c>
      <c r="F4033" s="1" t="n">
        <v>203.1</v>
      </c>
      <c r="G4033" s="1" t="n">
        <v>0.1</v>
      </c>
      <c r="H4033" s="1" t="s">
        <v>1336</v>
      </c>
      <c r="I4033" s="1" t="n">
        <v>1645.11</v>
      </c>
      <c r="J4033" s="1" t="str">
        <f aca="false">VLOOKUP(B4033,Customers!$A$2:$G$502,6,FALSE())</f>
        <v>Corporate</v>
      </c>
      <c r="K4033" s="1" t="str">
        <f aca="false">VLOOKUP(C4033,Products!$A$2:$E$62,3,FALSE())</f>
        <v>Electronics</v>
      </c>
      <c r="L4033" s="1" t="str">
        <f aca="false">TEXT(D4033,"yyyy-mm")</f>
        <v>2023-05</v>
      </c>
    </row>
    <row r="4034" customFormat="false" ht="15" hidden="false" customHeight="true" outlineLevel="0" collapsed="false">
      <c r="A4034" s="1" t="n">
        <v>4122</v>
      </c>
      <c r="B4034" s="1" t="n">
        <v>491</v>
      </c>
      <c r="C4034" s="1" t="n">
        <v>35</v>
      </c>
      <c r="D4034" s="1" t="s">
        <v>560</v>
      </c>
      <c r="E4034" s="1" t="n">
        <v>5</v>
      </c>
      <c r="F4034" s="1" t="n">
        <v>75.78</v>
      </c>
      <c r="G4034" s="1" t="n">
        <v>0.05</v>
      </c>
      <c r="H4034" s="1" t="s">
        <v>1336</v>
      </c>
      <c r="I4034" s="1" t="n">
        <v>359.96</v>
      </c>
      <c r="J4034" s="1" t="str">
        <f aca="false">VLOOKUP(B4034,Customers!$A$2:$G$502,6,FALSE())</f>
        <v>Small Business</v>
      </c>
      <c r="K4034" s="1" t="str">
        <f aca="false">VLOOKUP(C4034,Products!$A$2:$E$62,3,FALSE())</f>
        <v>Software</v>
      </c>
      <c r="L4034" s="1" t="str">
        <f aca="false">TEXT(D4034,"yyyy-mm")</f>
        <v>2023-06</v>
      </c>
    </row>
    <row r="4035" customFormat="false" ht="15" hidden="false" customHeight="true" outlineLevel="0" collapsed="false">
      <c r="A4035" s="1" t="n">
        <v>4123</v>
      </c>
      <c r="B4035" s="1" t="n">
        <v>363</v>
      </c>
      <c r="C4035" s="1" t="n">
        <v>51</v>
      </c>
      <c r="D4035" s="1" t="s">
        <v>419</v>
      </c>
      <c r="E4035" s="1" t="n">
        <v>2</v>
      </c>
      <c r="F4035" s="1" t="n">
        <v>30.16</v>
      </c>
      <c r="G4035" s="1" t="n">
        <v>0.1</v>
      </c>
      <c r="H4035" s="1" t="s">
        <v>1336</v>
      </c>
      <c r="I4035" s="1" t="n">
        <v>54.29</v>
      </c>
      <c r="J4035" s="1" t="str">
        <f aca="false">VLOOKUP(B4035,Customers!$A$2:$G$502,6,FALSE())</f>
        <v>Small Business</v>
      </c>
      <c r="K4035" s="1" t="str">
        <f aca="false">VLOOKUP(C4035,Products!$A$2:$E$62,3,FALSE())</f>
        <v>Software</v>
      </c>
      <c r="L4035" s="1" t="str">
        <f aca="false">TEXT(D4035,"yyyy-mm")</f>
        <v>2023-08</v>
      </c>
    </row>
    <row r="4036" customFormat="false" ht="15" hidden="false" customHeight="true" outlineLevel="0" collapsed="false">
      <c r="A4036" s="1" t="n">
        <v>4124</v>
      </c>
      <c r="B4036" s="1" t="n">
        <v>185</v>
      </c>
      <c r="C4036" s="1" t="n">
        <v>42</v>
      </c>
      <c r="D4036" s="1" t="s">
        <v>1492</v>
      </c>
      <c r="E4036" s="1" t="n">
        <v>7</v>
      </c>
      <c r="F4036" s="1" t="n">
        <v>174.48</v>
      </c>
      <c r="G4036" s="1" t="n">
        <v>0.2</v>
      </c>
      <c r="H4036" s="1" t="s">
        <v>1336</v>
      </c>
      <c r="I4036" s="1" t="n">
        <v>977.09</v>
      </c>
      <c r="J4036" s="1" t="str">
        <f aca="false">VLOOKUP(B4036,Customers!$A$2:$G$502,6,FALSE())</f>
        <v>Consumer</v>
      </c>
      <c r="K4036" s="1" t="str">
        <f aca="false">VLOOKUP(C4036,Products!$A$2:$E$62,3,FALSE())</f>
        <v>Software</v>
      </c>
      <c r="L4036" s="1" t="str">
        <f aca="false">TEXT(D4036,"yyyy-mm")</f>
        <v>2024-08</v>
      </c>
    </row>
    <row r="4037" customFormat="false" ht="15" hidden="false" customHeight="true" outlineLevel="0" collapsed="false">
      <c r="A4037" s="1" t="n">
        <v>4125</v>
      </c>
      <c r="B4037" s="1" t="n">
        <v>206</v>
      </c>
      <c r="C4037" s="1" t="n">
        <v>43</v>
      </c>
      <c r="D4037" s="1" t="s">
        <v>701</v>
      </c>
      <c r="E4037" s="1" t="n">
        <v>2</v>
      </c>
      <c r="F4037" s="1" t="n">
        <v>186.31</v>
      </c>
      <c r="G4037" s="1" t="n">
        <v>0</v>
      </c>
      <c r="H4037" s="1" t="s">
        <v>1346</v>
      </c>
      <c r="I4037" s="1" t="n">
        <v>372.62</v>
      </c>
      <c r="J4037" s="1" t="str">
        <f aca="false">VLOOKUP(B4037,Customers!$A$2:$G$502,6,FALSE())</f>
        <v>Small Business</v>
      </c>
      <c r="K4037" s="1" t="str">
        <f aca="false">VLOOKUP(C4037,Products!$A$2:$E$62,3,FALSE())</f>
        <v>Software</v>
      </c>
      <c r="L4037" s="1" t="str">
        <f aca="false">TEXT(D4037,"yyyy-mm")</f>
        <v>2024-02</v>
      </c>
    </row>
    <row r="4038" customFormat="false" ht="15" hidden="false" customHeight="true" outlineLevel="0" collapsed="false">
      <c r="A4038" s="1" t="n">
        <v>4126</v>
      </c>
      <c r="B4038" s="1" t="n">
        <v>104</v>
      </c>
      <c r="C4038" s="1" t="n">
        <v>17</v>
      </c>
      <c r="D4038" s="1" t="s">
        <v>1471</v>
      </c>
      <c r="E4038" s="1" t="n">
        <v>4</v>
      </c>
      <c r="F4038" s="1" t="n">
        <v>65.61</v>
      </c>
      <c r="G4038" s="1" t="n">
        <v>0</v>
      </c>
      <c r="H4038" s="1" t="s">
        <v>1336</v>
      </c>
      <c r="I4038" s="1" t="n">
        <v>262.44</v>
      </c>
      <c r="J4038" s="1" t="str">
        <f aca="false">VLOOKUP(B4038,Customers!$A$2:$G$502,6,FALSE())</f>
        <v>Corporate</v>
      </c>
      <c r="K4038" s="1" t="str">
        <f aca="false">VLOOKUP(C4038,Products!$A$2:$E$62,3,FALSE())</f>
        <v>Electronics</v>
      </c>
      <c r="L4038" s="1" t="str">
        <f aca="false">TEXT(D4038,"yyyy-mm")</f>
        <v>2024-10</v>
      </c>
    </row>
    <row r="4039" customFormat="false" ht="15" hidden="false" customHeight="true" outlineLevel="0" collapsed="false">
      <c r="A4039" s="1" t="n">
        <v>4127</v>
      </c>
      <c r="B4039" s="1" t="n">
        <v>450</v>
      </c>
      <c r="C4039" s="1" t="n">
        <v>36</v>
      </c>
      <c r="D4039" s="1" t="s">
        <v>286</v>
      </c>
      <c r="E4039" s="1" t="n">
        <v>7</v>
      </c>
      <c r="F4039" s="1" t="n">
        <v>424.45</v>
      </c>
      <c r="G4039" s="1" t="n">
        <v>0</v>
      </c>
      <c r="H4039" s="1" t="s">
        <v>1370</v>
      </c>
      <c r="I4039" s="1" t="n">
        <v>2971.15</v>
      </c>
      <c r="J4039" s="1" t="str">
        <f aca="false">VLOOKUP(B4039,Customers!$A$2:$G$502,6,FALSE())</f>
        <v>Consumer</v>
      </c>
      <c r="K4039" s="1" t="str">
        <f aca="false">VLOOKUP(C4039,Products!$A$2:$E$62,3,FALSE())</f>
        <v>Software</v>
      </c>
      <c r="L4039" s="1" t="str">
        <f aca="false">TEXT(D4039,"yyyy-mm")</f>
        <v>2023-04</v>
      </c>
    </row>
    <row r="4040" customFormat="false" ht="15" hidden="false" customHeight="true" outlineLevel="0" collapsed="false">
      <c r="A4040" s="1" t="n">
        <v>4128</v>
      </c>
      <c r="B4040" s="1" t="n">
        <v>180</v>
      </c>
      <c r="C4040" s="1" t="n">
        <v>7</v>
      </c>
      <c r="D4040" s="1" t="s">
        <v>565</v>
      </c>
      <c r="E4040" s="1" t="n">
        <v>4</v>
      </c>
      <c r="F4040" s="1" t="n">
        <v>460</v>
      </c>
      <c r="G4040" s="1" t="n">
        <v>0</v>
      </c>
      <c r="H4040" s="1" t="s">
        <v>1336</v>
      </c>
      <c r="I4040" s="1" t="n">
        <v>1840</v>
      </c>
      <c r="J4040" s="1" t="str">
        <f aca="false">VLOOKUP(B4040,Customers!$A$2:$G$502,6,FALSE())</f>
        <v>Consumer</v>
      </c>
      <c r="K4040" s="1" t="str">
        <f aca="false">VLOOKUP(C4040,Products!$A$2:$E$62,3,FALSE())</f>
        <v>Electronics</v>
      </c>
      <c r="L4040" s="1" t="str">
        <f aca="false">TEXT(D4040,"yyyy-mm")</f>
        <v>2023-06</v>
      </c>
    </row>
    <row r="4041" customFormat="false" ht="15" hidden="false" customHeight="true" outlineLevel="0" collapsed="false">
      <c r="A4041" s="1" t="n">
        <v>4129</v>
      </c>
      <c r="B4041" s="1" t="n">
        <v>286</v>
      </c>
      <c r="C4041" s="1" t="n">
        <v>44</v>
      </c>
      <c r="D4041" s="1" t="s">
        <v>1667</v>
      </c>
      <c r="E4041" s="1" t="n">
        <v>7</v>
      </c>
      <c r="F4041" s="1" t="n">
        <v>508.26</v>
      </c>
      <c r="G4041" s="1" t="n">
        <v>0.05</v>
      </c>
      <c r="H4041" s="1" t="s">
        <v>1336</v>
      </c>
      <c r="I4041" s="1" t="n">
        <v>3379.93</v>
      </c>
      <c r="J4041" s="1" t="str">
        <f aca="false">VLOOKUP(B4041,Customers!$A$2:$G$502,6,FALSE())</f>
        <v>Corporate</v>
      </c>
      <c r="K4041" s="1" t="str">
        <f aca="false">VLOOKUP(C4041,Products!$A$2:$E$62,3,FALSE())</f>
        <v>Software</v>
      </c>
      <c r="L4041" s="1" t="str">
        <f aca="false">TEXT(D4041,"yyyy-mm")</f>
        <v>2023-04</v>
      </c>
    </row>
    <row r="4042" customFormat="false" ht="15" hidden="false" customHeight="true" outlineLevel="0" collapsed="false">
      <c r="A4042" s="1" t="n">
        <v>4130</v>
      </c>
      <c r="B4042" s="1" t="n">
        <v>116</v>
      </c>
      <c r="C4042" s="1" t="n">
        <v>51</v>
      </c>
      <c r="D4042" s="1" t="s">
        <v>1208</v>
      </c>
      <c r="E4042" s="1" t="n">
        <v>7</v>
      </c>
      <c r="F4042" s="1" t="n">
        <v>30.16</v>
      </c>
      <c r="G4042" s="1" t="n">
        <v>0</v>
      </c>
      <c r="H4042" s="1" t="s">
        <v>1336</v>
      </c>
      <c r="I4042" s="1" t="n">
        <v>211.12</v>
      </c>
      <c r="J4042" s="1" t="str">
        <f aca="false">VLOOKUP(B4042,Customers!$A$2:$G$502,6,FALSE())</f>
        <v>Corporate</v>
      </c>
      <c r="K4042" s="1" t="str">
        <f aca="false">VLOOKUP(C4042,Products!$A$2:$E$62,3,FALSE())</f>
        <v>Software</v>
      </c>
      <c r="L4042" s="1" t="str">
        <f aca="false">TEXT(D4042,"yyyy-mm")</f>
        <v>2024-01</v>
      </c>
    </row>
    <row r="4043" customFormat="false" ht="15" hidden="false" customHeight="true" outlineLevel="0" collapsed="false">
      <c r="A4043" s="1" t="n">
        <v>4131</v>
      </c>
      <c r="B4043" s="1" t="n">
        <v>174</v>
      </c>
      <c r="C4043" s="1" t="n">
        <v>38</v>
      </c>
      <c r="D4043" s="1" t="s">
        <v>411</v>
      </c>
      <c r="E4043" s="1" t="n">
        <v>1</v>
      </c>
      <c r="F4043" s="1" t="n">
        <v>521.63</v>
      </c>
      <c r="G4043" s="1" t="n">
        <v>0</v>
      </c>
      <c r="H4043" s="1" t="s">
        <v>1336</v>
      </c>
      <c r="I4043" s="1" t="n">
        <v>521.63</v>
      </c>
      <c r="J4043" s="1" t="str">
        <f aca="false">VLOOKUP(B4043,Customers!$A$2:$G$502,6,FALSE())</f>
        <v>Small Business</v>
      </c>
      <c r="K4043" s="1" t="str">
        <f aca="false">VLOOKUP(C4043,Products!$A$2:$E$62,3,FALSE())</f>
        <v>Software</v>
      </c>
      <c r="L4043" s="1" t="str">
        <f aca="false">TEXT(D4043,"yyyy-mm")</f>
        <v>2023-12</v>
      </c>
    </row>
    <row r="4044" customFormat="false" ht="15" hidden="false" customHeight="true" outlineLevel="0" collapsed="false">
      <c r="A4044" s="1" t="n">
        <v>4132</v>
      </c>
      <c r="B4044" s="1" t="n">
        <v>294</v>
      </c>
      <c r="C4044" s="1" t="n">
        <v>60</v>
      </c>
      <c r="D4044" s="1" t="s">
        <v>1628</v>
      </c>
      <c r="E4044" s="1" t="n">
        <v>6</v>
      </c>
      <c r="F4044" s="1" t="n">
        <v>584.98</v>
      </c>
      <c r="G4044" s="1" t="n">
        <v>0</v>
      </c>
      <c r="H4044" s="1" t="s">
        <v>1336</v>
      </c>
      <c r="I4044" s="1" t="n">
        <v>3509.88</v>
      </c>
      <c r="J4044" s="1" t="str">
        <f aca="false">VLOOKUP(B4044,Customers!$A$2:$G$502,6,FALSE())</f>
        <v>Consumer</v>
      </c>
      <c r="K4044" s="1" t="str">
        <f aca="false">VLOOKUP(C4044,Products!$A$2:$E$62,3,FALSE())</f>
        <v>Furniture</v>
      </c>
      <c r="L4044" s="1" t="str">
        <f aca="false">TEXT(D4044,"yyyy-mm")</f>
        <v>2023-09</v>
      </c>
    </row>
    <row r="4045" customFormat="false" ht="15" hidden="false" customHeight="true" outlineLevel="0" collapsed="false">
      <c r="A4045" s="1" t="n">
        <v>4133</v>
      </c>
      <c r="B4045" s="1" t="n">
        <v>54</v>
      </c>
      <c r="C4045" s="1" t="n">
        <v>14</v>
      </c>
      <c r="D4045" s="1" t="s">
        <v>322</v>
      </c>
      <c r="E4045" s="1" t="n">
        <v>9</v>
      </c>
      <c r="F4045" s="1" t="n">
        <v>135.27</v>
      </c>
      <c r="G4045" s="1" t="n">
        <v>0</v>
      </c>
      <c r="H4045" s="1" t="s">
        <v>1346</v>
      </c>
      <c r="I4045" s="1" t="n">
        <v>1217.43</v>
      </c>
      <c r="J4045" s="1" t="str">
        <f aca="false">VLOOKUP(B4045,Customers!$A$2:$G$502,6,FALSE())</f>
        <v>Consumer</v>
      </c>
      <c r="K4045" s="1" t="str">
        <f aca="false">VLOOKUP(C4045,Products!$A$2:$E$62,3,FALSE())</f>
        <v>Electronics</v>
      </c>
      <c r="L4045" s="1" t="str">
        <f aca="false">TEXT(D4045,"yyyy-mm")</f>
        <v>2024-02</v>
      </c>
    </row>
    <row r="4046" customFormat="false" ht="15" hidden="false" customHeight="true" outlineLevel="0" collapsed="false">
      <c r="A4046" s="1" t="n">
        <v>4134</v>
      </c>
      <c r="B4046" s="1" t="n">
        <v>205</v>
      </c>
      <c r="C4046" s="1" t="n">
        <v>30</v>
      </c>
      <c r="D4046" s="1" t="s">
        <v>1390</v>
      </c>
      <c r="E4046" s="1" t="n">
        <v>2</v>
      </c>
      <c r="F4046" s="1" t="n">
        <v>33.32</v>
      </c>
      <c r="G4046" s="1" t="n">
        <v>0.1</v>
      </c>
      <c r="H4046" s="1" t="s">
        <v>1336</v>
      </c>
      <c r="I4046" s="1" t="n">
        <v>59.98</v>
      </c>
      <c r="J4046" s="1" t="str">
        <f aca="false">VLOOKUP(B4046,Customers!$A$2:$G$502,6,FALSE())</f>
        <v>Corporate</v>
      </c>
      <c r="K4046" s="1" t="str">
        <f aca="false">VLOOKUP(C4046,Products!$A$2:$E$62,3,FALSE())</f>
        <v>Office Supplies</v>
      </c>
      <c r="L4046" s="1" t="str">
        <f aca="false">TEXT(D4046,"yyyy-mm")</f>
        <v>2024-03</v>
      </c>
    </row>
    <row r="4047" customFormat="false" ht="15" hidden="false" customHeight="true" outlineLevel="0" collapsed="false">
      <c r="A4047" s="1" t="n">
        <v>4135</v>
      </c>
      <c r="B4047" s="1" t="n">
        <v>287</v>
      </c>
      <c r="C4047" s="1" t="n">
        <v>28</v>
      </c>
      <c r="D4047" s="1" t="s">
        <v>1337</v>
      </c>
      <c r="E4047" s="1" t="n">
        <v>3</v>
      </c>
      <c r="F4047" s="1" t="n">
        <v>505.23</v>
      </c>
      <c r="G4047" s="1" t="n">
        <v>0</v>
      </c>
      <c r="H4047" s="1" t="s">
        <v>1336</v>
      </c>
      <c r="I4047" s="1" t="n">
        <v>1515.69</v>
      </c>
      <c r="J4047" s="1" t="str">
        <f aca="false">VLOOKUP(B4047,Customers!$A$2:$G$502,6,FALSE())</f>
        <v>Corporate</v>
      </c>
      <c r="K4047" s="1" t="str">
        <f aca="false">VLOOKUP(C4047,Products!$A$2:$E$62,3,FALSE())</f>
        <v>Office Supplies</v>
      </c>
      <c r="L4047" s="1" t="str">
        <f aca="false">TEXT(D4047,"yyyy-mm")</f>
        <v>2023-03</v>
      </c>
    </row>
    <row r="4048" customFormat="false" ht="15" hidden="false" customHeight="true" outlineLevel="0" collapsed="false">
      <c r="A4048" s="1" t="n">
        <v>4136</v>
      </c>
      <c r="B4048" s="1" t="n">
        <v>38</v>
      </c>
      <c r="C4048" s="1" t="n">
        <v>38</v>
      </c>
      <c r="D4048" s="1" t="s">
        <v>1686</v>
      </c>
      <c r="E4048" s="1" t="n">
        <v>5</v>
      </c>
      <c r="F4048" s="1" t="n">
        <v>521.63</v>
      </c>
      <c r="G4048" s="1" t="n">
        <v>0</v>
      </c>
      <c r="H4048" s="1" t="s">
        <v>1336</v>
      </c>
      <c r="I4048" s="1" t="n">
        <v>2608.15</v>
      </c>
      <c r="J4048" s="1" t="str">
        <f aca="false">VLOOKUP(B4048,Customers!$A$2:$G$502,6,FALSE())</f>
        <v>Small Business</v>
      </c>
      <c r="K4048" s="1" t="str">
        <f aca="false">VLOOKUP(C4048,Products!$A$2:$E$62,3,FALSE())</f>
        <v>Software</v>
      </c>
      <c r="L4048" s="1" t="str">
        <f aca="false">TEXT(D4048,"yyyy-mm")</f>
        <v>2023-12</v>
      </c>
    </row>
    <row r="4049" customFormat="false" ht="15" hidden="false" customHeight="true" outlineLevel="0" collapsed="false">
      <c r="A4049" s="1" t="n">
        <v>4137</v>
      </c>
      <c r="B4049" s="1" t="n">
        <v>279</v>
      </c>
      <c r="C4049" s="1" t="n">
        <v>52</v>
      </c>
      <c r="D4049" s="1" t="s">
        <v>269</v>
      </c>
      <c r="E4049" s="1" t="n">
        <v>9</v>
      </c>
      <c r="F4049" s="1" t="n">
        <v>207.67</v>
      </c>
      <c r="G4049" s="1" t="n">
        <v>0</v>
      </c>
      <c r="H4049" s="1" t="s">
        <v>1336</v>
      </c>
      <c r="I4049" s="1" t="n">
        <v>1869.03</v>
      </c>
      <c r="J4049" s="1" t="str">
        <f aca="false">VLOOKUP(B4049,Customers!$A$2:$G$502,6,FALSE())</f>
        <v>Unknown</v>
      </c>
      <c r="K4049" s="1" t="str">
        <f aca="false">VLOOKUP(C4049,Products!$A$2:$E$62,3,FALSE())</f>
        <v>Software</v>
      </c>
      <c r="L4049" s="1" t="str">
        <f aca="false">TEXT(D4049,"yyyy-mm")</f>
        <v>2023-11</v>
      </c>
    </row>
    <row r="4050" customFormat="false" ht="15" hidden="false" customHeight="true" outlineLevel="0" collapsed="false">
      <c r="A4050" s="1" t="n">
        <v>4138</v>
      </c>
      <c r="B4050" s="1" t="n">
        <v>311</v>
      </c>
      <c r="C4050" s="1" t="n">
        <v>1</v>
      </c>
      <c r="D4050" s="1" t="s">
        <v>533</v>
      </c>
      <c r="E4050" s="1" t="n">
        <v>4</v>
      </c>
      <c r="F4050" s="1" t="n">
        <v>327.32</v>
      </c>
      <c r="G4050" s="1" t="n">
        <v>0.2</v>
      </c>
      <c r="H4050" s="1" t="s">
        <v>1336</v>
      </c>
      <c r="I4050" s="1" t="n">
        <v>1047.42</v>
      </c>
      <c r="J4050" s="1" t="str">
        <f aca="false">VLOOKUP(B4050,Customers!$A$2:$G$502,6,FALSE())</f>
        <v>Consumer</v>
      </c>
      <c r="K4050" s="1" t="str">
        <f aca="false">VLOOKUP(C4050,Products!$A$2:$E$62,3,FALSE())</f>
        <v>Electronics</v>
      </c>
      <c r="L4050" s="1" t="str">
        <f aca="false">TEXT(D4050,"yyyy-mm")</f>
        <v>2024-11</v>
      </c>
    </row>
    <row r="4051" customFormat="false" ht="15" hidden="false" customHeight="true" outlineLevel="0" collapsed="false">
      <c r="A4051" s="1" t="n">
        <v>4140</v>
      </c>
      <c r="B4051" s="1" t="n">
        <v>145</v>
      </c>
      <c r="C4051" s="1" t="n">
        <v>12</v>
      </c>
      <c r="D4051" s="1" t="s">
        <v>1673</v>
      </c>
      <c r="E4051" s="1" t="n">
        <v>4</v>
      </c>
      <c r="F4051" s="1" t="n">
        <v>179.23</v>
      </c>
      <c r="G4051" s="1" t="n">
        <v>0.05</v>
      </c>
      <c r="H4051" s="1" t="s">
        <v>1370</v>
      </c>
      <c r="I4051" s="1" t="n">
        <v>681.07</v>
      </c>
      <c r="J4051" s="1" t="str">
        <f aca="false">VLOOKUP(B4051,Customers!$A$2:$G$502,6,FALSE())</f>
        <v>Corporate</v>
      </c>
      <c r="K4051" s="1" t="str">
        <f aca="false">VLOOKUP(C4051,Products!$A$2:$E$62,3,FALSE())</f>
        <v>Electronics</v>
      </c>
      <c r="L4051" s="1" t="str">
        <f aca="false">TEXT(D4051,"yyyy-mm")</f>
        <v>2023-07</v>
      </c>
    </row>
    <row r="4052" customFormat="false" ht="15" hidden="false" customHeight="true" outlineLevel="0" collapsed="false">
      <c r="A4052" s="1" t="n">
        <v>4141</v>
      </c>
      <c r="B4052" s="1" t="n">
        <v>300</v>
      </c>
      <c r="C4052" s="1" t="n">
        <v>39</v>
      </c>
      <c r="D4052" s="1" t="s">
        <v>1136</v>
      </c>
      <c r="E4052" s="1" t="n">
        <v>6</v>
      </c>
      <c r="F4052" s="1" t="n">
        <v>400.02</v>
      </c>
      <c r="G4052" s="1" t="n">
        <v>0</v>
      </c>
      <c r="H4052" s="1" t="s">
        <v>1336</v>
      </c>
      <c r="I4052" s="1" t="n">
        <v>2400.12</v>
      </c>
      <c r="J4052" s="1" t="str">
        <f aca="false">VLOOKUP(B4052,Customers!$A$2:$G$502,6,FALSE())</f>
        <v>Consumer</v>
      </c>
      <c r="K4052" s="1" t="str">
        <f aca="false">VLOOKUP(C4052,Products!$A$2:$E$62,3,FALSE())</f>
        <v>Software</v>
      </c>
      <c r="L4052" s="1" t="str">
        <f aca="false">TEXT(D4052,"yyyy-mm")</f>
        <v>2023-01</v>
      </c>
    </row>
    <row r="4053" customFormat="false" ht="15" hidden="false" customHeight="true" outlineLevel="0" collapsed="false">
      <c r="A4053" s="1" t="n">
        <v>4142</v>
      </c>
      <c r="B4053" s="1" t="n">
        <v>479</v>
      </c>
      <c r="C4053" s="1" t="n">
        <v>25</v>
      </c>
      <c r="D4053" s="1" t="s">
        <v>1694</v>
      </c>
      <c r="E4053" s="1" t="n">
        <v>5</v>
      </c>
      <c r="F4053" s="1" t="n">
        <v>300.49</v>
      </c>
      <c r="G4053" s="1" t="n">
        <v>0.2</v>
      </c>
      <c r="H4053" s="1" t="s">
        <v>1336</v>
      </c>
      <c r="I4053" s="1" t="n">
        <v>1201.96</v>
      </c>
      <c r="J4053" s="1" t="str">
        <f aca="false">VLOOKUP(B4053,Customers!$A$2:$G$502,6,FALSE())</f>
        <v>Small Business</v>
      </c>
      <c r="K4053" s="1" t="str">
        <f aca="false">VLOOKUP(C4053,Products!$A$2:$E$62,3,FALSE())</f>
        <v>Office Supplies</v>
      </c>
      <c r="L4053" s="1" t="str">
        <f aca="false">TEXT(D4053,"yyyy-mm")</f>
        <v>2023-09</v>
      </c>
    </row>
    <row r="4054" customFormat="false" ht="15" hidden="false" customHeight="true" outlineLevel="0" collapsed="false">
      <c r="A4054" s="1" t="n">
        <v>4143</v>
      </c>
      <c r="B4054" s="1" t="n">
        <v>410</v>
      </c>
      <c r="C4054" s="1" t="n">
        <v>43</v>
      </c>
      <c r="D4054" s="1" t="s">
        <v>1616</v>
      </c>
      <c r="E4054" s="1" t="n">
        <v>1</v>
      </c>
      <c r="F4054" s="1" t="n">
        <v>186.31</v>
      </c>
      <c r="G4054" s="1" t="n">
        <v>0.1</v>
      </c>
      <c r="H4054" s="1" t="s">
        <v>1370</v>
      </c>
      <c r="I4054" s="1" t="n">
        <v>167.68</v>
      </c>
      <c r="J4054" s="1" t="str">
        <f aca="false">VLOOKUP(B4054,Customers!$A$2:$G$502,6,FALSE())</f>
        <v>Consumer</v>
      </c>
      <c r="K4054" s="1" t="str">
        <f aca="false">VLOOKUP(C4054,Products!$A$2:$E$62,3,FALSE())</f>
        <v>Software</v>
      </c>
      <c r="L4054" s="1" t="str">
        <f aca="false">TEXT(D4054,"yyyy-mm")</f>
        <v>2024-09</v>
      </c>
    </row>
    <row r="4055" customFormat="false" ht="15" hidden="false" customHeight="true" outlineLevel="0" collapsed="false">
      <c r="A4055" s="1" t="n">
        <v>4144</v>
      </c>
      <c r="B4055" s="1" t="n">
        <v>339</v>
      </c>
      <c r="C4055" s="1" t="n">
        <v>60</v>
      </c>
      <c r="D4055" s="1" t="s">
        <v>775</v>
      </c>
      <c r="E4055" s="1" t="n">
        <v>4</v>
      </c>
      <c r="F4055" s="1" t="n">
        <v>584.98</v>
      </c>
      <c r="G4055" s="1" t="n">
        <v>0.05</v>
      </c>
      <c r="H4055" s="1" t="s">
        <v>1336</v>
      </c>
      <c r="I4055" s="1" t="n">
        <v>2222.92</v>
      </c>
      <c r="J4055" s="1" t="str">
        <f aca="false">VLOOKUP(B4055,Customers!$A$2:$G$502,6,FALSE())</f>
        <v>Corporate</v>
      </c>
      <c r="K4055" s="1" t="str">
        <f aca="false">VLOOKUP(C4055,Products!$A$2:$E$62,3,FALSE())</f>
        <v>Furniture</v>
      </c>
      <c r="L4055" s="1" t="str">
        <f aca="false">TEXT(D4055,"yyyy-mm")</f>
        <v>2023-01</v>
      </c>
    </row>
    <row r="4056" customFormat="false" ht="15" hidden="false" customHeight="true" outlineLevel="0" collapsed="false">
      <c r="A4056" s="1" t="n">
        <v>4145</v>
      </c>
      <c r="B4056" s="1" t="n">
        <v>199</v>
      </c>
      <c r="C4056" s="1" t="n">
        <v>29</v>
      </c>
      <c r="D4056" s="1" t="s">
        <v>1078</v>
      </c>
      <c r="E4056" s="1" t="n">
        <v>6</v>
      </c>
      <c r="F4056" s="1" t="n">
        <v>54.62</v>
      </c>
      <c r="G4056" s="1" t="n">
        <v>0</v>
      </c>
      <c r="H4056" s="1" t="s">
        <v>1336</v>
      </c>
      <c r="I4056" s="1" t="n">
        <v>327.72</v>
      </c>
      <c r="J4056" s="1" t="str">
        <f aca="false">VLOOKUP(B4056,Customers!$A$2:$G$502,6,FALSE())</f>
        <v>Corporate</v>
      </c>
      <c r="K4056" s="1" t="str">
        <f aca="false">VLOOKUP(C4056,Products!$A$2:$E$62,3,FALSE())</f>
        <v>Office Supplies</v>
      </c>
      <c r="L4056" s="1" t="str">
        <f aca="false">TEXT(D4056,"yyyy-mm")</f>
        <v>2023-07</v>
      </c>
    </row>
    <row r="4057" customFormat="false" ht="15" hidden="false" customHeight="true" outlineLevel="0" collapsed="false">
      <c r="A4057" s="1" t="n">
        <v>4146</v>
      </c>
      <c r="B4057" s="1" t="n">
        <v>100</v>
      </c>
      <c r="C4057" s="1" t="n">
        <v>30</v>
      </c>
      <c r="D4057" s="1" t="s">
        <v>1078</v>
      </c>
      <c r="E4057" s="1" t="n">
        <v>4</v>
      </c>
      <c r="F4057" s="1" t="n">
        <v>33.32</v>
      </c>
      <c r="G4057" s="1" t="n">
        <v>0.05</v>
      </c>
      <c r="H4057" s="1" t="s">
        <v>1336</v>
      </c>
      <c r="I4057" s="1" t="n">
        <v>126.62</v>
      </c>
      <c r="J4057" s="1" t="str">
        <f aca="false">VLOOKUP(B4057,Customers!$A$2:$G$502,6,FALSE())</f>
        <v>Consumer</v>
      </c>
      <c r="K4057" s="1" t="str">
        <f aca="false">VLOOKUP(C4057,Products!$A$2:$E$62,3,FALSE())</f>
        <v>Office Supplies</v>
      </c>
      <c r="L4057" s="1" t="str">
        <f aca="false">TEXT(D4057,"yyyy-mm")</f>
        <v>2023-07</v>
      </c>
    </row>
    <row r="4058" customFormat="false" ht="15" hidden="false" customHeight="true" outlineLevel="0" collapsed="false">
      <c r="A4058" s="1" t="n">
        <v>4147</v>
      </c>
      <c r="B4058" s="1" t="n">
        <v>199</v>
      </c>
      <c r="C4058" s="1" t="n">
        <v>37</v>
      </c>
      <c r="D4058" s="1" t="s">
        <v>732</v>
      </c>
      <c r="E4058" s="1" t="n">
        <v>9</v>
      </c>
      <c r="F4058" s="1" t="n">
        <v>13.95</v>
      </c>
      <c r="G4058" s="1" t="n">
        <v>0.05</v>
      </c>
      <c r="H4058" s="1" t="s">
        <v>1370</v>
      </c>
      <c r="I4058" s="1" t="n">
        <v>119.27</v>
      </c>
      <c r="J4058" s="1" t="str">
        <f aca="false">VLOOKUP(B4058,Customers!$A$2:$G$502,6,FALSE())</f>
        <v>Corporate</v>
      </c>
      <c r="K4058" s="1" t="str">
        <f aca="false">VLOOKUP(C4058,Products!$A$2:$E$62,3,FALSE())</f>
        <v>Software</v>
      </c>
      <c r="L4058" s="1" t="str">
        <f aca="false">TEXT(D4058,"yyyy-mm")</f>
        <v>2024-08</v>
      </c>
    </row>
    <row r="4059" customFormat="false" ht="15" hidden="false" customHeight="true" outlineLevel="0" collapsed="false">
      <c r="A4059" s="1" t="n">
        <v>4148</v>
      </c>
      <c r="B4059" s="1" t="n">
        <v>241</v>
      </c>
      <c r="C4059" s="1" t="n">
        <v>7</v>
      </c>
      <c r="D4059" s="1" t="s">
        <v>1522</v>
      </c>
      <c r="E4059" s="1" t="n">
        <v>5</v>
      </c>
      <c r="F4059" s="1" t="n">
        <v>460</v>
      </c>
      <c r="G4059" s="1" t="n">
        <v>0.2</v>
      </c>
      <c r="H4059" s="1" t="s">
        <v>1336</v>
      </c>
      <c r="I4059" s="1" t="n">
        <v>1840</v>
      </c>
      <c r="J4059" s="1" t="str">
        <f aca="false">VLOOKUP(B4059,Customers!$A$2:$G$502,6,FALSE())</f>
        <v>Small Business</v>
      </c>
      <c r="K4059" s="1" t="str">
        <f aca="false">VLOOKUP(C4059,Products!$A$2:$E$62,3,FALSE())</f>
        <v>Electronics</v>
      </c>
      <c r="L4059" s="1" t="str">
        <f aca="false">TEXT(D4059,"yyyy-mm")</f>
        <v>2024-11</v>
      </c>
    </row>
    <row r="4060" customFormat="false" ht="15" hidden="false" customHeight="true" outlineLevel="0" collapsed="false">
      <c r="A4060" s="1" t="n">
        <v>4149</v>
      </c>
      <c r="B4060" s="1" t="n">
        <v>101</v>
      </c>
      <c r="C4060" s="1" t="n">
        <v>11</v>
      </c>
      <c r="D4060" s="1" t="s">
        <v>1488</v>
      </c>
      <c r="E4060" s="1" t="n">
        <v>8</v>
      </c>
      <c r="F4060" s="1" t="n">
        <v>328.39</v>
      </c>
      <c r="G4060" s="1" t="n">
        <v>0.05</v>
      </c>
      <c r="H4060" s="1" t="s">
        <v>1336</v>
      </c>
      <c r="I4060" s="1" t="n">
        <v>2495.76</v>
      </c>
      <c r="J4060" s="1" t="str">
        <f aca="false">VLOOKUP(B4060,Customers!$A$2:$G$502,6,FALSE())</f>
        <v>Corporate</v>
      </c>
      <c r="K4060" s="1" t="str">
        <f aca="false">VLOOKUP(C4060,Products!$A$2:$E$62,3,FALSE())</f>
        <v>Electronics</v>
      </c>
      <c r="L4060" s="1" t="str">
        <f aca="false">TEXT(D4060,"yyyy-mm")</f>
        <v>2024-05</v>
      </c>
    </row>
    <row r="4061" customFormat="false" ht="15" hidden="false" customHeight="true" outlineLevel="0" collapsed="false">
      <c r="A4061" s="1" t="n">
        <v>4150</v>
      </c>
      <c r="B4061" s="1" t="n">
        <v>50</v>
      </c>
      <c r="C4061" s="1" t="n">
        <v>54</v>
      </c>
      <c r="D4061" s="1" t="s">
        <v>1144</v>
      </c>
      <c r="E4061" s="1" t="n">
        <v>9</v>
      </c>
      <c r="F4061" s="1" t="n">
        <v>312.01</v>
      </c>
      <c r="G4061" s="1" t="n">
        <v>0.15</v>
      </c>
      <c r="H4061" s="1" t="s">
        <v>1336</v>
      </c>
      <c r="I4061" s="1" t="n">
        <v>2386.88</v>
      </c>
      <c r="J4061" s="1" t="str">
        <f aca="false">VLOOKUP(B4061,Customers!$A$2:$G$502,6,FALSE())</f>
        <v>Consumer</v>
      </c>
      <c r="K4061" s="1" t="str">
        <f aca="false">VLOOKUP(C4061,Products!$A$2:$E$62,3,FALSE())</f>
        <v>Software</v>
      </c>
      <c r="L4061" s="1" t="str">
        <f aca="false">TEXT(D4061,"yyyy-mm")</f>
        <v>2024-04</v>
      </c>
    </row>
    <row r="4062" customFormat="false" ht="15" hidden="false" customHeight="true" outlineLevel="0" collapsed="false">
      <c r="A4062" s="1" t="n">
        <v>4151</v>
      </c>
      <c r="B4062" s="1" t="n">
        <v>212</v>
      </c>
      <c r="C4062" s="1" t="n">
        <v>1</v>
      </c>
      <c r="D4062" s="1" t="s">
        <v>1492</v>
      </c>
      <c r="E4062" s="1" t="n">
        <v>5</v>
      </c>
      <c r="F4062" s="1" t="n">
        <v>327.32</v>
      </c>
      <c r="G4062" s="1" t="n">
        <v>0.05</v>
      </c>
      <c r="H4062" s="1" t="s">
        <v>1336</v>
      </c>
      <c r="I4062" s="1" t="n">
        <v>1554.77</v>
      </c>
      <c r="J4062" s="1" t="str">
        <f aca="false">VLOOKUP(B4062,Customers!$A$2:$G$502,6,FALSE())</f>
        <v>Consumer</v>
      </c>
      <c r="K4062" s="1" t="str">
        <f aca="false">VLOOKUP(C4062,Products!$A$2:$E$62,3,FALSE())</f>
        <v>Electronics</v>
      </c>
      <c r="L4062" s="1" t="str">
        <f aca="false">TEXT(D4062,"yyyy-mm")</f>
        <v>2024-08</v>
      </c>
    </row>
    <row r="4063" customFormat="false" ht="15" hidden="false" customHeight="true" outlineLevel="0" collapsed="false">
      <c r="A4063" s="1" t="n">
        <v>4152</v>
      </c>
      <c r="B4063" s="1" t="n">
        <v>329</v>
      </c>
      <c r="C4063" s="1" t="n">
        <v>44</v>
      </c>
      <c r="D4063" s="1" t="s">
        <v>295</v>
      </c>
      <c r="E4063" s="1" t="n">
        <v>6</v>
      </c>
      <c r="F4063" s="1" t="n">
        <v>508.26</v>
      </c>
      <c r="G4063" s="1" t="n">
        <v>0.05</v>
      </c>
      <c r="H4063" s="1" t="s">
        <v>1336</v>
      </c>
      <c r="I4063" s="1" t="n">
        <v>2897.08</v>
      </c>
      <c r="J4063" s="1" t="str">
        <f aca="false">VLOOKUP(B4063,Customers!$A$2:$G$502,6,FALSE())</f>
        <v>Consumer</v>
      </c>
      <c r="K4063" s="1" t="str">
        <f aca="false">VLOOKUP(C4063,Products!$A$2:$E$62,3,FALSE())</f>
        <v>Software</v>
      </c>
      <c r="L4063" s="1" t="str">
        <f aca="false">TEXT(D4063,"yyyy-mm")</f>
        <v>2024-07</v>
      </c>
    </row>
    <row r="4064" customFormat="false" ht="15" hidden="false" customHeight="true" outlineLevel="0" collapsed="false">
      <c r="A4064" s="1" t="n">
        <v>4153</v>
      </c>
      <c r="B4064" s="1" t="n">
        <v>310</v>
      </c>
      <c r="C4064" s="1" t="n">
        <v>31</v>
      </c>
      <c r="D4064" s="1" t="s">
        <v>1578</v>
      </c>
      <c r="E4064" s="1" t="n">
        <v>1</v>
      </c>
      <c r="F4064" s="1" t="n">
        <v>224.86</v>
      </c>
      <c r="G4064" s="1" t="n">
        <v>0</v>
      </c>
      <c r="H4064" s="1" t="s">
        <v>1336</v>
      </c>
      <c r="I4064" s="1" t="n">
        <v>224.86</v>
      </c>
      <c r="J4064" s="1" t="str">
        <f aca="false">VLOOKUP(B4064,Customers!$A$2:$G$502,6,FALSE())</f>
        <v>Small Business</v>
      </c>
      <c r="K4064" s="1" t="str">
        <f aca="false">VLOOKUP(C4064,Products!$A$2:$E$62,3,FALSE())</f>
        <v>Office Supplies</v>
      </c>
      <c r="L4064" s="1" t="str">
        <f aca="false">TEXT(D4064,"yyyy-mm")</f>
        <v>2023-07</v>
      </c>
    </row>
    <row r="4065" customFormat="false" ht="15" hidden="false" customHeight="true" outlineLevel="0" collapsed="false">
      <c r="A4065" s="1" t="n">
        <v>4154</v>
      </c>
      <c r="B4065" s="1" t="n">
        <v>472</v>
      </c>
      <c r="C4065" s="1" t="n">
        <v>54</v>
      </c>
      <c r="D4065" s="1" t="s">
        <v>941</v>
      </c>
      <c r="E4065" s="1" t="n">
        <v>7</v>
      </c>
      <c r="F4065" s="1" t="n">
        <v>312.01</v>
      </c>
      <c r="G4065" s="1" t="n">
        <v>0</v>
      </c>
      <c r="H4065" s="1" t="s">
        <v>1336</v>
      </c>
      <c r="I4065" s="1" t="n">
        <v>2184.07</v>
      </c>
      <c r="J4065" s="1" t="str">
        <f aca="false">VLOOKUP(B4065,Customers!$A$2:$G$502,6,FALSE())</f>
        <v>Consumer</v>
      </c>
      <c r="K4065" s="1" t="str">
        <f aca="false">VLOOKUP(C4065,Products!$A$2:$E$62,3,FALSE())</f>
        <v>Software</v>
      </c>
      <c r="L4065" s="1" t="str">
        <f aca="false">TEXT(D4065,"yyyy-mm")</f>
        <v>2024-08</v>
      </c>
    </row>
    <row r="4066" customFormat="false" ht="15" hidden="false" customHeight="true" outlineLevel="0" collapsed="false">
      <c r="A4066" s="1" t="n">
        <v>4155</v>
      </c>
      <c r="B4066" s="1" t="n">
        <v>211</v>
      </c>
      <c r="C4066" s="1" t="n">
        <v>18</v>
      </c>
      <c r="D4066" s="1" t="s">
        <v>283</v>
      </c>
      <c r="E4066" s="1" t="n">
        <v>4</v>
      </c>
      <c r="F4066" s="1" t="n">
        <v>747.34</v>
      </c>
      <c r="G4066" s="1" t="n">
        <v>0.05</v>
      </c>
      <c r="H4066" s="1" t="s">
        <v>1336</v>
      </c>
      <c r="I4066" s="1" t="n">
        <v>2839.89</v>
      </c>
      <c r="J4066" s="1" t="str">
        <f aca="false">VLOOKUP(B4066,Customers!$A$2:$G$502,6,FALSE())</f>
        <v>Consumer</v>
      </c>
      <c r="K4066" s="1" t="str">
        <f aca="false">VLOOKUP(C4066,Products!$A$2:$E$62,3,FALSE())</f>
        <v>Electronics</v>
      </c>
      <c r="L4066" s="1" t="str">
        <f aca="false">TEXT(D4066,"yyyy-mm")</f>
        <v>2023-10</v>
      </c>
    </row>
    <row r="4067" customFormat="false" ht="15" hidden="false" customHeight="true" outlineLevel="0" collapsed="false">
      <c r="A4067" s="1" t="n">
        <v>4156</v>
      </c>
      <c r="B4067" s="1" t="n">
        <v>253</v>
      </c>
      <c r="C4067" s="1" t="n">
        <v>43</v>
      </c>
      <c r="D4067" s="1" t="s">
        <v>1404</v>
      </c>
      <c r="E4067" s="1" t="n">
        <v>2</v>
      </c>
      <c r="F4067" s="1" t="n">
        <v>186.31</v>
      </c>
      <c r="G4067" s="1" t="n">
        <v>0.2</v>
      </c>
      <c r="H4067" s="1" t="s">
        <v>1336</v>
      </c>
      <c r="I4067" s="1" t="n">
        <v>298.1</v>
      </c>
      <c r="J4067" s="1" t="str">
        <f aca="false">VLOOKUP(B4067,Customers!$A$2:$G$502,6,FALSE())</f>
        <v>Consumer</v>
      </c>
      <c r="K4067" s="1" t="str">
        <f aca="false">VLOOKUP(C4067,Products!$A$2:$E$62,3,FALSE())</f>
        <v>Software</v>
      </c>
      <c r="L4067" s="1" t="str">
        <f aca="false">TEXT(D4067,"yyyy-mm")</f>
        <v>2024-03</v>
      </c>
    </row>
    <row r="4068" customFormat="false" ht="15" hidden="false" customHeight="true" outlineLevel="0" collapsed="false">
      <c r="A4068" s="1" t="n">
        <v>4157</v>
      </c>
      <c r="B4068" s="1" t="n">
        <v>136</v>
      </c>
      <c r="C4068" s="1" t="n">
        <v>48</v>
      </c>
      <c r="D4068" s="1" t="s">
        <v>1422</v>
      </c>
      <c r="E4068" s="1" t="n">
        <v>5</v>
      </c>
      <c r="F4068" s="1" t="n">
        <v>493.53</v>
      </c>
      <c r="G4068" s="1" t="n">
        <v>0.1</v>
      </c>
      <c r="H4068" s="1" t="s">
        <v>1336</v>
      </c>
      <c r="I4068" s="1" t="n">
        <v>2220.88</v>
      </c>
      <c r="J4068" s="1" t="str">
        <f aca="false">VLOOKUP(B4068,Customers!$A$2:$G$502,6,FALSE())</f>
        <v>Corporate</v>
      </c>
      <c r="K4068" s="1" t="str">
        <f aca="false">VLOOKUP(C4068,Products!$A$2:$E$62,3,FALSE())</f>
        <v>Software</v>
      </c>
      <c r="L4068" s="1" t="str">
        <f aca="false">TEXT(D4068,"yyyy-mm")</f>
        <v>2023-12</v>
      </c>
    </row>
    <row r="4069" customFormat="false" ht="15" hidden="false" customHeight="true" outlineLevel="0" collapsed="false">
      <c r="A4069" s="1" t="n">
        <v>4158</v>
      </c>
      <c r="B4069" s="1" t="n">
        <v>299</v>
      </c>
      <c r="C4069" s="1" t="n">
        <v>41</v>
      </c>
      <c r="D4069" s="1" t="s">
        <v>1412</v>
      </c>
      <c r="E4069" s="1" t="n">
        <v>3</v>
      </c>
      <c r="F4069" s="1" t="n">
        <v>594.54</v>
      </c>
      <c r="G4069" s="1" t="n">
        <v>0.05</v>
      </c>
      <c r="H4069" s="1" t="s">
        <v>1336</v>
      </c>
      <c r="I4069" s="1" t="n">
        <v>1694.44</v>
      </c>
      <c r="J4069" s="1" t="str">
        <f aca="false">VLOOKUP(B4069,Customers!$A$2:$G$502,6,FALSE())</f>
        <v>Small Business</v>
      </c>
      <c r="K4069" s="1" t="str">
        <f aca="false">VLOOKUP(C4069,Products!$A$2:$E$62,3,FALSE())</f>
        <v>Software</v>
      </c>
      <c r="L4069" s="1" t="str">
        <f aca="false">TEXT(D4069,"yyyy-mm")</f>
        <v>2023-09</v>
      </c>
    </row>
    <row r="4070" customFormat="false" ht="15" hidden="false" customHeight="true" outlineLevel="0" collapsed="false">
      <c r="A4070" s="1" t="n">
        <v>4159</v>
      </c>
      <c r="B4070" s="1" t="n">
        <v>123</v>
      </c>
      <c r="C4070" s="1" t="n">
        <v>18</v>
      </c>
      <c r="D4070" s="1" t="s">
        <v>191</v>
      </c>
      <c r="E4070" s="1" t="n">
        <v>6</v>
      </c>
      <c r="F4070" s="1" t="n">
        <v>747.34</v>
      </c>
      <c r="G4070" s="1" t="n">
        <v>0</v>
      </c>
      <c r="H4070" s="1" t="s">
        <v>1336</v>
      </c>
      <c r="I4070" s="1" t="n">
        <v>4484.04</v>
      </c>
      <c r="J4070" s="1" t="str">
        <f aca="false">VLOOKUP(B4070,Customers!$A$2:$G$502,6,FALSE())</f>
        <v>Small Business</v>
      </c>
      <c r="K4070" s="1" t="str">
        <f aca="false">VLOOKUP(C4070,Products!$A$2:$E$62,3,FALSE())</f>
        <v>Electronics</v>
      </c>
      <c r="L4070" s="1" t="str">
        <f aca="false">TEXT(D4070,"yyyy-mm")</f>
        <v>2024-03</v>
      </c>
    </row>
    <row r="4071" customFormat="false" ht="15" hidden="false" customHeight="true" outlineLevel="0" collapsed="false">
      <c r="A4071" s="1" t="n">
        <v>4160</v>
      </c>
      <c r="B4071" s="1" t="n">
        <v>13</v>
      </c>
      <c r="C4071" s="1" t="n">
        <v>50</v>
      </c>
      <c r="D4071" s="1" t="s">
        <v>1664</v>
      </c>
      <c r="E4071" s="1" t="n">
        <v>8</v>
      </c>
      <c r="F4071" s="1" t="n">
        <v>19.73</v>
      </c>
      <c r="G4071" s="1" t="n">
        <v>0</v>
      </c>
      <c r="H4071" s="1" t="s">
        <v>1336</v>
      </c>
      <c r="I4071" s="1" t="n">
        <v>157.84</v>
      </c>
      <c r="J4071" s="1" t="str">
        <f aca="false">VLOOKUP(B4071,Customers!$A$2:$G$502,6,FALSE())</f>
        <v>Corporate</v>
      </c>
      <c r="K4071" s="1" t="str">
        <f aca="false">VLOOKUP(C4071,Products!$A$2:$E$62,3,FALSE())</f>
        <v>Software</v>
      </c>
      <c r="L4071" s="1" t="str">
        <f aca="false">TEXT(D4071,"yyyy-mm")</f>
        <v>2024-01</v>
      </c>
    </row>
    <row r="4072" customFormat="false" ht="15" hidden="false" customHeight="true" outlineLevel="0" collapsed="false">
      <c r="A4072" s="1" t="n">
        <v>4161</v>
      </c>
      <c r="B4072" s="1" t="n">
        <v>140</v>
      </c>
      <c r="C4072" s="1" t="n">
        <v>44</v>
      </c>
      <c r="D4072" s="1" t="s">
        <v>1343</v>
      </c>
      <c r="E4072" s="1" t="n">
        <v>7</v>
      </c>
      <c r="F4072" s="1" t="n">
        <v>508.26</v>
      </c>
      <c r="G4072" s="1" t="n">
        <v>0.1</v>
      </c>
      <c r="H4072" s="1" t="s">
        <v>1336</v>
      </c>
      <c r="I4072" s="1" t="n">
        <v>3202.04</v>
      </c>
      <c r="J4072" s="1" t="str">
        <f aca="false">VLOOKUP(B4072,Customers!$A$2:$G$502,6,FALSE())</f>
        <v>Unknown</v>
      </c>
      <c r="K4072" s="1" t="str">
        <f aca="false">VLOOKUP(C4072,Products!$A$2:$E$62,3,FALSE())</f>
        <v>Software</v>
      </c>
      <c r="L4072" s="1" t="str">
        <f aca="false">TEXT(D4072,"yyyy-mm")</f>
        <v>2024-06</v>
      </c>
    </row>
    <row r="4073" customFormat="false" ht="15" hidden="false" customHeight="true" outlineLevel="0" collapsed="false">
      <c r="A4073" s="1" t="n">
        <v>4162</v>
      </c>
      <c r="B4073" s="1" t="n">
        <v>450</v>
      </c>
      <c r="C4073" s="1" t="n">
        <v>2</v>
      </c>
      <c r="D4073" s="1" t="s">
        <v>1580</v>
      </c>
      <c r="E4073" s="1" t="n">
        <v>3</v>
      </c>
      <c r="F4073" s="1" t="n">
        <v>498.15</v>
      </c>
      <c r="G4073" s="1" t="n">
        <v>0.05</v>
      </c>
      <c r="H4073" s="1" t="s">
        <v>1336</v>
      </c>
      <c r="I4073" s="1" t="n">
        <v>1419.73</v>
      </c>
      <c r="J4073" s="1" t="str">
        <f aca="false">VLOOKUP(B4073,Customers!$A$2:$G$502,6,FALSE())</f>
        <v>Consumer</v>
      </c>
      <c r="K4073" s="1" t="str">
        <f aca="false">VLOOKUP(C4073,Products!$A$2:$E$62,3,FALSE())</f>
        <v>Electronics</v>
      </c>
      <c r="L4073" s="1" t="str">
        <f aca="false">TEXT(D4073,"yyyy-mm")</f>
        <v>2023-08</v>
      </c>
    </row>
    <row r="4074" customFormat="false" ht="15" hidden="false" customHeight="true" outlineLevel="0" collapsed="false">
      <c r="A4074" s="1" t="n">
        <v>4163</v>
      </c>
      <c r="B4074" s="1" t="n">
        <v>396</v>
      </c>
      <c r="C4074" s="1" t="n">
        <v>31</v>
      </c>
      <c r="D4074" s="1" t="s">
        <v>1589</v>
      </c>
      <c r="E4074" s="1" t="n">
        <v>8</v>
      </c>
      <c r="F4074" s="1" t="n">
        <v>224.86</v>
      </c>
      <c r="G4074" s="1" t="n">
        <v>0</v>
      </c>
      <c r="H4074" s="1" t="s">
        <v>1336</v>
      </c>
      <c r="I4074" s="1" t="n">
        <v>1798.88</v>
      </c>
      <c r="J4074" s="1" t="str">
        <f aca="false">VLOOKUP(B4074,Customers!$A$2:$G$502,6,FALSE())</f>
        <v>Small Business</v>
      </c>
      <c r="K4074" s="1" t="str">
        <f aca="false">VLOOKUP(C4074,Products!$A$2:$E$62,3,FALSE())</f>
        <v>Office Supplies</v>
      </c>
      <c r="L4074" s="1" t="str">
        <f aca="false">TEXT(D4074,"yyyy-mm")</f>
        <v>2024-06</v>
      </c>
    </row>
    <row r="4075" customFormat="false" ht="15" hidden="false" customHeight="true" outlineLevel="0" collapsed="false">
      <c r="A4075" s="1" t="n">
        <v>4164</v>
      </c>
      <c r="B4075" s="1" t="n">
        <v>474</v>
      </c>
      <c r="C4075" s="1" t="n">
        <v>26</v>
      </c>
      <c r="D4075" s="1" t="s">
        <v>455</v>
      </c>
      <c r="E4075" s="1" t="n">
        <v>2</v>
      </c>
      <c r="F4075" s="1" t="n">
        <v>733.85</v>
      </c>
      <c r="G4075" s="1" t="n">
        <v>0</v>
      </c>
      <c r="H4075" s="1" t="s">
        <v>1336</v>
      </c>
      <c r="I4075" s="1" t="n">
        <v>1467.7</v>
      </c>
      <c r="J4075" s="1" t="str">
        <f aca="false">VLOOKUP(B4075,Customers!$A$2:$G$502,6,FALSE())</f>
        <v>Consumer</v>
      </c>
      <c r="K4075" s="1" t="str">
        <f aca="false">VLOOKUP(C4075,Products!$A$2:$E$62,3,FALSE())</f>
        <v>Office Supplies</v>
      </c>
      <c r="L4075" s="1" t="str">
        <f aca="false">TEXT(D4075,"yyyy-mm")</f>
        <v>2024-08</v>
      </c>
    </row>
    <row r="4076" customFormat="false" ht="15" hidden="false" customHeight="true" outlineLevel="0" collapsed="false">
      <c r="A4076" s="1" t="n">
        <v>4165</v>
      </c>
      <c r="B4076" s="1" t="n">
        <v>156</v>
      </c>
      <c r="C4076" s="1" t="n">
        <v>48</v>
      </c>
      <c r="D4076" s="1" t="s">
        <v>1589</v>
      </c>
      <c r="E4076" s="1" t="n">
        <v>9</v>
      </c>
      <c r="F4076" s="1" t="n">
        <v>493.53</v>
      </c>
      <c r="G4076" s="1" t="n">
        <v>0</v>
      </c>
      <c r="H4076" s="1" t="s">
        <v>1336</v>
      </c>
      <c r="I4076" s="1" t="n">
        <v>4441.77</v>
      </c>
      <c r="J4076" s="1" t="str">
        <f aca="false">VLOOKUP(B4076,Customers!$A$2:$G$502,6,FALSE())</f>
        <v>Corporate</v>
      </c>
      <c r="K4076" s="1" t="str">
        <f aca="false">VLOOKUP(C4076,Products!$A$2:$E$62,3,FALSE())</f>
        <v>Software</v>
      </c>
      <c r="L4076" s="1" t="str">
        <f aca="false">TEXT(D4076,"yyyy-mm")</f>
        <v>2024-06</v>
      </c>
    </row>
    <row r="4077" customFormat="false" ht="15" hidden="false" customHeight="true" outlineLevel="0" collapsed="false">
      <c r="A4077" s="1" t="n">
        <v>4166</v>
      </c>
      <c r="B4077" s="1" t="n">
        <v>235</v>
      </c>
      <c r="C4077" s="1" t="n">
        <v>14</v>
      </c>
      <c r="D4077" s="1" t="s">
        <v>1576</v>
      </c>
      <c r="E4077" s="1" t="n">
        <v>4</v>
      </c>
      <c r="F4077" s="1" t="n">
        <v>135.27</v>
      </c>
      <c r="G4077" s="1" t="n">
        <v>0</v>
      </c>
      <c r="H4077" s="1" t="s">
        <v>1336</v>
      </c>
      <c r="I4077" s="1" t="n">
        <v>541.08</v>
      </c>
      <c r="J4077" s="1" t="str">
        <f aca="false">VLOOKUP(B4077,Customers!$A$2:$G$502,6,FALSE())</f>
        <v>Small Business</v>
      </c>
      <c r="K4077" s="1" t="str">
        <f aca="false">VLOOKUP(C4077,Products!$A$2:$E$62,3,FALSE())</f>
        <v>Electronics</v>
      </c>
      <c r="L4077" s="1" t="str">
        <f aca="false">TEXT(D4077,"yyyy-mm")</f>
        <v>2023-02</v>
      </c>
    </row>
    <row r="4078" customFormat="false" ht="15" hidden="false" customHeight="true" outlineLevel="0" collapsed="false">
      <c r="A4078" s="1" t="n">
        <v>4167</v>
      </c>
      <c r="B4078" s="1" t="n">
        <v>112</v>
      </c>
      <c r="C4078" s="1" t="n">
        <v>12</v>
      </c>
      <c r="D4078" s="1" t="s">
        <v>199</v>
      </c>
      <c r="E4078" s="1" t="n">
        <v>1</v>
      </c>
      <c r="F4078" s="1" t="n">
        <v>179.23</v>
      </c>
      <c r="G4078" s="1" t="n">
        <v>0</v>
      </c>
      <c r="H4078" s="1" t="s">
        <v>1336</v>
      </c>
      <c r="I4078" s="1" t="n">
        <v>179.23</v>
      </c>
      <c r="J4078" s="1" t="str">
        <f aca="false">VLOOKUP(B4078,Customers!$A$2:$G$502,6,FALSE())</f>
        <v>Corporate</v>
      </c>
      <c r="K4078" s="1" t="str">
        <f aca="false">VLOOKUP(C4078,Products!$A$2:$E$62,3,FALSE())</f>
        <v>Electronics</v>
      </c>
      <c r="L4078" s="1" t="str">
        <f aca="false">TEXT(D4078,"yyyy-mm")</f>
        <v>2024-12</v>
      </c>
    </row>
    <row r="4079" customFormat="false" ht="15" hidden="false" customHeight="true" outlineLevel="0" collapsed="false">
      <c r="A4079" s="1" t="n">
        <v>4168</v>
      </c>
      <c r="B4079" s="1" t="n">
        <v>73</v>
      </c>
      <c r="C4079" s="1" t="n">
        <v>27</v>
      </c>
      <c r="D4079" s="1" t="s">
        <v>1362</v>
      </c>
      <c r="E4079" s="1" t="n">
        <v>8</v>
      </c>
      <c r="F4079" s="1" t="n">
        <v>772.58</v>
      </c>
      <c r="G4079" s="1" t="n">
        <v>0.1</v>
      </c>
      <c r="H4079" s="1" t="s">
        <v>1336</v>
      </c>
      <c r="I4079" s="1" t="n">
        <v>5562.58</v>
      </c>
      <c r="J4079" s="1" t="str">
        <f aca="false">VLOOKUP(B4079,Customers!$A$2:$G$502,6,FALSE())</f>
        <v>Small Business</v>
      </c>
      <c r="K4079" s="1" t="str">
        <f aca="false">VLOOKUP(C4079,Products!$A$2:$E$62,3,FALSE())</f>
        <v>Office Supplies</v>
      </c>
      <c r="L4079" s="1" t="str">
        <f aca="false">TEXT(D4079,"yyyy-mm")</f>
        <v>2024-01</v>
      </c>
    </row>
    <row r="4080" customFormat="false" ht="15" hidden="false" customHeight="true" outlineLevel="0" collapsed="false">
      <c r="A4080" s="1" t="n">
        <v>4169</v>
      </c>
      <c r="B4080" s="1" t="n">
        <v>104</v>
      </c>
      <c r="C4080" s="1" t="n">
        <v>58</v>
      </c>
      <c r="D4080" s="1" t="s">
        <v>274</v>
      </c>
      <c r="E4080" s="1" t="n">
        <v>7</v>
      </c>
      <c r="F4080" s="1" t="n">
        <v>515.55</v>
      </c>
      <c r="G4080" s="1" t="n">
        <v>0.05</v>
      </c>
      <c r="H4080" s="1" t="s">
        <v>1336</v>
      </c>
      <c r="I4080" s="1" t="n">
        <v>3428.41</v>
      </c>
      <c r="J4080" s="1" t="str">
        <f aca="false">VLOOKUP(B4080,Customers!$A$2:$G$502,6,FALSE())</f>
        <v>Corporate</v>
      </c>
      <c r="K4080" s="1" t="str">
        <f aca="false">VLOOKUP(C4080,Products!$A$2:$E$62,3,FALSE())</f>
        <v>Furniture</v>
      </c>
      <c r="L4080" s="1" t="str">
        <f aca="false">TEXT(D4080,"yyyy-mm")</f>
        <v>2023-10</v>
      </c>
    </row>
    <row r="4081" customFormat="false" ht="15" hidden="false" customHeight="true" outlineLevel="0" collapsed="false">
      <c r="A4081" s="1" t="n">
        <v>4170</v>
      </c>
      <c r="B4081" s="1" t="n">
        <v>404</v>
      </c>
      <c r="C4081" s="1" t="n">
        <v>58</v>
      </c>
      <c r="D4081" s="1" t="s">
        <v>1436</v>
      </c>
      <c r="E4081" s="1" t="n">
        <v>5</v>
      </c>
      <c r="F4081" s="1" t="n">
        <v>515.55</v>
      </c>
      <c r="G4081" s="1" t="n">
        <v>0.2</v>
      </c>
      <c r="H4081" s="1" t="s">
        <v>1336</v>
      </c>
      <c r="I4081" s="1" t="n">
        <v>2062.2</v>
      </c>
      <c r="J4081" s="1" t="str">
        <f aca="false">VLOOKUP(B4081,Customers!$A$2:$G$502,6,FALSE())</f>
        <v>Corporate</v>
      </c>
      <c r="K4081" s="1" t="str">
        <f aca="false">VLOOKUP(C4081,Products!$A$2:$E$62,3,FALSE())</f>
        <v>Furniture</v>
      </c>
      <c r="L4081" s="1" t="str">
        <f aca="false">TEXT(D4081,"yyyy-mm")</f>
        <v>2024-02</v>
      </c>
    </row>
    <row r="4082" customFormat="false" ht="15" hidden="false" customHeight="true" outlineLevel="0" collapsed="false">
      <c r="A4082" s="1" t="n">
        <v>4171</v>
      </c>
      <c r="B4082" s="1" t="n">
        <v>70</v>
      </c>
      <c r="C4082" s="1" t="n">
        <v>58</v>
      </c>
      <c r="D4082" s="1" t="s">
        <v>1648</v>
      </c>
      <c r="E4082" s="1" t="n">
        <v>5</v>
      </c>
      <c r="F4082" s="1" t="n">
        <v>515.55</v>
      </c>
      <c r="G4082" s="1" t="n">
        <v>0</v>
      </c>
      <c r="H4082" s="1" t="s">
        <v>1336</v>
      </c>
      <c r="I4082" s="1" t="n">
        <v>2577.75</v>
      </c>
      <c r="J4082" s="1" t="str">
        <f aca="false">VLOOKUP(B4082,Customers!$A$2:$G$502,6,FALSE())</f>
        <v>Corporate</v>
      </c>
      <c r="K4082" s="1" t="str">
        <f aca="false">VLOOKUP(C4082,Products!$A$2:$E$62,3,FALSE())</f>
        <v>Furniture</v>
      </c>
      <c r="L4082" s="1" t="str">
        <f aca="false">TEXT(D4082,"yyyy-mm")</f>
        <v>2024-05</v>
      </c>
    </row>
    <row r="4083" customFormat="false" ht="15" hidden="false" customHeight="true" outlineLevel="0" collapsed="false">
      <c r="A4083" s="1" t="n">
        <v>4172</v>
      </c>
      <c r="B4083" s="1" t="n">
        <v>305</v>
      </c>
      <c r="C4083" s="1" t="n">
        <v>10</v>
      </c>
      <c r="D4083" s="1" t="s">
        <v>742</v>
      </c>
      <c r="E4083" s="1" t="n">
        <v>7</v>
      </c>
      <c r="F4083" s="1" t="n">
        <v>251.58</v>
      </c>
      <c r="G4083" s="1" t="n">
        <v>0.15</v>
      </c>
      <c r="H4083" s="1" t="s">
        <v>1370</v>
      </c>
      <c r="I4083" s="1" t="n">
        <v>1496.9</v>
      </c>
      <c r="J4083" s="1" t="str">
        <f aca="false">VLOOKUP(B4083,Customers!$A$2:$G$502,6,FALSE())</f>
        <v>Consumer</v>
      </c>
      <c r="K4083" s="1" t="str">
        <f aca="false">VLOOKUP(C4083,Products!$A$2:$E$62,3,FALSE())</f>
        <v>Electronics</v>
      </c>
      <c r="L4083" s="1" t="str">
        <f aca="false">TEXT(D4083,"yyyy-mm")</f>
        <v>2023-02</v>
      </c>
    </row>
    <row r="4084" customFormat="false" ht="15" hidden="false" customHeight="true" outlineLevel="0" collapsed="false">
      <c r="A4084" s="1" t="n">
        <v>4173</v>
      </c>
      <c r="B4084" s="1" t="n">
        <v>450</v>
      </c>
      <c r="C4084" s="1" t="n">
        <v>6</v>
      </c>
      <c r="D4084" s="1" t="s">
        <v>1540</v>
      </c>
      <c r="E4084" s="1" t="n">
        <v>5</v>
      </c>
      <c r="F4084" s="1" t="n">
        <v>28.51</v>
      </c>
      <c r="G4084" s="1" t="n">
        <v>0</v>
      </c>
      <c r="H4084" s="1" t="s">
        <v>1336</v>
      </c>
      <c r="I4084" s="1" t="n">
        <v>142.55</v>
      </c>
      <c r="J4084" s="1" t="str">
        <f aca="false">VLOOKUP(B4084,Customers!$A$2:$G$502,6,FALSE())</f>
        <v>Consumer</v>
      </c>
      <c r="K4084" s="1" t="str">
        <f aca="false">VLOOKUP(C4084,Products!$A$2:$E$62,3,FALSE())</f>
        <v>Electronics</v>
      </c>
      <c r="L4084" s="1" t="str">
        <f aca="false">TEXT(D4084,"yyyy-mm")</f>
        <v>2023-01</v>
      </c>
    </row>
    <row r="4085" customFormat="false" ht="15" hidden="false" customHeight="true" outlineLevel="0" collapsed="false">
      <c r="A4085" s="1" t="n">
        <v>4174</v>
      </c>
      <c r="B4085" s="1" t="n">
        <v>350</v>
      </c>
      <c r="C4085" s="1" t="n">
        <v>56</v>
      </c>
      <c r="D4085" s="1" t="s">
        <v>64</v>
      </c>
      <c r="E4085" s="1" t="n">
        <v>8</v>
      </c>
      <c r="F4085" s="1" t="n">
        <v>160.64</v>
      </c>
      <c r="G4085" s="1" t="n">
        <v>0</v>
      </c>
      <c r="H4085" s="1" t="s">
        <v>1336</v>
      </c>
      <c r="I4085" s="1" t="n">
        <v>1285.12</v>
      </c>
      <c r="J4085" s="1" t="str">
        <f aca="false">VLOOKUP(B4085,Customers!$A$2:$G$502,6,FALSE())</f>
        <v>Consumer</v>
      </c>
      <c r="K4085" s="1" t="str">
        <f aca="false">VLOOKUP(C4085,Products!$A$2:$E$62,3,FALSE())</f>
        <v>Furniture</v>
      </c>
      <c r="L4085" s="1" t="str">
        <f aca="false">TEXT(D4085,"yyyy-mm")</f>
        <v>2024-09</v>
      </c>
    </row>
    <row r="4086" customFormat="false" ht="15" hidden="false" customHeight="true" outlineLevel="0" collapsed="false">
      <c r="A4086" s="1" t="n">
        <v>4175</v>
      </c>
      <c r="B4086" s="1" t="n">
        <v>237</v>
      </c>
      <c r="C4086" s="1" t="n">
        <v>31</v>
      </c>
      <c r="D4086" s="1" t="s">
        <v>732</v>
      </c>
      <c r="E4086" s="1" t="n">
        <v>6</v>
      </c>
      <c r="F4086" s="1" t="n">
        <v>224.86</v>
      </c>
      <c r="G4086" s="1" t="n">
        <v>0.15</v>
      </c>
      <c r="H4086" s="1" t="s">
        <v>1336</v>
      </c>
      <c r="I4086" s="1" t="n">
        <v>1146.79</v>
      </c>
      <c r="J4086" s="1" t="str">
        <f aca="false">VLOOKUP(B4086,Customers!$A$2:$G$502,6,FALSE())</f>
        <v>Consumer</v>
      </c>
      <c r="K4086" s="1" t="str">
        <f aca="false">VLOOKUP(C4086,Products!$A$2:$E$62,3,FALSE())</f>
        <v>Office Supplies</v>
      </c>
      <c r="L4086" s="1" t="str">
        <f aca="false">TEXT(D4086,"yyyy-mm")</f>
        <v>2024-08</v>
      </c>
    </row>
    <row r="4087" customFormat="false" ht="15" hidden="false" customHeight="true" outlineLevel="0" collapsed="false">
      <c r="A4087" s="1" t="n">
        <v>4176</v>
      </c>
      <c r="B4087" s="1" t="n">
        <v>12</v>
      </c>
      <c r="C4087" s="1" t="n">
        <v>28</v>
      </c>
      <c r="D4087" s="1" t="s">
        <v>753</v>
      </c>
      <c r="E4087" s="1" t="n">
        <v>5</v>
      </c>
      <c r="F4087" s="1" t="n">
        <v>505.23</v>
      </c>
      <c r="G4087" s="1" t="n">
        <v>0</v>
      </c>
      <c r="H4087" s="1" t="s">
        <v>1336</v>
      </c>
      <c r="I4087" s="1" t="n">
        <v>2526.15</v>
      </c>
      <c r="J4087" s="1" t="str">
        <f aca="false">VLOOKUP(B4087,Customers!$A$2:$G$502,6,FALSE())</f>
        <v>Small Business</v>
      </c>
      <c r="K4087" s="1" t="str">
        <f aca="false">VLOOKUP(C4087,Products!$A$2:$E$62,3,FALSE())</f>
        <v>Office Supplies</v>
      </c>
      <c r="L4087" s="1" t="str">
        <f aca="false">TEXT(D4087,"yyyy-mm")</f>
        <v>2023-03</v>
      </c>
    </row>
    <row r="4088" customFormat="false" ht="15" hidden="false" customHeight="true" outlineLevel="0" collapsed="false">
      <c r="A4088" s="1" t="n">
        <v>4177</v>
      </c>
      <c r="B4088" s="1" t="n">
        <v>139</v>
      </c>
      <c r="C4088" s="1" t="n">
        <v>46</v>
      </c>
      <c r="D4088" s="1" t="s">
        <v>1681</v>
      </c>
      <c r="E4088" s="1" t="n">
        <v>9</v>
      </c>
      <c r="F4088" s="1" t="n">
        <v>94.92</v>
      </c>
      <c r="G4088" s="1" t="n">
        <v>0</v>
      </c>
      <c r="H4088" s="1" t="s">
        <v>1336</v>
      </c>
      <c r="I4088" s="1" t="n">
        <v>854.28</v>
      </c>
      <c r="J4088" s="1" t="str">
        <f aca="false">VLOOKUP(B4088,Customers!$A$2:$G$502,6,FALSE())</f>
        <v>Consumer</v>
      </c>
      <c r="K4088" s="1" t="str">
        <f aca="false">VLOOKUP(C4088,Products!$A$2:$E$62,3,FALSE())</f>
        <v>Software</v>
      </c>
      <c r="L4088" s="1" t="str">
        <f aca="false">TEXT(D4088,"yyyy-mm")</f>
        <v>2024-04</v>
      </c>
    </row>
    <row r="4089" customFormat="false" ht="15" hidden="false" customHeight="true" outlineLevel="0" collapsed="false">
      <c r="A4089" s="1" t="n">
        <v>4178</v>
      </c>
      <c r="B4089" s="1" t="n">
        <v>177</v>
      </c>
      <c r="C4089" s="1" t="n">
        <v>43</v>
      </c>
      <c r="D4089" s="1" t="s">
        <v>567</v>
      </c>
      <c r="E4089" s="1" t="n">
        <v>2</v>
      </c>
      <c r="F4089" s="1" t="n">
        <v>186.31</v>
      </c>
      <c r="G4089" s="1" t="n">
        <v>0.15</v>
      </c>
      <c r="H4089" s="1" t="s">
        <v>1336</v>
      </c>
      <c r="I4089" s="1" t="n">
        <v>316.73</v>
      </c>
      <c r="J4089" s="1" t="str">
        <f aca="false">VLOOKUP(B4089,Customers!$A$2:$G$502,6,FALSE())</f>
        <v>Corporate</v>
      </c>
      <c r="K4089" s="1" t="str">
        <f aca="false">VLOOKUP(C4089,Products!$A$2:$E$62,3,FALSE())</f>
        <v>Software</v>
      </c>
      <c r="L4089" s="1" t="str">
        <f aca="false">TEXT(D4089,"yyyy-mm")</f>
        <v>2024-10</v>
      </c>
    </row>
    <row r="4090" customFormat="false" ht="15" hidden="false" customHeight="true" outlineLevel="0" collapsed="false">
      <c r="A4090" s="1" t="n">
        <v>4179</v>
      </c>
      <c r="B4090" s="1" t="n">
        <v>207</v>
      </c>
      <c r="C4090" s="1" t="n">
        <v>56</v>
      </c>
      <c r="D4090" s="1" t="s">
        <v>1490</v>
      </c>
      <c r="E4090" s="1" t="n">
        <v>1</v>
      </c>
      <c r="F4090" s="1" t="n">
        <v>160.64</v>
      </c>
      <c r="G4090" s="1" t="n">
        <v>0.05</v>
      </c>
      <c r="H4090" s="1" t="s">
        <v>1336</v>
      </c>
      <c r="I4090" s="1" t="n">
        <v>152.61</v>
      </c>
      <c r="J4090" s="1" t="str">
        <f aca="false">VLOOKUP(B4090,Customers!$A$2:$G$502,6,FALSE())</f>
        <v>Corporate</v>
      </c>
      <c r="K4090" s="1" t="str">
        <f aca="false">VLOOKUP(C4090,Products!$A$2:$E$62,3,FALSE())</f>
        <v>Furniture</v>
      </c>
      <c r="L4090" s="1" t="str">
        <f aca="false">TEXT(D4090,"yyyy-mm")</f>
        <v>2024-06</v>
      </c>
    </row>
    <row r="4091" customFormat="false" ht="15" hidden="false" customHeight="true" outlineLevel="0" collapsed="false">
      <c r="A4091" s="1" t="n">
        <v>4180</v>
      </c>
      <c r="B4091" s="1" t="n">
        <v>434</v>
      </c>
      <c r="C4091" s="1" t="n">
        <v>59</v>
      </c>
      <c r="D4091" s="1" t="s">
        <v>1653</v>
      </c>
      <c r="E4091" s="1" t="n">
        <v>8</v>
      </c>
      <c r="F4091" s="1" t="n">
        <v>438.89</v>
      </c>
      <c r="G4091" s="1" t="n">
        <v>0.1</v>
      </c>
      <c r="H4091" s="1" t="s">
        <v>1336</v>
      </c>
      <c r="I4091" s="1" t="n">
        <v>3160.01</v>
      </c>
      <c r="J4091" s="1" t="str">
        <f aca="false">VLOOKUP(B4091,Customers!$A$2:$G$502,6,FALSE())</f>
        <v>Consumer</v>
      </c>
      <c r="K4091" s="1" t="str">
        <f aca="false">VLOOKUP(C4091,Products!$A$2:$E$62,3,FALSE())</f>
        <v>Furniture</v>
      </c>
      <c r="L4091" s="1" t="str">
        <f aca="false">TEXT(D4091,"yyyy-mm")</f>
        <v>2024-12</v>
      </c>
    </row>
    <row r="4092" customFormat="false" ht="15" hidden="false" customHeight="true" outlineLevel="0" collapsed="false">
      <c r="A4092" s="1" t="n">
        <v>4181</v>
      </c>
      <c r="B4092" s="1" t="n">
        <v>453</v>
      </c>
      <c r="C4092" s="1" t="n">
        <v>47</v>
      </c>
      <c r="D4092" s="1" t="s">
        <v>575</v>
      </c>
      <c r="E4092" s="1" t="n">
        <v>3</v>
      </c>
      <c r="F4092" s="1" t="n">
        <v>506.19</v>
      </c>
      <c r="G4092" s="1" t="n">
        <v>0</v>
      </c>
      <c r="H4092" s="1" t="s">
        <v>1336</v>
      </c>
      <c r="I4092" s="1" t="n">
        <v>1518.57</v>
      </c>
      <c r="J4092" s="1" t="str">
        <f aca="false">VLOOKUP(B4092,Customers!$A$2:$G$502,6,FALSE())</f>
        <v>Small Business</v>
      </c>
      <c r="K4092" s="1" t="str">
        <f aca="false">VLOOKUP(C4092,Products!$A$2:$E$62,3,FALSE())</f>
        <v>Software</v>
      </c>
      <c r="L4092" s="1" t="str">
        <f aca="false">TEXT(D4092,"yyyy-mm")</f>
        <v>2024-02</v>
      </c>
    </row>
    <row r="4093" customFormat="false" ht="15" hidden="false" customHeight="true" outlineLevel="0" collapsed="false">
      <c r="A4093" s="1" t="n">
        <v>4182</v>
      </c>
      <c r="B4093" s="1" t="n">
        <v>130</v>
      </c>
      <c r="C4093" s="1" t="n">
        <v>24</v>
      </c>
      <c r="D4093" s="1" t="s">
        <v>780</v>
      </c>
      <c r="E4093" s="1" t="n">
        <v>7</v>
      </c>
      <c r="F4093" s="1" t="n">
        <v>207.34</v>
      </c>
      <c r="G4093" s="1" t="n">
        <v>0.15</v>
      </c>
      <c r="H4093" s="1" t="s">
        <v>1336</v>
      </c>
      <c r="I4093" s="1" t="n">
        <v>1233.67</v>
      </c>
      <c r="J4093" s="1" t="str">
        <f aca="false">VLOOKUP(B4093,Customers!$A$2:$G$502,6,FALSE())</f>
        <v>Consumer</v>
      </c>
      <c r="K4093" s="1" t="str">
        <f aca="false">VLOOKUP(C4093,Products!$A$2:$E$62,3,FALSE())</f>
        <v>Office Supplies</v>
      </c>
      <c r="L4093" s="1" t="str">
        <f aca="false">TEXT(D4093,"yyyy-mm")</f>
        <v>2024-09</v>
      </c>
    </row>
    <row r="4094" customFormat="false" ht="15" hidden="false" customHeight="true" outlineLevel="0" collapsed="false">
      <c r="A4094" s="1" t="n">
        <v>4183</v>
      </c>
      <c r="B4094" s="1" t="n">
        <v>378</v>
      </c>
      <c r="C4094" s="1" t="n">
        <v>14</v>
      </c>
      <c r="D4094" s="1" t="s">
        <v>266</v>
      </c>
      <c r="E4094" s="1" t="n">
        <v>8</v>
      </c>
      <c r="F4094" s="1" t="n">
        <v>135.27</v>
      </c>
      <c r="G4094" s="1" t="n">
        <v>0</v>
      </c>
      <c r="H4094" s="1" t="s">
        <v>1336</v>
      </c>
      <c r="I4094" s="1" t="n">
        <v>1082.16</v>
      </c>
      <c r="J4094" s="1" t="str">
        <f aca="false">VLOOKUP(B4094,Customers!$A$2:$G$502,6,FALSE())</f>
        <v>Small Business</v>
      </c>
      <c r="K4094" s="1" t="str">
        <f aca="false">VLOOKUP(C4094,Products!$A$2:$E$62,3,FALSE())</f>
        <v>Electronics</v>
      </c>
      <c r="L4094" s="1" t="str">
        <f aca="false">TEXT(D4094,"yyyy-mm")</f>
        <v>2023-09</v>
      </c>
    </row>
    <row r="4095" customFormat="false" ht="15" hidden="false" customHeight="true" outlineLevel="0" collapsed="false">
      <c r="A4095" s="1" t="n">
        <v>4184</v>
      </c>
      <c r="B4095" s="1" t="n">
        <v>259</v>
      </c>
      <c r="C4095" s="1" t="n">
        <v>50</v>
      </c>
      <c r="D4095" s="1" t="s">
        <v>1173</v>
      </c>
      <c r="E4095" s="1" t="n">
        <v>6</v>
      </c>
      <c r="F4095" s="1" t="n">
        <v>19.73</v>
      </c>
      <c r="G4095" s="1" t="n">
        <v>0.05</v>
      </c>
      <c r="H4095" s="1" t="s">
        <v>1336</v>
      </c>
      <c r="I4095" s="1" t="n">
        <v>112.46</v>
      </c>
      <c r="J4095" s="1" t="str">
        <f aca="false">VLOOKUP(B4095,Customers!$A$2:$G$502,6,FALSE())</f>
        <v>Consumer</v>
      </c>
      <c r="K4095" s="1" t="str">
        <f aca="false">VLOOKUP(C4095,Products!$A$2:$E$62,3,FALSE())</f>
        <v>Software</v>
      </c>
      <c r="L4095" s="1" t="str">
        <f aca="false">TEXT(D4095,"yyyy-mm")</f>
        <v>2023-01</v>
      </c>
    </row>
    <row r="4096" customFormat="false" ht="15" hidden="false" customHeight="true" outlineLevel="0" collapsed="false">
      <c r="A4096" s="1" t="n">
        <v>4185</v>
      </c>
      <c r="B4096" s="1" t="n">
        <v>433</v>
      </c>
      <c r="C4096" s="1" t="n">
        <v>42</v>
      </c>
      <c r="D4096" s="1" t="s">
        <v>1361</v>
      </c>
      <c r="E4096" s="1" t="n">
        <v>9</v>
      </c>
      <c r="F4096" s="1" t="n">
        <v>174.48</v>
      </c>
      <c r="G4096" s="1" t="n">
        <v>0</v>
      </c>
      <c r="H4096" s="1" t="s">
        <v>1346</v>
      </c>
      <c r="I4096" s="1" t="n">
        <v>1570.32</v>
      </c>
      <c r="J4096" s="1" t="str">
        <f aca="false">VLOOKUP(B4096,Customers!$A$2:$G$502,6,FALSE())</f>
        <v>Small Business</v>
      </c>
      <c r="K4096" s="1" t="str">
        <f aca="false">VLOOKUP(C4096,Products!$A$2:$E$62,3,FALSE())</f>
        <v>Software</v>
      </c>
      <c r="L4096" s="1" t="str">
        <f aca="false">TEXT(D4096,"yyyy-mm")</f>
        <v>2024-01</v>
      </c>
    </row>
    <row r="4097" customFormat="false" ht="15" hidden="false" customHeight="true" outlineLevel="0" collapsed="false">
      <c r="A4097" s="1" t="n">
        <v>4186</v>
      </c>
      <c r="B4097" s="1" t="n">
        <v>495</v>
      </c>
      <c r="C4097" s="1" t="n">
        <v>30</v>
      </c>
      <c r="D4097" s="1" t="s">
        <v>1490</v>
      </c>
      <c r="E4097" s="1" t="n">
        <v>7</v>
      </c>
      <c r="F4097" s="1" t="n">
        <v>33.32</v>
      </c>
      <c r="G4097" s="1" t="n">
        <v>0</v>
      </c>
      <c r="H4097" s="1" t="s">
        <v>1336</v>
      </c>
      <c r="I4097" s="1" t="n">
        <v>233.24</v>
      </c>
      <c r="J4097" s="1" t="str">
        <f aca="false">VLOOKUP(B4097,Customers!$A$2:$G$502,6,FALSE())</f>
        <v>Small Business</v>
      </c>
      <c r="K4097" s="1" t="str">
        <f aca="false">VLOOKUP(C4097,Products!$A$2:$E$62,3,FALSE())</f>
        <v>Office Supplies</v>
      </c>
      <c r="L4097" s="1" t="str">
        <f aca="false">TEXT(D4097,"yyyy-mm")</f>
        <v>2024-06</v>
      </c>
    </row>
    <row r="4098" customFormat="false" ht="15" hidden="false" customHeight="true" outlineLevel="0" collapsed="false">
      <c r="A4098" s="1" t="n">
        <v>4187</v>
      </c>
      <c r="B4098" s="1" t="n">
        <v>138</v>
      </c>
      <c r="C4098" s="1" t="n">
        <v>33</v>
      </c>
      <c r="D4098" s="1" t="s">
        <v>710</v>
      </c>
      <c r="E4098" s="1" t="n">
        <v>5</v>
      </c>
      <c r="F4098" s="1" t="n">
        <v>190.1</v>
      </c>
      <c r="G4098" s="1" t="n">
        <v>0.2</v>
      </c>
      <c r="H4098" s="1" t="s">
        <v>1336</v>
      </c>
      <c r="I4098" s="1" t="n">
        <v>760.4</v>
      </c>
      <c r="J4098" s="1" t="str">
        <f aca="false">VLOOKUP(B4098,Customers!$A$2:$G$502,6,FALSE())</f>
        <v>Consumer</v>
      </c>
      <c r="K4098" s="1" t="str">
        <f aca="false">VLOOKUP(C4098,Products!$A$2:$E$62,3,FALSE())</f>
        <v>Office Supplies</v>
      </c>
      <c r="L4098" s="1" t="str">
        <f aca="false">TEXT(D4098,"yyyy-mm")</f>
        <v>2023-07</v>
      </c>
    </row>
    <row r="4099" customFormat="false" ht="15" hidden="false" customHeight="true" outlineLevel="0" collapsed="false">
      <c r="A4099" s="1" t="n">
        <v>4188</v>
      </c>
      <c r="B4099" s="1" t="n">
        <v>110</v>
      </c>
      <c r="C4099" s="1" t="n">
        <v>28</v>
      </c>
      <c r="D4099" s="1" t="s">
        <v>325</v>
      </c>
      <c r="E4099" s="1" t="n">
        <v>8</v>
      </c>
      <c r="F4099" s="1" t="n">
        <v>505.23</v>
      </c>
      <c r="G4099" s="1" t="n">
        <v>0.15</v>
      </c>
      <c r="H4099" s="1" t="s">
        <v>1336</v>
      </c>
      <c r="I4099" s="1" t="n">
        <v>3435.56</v>
      </c>
      <c r="J4099" s="1" t="str">
        <f aca="false">VLOOKUP(B4099,Customers!$A$2:$G$502,6,FALSE())</f>
        <v>Corporate</v>
      </c>
      <c r="K4099" s="1" t="str">
        <f aca="false">VLOOKUP(C4099,Products!$A$2:$E$62,3,FALSE())</f>
        <v>Office Supplies</v>
      </c>
      <c r="L4099" s="1" t="str">
        <f aca="false">TEXT(D4099,"yyyy-mm")</f>
        <v>2023-12</v>
      </c>
    </row>
    <row r="4100" customFormat="false" ht="15" hidden="false" customHeight="true" outlineLevel="0" collapsed="false">
      <c r="A4100" s="1" t="n">
        <v>4189</v>
      </c>
      <c r="B4100" s="1" t="n">
        <v>318</v>
      </c>
      <c r="C4100" s="1" t="n">
        <v>9</v>
      </c>
      <c r="D4100" s="1" t="s">
        <v>623</v>
      </c>
      <c r="E4100" s="1" t="n">
        <v>2</v>
      </c>
      <c r="F4100" s="1" t="n">
        <v>203.1</v>
      </c>
      <c r="G4100" s="1" t="n">
        <v>0</v>
      </c>
      <c r="H4100" s="1" t="s">
        <v>1336</v>
      </c>
      <c r="I4100" s="1" t="n">
        <v>406.2</v>
      </c>
      <c r="J4100" s="1" t="str">
        <f aca="false">VLOOKUP(B4100,Customers!$A$2:$G$502,6,FALSE())</f>
        <v>Consumer</v>
      </c>
      <c r="K4100" s="1" t="str">
        <f aca="false">VLOOKUP(C4100,Products!$A$2:$E$62,3,FALSE())</f>
        <v>Electronics</v>
      </c>
      <c r="L4100" s="1" t="str">
        <f aca="false">TEXT(D4100,"yyyy-mm")</f>
        <v>2024-05</v>
      </c>
    </row>
    <row r="4101" customFormat="false" ht="15" hidden="false" customHeight="true" outlineLevel="0" collapsed="false">
      <c r="A4101" s="1" t="n">
        <v>4190</v>
      </c>
      <c r="B4101" s="1" t="n">
        <v>284</v>
      </c>
      <c r="C4101" s="1" t="n">
        <v>56</v>
      </c>
      <c r="D4101" s="1" t="s">
        <v>1700</v>
      </c>
      <c r="E4101" s="1" t="n">
        <v>7</v>
      </c>
      <c r="F4101" s="1" t="n">
        <v>160.64</v>
      </c>
      <c r="G4101" s="1" t="n">
        <v>0</v>
      </c>
      <c r="H4101" s="1" t="s">
        <v>1336</v>
      </c>
      <c r="I4101" s="1" t="n">
        <v>1124.48</v>
      </c>
      <c r="J4101" s="1" t="str">
        <f aca="false">VLOOKUP(B4101,Customers!$A$2:$G$502,6,FALSE())</f>
        <v>Consumer</v>
      </c>
      <c r="K4101" s="1" t="str">
        <f aca="false">VLOOKUP(C4101,Products!$A$2:$E$62,3,FALSE())</f>
        <v>Furniture</v>
      </c>
      <c r="L4101" s="1" t="str">
        <f aca="false">TEXT(D4101,"yyyy-mm")</f>
        <v>2024-06</v>
      </c>
    </row>
    <row r="4102" customFormat="false" ht="15" hidden="false" customHeight="true" outlineLevel="0" collapsed="false">
      <c r="A4102" s="1" t="n">
        <v>4191</v>
      </c>
      <c r="B4102" s="1" t="n">
        <v>379</v>
      </c>
      <c r="C4102" s="1" t="n">
        <v>6</v>
      </c>
      <c r="D4102" s="1" t="s">
        <v>1449</v>
      </c>
      <c r="E4102" s="1" t="n">
        <v>4</v>
      </c>
      <c r="F4102" s="1" t="n">
        <v>28.51</v>
      </c>
      <c r="G4102" s="1" t="n">
        <v>0.05</v>
      </c>
      <c r="H4102" s="1" t="s">
        <v>1336</v>
      </c>
      <c r="I4102" s="1" t="n">
        <v>108.34</v>
      </c>
      <c r="J4102" s="1" t="str">
        <f aca="false">VLOOKUP(B4102,Customers!$A$2:$G$502,6,FALSE())</f>
        <v>Corporate</v>
      </c>
      <c r="K4102" s="1" t="str">
        <f aca="false">VLOOKUP(C4102,Products!$A$2:$E$62,3,FALSE())</f>
        <v>Electronics</v>
      </c>
      <c r="L4102" s="1" t="str">
        <f aca="false">TEXT(D4102,"yyyy-mm")</f>
        <v>2024-03</v>
      </c>
    </row>
    <row r="4103" customFormat="false" ht="15" hidden="false" customHeight="true" outlineLevel="0" collapsed="false">
      <c r="A4103" s="1" t="n">
        <v>4192</v>
      </c>
      <c r="B4103" s="1" t="n">
        <v>486</v>
      </c>
      <c r="C4103" s="1" t="n">
        <v>17</v>
      </c>
      <c r="D4103" s="1" t="s">
        <v>151</v>
      </c>
      <c r="E4103" s="1" t="n">
        <v>9</v>
      </c>
      <c r="F4103" s="1" t="n">
        <v>65.61</v>
      </c>
      <c r="G4103" s="1" t="n">
        <v>0</v>
      </c>
      <c r="H4103" s="1" t="s">
        <v>1336</v>
      </c>
      <c r="I4103" s="1" t="n">
        <v>590.49</v>
      </c>
      <c r="J4103" s="1" t="str">
        <f aca="false">VLOOKUP(B4103,Customers!$A$2:$G$502,6,FALSE())</f>
        <v>Corporate</v>
      </c>
      <c r="K4103" s="1" t="str">
        <f aca="false">VLOOKUP(C4103,Products!$A$2:$E$62,3,FALSE())</f>
        <v>Electronics</v>
      </c>
      <c r="L4103" s="1" t="str">
        <f aca="false">TEXT(D4103,"yyyy-mm")</f>
        <v>2023-10</v>
      </c>
    </row>
    <row r="4104" customFormat="false" ht="15" hidden="false" customHeight="true" outlineLevel="0" collapsed="false">
      <c r="A4104" s="1" t="n">
        <v>4193</v>
      </c>
      <c r="B4104" s="1" t="n">
        <v>301</v>
      </c>
      <c r="C4104" s="1" t="n">
        <v>14</v>
      </c>
      <c r="D4104" s="1" t="s">
        <v>1645</v>
      </c>
      <c r="E4104" s="1" t="n">
        <v>1</v>
      </c>
      <c r="F4104" s="1" t="n">
        <v>135.27</v>
      </c>
      <c r="G4104" s="1" t="n">
        <v>0</v>
      </c>
      <c r="H4104" s="1" t="s">
        <v>1370</v>
      </c>
      <c r="I4104" s="1" t="n">
        <v>135.27</v>
      </c>
      <c r="J4104" s="1" t="str">
        <f aca="false">VLOOKUP(B4104,Customers!$A$2:$G$502,6,FALSE())</f>
        <v>Corporate</v>
      </c>
      <c r="K4104" s="1" t="str">
        <f aca="false">VLOOKUP(C4104,Products!$A$2:$E$62,3,FALSE())</f>
        <v>Electronics</v>
      </c>
      <c r="L4104" s="1" t="str">
        <f aca="false">TEXT(D4104,"yyyy-mm")</f>
        <v>2023-01</v>
      </c>
    </row>
    <row r="4105" customFormat="false" ht="15" hidden="false" customHeight="true" outlineLevel="0" collapsed="false">
      <c r="A4105" s="1" t="n">
        <v>4194</v>
      </c>
      <c r="B4105" s="1" t="n">
        <v>191</v>
      </c>
      <c r="C4105" s="1" t="n">
        <v>28</v>
      </c>
      <c r="D4105" s="1" t="s">
        <v>1235</v>
      </c>
      <c r="E4105" s="1" t="n">
        <v>7</v>
      </c>
      <c r="F4105" s="1" t="n">
        <v>505.23</v>
      </c>
      <c r="G4105" s="1" t="n">
        <v>0.2</v>
      </c>
      <c r="H4105" s="1" t="s">
        <v>1336</v>
      </c>
      <c r="I4105" s="1" t="n">
        <v>2829.29</v>
      </c>
      <c r="J4105" s="1" t="str">
        <f aca="false">VLOOKUP(B4105,Customers!$A$2:$G$502,6,FALSE())</f>
        <v>Corporate</v>
      </c>
      <c r="K4105" s="1" t="str">
        <f aca="false">VLOOKUP(C4105,Products!$A$2:$E$62,3,FALSE())</f>
        <v>Office Supplies</v>
      </c>
      <c r="L4105" s="1" t="str">
        <f aca="false">TEXT(D4105,"yyyy-mm")</f>
        <v>2023-01</v>
      </c>
    </row>
    <row r="4106" customFormat="false" ht="15" hidden="false" customHeight="true" outlineLevel="0" collapsed="false">
      <c r="A4106" s="1" t="n">
        <v>4195</v>
      </c>
      <c r="B4106" s="1" t="n">
        <v>28</v>
      </c>
      <c r="C4106" s="1" t="n">
        <v>8</v>
      </c>
      <c r="D4106" s="1" t="s">
        <v>536</v>
      </c>
      <c r="E4106" s="1" t="n">
        <v>6</v>
      </c>
      <c r="F4106" s="1" t="n">
        <v>104.4</v>
      </c>
      <c r="G4106" s="1" t="n">
        <v>0</v>
      </c>
      <c r="H4106" s="1" t="s">
        <v>1336</v>
      </c>
      <c r="I4106" s="1" t="n">
        <v>626.4</v>
      </c>
      <c r="J4106" s="1" t="str">
        <f aca="false">VLOOKUP(B4106,Customers!$A$2:$G$502,6,FALSE())</f>
        <v>Small Business</v>
      </c>
      <c r="K4106" s="1" t="str">
        <f aca="false">VLOOKUP(C4106,Products!$A$2:$E$62,3,FALSE())</f>
        <v>Electronics</v>
      </c>
      <c r="L4106" s="1" t="str">
        <f aca="false">TEXT(D4106,"yyyy-mm")</f>
        <v>2024-01</v>
      </c>
    </row>
    <row r="4107" customFormat="false" ht="15" hidden="false" customHeight="true" outlineLevel="0" collapsed="false">
      <c r="A4107" s="1" t="n">
        <v>4196</v>
      </c>
      <c r="B4107" s="1" t="n">
        <v>486</v>
      </c>
      <c r="C4107" s="1" t="n">
        <v>39</v>
      </c>
      <c r="D4107" s="1" t="s">
        <v>866</v>
      </c>
      <c r="E4107" s="1" t="n">
        <v>8</v>
      </c>
      <c r="F4107" s="1" t="n">
        <v>400.02</v>
      </c>
      <c r="G4107" s="1" t="n">
        <v>0</v>
      </c>
      <c r="H4107" s="1" t="s">
        <v>1336</v>
      </c>
      <c r="I4107" s="1" t="n">
        <v>3200.16</v>
      </c>
      <c r="J4107" s="1" t="str">
        <f aca="false">VLOOKUP(B4107,Customers!$A$2:$G$502,6,FALSE())</f>
        <v>Corporate</v>
      </c>
      <c r="K4107" s="1" t="str">
        <f aca="false">VLOOKUP(C4107,Products!$A$2:$E$62,3,FALSE())</f>
        <v>Software</v>
      </c>
      <c r="L4107" s="1" t="str">
        <f aca="false">TEXT(D4107,"yyyy-mm")</f>
        <v>2024-11</v>
      </c>
    </row>
    <row r="4108" customFormat="false" ht="15" hidden="false" customHeight="true" outlineLevel="0" collapsed="false">
      <c r="A4108" s="1" t="n">
        <v>4198</v>
      </c>
      <c r="B4108" s="1" t="n">
        <v>126</v>
      </c>
      <c r="C4108" s="1" t="n">
        <v>2</v>
      </c>
      <c r="D4108" s="1" t="s">
        <v>975</v>
      </c>
      <c r="E4108" s="1" t="n">
        <v>1</v>
      </c>
      <c r="F4108" s="1" t="n">
        <v>498.15</v>
      </c>
      <c r="G4108" s="1" t="n">
        <v>0.1</v>
      </c>
      <c r="H4108" s="1" t="s">
        <v>1336</v>
      </c>
      <c r="I4108" s="1" t="n">
        <v>448.34</v>
      </c>
      <c r="J4108" s="1" t="str">
        <f aca="false">VLOOKUP(B4108,Customers!$A$2:$G$502,6,FALSE())</f>
        <v>Small Business</v>
      </c>
      <c r="K4108" s="1" t="str">
        <f aca="false">VLOOKUP(C4108,Products!$A$2:$E$62,3,FALSE())</f>
        <v>Electronics</v>
      </c>
      <c r="L4108" s="1" t="str">
        <f aca="false">TEXT(D4108,"yyyy-mm")</f>
        <v>2024-03</v>
      </c>
    </row>
    <row r="4109" customFormat="false" ht="15" hidden="false" customHeight="true" outlineLevel="0" collapsed="false">
      <c r="A4109" s="1" t="n">
        <v>4199</v>
      </c>
      <c r="B4109" s="1" t="n">
        <v>431</v>
      </c>
      <c r="C4109" s="1" t="n">
        <v>4</v>
      </c>
      <c r="D4109" s="1" t="s">
        <v>1562</v>
      </c>
      <c r="E4109" s="1" t="n">
        <v>1</v>
      </c>
      <c r="F4109" s="1" t="n">
        <v>56.24</v>
      </c>
      <c r="G4109" s="1" t="n">
        <v>0</v>
      </c>
      <c r="H4109" s="1" t="s">
        <v>1336</v>
      </c>
      <c r="I4109" s="1" t="n">
        <v>56.24</v>
      </c>
      <c r="J4109" s="1" t="str">
        <f aca="false">VLOOKUP(B4109,Customers!$A$2:$G$502,6,FALSE())</f>
        <v>Consumer</v>
      </c>
      <c r="K4109" s="1" t="str">
        <f aca="false">VLOOKUP(C4109,Products!$A$2:$E$62,3,FALSE())</f>
        <v>Electronics</v>
      </c>
      <c r="L4109" s="1" t="str">
        <f aca="false">TEXT(D4109,"yyyy-mm")</f>
        <v>2023-07</v>
      </c>
    </row>
    <row r="4110" customFormat="false" ht="15" hidden="false" customHeight="true" outlineLevel="0" collapsed="false">
      <c r="A4110" s="1" t="n">
        <v>4201</v>
      </c>
      <c r="B4110" s="1" t="n">
        <v>150</v>
      </c>
      <c r="C4110" s="1" t="n">
        <v>9</v>
      </c>
      <c r="D4110" s="1" t="s">
        <v>1578</v>
      </c>
      <c r="E4110" s="1" t="n">
        <v>6</v>
      </c>
      <c r="F4110" s="1" t="n">
        <v>203.1</v>
      </c>
      <c r="G4110" s="1" t="n">
        <v>0</v>
      </c>
      <c r="H4110" s="1" t="s">
        <v>1336</v>
      </c>
      <c r="I4110" s="1" t="n">
        <v>1218.6</v>
      </c>
      <c r="J4110" s="1" t="str">
        <f aca="false">VLOOKUP(B4110,Customers!$A$2:$G$502,6,FALSE())</f>
        <v>Corporate</v>
      </c>
      <c r="K4110" s="1" t="str">
        <f aca="false">VLOOKUP(C4110,Products!$A$2:$E$62,3,FALSE())</f>
        <v>Electronics</v>
      </c>
      <c r="L4110" s="1" t="str">
        <f aca="false">TEXT(D4110,"yyyy-mm")</f>
        <v>2023-07</v>
      </c>
    </row>
    <row r="4111" customFormat="false" ht="15" hidden="false" customHeight="true" outlineLevel="0" collapsed="false">
      <c r="A4111" s="1" t="n">
        <v>4202</v>
      </c>
      <c r="B4111" s="1" t="n">
        <v>355</v>
      </c>
      <c r="C4111" s="1" t="n">
        <v>55</v>
      </c>
      <c r="D4111" s="1" t="s">
        <v>1584</v>
      </c>
      <c r="E4111" s="1" t="n">
        <v>5</v>
      </c>
      <c r="F4111" s="1" t="n">
        <v>123.38</v>
      </c>
      <c r="G4111" s="1" t="n">
        <v>0.1</v>
      </c>
      <c r="H4111" s="1" t="s">
        <v>1336</v>
      </c>
      <c r="I4111" s="1" t="n">
        <v>555.21</v>
      </c>
      <c r="J4111" s="1" t="str">
        <f aca="false">VLOOKUP(B4111,Customers!$A$2:$G$502,6,FALSE())</f>
        <v>Corporate</v>
      </c>
      <c r="K4111" s="1" t="str">
        <f aca="false">VLOOKUP(C4111,Products!$A$2:$E$62,3,FALSE())</f>
        <v>Furniture</v>
      </c>
      <c r="L4111" s="1" t="str">
        <f aca="false">TEXT(D4111,"yyyy-mm")</f>
        <v>2024-01</v>
      </c>
    </row>
    <row r="4112" customFormat="false" ht="15" hidden="false" customHeight="true" outlineLevel="0" collapsed="false">
      <c r="A4112" s="1" t="n">
        <v>4203</v>
      </c>
      <c r="B4112" s="1" t="n">
        <v>401</v>
      </c>
      <c r="C4112" s="1" t="n">
        <v>45</v>
      </c>
      <c r="D4112" s="1" t="s">
        <v>1130</v>
      </c>
      <c r="E4112" s="1" t="n">
        <v>1</v>
      </c>
      <c r="F4112" s="1" t="n">
        <v>560.01</v>
      </c>
      <c r="G4112" s="1" t="n">
        <v>0.1</v>
      </c>
      <c r="H4112" s="1" t="s">
        <v>1336</v>
      </c>
      <c r="I4112" s="1" t="n">
        <v>504.01</v>
      </c>
      <c r="J4112" s="1" t="str">
        <f aca="false">VLOOKUP(B4112,Customers!$A$2:$G$502,6,FALSE())</f>
        <v>Consumer</v>
      </c>
      <c r="K4112" s="1" t="str">
        <f aca="false">VLOOKUP(C4112,Products!$A$2:$E$62,3,FALSE())</f>
        <v>Software</v>
      </c>
      <c r="L4112" s="1" t="str">
        <f aca="false">TEXT(D4112,"yyyy-mm")</f>
        <v>2023-02</v>
      </c>
    </row>
    <row r="4113" customFormat="false" ht="15" hidden="false" customHeight="true" outlineLevel="0" collapsed="false">
      <c r="A4113" s="1" t="n">
        <v>4204</v>
      </c>
      <c r="B4113" s="1" t="n">
        <v>272</v>
      </c>
      <c r="C4113" s="1" t="n">
        <v>19</v>
      </c>
      <c r="D4113" s="1" t="s">
        <v>958</v>
      </c>
      <c r="E4113" s="1" t="n">
        <v>6</v>
      </c>
      <c r="F4113" s="1" t="n">
        <v>163.64</v>
      </c>
      <c r="G4113" s="1" t="n">
        <v>0.05</v>
      </c>
      <c r="H4113" s="1" t="s">
        <v>1336</v>
      </c>
      <c r="I4113" s="1" t="n">
        <v>932.75</v>
      </c>
      <c r="J4113" s="1" t="str">
        <f aca="false">VLOOKUP(B4113,Customers!$A$2:$G$502,6,FALSE())</f>
        <v>Consumer</v>
      </c>
      <c r="K4113" s="1" t="str">
        <f aca="false">VLOOKUP(C4113,Products!$A$2:$E$62,3,FALSE())</f>
        <v>Office Supplies</v>
      </c>
      <c r="L4113" s="1" t="str">
        <f aca="false">TEXT(D4113,"yyyy-mm")</f>
        <v>2024-12</v>
      </c>
    </row>
    <row r="4114" customFormat="false" ht="15" hidden="false" customHeight="true" outlineLevel="0" collapsed="false">
      <c r="A4114" s="1" t="n">
        <v>4205</v>
      </c>
      <c r="B4114" s="1" t="n">
        <v>308</v>
      </c>
      <c r="C4114" s="1" t="n">
        <v>29</v>
      </c>
      <c r="D4114" s="1" t="s">
        <v>1639</v>
      </c>
      <c r="E4114" s="1" t="n">
        <v>6</v>
      </c>
      <c r="F4114" s="1" t="n">
        <v>54.62</v>
      </c>
      <c r="G4114" s="1" t="n">
        <v>0.1</v>
      </c>
      <c r="H4114" s="1" t="s">
        <v>1336</v>
      </c>
      <c r="I4114" s="1" t="n">
        <v>294.95</v>
      </c>
      <c r="J4114" s="1" t="str">
        <f aca="false">VLOOKUP(B4114,Customers!$A$2:$G$502,6,FALSE())</f>
        <v>Consumer</v>
      </c>
      <c r="K4114" s="1" t="str">
        <f aca="false">VLOOKUP(C4114,Products!$A$2:$E$62,3,FALSE())</f>
        <v>Office Supplies</v>
      </c>
      <c r="L4114" s="1" t="str">
        <f aca="false">TEXT(D4114,"yyyy-mm")</f>
        <v>2023-07</v>
      </c>
    </row>
    <row r="4115" customFormat="false" ht="15" hidden="false" customHeight="true" outlineLevel="0" collapsed="false">
      <c r="A4115" s="1" t="n">
        <v>4206</v>
      </c>
      <c r="B4115" s="1" t="n">
        <v>169</v>
      </c>
      <c r="C4115" s="1" t="n">
        <v>41</v>
      </c>
      <c r="D4115" s="1" t="s">
        <v>856</v>
      </c>
      <c r="E4115" s="1" t="n">
        <v>3</v>
      </c>
      <c r="F4115" s="1" t="n">
        <v>594.54</v>
      </c>
      <c r="G4115" s="1" t="n">
        <v>0</v>
      </c>
      <c r="H4115" s="1" t="s">
        <v>1336</v>
      </c>
      <c r="I4115" s="1" t="n">
        <v>1783.62</v>
      </c>
      <c r="J4115" s="1" t="str">
        <f aca="false">VLOOKUP(B4115,Customers!$A$2:$G$502,6,FALSE())</f>
        <v>Consumer</v>
      </c>
      <c r="K4115" s="1" t="str">
        <f aca="false">VLOOKUP(C4115,Products!$A$2:$E$62,3,FALSE())</f>
        <v>Software</v>
      </c>
      <c r="L4115" s="1" t="str">
        <f aca="false">TEXT(D4115,"yyyy-mm")</f>
        <v>2024-11</v>
      </c>
    </row>
    <row r="4116" customFormat="false" ht="15" hidden="false" customHeight="true" outlineLevel="0" collapsed="false">
      <c r="A4116" s="1" t="n">
        <v>4207</v>
      </c>
      <c r="B4116" s="1" t="n">
        <v>81</v>
      </c>
      <c r="C4116" s="1" t="n">
        <v>32</v>
      </c>
      <c r="D4116" s="1" t="s">
        <v>309</v>
      </c>
      <c r="E4116" s="1" t="n">
        <v>8</v>
      </c>
      <c r="F4116" s="1" t="n">
        <v>492.27</v>
      </c>
      <c r="G4116" s="1" t="n">
        <v>0.2</v>
      </c>
      <c r="H4116" s="1" t="s">
        <v>1336</v>
      </c>
      <c r="I4116" s="1" t="n">
        <v>3150.53</v>
      </c>
      <c r="J4116" s="1" t="str">
        <f aca="false">VLOOKUP(B4116,Customers!$A$2:$G$502,6,FALSE())</f>
        <v>Consumer</v>
      </c>
      <c r="K4116" s="1" t="str">
        <f aca="false">VLOOKUP(C4116,Products!$A$2:$E$62,3,FALSE())</f>
        <v>Office Supplies</v>
      </c>
      <c r="L4116" s="1" t="str">
        <f aca="false">TEXT(D4116,"yyyy-mm")</f>
        <v>2023-05</v>
      </c>
    </row>
    <row r="4117" customFormat="false" ht="15" hidden="false" customHeight="true" outlineLevel="0" collapsed="false">
      <c r="A4117" s="1" t="n">
        <v>4208</v>
      </c>
      <c r="B4117" s="1" t="n">
        <v>141</v>
      </c>
      <c r="C4117" s="1" t="n">
        <v>55</v>
      </c>
      <c r="D4117" s="1" t="s">
        <v>124</v>
      </c>
      <c r="E4117" s="1" t="n">
        <v>1</v>
      </c>
      <c r="F4117" s="1" t="n">
        <v>123.38</v>
      </c>
      <c r="G4117" s="1" t="n">
        <v>0.1</v>
      </c>
      <c r="H4117" s="1" t="s">
        <v>1336</v>
      </c>
      <c r="I4117" s="1" t="n">
        <v>111.04</v>
      </c>
      <c r="J4117" s="1" t="str">
        <f aca="false">VLOOKUP(B4117,Customers!$A$2:$G$502,6,FALSE())</f>
        <v>Small Business</v>
      </c>
      <c r="K4117" s="1" t="str">
        <f aca="false">VLOOKUP(C4117,Products!$A$2:$E$62,3,FALSE())</f>
        <v>Furniture</v>
      </c>
      <c r="L4117" s="1" t="str">
        <f aca="false">TEXT(D4117,"yyyy-mm")</f>
        <v>2023-05</v>
      </c>
    </row>
    <row r="4118" customFormat="false" ht="15" hidden="false" customHeight="true" outlineLevel="0" collapsed="false">
      <c r="A4118" s="1" t="n">
        <v>4209</v>
      </c>
      <c r="B4118" s="1" t="n">
        <v>186</v>
      </c>
      <c r="C4118" s="1" t="n">
        <v>24</v>
      </c>
      <c r="D4118" s="1" t="s">
        <v>1162</v>
      </c>
      <c r="E4118" s="1" t="n">
        <v>1</v>
      </c>
      <c r="F4118" s="1" t="n">
        <v>207.34</v>
      </c>
      <c r="G4118" s="1" t="n">
        <v>0.05</v>
      </c>
      <c r="H4118" s="1" t="s">
        <v>1336</v>
      </c>
      <c r="I4118" s="1" t="n">
        <v>196.97</v>
      </c>
      <c r="J4118" s="1" t="str">
        <f aca="false">VLOOKUP(B4118,Customers!$A$2:$G$502,6,FALSE())</f>
        <v>Small Business</v>
      </c>
      <c r="K4118" s="1" t="str">
        <f aca="false">VLOOKUP(C4118,Products!$A$2:$E$62,3,FALSE())</f>
        <v>Office Supplies</v>
      </c>
      <c r="L4118" s="1" t="str">
        <f aca="false">TEXT(D4118,"yyyy-mm")</f>
        <v>2024-10</v>
      </c>
    </row>
    <row r="4119" customFormat="false" ht="15" hidden="false" customHeight="true" outlineLevel="0" collapsed="false">
      <c r="A4119" s="1" t="n">
        <v>4210</v>
      </c>
      <c r="B4119" s="1" t="n">
        <v>41</v>
      </c>
      <c r="C4119" s="1" t="n">
        <v>22</v>
      </c>
      <c r="D4119" s="1" t="s">
        <v>464</v>
      </c>
      <c r="E4119" s="1" t="n">
        <v>6</v>
      </c>
      <c r="F4119" s="1" t="n">
        <v>38.57</v>
      </c>
      <c r="G4119" s="1" t="n">
        <v>0.1</v>
      </c>
      <c r="H4119" s="1" t="s">
        <v>1336</v>
      </c>
      <c r="I4119" s="1" t="n">
        <v>208.28</v>
      </c>
      <c r="J4119" s="1" t="str">
        <f aca="false">VLOOKUP(B4119,Customers!$A$2:$G$502,6,FALSE())</f>
        <v>Corporate</v>
      </c>
      <c r="K4119" s="1" t="str">
        <f aca="false">VLOOKUP(C4119,Products!$A$2:$E$62,3,FALSE())</f>
        <v>Office Supplies</v>
      </c>
      <c r="L4119" s="1" t="str">
        <f aca="false">TEXT(D4119,"yyyy-mm")</f>
        <v>2023-12</v>
      </c>
    </row>
    <row r="4120" customFormat="false" ht="15" hidden="false" customHeight="true" outlineLevel="0" collapsed="false">
      <c r="A4120" s="1" t="n">
        <v>4211</v>
      </c>
      <c r="B4120" s="1" t="n">
        <v>373</v>
      </c>
      <c r="C4120" s="1" t="n">
        <v>47</v>
      </c>
      <c r="D4120" s="1" t="s">
        <v>348</v>
      </c>
      <c r="E4120" s="1" t="n">
        <v>1</v>
      </c>
      <c r="F4120" s="1" t="n">
        <v>506.19</v>
      </c>
      <c r="G4120" s="1" t="n">
        <v>0</v>
      </c>
      <c r="H4120" s="1" t="s">
        <v>1336</v>
      </c>
      <c r="I4120" s="1" t="n">
        <v>506.19</v>
      </c>
      <c r="J4120" s="1" t="str">
        <f aca="false">VLOOKUP(B4120,Customers!$A$2:$G$502,6,FALSE())</f>
        <v>Corporate</v>
      </c>
      <c r="K4120" s="1" t="str">
        <f aca="false">VLOOKUP(C4120,Products!$A$2:$E$62,3,FALSE())</f>
        <v>Software</v>
      </c>
      <c r="L4120" s="1" t="str">
        <f aca="false">TEXT(D4120,"yyyy-mm")</f>
        <v>2024-09</v>
      </c>
    </row>
    <row r="4121" customFormat="false" ht="15" hidden="false" customHeight="true" outlineLevel="0" collapsed="false">
      <c r="A4121" s="1" t="n">
        <v>4212</v>
      </c>
      <c r="B4121" s="1" t="n">
        <v>346</v>
      </c>
      <c r="C4121" s="1" t="n">
        <v>52</v>
      </c>
      <c r="D4121" s="1" t="s">
        <v>464</v>
      </c>
      <c r="E4121" s="1" t="n">
        <v>6</v>
      </c>
      <c r="F4121" s="1" t="n">
        <v>207.67</v>
      </c>
      <c r="G4121" s="1" t="n">
        <v>0</v>
      </c>
      <c r="H4121" s="1" t="s">
        <v>1336</v>
      </c>
      <c r="I4121" s="1" t="n">
        <v>1246.02</v>
      </c>
      <c r="J4121" s="1" t="str">
        <f aca="false">VLOOKUP(B4121,Customers!$A$2:$G$502,6,FALSE())</f>
        <v>Consumer</v>
      </c>
      <c r="K4121" s="1" t="str">
        <f aca="false">VLOOKUP(C4121,Products!$A$2:$E$62,3,FALSE())</f>
        <v>Software</v>
      </c>
      <c r="L4121" s="1" t="str">
        <f aca="false">TEXT(D4121,"yyyy-mm")</f>
        <v>2023-12</v>
      </c>
    </row>
    <row r="4122" customFormat="false" ht="15" hidden="false" customHeight="true" outlineLevel="0" collapsed="false">
      <c r="A4122" s="1" t="n">
        <v>4213</v>
      </c>
      <c r="B4122" s="1" t="n">
        <v>379</v>
      </c>
      <c r="C4122" s="1" t="n">
        <v>8</v>
      </c>
      <c r="D4122" s="1" t="s">
        <v>1400</v>
      </c>
      <c r="E4122" s="1" t="n">
        <v>1</v>
      </c>
      <c r="F4122" s="1" t="n">
        <v>104.4</v>
      </c>
      <c r="G4122" s="1" t="n">
        <v>0.2</v>
      </c>
      <c r="H4122" s="1" t="s">
        <v>1336</v>
      </c>
      <c r="I4122" s="1" t="n">
        <v>83.52</v>
      </c>
      <c r="J4122" s="1" t="str">
        <f aca="false">VLOOKUP(B4122,Customers!$A$2:$G$502,6,FALSE())</f>
        <v>Corporate</v>
      </c>
      <c r="K4122" s="1" t="str">
        <f aca="false">VLOOKUP(C4122,Products!$A$2:$E$62,3,FALSE())</f>
        <v>Electronics</v>
      </c>
      <c r="L4122" s="1" t="str">
        <f aca="false">TEXT(D4122,"yyyy-mm")</f>
        <v>2024-12</v>
      </c>
    </row>
    <row r="4123" customFormat="false" ht="15" hidden="false" customHeight="true" outlineLevel="0" collapsed="false">
      <c r="A4123" s="1" t="n">
        <v>4214</v>
      </c>
      <c r="B4123" s="1" t="n">
        <v>148</v>
      </c>
      <c r="C4123" s="1" t="n">
        <v>27</v>
      </c>
      <c r="D4123" s="1" t="s">
        <v>489</v>
      </c>
      <c r="E4123" s="1" t="n">
        <v>6</v>
      </c>
      <c r="F4123" s="1" t="n">
        <v>772.58</v>
      </c>
      <c r="G4123" s="1" t="n">
        <v>0</v>
      </c>
      <c r="H4123" s="1" t="s">
        <v>1336</v>
      </c>
      <c r="I4123" s="1" t="n">
        <v>4635.48</v>
      </c>
      <c r="J4123" s="1" t="str">
        <f aca="false">VLOOKUP(B4123,Customers!$A$2:$G$502,6,FALSE())</f>
        <v>Corporate</v>
      </c>
      <c r="K4123" s="1" t="str">
        <f aca="false">VLOOKUP(C4123,Products!$A$2:$E$62,3,FALSE())</f>
        <v>Office Supplies</v>
      </c>
      <c r="L4123" s="1" t="str">
        <f aca="false">TEXT(D4123,"yyyy-mm")</f>
        <v>2024-12</v>
      </c>
    </row>
    <row r="4124" customFormat="false" ht="15" hidden="false" customHeight="true" outlineLevel="0" collapsed="false">
      <c r="A4124" s="1" t="n">
        <v>4215</v>
      </c>
      <c r="B4124" s="1" t="n">
        <v>212</v>
      </c>
      <c r="C4124" s="1" t="n">
        <v>39</v>
      </c>
      <c r="D4124" s="1" t="s">
        <v>1362</v>
      </c>
      <c r="E4124" s="1" t="n">
        <v>3</v>
      </c>
      <c r="F4124" s="1" t="n">
        <v>400.02</v>
      </c>
      <c r="G4124" s="1" t="n">
        <v>0</v>
      </c>
      <c r="H4124" s="1" t="s">
        <v>1336</v>
      </c>
      <c r="I4124" s="1" t="n">
        <v>1200.06</v>
      </c>
      <c r="J4124" s="1" t="str">
        <f aca="false">VLOOKUP(B4124,Customers!$A$2:$G$502,6,FALSE())</f>
        <v>Consumer</v>
      </c>
      <c r="K4124" s="1" t="str">
        <f aca="false">VLOOKUP(C4124,Products!$A$2:$E$62,3,FALSE())</f>
        <v>Software</v>
      </c>
      <c r="L4124" s="1" t="str">
        <f aca="false">TEXT(D4124,"yyyy-mm")</f>
        <v>2024-01</v>
      </c>
    </row>
    <row r="4125" customFormat="false" ht="15" hidden="false" customHeight="true" outlineLevel="0" collapsed="false">
      <c r="A4125" s="1" t="n">
        <v>4216</v>
      </c>
      <c r="B4125" s="1" t="n">
        <v>189</v>
      </c>
      <c r="C4125" s="1" t="n">
        <v>56</v>
      </c>
      <c r="D4125" s="1" t="s">
        <v>1431</v>
      </c>
      <c r="E4125" s="1" t="n">
        <v>8</v>
      </c>
      <c r="F4125" s="1" t="n">
        <v>160.64</v>
      </c>
      <c r="G4125" s="1" t="n">
        <v>0.1</v>
      </c>
      <c r="H4125" s="1" t="s">
        <v>1336</v>
      </c>
      <c r="I4125" s="1" t="n">
        <v>1156.61</v>
      </c>
      <c r="J4125" s="1" t="str">
        <f aca="false">VLOOKUP(B4125,Customers!$A$2:$G$502,6,FALSE())</f>
        <v>Small Business</v>
      </c>
      <c r="K4125" s="1" t="str">
        <f aca="false">VLOOKUP(C4125,Products!$A$2:$E$62,3,FALSE())</f>
        <v>Furniture</v>
      </c>
      <c r="L4125" s="1" t="str">
        <f aca="false">TEXT(D4125,"yyyy-mm")</f>
        <v>2023-12</v>
      </c>
    </row>
    <row r="4126" customFormat="false" ht="15" hidden="false" customHeight="true" outlineLevel="0" collapsed="false">
      <c r="A4126" s="1" t="n">
        <v>4217</v>
      </c>
      <c r="B4126" s="1" t="n">
        <v>340</v>
      </c>
      <c r="C4126" s="1" t="n">
        <v>10</v>
      </c>
      <c r="D4126" s="1" t="s">
        <v>680</v>
      </c>
      <c r="E4126" s="1" t="n">
        <v>6</v>
      </c>
      <c r="F4126" s="1" t="n">
        <v>251.58</v>
      </c>
      <c r="G4126" s="1" t="n">
        <v>0.05</v>
      </c>
      <c r="H4126" s="1" t="s">
        <v>1336</v>
      </c>
      <c r="I4126" s="1" t="n">
        <v>1434.01</v>
      </c>
      <c r="J4126" s="1" t="str">
        <f aca="false">VLOOKUP(B4126,Customers!$A$2:$G$502,6,FALSE())</f>
        <v>Consumer</v>
      </c>
      <c r="K4126" s="1" t="str">
        <f aca="false">VLOOKUP(C4126,Products!$A$2:$E$62,3,FALSE())</f>
        <v>Electronics</v>
      </c>
      <c r="L4126" s="1" t="str">
        <f aca="false">TEXT(D4126,"yyyy-mm")</f>
        <v>2024-04</v>
      </c>
    </row>
    <row r="4127" customFormat="false" ht="15" hidden="false" customHeight="true" outlineLevel="0" collapsed="false">
      <c r="A4127" s="1" t="n">
        <v>4218</v>
      </c>
      <c r="B4127" s="1" t="n">
        <v>255</v>
      </c>
      <c r="C4127" s="1" t="n">
        <v>60</v>
      </c>
      <c r="D4127" s="1" t="s">
        <v>1271</v>
      </c>
      <c r="E4127" s="1" t="n">
        <v>1</v>
      </c>
      <c r="F4127" s="1" t="n">
        <v>584.98</v>
      </c>
      <c r="G4127" s="1" t="n">
        <v>0</v>
      </c>
      <c r="H4127" s="1" t="s">
        <v>1336</v>
      </c>
      <c r="I4127" s="1" t="n">
        <v>584.98</v>
      </c>
      <c r="J4127" s="1" t="str">
        <f aca="false">VLOOKUP(B4127,Customers!$A$2:$G$502,6,FALSE())</f>
        <v>Corporate</v>
      </c>
      <c r="K4127" s="1" t="str">
        <f aca="false">VLOOKUP(C4127,Products!$A$2:$E$62,3,FALSE())</f>
        <v>Furniture</v>
      </c>
      <c r="L4127" s="1" t="str">
        <f aca="false">TEXT(D4127,"yyyy-mm")</f>
        <v>2024-05</v>
      </c>
    </row>
    <row r="4128" customFormat="false" ht="15" hidden="false" customHeight="true" outlineLevel="0" collapsed="false">
      <c r="A4128" s="1" t="n">
        <v>4219</v>
      </c>
      <c r="B4128" s="1" t="n">
        <v>61</v>
      </c>
      <c r="C4128" s="1" t="n">
        <v>9</v>
      </c>
      <c r="D4128" s="1" t="s">
        <v>1350</v>
      </c>
      <c r="E4128" s="1" t="n">
        <v>5</v>
      </c>
      <c r="F4128" s="1" t="n">
        <v>203.1</v>
      </c>
      <c r="G4128" s="1" t="n">
        <v>0.1</v>
      </c>
      <c r="H4128" s="1" t="s">
        <v>1336</v>
      </c>
      <c r="I4128" s="1" t="n">
        <v>913.95</v>
      </c>
      <c r="J4128" s="1" t="str">
        <f aca="false">VLOOKUP(B4128,Customers!$A$2:$G$502,6,FALSE())</f>
        <v>Small Business</v>
      </c>
      <c r="K4128" s="1" t="str">
        <f aca="false">VLOOKUP(C4128,Products!$A$2:$E$62,3,FALSE())</f>
        <v>Electronics</v>
      </c>
      <c r="L4128" s="1" t="str">
        <f aca="false">TEXT(D4128,"yyyy-mm")</f>
        <v>2023-08</v>
      </c>
    </row>
    <row r="4129" customFormat="false" ht="15" hidden="false" customHeight="true" outlineLevel="0" collapsed="false">
      <c r="A4129" s="1" t="n">
        <v>4220</v>
      </c>
      <c r="B4129" s="1" t="n">
        <v>128</v>
      </c>
      <c r="C4129" s="1" t="n">
        <v>31</v>
      </c>
      <c r="D4129" s="1" t="s">
        <v>64</v>
      </c>
      <c r="E4129" s="1" t="n">
        <v>8</v>
      </c>
      <c r="F4129" s="1" t="n">
        <v>224.86</v>
      </c>
      <c r="G4129" s="1" t="n">
        <v>0.05</v>
      </c>
      <c r="H4129" s="1" t="s">
        <v>1336</v>
      </c>
      <c r="I4129" s="1" t="n">
        <v>1708.94</v>
      </c>
      <c r="J4129" s="1" t="str">
        <f aca="false">VLOOKUP(B4129,Customers!$A$2:$G$502,6,FALSE())</f>
        <v>Consumer</v>
      </c>
      <c r="K4129" s="1" t="str">
        <f aca="false">VLOOKUP(C4129,Products!$A$2:$E$62,3,FALSE())</f>
        <v>Office Supplies</v>
      </c>
      <c r="L4129" s="1" t="str">
        <f aca="false">TEXT(D4129,"yyyy-mm")</f>
        <v>2024-09</v>
      </c>
    </row>
    <row r="4130" customFormat="false" ht="15" hidden="false" customHeight="true" outlineLevel="0" collapsed="false">
      <c r="A4130" s="1" t="n">
        <v>4221</v>
      </c>
      <c r="B4130" s="1" t="n">
        <v>170</v>
      </c>
      <c r="C4130" s="1" t="n">
        <v>58</v>
      </c>
      <c r="D4130" s="1" t="s">
        <v>1361</v>
      </c>
      <c r="E4130" s="1" t="n">
        <v>3</v>
      </c>
      <c r="F4130" s="1" t="n">
        <v>515.55</v>
      </c>
      <c r="G4130" s="1" t="n">
        <v>0.1</v>
      </c>
      <c r="H4130" s="1" t="s">
        <v>1370</v>
      </c>
      <c r="I4130" s="1" t="n">
        <v>1391.98</v>
      </c>
      <c r="J4130" s="1" t="str">
        <f aca="false">VLOOKUP(B4130,Customers!$A$2:$G$502,6,FALSE())</f>
        <v>Small Business</v>
      </c>
      <c r="K4130" s="1" t="str">
        <f aca="false">VLOOKUP(C4130,Products!$A$2:$E$62,3,FALSE())</f>
        <v>Furniture</v>
      </c>
      <c r="L4130" s="1" t="str">
        <f aca="false">TEXT(D4130,"yyyy-mm")</f>
        <v>2024-01</v>
      </c>
    </row>
    <row r="4131" customFormat="false" ht="15" hidden="false" customHeight="true" outlineLevel="0" collapsed="false">
      <c r="A4131" s="1" t="n">
        <v>4222</v>
      </c>
      <c r="B4131" s="1" t="n">
        <v>214</v>
      </c>
      <c r="C4131" s="1" t="n">
        <v>30</v>
      </c>
      <c r="D4131" s="1" t="s">
        <v>1412</v>
      </c>
      <c r="E4131" s="1" t="n">
        <v>6</v>
      </c>
      <c r="F4131" s="1" t="n">
        <v>33.32</v>
      </c>
      <c r="G4131" s="1" t="n">
        <v>0.15</v>
      </c>
      <c r="H4131" s="1" t="s">
        <v>1336</v>
      </c>
      <c r="I4131" s="1" t="n">
        <v>169.93</v>
      </c>
      <c r="J4131" s="1" t="str">
        <f aca="false">VLOOKUP(B4131,Customers!$A$2:$G$502,6,FALSE())</f>
        <v>Corporate</v>
      </c>
      <c r="K4131" s="1" t="str">
        <f aca="false">VLOOKUP(C4131,Products!$A$2:$E$62,3,FALSE())</f>
        <v>Office Supplies</v>
      </c>
      <c r="L4131" s="1" t="str">
        <f aca="false">TEXT(D4131,"yyyy-mm")</f>
        <v>2023-09</v>
      </c>
    </row>
    <row r="4132" customFormat="false" ht="15" hidden="false" customHeight="true" outlineLevel="0" collapsed="false">
      <c r="A4132" s="1" t="n">
        <v>4223</v>
      </c>
      <c r="B4132" s="1" t="n">
        <v>289</v>
      </c>
      <c r="C4132" s="1" t="n">
        <v>22</v>
      </c>
      <c r="D4132" s="1" t="s">
        <v>1405</v>
      </c>
      <c r="E4132" s="1" t="n">
        <v>5</v>
      </c>
      <c r="F4132" s="1" t="n">
        <v>38.57</v>
      </c>
      <c r="G4132" s="1" t="n">
        <v>0.15</v>
      </c>
      <c r="H4132" s="1" t="s">
        <v>1336</v>
      </c>
      <c r="I4132" s="1" t="n">
        <v>163.92</v>
      </c>
      <c r="J4132" s="1" t="str">
        <f aca="false">VLOOKUP(B4132,Customers!$A$2:$G$502,6,FALSE())</f>
        <v>Consumer</v>
      </c>
      <c r="K4132" s="1" t="str">
        <f aca="false">VLOOKUP(C4132,Products!$A$2:$E$62,3,FALSE())</f>
        <v>Office Supplies</v>
      </c>
      <c r="L4132" s="1" t="str">
        <f aca="false">TEXT(D4132,"yyyy-mm")</f>
        <v>2024-03</v>
      </c>
    </row>
    <row r="4133" customFormat="false" ht="15" hidden="false" customHeight="true" outlineLevel="0" collapsed="false">
      <c r="A4133" s="1" t="n">
        <v>4224</v>
      </c>
      <c r="B4133" s="1" t="n">
        <v>176</v>
      </c>
      <c r="C4133" s="1" t="n">
        <v>58</v>
      </c>
      <c r="D4133" s="1" t="s">
        <v>745</v>
      </c>
      <c r="E4133" s="1" t="n">
        <v>6</v>
      </c>
      <c r="F4133" s="1" t="n">
        <v>515.55</v>
      </c>
      <c r="G4133" s="1" t="n">
        <v>0</v>
      </c>
      <c r="H4133" s="1" t="s">
        <v>1336</v>
      </c>
      <c r="I4133" s="1" t="n">
        <v>3093.3</v>
      </c>
      <c r="J4133" s="1" t="str">
        <f aca="false">VLOOKUP(B4133,Customers!$A$2:$G$502,6,FALSE())</f>
        <v>Corporate</v>
      </c>
      <c r="K4133" s="1" t="str">
        <f aca="false">VLOOKUP(C4133,Products!$A$2:$E$62,3,FALSE())</f>
        <v>Furniture</v>
      </c>
      <c r="L4133" s="1" t="str">
        <f aca="false">TEXT(D4133,"yyyy-mm")</f>
        <v>2023-01</v>
      </c>
    </row>
    <row r="4134" customFormat="false" ht="15" hidden="false" customHeight="true" outlineLevel="0" collapsed="false">
      <c r="A4134" s="1" t="n">
        <v>4225</v>
      </c>
      <c r="B4134" s="1" t="n">
        <v>11</v>
      </c>
      <c r="C4134" s="1" t="n">
        <v>25</v>
      </c>
      <c r="D4134" s="1" t="s">
        <v>1420</v>
      </c>
      <c r="E4134" s="1" t="n">
        <v>1</v>
      </c>
      <c r="F4134" s="1" t="n">
        <v>300.49</v>
      </c>
      <c r="G4134" s="1" t="n">
        <v>0</v>
      </c>
      <c r="H4134" s="1" t="s">
        <v>1336</v>
      </c>
      <c r="I4134" s="1" t="n">
        <v>300.49</v>
      </c>
      <c r="J4134" s="1" t="str">
        <f aca="false">VLOOKUP(B4134,Customers!$A$2:$G$502,6,FALSE())</f>
        <v>Consumer</v>
      </c>
      <c r="K4134" s="1" t="str">
        <f aca="false">VLOOKUP(C4134,Products!$A$2:$E$62,3,FALSE())</f>
        <v>Office Supplies</v>
      </c>
      <c r="L4134" s="1" t="str">
        <f aca="false">TEXT(D4134,"yyyy-mm")</f>
        <v>2023-11</v>
      </c>
    </row>
    <row r="4135" customFormat="false" ht="15" hidden="false" customHeight="true" outlineLevel="0" collapsed="false">
      <c r="A4135" s="1" t="n">
        <v>4226</v>
      </c>
      <c r="B4135" s="1" t="n">
        <v>348</v>
      </c>
      <c r="C4135" s="1" t="n">
        <v>31</v>
      </c>
      <c r="D4135" s="1" t="s">
        <v>701</v>
      </c>
      <c r="E4135" s="1" t="n">
        <v>7</v>
      </c>
      <c r="F4135" s="1" t="n">
        <v>224.86</v>
      </c>
      <c r="G4135" s="1" t="n">
        <v>0</v>
      </c>
      <c r="H4135" s="1" t="s">
        <v>1336</v>
      </c>
      <c r="I4135" s="1" t="n">
        <v>1574.02</v>
      </c>
      <c r="J4135" s="1" t="str">
        <f aca="false">VLOOKUP(B4135,Customers!$A$2:$G$502,6,FALSE())</f>
        <v>Consumer</v>
      </c>
      <c r="K4135" s="1" t="str">
        <f aca="false">VLOOKUP(C4135,Products!$A$2:$E$62,3,FALSE())</f>
        <v>Office Supplies</v>
      </c>
      <c r="L4135" s="1" t="str">
        <f aca="false">TEXT(D4135,"yyyy-mm")</f>
        <v>2024-02</v>
      </c>
    </row>
    <row r="4136" customFormat="false" ht="15" hidden="false" customHeight="true" outlineLevel="0" collapsed="false">
      <c r="A4136" s="1" t="n">
        <v>4227</v>
      </c>
      <c r="B4136" s="1" t="n">
        <v>58</v>
      </c>
      <c r="C4136" s="1" t="n">
        <v>45</v>
      </c>
      <c r="D4136" s="1" t="s">
        <v>1484</v>
      </c>
      <c r="E4136" s="1" t="n">
        <v>9</v>
      </c>
      <c r="F4136" s="1" t="n">
        <v>560.01</v>
      </c>
      <c r="G4136" s="1" t="n">
        <v>0</v>
      </c>
      <c r="H4136" s="1" t="s">
        <v>1336</v>
      </c>
      <c r="I4136" s="1" t="n">
        <v>5040.09</v>
      </c>
      <c r="J4136" s="1" t="str">
        <f aca="false">VLOOKUP(B4136,Customers!$A$2:$G$502,6,FALSE())</f>
        <v>Consumer</v>
      </c>
      <c r="K4136" s="1" t="str">
        <f aca="false">VLOOKUP(C4136,Products!$A$2:$E$62,3,FALSE())</f>
        <v>Software</v>
      </c>
      <c r="L4136" s="1" t="str">
        <f aca="false">TEXT(D4136,"yyyy-mm")</f>
        <v>2024-10</v>
      </c>
    </row>
    <row r="4137" customFormat="false" ht="15" hidden="false" customHeight="true" outlineLevel="0" collapsed="false">
      <c r="A4137" s="1" t="n">
        <v>4228</v>
      </c>
      <c r="B4137" s="1" t="n">
        <v>29</v>
      </c>
      <c r="C4137" s="1" t="n">
        <v>22</v>
      </c>
      <c r="D4137" s="1" t="s">
        <v>1668</v>
      </c>
      <c r="E4137" s="1" t="n">
        <v>2</v>
      </c>
      <c r="F4137" s="1" t="n">
        <v>38.57</v>
      </c>
      <c r="G4137" s="1" t="n">
        <v>0</v>
      </c>
      <c r="H4137" s="1" t="s">
        <v>1336</v>
      </c>
      <c r="I4137" s="1" t="n">
        <v>77.14</v>
      </c>
      <c r="J4137" s="1" t="str">
        <f aca="false">VLOOKUP(B4137,Customers!$A$2:$G$502,6,FALSE())</f>
        <v>Small Business</v>
      </c>
      <c r="K4137" s="1" t="str">
        <f aca="false">VLOOKUP(C4137,Products!$A$2:$E$62,3,FALSE())</f>
        <v>Office Supplies</v>
      </c>
      <c r="L4137" s="1" t="str">
        <f aca="false">TEXT(D4137,"yyyy-mm")</f>
        <v>2023-10</v>
      </c>
    </row>
    <row r="4138" customFormat="false" ht="15" hidden="false" customHeight="true" outlineLevel="0" collapsed="false">
      <c r="A4138" s="1" t="n">
        <v>4229</v>
      </c>
      <c r="B4138" s="1" t="n">
        <v>494</v>
      </c>
      <c r="C4138" s="1" t="n">
        <v>22</v>
      </c>
      <c r="D4138" s="1" t="s">
        <v>1361</v>
      </c>
      <c r="E4138" s="1" t="n">
        <v>5</v>
      </c>
      <c r="F4138" s="1" t="n">
        <v>38.57</v>
      </c>
      <c r="G4138" s="1" t="n">
        <v>0.05</v>
      </c>
      <c r="H4138" s="1" t="s">
        <v>1336</v>
      </c>
      <c r="I4138" s="1" t="n">
        <v>183.21</v>
      </c>
      <c r="J4138" s="1" t="str">
        <f aca="false">VLOOKUP(B4138,Customers!$A$2:$G$502,6,FALSE())</f>
        <v>Corporate</v>
      </c>
      <c r="K4138" s="1" t="str">
        <f aca="false">VLOOKUP(C4138,Products!$A$2:$E$62,3,FALSE())</f>
        <v>Office Supplies</v>
      </c>
      <c r="L4138" s="1" t="str">
        <f aca="false">TEXT(D4138,"yyyy-mm")</f>
        <v>2024-01</v>
      </c>
    </row>
    <row r="4139" customFormat="false" ht="15" hidden="false" customHeight="true" outlineLevel="0" collapsed="false">
      <c r="A4139" s="1" t="n">
        <v>4230</v>
      </c>
      <c r="B4139" s="1" t="n">
        <v>497</v>
      </c>
      <c r="C4139" s="1" t="n">
        <v>43</v>
      </c>
      <c r="D4139" s="1" t="s">
        <v>929</v>
      </c>
      <c r="E4139" s="1" t="n">
        <v>4</v>
      </c>
      <c r="F4139" s="1" t="n">
        <v>186.31</v>
      </c>
      <c r="G4139" s="1" t="n">
        <v>0</v>
      </c>
      <c r="H4139" s="1" t="s">
        <v>1336</v>
      </c>
      <c r="I4139" s="1" t="n">
        <v>745.24</v>
      </c>
      <c r="J4139" s="1" t="str">
        <f aca="false">VLOOKUP(B4139,Customers!$A$2:$G$502,6,FALSE())</f>
        <v>Consumer</v>
      </c>
      <c r="K4139" s="1" t="str">
        <f aca="false">VLOOKUP(C4139,Products!$A$2:$E$62,3,FALSE())</f>
        <v>Software</v>
      </c>
      <c r="L4139" s="1" t="str">
        <f aca="false">TEXT(D4139,"yyyy-mm")</f>
        <v>2023-08</v>
      </c>
    </row>
    <row r="4140" customFormat="false" ht="15" hidden="false" customHeight="true" outlineLevel="0" collapsed="false">
      <c r="A4140" s="1" t="n">
        <v>4231</v>
      </c>
      <c r="B4140" s="1" t="n">
        <v>441</v>
      </c>
      <c r="C4140" s="1" t="n">
        <v>49</v>
      </c>
      <c r="D4140" s="1" t="s">
        <v>424</v>
      </c>
      <c r="E4140" s="1" t="n">
        <v>6</v>
      </c>
      <c r="F4140" s="1" t="n">
        <v>325.17</v>
      </c>
      <c r="G4140" s="1" t="n">
        <v>0.05</v>
      </c>
      <c r="H4140" s="1" t="s">
        <v>1336</v>
      </c>
      <c r="I4140" s="1" t="n">
        <v>1853.47</v>
      </c>
      <c r="J4140" s="1" t="str">
        <f aca="false">VLOOKUP(B4140,Customers!$A$2:$G$502,6,FALSE())</f>
        <v>Corporate</v>
      </c>
      <c r="K4140" s="1" t="str">
        <f aca="false">VLOOKUP(C4140,Products!$A$2:$E$62,3,FALSE())</f>
        <v>Software</v>
      </c>
      <c r="L4140" s="1" t="str">
        <f aca="false">TEXT(D4140,"yyyy-mm")</f>
        <v>2024-02</v>
      </c>
    </row>
    <row r="4141" customFormat="false" ht="15" hidden="false" customHeight="true" outlineLevel="0" collapsed="false">
      <c r="A4141" s="1" t="n">
        <v>4232</v>
      </c>
      <c r="B4141" s="1" t="n">
        <v>4</v>
      </c>
      <c r="C4141" s="1" t="n">
        <v>20</v>
      </c>
      <c r="D4141" s="1" t="s">
        <v>455</v>
      </c>
      <c r="E4141" s="1" t="n">
        <v>6</v>
      </c>
      <c r="F4141" s="1" t="n">
        <v>426.15</v>
      </c>
      <c r="G4141" s="1" t="n">
        <v>0</v>
      </c>
      <c r="H4141" s="1" t="s">
        <v>1336</v>
      </c>
      <c r="I4141" s="1" t="n">
        <v>2556.9</v>
      </c>
      <c r="J4141" s="1" t="str">
        <f aca="false">VLOOKUP(B4141,Customers!$A$2:$G$502,6,FALSE())</f>
        <v>Consumer</v>
      </c>
      <c r="K4141" s="1" t="str">
        <f aca="false">VLOOKUP(C4141,Products!$A$2:$E$62,3,FALSE())</f>
        <v>Office Supplies</v>
      </c>
      <c r="L4141" s="1" t="str">
        <f aca="false">TEXT(D4141,"yyyy-mm")</f>
        <v>2024-08</v>
      </c>
    </row>
    <row r="4142" customFormat="false" ht="15" hidden="false" customHeight="true" outlineLevel="0" collapsed="false">
      <c r="A4142" s="1" t="n">
        <v>4233</v>
      </c>
      <c r="B4142" s="1" t="n">
        <v>41</v>
      </c>
      <c r="C4142" s="1" t="n">
        <v>31</v>
      </c>
      <c r="D4142" s="1" t="s">
        <v>1667</v>
      </c>
      <c r="E4142" s="1" t="n">
        <v>2</v>
      </c>
      <c r="F4142" s="1" t="n">
        <v>224.86</v>
      </c>
      <c r="G4142" s="1" t="n">
        <v>0</v>
      </c>
      <c r="H4142" s="1" t="s">
        <v>1346</v>
      </c>
      <c r="I4142" s="1" t="n">
        <v>449.72</v>
      </c>
      <c r="J4142" s="1" t="str">
        <f aca="false">VLOOKUP(B4142,Customers!$A$2:$G$502,6,FALSE())</f>
        <v>Corporate</v>
      </c>
      <c r="K4142" s="1" t="str">
        <f aca="false">VLOOKUP(C4142,Products!$A$2:$E$62,3,FALSE())</f>
        <v>Office Supplies</v>
      </c>
      <c r="L4142" s="1" t="str">
        <f aca="false">TEXT(D4142,"yyyy-mm")</f>
        <v>2023-04</v>
      </c>
    </row>
    <row r="4143" customFormat="false" ht="15" hidden="false" customHeight="true" outlineLevel="0" collapsed="false">
      <c r="A4143" s="1" t="n">
        <v>4234</v>
      </c>
      <c r="B4143" s="1" t="n">
        <v>48</v>
      </c>
      <c r="C4143" s="1" t="n">
        <v>41</v>
      </c>
      <c r="D4143" s="1" t="s">
        <v>1205</v>
      </c>
      <c r="E4143" s="1" t="n">
        <v>2</v>
      </c>
      <c r="F4143" s="1" t="n">
        <v>594.54</v>
      </c>
      <c r="G4143" s="1" t="n">
        <v>0.05</v>
      </c>
      <c r="H4143" s="1" t="s">
        <v>1336</v>
      </c>
      <c r="I4143" s="1" t="n">
        <v>1129.63</v>
      </c>
      <c r="J4143" s="1" t="str">
        <f aca="false">VLOOKUP(B4143,Customers!$A$2:$G$502,6,FALSE())</f>
        <v>Small Business</v>
      </c>
      <c r="K4143" s="1" t="str">
        <f aca="false">VLOOKUP(C4143,Products!$A$2:$E$62,3,FALSE())</f>
        <v>Software</v>
      </c>
      <c r="L4143" s="1" t="str">
        <f aca="false">TEXT(D4143,"yyyy-mm")</f>
        <v>2024-08</v>
      </c>
    </row>
    <row r="4144" customFormat="false" ht="15" hidden="false" customHeight="true" outlineLevel="0" collapsed="false">
      <c r="A4144" s="1" t="n">
        <v>4235</v>
      </c>
      <c r="B4144" s="1" t="n">
        <v>399</v>
      </c>
      <c r="C4144" s="1" t="n">
        <v>40</v>
      </c>
      <c r="D4144" s="1" t="s">
        <v>68</v>
      </c>
      <c r="E4144" s="1" t="n">
        <v>4</v>
      </c>
      <c r="F4144" s="1" t="n">
        <v>193.02</v>
      </c>
      <c r="G4144" s="1" t="n">
        <v>0</v>
      </c>
      <c r="H4144" s="1" t="s">
        <v>1336</v>
      </c>
      <c r="I4144" s="1" t="n">
        <v>772.08</v>
      </c>
      <c r="J4144" s="1" t="str">
        <f aca="false">VLOOKUP(B4144,Customers!$A$2:$G$502,6,FALSE())</f>
        <v>Corporate</v>
      </c>
      <c r="K4144" s="1" t="str">
        <f aca="false">VLOOKUP(C4144,Products!$A$2:$E$62,3,FALSE())</f>
        <v>Software</v>
      </c>
      <c r="L4144" s="1" t="str">
        <f aca="false">TEXT(D4144,"yyyy-mm")</f>
        <v>2024-11</v>
      </c>
    </row>
    <row r="4145" customFormat="false" ht="15" hidden="false" customHeight="true" outlineLevel="0" collapsed="false">
      <c r="A4145" s="1" t="n">
        <v>4236</v>
      </c>
      <c r="B4145" s="1" t="n">
        <v>490</v>
      </c>
      <c r="C4145" s="1" t="n">
        <v>57</v>
      </c>
      <c r="D4145" s="1" t="s">
        <v>1500</v>
      </c>
      <c r="E4145" s="1" t="n">
        <v>1</v>
      </c>
      <c r="F4145" s="1" t="n">
        <v>719.76</v>
      </c>
      <c r="G4145" s="1" t="n">
        <v>0</v>
      </c>
      <c r="H4145" s="1" t="s">
        <v>1336</v>
      </c>
      <c r="I4145" s="1" t="n">
        <v>719.76</v>
      </c>
      <c r="J4145" s="1" t="str">
        <f aca="false">VLOOKUP(B4145,Customers!$A$2:$G$502,6,FALSE())</f>
        <v>Consumer</v>
      </c>
      <c r="K4145" s="1" t="str">
        <f aca="false">VLOOKUP(C4145,Products!$A$2:$E$62,3,FALSE())</f>
        <v>Furniture</v>
      </c>
      <c r="L4145" s="1" t="str">
        <f aca="false">TEXT(D4145,"yyyy-mm")</f>
        <v>2024-06</v>
      </c>
    </row>
    <row r="4146" customFormat="false" ht="15" hidden="false" customHeight="true" outlineLevel="0" collapsed="false">
      <c r="A4146" s="1" t="n">
        <v>4237</v>
      </c>
      <c r="B4146" s="1" t="n">
        <v>189</v>
      </c>
      <c r="C4146" s="1" t="n">
        <v>24</v>
      </c>
      <c r="D4146" s="1" t="s">
        <v>1611</v>
      </c>
      <c r="E4146" s="1" t="n">
        <v>9</v>
      </c>
      <c r="F4146" s="1" t="n">
        <v>207.34</v>
      </c>
      <c r="G4146" s="1" t="n">
        <v>0</v>
      </c>
      <c r="H4146" s="1" t="s">
        <v>1336</v>
      </c>
      <c r="I4146" s="1" t="n">
        <v>1866.06</v>
      </c>
      <c r="J4146" s="1" t="str">
        <f aca="false">VLOOKUP(B4146,Customers!$A$2:$G$502,6,FALSE())</f>
        <v>Small Business</v>
      </c>
      <c r="K4146" s="1" t="str">
        <f aca="false">VLOOKUP(C4146,Products!$A$2:$E$62,3,FALSE())</f>
        <v>Office Supplies</v>
      </c>
      <c r="L4146" s="1" t="str">
        <f aca="false">TEXT(D4146,"yyyy-mm")</f>
        <v>2024-07</v>
      </c>
    </row>
    <row r="4147" customFormat="false" ht="15" hidden="false" customHeight="true" outlineLevel="0" collapsed="false">
      <c r="A4147" s="1" t="n">
        <v>4238</v>
      </c>
      <c r="B4147" s="1" t="n">
        <v>23</v>
      </c>
      <c r="C4147" s="1" t="n">
        <v>11</v>
      </c>
      <c r="D4147" s="1" t="s">
        <v>1403</v>
      </c>
      <c r="E4147" s="1" t="n">
        <v>7</v>
      </c>
      <c r="F4147" s="1" t="n">
        <v>328.39</v>
      </c>
      <c r="G4147" s="1" t="n">
        <v>0</v>
      </c>
      <c r="H4147" s="1" t="s">
        <v>1336</v>
      </c>
      <c r="I4147" s="1" t="n">
        <v>2298.73</v>
      </c>
      <c r="J4147" s="1" t="str">
        <f aca="false">VLOOKUP(B4147,Customers!$A$2:$G$502,6,FALSE())</f>
        <v>Corporate</v>
      </c>
      <c r="K4147" s="1" t="str">
        <f aca="false">VLOOKUP(C4147,Products!$A$2:$E$62,3,FALSE())</f>
        <v>Electronics</v>
      </c>
      <c r="L4147" s="1" t="str">
        <f aca="false">TEXT(D4147,"yyyy-mm")</f>
        <v>2024-02</v>
      </c>
    </row>
    <row r="4148" customFormat="false" ht="15" hidden="false" customHeight="true" outlineLevel="0" collapsed="false">
      <c r="A4148" s="1" t="n">
        <v>4239</v>
      </c>
      <c r="B4148" s="1" t="n">
        <v>122</v>
      </c>
      <c r="C4148" s="1" t="n">
        <v>46</v>
      </c>
      <c r="D4148" s="1" t="s">
        <v>1350</v>
      </c>
      <c r="E4148" s="1" t="n">
        <v>7</v>
      </c>
      <c r="F4148" s="1" t="n">
        <v>94.92</v>
      </c>
      <c r="G4148" s="1" t="n">
        <v>0.1</v>
      </c>
      <c r="H4148" s="1" t="s">
        <v>1336</v>
      </c>
      <c r="I4148" s="1" t="n">
        <v>598</v>
      </c>
      <c r="J4148" s="1" t="str">
        <f aca="false">VLOOKUP(B4148,Customers!$A$2:$G$502,6,FALSE())</f>
        <v>Corporate</v>
      </c>
      <c r="K4148" s="1" t="str">
        <f aca="false">VLOOKUP(C4148,Products!$A$2:$E$62,3,FALSE())</f>
        <v>Software</v>
      </c>
      <c r="L4148" s="1" t="str">
        <f aca="false">TEXT(D4148,"yyyy-mm")</f>
        <v>2023-08</v>
      </c>
    </row>
    <row r="4149" customFormat="false" ht="15" hidden="false" customHeight="true" outlineLevel="0" collapsed="false">
      <c r="A4149" s="1" t="n">
        <v>4240</v>
      </c>
      <c r="B4149" s="1" t="n">
        <v>341</v>
      </c>
      <c r="C4149" s="1" t="n">
        <v>43</v>
      </c>
      <c r="D4149" s="1" t="s">
        <v>443</v>
      </c>
      <c r="E4149" s="1" t="n">
        <v>3</v>
      </c>
      <c r="F4149" s="1" t="n">
        <v>186.31</v>
      </c>
      <c r="G4149" s="1" t="n">
        <v>0.1</v>
      </c>
      <c r="H4149" s="1" t="s">
        <v>1336</v>
      </c>
      <c r="I4149" s="1" t="n">
        <v>503.04</v>
      </c>
      <c r="J4149" s="1" t="str">
        <f aca="false">VLOOKUP(B4149,Customers!$A$2:$G$502,6,FALSE())</f>
        <v>Small Business</v>
      </c>
      <c r="K4149" s="1" t="str">
        <f aca="false">VLOOKUP(C4149,Products!$A$2:$E$62,3,FALSE())</f>
        <v>Software</v>
      </c>
      <c r="L4149" s="1" t="str">
        <f aca="false">TEXT(D4149,"yyyy-mm")</f>
        <v>2023-08</v>
      </c>
    </row>
    <row r="4150" customFormat="false" ht="15" hidden="false" customHeight="true" outlineLevel="0" collapsed="false">
      <c r="A4150" s="1" t="n">
        <v>4241</v>
      </c>
      <c r="B4150" s="1" t="n">
        <v>488</v>
      </c>
      <c r="C4150" s="1" t="n">
        <v>5</v>
      </c>
      <c r="D4150" s="1" t="s">
        <v>1624</v>
      </c>
      <c r="E4150" s="1" t="n">
        <v>3</v>
      </c>
      <c r="F4150" s="1" t="n">
        <v>439.06</v>
      </c>
      <c r="G4150" s="1" t="n">
        <v>0.1</v>
      </c>
      <c r="H4150" s="1" t="s">
        <v>1336</v>
      </c>
      <c r="I4150" s="1" t="n">
        <v>1185.46</v>
      </c>
      <c r="J4150" s="1" t="str">
        <f aca="false">VLOOKUP(B4150,Customers!$A$2:$G$502,6,FALSE())</f>
        <v>Consumer</v>
      </c>
      <c r="K4150" s="1" t="str">
        <f aca="false">VLOOKUP(C4150,Products!$A$2:$E$62,3,FALSE())</f>
        <v>Electronics</v>
      </c>
      <c r="L4150" s="1" t="str">
        <f aca="false">TEXT(D4150,"yyyy-mm")</f>
        <v>2024-07</v>
      </c>
    </row>
    <row r="4151" customFormat="false" ht="15" hidden="false" customHeight="true" outlineLevel="0" collapsed="false">
      <c r="A4151" s="1" t="n">
        <v>4242</v>
      </c>
      <c r="B4151" s="1" t="n">
        <v>267</v>
      </c>
      <c r="C4151" s="1" t="n">
        <v>7</v>
      </c>
      <c r="D4151" s="1" t="s">
        <v>1097</v>
      </c>
      <c r="E4151" s="1" t="n">
        <v>1</v>
      </c>
      <c r="F4151" s="1" t="n">
        <v>460</v>
      </c>
      <c r="G4151" s="1" t="n">
        <v>0.2</v>
      </c>
      <c r="H4151" s="1" t="s">
        <v>1336</v>
      </c>
      <c r="I4151" s="1" t="n">
        <v>368</v>
      </c>
      <c r="J4151" s="1" t="str">
        <f aca="false">VLOOKUP(B4151,Customers!$A$2:$G$502,6,FALSE())</f>
        <v>Corporate</v>
      </c>
      <c r="K4151" s="1" t="str">
        <f aca="false">VLOOKUP(C4151,Products!$A$2:$E$62,3,FALSE())</f>
        <v>Electronics</v>
      </c>
      <c r="L4151" s="1" t="str">
        <f aca="false">TEXT(D4151,"yyyy-mm")</f>
        <v>2024-02</v>
      </c>
    </row>
    <row r="4152" customFormat="false" ht="15" hidden="false" customHeight="true" outlineLevel="0" collapsed="false">
      <c r="A4152" s="1" t="n">
        <v>4243</v>
      </c>
      <c r="B4152" s="1" t="n">
        <v>432</v>
      </c>
      <c r="C4152" s="1" t="n">
        <v>52</v>
      </c>
      <c r="D4152" s="1" t="s">
        <v>545</v>
      </c>
      <c r="E4152" s="1" t="n">
        <v>3</v>
      </c>
      <c r="F4152" s="1" t="n">
        <v>207.67</v>
      </c>
      <c r="G4152" s="1" t="n">
        <v>0.15</v>
      </c>
      <c r="H4152" s="1" t="s">
        <v>1336</v>
      </c>
      <c r="I4152" s="1" t="n">
        <v>529.56</v>
      </c>
      <c r="J4152" s="1" t="str">
        <f aca="false">VLOOKUP(B4152,Customers!$A$2:$G$502,6,FALSE())</f>
        <v>Consumer</v>
      </c>
      <c r="K4152" s="1" t="str">
        <f aca="false">VLOOKUP(C4152,Products!$A$2:$E$62,3,FALSE())</f>
        <v>Software</v>
      </c>
      <c r="L4152" s="1" t="str">
        <f aca="false">TEXT(D4152,"yyyy-mm")</f>
        <v>2023-05</v>
      </c>
    </row>
    <row r="4153" customFormat="false" ht="15" hidden="false" customHeight="true" outlineLevel="0" collapsed="false">
      <c r="A4153" s="1" t="n">
        <v>4244</v>
      </c>
      <c r="B4153" s="1" t="n">
        <v>151</v>
      </c>
      <c r="C4153" s="1" t="n">
        <v>12</v>
      </c>
      <c r="D4153" s="1" t="s">
        <v>1571</v>
      </c>
      <c r="E4153" s="1" t="n">
        <v>3</v>
      </c>
      <c r="F4153" s="1" t="n">
        <v>179.23</v>
      </c>
      <c r="G4153" s="1" t="n">
        <v>0.05</v>
      </c>
      <c r="H4153" s="1" t="s">
        <v>1336</v>
      </c>
      <c r="I4153" s="1" t="n">
        <v>510.81</v>
      </c>
      <c r="J4153" s="1" t="str">
        <f aca="false">VLOOKUP(B4153,Customers!$A$2:$G$502,6,FALSE())</f>
        <v>Small Business</v>
      </c>
      <c r="K4153" s="1" t="str">
        <f aca="false">VLOOKUP(C4153,Products!$A$2:$E$62,3,FALSE())</f>
        <v>Electronics</v>
      </c>
      <c r="L4153" s="1" t="str">
        <f aca="false">TEXT(D4153,"yyyy-mm")</f>
        <v>2024-02</v>
      </c>
    </row>
    <row r="4154" customFormat="false" ht="15" hidden="false" customHeight="true" outlineLevel="0" collapsed="false">
      <c r="A4154" s="1" t="n">
        <v>4245</v>
      </c>
      <c r="B4154" s="1" t="n">
        <v>141</v>
      </c>
      <c r="C4154" s="1" t="n">
        <v>55</v>
      </c>
      <c r="D4154" s="1" t="s">
        <v>745</v>
      </c>
      <c r="E4154" s="1" t="n">
        <v>4</v>
      </c>
      <c r="F4154" s="1" t="n">
        <v>123.38</v>
      </c>
      <c r="G4154" s="1" t="n">
        <v>0</v>
      </c>
      <c r="H4154" s="1" t="s">
        <v>1336</v>
      </c>
      <c r="I4154" s="1" t="n">
        <v>493.52</v>
      </c>
      <c r="J4154" s="1" t="str">
        <f aca="false">VLOOKUP(B4154,Customers!$A$2:$G$502,6,FALSE())</f>
        <v>Small Business</v>
      </c>
      <c r="K4154" s="1" t="str">
        <f aca="false">VLOOKUP(C4154,Products!$A$2:$E$62,3,FALSE())</f>
        <v>Furniture</v>
      </c>
      <c r="L4154" s="1" t="str">
        <f aca="false">TEXT(D4154,"yyyy-mm")</f>
        <v>2023-01</v>
      </c>
    </row>
    <row r="4155" customFormat="false" ht="15" hidden="false" customHeight="true" outlineLevel="0" collapsed="false">
      <c r="A4155" s="1" t="n">
        <v>4246</v>
      </c>
      <c r="B4155" s="1" t="n">
        <v>390</v>
      </c>
      <c r="C4155" s="1" t="n">
        <v>32</v>
      </c>
      <c r="D4155" s="1" t="s">
        <v>1359</v>
      </c>
      <c r="E4155" s="1" t="n">
        <v>4</v>
      </c>
      <c r="F4155" s="1" t="n">
        <v>492.27</v>
      </c>
      <c r="G4155" s="1" t="n">
        <v>0.2</v>
      </c>
      <c r="H4155" s="1" t="s">
        <v>1336</v>
      </c>
      <c r="I4155" s="1" t="n">
        <v>1575.26</v>
      </c>
      <c r="J4155" s="1" t="str">
        <f aca="false">VLOOKUP(B4155,Customers!$A$2:$G$502,6,FALSE())</f>
        <v>Small Business</v>
      </c>
      <c r="K4155" s="1" t="str">
        <f aca="false">VLOOKUP(C4155,Products!$A$2:$E$62,3,FALSE())</f>
        <v>Office Supplies</v>
      </c>
      <c r="L4155" s="1" t="str">
        <f aca="false">TEXT(D4155,"yyyy-mm")</f>
        <v>2024-09</v>
      </c>
    </row>
    <row r="4156" customFormat="false" ht="15" hidden="false" customHeight="true" outlineLevel="0" collapsed="false">
      <c r="A4156" s="1" t="n">
        <v>4247</v>
      </c>
      <c r="B4156" s="1" t="n">
        <v>266</v>
      </c>
      <c r="C4156" s="1" t="n">
        <v>6</v>
      </c>
      <c r="D4156" s="1" t="s">
        <v>1455</v>
      </c>
      <c r="E4156" s="1" t="n">
        <v>3</v>
      </c>
      <c r="F4156" s="1" t="n">
        <v>28.51</v>
      </c>
      <c r="G4156" s="1" t="n">
        <v>0.15</v>
      </c>
      <c r="H4156" s="1" t="s">
        <v>1336</v>
      </c>
      <c r="I4156" s="1" t="n">
        <v>72.7</v>
      </c>
      <c r="J4156" s="1" t="str">
        <f aca="false">VLOOKUP(B4156,Customers!$A$2:$G$502,6,FALSE())</f>
        <v>Corporate</v>
      </c>
      <c r="K4156" s="1" t="str">
        <f aca="false">VLOOKUP(C4156,Products!$A$2:$E$62,3,FALSE())</f>
        <v>Electronics</v>
      </c>
      <c r="L4156" s="1" t="str">
        <f aca="false">TEXT(D4156,"yyyy-mm")</f>
        <v>2024-11</v>
      </c>
    </row>
    <row r="4157" customFormat="false" ht="15" hidden="false" customHeight="true" outlineLevel="0" collapsed="false">
      <c r="A4157" s="1" t="n">
        <v>4248</v>
      </c>
      <c r="B4157" s="1" t="n">
        <v>291</v>
      </c>
      <c r="C4157" s="1" t="n">
        <v>11</v>
      </c>
      <c r="D4157" s="1" t="s">
        <v>1679</v>
      </c>
      <c r="E4157" s="1" t="n">
        <v>8</v>
      </c>
      <c r="F4157" s="1" t="n">
        <v>328.39</v>
      </c>
      <c r="G4157" s="1" t="n">
        <v>0.05</v>
      </c>
      <c r="H4157" s="1" t="s">
        <v>1336</v>
      </c>
      <c r="I4157" s="1" t="n">
        <v>2495.76</v>
      </c>
      <c r="J4157" s="1" t="str">
        <f aca="false">VLOOKUP(B4157,Customers!$A$2:$G$502,6,FALSE())</f>
        <v>Consumer</v>
      </c>
      <c r="K4157" s="1" t="str">
        <f aca="false">VLOOKUP(C4157,Products!$A$2:$E$62,3,FALSE())</f>
        <v>Electronics</v>
      </c>
      <c r="L4157" s="1" t="str">
        <f aca="false">TEXT(D4157,"yyyy-mm")</f>
        <v>2023-11</v>
      </c>
    </row>
    <row r="4158" customFormat="false" ht="15" hidden="false" customHeight="true" outlineLevel="0" collapsed="false">
      <c r="A4158" s="1" t="n">
        <v>4249</v>
      </c>
      <c r="B4158" s="1" t="n">
        <v>197</v>
      </c>
      <c r="C4158" s="1" t="n">
        <v>53</v>
      </c>
      <c r="D4158" s="1" t="s">
        <v>1524</v>
      </c>
      <c r="E4158" s="1" t="n">
        <v>8</v>
      </c>
      <c r="F4158" s="1" t="n">
        <v>509.98</v>
      </c>
      <c r="G4158" s="1" t="n">
        <v>0</v>
      </c>
      <c r="H4158" s="1" t="s">
        <v>1370</v>
      </c>
      <c r="I4158" s="1" t="n">
        <v>4079.84</v>
      </c>
      <c r="J4158" s="1" t="str">
        <f aca="false">VLOOKUP(B4158,Customers!$A$2:$G$502,6,FALSE())</f>
        <v>Small Business</v>
      </c>
      <c r="K4158" s="1" t="str">
        <f aca="false">VLOOKUP(C4158,Products!$A$2:$E$62,3,FALSE())</f>
        <v>Software</v>
      </c>
      <c r="L4158" s="1" t="str">
        <f aca="false">TEXT(D4158,"yyyy-mm")</f>
        <v>2024-09</v>
      </c>
    </row>
    <row r="4159" customFormat="false" ht="15" hidden="false" customHeight="true" outlineLevel="0" collapsed="false">
      <c r="A4159" s="1" t="n">
        <v>4250</v>
      </c>
      <c r="B4159" s="1" t="n">
        <v>415</v>
      </c>
      <c r="C4159" s="1" t="n">
        <v>21</v>
      </c>
      <c r="D4159" s="1" t="s">
        <v>1092</v>
      </c>
      <c r="E4159" s="1" t="n">
        <v>1</v>
      </c>
      <c r="F4159" s="1" t="n">
        <v>84.91</v>
      </c>
      <c r="G4159" s="1" t="n">
        <v>0.2</v>
      </c>
      <c r="H4159" s="1" t="s">
        <v>1336</v>
      </c>
      <c r="I4159" s="1" t="n">
        <v>67.93</v>
      </c>
      <c r="J4159" s="1" t="str">
        <f aca="false">VLOOKUP(B4159,Customers!$A$2:$G$502,6,FALSE())</f>
        <v>Consumer</v>
      </c>
      <c r="K4159" s="1" t="str">
        <f aca="false">VLOOKUP(C4159,Products!$A$2:$E$62,3,FALSE())</f>
        <v>Office Supplies</v>
      </c>
      <c r="L4159" s="1" t="str">
        <f aca="false">TEXT(D4159,"yyyy-mm")</f>
        <v>2023-12</v>
      </c>
    </row>
    <row r="4160" customFormat="false" ht="15" hidden="false" customHeight="true" outlineLevel="0" collapsed="false">
      <c r="A4160" s="1" t="n">
        <v>4251</v>
      </c>
      <c r="B4160" s="1" t="n">
        <v>6</v>
      </c>
      <c r="C4160" s="1" t="n">
        <v>10</v>
      </c>
      <c r="D4160" s="1" t="s">
        <v>1160</v>
      </c>
      <c r="E4160" s="1" t="n">
        <v>7</v>
      </c>
      <c r="F4160" s="1" t="n">
        <v>251.58</v>
      </c>
      <c r="G4160" s="1" t="n">
        <v>0</v>
      </c>
      <c r="H4160" s="1" t="s">
        <v>1336</v>
      </c>
      <c r="I4160" s="1" t="n">
        <v>1761.06</v>
      </c>
      <c r="J4160" s="1" t="str">
        <f aca="false">VLOOKUP(B4160,Customers!$A$2:$G$502,6,FALSE())</f>
        <v>Corporate</v>
      </c>
      <c r="K4160" s="1" t="str">
        <f aca="false">VLOOKUP(C4160,Products!$A$2:$E$62,3,FALSE())</f>
        <v>Electronics</v>
      </c>
      <c r="L4160" s="1" t="str">
        <f aca="false">TEXT(D4160,"yyyy-mm")</f>
        <v>2024-10</v>
      </c>
    </row>
    <row r="4161" customFormat="false" ht="15" hidden="false" customHeight="true" outlineLevel="0" collapsed="false">
      <c r="A4161" s="1" t="n">
        <v>4252</v>
      </c>
      <c r="B4161" s="1" t="n">
        <v>290</v>
      </c>
      <c r="C4161" s="1" t="n">
        <v>52</v>
      </c>
      <c r="D4161" s="1" t="s">
        <v>841</v>
      </c>
      <c r="E4161" s="1" t="n">
        <v>2</v>
      </c>
      <c r="F4161" s="1" t="n">
        <v>207.67</v>
      </c>
      <c r="G4161" s="1" t="n">
        <v>0</v>
      </c>
      <c r="H4161" s="1" t="s">
        <v>1336</v>
      </c>
      <c r="I4161" s="1" t="n">
        <v>415.34</v>
      </c>
      <c r="J4161" s="1" t="str">
        <f aca="false">VLOOKUP(B4161,Customers!$A$2:$G$502,6,FALSE())</f>
        <v>Consumer</v>
      </c>
      <c r="K4161" s="1" t="str">
        <f aca="false">VLOOKUP(C4161,Products!$A$2:$E$62,3,FALSE())</f>
        <v>Software</v>
      </c>
      <c r="L4161" s="1" t="str">
        <f aca="false">TEXT(D4161,"yyyy-mm")</f>
        <v>2024-01</v>
      </c>
    </row>
    <row r="4162" customFormat="false" ht="15" hidden="false" customHeight="true" outlineLevel="0" collapsed="false">
      <c r="A4162" s="1" t="n">
        <v>4253</v>
      </c>
      <c r="B4162" s="1" t="n">
        <v>414</v>
      </c>
      <c r="C4162" s="1" t="n">
        <v>34</v>
      </c>
      <c r="D4162" s="1" t="s">
        <v>885</v>
      </c>
      <c r="E4162" s="1" t="n">
        <v>1</v>
      </c>
      <c r="F4162" s="1" t="n">
        <v>116.85</v>
      </c>
      <c r="G4162" s="1" t="n">
        <v>0</v>
      </c>
      <c r="H4162" s="1" t="s">
        <v>1336</v>
      </c>
      <c r="I4162" s="1" t="n">
        <v>116.85</v>
      </c>
      <c r="J4162" s="1" t="str">
        <f aca="false">VLOOKUP(B4162,Customers!$A$2:$G$502,6,FALSE())</f>
        <v>Consumer</v>
      </c>
      <c r="K4162" s="1" t="str">
        <f aca="false">VLOOKUP(C4162,Products!$A$2:$E$62,3,FALSE())</f>
        <v>Office Supplies</v>
      </c>
      <c r="L4162" s="1" t="str">
        <f aca="false">TEXT(D4162,"yyyy-mm")</f>
        <v>2023-03</v>
      </c>
    </row>
    <row r="4163" customFormat="false" ht="15" hidden="false" customHeight="true" outlineLevel="0" collapsed="false">
      <c r="A4163" s="1" t="n">
        <v>4254</v>
      </c>
      <c r="B4163" s="1" t="n">
        <v>405</v>
      </c>
      <c r="C4163" s="1" t="n">
        <v>10</v>
      </c>
      <c r="D4163" s="1" t="s">
        <v>94</v>
      </c>
      <c r="E4163" s="1" t="n">
        <v>3</v>
      </c>
      <c r="F4163" s="1" t="n">
        <v>251.58</v>
      </c>
      <c r="G4163" s="1" t="n">
        <v>0.15</v>
      </c>
      <c r="H4163" s="1" t="s">
        <v>1336</v>
      </c>
      <c r="I4163" s="1" t="n">
        <v>641.53</v>
      </c>
      <c r="J4163" s="1" t="str">
        <f aca="false">VLOOKUP(B4163,Customers!$A$2:$G$502,6,FALSE())</f>
        <v>Small Business</v>
      </c>
      <c r="K4163" s="1" t="str">
        <f aca="false">VLOOKUP(C4163,Products!$A$2:$E$62,3,FALSE())</f>
        <v>Electronics</v>
      </c>
      <c r="L4163" s="1" t="str">
        <f aca="false">TEXT(D4163,"yyyy-mm")</f>
        <v>2023-09</v>
      </c>
    </row>
    <row r="4164" customFormat="false" ht="15" hidden="false" customHeight="true" outlineLevel="0" collapsed="false">
      <c r="A4164" s="1" t="n">
        <v>4255</v>
      </c>
      <c r="B4164" s="1" t="n">
        <v>197</v>
      </c>
      <c r="C4164" s="1" t="n">
        <v>36</v>
      </c>
      <c r="D4164" s="1" t="s">
        <v>1147</v>
      </c>
      <c r="E4164" s="1" t="n">
        <v>4</v>
      </c>
      <c r="F4164" s="1" t="n">
        <v>424.45</v>
      </c>
      <c r="G4164" s="1" t="n">
        <v>0</v>
      </c>
      <c r="H4164" s="1" t="s">
        <v>1336</v>
      </c>
      <c r="I4164" s="1" t="n">
        <v>1697.8</v>
      </c>
      <c r="J4164" s="1" t="str">
        <f aca="false">VLOOKUP(B4164,Customers!$A$2:$G$502,6,FALSE())</f>
        <v>Small Business</v>
      </c>
      <c r="K4164" s="1" t="str">
        <f aca="false">VLOOKUP(C4164,Products!$A$2:$E$62,3,FALSE())</f>
        <v>Software</v>
      </c>
      <c r="L4164" s="1" t="str">
        <f aca="false">TEXT(D4164,"yyyy-mm")</f>
        <v>2024-05</v>
      </c>
    </row>
    <row r="4165" customFormat="false" ht="15" hidden="false" customHeight="true" outlineLevel="0" collapsed="false">
      <c r="A4165" s="1" t="n">
        <v>4256</v>
      </c>
      <c r="B4165" s="1" t="n">
        <v>362</v>
      </c>
      <c r="C4165" s="1" t="n">
        <v>36</v>
      </c>
      <c r="D4165" s="1" t="s">
        <v>1691</v>
      </c>
      <c r="E4165" s="1" t="n">
        <v>6</v>
      </c>
      <c r="F4165" s="1" t="n">
        <v>424.45</v>
      </c>
      <c r="G4165" s="1" t="n">
        <v>0</v>
      </c>
      <c r="H4165" s="1" t="s">
        <v>1370</v>
      </c>
      <c r="I4165" s="1" t="n">
        <v>2546.7</v>
      </c>
      <c r="J4165" s="1" t="str">
        <f aca="false">VLOOKUP(B4165,Customers!$A$2:$G$502,6,FALSE())</f>
        <v>Consumer</v>
      </c>
      <c r="K4165" s="1" t="str">
        <f aca="false">VLOOKUP(C4165,Products!$A$2:$E$62,3,FALSE())</f>
        <v>Software</v>
      </c>
      <c r="L4165" s="1" t="str">
        <f aca="false">TEXT(D4165,"yyyy-mm")</f>
        <v>2023-10</v>
      </c>
    </row>
    <row r="4166" customFormat="false" ht="15" hidden="false" customHeight="true" outlineLevel="0" collapsed="false">
      <c r="A4166" s="1" t="n">
        <v>4257</v>
      </c>
      <c r="B4166" s="1" t="n">
        <v>252</v>
      </c>
      <c r="C4166" s="1" t="n">
        <v>59</v>
      </c>
      <c r="D4166" s="1" t="s">
        <v>1420</v>
      </c>
      <c r="E4166" s="1" t="n">
        <v>5</v>
      </c>
      <c r="F4166" s="1" t="n">
        <v>438.89</v>
      </c>
      <c r="G4166" s="1" t="n">
        <v>0.15</v>
      </c>
      <c r="H4166" s="1" t="s">
        <v>1346</v>
      </c>
      <c r="I4166" s="1" t="n">
        <v>1865.28</v>
      </c>
      <c r="J4166" s="1" t="str">
        <f aca="false">VLOOKUP(B4166,Customers!$A$2:$G$502,6,FALSE())</f>
        <v>Consumer</v>
      </c>
      <c r="K4166" s="1" t="str">
        <f aca="false">VLOOKUP(C4166,Products!$A$2:$E$62,3,FALSE())</f>
        <v>Furniture</v>
      </c>
      <c r="L4166" s="1" t="str">
        <f aca="false">TEXT(D4166,"yyyy-mm")</f>
        <v>2023-11</v>
      </c>
    </row>
    <row r="4167" customFormat="false" ht="15" hidden="false" customHeight="true" outlineLevel="0" collapsed="false">
      <c r="A4167" s="1" t="n">
        <v>4258</v>
      </c>
      <c r="B4167" s="1" t="n">
        <v>27</v>
      </c>
      <c r="C4167" s="1" t="n">
        <v>60</v>
      </c>
      <c r="D4167" s="1" t="s">
        <v>1412</v>
      </c>
      <c r="E4167" s="1" t="n">
        <v>4</v>
      </c>
      <c r="F4167" s="1" t="n">
        <v>584.98</v>
      </c>
      <c r="G4167" s="1" t="n">
        <v>0.2</v>
      </c>
      <c r="H4167" s="1" t="s">
        <v>1336</v>
      </c>
      <c r="I4167" s="1" t="n">
        <v>1871.94</v>
      </c>
      <c r="J4167" s="1" t="str">
        <f aca="false">VLOOKUP(B4167,Customers!$A$2:$G$502,6,FALSE())</f>
        <v>Small Business</v>
      </c>
      <c r="K4167" s="1" t="str">
        <f aca="false">VLOOKUP(C4167,Products!$A$2:$E$62,3,FALSE())</f>
        <v>Furniture</v>
      </c>
      <c r="L4167" s="1" t="str">
        <f aca="false">TEXT(D4167,"yyyy-mm")</f>
        <v>2023-09</v>
      </c>
    </row>
    <row r="4168" customFormat="false" ht="15" hidden="false" customHeight="true" outlineLevel="0" collapsed="false">
      <c r="A4168" s="1" t="n">
        <v>4259</v>
      </c>
      <c r="B4168" s="1" t="n">
        <v>167</v>
      </c>
      <c r="C4168" s="1" t="n">
        <v>44</v>
      </c>
      <c r="D4168" s="1" t="s">
        <v>194</v>
      </c>
      <c r="E4168" s="1" t="n">
        <v>8</v>
      </c>
      <c r="F4168" s="1" t="n">
        <v>508.26</v>
      </c>
      <c r="G4168" s="1" t="n">
        <v>0.15</v>
      </c>
      <c r="H4168" s="1" t="s">
        <v>1336</v>
      </c>
      <c r="I4168" s="1" t="n">
        <v>3456.17</v>
      </c>
      <c r="J4168" s="1" t="str">
        <f aca="false">VLOOKUP(B4168,Customers!$A$2:$G$502,6,FALSE())</f>
        <v>Unknown</v>
      </c>
      <c r="K4168" s="1" t="str">
        <f aca="false">VLOOKUP(C4168,Products!$A$2:$E$62,3,FALSE())</f>
        <v>Software</v>
      </c>
      <c r="L4168" s="1" t="str">
        <f aca="false">TEXT(D4168,"yyyy-mm")</f>
        <v>2024-04</v>
      </c>
    </row>
    <row r="4169" customFormat="false" ht="15" hidden="false" customHeight="true" outlineLevel="0" collapsed="false">
      <c r="A4169" s="1" t="n">
        <v>4260</v>
      </c>
      <c r="B4169" s="1" t="n">
        <v>423</v>
      </c>
      <c r="C4169" s="1" t="n">
        <v>52</v>
      </c>
      <c r="D4169" s="1" t="s">
        <v>1555</v>
      </c>
      <c r="E4169" s="1" t="n">
        <v>4</v>
      </c>
      <c r="F4169" s="1" t="n">
        <v>207.67</v>
      </c>
      <c r="G4169" s="1" t="n">
        <v>0.1</v>
      </c>
      <c r="H4169" s="1" t="s">
        <v>1336</v>
      </c>
      <c r="I4169" s="1" t="n">
        <v>747.61</v>
      </c>
      <c r="J4169" s="1" t="str">
        <f aca="false">VLOOKUP(B4169,Customers!$A$2:$G$502,6,FALSE())</f>
        <v>Small Business</v>
      </c>
      <c r="K4169" s="1" t="str">
        <f aca="false">VLOOKUP(C4169,Products!$A$2:$E$62,3,FALSE())</f>
        <v>Software</v>
      </c>
      <c r="L4169" s="1" t="str">
        <f aca="false">TEXT(D4169,"yyyy-mm")</f>
        <v>2024-04</v>
      </c>
    </row>
    <row r="4170" customFormat="false" ht="15" hidden="false" customHeight="true" outlineLevel="0" collapsed="false">
      <c r="A4170" s="1" t="n">
        <v>4261</v>
      </c>
      <c r="B4170" s="1" t="n">
        <v>35</v>
      </c>
      <c r="C4170" s="1" t="n">
        <v>55</v>
      </c>
      <c r="D4170" s="1" t="s">
        <v>124</v>
      </c>
      <c r="E4170" s="1" t="n">
        <v>2</v>
      </c>
      <c r="F4170" s="1" t="n">
        <v>123.38</v>
      </c>
      <c r="G4170" s="1" t="n">
        <v>0.05</v>
      </c>
      <c r="H4170" s="1" t="s">
        <v>1336</v>
      </c>
      <c r="I4170" s="1" t="n">
        <v>234.42</v>
      </c>
      <c r="J4170" s="1" t="str">
        <f aca="false">VLOOKUP(B4170,Customers!$A$2:$G$502,6,FALSE())</f>
        <v>Corporate</v>
      </c>
      <c r="K4170" s="1" t="str">
        <f aca="false">VLOOKUP(C4170,Products!$A$2:$E$62,3,FALSE())</f>
        <v>Furniture</v>
      </c>
      <c r="L4170" s="1" t="str">
        <f aca="false">TEXT(D4170,"yyyy-mm")</f>
        <v>2023-05</v>
      </c>
    </row>
    <row r="4171" customFormat="false" ht="15" hidden="false" customHeight="true" outlineLevel="0" collapsed="false">
      <c r="A4171" s="1" t="n">
        <v>4262</v>
      </c>
      <c r="B4171" s="1" t="n">
        <v>482</v>
      </c>
      <c r="C4171" s="1" t="n">
        <v>39</v>
      </c>
      <c r="D4171" s="1" t="s">
        <v>1593</v>
      </c>
      <c r="E4171" s="1" t="n">
        <v>3</v>
      </c>
      <c r="F4171" s="1" t="n">
        <v>400.02</v>
      </c>
      <c r="G4171" s="1" t="n">
        <v>0</v>
      </c>
      <c r="H4171" s="1" t="s">
        <v>1370</v>
      </c>
      <c r="I4171" s="1" t="n">
        <v>1200.06</v>
      </c>
      <c r="J4171" s="1" t="str">
        <f aca="false">VLOOKUP(B4171,Customers!$A$2:$G$502,6,FALSE())</f>
        <v>Small Business</v>
      </c>
      <c r="K4171" s="1" t="str">
        <f aca="false">VLOOKUP(C4171,Products!$A$2:$E$62,3,FALSE())</f>
        <v>Software</v>
      </c>
      <c r="L4171" s="1" t="str">
        <f aca="false">TEXT(D4171,"yyyy-mm")</f>
        <v>2023-09</v>
      </c>
    </row>
    <row r="4172" customFormat="false" ht="15" hidden="false" customHeight="true" outlineLevel="0" collapsed="false">
      <c r="A4172" s="1" t="n">
        <v>4263</v>
      </c>
      <c r="B4172" s="1" t="n">
        <v>211</v>
      </c>
      <c r="C4172" s="1" t="n">
        <v>7</v>
      </c>
      <c r="D4172" s="1" t="s">
        <v>429</v>
      </c>
      <c r="E4172" s="1" t="n">
        <v>6</v>
      </c>
      <c r="F4172" s="1" t="n">
        <v>460</v>
      </c>
      <c r="G4172" s="1" t="n">
        <v>0.05</v>
      </c>
      <c r="H4172" s="1" t="s">
        <v>1336</v>
      </c>
      <c r="I4172" s="1" t="n">
        <v>2622</v>
      </c>
      <c r="J4172" s="1" t="str">
        <f aca="false">VLOOKUP(B4172,Customers!$A$2:$G$502,6,FALSE())</f>
        <v>Consumer</v>
      </c>
      <c r="K4172" s="1" t="str">
        <f aca="false">VLOOKUP(C4172,Products!$A$2:$E$62,3,FALSE())</f>
        <v>Electronics</v>
      </c>
      <c r="L4172" s="1" t="str">
        <f aca="false">TEXT(D4172,"yyyy-mm")</f>
        <v>2023-09</v>
      </c>
    </row>
    <row r="4173" customFormat="false" ht="15" hidden="false" customHeight="true" outlineLevel="0" collapsed="false">
      <c r="A4173" s="1" t="n">
        <v>4264</v>
      </c>
      <c r="B4173" s="1" t="n">
        <v>32</v>
      </c>
      <c r="C4173" s="1" t="n">
        <v>19</v>
      </c>
      <c r="D4173" s="1" t="s">
        <v>792</v>
      </c>
      <c r="E4173" s="1" t="n">
        <v>8</v>
      </c>
      <c r="F4173" s="1" t="n">
        <v>163.64</v>
      </c>
      <c r="G4173" s="1" t="n">
        <v>0</v>
      </c>
      <c r="H4173" s="1" t="s">
        <v>1370</v>
      </c>
      <c r="I4173" s="1" t="n">
        <v>1309.12</v>
      </c>
      <c r="J4173" s="1" t="str">
        <f aca="false">VLOOKUP(B4173,Customers!$A$2:$G$502,6,FALSE())</f>
        <v>Small Business</v>
      </c>
      <c r="K4173" s="1" t="str">
        <f aca="false">VLOOKUP(C4173,Products!$A$2:$E$62,3,FALSE())</f>
        <v>Office Supplies</v>
      </c>
      <c r="L4173" s="1" t="str">
        <f aca="false">TEXT(D4173,"yyyy-mm")</f>
        <v>2023-06</v>
      </c>
    </row>
    <row r="4174" customFormat="false" ht="15" hidden="false" customHeight="true" outlineLevel="0" collapsed="false">
      <c r="A4174" s="1" t="n">
        <v>4265</v>
      </c>
      <c r="B4174" s="1" t="n">
        <v>52</v>
      </c>
      <c r="C4174" s="1" t="n">
        <v>56</v>
      </c>
      <c r="D4174" s="1" t="s">
        <v>248</v>
      </c>
      <c r="E4174" s="1" t="n">
        <v>8</v>
      </c>
      <c r="F4174" s="1" t="n">
        <v>160.64</v>
      </c>
      <c r="G4174" s="1" t="n">
        <v>0</v>
      </c>
      <c r="H4174" s="1" t="s">
        <v>1336</v>
      </c>
      <c r="I4174" s="1" t="n">
        <v>1285.12</v>
      </c>
      <c r="J4174" s="1" t="str">
        <f aca="false">VLOOKUP(B4174,Customers!$A$2:$G$502,6,FALSE())</f>
        <v>Small Business</v>
      </c>
      <c r="K4174" s="1" t="str">
        <f aca="false">VLOOKUP(C4174,Products!$A$2:$E$62,3,FALSE())</f>
        <v>Furniture</v>
      </c>
      <c r="L4174" s="1" t="str">
        <f aca="false">TEXT(D4174,"yyyy-mm")</f>
        <v>2024-01</v>
      </c>
    </row>
    <row r="4175" customFormat="false" ht="15" hidden="false" customHeight="true" outlineLevel="0" collapsed="false">
      <c r="A4175" s="1" t="n">
        <v>4266</v>
      </c>
      <c r="B4175" s="1" t="n">
        <v>498</v>
      </c>
      <c r="C4175" s="1" t="n">
        <v>34</v>
      </c>
      <c r="D4175" s="1" t="s">
        <v>1512</v>
      </c>
      <c r="E4175" s="1" t="n">
        <v>9</v>
      </c>
      <c r="F4175" s="1" t="n">
        <v>116.85</v>
      </c>
      <c r="G4175" s="1" t="n">
        <v>0.15</v>
      </c>
      <c r="H4175" s="1" t="s">
        <v>1370</v>
      </c>
      <c r="I4175" s="1" t="n">
        <v>893.9</v>
      </c>
      <c r="J4175" s="1" t="str">
        <f aca="false">VLOOKUP(B4175,Customers!$A$2:$G$502,6,FALSE())</f>
        <v>Corporate</v>
      </c>
      <c r="K4175" s="1" t="str">
        <f aca="false">VLOOKUP(C4175,Products!$A$2:$E$62,3,FALSE())</f>
        <v>Office Supplies</v>
      </c>
      <c r="L4175" s="1" t="str">
        <f aca="false">TEXT(D4175,"yyyy-mm")</f>
        <v>2023-12</v>
      </c>
    </row>
    <row r="4176" customFormat="false" ht="15" hidden="false" customHeight="true" outlineLevel="0" collapsed="false">
      <c r="A4176" s="1" t="n">
        <v>4267</v>
      </c>
      <c r="B4176" s="1" t="n">
        <v>52</v>
      </c>
      <c r="C4176" s="1" t="n">
        <v>16</v>
      </c>
      <c r="D4176" s="1" t="s">
        <v>1437</v>
      </c>
      <c r="E4176" s="1" t="n">
        <v>7</v>
      </c>
      <c r="F4176" s="1" t="n">
        <v>330.91</v>
      </c>
      <c r="G4176" s="1" t="n">
        <v>0</v>
      </c>
      <c r="H4176" s="1" t="s">
        <v>1336</v>
      </c>
      <c r="I4176" s="1" t="n">
        <v>2316.37</v>
      </c>
      <c r="J4176" s="1" t="str">
        <f aca="false">VLOOKUP(B4176,Customers!$A$2:$G$502,6,FALSE())</f>
        <v>Small Business</v>
      </c>
      <c r="K4176" s="1" t="str">
        <f aca="false">VLOOKUP(C4176,Products!$A$2:$E$62,3,FALSE())</f>
        <v>Electronics</v>
      </c>
      <c r="L4176" s="1" t="str">
        <f aca="false">TEXT(D4176,"yyyy-mm")</f>
        <v>2023-08</v>
      </c>
    </row>
    <row r="4177" customFormat="false" ht="15" hidden="false" customHeight="true" outlineLevel="0" collapsed="false">
      <c r="A4177" s="1" t="n">
        <v>4268</v>
      </c>
      <c r="B4177" s="1" t="n">
        <v>135</v>
      </c>
      <c r="C4177" s="1" t="n">
        <v>13</v>
      </c>
      <c r="D4177" s="1" t="s">
        <v>1472</v>
      </c>
      <c r="E4177" s="1" t="n">
        <v>2</v>
      </c>
      <c r="F4177" s="1" t="n">
        <v>352.54</v>
      </c>
      <c r="G4177" s="1" t="n">
        <v>0.2</v>
      </c>
      <c r="H4177" s="1" t="s">
        <v>1336</v>
      </c>
      <c r="I4177" s="1" t="n">
        <v>564.06</v>
      </c>
      <c r="J4177" s="1" t="str">
        <f aca="false">VLOOKUP(B4177,Customers!$A$2:$G$502,6,FALSE())</f>
        <v>Corporate</v>
      </c>
      <c r="K4177" s="1" t="str">
        <f aca="false">VLOOKUP(C4177,Products!$A$2:$E$62,3,FALSE())</f>
        <v>Electronics</v>
      </c>
      <c r="L4177" s="1" t="str">
        <f aca="false">TEXT(D4177,"yyyy-mm")</f>
        <v>2023-07</v>
      </c>
    </row>
    <row r="4178" customFormat="false" ht="15" hidden="false" customHeight="true" outlineLevel="0" collapsed="false">
      <c r="A4178" s="1" t="n">
        <v>4269</v>
      </c>
      <c r="B4178" s="1" t="n">
        <v>217</v>
      </c>
      <c r="C4178" s="1" t="n">
        <v>27</v>
      </c>
      <c r="D4178" s="1" t="s">
        <v>832</v>
      </c>
      <c r="E4178" s="1" t="n">
        <v>8</v>
      </c>
      <c r="F4178" s="1" t="n">
        <v>772.58</v>
      </c>
      <c r="G4178" s="1" t="n">
        <v>0</v>
      </c>
      <c r="H4178" s="1" t="s">
        <v>1336</v>
      </c>
      <c r="I4178" s="1" t="n">
        <v>6180.64</v>
      </c>
      <c r="J4178" s="1" t="str">
        <f aca="false">VLOOKUP(B4178,Customers!$A$2:$G$502,6,FALSE())</f>
        <v>Consumer</v>
      </c>
      <c r="K4178" s="1" t="str">
        <f aca="false">VLOOKUP(C4178,Products!$A$2:$E$62,3,FALSE())</f>
        <v>Office Supplies</v>
      </c>
      <c r="L4178" s="1" t="str">
        <f aca="false">TEXT(D4178,"yyyy-mm")</f>
        <v>2024-12</v>
      </c>
    </row>
    <row r="4179" customFormat="false" ht="15" hidden="false" customHeight="true" outlineLevel="0" collapsed="false">
      <c r="A4179" s="1" t="n">
        <v>4270</v>
      </c>
      <c r="B4179" s="1" t="n">
        <v>400</v>
      </c>
      <c r="C4179" s="1" t="n">
        <v>18</v>
      </c>
      <c r="D4179" s="1" t="s">
        <v>591</v>
      </c>
      <c r="E4179" s="1" t="n">
        <v>7</v>
      </c>
      <c r="F4179" s="1" t="n">
        <v>747.34</v>
      </c>
      <c r="G4179" s="1" t="n">
        <v>0</v>
      </c>
      <c r="H4179" s="1" t="s">
        <v>1336</v>
      </c>
      <c r="I4179" s="1" t="n">
        <v>5231.38</v>
      </c>
      <c r="J4179" s="1" t="str">
        <f aca="false">VLOOKUP(B4179,Customers!$A$2:$G$502,6,FALSE())</f>
        <v>Small Business</v>
      </c>
      <c r="K4179" s="1" t="str">
        <f aca="false">VLOOKUP(C4179,Products!$A$2:$E$62,3,FALSE())</f>
        <v>Electronics</v>
      </c>
      <c r="L4179" s="1" t="str">
        <f aca="false">TEXT(D4179,"yyyy-mm")</f>
        <v>2023-05</v>
      </c>
    </row>
    <row r="4180" customFormat="false" ht="15" hidden="false" customHeight="true" outlineLevel="0" collapsed="false">
      <c r="A4180" s="1" t="n">
        <v>4271</v>
      </c>
      <c r="B4180" s="1" t="n">
        <v>381</v>
      </c>
      <c r="C4180" s="1" t="n">
        <v>52</v>
      </c>
      <c r="D4180" s="1" t="s">
        <v>136</v>
      </c>
      <c r="E4180" s="1" t="n">
        <v>8</v>
      </c>
      <c r="F4180" s="1" t="n">
        <v>207.67</v>
      </c>
      <c r="G4180" s="1" t="n">
        <v>0.1</v>
      </c>
      <c r="H4180" s="1" t="s">
        <v>1370</v>
      </c>
      <c r="I4180" s="1" t="n">
        <v>1495.22</v>
      </c>
      <c r="J4180" s="1" t="str">
        <f aca="false">VLOOKUP(B4180,Customers!$A$2:$G$502,6,FALSE())</f>
        <v>Corporate</v>
      </c>
      <c r="K4180" s="1" t="str">
        <f aca="false">VLOOKUP(C4180,Products!$A$2:$E$62,3,FALSE())</f>
        <v>Software</v>
      </c>
      <c r="L4180" s="1" t="str">
        <f aca="false">TEXT(D4180,"yyyy-mm")</f>
        <v>2024-06</v>
      </c>
    </row>
    <row r="4181" customFormat="false" ht="15" hidden="false" customHeight="true" outlineLevel="0" collapsed="false">
      <c r="A4181" s="1" t="n">
        <v>4272</v>
      </c>
      <c r="B4181" s="1" t="n">
        <v>78</v>
      </c>
      <c r="C4181" s="1" t="n">
        <v>9</v>
      </c>
      <c r="D4181" s="1" t="s">
        <v>1616</v>
      </c>
      <c r="E4181" s="1" t="n">
        <v>3</v>
      </c>
      <c r="F4181" s="1" t="n">
        <v>203.1</v>
      </c>
      <c r="G4181" s="1" t="n">
        <v>0</v>
      </c>
      <c r="H4181" s="1" t="s">
        <v>1336</v>
      </c>
      <c r="I4181" s="1" t="n">
        <v>609.3</v>
      </c>
      <c r="J4181" s="1" t="str">
        <f aca="false">VLOOKUP(B4181,Customers!$A$2:$G$502,6,FALSE())</f>
        <v>Consumer</v>
      </c>
      <c r="K4181" s="1" t="str">
        <f aca="false">VLOOKUP(C4181,Products!$A$2:$E$62,3,FALSE())</f>
        <v>Electronics</v>
      </c>
      <c r="L4181" s="1" t="str">
        <f aca="false">TEXT(D4181,"yyyy-mm")</f>
        <v>2024-09</v>
      </c>
    </row>
    <row r="4182" customFormat="false" ht="15" hidden="false" customHeight="true" outlineLevel="0" collapsed="false">
      <c r="A4182" s="1" t="n">
        <v>4273</v>
      </c>
      <c r="B4182" s="1" t="n">
        <v>427</v>
      </c>
      <c r="C4182" s="1" t="n">
        <v>59</v>
      </c>
      <c r="D4182" s="1" t="s">
        <v>476</v>
      </c>
      <c r="E4182" s="1" t="n">
        <v>7</v>
      </c>
      <c r="F4182" s="1" t="n">
        <v>438.89</v>
      </c>
      <c r="G4182" s="1" t="n">
        <v>0.1</v>
      </c>
      <c r="H4182" s="1" t="s">
        <v>1336</v>
      </c>
      <c r="I4182" s="1" t="n">
        <v>2765.01</v>
      </c>
      <c r="J4182" s="1" t="str">
        <f aca="false">VLOOKUP(B4182,Customers!$A$2:$G$502,6,FALSE())</f>
        <v>Small Business</v>
      </c>
      <c r="K4182" s="1" t="str">
        <f aca="false">VLOOKUP(C4182,Products!$A$2:$E$62,3,FALSE())</f>
        <v>Furniture</v>
      </c>
      <c r="L4182" s="1" t="str">
        <f aca="false">TEXT(D4182,"yyyy-mm")</f>
        <v>2023-10</v>
      </c>
    </row>
    <row r="4183" customFormat="false" ht="15" hidden="false" customHeight="true" outlineLevel="0" collapsed="false">
      <c r="A4183" s="1" t="n">
        <v>4274</v>
      </c>
      <c r="B4183" s="1" t="n">
        <v>434</v>
      </c>
      <c r="C4183" s="1" t="n">
        <v>9</v>
      </c>
      <c r="D4183" s="1" t="s">
        <v>1681</v>
      </c>
      <c r="E4183" s="1" t="n">
        <v>9</v>
      </c>
      <c r="F4183" s="1" t="n">
        <v>203.1</v>
      </c>
      <c r="G4183" s="1" t="n">
        <v>0</v>
      </c>
      <c r="H4183" s="1" t="s">
        <v>1336</v>
      </c>
      <c r="I4183" s="1" t="n">
        <v>1827.9</v>
      </c>
      <c r="J4183" s="1" t="str">
        <f aca="false">VLOOKUP(B4183,Customers!$A$2:$G$502,6,FALSE())</f>
        <v>Consumer</v>
      </c>
      <c r="K4183" s="1" t="str">
        <f aca="false">VLOOKUP(C4183,Products!$A$2:$E$62,3,FALSE())</f>
        <v>Electronics</v>
      </c>
      <c r="L4183" s="1" t="str">
        <f aca="false">TEXT(D4183,"yyyy-mm")</f>
        <v>2024-04</v>
      </c>
    </row>
    <row r="4184" customFormat="false" ht="15" hidden="false" customHeight="true" outlineLevel="0" collapsed="false">
      <c r="A4184" s="1" t="n">
        <v>4275</v>
      </c>
      <c r="B4184" s="1" t="n">
        <v>58</v>
      </c>
      <c r="C4184" s="1" t="n">
        <v>52</v>
      </c>
      <c r="D4184" s="1" t="s">
        <v>39</v>
      </c>
      <c r="E4184" s="1" t="n">
        <v>3</v>
      </c>
      <c r="F4184" s="1" t="n">
        <v>207.67</v>
      </c>
      <c r="G4184" s="1" t="n">
        <v>0</v>
      </c>
      <c r="H4184" s="1" t="s">
        <v>1336</v>
      </c>
      <c r="I4184" s="1" t="n">
        <v>623.01</v>
      </c>
      <c r="J4184" s="1" t="str">
        <f aca="false">VLOOKUP(B4184,Customers!$A$2:$G$502,6,FALSE())</f>
        <v>Consumer</v>
      </c>
      <c r="K4184" s="1" t="str">
        <f aca="false">VLOOKUP(C4184,Products!$A$2:$E$62,3,FALSE())</f>
        <v>Software</v>
      </c>
      <c r="L4184" s="1" t="str">
        <f aca="false">TEXT(D4184,"yyyy-mm")</f>
        <v>2023-10</v>
      </c>
    </row>
    <row r="4185" customFormat="false" ht="15" hidden="false" customHeight="true" outlineLevel="0" collapsed="false">
      <c r="A4185" s="1" t="n">
        <v>4276</v>
      </c>
      <c r="B4185" s="1" t="n">
        <v>483</v>
      </c>
      <c r="C4185" s="1" t="n">
        <v>56</v>
      </c>
      <c r="D4185" s="1" t="s">
        <v>1689</v>
      </c>
      <c r="E4185" s="1" t="n">
        <v>6</v>
      </c>
      <c r="F4185" s="1" t="n">
        <v>160.64</v>
      </c>
      <c r="G4185" s="1" t="n">
        <v>0.15</v>
      </c>
      <c r="H4185" s="1" t="s">
        <v>1336</v>
      </c>
      <c r="I4185" s="1" t="n">
        <v>819.26</v>
      </c>
      <c r="J4185" s="1" t="str">
        <f aca="false">VLOOKUP(B4185,Customers!$A$2:$G$502,6,FALSE())</f>
        <v>Small Business</v>
      </c>
      <c r="K4185" s="1" t="str">
        <f aca="false">VLOOKUP(C4185,Products!$A$2:$E$62,3,FALSE())</f>
        <v>Furniture</v>
      </c>
      <c r="L4185" s="1" t="str">
        <f aca="false">TEXT(D4185,"yyyy-mm")</f>
        <v>2023-01</v>
      </c>
    </row>
    <row r="4186" customFormat="false" ht="15" hidden="false" customHeight="true" outlineLevel="0" collapsed="false">
      <c r="A4186" s="1" t="n">
        <v>4277</v>
      </c>
      <c r="B4186" s="1" t="n">
        <v>114</v>
      </c>
      <c r="C4186" s="1" t="n">
        <v>3</v>
      </c>
      <c r="D4186" s="1" t="s">
        <v>1449</v>
      </c>
      <c r="E4186" s="1" t="n">
        <v>2</v>
      </c>
      <c r="F4186" s="1" t="n">
        <v>89.39</v>
      </c>
      <c r="G4186" s="1" t="n">
        <v>0</v>
      </c>
      <c r="H4186" s="1" t="s">
        <v>1336</v>
      </c>
      <c r="I4186" s="1" t="n">
        <v>178.78</v>
      </c>
      <c r="J4186" s="1" t="str">
        <f aca="false">VLOOKUP(B4186,Customers!$A$2:$G$502,6,FALSE())</f>
        <v>Consumer</v>
      </c>
      <c r="K4186" s="1" t="str">
        <f aca="false">VLOOKUP(C4186,Products!$A$2:$E$62,3,FALSE())</f>
        <v>Electronics</v>
      </c>
      <c r="L4186" s="1" t="str">
        <f aca="false">TEXT(D4186,"yyyy-mm")</f>
        <v>2024-03</v>
      </c>
    </row>
    <row r="4187" customFormat="false" ht="15" hidden="false" customHeight="true" outlineLevel="0" collapsed="false">
      <c r="A4187" s="1" t="n">
        <v>4278</v>
      </c>
      <c r="B4187" s="1" t="n">
        <v>56</v>
      </c>
      <c r="C4187" s="1" t="n">
        <v>26</v>
      </c>
      <c r="D4187" s="1" t="s">
        <v>300</v>
      </c>
      <c r="E4187" s="1" t="n">
        <v>2</v>
      </c>
      <c r="F4187" s="1" t="n">
        <v>733.85</v>
      </c>
      <c r="G4187" s="1" t="n">
        <v>0.1</v>
      </c>
      <c r="H4187" s="1" t="s">
        <v>1336</v>
      </c>
      <c r="I4187" s="1" t="n">
        <v>1320.93</v>
      </c>
      <c r="J4187" s="1" t="str">
        <f aca="false">VLOOKUP(B4187,Customers!$A$2:$G$502,6,FALSE())</f>
        <v>Corporate</v>
      </c>
      <c r="K4187" s="1" t="str">
        <f aca="false">VLOOKUP(C4187,Products!$A$2:$E$62,3,FALSE())</f>
        <v>Office Supplies</v>
      </c>
      <c r="L4187" s="1" t="str">
        <f aca="false">TEXT(D4187,"yyyy-mm")</f>
        <v>2024-07</v>
      </c>
    </row>
    <row r="4188" customFormat="false" ht="15" hidden="false" customHeight="true" outlineLevel="0" collapsed="false">
      <c r="A4188" s="1" t="n">
        <v>4279</v>
      </c>
      <c r="B4188" s="1" t="n">
        <v>57</v>
      </c>
      <c r="C4188" s="1" t="n">
        <v>19</v>
      </c>
      <c r="D4188" s="1" t="s">
        <v>680</v>
      </c>
      <c r="E4188" s="1" t="n">
        <v>5</v>
      </c>
      <c r="F4188" s="1" t="n">
        <v>163.64</v>
      </c>
      <c r="G4188" s="1" t="n">
        <v>0</v>
      </c>
      <c r="H4188" s="1" t="s">
        <v>1370</v>
      </c>
      <c r="I4188" s="1" t="n">
        <v>818.2</v>
      </c>
      <c r="J4188" s="1" t="str">
        <f aca="false">VLOOKUP(B4188,Customers!$A$2:$G$502,6,FALSE())</f>
        <v>Consumer</v>
      </c>
      <c r="K4188" s="1" t="str">
        <f aca="false">VLOOKUP(C4188,Products!$A$2:$E$62,3,FALSE())</f>
        <v>Office Supplies</v>
      </c>
      <c r="L4188" s="1" t="str">
        <f aca="false">TEXT(D4188,"yyyy-mm")</f>
        <v>2024-04</v>
      </c>
    </row>
    <row r="4189" customFormat="false" ht="15" hidden="false" customHeight="true" outlineLevel="0" collapsed="false">
      <c r="A4189" s="1" t="n">
        <v>4280</v>
      </c>
      <c r="B4189" s="1" t="n">
        <v>65</v>
      </c>
      <c r="C4189" s="1" t="n">
        <v>29</v>
      </c>
      <c r="D4189" s="1" t="s">
        <v>1349</v>
      </c>
      <c r="E4189" s="1" t="n">
        <v>5</v>
      </c>
      <c r="F4189" s="1" t="n">
        <v>54.62</v>
      </c>
      <c r="G4189" s="1" t="n">
        <v>0</v>
      </c>
      <c r="H4189" s="1" t="s">
        <v>1336</v>
      </c>
      <c r="I4189" s="1" t="n">
        <v>273.1</v>
      </c>
      <c r="J4189" s="1" t="str">
        <f aca="false">VLOOKUP(B4189,Customers!$A$2:$G$502,6,FALSE())</f>
        <v>Corporate</v>
      </c>
      <c r="K4189" s="1" t="str">
        <f aca="false">VLOOKUP(C4189,Products!$A$2:$E$62,3,FALSE())</f>
        <v>Office Supplies</v>
      </c>
      <c r="L4189" s="1" t="str">
        <f aca="false">TEXT(D4189,"yyyy-mm")</f>
        <v>2023-10</v>
      </c>
    </row>
    <row r="4190" customFormat="false" ht="15" hidden="false" customHeight="true" outlineLevel="0" collapsed="false">
      <c r="A4190" s="1" t="n">
        <v>4281</v>
      </c>
      <c r="B4190" s="1" t="n">
        <v>439</v>
      </c>
      <c r="C4190" s="1" t="n">
        <v>3</v>
      </c>
      <c r="D4190" s="1" t="s">
        <v>289</v>
      </c>
      <c r="E4190" s="1" t="n">
        <v>7</v>
      </c>
      <c r="F4190" s="1" t="n">
        <v>89.39</v>
      </c>
      <c r="G4190" s="1" t="n">
        <v>0</v>
      </c>
      <c r="H4190" s="1" t="s">
        <v>1336</v>
      </c>
      <c r="I4190" s="1" t="n">
        <v>625.73</v>
      </c>
      <c r="J4190" s="1" t="str">
        <f aca="false">VLOOKUP(B4190,Customers!$A$2:$G$502,6,FALSE())</f>
        <v>Corporate</v>
      </c>
      <c r="K4190" s="1" t="str">
        <f aca="false">VLOOKUP(C4190,Products!$A$2:$E$62,3,FALSE())</f>
        <v>Electronics</v>
      </c>
      <c r="L4190" s="1" t="str">
        <f aca="false">TEXT(D4190,"yyyy-mm")</f>
        <v>2023-06</v>
      </c>
    </row>
    <row r="4191" customFormat="false" ht="15" hidden="false" customHeight="true" outlineLevel="0" collapsed="false">
      <c r="A4191" s="1" t="n">
        <v>4282</v>
      </c>
      <c r="B4191" s="1" t="n">
        <v>262</v>
      </c>
      <c r="C4191" s="1" t="n">
        <v>2</v>
      </c>
      <c r="D4191" s="1" t="s">
        <v>1114</v>
      </c>
      <c r="E4191" s="1" t="n">
        <v>2</v>
      </c>
      <c r="F4191" s="1" t="n">
        <v>498.15</v>
      </c>
      <c r="G4191" s="1" t="n">
        <v>0.2</v>
      </c>
      <c r="H4191" s="1" t="s">
        <v>1336</v>
      </c>
      <c r="I4191" s="1" t="n">
        <v>797.04</v>
      </c>
      <c r="J4191" s="1" t="str">
        <f aca="false">VLOOKUP(B4191,Customers!$A$2:$G$502,6,FALSE())</f>
        <v>Small Business</v>
      </c>
      <c r="K4191" s="1" t="str">
        <f aca="false">VLOOKUP(C4191,Products!$A$2:$E$62,3,FALSE())</f>
        <v>Electronics</v>
      </c>
      <c r="L4191" s="1" t="str">
        <f aca="false">TEXT(D4191,"yyyy-mm")</f>
        <v>2024-03</v>
      </c>
    </row>
    <row r="4192" customFormat="false" ht="15" hidden="false" customHeight="true" outlineLevel="0" collapsed="false">
      <c r="A4192" s="1" t="n">
        <v>4283</v>
      </c>
      <c r="B4192" s="1" t="n">
        <v>234</v>
      </c>
      <c r="C4192" s="1" t="n">
        <v>9</v>
      </c>
      <c r="D4192" s="1" t="s">
        <v>1552</v>
      </c>
      <c r="E4192" s="1" t="n">
        <v>7</v>
      </c>
      <c r="F4192" s="1" t="n">
        <v>203.1</v>
      </c>
      <c r="G4192" s="1" t="n">
        <v>0.15</v>
      </c>
      <c r="H4192" s="1" t="s">
        <v>1336</v>
      </c>
      <c r="I4192" s="1" t="n">
        <v>1208.44</v>
      </c>
      <c r="J4192" s="1" t="str">
        <f aca="false">VLOOKUP(B4192,Customers!$A$2:$G$502,6,FALSE())</f>
        <v>Small Business</v>
      </c>
      <c r="K4192" s="1" t="str">
        <f aca="false">VLOOKUP(C4192,Products!$A$2:$E$62,3,FALSE())</f>
        <v>Electronics</v>
      </c>
      <c r="L4192" s="1" t="str">
        <f aca="false">TEXT(D4192,"yyyy-mm")</f>
        <v>2023-02</v>
      </c>
    </row>
    <row r="4193" customFormat="false" ht="15" hidden="false" customHeight="true" outlineLevel="0" collapsed="false">
      <c r="A4193" s="1" t="n">
        <v>4284</v>
      </c>
      <c r="B4193" s="1" t="n">
        <v>233</v>
      </c>
      <c r="C4193" s="1" t="n">
        <v>47</v>
      </c>
      <c r="D4193" s="1" t="s">
        <v>1482</v>
      </c>
      <c r="E4193" s="1" t="n">
        <v>5</v>
      </c>
      <c r="F4193" s="1" t="n">
        <v>506.19</v>
      </c>
      <c r="G4193" s="1" t="n">
        <v>0</v>
      </c>
      <c r="H4193" s="1" t="s">
        <v>1336</v>
      </c>
      <c r="I4193" s="1" t="n">
        <v>2530.95</v>
      </c>
      <c r="J4193" s="1" t="str">
        <f aca="false">VLOOKUP(B4193,Customers!$A$2:$G$502,6,FALSE())</f>
        <v>Corporate</v>
      </c>
      <c r="K4193" s="1" t="str">
        <f aca="false">VLOOKUP(C4193,Products!$A$2:$E$62,3,FALSE())</f>
        <v>Software</v>
      </c>
      <c r="L4193" s="1" t="str">
        <f aca="false">TEXT(D4193,"yyyy-mm")</f>
        <v>2023-11</v>
      </c>
    </row>
    <row r="4194" customFormat="false" ht="15" hidden="false" customHeight="true" outlineLevel="0" collapsed="false">
      <c r="A4194" s="1" t="n">
        <v>4285</v>
      </c>
      <c r="B4194" s="1" t="n">
        <v>432</v>
      </c>
      <c r="C4194" s="1" t="n">
        <v>59</v>
      </c>
      <c r="D4194" s="1" t="s">
        <v>513</v>
      </c>
      <c r="E4194" s="1" t="n">
        <v>6</v>
      </c>
      <c r="F4194" s="1" t="n">
        <v>438.89</v>
      </c>
      <c r="G4194" s="1" t="n">
        <v>0.05</v>
      </c>
      <c r="H4194" s="1" t="s">
        <v>1336</v>
      </c>
      <c r="I4194" s="1" t="n">
        <v>2501.67</v>
      </c>
      <c r="J4194" s="1" t="str">
        <f aca="false">VLOOKUP(B4194,Customers!$A$2:$G$502,6,FALSE())</f>
        <v>Consumer</v>
      </c>
      <c r="K4194" s="1" t="str">
        <f aca="false">VLOOKUP(C4194,Products!$A$2:$E$62,3,FALSE())</f>
        <v>Furniture</v>
      </c>
      <c r="L4194" s="1" t="str">
        <f aca="false">TEXT(D4194,"yyyy-mm")</f>
        <v>2024-12</v>
      </c>
    </row>
    <row r="4195" customFormat="false" ht="15" hidden="false" customHeight="true" outlineLevel="0" collapsed="false">
      <c r="A4195" s="1" t="n">
        <v>4286</v>
      </c>
      <c r="B4195" s="1" t="n">
        <v>490</v>
      </c>
      <c r="C4195" s="1" t="n">
        <v>5</v>
      </c>
      <c r="D4195" s="1" t="s">
        <v>1470</v>
      </c>
      <c r="E4195" s="1" t="n">
        <v>8</v>
      </c>
      <c r="F4195" s="1" t="n">
        <v>439.06</v>
      </c>
      <c r="G4195" s="1" t="n">
        <v>0</v>
      </c>
      <c r="H4195" s="1" t="s">
        <v>1336</v>
      </c>
      <c r="I4195" s="1" t="n">
        <v>3512.48</v>
      </c>
      <c r="J4195" s="1" t="str">
        <f aca="false">VLOOKUP(B4195,Customers!$A$2:$G$502,6,FALSE())</f>
        <v>Consumer</v>
      </c>
      <c r="K4195" s="1" t="str">
        <f aca="false">VLOOKUP(C4195,Products!$A$2:$E$62,3,FALSE())</f>
        <v>Electronics</v>
      </c>
      <c r="L4195" s="1" t="str">
        <f aca="false">TEXT(D4195,"yyyy-mm")</f>
        <v>2023-03</v>
      </c>
    </row>
    <row r="4196" customFormat="false" ht="15" hidden="false" customHeight="true" outlineLevel="0" collapsed="false">
      <c r="A4196" s="1" t="n">
        <v>4287</v>
      </c>
      <c r="B4196" s="1" t="n">
        <v>353</v>
      </c>
      <c r="C4196" s="1" t="n">
        <v>39</v>
      </c>
      <c r="D4196" s="1" t="s">
        <v>1380</v>
      </c>
      <c r="E4196" s="1" t="n">
        <v>4</v>
      </c>
      <c r="F4196" s="1" t="n">
        <v>400.02</v>
      </c>
      <c r="G4196" s="1" t="n">
        <v>0.2</v>
      </c>
      <c r="H4196" s="1" t="s">
        <v>1336</v>
      </c>
      <c r="I4196" s="1" t="n">
        <v>1280.06</v>
      </c>
      <c r="J4196" s="1" t="str">
        <f aca="false">VLOOKUP(B4196,Customers!$A$2:$G$502,6,FALSE())</f>
        <v>Corporate</v>
      </c>
      <c r="K4196" s="1" t="str">
        <f aca="false">VLOOKUP(C4196,Products!$A$2:$E$62,3,FALSE())</f>
        <v>Software</v>
      </c>
      <c r="L4196" s="1" t="str">
        <f aca="false">TEXT(D4196,"yyyy-mm")</f>
        <v>2023-07</v>
      </c>
    </row>
    <row r="4197" customFormat="false" ht="15" hidden="false" customHeight="true" outlineLevel="0" collapsed="false">
      <c r="A4197" s="1" t="n">
        <v>4288</v>
      </c>
      <c r="B4197" s="1" t="n">
        <v>412</v>
      </c>
      <c r="C4197" s="1" t="n">
        <v>15</v>
      </c>
      <c r="D4197" s="1" t="s">
        <v>202</v>
      </c>
      <c r="E4197" s="1" t="n">
        <v>7</v>
      </c>
      <c r="F4197" s="1" t="n">
        <v>304.95</v>
      </c>
      <c r="G4197" s="1" t="n">
        <v>0</v>
      </c>
      <c r="H4197" s="1" t="s">
        <v>1336</v>
      </c>
      <c r="I4197" s="1" t="n">
        <v>2134.65</v>
      </c>
      <c r="J4197" s="1" t="str">
        <f aca="false">VLOOKUP(B4197,Customers!$A$2:$G$502,6,FALSE())</f>
        <v>Corporate</v>
      </c>
      <c r="K4197" s="1" t="str">
        <f aca="false">VLOOKUP(C4197,Products!$A$2:$E$62,3,FALSE())</f>
        <v>Electronics</v>
      </c>
      <c r="L4197" s="1" t="str">
        <f aca="false">TEXT(D4197,"yyyy-mm")</f>
        <v>2024-12</v>
      </c>
    </row>
    <row r="4198" customFormat="false" ht="15" hidden="false" customHeight="true" outlineLevel="0" collapsed="false">
      <c r="A4198" s="1" t="n">
        <v>4289</v>
      </c>
      <c r="B4198" s="1" t="n">
        <v>299</v>
      </c>
      <c r="C4198" s="1" t="n">
        <v>45</v>
      </c>
      <c r="D4198" s="1" t="s">
        <v>1637</v>
      </c>
      <c r="E4198" s="1" t="n">
        <v>6</v>
      </c>
      <c r="F4198" s="1" t="n">
        <v>560.01</v>
      </c>
      <c r="G4198" s="1" t="n">
        <v>0</v>
      </c>
      <c r="H4198" s="1" t="s">
        <v>1336</v>
      </c>
      <c r="I4198" s="1" t="n">
        <v>3360.06</v>
      </c>
      <c r="J4198" s="1" t="str">
        <f aca="false">VLOOKUP(B4198,Customers!$A$2:$G$502,6,FALSE())</f>
        <v>Small Business</v>
      </c>
      <c r="K4198" s="1" t="str">
        <f aca="false">VLOOKUP(C4198,Products!$A$2:$E$62,3,FALSE())</f>
        <v>Software</v>
      </c>
      <c r="L4198" s="1" t="str">
        <f aca="false">TEXT(D4198,"yyyy-mm")</f>
        <v>2023-11</v>
      </c>
    </row>
    <row r="4199" customFormat="false" ht="15" hidden="false" customHeight="true" outlineLevel="0" collapsed="false">
      <c r="A4199" s="1" t="n">
        <v>4290</v>
      </c>
      <c r="B4199" s="1" t="n">
        <v>227</v>
      </c>
      <c r="C4199" s="1" t="n">
        <v>38</v>
      </c>
      <c r="D4199" s="1" t="s">
        <v>1157</v>
      </c>
      <c r="E4199" s="1" t="n">
        <v>2</v>
      </c>
      <c r="F4199" s="1" t="n">
        <v>521.63</v>
      </c>
      <c r="G4199" s="1" t="n">
        <v>0</v>
      </c>
      <c r="H4199" s="1" t="s">
        <v>1336</v>
      </c>
      <c r="I4199" s="1" t="n">
        <v>1043.26</v>
      </c>
      <c r="J4199" s="1" t="str">
        <f aca="false">VLOOKUP(B4199,Customers!$A$2:$G$502,6,FALSE())</f>
        <v>Consumer</v>
      </c>
      <c r="K4199" s="1" t="str">
        <f aca="false">VLOOKUP(C4199,Products!$A$2:$E$62,3,FALSE())</f>
        <v>Software</v>
      </c>
      <c r="L4199" s="1" t="str">
        <f aca="false">TEXT(D4199,"yyyy-mm")</f>
        <v>2023-10</v>
      </c>
    </row>
    <row r="4200" customFormat="false" ht="15" hidden="false" customHeight="true" outlineLevel="0" collapsed="false">
      <c r="A4200" s="1" t="n">
        <v>4291</v>
      </c>
      <c r="B4200" s="1" t="n">
        <v>139</v>
      </c>
      <c r="C4200" s="1" t="n">
        <v>12</v>
      </c>
      <c r="D4200" s="1" t="s">
        <v>667</v>
      </c>
      <c r="E4200" s="1" t="n">
        <v>8</v>
      </c>
      <c r="F4200" s="1" t="n">
        <v>179.23</v>
      </c>
      <c r="G4200" s="1" t="n">
        <v>0.15</v>
      </c>
      <c r="H4200" s="1" t="s">
        <v>1336</v>
      </c>
      <c r="I4200" s="1" t="n">
        <v>1218.76</v>
      </c>
      <c r="J4200" s="1" t="str">
        <f aca="false">VLOOKUP(B4200,Customers!$A$2:$G$502,6,FALSE())</f>
        <v>Consumer</v>
      </c>
      <c r="K4200" s="1" t="str">
        <f aca="false">VLOOKUP(C4200,Products!$A$2:$E$62,3,FALSE())</f>
        <v>Electronics</v>
      </c>
      <c r="L4200" s="1" t="str">
        <f aca="false">TEXT(D4200,"yyyy-mm")</f>
        <v>2024-02</v>
      </c>
    </row>
    <row r="4201" customFormat="false" ht="15" hidden="false" customHeight="true" outlineLevel="0" collapsed="false">
      <c r="A4201" s="1" t="n">
        <v>4292</v>
      </c>
      <c r="B4201" s="1" t="n">
        <v>351</v>
      </c>
      <c r="C4201" s="1" t="n">
        <v>22</v>
      </c>
      <c r="D4201" s="1" t="s">
        <v>946</v>
      </c>
      <c r="E4201" s="1" t="n">
        <v>9</v>
      </c>
      <c r="F4201" s="1" t="n">
        <v>38.57</v>
      </c>
      <c r="G4201" s="1" t="n">
        <v>0.1</v>
      </c>
      <c r="H4201" s="1" t="s">
        <v>1336</v>
      </c>
      <c r="I4201" s="1" t="n">
        <v>312.42</v>
      </c>
      <c r="J4201" s="1" t="str">
        <f aca="false">VLOOKUP(B4201,Customers!$A$2:$G$502,6,FALSE())</f>
        <v>Small Business</v>
      </c>
      <c r="K4201" s="1" t="str">
        <f aca="false">VLOOKUP(C4201,Products!$A$2:$E$62,3,FALSE())</f>
        <v>Office Supplies</v>
      </c>
      <c r="L4201" s="1" t="str">
        <f aca="false">TEXT(D4201,"yyyy-mm")</f>
        <v>2023-04</v>
      </c>
    </row>
    <row r="4202" customFormat="false" ht="15" hidden="false" customHeight="true" outlineLevel="0" collapsed="false">
      <c r="A4202" s="1" t="n">
        <v>4293</v>
      </c>
      <c r="B4202" s="1" t="n">
        <v>335</v>
      </c>
      <c r="C4202" s="1" t="n">
        <v>58</v>
      </c>
      <c r="D4202" s="1" t="s">
        <v>1631</v>
      </c>
      <c r="E4202" s="1" t="n">
        <v>5</v>
      </c>
      <c r="F4202" s="1" t="n">
        <v>515.55</v>
      </c>
      <c r="G4202" s="1" t="n">
        <v>0</v>
      </c>
      <c r="H4202" s="1" t="s">
        <v>1336</v>
      </c>
      <c r="I4202" s="1" t="n">
        <v>2577.75</v>
      </c>
      <c r="J4202" s="1" t="str">
        <f aca="false">VLOOKUP(B4202,Customers!$A$2:$G$502,6,FALSE())</f>
        <v>Small Business</v>
      </c>
      <c r="K4202" s="1" t="str">
        <f aca="false">VLOOKUP(C4202,Products!$A$2:$E$62,3,FALSE())</f>
        <v>Furniture</v>
      </c>
      <c r="L4202" s="1" t="str">
        <f aca="false">TEXT(D4202,"yyyy-mm")</f>
        <v>2023-03</v>
      </c>
    </row>
    <row r="4203" customFormat="false" ht="15" hidden="false" customHeight="true" outlineLevel="0" collapsed="false">
      <c r="A4203" s="1" t="n">
        <v>4294</v>
      </c>
      <c r="B4203" s="1" t="n">
        <v>26</v>
      </c>
      <c r="C4203" s="1" t="n">
        <v>39</v>
      </c>
      <c r="D4203" s="1" t="s">
        <v>1177</v>
      </c>
      <c r="E4203" s="1" t="n">
        <v>4</v>
      </c>
      <c r="F4203" s="1" t="n">
        <v>400.02</v>
      </c>
      <c r="G4203" s="1" t="n">
        <v>0</v>
      </c>
      <c r="H4203" s="1" t="s">
        <v>1336</v>
      </c>
      <c r="I4203" s="1" t="n">
        <v>1600.08</v>
      </c>
      <c r="J4203" s="1" t="str">
        <f aca="false">VLOOKUP(B4203,Customers!$A$2:$G$502,6,FALSE())</f>
        <v>Consumer</v>
      </c>
      <c r="K4203" s="1" t="str">
        <f aca="false">VLOOKUP(C4203,Products!$A$2:$E$62,3,FALSE())</f>
        <v>Software</v>
      </c>
      <c r="L4203" s="1" t="str">
        <f aca="false">TEXT(D4203,"yyyy-mm")</f>
        <v>2023-08</v>
      </c>
    </row>
    <row r="4204" customFormat="false" ht="15" hidden="false" customHeight="true" outlineLevel="0" collapsed="false">
      <c r="A4204" s="1" t="n">
        <v>4295</v>
      </c>
      <c r="B4204" s="1" t="n">
        <v>214</v>
      </c>
      <c r="C4204" s="1" t="n">
        <v>13</v>
      </c>
      <c r="D4204" s="1" t="s">
        <v>1585</v>
      </c>
      <c r="E4204" s="1" t="n">
        <v>6</v>
      </c>
      <c r="F4204" s="1" t="n">
        <v>352.54</v>
      </c>
      <c r="G4204" s="1" t="n">
        <v>0</v>
      </c>
      <c r="H4204" s="1" t="s">
        <v>1336</v>
      </c>
      <c r="I4204" s="1" t="n">
        <v>2115.24</v>
      </c>
      <c r="J4204" s="1" t="str">
        <f aca="false">VLOOKUP(B4204,Customers!$A$2:$G$502,6,FALSE())</f>
        <v>Corporate</v>
      </c>
      <c r="K4204" s="1" t="str">
        <f aca="false">VLOOKUP(C4204,Products!$A$2:$E$62,3,FALSE())</f>
        <v>Electronics</v>
      </c>
      <c r="L4204" s="1" t="str">
        <f aca="false">TEXT(D4204,"yyyy-mm")</f>
        <v>2023-09</v>
      </c>
    </row>
    <row r="4205" customFormat="false" ht="15" hidden="false" customHeight="true" outlineLevel="0" collapsed="false">
      <c r="A4205" s="1" t="n">
        <v>4296</v>
      </c>
      <c r="B4205" s="1" t="n">
        <v>239</v>
      </c>
      <c r="C4205" s="1" t="n">
        <v>45</v>
      </c>
      <c r="D4205" s="1" t="s">
        <v>742</v>
      </c>
      <c r="E4205" s="1" t="n">
        <v>8</v>
      </c>
      <c r="F4205" s="1" t="n">
        <v>560.01</v>
      </c>
      <c r="G4205" s="1" t="n">
        <v>0</v>
      </c>
      <c r="H4205" s="1" t="s">
        <v>1336</v>
      </c>
      <c r="I4205" s="1" t="n">
        <v>4480.08</v>
      </c>
      <c r="J4205" s="1" t="str">
        <f aca="false">VLOOKUP(B4205,Customers!$A$2:$G$502,6,FALSE())</f>
        <v>Corporate</v>
      </c>
      <c r="K4205" s="1" t="str">
        <f aca="false">VLOOKUP(C4205,Products!$A$2:$E$62,3,FALSE())</f>
        <v>Software</v>
      </c>
      <c r="L4205" s="1" t="str">
        <f aca="false">TEXT(D4205,"yyyy-mm")</f>
        <v>2023-02</v>
      </c>
    </row>
    <row r="4206" customFormat="false" ht="15" hidden="false" customHeight="true" outlineLevel="0" collapsed="false">
      <c r="A4206" s="1" t="n">
        <v>4297</v>
      </c>
      <c r="B4206" s="1" t="n">
        <v>135</v>
      </c>
      <c r="C4206" s="1" t="n">
        <v>15</v>
      </c>
      <c r="D4206" s="1" t="s">
        <v>1339</v>
      </c>
      <c r="E4206" s="1" t="n">
        <v>3</v>
      </c>
      <c r="F4206" s="1" t="n">
        <v>304.95</v>
      </c>
      <c r="G4206" s="1" t="n">
        <v>0.05</v>
      </c>
      <c r="H4206" s="1" t="s">
        <v>1336</v>
      </c>
      <c r="I4206" s="1" t="n">
        <v>869.11</v>
      </c>
      <c r="J4206" s="1" t="str">
        <f aca="false">VLOOKUP(B4206,Customers!$A$2:$G$502,6,FALSE())</f>
        <v>Corporate</v>
      </c>
      <c r="K4206" s="1" t="str">
        <f aca="false">VLOOKUP(C4206,Products!$A$2:$E$62,3,FALSE())</f>
        <v>Electronics</v>
      </c>
      <c r="L4206" s="1" t="str">
        <f aca="false">TEXT(D4206,"yyyy-mm")</f>
        <v>2024-04</v>
      </c>
    </row>
    <row r="4207" customFormat="false" ht="15" hidden="false" customHeight="true" outlineLevel="0" collapsed="false">
      <c r="A4207" s="1" t="n">
        <v>4298</v>
      </c>
      <c r="B4207" s="1" t="n">
        <v>425</v>
      </c>
      <c r="C4207" s="1" t="n">
        <v>48</v>
      </c>
      <c r="D4207" s="1" t="s">
        <v>1691</v>
      </c>
      <c r="E4207" s="1" t="n">
        <v>1</v>
      </c>
      <c r="F4207" s="1" t="n">
        <v>493.53</v>
      </c>
      <c r="G4207" s="1" t="n">
        <v>0.05</v>
      </c>
      <c r="H4207" s="1" t="s">
        <v>1336</v>
      </c>
      <c r="I4207" s="1" t="n">
        <v>468.85</v>
      </c>
      <c r="J4207" s="1" t="str">
        <f aca="false">VLOOKUP(B4207,Customers!$A$2:$G$502,6,FALSE())</f>
        <v>Unknown</v>
      </c>
      <c r="K4207" s="1" t="str">
        <f aca="false">VLOOKUP(C4207,Products!$A$2:$E$62,3,FALSE())</f>
        <v>Software</v>
      </c>
      <c r="L4207" s="1" t="str">
        <f aca="false">TEXT(D4207,"yyyy-mm")</f>
        <v>2023-10</v>
      </c>
    </row>
    <row r="4208" customFormat="false" ht="15" hidden="false" customHeight="true" outlineLevel="0" collapsed="false">
      <c r="A4208" s="1" t="n">
        <v>4299</v>
      </c>
      <c r="B4208" s="1" t="n">
        <v>319</v>
      </c>
      <c r="C4208" s="1" t="n">
        <v>11</v>
      </c>
      <c r="D4208" s="1" t="s">
        <v>1611</v>
      </c>
      <c r="E4208" s="1" t="n">
        <v>4</v>
      </c>
      <c r="F4208" s="1" t="n">
        <v>328.39</v>
      </c>
      <c r="G4208" s="1" t="n">
        <v>0.15</v>
      </c>
      <c r="H4208" s="1" t="s">
        <v>1336</v>
      </c>
      <c r="I4208" s="1" t="n">
        <v>1116.53</v>
      </c>
      <c r="J4208" s="1" t="str">
        <f aca="false">VLOOKUP(B4208,Customers!$A$2:$G$502,6,FALSE())</f>
        <v>Corporate</v>
      </c>
      <c r="K4208" s="1" t="str">
        <f aca="false">VLOOKUP(C4208,Products!$A$2:$E$62,3,FALSE())</f>
        <v>Electronics</v>
      </c>
      <c r="L4208" s="1" t="str">
        <f aca="false">TEXT(D4208,"yyyy-mm")</f>
        <v>2024-07</v>
      </c>
    </row>
    <row r="4209" customFormat="false" ht="15" hidden="false" customHeight="true" outlineLevel="0" collapsed="false">
      <c r="A4209" s="1" t="n">
        <v>4300</v>
      </c>
      <c r="B4209" s="1" t="n">
        <v>420</v>
      </c>
      <c r="C4209" s="1" t="n">
        <v>37</v>
      </c>
      <c r="D4209" s="1" t="s">
        <v>1448</v>
      </c>
      <c r="E4209" s="1" t="n">
        <v>4</v>
      </c>
      <c r="F4209" s="1" t="n">
        <v>13.95</v>
      </c>
      <c r="G4209" s="1" t="n">
        <v>0</v>
      </c>
      <c r="H4209" s="1" t="s">
        <v>1336</v>
      </c>
      <c r="I4209" s="1" t="n">
        <v>55.8</v>
      </c>
      <c r="J4209" s="1" t="str">
        <f aca="false">VLOOKUP(B4209,Customers!$A$2:$G$502,6,FALSE())</f>
        <v>Small Business</v>
      </c>
      <c r="K4209" s="1" t="str">
        <f aca="false">VLOOKUP(C4209,Products!$A$2:$E$62,3,FALSE())</f>
        <v>Software</v>
      </c>
      <c r="L4209" s="1" t="str">
        <f aca="false">TEXT(D4209,"yyyy-mm")</f>
        <v>2024-04</v>
      </c>
    </row>
    <row r="4210" customFormat="false" ht="15" hidden="false" customHeight="true" outlineLevel="0" collapsed="false">
      <c r="A4210" s="1" t="n">
        <v>4301</v>
      </c>
      <c r="B4210" s="1" t="n">
        <v>56</v>
      </c>
      <c r="C4210" s="1" t="n">
        <v>30</v>
      </c>
      <c r="D4210" s="1" t="s">
        <v>1347</v>
      </c>
      <c r="E4210" s="1" t="n">
        <v>1</v>
      </c>
      <c r="F4210" s="1" t="n">
        <v>33.32</v>
      </c>
      <c r="G4210" s="1" t="n">
        <v>0.1</v>
      </c>
      <c r="H4210" s="1" t="s">
        <v>1336</v>
      </c>
      <c r="I4210" s="1" t="n">
        <v>29.99</v>
      </c>
      <c r="J4210" s="1" t="str">
        <f aca="false">VLOOKUP(B4210,Customers!$A$2:$G$502,6,FALSE())</f>
        <v>Corporate</v>
      </c>
      <c r="K4210" s="1" t="str">
        <f aca="false">VLOOKUP(C4210,Products!$A$2:$E$62,3,FALSE())</f>
        <v>Office Supplies</v>
      </c>
      <c r="L4210" s="1" t="str">
        <f aca="false">TEXT(D4210,"yyyy-mm")</f>
        <v>2024-01</v>
      </c>
    </row>
    <row r="4211" customFormat="false" ht="15" hidden="false" customHeight="true" outlineLevel="0" collapsed="false">
      <c r="A4211" s="1" t="n">
        <v>4302</v>
      </c>
      <c r="B4211" s="1" t="n">
        <v>379</v>
      </c>
      <c r="C4211" s="1" t="n">
        <v>16</v>
      </c>
      <c r="D4211" s="1" t="s">
        <v>1603</v>
      </c>
      <c r="E4211" s="1" t="n">
        <v>9</v>
      </c>
      <c r="F4211" s="1" t="n">
        <v>330.91</v>
      </c>
      <c r="G4211" s="1" t="n">
        <v>0.2</v>
      </c>
      <c r="H4211" s="1" t="s">
        <v>1336</v>
      </c>
      <c r="I4211" s="1" t="n">
        <v>2382.55</v>
      </c>
      <c r="J4211" s="1" t="str">
        <f aca="false">VLOOKUP(B4211,Customers!$A$2:$G$502,6,FALSE())</f>
        <v>Corporate</v>
      </c>
      <c r="K4211" s="1" t="str">
        <f aca="false">VLOOKUP(C4211,Products!$A$2:$E$62,3,FALSE())</f>
        <v>Electronics</v>
      </c>
      <c r="L4211" s="1" t="str">
        <f aca="false">TEXT(D4211,"yyyy-mm")</f>
        <v>2024-12</v>
      </c>
    </row>
    <row r="4212" customFormat="false" ht="15" hidden="false" customHeight="true" outlineLevel="0" collapsed="false">
      <c r="A4212" s="1" t="n">
        <v>4303</v>
      </c>
      <c r="B4212" s="1" t="n">
        <v>352</v>
      </c>
      <c r="C4212" s="1" t="n">
        <v>23</v>
      </c>
      <c r="D4212" s="1" t="s">
        <v>1675</v>
      </c>
      <c r="E4212" s="1" t="n">
        <v>3</v>
      </c>
      <c r="F4212" s="1" t="n">
        <v>188.73</v>
      </c>
      <c r="G4212" s="1" t="n">
        <v>0.2</v>
      </c>
      <c r="H4212" s="1" t="s">
        <v>1336</v>
      </c>
      <c r="I4212" s="1" t="n">
        <v>452.95</v>
      </c>
      <c r="J4212" s="1" t="str">
        <f aca="false">VLOOKUP(B4212,Customers!$A$2:$G$502,6,FALSE())</f>
        <v>Corporate</v>
      </c>
      <c r="K4212" s="1" t="str">
        <f aca="false">VLOOKUP(C4212,Products!$A$2:$E$62,3,FALSE())</f>
        <v>Office Supplies</v>
      </c>
      <c r="L4212" s="1" t="str">
        <f aca="false">TEXT(D4212,"yyyy-mm")</f>
        <v>2024-01</v>
      </c>
    </row>
    <row r="4213" customFormat="false" ht="15" hidden="false" customHeight="true" outlineLevel="0" collapsed="false">
      <c r="A4213" s="1" t="n">
        <v>4304</v>
      </c>
      <c r="B4213" s="1" t="n">
        <v>127</v>
      </c>
      <c r="C4213" s="1" t="n">
        <v>46</v>
      </c>
      <c r="D4213" s="1" t="s">
        <v>1610</v>
      </c>
      <c r="E4213" s="1" t="n">
        <v>5</v>
      </c>
      <c r="F4213" s="1" t="n">
        <v>94.92</v>
      </c>
      <c r="G4213" s="1" t="n">
        <v>0</v>
      </c>
      <c r="H4213" s="1" t="s">
        <v>1336</v>
      </c>
      <c r="I4213" s="1" t="n">
        <v>474.6</v>
      </c>
      <c r="J4213" s="1" t="str">
        <f aca="false">VLOOKUP(B4213,Customers!$A$2:$G$502,6,FALSE())</f>
        <v>Corporate</v>
      </c>
      <c r="K4213" s="1" t="str">
        <f aca="false">VLOOKUP(C4213,Products!$A$2:$E$62,3,FALSE())</f>
        <v>Software</v>
      </c>
      <c r="L4213" s="1" t="str">
        <f aca="false">TEXT(D4213,"yyyy-mm")</f>
        <v>2024-10</v>
      </c>
    </row>
    <row r="4214" customFormat="false" ht="15" hidden="false" customHeight="true" outlineLevel="0" collapsed="false">
      <c r="A4214" s="1" t="n">
        <v>4305</v>
      </c>
      <c r="B4214" s="1" t="n">
        <v>256</v>
      </c>
      <c r="C4214" s="1" t="n">
        <v>2</v>
      </c>
      <c r="D4214" s="1" t="s">
        <v>1702</v>
      </c>
      <c r="E4214" s="1" t="n">
        <v>6</v>
      </c>
      <c r="F4214" s="1" t="n">
        <v>498.15</v>
      </c>
      <c r="G4214" s="1" t="n">
        <v>0.1</v>
      </c>
      <c r="H4214" s="1" t="s">
        <v>1336</v>
      </c>
      <c r="I4214" s="1" t="n">
        <v>2690.01</v>
      </c>
      <c r="J4214" s="1" t="str">
        <f aca="false">VLOOKUP(B4214,Customers!$A$2:$G$502,6,FALSE())</f>
        <v>Small Business</v>
      </c>
      <c r="K4214" s="1" t="str">
        <f aca="false">VLOOKUP(C4214,Products!$A$2:$E$62,3,FALSE())</f>
        <v>Electronics</v>
      </c>
      <c r="L4214" s="1" t="str">
        <f aca="false">TEXT(D4214,"yyyy-mm")</f>
        <v>2024-06</v>
      </c>
    </row>
    <row r="4215" customFormat="false" ht="15" hidden="false" customHeight="true" outlineLevel="0" collapsed="false">
      <c r="A4215" s="1" t="n">
        <v>4306</v>
      </c>
      <c r="B4215" s="1" t="n">
        <v>361</v>
      </c>
      <c r="C4215" s="1" t="n">
        <v>46</v>
      </c>
      <c r="D4215" s="1" t="s">
        <v>1216</v>
      </c>
      <c r="E4215" s="1" t="n">
        <v>8</v>
      </c>
      <c r="F4215" s="1" t="n">
        <v>94.92</v>
      </c>
      <c r="G4215" s="1" t="n">
        <v>0</v>
      </c>
      <c r="H4215" s="1" t="s">
        <v>1346</v>
      </c>
      <c r="I4215" s="1" t="n">
        <v>759.36</v>
      </c>
      <c r="J4215" s="1" t="str">
        <f aca="false">VLOOKUP(B4215,Customers!$A$2:$G$502,6,FALSE())</f>
        <v>Small Business</v>
      </c>
      <c r="K4215" s="1" t="str">
        <f aca="false">VLOOKUP(C4215,Products!$A$2:$E$62,3,FALSE())</f>
        <v>Software</v>
      </c>
      <c r="L4215" s="1" t="str">
        <f aca="false">TEXT(D4215,"yyyy-mm")</f>
        <v>2024-10</v>
      </c>
    </row>
    <row r="4216" customFormat="false" ht="15" hidden="false" customHeight="true" outlineLevel="0" collapsed="false">
      <c r="A4216" s="1" t="n">
        <v>4307</v>
      </c>
      <c r="B4216" s="1" t="n">
        <v>172</v>
      </c>
      <c r="C4216" s="1" t="n">
        <v>37</v>
      </c>
      <c r="D4216" s="1" t="s">
        <v>1380</v>
      </c>
      <c r="E4216" s="1" t="n">
        <v>6</v>
      </c>
      <c r="F4216" s="1" t="n">
        <v>13.95</v>
      </c>
      <c r="G4216" s="1" t="n">
        <v>0.2</v>
      </c>
      <c r="H4216" s="1" t="s">
        <v>1336</v>
      </c>
      <c r="I4216" s="1" t="n">
        <v>66.96</v>
      </c>
      <c r="J4216" s="1" t="str">
        <f aca="false">VLOOKUP(B4216,Customers!$A$2:$G$502,6,FALSE())</f>
        <v>Consumer</v>
      </c>
      <c r="K4216" s="1" t="str">
        <f aca="false">VLOOKUP(C4216,Products!$A$2:$E$62,3,FALSE())</f>
        <v>Software</v>
      </c>
      <c r="L4216" s="1" t="str">
        <f aca="false">TEXT(D4216,"yyyy-mm")</f>
        <v>2023-07</v>
      </c>
    </row>
    <row r="4217" customFormat="false" ht="15" hidden="false" customHeight="true" outlineLevel="0" collapsed="false">
      <c r="A4217" s="1" t="n">
        <v>4308</v>
      </c>
      <c r="B4217" s="1" t="n">
        <v>196</v>
      </c>
      <c r="C4217" s="1" t="n">
        <v>56</v>
      </c>
      <c r="D4217" s="1" t="s">
        <v>248</v>
      </c>
      <c r="E4217" s="1" t="n">
        <v>3</v>
      </c>
      <c r="F4217" s="1" t="n">
        <v>160.64</v>
      </c>
      <c r="G4217" s="1" t="n">
        <v>0</v>
      </c>
      <c r="H4217" s="1" t="s">
        <v>1336</v>
      </c>
      <c r="I4217" s="1" t="n">
        <v>481.92</v>
      </c>
      <c r="J4217" s="1" t="str">
        <f aca="false">VLOOKUP(B4217,Customers!$A$2:$G$502,6,FALSE())</f>
        <v>Corporate</v>
      </c>
      <c r="K4217" s="1" t="str">
        <f aca="false">VLOOKUP(C4217,Products!$A$2:$E$62,3,FALSE())</f>
        <v>Furniture</v>
      </c>
      <c r="L4217" s="1" t="str">
        <f aca="false">TEXT(D4217,"yyyy-mm")</f>
        <v>2024-01</v>
      </c>
    </row>
    <row r="4218" customFormat="false" ht="15" hidden="false" customHeight="true" outlineLevel="0" collapsed="false">
      <c r="A4218" s="1" t="n">
        <v>4309</v>
      </c>
      <c r="B4218" s="1" t="n">
        <v>451</v>
      </c>
      <c r="C4218" s="1" t="n">
        <v>42</v>
      </c>
      <c r="D4218" s="1" t="s">
        <v>1627</v>
      </c>
      <c r="E4218" s="1" t="n">
        <v>6</v>
      </c>
      <c r="F4218" s="1" t="n">
        <v>174.48</v>
      </c>
      <c r="G4218" s="1" t="n">
        <v>0.05</v>
      </c>
      <c r="H4218" s="1" t="s">
        <v>1336</v>
      </c>
      <c r="I4218" s="1" t="n">
        <v>994.54</v>
      </c>
      <c r="J4218" s="1" t="str">
        <f aca="false">VLOOKUP(B4218,Customers!$A$2:$G$502,6,FALSE())</f>
        <v>Corporate</v>
      </c>
      <c r="K4218" s="1" t="str">
        <f aca="false">VLOOKUP(C4218,Products!$A$2:$E$62,3,FALSE())</f>
        <v>Software</v>
      </c>
      <c r="L4218" s="1" t="str">
        <f aca="false">TEXT(D4218,"yyyy-mm")</f>
        <v>2023-11</v>
      </c>
    </row>
    <row r="4219" customFormat="false" ht="15" hidden="false" customHeight="true" outlineLevel="0" collapsed="false">
      <c r="A4219" s="1" t="n">
        <v>4310</v>
      </c>
      <c r="B4219" s="1" t="n">
        <v>339</v>
      </c>
      <c r="C4219" s="1" t="n">
        <v>53</v>
      </c>
      <c r="D4219" s="1" t="s">
        <v>1607</v>
      </c>
      <c r="E4219" s="1" t="n">
        <v>1</v>
      </c>
      <c r="F4219" s="1" t="n">
        <v>509.98</v>
      </c>
      <c r="G4219" s="1" t="n">
        <v>0.05</v>
      </c>
      <c r="H4219" s="1" t="s">
        <v>1336</v>
      </c>
      <c r="I4219" s="1" t="n">
        <v>484.48</v>
      </c>
      <c r="J4219" s="1" t="str">
        <f aca="false">VLOOKUP(B4219,Customers!$A$2:$G$502,6,FALSE())</f>
        <v>Corporate</v>
      </c>
      <c r="K4219" s="1" t="str">
        <f aca="false">VLOOKUP(C4219,Products!$A$2:$E$62,3,FALSE())</f>
        <v>Software</v>
      </c>
      <c r="L4219" s="1" t="str">
        <f aca="false">TEXT(D4219,"yyyy-mm")</f>
        <v>2023-06</v>
      </c>
    </row>
    <row r="4220" customFormat="false" ht="15" hidden="false" customHeight="true" outlineLevel="0" collapsed="false">
      <c r="A4220" s="1" t="n">
        <v>4311</v>
      </c>
      <c r="B4220" s="1" t="n">
        <v>197</v>
      </c>
      <c r="C4220" s="1" t="n">
        <v>51</v>
      </c>
      <c r="D4220" s="1" t="s">
        <v>1631</v>
      </c>
      <c r="E4220" s="1" t="n">
        <v>4</v>
      </c>
      <c r="F4220" s="1" t="n">
        <v>30.16</v>
      </c>
      <c r="G4220" s="1" t="n">
        <v>0</v>
      </c>
      <c r="H4220" s="1" t="s">
        <v>1336</v>
      </c>
      <c r="I4220" s="1" t="n">
        <v>120.64</v>
      </c>
      <c r="J4220" s="1" t="str">
        <f aca="false">VLOOKUP(B4220,Customers!$A$2:$G$502,6,FALSE())</f>
        <v>Small Business</v>
      </c>
      <c r="K4220" s="1" t="str">
        <f aca="false">VLOOKUP(C4220,Products!$A$2:$E$62,3,FALSE())</f>
        <v>Software</v>
      </c>
      <c r="L4220" s="1" t="str">
        <f aca="false">TEXT(D4220,"yyyy-mm")</f>
        <v>2023-03</v>
      </c>
    </row>
    <row r="4221" customFormat="false" ht="15" hidden="false" customHeight="true" outlineLevel="0" collapsed="false">
      <c r="A4221" s="1" t="n">
        <v>4312</v>
      </c>
      <c r="B4221" s="1" t="n">
        <v>14</v>
      </c>
      <c r="C4221" s="1" t="n">
        <v>39</v>
      </c>
      <c r="D4221" s="1" t="s">
        <v>822</v>
      </c>
      <c r="E4221" s="1" t="n">
        <v>6</v>
      </c>
      <c r="F4221" s="1" t="n">
        <v>400.02</v>
      </c>
      <c r="G4221" s="1" t="n">
        <v>0.05</v>
      </c>
      <c r="H4221" s="1" t="s">
        <v>1336</v>
      </c>
      <c r="I4221" s="1" t="n">
        <v>2280.11</v>
      </c>
      <c r="J4221" s="1" t="str">
        <f aca="false">VLOOKUP(B4221,Customers!$A$2:$G$502,6,FALSE())</f>
        <v>Small Business</v>
      </c>
      <c r="K4221" s="1" t="str">
        <f aca="false">VLOOKUP(C4221,Products!$A$2:$E$62,3,FALSE())</f>
        <v>Software</v>
      </c>
      <c r="L4221" s="1" t="str">
        <f aca="false">TEXT(D4221,"yyyy-mm")</f>
        <v>2023-08</v>
      </c>
    </row>
    <row r="4222" customFormat="false" ht="15" hidden="false" customHeight="true" outlineLevel="0" collapsed="false">
      <c r="A4222" s="1" t="n">
        <v>4313</v>
      </c>
      <c r="B4222" s="1" t="n">
        <v>293</v>
      </c>
      <c r="C4222" s="1" t="n">
        <v>1</v>
      </c>
      <c r="D4222" s="1" t="s">
        <v>243</v>
      </c>
      <c r="E4222" s="1" t="n">
        <v>7</v>
      </c>
      <c r="F4222" s="1" t="n">
        <v>327.32</v>
      </c>
      <c r="G4222" s="1" t="n">
        <v>0</v>
      </c>
      <c r="H4222" s="1" t="s">
        <v>1336</v>
      </c>
      <c r="I4222" s="1" t="n">
        <v>2291.24</v>
      </c>
      <c r="J4222" s="1" t="str">
        <f aca="false">VLOOKUP(B4222,Customers!$A$2:$G$502,6,FALSE())</f>
        <v>Small Business</v>
      </c>
      <c r="K4222" s="1" t="str">
        <f aca="false">VLOOKUP(C4222,Products!$A$2:$E$62,3,FALSE())</f>
        <v>Electronics</v>
      </c>
      <c r="L4222" s="1" t="str">
        <f aca="false">TEXT(D4222,"yyyy-mm")</f>
        <v>2024-07</v>
      </c>
    </row>
    <row r="4223" customFormat="false" ht="15" hidden="false" customHeight="true" outlineLevel="0" collapsed="false">
      <c r="A4223" s="1" t="n">
        <v>4314</v>
      </c>
      <c r="B4223" s="1" t="n">
        <v>256</v>
      </c>
      <c r="C4223" s="1" t="n">
        <v>45</v>
      </c>
      <c r="D4223" s="1" t="s">
        <v>1403</v>
      </c>
      <c r="E4223" s="1" t="n">
        <v>3</v>
      </c>
      <c r="F4223" s="1" t="n">
        <v>560.01</v>
      </c>
      <c r="G4223" s="1" t="n">
        <v>0.15</v>
      </c>
      <c r="H4223" s="1" t="s">
        <v>1336</v>
      </c>
      <c r="I4223" s="1" t="n">
        <v>1428.03</v>
      </c>
      <c r="J4223" s="1" t="str">
        <f aca="false">VLOOKUP(B4223,Customers!$A$2:$G$502,6,FALSE())</f>
        <v>Small Business</v>
      </c>
      <c r="K4223" s="1" t="str">
        <f aca="false">VLOOKUP(C4223,Products!$A$2:$E$62,3,FALSE())</f>
        <v>Software</v>
      </c>
      <c r="L4223" s="1" t="str">
        <f aca="false">TEXT(D4223,"yyyy-mm")</f>
        <v>2024-02</v>
      </c>
    </row>
    <row r="4224" customFormat="false" ht="15" hidden="false" customHeight="true" outlineLevel="0" collapsed="false">
      <c r="A4224" s="1" t="n">
        <v>4315</v>
      </c>
      <c r="B4224" s="1" t="n">
        <v>342</v>
      </c>
      <c r="C4224" s="1" t="n">
        <v>45</v>
      </c>
      <c r="D4224" s="1" t="s">
        <v>1343</v>
      </c>
      <c r="E4224" s="1" t="n">
        <v>9</v>
      </c>
      <c r="F4224" s="1" t="n">
        <v>560.01</v>
      </c>
      <c r="G4224" s="1" t="n">
        <v>0.05</v>
      </c>
      <c r="H4224" s="1" t="s">
        <v>1336</v>
      </c>
      <c r="I4224" s="1" t="n">
        <v>4788.09</v>
      </c>
      <c r="J4224" s="1" t="str">
        <f aca="false">VLOOKUP(B4224,Customers!$A$2:$G$502,6,FALSE())</f>
        <v>Small Business</v>
      </c>
      <c r="K4224" s="1" t="str">
        <f aca="false">VLOOKUP(C4224,Products!$A$2:$E$62,3,FALSE())</f>
        <v>Software</v>
      </c>
      <c r="L4224" s="1" t="str">
        <f aca="false">TEXT(D4224,"yyyy-mm")</f>
        <v>2024-06</v>
      </c>
    </row>
    <row r="4225" customFormat="false" ht="15" hidden="false" customHeight="true" outlineLevel="0" collapsed="false">
      <c r="A4225" s="1" t="n">
        <v>4316</v>
      </c>
      <c r="B4225" s="1" t="n">
        <v>143</v>
      </c>
      <c r="C4225" s="1" t="n">
        <v>43</v>
      </c>
      <c r="D4225" s="1" t="s">
        <v>1588</v>
      </c>
      <c r="E4225" s="1" t="n">
        <v>7</v>
      </c>
      <c r="F4225" s="1" t="n">
        <v>186.31</v>
      </c>
      <c r="G4225" s="1" t="n">
        <v>0.05</v>
      </c>
      <c r="H4225" s="1" t="s">
        <v>1336</v>
      </c>
      <c r="I4225" s="1" t="n">
        <v>1238.96</v>
      </c>
      <c r="J4225" s="1" t="str">
        <f aca="false">VLOOKUP(B4225,Customers!$A$2:$G$502,6,FALSE())</f>
        <v>Small Business</v>
      </c>
      <c r="K4225" s="1" t="str">
        <f aca="false">VLOOKUP(C4225,Products!$A$2:$E$62,3,FALSE())</f>
        <v>Software</v>
      </c>
      <c r="L4225" s="1" t="str">
        <f aca="false">TEXT(D4225,"yyyy-mm")</f>
        <v>2024-08</v>
      </c>
    </row>
    <row r="4226" customFormat="false" ht="15" hidden="false" customHeight="true" outlineLevel="0" collapsed="false">
      <c r="A4226" s="1" t="n">
        <v>4317</v>
      </c>
      <c r="B4226" s="1" t="n">
        <v>54</v>
      </c>
      <c r="C4226" s="1" t="n">
        <v>37</v>
      </c>
      <c r="D4226" s="1" t="s">
        <v>1408</v>
      </c>
      <c r="E4226" s="1" t="n">
        <v>1</v>
      </c>
      <c r="F4226" s="1" t="n">
        <v>13.95</v>
      </c>
      <c r="G4226" s="1" t="n">
        <v>0.05</v>
      </c>
      <c r="H4226" s="1" t="s">
        <v>1336</v>
      </c>
      <c r="I4226" s="1" t="n">
        <v>13.25</v>
      </c>
      <c r="J4226" s="1" t="str">
        <f aca="false">VLOOKUP(B4226,Customers!$A$2:$G$502,6,FALSE())</f>
        <v>Consumer</v>
      </c>
      <c r="K4226" s="1" t="str">
        <f aca="false">VLOOKUP(C4226,Products!$A$2:$E$62,3,FALSE())</f>
        <v>Software</v>
      </c>
      <c r="L4226" s="1" t="str">
        <f aca="false">TEXT(D4226,"yyyy-mm")</f>
        <v>2023-12</v>
      </c>
    </row>
    <row r="4227" customFormat="false" ht="15" hidden="false" customHeight="true" outlineLevel="0" collapsed="false">
      <c r="A4227" s="1" t="n">
        <v>4318</v>
      </c>
      <c r="B4227" s="1" t="n">
        <v>223</v>
      </c>
      <c r="C4227" s="1" t="n">
        <v>2</v>
      </c>
      <c r="D4227" s="1" t="s">
        <v>1147</v>
      </c>
      <c r="E4227" s="1" t="n">
        <v>2</v>
      </c>
      <c r="F4227" s="1" t="n">
        <v>498.15</v>
      </c>
      <c r="G4227" s="1" t="n">
        <v>0.05</v>
      </c>
      <c r="H4227" s="1" t="s">
        <v>1336</v>
      </c>
      <c r="I4227" s="1" t="n">
        <v>946.48</v>
      </c>
      <c r="J4227" s="1" t="str">
        <f aca="false">VLOOKUP(B4227,Customers!$A$2:$G$502,6,FALSE())</f>
        <v>Consumer</v>
      </c>
      <c r="K4227" s="1" t="str">
        <f aca="false">VLOOKUP(C4227,Products!$A$2:$E$62,3,FALSE())</f>
        <v>Electronics</v>
      </c>
      <c r="L4227" s="1" t="str">
        <f aca="false">TEXT(D4227,"yyyy-mm")</f>
        <v>2024-05</v>
      </c>
    </row>
    <row r="4228" customFormat="false" ht="15" hidden="false" customHeight="true" outlineLevel="0" collapsed="false">
      <c r="A4228" s="1" t="n">
        <v>4319</v>
      </c>
      <c r="B4228" s="1" t="n">
        <v>409</v>
      </c>
      <c r="C4228" s="1" t="n">
        <v>37</v>
      </c>
      <c r="D4228" s="1" t="s">
        <v>1223</v>
      </c>
      <c r="E4228" s="1" t="n">
        <v>1</v>
      </c>
      <c r="F4228" s="1" t="n">
        <v>13.95</v>
      </c>
      <c r="G4228" s="1" t="n">
        <v>0</v>
      </c>
      <c r="H4228" s="1" t="s">
        <v>1370</v>
      </c>
      <c r="I4228" s="1" t="n">
        <v>13.95</v>
      </c>
      <c r="J4228" s="1" t="str">
        <f aca="false">VLOOKUP(B4228,Customers!$A$2:$G$502,6,FALSE())</f>
        <v>Small Business</v>
      </c>
      <c r="K4228" s="1" t="str">
        <f aca="false">VLOOKUP(C4228,Products!$A$2:$E$62,3,FALSE())</f>
        <v>Software</v>
      </c>
      <c r="L4228" s="1" t="str">
        <f aca="false">TEXT(D4228,"yyyy-mm")</f>
        <v>2024-12</v>
      </c>
    </row>
    <row r="4229" customFormat="false" ht="15" hidden="false" customHeight="true" outlineLevel="0" collapsed="false">
      <c r="A4229" s="1" t="n">
        <v>4320</v>
      </c>
      <c r="B4229" s="1" t="n">
        <v>418</v>
      </c>
      <c r="C4229" s="1" t="n">
        <v>58</v>
      </c>
      <c r="D4229" s="1" t="s">
        <v>1519</v>
      </c>
      <c r="E4229" s="1" t="n">
        <v>9</v>
      </c>
      <c r="F4229" s="1" t="n">
        <v>515.55</v>
      </c>
      <c r="G4229" s="1" t="n">
        <v>0</v>
      </c>
      <c r="H4229" s="1" t="s">
        <v>1336</v>
      </c>
      <c r="I4229" s="1" t="n">
        <v>4639.95</v>
      </c>
      <c r="J4229" s="1" t="str">
        <f aca="false">VLOOKUP(B4229,Customers!$A$2:$G$502,6,FALSE())</f>
        <v>Corporate</v>
      </c>
      <c r="K4229" s="1" t="str">
        <f aca="false">VLOOKUP(C4229,Products!$A$2:$E$62,3,FALSE())</f>
        <v>Furniture</v>
      </c>
      <c r="L4229" s="1" t="str">
        <f aca="false">TEXT(D4229,"yyyy-mm")</f>
        <v>2023-05</v>
      </c>
    </row>
    <row r="4230" customFormat="false" ht="15" hidden="false" customHeight="true" outlineLevel="0" collapsed="false">
      <c r="A4230" s="1" t="n">
        <v>4321</v>
      </c>
      <c r="B4230" s="1" t="n">
        <v>479</v>
      </c>
      <c r="C4230" s="1" t="n">
        <v>48</v>
      </c>
      <c r="D4230" s="1" t="s">
        <v>1057</v>
      </c>
      <c r="E4230" s="1" t="n">
        <v>9</v>
      </c>
      <c r="F4230" s="1" t="n">
        <v>493.53</v>
      </c>
      <c r="G4230" s="1" t="n">
        <v>0.05</v>
      </c>
      <c r="H4230" s="1" t="s">
        <v>1336</v>
      </c>
      <c r="I4230" s="1" t="n">
        <v>4219.68</v>
      </c>
      <c r="J4230" s="1" t="str">
        <f aca="false">VLOOKUP(B4230,Customers!$A$2:$G$502,6,FALSE())</f>
        <v>Small Business</v>
      </c>
      <c r="K4230" s="1" t="str">
        <f aca="false">VLOOKUP(C4230,Products!$A$2:$E$62,3,FALSE())</f>
        <v>Software</v>
      </c>
      <c r="L4230" s="1" t="str">
        <f aca="false">TEXT(D4230,"yyyy-mm")</f>
        <v>2024-11</v>
      </c>
    </row>
    <row r="4231" customFormat="false" ht="15" hidden="false" customHeight="true" outlineLevel="0" collapsed="false">
      <c r="A4231" s="1" t="n">
        <v>4322</v>
      </c>
      <c r="B4231" s="1" t="n">
        <v>181</v>
      </c>
      <c r="C4231" s="1" t="n">
        <v>3</v>
      </c>
      <c r="D4231" s="1" t="s">
        <v>1440</v>
      </c>
      <c r="E4231" s="1" t="n">
        <v>7</v>
      </c>
      <c r="F4231" s="1" t="n">
        <v>89.39</v>
      </c>
      <c r="G4231" s="1" t="n">
        <v>0.05</v>
      </c>
      <c r="H4231" s="1" t="s">
        <v>1336</v>
      </c>
      <c r="I4231" s="1" t="n">
        <v>594.44</v>
      </c>
      <c r="J4231" s="1" t="str">
        <f aca="false">VLOOKUP(B4231,Customers!$A$2:$G$502,6,FALSE())</f>
        <v>Small Business</v>
      </c>
      <c r="K4231" s="1" t="str">
        <f aca="false">VLOOKUP(C4231,Products!$A$2:$E$62,3,FALSE())</f>
        <v>Electronics</v>
      </c>
      <c r="L4231" s="1" t="str">
        <f aca="false">TEXT(D4231,"yyyy-mm")</f>
        <v>2023-02</v>
      </c>
    </row>
    <row r="4232" customFormat="false" ht="15" hidden="false" customHeight="true" outlineLevel="0" collapsed="false">
      <c r="A4232" s="1" t="n">
        <v>4323</v>
      </c>
      <c r="B4232" s="1" t="n">
        <v>370</v>
      </c>
      <c r="C4232" s="1" t="n">
        <v>34</v>
      </c>
      <c r="D4232" s="1" t="s">
        <v>1550</v>
      </c>
      <c r="E4232" s="1" t="n">
        <v>3</v>
      </c>
      <c r="F4232" s="1" t="n">
        <v>116.85</v>
      </c>
      <c r="G4232" s="1" t="n">
        <v>0.15</v>
      </c>
      <c r="H4232" s="1" t="s">
        <v>1336</v>
      </c>
      <c r="I4232" s="1" t="n">
        <v>297.97</v>
      </c>
      <c r="J4232" s="1" t="str">
        <f aca="false">VLOOKUP(B4232,Customers!$A$2:$G$502,6,FALSE())</f>
        <v>Small Business</v>
      </c>
      <c r="K4232" s="1" t="str">
        <f aca="false">VLOOKUP(C4232,Products!$A$2:$E$62,3,FALSE())</f>
        <v>Office Supplies</v>
      </c>
      <c r="L4232" s="1" t="str">
        <f aca="false">TEXT(D4232,"yyyy-mm")</f>
        <v>2024-03</v>
      </c>
    </row>
    <row r="4233" customFormat="false" ht="15" hidden="false" customHeight="true" outlineLevel="0" collapsed="false">
      <c r="A4233" s="1" t="n">
        <v>4324</v>
      </c>
      <c r="B4233" s="1" t="n">
        <v>58</v>
      </c>
      <c r="C4233" s="1" t="n">
        <v>32</v>
      </c>
      <c r="D4233" s="1" t="s">
        <v>1647</v>
      </c>
      <c r="E4233" s="1" t="n">
        <v>5</v>
      </c>
      <c r="F4233" s="1" t="n">
        <v>492.27</v>
      </c>
      <c r="G4233" s="1" t="n">
        <v>0</v>
      </c>
      <c r="H4233" s="1" t="s">
        <v>1336</v>
      </c>
      <c r="I4233" s="1" t="n">
        <v>2461.35</v>
      </c>
      <c r="J4233" s="1" t="str">
        <f aca="false">VLOOKUP(B4233,Customers!$A$2:$G$502,6,FALSE())</f>
        <v>Consumer</v>
      </c>
      <c r="K4233" s="1" t="str">
        <f aca="false">VLOOKUP(C4233,Products!$A$2:$E$62,3,FALSE())</f>
        <v>Office Supplies</v>
      </c>
      <c r="L4233" s="1" t="str">
        <f aca="false">TEXT(D4233,"yyyy-mm")</f>
        <v>2024-05</v>
      </c>
    </row>
    <row r="4234" customFormat="false" ht="15" hidden="false" customHeight="true" outlineLevel="0" collapsed="false">
      <c r="A4234" s="1" t="n">
        <v>4325</v>
      </c>
      <c r="B4234" s="1" t="n">
        <v>123</v>
      </c>
      <c r="C4234" s="1" t="n">
        <v>24</v>
      </c>
      <c r="D4234" s="1" t="s">
        <v>1669</v>
      </c>
      <c r="E4234" s="1" t="n">
        <v>4</v>
      </c>
      <c r="F4234" s="1" t="n">
        <v>207.34</v>
      </c>
      <c r="G4234" s="1" t="n">
        <v>0.1</v>
      </c>
      <c r="H4234" s="1" t="s">
        <v>1336</v>
      </c>
      <c r="I4234" s="1" t="n">
        <v>746.42</v>
      </c>
      <c r="J4234" s="1" t="str">
        <f aca="false">VLOOKUP(B4234,Customers!$A$2:$G$502,6,FALSE())</f>
        <v>Small Business</v>
      </c>
      <c r="K4234" s="1" t="str">
        <f aca="false">VLOOKUP(C4234,Products!$A$2:$E$62,3,FALSE())</f>
        <v>Office Supplies</v>
      </c>
      <c r="L4234" s="1" t="str">
        <f aca="false">TEXT(D4234,"yyyy-mm")</f>
        <v>2024-09</v>
      </c>
    </row>
    <row r="4235" customFormat="false" ht="15" hidden="false" customHeight="true" outlineLevel="0" collapsed="false">
      <c r="A4235" s="1" t="n">
        <v>4326</v>
      </c>
      <c r="B4235" s="1" t="n">
        <v>275</v>
      </c>
      <c r="C4235" s="1" t="n">
        <v>16</v>
      </c>
      <c r="D4235" s="1" t="s">
        <v>405</v>
      </c>
      <c r="E4235" s="1" t="n">
        <v>7</v>
      </c>
      <c r="F4235" s="1" t="n">
        <v>330.91</v>
      </c>
      <c r="G4235" s="1" t="n">
        <v>0.05</v>
      </c>
      <c r="H4235" s="1" t="s">
        <v>1336</v>
      </c>
      <c r="I4235" s="1" t="n">
        <v>2200.55</v>
      </c>
      <c r="J4235" s="1" t="str">
        <f aca="false">VLOOKUP(B4235,Customers!$A$2:$G$502,6,FALSE())</f>
        <v>Consumer</v>
      </c>
      <c r="K4235" s="1" t="str">
        <f aca="false">VLOOKUP(C4235,Products!$A$2:$E$62,3,FALSE())</f>
        <v>Electronics</v>
      </c>
      <c r="L4235" s="1" t="str">
        <f aca="false">TEXT(D4235,"yyyy-mm")</f>
        <v>2024-01</v>
      </c>
    </row>
    <row r="4236" customFormat="false" ht="15" hidden="false" customHeight="true" outlineLevel="0" collapsed="false">
      <c r="A4236" s="1" t="n">
        <v>4327</v>
      </c>
      <c r="B4236" s="1" t="n">
        <v>75</v>
      </c>
      <c r="C4236" s="1" t="n">
        <v>50</v>
      </c>
      <c r="D4236" s="1" t="s">
        <v>328</v>
      </c>
      <c r="E4236" s="1" t="n">
        <v>9</v>
      </c>
      <c r="F4236" s="1" t="n">
        <v>19.73</v>
      </c>
      <c r="G4236" s="1" t="n">
        <v>0.2</v>
      </c>
      <c r="H4236" s="1" t="s">
        <v>1336</v>
      </c>
      <c r="I4236" s="1" t="n">
        <v>142.06</v>
      </c>
      <c r="J4236" s="1" t="str">
        <f aca="false">VLOOKUP(B4236,Customers!$A$2:$G$502,6,FALSE())</f>
        <v>Consumer</v>
      </c>
      <c r="K4236" s="1" t="str">
        <f aca="false">VLOOKUP(C4236,Products!$A$2:$E$62,3,FALSE())</f>
        <v>Software</v>
      </c>
      <c r="L4236" s="1" t="str">
        <f aca="false">TEXT(D4236,"yyyy-mm")</f>
        <v>2023-02</v>
      </c>
    </row>
    <row r="4237" customFormat="false" ht="15" hidden="false" customHeight="true" outlineLevel="0" collapsed="false">
      <c r="A4237" s="1" t="n">
        <v>4328</v>
      </c>
      <c r="B4237" s="1" t="n">
        <v>219</v>
      </c>
      <c r="C4237" s="1" t="n">
        <v>41</v>
      </c>
      <c r="D4237" s="1" t="s">
        <v>1387</v>
      </c>
      <c r="E4237" s="1" t="n">
        <v>2</v>
      </c>
      <c r="F4237" s="1" t="n">
        <v>594.54</v>
      </c>
      <c r="G4237" s="1" t="n">
        <v>0</v>
      </c>
      <c r="H4237" s="1" t="s">
        <v>1336</v>
      </c>
      <c r="I4237" s="1" t="n">
        <v>1189.08</v>
      </c>
      <c r="J4237" s="1" t="str">
        <f aca="false">VLOOKUP(B4237,Customers!$A$2:$G$502,6,FALSE())</f>
        <v>Small Business</v>
      </c>
      <c r="K4237" s="1" t="str">
        <f aca="false">VLOOKUP(C4237,Products!$A$2:$E$62,3,FALSE())</f>
        <v>Software</v>
      </c>
      <c r="L4237" s="1" t="str">
        <f aca="false">TEXT(D4237,"yyyy-mm")</f>
        <v>2024-08</v>
      </c>
    </row>
    <row r="4238" customFormat="false" ht="15" hidden="false" customHeight="true" outlineLevel="0" collapsed="false">
      <c r="A4238" s="1" t="n">
        <v>4329</v>
      </c>
      <c r="B4238" s="1" t="n">
        <v>216</v>
      </c>
      <c r="C4238" s="1" t="n">
        <v>38</v>
      </c>
      <c r="D4238" s="1" t="s">
        <v>435</v>
      </c>
      <c r="E4238" s="1" t="n">
        <v>8</v>
      </c>
      <c r="F4238" s="1" t="n">
        <v>521.63</v>
      </c>
      <c r="G4238" s="1" t="n">
        <v>0</v>
      </c>
      <c r="H4238" s="1" t="s">
        <v>1336</v>
      </c>
      <c r="I4238" s="1" t="n">
        <v>4173.04</v>
      </c>
      <c r="J4238" s="1" t="str">
        <f aca="false">VLOOKUP(B4238,Customers!$A$2:$G$502,6,FALSE())</f>
        <v>Consumer</v>
      </c>
      <c r="K4238" s="1" t="str">
        <f aca="false">VLOOKUP(C4238,Products!$A$2:$E$62,3,FALSE())</f>
        <v>Software</v>
      </c>
      <c r="L4238" s="1" t="str">
        <f aca="false">TEXT(D4238,"yyyy-mm")</f>
        <v>2024-08</v>
      </c>
    </row>
    <row r="4239" customFormat="false" ht="15" hidden="false" customHeight="true" outlineLevel="0" collapsed="false">
      <c r="A4239" s="1" t="n">
        <v>4330</v>
      </c>
      <c r="B4239" s="1" t="n">
        <v>126</v>
      </c>
      <c r="C4239" s="1" t="n">
        <v>49</v>
      </c>
      <c r="D4239" s="1" t="s">
        <v>1670</v>
      </c>
      <c r="E4239" s="1" t="n">
        <v>9</v>
      </c>
      <c r="F4239" s="1" t="n">
        <v>325.17</v>
      </c>
      <c r="G4239" s="1" t="n">
        <v>0.05</v>
      </c>
      <c r="H4239" s="1" t="s">
        <v>1336</v>
      </c>
      <c r="I4239" s="1" t="n">
        <v>2780.2</v>
      </c>
      <c r="J4239" s="1" t="str">
        <f aca="false">VLOOKUP(B4239,Customers!$A$2:$G$502,6,FALSE())</f>
        <v>Small Business</v>
      </c>
      <c r="K4239" s="1" t="str">
        <f aca="false">VLOOKUP(C4239,Products!$A$2:$E$62,3,FALSE())</f>
        <v>Software</v>
      </c>
      <c r="L4239" s="1" t="str">
        <f aca="false">TEXT(D4239,"yyyy-mm")</f>
        <v>2024-07</v>
      </c>
    </row>
    <row r="4240" customFormat="false" ht="15" hidden="false" customHeight="true" outlineLevel="0" collapsed="false">
      <c r="A4240" s="1" t="n">
        <v>4331</v>
      </c>
      <c r="B4240" s="1" t="n">
        <v>264</v>
      </c>
      <c r="C4240" s="1" t="n">
        <v>52</v>
      </c>
      <c r="D4240" s="1" t="s">
        <v>1663</v>
      </c>
      <c r="E4240" s="1" t="n">
        <v>9</v>
      </c>
      <c r="F4240" s="1" t="n">
        <v>207.67</v>
      </c>
      <c r="G4240" s="1" t="n">
        <v>0</v>
      </c>
      <c r="H4240" s="1" t="s">
        <v>1336</v>
      </c>
      <c r="I4240" s="1" t="n">
        <v>1869.03</v>
      </c>
      <c r="J4240" s="1" t="str">
        <f aca="false">VLOOKUP(B4240,Customers!$A$2:$G$502,6,FALSE())</f>
        <v>Small Business</v>
      </c>
      <c r="K4240" s="1" t="str">
        <f aca="false">VLOOKUP(C4240,Products!$A$2:$E$62,3,FALSE())</f>
        <v>Software</v>
      </c>
      <c r="L4240" s="1" t="str">
        <f aca="false">TEXT(D4240,"yyyy-mm")</f>
        <v>2024-05</v>
      </c>
    </row>
    <row r="4241" customFormat="false" ht="15" hidden="false" customHeight="true" outlineLevel="0" collapsed="false">
      <c r="A4241" s="1" t="n">
        <v>4332</v>
      </c>
      <c r="B4241" s="1" t="n">
        <v>88</v>
      </c>
      <c r="C4241" s="1" t="n">
        <v>4</v>
      </c>
      <c r="D4241" s="1" t="s">
        <v>1344</v>
      </c>
      <c r="E4241" s="1" t="n">
        <v>7</v>
      </c>
      <c r="F4241" s="1" t="n">
        <v>56.24</v>
      </c>
      <c r="G4241" s="1" t="n">
        <v>0.1</v>
      </c>
      <c r="H4241" s="1" t="s">
        <v>1336</v>
      </c>
      <c r="I4241" s="1" t="n">
        <v>354.31</v>
      </c>
      <c r="J4241" s="1" t="str">
        <f aca="false">VLOOKUP(B4241,Customers!$A$2:$G$502,6,FALSE())</f>
        <v>Corporate</v>
      </c>
      <c r="K4241" s="1" t="str">
        <f aca="false">VLOOKUP(C4241,Products!$A$2:$E$62,3,FALSE())</f>
        <v>Electronics</v>
      </c>
      <c r="L4241" s="1" t="str">
        <f aca="false">TEXT(D4241,"yyyy-mm")</f>
        <v>2023-05</v>
      </c>
    </row>
    <row r="4242" customFormat="false" ht="15" hidden="false" customHeight="true" outlineLevel="0" collapsed="false">
      <c r="A4242" s="1" t="n">
        <v>4333</v>
      </c>
      <c r="B4242" s="1" t="n">
        <v>259</v>
      </c>
      <c r="C4242" s="1" t="n">
        <v>8</v>
      </c>
      <c r="D4242" s="1" t="s">
        <v>263</v>
      </c>
      <c r="E4242" s="1" t="n">
        <v>9</v>
      </c>
      <c r="F4242" s="1" t="n">
        <v>104.4</v>
      </c>
      <c r="G4242" s="1" t="n">
        <v>0</v>
      </c>
      <c r="H4242" s="1" t="s">
        <v>1336</v>
      </c>
      <c r="I4242" s="1" t="n">
        <v>939.6</v>
      </c>
      <c r="J4242" s="1" t="str">
        <f aca="false">VLOOKUP(B4242,Customers!$A$2:$G$502,6,FALSE())</f>
        <v>Consumer</v>
      </c>
      <c r="K4242" s="1" t="str">
        <f aca="false">VLOOKUP(C4242,Products!$A$2:$E$62,3,FALSE())</f>
        <v>Electronics</v>
      </c>
      <c r="L4242" s="1" t="str">
        <f aca="false">TEXT(D4242,"yyyy-mm")</f>
        <v>2023-04</v>
      </c>
    </row>
    <row r="4243" customFormat="false" ht="15" hidden="false" customHeight="true" outlineLevel="0" collapsed="false">
      <c r="A4243" s="1" t="n">
        <v>4334</v>
      </c>
      <c r="B4243" s="1" t="n">
        <v>149</v>
      </c>
      <c r="C4243" s="1" t="n">
        <v>48</v>
      </c>
      <c r="D4243" s="1" t="s">
        <v>248</v>
      </c>
      <c r="E4243" s="1" t="n">
        <v>9</v>
      </c>
      <c r="F4243" s="1" t="n">
        <v>493.53</v>
      </c>
      <c r="G4243" s="1" t="n">
        <v>0</v>
      </c>
      <c r="H4243" s="1" t="s">
        <v>1336</v>
      </c>
      <c r="I4243" s="1" t="n">
        <v>4441.77</v>
      </c>
      <c r="J4243" s="1" t="str">
        <f aca="false">VLOOKUP(B4243,Customers!$A$2:$G$502,6,FALSE())</f>
        <v>Consumer</v>
      </c>
      <c r="K4243" s="1" t="str">
        <f aca="false">VLOOKUP(C4243,Products!$A$2:$E$62,3,FALSE())</f>
        <v>Software</v>
      </c>
      <c r="L4243" s="1" t="str">
        <f aca="false">TEXT(D4243,"yyyy-mm")</f>
        <v>2024-01</v>
      </c>
    </row>
    <row r="4244" customFormat="false" ht="15" hidden="false" customHeight="true" outlineLevel="0" collapsed="false">
      <c r="A4244" s="1" t="n">
        <v>4335</v>
      </c>
      <c r="B4244" s="1" t="n">
        <v>297</v>
      </c>
      <c r="C4244" s="1" t="n">
        <v>15</v>
      </c>
      <c r="D4244" s="1" t="s">
        <v>874</v>
      </c>
      <c r="E4244" s="1" t="n">
        <v>3</v>
      </c>
      <c r="F4244" s="1" t="n">
        <v>304.95</v>
      </c>
      <c r="G4244" s="1" t="n">
        <v>0.05</v>
      </c>
      <c r="H4244" s="1" t="s">
        <v>1336</v>
      </c>
      <c r="I4244" s="1" t="n">
        <v>869.11</v>
      </c>
      <c r="J4244" s="1" t="str">
        <f aca="false">VLOOKUP(B4244,Customers!$A$2:$G$502,6,FALSE())</f>
        <v>Corporate</v>
      </c>
      <c r="K4244" s="1" t="str">
        <f aca="false">VLOOKUP(C4244,Products!$A$2:$E$62,3,FALSE())</f>
        <v>Electronics</v>
      </c>
      <c r="L4244" s="1" t="str">
        <f aca="false">TEXT(D4244,"yyyy-mm")</f>
        <v>2023-03</v>
      </c>
    </row>
    <row r="4245" customFormat="false" ht="15" hidden="false" customHeight="true" outlineLevel="0" collapsed="false">
      <c r="A4245" s="1" t="n">
        <v>4336</v>
      </c>
      <c r="B4245" s="1" t="n">
        <v>407</v>
      </c>
      <c r="C4245" s="1" t="n">
        <v>16</v>
      </c>
      <c r="D4245" s="1" t="s">
        <v>1583</v>
      </c>
      <c r="E4245" s="1" t="n">
        <v>4</v>
      </c>
      <c r="F4245" s="1" t="n">
        <v>330.91</v>
      </c>
      <c r="G4245" s="1" t="n">
        <v>0.15</v>
      </c>
      <c r="H4245" s="1" t="s">
        <v>1336</v>
      </c>
      <c r="I4245" s="1" t="n">
        <v>1125.09</v>
      </c>
      <c r="J4245" s="1" t="str">
        <f aca="false">VLOOKUP(B4245,Customers!$A$2:$G$502,6,FALSE())</f>
        <v>Consumer</v>
      </c>
      <c r="K4245" s="1" t="str">
        <f aca="false">VLOOKUP(C4245,Products!$A$2:$E$62,3,FALSE())</f>
        <v>Electronics</v>
      </c>
      <c r="L4245" s="1" t="str">
        <f aca="false">TEXT(D4245,"yyyy-mm")</f>
        <v>2024-08</v>
      </c>
    </row>
    <row r="4246" customFormat="false" ht="15" hidden="false" customHeight="true" outlineLevel="0" collapsed="false">
      <c r="A4246" s="1" t="n">
        <v>4337</v>
      </c>
      <c r="B4246" s="1" t="n">
        <v>389</v>
      </c>
      <c r="C4246" s="1" t="n">
        <v>42</v>
      </c>
      <c r="D4246" s="1" t="s">
        <v>232</v>
      </c>
      <c r="E4246" s="1" t="n">
        <v>2</v>
      </c>
      <c r="F4246" s="1" t="n">
        <v>174.48</v>
      </c>
      <c r="G4246" s="1" t="n">
        <v>0</v>
      </c>
      <c r="H4246" s="1" t="s">
        <v>1336</v>
      </c>
      <c r="I4246" s="1" t="n">
        <v>348.96</v>
      </c>
      <c r="J4246" s="1" t="str">
        <f aca="false">VLOOKUP(B4246,Customers!$A$2:$G$502,6,FALSE())</f>
        <v>Corporate</v>
      </c>
      <c r="K4246" s="1" t="str">
        <f aca="false">VLOOKUP(C4246,Products!$A$2:$E$62,3,FALSE())</f>
        <v>Software</v>
      </c>
      <c r="L4246" s="1" t="str">
        <f aca="false">TEXT(D4246,"yyyy-mm")</f>
        <v>2024-10</v>
      </c>
    </row>
    <row r="4247" customFormat="false" ht="15" hidden="false" customHeight="true" outlineLevel="0" collapsed="false">
      <c r="A4247" s="1" t="n">
        <v>4338</v>
      </c>
      <c r="B4247" s="1" t="n">
        <v>248</v>
      </c>
      <c r="C4247" s="1" t="n">
        <v>50</v>
      </c>
      <c r="D4247" s="1" t="s">
        <v>786</v>
      </c>
      <c r="E4247" s="1" t="n">
        <v>3</v>
      </c>
      <c r="F4247" s="1" t="n">
        <v>19.73</v>
      </c>
      <c r="G4247" s="1" t="n">
        <v>0</v>
      </c>
      <c r="H4247" s="1" t="s">
        <v>1336</v>
      </c>
      <c r="I4247" s="1" t="n">
        <v>59.19</v>
      </c>
      <c r="J4247" s="1" t="str">
        <f aca="false">VLOOKUP(B4247,Customers!$A$2:$G$502,6,FALSE())</f>
        <v>Small Business</v>
      </c>
      <c r="K4247" s="1" t="str">
        <f aca="false">VLOOKUP(C4247,Products!$A$2:$E$62,3,FALSE())</f>
        <v>Software</v>
      </c>
      <c r="L4247" s="1" t="str">
        <f aca="false">TEXT(D4247,"yyyy-mm")</f>
        <v>2024-07</v>
      </c>
    </row>
    <row r="4248" customFormat="false" ht="15" hidden="false" customHeight="true" outlineLevel="0" collapsed="false">
      <c r="A4248" s="1" t="n">
        <v>4339</v>
      </c>
      <c r="B4248" s="1" t="n">
        <v>109</v>
      </c>
      <c r="C4248" s="1" t="n">
        <v>20</v>
      </c>
      <c r="D4248" s="1" t="s">
        <v>567</v>
      </c>
      <c r="E4248" s="1" t="n">
        <v>5</v>
      </c>
      <c r="F4248" s="1" t="n">
        <v>426.15</v>
      </c>
      <c r="G4248" s="1" t="n">
        <v>0</v>
      </c>
      <c r="H4248" s="1" t="s">
        <v>1336</v>
      </c>
      <c r="I4248" s="1" t="n">
        <v>2130.75</v>
      </c>
      <c r="J4248" s="1" t="str">
        <f aca="false">VLOOKUP(B4248,Customers!$A$2:$G$502,6,FALSE())</f>
        <v>Small Business</v>
      </c>
      <c r="K4248" s="1" t="str">
        <f aca="false">VLOOKUP(C4248,Products!$A$2:$E$62,3,FALSE())</f>
        <v>Office Supplies</v>
      </c>
      <c r="L4248" s="1" t="str">
        <f aca="false">TEXT(D4248,"yyyy-mm")</f>
        <v>2024-10</v>
      </c>
    </row>
    <row r="4249" customFormat="false" ht="15" hidden="false" customHeight="true" outlineLevel="0" collapsed="false">
      <c r="A4249" s="1" t="n">
        <v>4340</v>
      </c>
      <c r="B4249" s="1" t="n">
        <v>354</v>
      </c>
      <c r="C4249" s="1" t="n">
        <v>22</v>
      </c>
      <c r="D4249" s="1" t="s">
        <v>185</v>
      </c>
      <c r="E4249" s="1" t="n">
        <v>5</v>
      </c>
      <c r="F4249" s="1" t="n">
        <v>38.57</v>
      </c>
      <c r="G4249" s="1" t="n">
        <v>0</v>
      </c>
      <c r="H4249" s="1" t="s">
        <v>1336</v>
      </c>
      <c r="I4249" s="1" t="n">
        <v>192.85</v>
      </c>
      <c r="J4249" s="1" t="str">
        <f aca="false">VLOOKUP(B4249,Customers!$A$2:$G$502,6,FALSE())</f>
        <v>Consumer</v>
      </c>
      <c r="K4249" s="1" t="str">
        <f aca="false">VLOOKUP(C4249,Products!$A$2:$E$62,3,FALSE())</f>
        <v>Office Supplies</v>
      </c>
      <c r="L4249" s="1" t="str">
        <f aca="false">TEXT(D4249,"yyyy-mm")</f>
        <v>2024-05</v>
      </c>
    </row>
    <row r="4250" customFormat="false" ht="15" hidden="false" customHeight="true" outlineLevel="0" collapsed="false">
      <c r="A4250" s="1" t="n">
        <v>4341</v>
      </c>
      <c r="B4250" s="1" t="n">
        <v>26</v>
      </c>
      <c r="C4250" s="1" t="n">
        <v>40</v>
      </c>
      <c r="D4250" s="1" t="s">
        <v>283</v>
      </c>
      <c r="E4250" s="1" t="n">
        <v>6</v>
      </c>
      <c r="F4250" s="1" t="n">
        <v>193.02</v>
      </c>
      <c r="G4250" s="1" t="n">
        <v>0.1</v>
      </c>
      <c r="H4250" s="1" t="s">
        <v>1336</v>
      </c>
      <c r="I4250" s="1" t="n">
        <v>1042.31</v>
      </c>
      <c r="J4250" s="1" t="str">
        <f aca="false">VLOOKUP(B4250,Customers!$A$2:$G$502,6,FALSE())</f>
        <v>Consumer</v>
      </c>
      <c r="K4250" s="1" t="str">
        <f aca="false">VLOOKUP(C4250,Products!$A$2:$E$62,3,FALSE())</f>
        <v>Software</v>
      </c>
      <c r="L4250" s="1" t="str">
        <f aca="false">TEXT(D4250,"yyyy-mm")</f>
        <v>2023-10</v>
      </c>
    </row>
    <row r="4251" customFormat="false" ht="15" hidden="false" customHeight="true" outlineLevel="0" collapsed="false">
      <c r="A4251" s="1" t="n">
        <v>4342</v>
      </c>
      <c r="B4251" s="1" t="n">
        <v>192</v>
      </c>
      <c r="C4251" s="1" t="n">
        <v>29</v>
      </c>
      <c r="D4251" s="1" t="s">
        <v>1066</v>
      </c>
      <c r="E4251" s="1" t="n">
        <v>7</v>
      </c>
      <c r="F4251" s="1" t="n">
        <v>54.62</v>
      </c>
      <c r="G4251" s="1" t="n">
        <v>0</v>
      </c>
      <c r="H4251" s="1" t="s">
        <v>1370</v>
      </c>
      <c r="I4251" s="1" t="n">
        <v>382.34</v>
      </c>
      <c r="J4251" s="1" t="str">
        <f aca="false">VLOOKUP(B4251,Customers!$A$2:$G$502,6,FALSE())</f>
        <v>Corporate</v>
      </c>
      <c r="K4251" s="1" t="str">
        <f aca="false">VLOOKUP(C4251,Products!$A$2:$E$62,3,FALSE())</f>
        <v>Office Supplies</v>
      </c>
      <c r="L4251" s="1" t="str">
        <f aca="false">TEXT(D4251,"yyyy-mm")</f>
        <v>2024-10</v>
      </c>
    </row>
    <row r="4252" customFormat="false" ht="15" hidden="false" customHeight="true" outlineLevel="0" collapsed="false">
      <c r="A4252" s="1" t="n">
        <v>4344</v>
      </c>
      <c r="B4252" s="1" t="n">
        <v>267</v>
      </c>
      <c r="C4252" s="1" t="n">
        <v>35</v>
      </c>
      <c r="D4252" s="1" t="s">
        <v>863</v>
      </c>
      <c r="E4252" s="1" t="n">
        <v>1</v>
      </c>
      <c r="F4252" s="1" t="n">
        <v>75.78</v>
      </c>
      <c r="G4252" s="1" t="n">
        <v>0</v>
      </c>
      <c r="H4252" s="1" t="s">
        <v>1336</v>
      </c>
      <c r="I4252" s="1" t="n">
        <v>75.78</v>
      </c>
      <c r="J4252" s="1" t="str">
        <f aca="false">VLOOKUP(B4252,Customers!$A$2:$G$502,6,FALSE())</f>
        <v>Corporate</v>
      </c>
      <c r="K4252" s="1" t="str">
        <f aca="false">VLOOKUP(C4252,Products!$A$2:$E$62,3,FALSE())</f>
        <v>Software</v>
      </c>
      <c r="L4252" s="1" t="str">
        <f aca="false">TEXT(D4252,"yyyy-mm")</f>
        <v>2023-11</v>
      </c>
    </row>
    <row r="4253" customFormat="false" ht="15" hidden="false" customHeight="true" outlineLevel="0" collapsed="false">
      <c r="A4253" s="1" t="n">
        <v>4346</v>
      </c>
      <c r="B4253" s="1" t="n">
        <v>75</v>
      </c>
      <c r="C4253" s="1" t="n">
        <v>55</v>
      </c>
      <c r="D4253" s="1" t="s">
        <v>1693</v>
      </c>
      <c r="E4253" s="1" t="n">
        <v>9</v>
      </c>
      <c r="F4253" s="1" t="n">
        <v>123.38</v>
      </c>
      <c r="G4253" s="1" t="n">
        <v>0.2</v>
      </c>
      <c r="H4253" s="1" t="s">
        <v>1336</v>
      </c>
      <c r="I4253" s="1" t="n">
        <v>888.34</v>
      </c>
      <c r="J4253" s="1" t="str">
        <f aca="false">VLOOKUP(B4253,Customers!$A$2:$G$502,6,FALSE())</f>
        <v>Consumer</v>
      </c>
      <c r="K4253" s="1" t="str">
        <f aca="false">VLOOKUP(C4253,Products!$A$2:$E$62,3,FALSE())</f>
        <v>Furniture</v>
      </c>
      <c r="L4253" s="1" t="str">
        <f aca="false">TEXT(D4253,"yyyy-mm")</f>
        <v>2024-05</v>
      </c>
    </row>
    <row r="4254" customFormat="false" ht="15" hidden="false" customHeight="true" outlineLevel="0" collapsed="false">
      <c r="A4254" s="1" t="n">
        <v>4347</v>
      </c>
      <c r="B4254" s="1" t="n">
        <v>431</v>
      </c>
      <c r="C4254" s="1" t="n">
        <v>38</v>
      </c>
      <c r="D4254" s="1" t="s">
        <v>1285</v>
      </c>
      <c r="E4254" s="1" t="n">
        <v>2</v>
      </c>
      <c r="F4254" s="1" t="n">
        <v>521.63</v>
      </c>
      <c r="G4254" s="1" t="n">
        <v>0</v>
      </c>
      <c r="H4254" s="1" t="s">
        <v>1346</v>
      </c>
      <c r="I4254" s="1" t="n">
        <v>1043.26</v>
      </c>
      <c r="J4254" s="1" t="str">
        <f aca="false">VLOOKUP(B4254,Customers!$A$2:$G$502,6,FALSE())</f>
        <v>Consumer</v>
      </c>
      <c r="K4254" s="1" t="str">
        <f aca="false">VLOOKUP(C4254,Products!$A$2:$E$62,3,FALSE())</f>
        <v>Software</v>
      </c>
      <c r="L4254" s="1" t="str">
        <f aca="false">TEXT(D4254,"yyyy-mm")</f>
        <v>2023-06</v>
      </c>
    </row>
    <row r="4255" customFormat="false" ht="15" hidden="false" customHeight="true" outlineLevel="0" collapsed="false">
      <c r="A4255" s="1" t="n">
        <v>4348</v>
      </c>
      <c r="B4255" s="1" t="n">
        <v>259</v>
      </c>
      <c r="C4255" s="1" t="n">
        <v>35</v>
      </c>
      <c r="D4255" s="1" t="s">
        <v>1249</v>
      </c>
      <c r="E4255" s="1" t="n">
        <v>6</v>
      </c>
      <c r="F4255" s="1" t="n">
        <v>75.78</v>
      </c>
      <c r="G4255" s="1" t="n">
        <v>0.1</v>
      </c>
      <c r="H4255" s="1" t="s">
        <v>1336</v>
      </c>
      <c r="I4255" s="1" t="n">
        <v>409.21</v>
      </c>
      <c r="J4255" s="1" t="str">
        <f aca="false">VLOOKUP(B4255,Customers!$A$2:$G$502,6,FALSE())</f>
        <v>Consumer</v>
      </c>
      <c r="K4255" s="1" t="str">
        <f aca="false">VLOOKUP(C4255,Products!$A$2:$E$62,3,FALSE())</f>
        <v>Software</v>
      </c>
      <c r="L4255" s="1" t="str">
        <f aca="false">TEXT(D4255,"yyyy-mm")</f>
        <v>2024-10</v>
      </c>
    </row>
    <row r="4256" customFormat="false" ht="15" hidden="false" customHeight="true" outlineLevel="0" collapsed="false">
      <c r="A4256" s="1" t="n">
        <v>4349</v>
      </c>
      <c r="B4256" s="1" t="n">
        <v>492</v>
      </c>
      <c r="C4256" s="1" t="n">
        <v>10</v>
      </c>
      <c r="D4256" s="1" t="s">
        <v>1484</v>
      </c>
      <c r="E4256" s="1" t="n">
        <v>1</v>
      </c>
      <c r="F4256" s="1" t="n">
        <v>251.58</v>
      </c>
      <c r="G4256" s="1" t="n">
        <v>0.1</v>
      </c>
      <c r="H4256" s="1" t="s">
        <v>1336</v>
      </c>
      <c r="I4256" s="1" t="n">
        <v>226.42</v>
      </c>
      <c r="J4256" s="1" t="str">
        <f aca="false">VLOOKUP(B4256,Customers!$A$2:$G$502,6,FALSE())</f>
        <v>Consumer</v>
      </c>
      <c r="K4256" s="1" t="str">
        <f aca="false">VLOOKUP(C4256,Products!$A$2:$E$62,3,FALSE())</f>
        <v>Electronics</v>
      </c>
      <c r="L4256" s="1" t="str">
        <f aca="false">TEXT(D4256,"yyyy-mm")</f>
        <v>2024-10</v>
      </c>
    </row>
    <row r="4257" customFormat="false" ht="15" hidden="false" customHeight="true" outlineLevel="0" collapsed="false">
      <c r="A4257" s="1" t="n">
        <v>4350</v>
      </c>
      <c r="B4257" s="1" t="n">
        <v>158</v>
      </c>
      <c r="C4257" s="1" t="n">
        <v>51</v>
      </c>
      <c r="D4257" s="1" t="s">
        <v>722</v>
      </c>
      <c r="E4257" s="1" t="n">
        <v>3</v>
      </c>
      <c r="F4257" s="1" t="n">
        <v>30.16</v>
      </c>
      <c r="G4257" s="1" t="n">
        <v>0.15</v>
      </c>
      <c r="H4257" s="1" t="s">
        <v>1336</v>
      </c>
      <c r="I4257" s="1" t="n">
        <v>76.91</v>
      </c>
      <c r="J4257" s="1" t="str">
        <f aca="false">VLOOKUP(B4257,Customers!$A$2:$G$502,6,FALSE())</f>
        <v>Small Business</v>
      </c>
      <c r="K4257" s="1" t="str">
        <f aca="false">VLOOKUP(C4257,Products!$A$2:$E$62,3,FALSE())</f>
        <v>Software</v>
      </c>
      <c r="L4257" s="1" t="str">
        <f aca="false">TEXT(D4257,"yyyy-mm")</f>
        <v>2024-05</v>
      </c>
    </row>
    <row r="4258" customFormat="false" ht="15" hidden="false" customHeight="true" outlineLevel="0" collapsed="false">
      <c r="A4258" s="1" t="n">
        <v>4351</v>
      </c>
      <c r="B4258" s="1" t="n">
        <v>97</v>
      </c>
      <c r="C4258" s="1" t="n">
        <v>20</v>
      </c>
      <c r="D4258" s="1" t="s">
        <v>1262</v>
      </c>
      <c r="E4258" s="1" t="n">
        <v>2</v>
      </c>
      <c r="F4258" s="1" t="n">
        <v>426.15</v>
      </c>
      <c r="G4258" s="1" t="n">
        <v>0</v>
      </c>
      <c r="H4258" s="1" t="s">
        <v>1336</v>
      </c>
      <c r="I4258" s="1" t="n">
        <v>852.3</v>
      </c>
      <c r="J4258" s="1" t="str">
        <f aca="false">VLOOKUP(B4258,Customers!$A$2:$G$502,6,FALSE())</f>
        <v>Corporate</v>
      </c>
      <c r="K4258" s="1" t="str">
        <f aca="false">VLOOKUP(C4258,Products!$A$2:$E$62,3,FALSE())</f>
        <v>Office Supplies</v>
      </c>
      <c r="L4258" s="1" t="str">
        <f aca="false">TEXT(D4258,"yyyy-mm")</f>
        <v>2024-04</v>
      </c>
    </row>
    <row r="4259" customFormat="false" ht="15" hidden="false" customHeight="true" outlineLevel="0" collapsed="false">
      <c r="A4259" s="1" t="n">
        <v>4352</v>
      </c>
      <c r="B4259" s="1" t="n">
        <v>147</v>
      </c>
      <c r="C4259" s="1" t="n">
        <v>54</v>
      </c>
      <c r="D4259" s="1" t="s">
        <v>1692</v>
      </c>
      <c r="E4259" s="1" t="n">
        <v>3</v>
      </c>
      <c r="F4259" s="1" t="n">
        <v>312.01</v>
      </c>
      <c r="G4259" s="1" t="n">
        <v>0</v>
      </c>
      <c r="H4259" s="1" t="s">
        <v>1336</v>
      </c>
      <c r="I4259" s="1" t="n">
        <v>936.03</v>
      </c>
      <c r="J4259" s="1" t="str">
        <f aca="false">VLOOKUP(B4259,Customers!$A$2:$G$502,6,FALSE())</f>
        <v>Small Business</v>
      </c>
      <c r="K4259" s="1" t="str">
        <f aca="false">VLOOKUP(C4259,Products!$A$2:$E$62,3,FALSE())</f>
        <v>Software</v>
      </c>
      <c r="L4259" s="1" t="str">
        <f aca="false">TEXT(D4259,"yyyy-mm")</f>
        <v>2024-12</v>
      </c>
    </row>
    <row r="4260" customFormat="false" ht="15" hidden="false" customHeight="true" outlineLevel="0" collapsed="false">
      <c r="A4260" s="1" t="n">
        <v>4353</v>
      </c>
      <c r="B4260" s="1" t="n">
        <v>146</v>
      </c>
      <c r="C4260" s="1" t="n">
        <v>27</v>
      </c>
      <c r="D4260" s="1" t="s">
        <v>148</v>
      </c>
      <c r="E4260" s="1" t="n">
        <v>5</v>
      </c>
      <c r="F4260" s="1" t="n">
        <v>772.58</v>
      </c>
      <c r="G4260" s="1" t="n">
        <v>0</v>
      </c>
      <c r="H4260" s="1" t="s">
        <v>1346</v>
      </c>
      <c r="I4260" s="1" t="n">
        <v>3862.9</v>
      </c>
      <c r="J4260" s="1" t="str">
        <f aca="false">VLOOKUP(B4260,Customers!$A$2:$G$502,6,FALSE())</f>
        <v>Consumer</v>
      </c>
      <c r="K4260" s="1" t="str">
        <f aca="false">VLOOKUP(C4260,Products!$A$2:$E$62,3,FALSE())</f>
        <v>Office Supplies</v>
      </c>
      <c r="L4260" s="1" t="str">
        <f aca="false">TEXT(D4260,"yyyy-mm")</f>
        <v>2023-06</v>
      </c>
    </row>
    <row r="4261" customFormat="false" ht="15" hidden="false" customHeight="true" outlineLevel="0" collapsed="false">
      <c r="A4261" s="1" t="n">
        <v>4354</v>
      </c>
      <c r="B4261" s="1" t="n">
        <v>129</v>
      </c>
      <c r="C4261" s="1" t="n">
        <v>51</v>
      </c>
      <c r="D4261" s="1" t="s">
        <v>750</v>
      </c>
      <c r="E4261" s="1" t="n">
        <v>6</v>
      </c>
      <c r="F4261" s="1" t="n">
        <v>30.16</v>
      </c>
      <c r="G4261" s="1" t="n">
        <v>0.1</v>
      </c>
      <c r="H4261" s="1" t="s">
        <v>1336</v>
      </c>
      <c r="I4261" s="1" t="n">
        <v>162.86</v>
      </c>
      <c r="J4261" s="1" t="str">
        <f aca="false">VLOOKUP(B4261,Customers!$A$2:$G$502,6,FALSE())</f>
        <v>Corporate</v>
      </c>
      <c r="K4261" s="1" t="str">
        <f aca="false">VLOOKUP(C4261,Products!$A$2:$E$62,3,FALSE())</f>
        <v>Software</v>
      </c>
      <c r="L4261" s="1" t="str">
        <f aca="false">TEXT(D4261,"yyyy-mm")</f>
        <v>2024-02</v>
      </c>
    </row>
    <row r="4262" customFormat="false" ht="15" hidden="false" customHeight="true" outlineLevel="0" collapsed="false">
      <c r="A4262" s="1" t="n">
        <v>4355</v>
      </c>
      <c r="B4262" s="1" t="n">
        <v>3</v>
      </c>
      <c r="C4262" s="1" t="n">
        <v>32</v>
      </c>
      <c r="D4262" s="1" t="s">
        <v>1453</v>
      </c>
      <c r="E4262" s="1" t="n">
        <v>9</v>
      </c>
      <c r="F4262" s="1" t="n">
        <v>492.27</v>
      </c>
      <c r="G4262" s="1" t="n">
        <v>0.2</v>
      </c>
      <c r="H4262" s="1" t="s">
        <v>1336</v>
      </c>
      <c r="I4262" s="1" t="n">
        <v>3544.34</v>
      </c>
      <c r="J4262" s="1" t="str">
        <f aca="false">VLOOKUP(B4262,Customers!$A$2:$G$502,6,FALSE())</f>
        <v>Corporate</v>
      </c>
      <c r="K4262" s="1" t="str">
        <f aca="false">VLOOKUP(C4262,Products!$A$2:$E$62,3,FALSE())</f>
        <v>Office Supplies</v>
      </c>
      <c r="L4262" s="1" t="str">
        <f aca="false">TEXT(D4262,"yyyy-mm")</f>
        <v>2023-03</v>
      </c>
    </row>
    <row r="4263" customFormat="false" ht="15" hidden="false" customHeight="true" outlineLevel="0" collapsed="false">
      <c r="A4263" s="1" t="n">
        <v>4356</v>
      </c>
      <c r="B4263" s="1" t="n">
        <v>468</v>
      </c>
      <c r="C4263" s="1" t="n">
        <v>4</v>
      </c>
      <c r="D4263" s="1" t="s">
        <v>1546</v>
      </c>
      <c r="E4263" s="1" t="n">
        <v>4</v>
      </c>
      <c r="F4263" s="1" t="n">
        <v>56.24</v>
      </c>
      <c r="G4263" s="1" t="n">
        <v>0</v>
      </c>
      <c r="H4263" s="1" t="s">
        <v>1336</v>
      </c>
      <c r="I4263" s="1" t="n">
        <v>224.96</v>
      </c>
      <c r="J4263" s="1" t="str">
        <f aca="false">VLOOKUP(B4263,Customers!$A$2:$G$502,6,FALSE())</f>
        <v>Small Business</v>
      </c>
      <c r="K4263" s="1" t="str">
        <f aca="false">VLOOKUP(C4263,Products!$A$2:$E$62,3,FALSE())</f>
        <v>Electronics</v>
      </c>
      <c r="L4263" s="1" t="str">
        <f aca="false">TEXT(D4263,"yyyy-mm")</f>
        <v>2024-10</v>
      </c>
    </row>
    <row r="4264" customFormat="false" ht="15" hidden="false" customHeight="true" outlineLevel="0" collapsed="false">
      <c r="A4264" s="1" t="n">
        <v>4357</v>
      </c>
      <c r="B4264" s="1" t="n">
        <v>26</v>
      </c>
      <c r="C4264" s="1" t="n">
        <v>27</v>
      </c>
      <c r="D4264" s="1" t="s">
        <v>1634</v>
      </c>
      <c r="E4264" s="1" t="n">
        <v>7</v>
      </c>
      <c r="F4264" s="1" t="n">
        <v>772.58</v>
      </c>
      <c r="G4264" s="1" t="n">
        <v>0.2</v>
      </c>
      <c r="H4264" s="1" t="s">
        <v>1336</v>
      </c>
      <c r="I4264" s="1" t="n">
        <v>4326.45</v>
      </c>
      <c r="J4264" s="1" t="str">
        <f aca="false">VLOOKUP(B4264,Customers!$A$2:$G$502,6,FALSE())</f>
        <v>Consumer</v>
      </c>
      <c r="K4264" s="1" t="str">
        <f aca="false">VLOOKUP(C4264,Products!$A$2:$E$62,3,FALSE())</f>
        <v>Office Supplies</v>
      </c>
      <c r="L4264" s="1" t="str">
        <f aca="false">TEXT(D4264,"yyyy-mm")</f>
        <v>2023-02</v>
      </c>
    </row>
    <row r="4265" customFormat="false" ht="15" hidden="false" customHeight="true" outlineLevel="0" collapsed="false">
      <c r="A4265" s="1" t="n">
        <v>4358</v>
      </c>
      <c r="B4265" s="1" t="n">
        <v>27</v>
      </c>
      <c r="C4265" s="1" t="n">
        <v>29</v>
      </c>
      <c r="D4265" s="1" t="s">
        <v>1387</v>
      </c>
      <c r="E4265" s="1" t="n">
        <v>6</v>
      </c>
      <c r="F4265" s="1" t="n">
        <v>54.62</v>
      </c>
      <c r="G4265" s="1" t="n">
        <v>0.2</v>
      </c>
      <c r="H4265" s="1" t="s">
        <v>1336</v>
      </c>
      <c r="I4265" s="1" t="n">
        <v>262.18</v>
      </c>
      <c r="J4265" s="1" t="str">
        <f aca="false">VLOOKUP(B4265,Customers!$A$2:$G$502,6,FALSE())</f>
        <v>Small Business</v>
      </c>
      <c r="K4265" s="1" t="str">
        <f aca="false">VLOOKUP(C4265,Products!$A$2:$E$62,3,FALSE())</f>
        <v>Office Supplies</v>
      </c>
      <c r="L4265" s="1" t="str">
        <f aca="false">TEXT(D4265,"yyyy-mm")</f>
        <v>2024-08</v>
      </c>
    </row>
    <row r="4266" customFormat="false" ht="15" hidden="false" customHeight="true" outlineLevel="0" collapsed="false">
      <c r="A4266" s="1" t="n">
        <v>4359</v>
      </c>
      <c r="B4266" s="1" t="n">
        <v>324</v>
      </c>
      <c r="C4266" s="1" t="n">
        <v>49</v>
      </c>
      <c r="D4266" s="1" t="s">
        <v>1372</v>
      </c>
      <c r="E4266" s="1" t="n">
        <v>2</v>
      </c>
      <c r="F4266" s="1" t="n">
        <v>325.17</v>
      </c>
      <c r="G4266" s="1" t="n">
        <v>0.15</v>
      </c>
      <c r="H4266" s="1" t="s">
        <v>1336</v>
      </c>
      <c r="I4266" s="1" t="n">
        <v>552.79</v>
      </c>
      <c r="J4266" s="1" t="str">
        <f aca="false">VLOOKUP(B4266,Customers!$A$2:$G$502,6,FALSE())</f>
        <v>Consumer</v>
      </c>
      <c r="K4266" s="1" t="str">
        <f aca="false">VLOOKUP(C4266,Products!$A$2:$E$62,3,FALSE())</f>
        <v>Software</v>
      </c>
      <c r="L4266" s="1" t="str">
        <f aca="false">TEXT(D4266,"yyyy-mm")</f>
        <v>2023-03</v>
      </c>
    </row>
    <row r="4267" customFormat="false" ht="15" hidden="false" customHeight="true" outlineLevel="0" collapsed="false">
      <c r="A4267" s="1" t="n">
        <v>4360</v>
      </c>
      <c r="B4267" s="1" t="n">
        <v>250</v>
      </c>
      <c r="C4267" s="1" t="n">
        <v>22</v>
      </c>
      <c r="D4267" s="1" t="s">
        <v>575</v>
      </c>
      <c r="E4267" s="1" t="n">
        <v>8</v>
      </c>
      <c r="F4267" s="1" t="n">
        <v>38.57</v>
      </c>
      <c r="G4267" s="1" t="n">
        <v>0</v>
      </c>
      <c r="H4267" s="1" t="s">
        <v>1336</v>
      </c>
      <c r="I4267" s="1" t="n">
        <v>308.56</v>
      </c>
      <c r="J4267" s="1" t="str">
        <f aca="false">VLOOKUP(B4267,Customers!$A$2:$G$502,6,FALSE())</f>
        <v>Consumer</v>
      </c>
      <c r="K4267" s="1" t="str">
        <f aca="false">VLOOKUP(C4267,Products!$A$2:$E$62,3,FALSE())</f>
        <v>Office Supplies</v>
      </c>
      <c r="L4267" s="1" t="str">
        <f aca="false">TEXT(D4267,"yyyy-mm")</f>
        <v>2024-02</v>
      </c>
    </row>
    <row r="4268" customFormat="false" ht="15" hidden="false" customHeight="true" outlineLevel="0" collapsed="false">
      <c r="A4268" s="1" t="n">
        <v>4361</v>
      </c>
      <c r="B4268" s="1" t="n">
        <v>341</v>
      </c>
      <c r="C4268" s="1" t="n">
        <v>54</v>
      </c>
      <c r="D4268" s="1" t="s">
        <v>1372</v>
      </c>
      <c r="E4268" s="1" t="n">
        <v>7</v>
      </c>
      <c r="F4268" s="1" t="n">
        <v>312.01</v>
      </c>
      <c r="G4268" s="1" t="n">
        <v>0.1</v>
      </c>
      <c r="H4268" s="1" t="s">
        <v>1336</v>
      </c>
      <c r="I4268" s="1" t="n">
        <v>1965.66</v>
      </c>
      <c r="J4268" s="1" t="str">
        <f aca="false">VLOOKUP(B4268,Customers!$A$2:$G$502,6,FALSE())</f>
        <v>Small Business</v>
      </c>
      <c r="K4268" s="1" t="str">
        <f aca="false">VLOOKUP(C4268,Products!$A$2:$E$62,3,FALSE())</f>
        <v>Software</v>
      </c>
      <c r="L4268" s="1" t="str">
        <f aca="false">TEXT(D4268,"yyyy-mm")</f>
        <v>2023-03</v>
      </c>
    </row>
    <row r="4269" customFormat="false" ht="15" hidden="false" customHeight="true" outlineLevel="0" collapsed="false">
      <c r="A4269" s="1" t="n">
        <v>4362</v>
      </c>
      <c r="B4269" s="1" t="n">
        <v>346</v>
      </c>
      <c r="C4269" s="1" t="n">
        <v>13</v>
      </c>
      <c r="D4269" s="1" t="s">
        <v>235</v>
      </c>
      <c r="E4269" s="1" t="n">
        <v>7</v>
      </c>
      <c r="F4269" s="1" t="n">
        <v>352.54</v>
      </c>
      <c r="G4269" s="1" t="n">
        <v>0.05</v>
      </c>
      <c r="H4269" s="1" t="s">
        <v>1336</v>
      </c>
      <c r="I4269" s="1" t="n">
        <v>2344.39</v>
      </c>
      <c r="J4269" s="1" t="str">
        <f aca="false">VLOOKUP(B4269,Customers!$A$2:$G$502,6,FALSE())</f>
        <v>Consumer</v>
      </c>
      <c r="K4269" s="1" t="str">
        <f aca="false">VLOOKUP(C4269,Products!$A$2:$E$62,3,FALSE())</f>
        <v>Electronics</v>
      </c>
      <c r="L4269" s="1" t="str">
        <f aca="false">TEXT(D4269,"yyyy-mm")</f>
        <v>2024-03</v>
      </c>
    </row>
    <row r="4270" customFormat="false" ht="15" hidden="false" customHeight="true" outlineLevel="0" collapsed="false">
      <c r="A4270" s="1" t="n">
        <v>4363</v>
      </c>
      <c r="B4270" s="1" t="n">
        <v>482</v>
      </c>
      <c r="C4270" s="1" t="n">
        <v>39</v>
      </c>
      <c r="D4270" s="1" t="s">
        <v>986</v>
      </c>
      <c r="E4270" s="1" t="n">
        <v>8</v>
      </c>
      <c r="F4270" s="1" t="n">
        <v>400.02</v>
      </c>
      <c r="G4270" s="1" t="n">
        <v>0</v>
      </c>
      <c r="H4270" s="1" t="s">
        <v>1346</v>
      </c>
      <c r="I4270" s="1" t="n">
        <v>3200.16</v>
      </c>
      <c r="J4270" s="1" t="str">
        <f aca="false">VLOOKUP(B4270,Customers!$A$2:$G$502,6,FALSE())</f>
        <v>Small Business</v>
      </c>
      <c r="K4270" s="1" t="str">
        <f aca="false">VLOOKUP(C4270,Products!$A$2:$E$62,3,FALSE())</f>
        <v>Software</v>
      </c>
      <c r="L4270" s="1" t="str">
        <f aca="false">TEXT(D4270,"yyyy-mm")</f>
        <v>2023-03</v>
      </c>
    </row>
    <row r="4271" customFormat="false" ht="15" hidden="false" customHeight="true" outlineLevel="0" collapsed="false">
      <c r="A4271" s="1" t="n">
        <v>4364</v>
      </c>
      <c r="B4271" s="1" t="n">
        <v>225</v>
      </c>
      <c r="C4271" s="1" t="n">
        <v>42</v>
      </c>
      <c r="D4271" s="1" t="s">
        <v>1382</v>
      </c>
      <c r="E4271" s="1" t="n">
        <v>1</v>
      </c>
      <c r="F4271" s="1" t="n">
        <v>174.48</v>
      </c>
      <c r="G4271" s="1" t="n">
        <v>0</v>
      </c>
      <c r="H4271" s="1" t="s">
        <v>1336</v>
      </c>
      <c r="I4271" s="1" t="n">
        <v>174.48</v>
      </c>
      <c r="J4271" s="1" t="str">
        <f aca="false">VLOOKUP(B4271,Customers!$A$2:$G$502,6,FALSE())</f>
        <v>Consumer</v>
      </c>
      <c r="K4271" s="1" t="str">
        <f aca="false">VLOOKUP(C4271,Products!$A$2:$E$62,3,FALSE())</f>
        <v>Software</v>
      </c>
      <c r="L4271" s="1" t="str">
        <f aca="false">TEXT(D4271,"yyyy-mm")</f>
        <v>2024-09</v>
      </c>
    </row>
    <row r="4272" customFormat="false" ht="15" hidden="false" customHeight="true" outlineLevel="0" collapsed="false">
      <c r="A4272" s="1" t="n">
        <v>4365</v>
      </c>
      <c r="B4272" s="1" t="n">
        <v>361</v>
      </c>
      <c r="C4272" s="1" t="n">
        <v>22</v>
      </c>
      <c r="D4272" s="1" t="s">
        <v>769</v>
      </c>
      <c r="E4272" s="1" t="n">
        <v>1</v>
      </c>
      <c r="F4272" s="1" t="n">
        <v>38.57</v>
      </c>
      <c r="G4272" s="1" t="n">
        <v>0.15</v>
      </c>
      <c r="H4272" s="1" t="s">
        <v>1336</v>
      </c>
      <c r="I4272" s="1" t="n">
        <v>32.78</v>
      </c>
      <c r="J4272" s="1" t="str">
        <f aca="false">VLOOKUP(B4272,Customers!$A$2:$G$502,6,FALSE())</f>
        <v>Small Business</v>
      </c>
      <c r="K4272" s="1" t="str">
        <f aca="false">VLOOKUP(C4272,Products!$A$2:$E$62,3,FALSE())</f>
        <v>Office Supplies</v>
      </c>
      <c r="L4272" s="1" t="str">
        <f aca="false">TEXT(D4272,"yyyy-mm")</f>
        <v>2023-07</v>
      </c>
    </row>
    <row r="4273" customFormat="false" ht="15" hidden="false" customHeight="true" outlineLevel="0" collapsed="false">
      <c r="A4273" s="1" t="n">
        <v>4366</v>
      </c>
      <c r="B4273" s="1" t="n">
        <v>442</v>
      </c>
      <c r="C4273" s="1" t="n">
        <v>8</v>
      </c>
      <c r="D4273" s="1" t="s">
        <v>1089</v>
      </c>
      <c r="E4273" s="1" t="n">
        <v>8</v>
      </c>
      <c r="F4273" s="1" t="n">
        <v>104.4</v>
      </c>
      <c r="G4273" s="1" t="n">
        <v>0.15</v>
      </c>
      <c r="H4273" s="1" t="s">
        <v>1336</v>
      </c>
      <c r="I4273" s="1" t="n">
        <v>709.92</v>
      </c>
      <c r="J4273" s="1" t="str">
        <f aca="false">VLOOKUP(B4273,Customers!$A$2:$G$502,6,FALSE())</f>
        <v>Small Business</v>
      </c>
      <c r="K4273" s="1" t="str">
        <f aca="false">VLOOKUP(C4273,Products!$A$2:$E$62,3,FALSE())</f>
        <v>Electronics</v>
      </c>
      <c r="L4273" s="1" t="str">
        <f aca="false">TEXT(D4273,"yyyy-mm")</f>
        <v>2024-10</v>
      </c>
    </row>
    <row r="4274" customFormat="false" ht="15" hidden="false" customHeight="true" outlineLevel="0" collapsed="false">
      <c r="A4274" s="1" t="n">
        <v>4367</v>
      </c>
      <c r="B4274" s="1" t="n">
        <v>139</v>
      </c>
      <c r="C4274" s="1" t="n">
        <v>33</v>
      </c>
      <c r="D4274" s="1" t="s">
        <v>825</v>
      </c>
      <c r="E4274" s="1" t="n">
        <v>4</v>
      </c>
      <c r="F4274" s="1" t="n">
        <v>190.1</v>
      </c>
      <c r="G4274" s="1" t="n">
        <v>0</v>
      </c>
      <c r="H4274" s="1" t="s">
        <v>1336</v>
      </c>
      <c r="I4274" s="1" t="n">
        <v>760.4</v>
      </c>
      <c r="J4274" s="1" t="str">
        <f aca="false">VLOOKUP(B4274,Customers!$A$2:$G$502,6,FALSE())</f>
        <v>Consumer</v>
      </c>
      <c r="K4274" s="1" t="str">
        <f aca="false">VLOOKUP(C4274,Products!$A$2:$E$62,3,FALSE())</f>
        <v>Office Supplies</v>
      </c>
      <c r="L4274" s="1" t="str">
        <f aca="false">TEXT(D4274,"yyyy-mm")</f>
        <v>2023-04</v>
      </c>
    </row>
    <row r="4275" customFormat="false" ht="15" hidden="false" customHeight="true" outlineLevel="0" collapsed="false">
      <c r="A4275" s="1" t="n">
        <v>4368</v>
      </c>
      <c r="B4275" s="1" t="n">
        <v>493</v>
      </c>
      <c r="C4275" s="1" t="n">
        <v>24</v>
      </c>
      <c r="D4275" s="1" t="s">
        <v>952</v>
      </c>
      <c r="E4275" s="1" t="n">
        <v>5</v>
      </c>
      <c r="F4275" s="1" t="n">
        <v>207.34</v>
      </c>
      <c r="G4275" s="1" t="n">
        <v>0.15</v>
      </c>
      <c r="H4275" s="1" t="s">
        <v>1336</v>
      </c>
      <c r="I4275" s="1" t="n">
        <v>881.2</v>
      </c>
      <c r="J4275" s="1" t="str">
        <f aca="false">VLOOKUP(B4275,Customers!$A$2:$G$502,6,FALSE())</f>
        <v>Corporate</v>
      </c>
      <c r="K4275" s="1" t="str">
        <f aca="false">VLOOKUP(C4275,Products!$A$2:$E$62,3,FALSE())</f>
        <v>Office Supplies</v>
      </c>
      <c r="L4275" s="1" t="str">
        <f aca="false">TEXT(D4275,"yyyy-mm")</f>
        <v>2024-12</v>
      </c>
    </row>
    <row r="4276" customFormat="false" ht="15" hidden="false" customHeight="true" outlineLevel="0" collapsed="false">
      <c r="A4276" s="1" t="n">
        <v>4369</v>
      </c>
      <c r="B4276" s="1" t="n">
        <v>438</v>
      </c>
      <c r="C4276" s="1" t="n">
        <v>11</v>
      </c>
      <c r="D4276" s="1" t="s">
        <v>1097</v>
      </c>
      <c r="E4276" s="1" t="n">
        <v>8</v>
      </c>
      <c r="F4276" s="1" t="n">
        <v>328.39</v>
      </c>
      <c r="G4276" s="1" t="n">
        <v>0</v>
      </c>
      <c r="H4276" s="1" t="s">
        <v>1336</v>
      </c>
      <c r="I4276" s="1" t="n">
        <v>2627.12</v>
      </c>
      <c r="J4276" s="1" t="str">
        <f aca="false">VLOOKUP(B4276,Customers!$A$2:$G$502,6,FALSE())</f>
        <v>Consumer</v>
      </c>
      <c r="K4276" s="1" t="str">
        <f aca="false">VLOOKUP(C4276,Products!$A$2:$E$62,3,FALSE())</f>
        <v>Electronics</v>
      </c>
      <c r="L4276" s="1" t="str">
        <f aca="false">TEXT(D4276,"yyyy-mm")</f>
        <v>2024-02</v>
      </c>
    </row>
    <row r="4277" customFormat="false" ht="15" hidden="false" customHeight="true" outlineLevel="0" collapsed="false">
      <c r="A4277" s="1" t="n">
        <v>4370</v>
      </c>
      <c r="B4277" s="1" t="n">
        <v>16</v>
      </c>
      <c r="C4277" s="1" t="n">
        <v>7</v>
      </c>
      <c r="D4277" s="1" t="s">
        <v>1339</v>
      </c>
      <c r="E4277" s="1" t="n">
        <v>5</v>
      </c>
      <c r="F4277" s="1" t="n">
        <v>460</v>
      </c>
      <c r="G4277" s="1" t="n">
        <v>0</v>
      </c>
      <c r="H4277" s="1" t="s">
        <v>1346</v>
      </c>
      <c r="I4277" s="1" t="n">
        <v>2300</v>
      </c>
      <c r="J4277" s="1" t="str">
        <f aca="false">VLOOKUP(B4277,Customers!$A$2:$G$502,6,FALSE())</f>
        <v>Small Business</v>
      </c>
      <c r="K4277" s="1" t="str">
        <f aca="false">VLOOKUP(C4277,Products!$A$2:$E$62,3,FALSE())</f>
        <v>Electronics</v>
      </c>
      <c r="L4277" s="1" t="str">
        <f aca="false">TEXT(D4277,"yyyy-mm")</f>
        <v>2024-04</v>
      </c>
    </row>
    <row r="4278" customFormat="false" ht="15" hidden="false" customHeight="true" outlineLevel="0" collapsed="false">
      <c r="A4278" s="1" t="n">
        <v>4371</v>
      </c>
      <c r="B4278" s="1" t="n">
        <v>155</v>
      </c>
      <c r="C4278" s="1" t="n">
        <v>45</v>
      </c>
      <c r="D4278" s="1" t="s">
        <v>76</v>
      </c>
      <c r="E4278" s="1" t="n">
        <v>4</v>
      </c>
      <c r="F4278" s="1" t="n">
        <v>560.01</v>
      </c>
      <c r="G4278" s="1" t="n">
        <v>0.05</v>
      </c>
      <c r="H4278" s="1" t="s">
        <v>1336</v>
      </c>
      <c r="I4278" s="1" t="n">
        <v>2128.04</v>
      </c>
      <c r="J4278" s="1" t="str">
        <f aca="false">VLOOKUP(B4278,Customers!$A$2:$G$502,6,FALSE())</f>
        <v>Consumer</v>
      </c>
      <c r="K4278" s="1" t="str">
        <f aca="false">VLOOKUP(C4278,Products!$A$2:$E$62,3,FALSE())</f>
        <v>Software</v>
      </c>
      <c r="L4278" s="1" t="str">
        <f aca="false">TEXT(D4278,"yyyy-mm")</f>
        <v>2023-11</v>
      </c>
    </row>
    <row r="4279" customFormat="false" ht="15" hidden="false" customHeight="true" outlineLevel="0" collapsed="false">
      <c r="A4279" s="1" t="n">
        <v>4372</v>
      </c>
      <c r="B4279" s="1" t="n">
        <v>187</v>
      </c>
      <c r="C4279" s="1" t="n">
        <v>40</v>
      </c>
      <c r="D4279" s="1" t="s">
        <v>269</v>
      </c>
      <c r="E4279" s="1" t="n">
        <v>6</v>
      </c>
      <c r="F4279" s="1" t="n">
        <v>193.02</v>
      </c>
      <c r="G4279" s="1" t="n">
        <v>0.1</v>
      </c>
      <c r="H4279" s="1" t="s">
        <v>1336</v>
      </c>
      <c r="I4279" s="1" t="n">
        <v>1042.31</v>
      </c>
      <c r="J4279" s="1" t="str">
        <f aca="false">VLOOKUP(B4279,Customers!$A$2:$G$502,6,FALSE())</f>
        <v>Consumer</v>
      </c>
      <c r="K4279" s="1" t="str">
        <f aca="false">VLOOKUP(C4279,Products!$A$2:$E$62,3,FALSE())</f>
        <v>Software</v>
      </c>
      <c r="L4279" s="1" t="str">
        <f aca="false">TEXT(D4279,"yyyy-mm")</f>
        <v>2023-11</v>
      </c>
    </row>
    <row r="4280" customFormat="false" ht="15" hidden="false" customHeight="true" outlineLevel="0" collapsed="false">
      <c r="A4280" s="1" t="n">
        <v>4373</v>
      </c>
      <c r="B4280" s="1" t="n">
        <v>308</v>
      </c>
      <c r="C4280" s="1" t="n">
        <v>8</v>
      </c>
      <c r="D4280" s="1" t="s">
        <v>1427</v>
      </c>
      <c r="E4280" s="1" t="n">
        <v>5</v>
      </c>
      <c r="F4280" s="1" t="n">
        <v>104.4</v>
      </c>
      <c r="G4280" s="1" t="n">
        <v>0.15</v>
      </c>
      <c r="H4280" s="1" t="s">
        <v>1336</v>
      </c>
      <c r="I4280" s="1" t="n">
        <v>443.7</v>
      </c>
      <c r="J4280" s="1" t="str">
        <f aca="false">VLOOKUP(B4280,Customers!$A$2:$G$502,6,FALSE())</f>
        <v>Consumer</v>
      </c>
      <c r="K4280" s="1" t="str">
        <f aca="false">VLOOKUP(C4280,Products!$A$2:$E$62,3,FALSE())</f>
        <v>Electronics</v>
      </c>
      <c r="L4280" s="1" t="str">
        <f aca="false">TEXT(D4280,"yyyy-mm")</f>
        <v>2023-09</v>
      </c>
    </row>
    <row r="4281" customFormat="false" ht="15" hidden="false" customHeight="true" outlineLevel="0" collapsed="false">
      <c r="A4281" s="1" t="n">
        <v>4374</v>
      </c>
      <c r="B4281" s="1" t="n">
        <v>53</v>
      </c>
      <c r="C4281" s="1" t="n">
        <v>59</v>
      </c>
      <c r="D4281" s="1" t="s">
        <v>1550</v>
      </c>
      <c r="E4281" s="1" t="n">
        <v>7</v>
      </c>
      <c r="F4281" s="1" t="n">
        <v>438.89</v>
      </c>
      <c r="G4281" s="1" t="n">
        <v>0</v>
      </c>
      <c r="H4281" s="1" t="s">
        <v>1370</v>
      </c>
      <c r="I4281" s="1" t="n">
        <v>3072.23</v>
      </c>
      <c r="J4281" s="1" t="str">
        <f aca="false">VLOOKUP(B4281,Customers!$A$2:$G$502,6,FALSE())</f>
        <v>Small Business</v>
      </c>
      <c r="K4281" s="1" t="str">
        <f aca="false">VLOOKUP(C4281,Products!$A$2:$E$62,3,FALSE())</f>
        <v>Furniture</v>
      </c>
      <c r="L4281" s="1" t="str">
        <f aca="false">TEXT(D4281,"yyyy-mm")</f>
        <v>2024-03</v>
      </c>
    </row>
    <row r="4282" customFormat="false" ht="15" hidden="false" customHeight="true" outlineLevel="0" collapsed="false">
      <c r="A4282" s="1" t="n">
        <v>4375</v>
      </c>
      <c r="B4282" s="1" t="n">
        <v>495</v>
      </c>
      <c r="C4282" s="1" t="n">
        <v>21</v>
      </c>
      <c r="D4282" s="1" t="s">
        <v>1541</v>
      </c>
      <c r="E4282" s="1" t="n">
        <v>7</v>
      </c>
      <c r="F4282" s="1" t="n">
        <v>84.91</v>
      </c>
      <c r="G4282" s="1" t="n">
        <v>0.2</v>
      </c>
      <c r="H4282" s="1" t="s">
        <v>1336</v>
      </c>
      <c r="I4282" s="1" t="n">
        <v>475.5</v>
      </c>
      <c r="J4282" s="1" t="str">
        <f aca="false">VLOOKUP(B4282,Customers!$A$2:$G$502,6,FALSE())</f>
        <v>Small Business</v>
      </c>
      <c r="K4282" s="1" t="str">
        <f aca="false">VLOOKUP(C4282,Products!$A$2:$E$62,3,FALSE())</f>
        <v>Office Supplies</v>
      </c>
      <c r="L4282" s="1" t="str">
        <f aca="false">TEXT(D4282,"yyyy-mm")</f>
        <v>2023-07</v>
      </c>
    </row>
    <row r="4283" customFormat="false" ht="15" hidden="false" customHeight="true" outlineLevel="0" collapsed="false">
      <c r="A4283" s="1" t="n">
        <v>4376</v>
      </c>
      <c r="B4283" s="1" t="n">
        <v>51</v>
      </c>
      <c r="C4283" s="1" t="n">
        <v>13</v>
      </c>
      <c r="D4283" s="1" t="s">
        <v>609</v>
      </c>
      <c r="E4283" s="1" t="n">
        <v>4</v>
      </c>
      <c r="F4283" s="1" t="n">
        <v>352.54</v>
      </c>
      <c r="G4283" s="1" t="n">
        <v>0.1</v>
      </c>
      <c r="H4283" s="1" t="s">
        <v>1336</v>
      </c>
      <c r="I4283" s="1" t="n">
        <v>1269.14</v>
      </c>
      <c r="J4283" s="1" t="str">
        <f aca="false">VLOOKUP(B4283,Customers!$A$2:$G$502,6,FALSE())</f>
        <v>Corporate</v>
      </c>
      <c r="K4283" s="1" t="str">
        <f aca="false">VLOOKUP(C4283,Products!$A$2:$E$62,3,FALSE())</f>
        <v>Electronics</v>
      </c>
      <c r="L4283" s="1" t="str">
        <f aca="false">TEXT(D4283,"yyyy-mm")</f>
        <v>2023-03</v>
      </c>
    </row>
    <row r="4284" customFormat="false" ht="15" hidden="false" customHeight="true" outlineLevel="0" collapsed="false">
      <c r="A4284" s="1" t="n">
        <v>4377</v>
      </c>
      <c r="B4284" s="1" t="n">
        <v>450</v>
      </c>
      <c r="C4284" s="1" t="n">
        <v>35</v>
      </c>
      <c r="D4284" s="1" t="s">
        <v>1022</v>
      </c>
      <c r="E4284" s="1" t="n">
        <v>5</v>
      </c>
      <c r="F4284" s="1" t="n">
        <v>75.78</v>
      </c>
      <c r="G4284" s="1" t="n">
        <v>0</v>
      </c>
      <c r="H4284" s="1" t="s">
        <v>1336</v>
      </c>
      <c r="I4284" s="1" t="n">
        <v>378.9</v>
      </c>
      <c r="J4284" s="1" t="str">
        <f aca="false">VLOOKUP(B4284,Customers!$A$2:$G$502,6,FALSE())</f>
        <v>Consumer</v>
      </c>
      <c r="K4284" s="1" t="str">
        <f aca="false">VLOOKUP(C4284,Products!$A$2:$E$62,3,FALSE())</f>
        <v>Software</v>
      </c>
      <c r="L4284" s="1" t="str">
        <f aca="false">TEXT(D4284,"yyyy-mm")</f>
        <v>2023-06</v>
      </c>
    </row>
    <row r="4285" customFormat="false" ht="15" hidden="false" customHeight="true" outlineLevel="0" collapsed="false">
      <c r="A4285" s="1" t="n">
        <v>4378</v>
      </c>
      <c r="B4285" s="1" t="n">
        <v>373</v>
      </c>
      <c r="C4285" s="1" t="n">
        <v>9</v>
      </c>
      <c r="D4285" s="1" t="s">
        <v>1468</v>
      </c>
      <c r="E4285" s="1" t="n">
        <v>3</v>
      </c>
      <c r="F4285" s="1" t="n">
        <v>203.1</v>
      </c>
      <c r="G4285" s="1" t="n">
        <v>0.15</v>
      </c>
      <c r="H4285" s="1" t="s">
        <v>1336</v>
      </c>
      <c r="I4285" s="1" t="n">
        <v>517.9</v>
      </c>
      <c r="J4285" s="1" t="str">
        <f aca="false">VLOOKUP(B4285,Customers!$A$2:$G$502,6,FALSE())</f>
        <v>Corporate</v>
      </c>
      <c r="K4285" s="1" t="str">
        <f aca="false">VLOOKUP(C4285,Products!$A$2:$E$62,3,FALSE())</f>
        <v>Electronics</v>
      </c>
      <c r="L4285" s="1" t="str">
        <f aca="false">TEXT(D4285,"yyyy-mm")</f>
        <v>2023-06</v>
      </c>
    </row>
    <row r="4286" customFormat="false" ht="15" hidden="false" customHeight="true" outlineLevel="0" collapsed="false">
      <c r="A4286" s="1" t="n">
        <v>4379</v>
      </c>
      <c r="B4286" s="1" t="n">
        <v>245</v>
      </c>
      <c r="C4286" s="1" t="n">
        <v>54</v>
      </c>
      <c r="D4286" s="1" t="s">
        <v>1498</v>
      </c>
      <c r="E4286" s="1" t="n">
        <v>4</v>
      </c>
      <c r="F4286" s="1" t="n">
        <v>312.01</v>
      </c>
      <c r="G4286" s="1" t="n">
        <v>0</v>
      </c>
      <c r="H4286" s="1" t="s">
        <v>1336</v>
      </c>
      <c r="I4286" s="1" t="n">
        <v>1248.04</v>
      </c>
      <c r="J4286" s="1" t="str">
        <f aca="false">VLOOKUP(B4286,Customers!$A$2:$G$502,6,FALSE())</f>
        <v>Consumer</v>
      </c>
      <c r="K4286" s="1" t="str">
        <f aca="false">VLOOKUP(C4286,Products!$A$2:$E$62,3,FALSE())</f>
        <v>Software</v>
      </c>
      <c r="L4286" s="1" t="str">
        <f aca="false">TEXT(D4286,"yyyy-mm")</f>
        <v>2023-03</v>
      </c>
    </row>
    <row r="4287" customFormat="false" ht="15" hidden="false" customHeight="true" outlineLevel="0" collapsed="false">
      <c r="A4287" s="1" t="n">
        <v>4380</v>
      </c>
      <c r="B4287" s="1" t="n">
        <v>127</v>
      </c>
      <c r="C4287" s="1" t="n">
        <v>60</v>
      </c>
      <c r="D4287" s="1" t="s">
        <v>1443</v>
      </c>
      <c r="E4287" s="1" t="n">
        <v>4</v>
      </c>
      <c r="F4287" s="1" t="n">
        <v>584.98</v>
      </c>
      <c r="G4287" s="1" t="n">
        <v>0</v>
      </c>
      <c r="H4287" s="1" t="s">
        <v>1336</v>
      </c>
      <c r="I4287" s="1" t="n">
        <v>2339.92</v>
      </c>
      <c r="J4287" s="1" t="str">
        <f aca="false">VLOOKUP(B4287,Customers!$A$2:$G$502,6,FALSE())</f>
        <v>Corporate</v>
      </c>
      <c r="K4287" s="1" t="str">
        <f aca="false">VLOOKUP(C4287,Products!$A$2:$E$62,3,FALSE())</f>
        <v>Furniture</v>
      </c>
      <c r="L4287" s="1" t="str">
        <f aca="false">TEXT(D4287,"yyyy-mm")</f>
        <v>2023-09</v>
      </c>
    </row>
    <row r="4288" customFormat="false" ht="15" hidden="false" customHeight="true" outlineLevel="0" collapsed="false">
      <c r="A4288" s="1" t="n">
        <v>4381</v>
      </c>
      <c r="B4288" s="1" t="n">
        <v>243</v>
      </c>
      <c r="C4288" s="1" t="n">
        <v>25</v>
      </c>
      <c r="D4288" s="1" t="s">
        <v>745</v>
      </c>
      <c r="E4288" s="1" t="n">
        <v>3</v>
      </c>
      <c r="F4288" s="1" t="n">
        <v>300.49</v>
      </c>
      <c r="G4288" s="1" t="n">
        <v>0</v>
      </c>
      <c r="H4288" s="1" t="s">
        <v>1336</v>
      </c>
      <c r="I4288" s="1" t="n">
        <v>901.47</v>
      </c>
      <c r="J4288" s="1" t="str">
        <f aca="false">VLOOKUP(B4288,Customers!$A$2:$G$502,6,FALSE())</f>
        <v>Small Business</v>
      </c>
      <c r="K4288" s="1" t="str">
        <f aca="false">VLOOKUP(C4288,Products!$A$2:$E$62,3,FALSE())</f>
        <v>Office Supplies</v>
      </c>
      <c r="L4288" s="1" t="str">
        <f aca="false">TEXT(D4288,"yyyy-mm")</f>
        <v>2023-01</v>
      </c>
    </row>
    <row r="4289" customFormat="false" ht="15" hidden="false" customHeight="true" outlineLevel="0" collapsed="false">
      <c r="A4289" s="1" t="n">
        <v>4382</v>
      </c>
      <c r="B4289" s="1" t="n">
        <v>325</v>
      </c>
      <c r="C4289" s="1" t="n">
        <v>60</v>
      </c>
      <c r="D4289" s="1" t="s">
        <v>748</v>
      </c>
      <c r="E4289" s="1" t="n">
        <v>5</v>
      </c>
      <c r="F4289" s="1" t="n">
        <v>584.98</v>
      </c>
      <c r="G4289" s="1" t="n">
        <v>0.15</v>
      </c>
      <c r="H4289" s="1" t="s">
        <v>1336</v>
      </c>
      <c r="I4289" s="1" t="n">
        <v>2486.16</v>
      </c>
      <c r="J4289" s="1" t="str">
        <f aca="false">VLOOKUP(B4289,Customers!$A$2:$G$502,6,FALSE())</f>
        <v>Small Business</v>
      </c>
      <c r="K4289" s="1" t="str">
        <f aca="false">VLOOKUP(C4289,Products!$A$2:$E$62,3,FALSE())</f>
        <v>Furniture</v>
      </c>
      <c r="L4289" s="1" t="str">
        <f aca="false">TEXT(D4289,"yyyy-mm")</f>
        <v>2024-11</v>
      </c>
    </row>
    <row r="4290" customFormat="false" ht="15" hidden="false" customHeight="true" outlineLevel="0" collapsed="false">
      <c r="A4290" s="1" t="n">
        <v>4383</v>
      </c>
      <c r="B4290" s="1" t="n">
        <v>219</v>
      </c>
      <c r="C4290" s="1" t="n">
        <v>46</v>
      </c>
      <c r="D4290" s="1" t="s">
        <v>1629</v>
      </c>
      <c r="E4290" s="1" t="n">
        <v>5</v>
      </c>
      <c r="F4290" s="1" t="n">
        <v>94.92</v>
      </c>
      <c r="G4290" s="1" t="n">
        <v>0.05</v>
      </c>
      <c r="H4290" s="1" t="s">
        <v>1336</v>
      </c>
      <c r="I4290" s="1" t="n">
        <v>450.87</v>
      </c>
      <c r="J4290" s="1" t="str">
        <f aca="false">VLOOKUP(B4290,Customers!$A$2:$G$502,6,FALSE())</f>
        <v>Small Business</v>
      </c>
      <c r="K4290" s="1" t="str">
        <f aca="false">VLOOKUP(C4290,Products!$A$2:$E$62,3,FALSE())</f>
        <v>Software</v>
      </c>
      <c r="L4290" s="1" t="str">
        <f aca="false">TEXT(D4290,"yyyy-mm")</f>
        <v>2024-02</v>
      </c>
    </row>
    <row r="4291" customFormat="false" ht="15" hidden="false" customHeight="true" outlineLevel="0" collapsed="false">
      <c r="A4291" s="1" t="n">
        <v>4384</v>
      </c>
      <c r="B4291" s="1" t="n">
        <v>256</v>
      </c>
      <c r="C4291" s="1" t="n">
        <v>32</v>
      </c>
      <c r="D4291" s="1" t="s">
        <v>133</v>
      </c>
      <c r="E4291" s="1" t="n">
        <v>7</v>
      </c>
      <c r="F4291" s="1" t="n">
        <v>492.27</v>
      </c>
      <c r="G4291" s="1" t="n">
        <v>0</v>
      </c>
      <c r="H4291" s="1" t="s">
        <v>1336</v>
      </c>
      <c r="I4291" s="1" t="n">
        <v>3445.89</v>
      </c>
      <c r="J4291" s="1" t="str">
        <f aca="false">VLOOKUP(B4291,Customers!$A$2:$G$502,6,FALSE())</f>
        <v>Small Business</v>
      </c>
      <c r="K4291" s="1" t="str">
        <f aca="false">VLOOKUP(C4291,Products!$A$2:$E$62,3,FALSE())</f>
        <v>Office Supplies</v>
      </c>
      <c r="L4291" s="1" t="str">
        <f aca="false">TEXT(D4291,"yyyy-mm")</f>
        <v>2023-05</v>
      </c>
    </row>
    <row r="4292" customFormat="false" ht="15" hidden="false" customHeight="true" outlineLevel="0" collapsed="false">
      <c r="A4292" s="1" t="n">
        <v>4385</v>
      </c>
      <c r="B4292" s="1" t="n">
        <v>353</v>
      </c>
      <c r="C4292" s="1" t="n">
        <v>4</v>
      </c>
      <c r="D4292" s="1" t="s">
        <v>220</v>
      </c>
      <c r="E4292" s="1" t="n">
        <v>4</v>
      </c>
      <c r="F4292" s="1" t="n">
        <v>56.24</v>
      </c>
      <c r="G4292" s="1" t="n">
        <v>0</v>
      </c>
      <c r="H4292" s="1" t="s">
        <v>1336</v>
      </c>
      <c r="I4292" s="1" t="n">
        <v>224.96</v>
      </c>
      <c r="J4292" s="1" t="str">
        <f aca="false">VLOOKUP(B4292,Customers!$A$2:$G$502,6,FALSE())</f>
        <v>Corporate</v>
      </c>
      <c r="K4292" s="1" t="str">
        <f aca="false">VLOOKUP(C4292,Products!$A$2:$E$62,3,FALSE())</f>
        <v>Electronics</v>
      </c>
      <c r="L4292" s="1" t="str">
        <f aca="false">TEXT(D4292,"yyyy-mm")</f>
        <v>2023-01</v>
      </c>
    </row>
    <row r="4293" customFormat="false" ht="15" hidden="false" customHeight="true" outlineLevel="0" collapsed="false">
      <c r="A4293" s="1" t="n">
        <v>4386</v>
      </c>
      <c r="B4293" s="1" t="n">
        <v>38</v>
      </c>
      <c r="C4293" s="1" t="n">
        <v>2</v>
      </c>
      <c r="D4293" s="1" t="s">
        <v>1566</v>
      </c>
      <c r="E4293" s="1" t="n">
        <v>4</v>
      </c>
      <c r="F4293" s="1" t="n">
        <v>498.15</v>
      </c>
      <c r="G4293" s="1" t="n">
        <v>0.15</v>
      </c>
      <c r="H4293" s="1" t="s">
        <v>1336</v>
      </c>
      <c r="I4293" s="1" t="n">
        <v>1693.71</v>
      </c>
      <c r="J4293" s="1" t="str">
        <f aca="false">VLOOKUP(B4293,Customers!$A$2:$G$502,6,FALSE())</f>
        <v>Small Business</v>
      </c>
      <c r="K4293" s="1" t="str">
        <f aca="false">VLOOKUP(C4293,Products!$A$2:$E$62,3,FALSE())</f>
        <v>Electronics</v>
      </c>
      <c r="L4293" s="1" t="str">
        <f aca="false">TEXT(D4293,"yyyy-mm")</f>
        <v>2024-12</v>
      </c>
    </row>
    <row r="4294" customFormat="false" ht="15" hidden="false" customHeight="true" outlineLevel="0" collapsed="false">
      <c r="A4294" s="1" t="n">
        <v>4387</v>
      </c>
      <c r="B4294" s="1" t="n">
        <v>470</v>
      </c>
      <c r="C4294" s="1" t="n">
        <v>10</v>
      </c>
      <c r="D4294" s="1" t="s">
        <v>1530</v>
      </c>
      <c r="E4294" s="1" t="n">
        <v>9</v>
      </c>
      <c r="F4294" s="1" t="n">
        <v>251.58</v>
      </c>
      <c r="G4294" s="1" t="n">
        <v>0.2</v>
      </c>
      <c r="H4294" s="1" t="s">
        <v>1336</v>
      </c>
      <c r="I4294" s="1" t="n">
        <v>1811.38</v>
      </c>
      <c r="J4294" s="1" t="str">
        <f aca="false">VLOOKUP(B4294,Customers!$A$2:$G$502,6,FALSE())</f>
        <v>Corporate</v>
      </c>
      <c r="K4294" s="1" t="str">
        <f aca="false">VLOOKUP(C4294,Products!$A$2:$E$62,3,FALSE())</f>
        <v>Electronics</v>
      </c>
      <c r="L4294" s="1" t="str">
        <f aca="false">TEXT(D4294,"yyyy-mm")</f>
        <v>2023-10</v>
      </c>
    </row>
    <row r="4295" customFormat="false" ht="15" hidden="false" customHeight="true" outlineLevel="0" collapsed="false">
      <c r="A4295" s="1" t="n">
        <v>4388</v>
      </c>
      <c r="B4295" s="1" t="n">
        <v>178</v>
      </c>
      <c r="C4295" s="1" t="n">
        <v>19</v>
      </c>
      <c r="D4295" s="1" t="s">
        <v>1631</v>
      </c>
      <c r="E4295" s="1" t="n">
        <v>6</v>
      </c>
      <c r="F4295" s="1" t="n">
        <v>163.64</v>
      </c>
      <c r="G4295" s="1" t="n">
        <v>0.05</v>
      </c>
      <c r="H4295" s="1" t="s">
        <v>1336</v>
      </c>
      <c r="I4295" s="1" t="n">
        <v>932.75</v>
      </c>
      <c r="J4295" s="1" t="str">
        <f aca="false">VLOOKUP(B4295,Customers!$A$2:$G$502,6,FALSE())</f>
        <v>Consumer</v>
      </c>
      <c r="K4295" s="1" t="str">
        <f aca="false">VLOOKUP(C4295,Products!$A$2:$E$62,3,FALSE())</f>
        <v>Office Supplies</v>
      </c>
      <c r="L4295" s="1" t="str">
        <f aca="false">TEXT(D4295,"yyyy-mm")</f>
        <v>2023-03</v>
      </c>
    </row>
    <row r="4296" customFormat="false" ht="15" hidden="false" customHeight="true" outlineLevel="0" collapsed="false">
      <c r="A4296" s="1" t="n">
        <v>4389</v>
      </c>
      <c r="B4296" s="1" t="n">
        <v>304</v>
      </c>
      <c r="C4296" s="1" t="n">
        <v>12</v>
      </c>
      <c r="D4296" s="1" t="s">
        <v>1648</v>
      </c>
      <c r="E4296" s="1" t="n">
        <v>4</v>
      </c>
      <c r="F4296" s="1" t="n">
        <v>179.23</v>
      </c>
      <c r="G4296" s="1" t="n">
        <v>0.2</v>
      </c>
      <c r="H4296" s="1" t="s">
        <v>1336</v>
      </c>
      <c r="I4296" s="1" t="n">
        <v>573.54</v>
      </c>
      <c r="J4296" s="1" t="str">
        <f aca="false">VLOOKUP(B4296,Customers!$A$2:$G$502,6,FALSE())</f>
        <v>Small Business</v>
      </c>
      <c r="K4296" s="1" t="str">
        <f aca="false">VLOOKUP(C4296,Products!$A$2:$E$62,3,FALSE())</f>
        <v>Electronics</v>
      </c>
      <c r="L4296" s="1" t="str">
        <f aca="false">TEXT(D4296,"yyyy-mm")</f>
        <v>2024-05</v>
      </c>
    </row>
    <row r="4297" customFormat="false" ht="15" hidden="false" customHeight="true" outlineLevel="0" collapsed="false">
      <c r="A4297" s="1" t="n">
        <v>4390</v>
      </c>
      <c r="B4297" s="1" t="n">
        <v>298</v>
      </c>
      <c r="C4297" s="1" t="n">
        <v>36</v>
      </c>
      <c r="D4297" s="1" t="s">
        <v>1682</v>
      </c>
      <c r="E4297" s="1" t="n">
        <v>2</v>
      </c>
      <c r="F4297" s="1" t="n">
        <v>424.45</v>
      </c>
      <c r="G4297" s="1" t="n">
        <v>0.15</v>
      </c>
      <c r="H4297" s="1" t="s">
        <v>1336</v>
      </c>
      <c r="I4297" s="1" t="n">
        <v>721.56</v>
      </c>
      <c r="J4297" s="1" t="str">
        <f aca="false">VLOOKUP(B4297,Customers!$A$2:$G$502,6,FALSE())</f>
        <v>Consumer</v>
      </c>
      <c r="K4297" s="1" t="str">
        <f aca="false">VLOOKUP(C4297,Products!$A$2:$E$62,3,FALSE())</f>
        <v>Software</v>
      </c>
      <c r="L4297" s="1" t="str">
        <f aca="false">TEXT(D4297,"yyyy-mm")</f>
        <v>2023-11</v>
      </c>
    </row>
    <row r="4298" customFormat="false" ht="15" hidden="false" customHeight="true" outlineLevel="0" collapsed="false">
      <c r="A4298" s="1" t="n">
        <v>4391</v>
      </c>
      <c r="B4298" s="1" t="n">
        <v>408</v>
      </c>
      <c r="C4298" s="1" t="n">
        <v>60</v>
      </c>
      <c r="D4298" s="1" t="s">
        <v>1133</v>
      </c>
      <c r="E4298" s="1" t="n">
        <v>6</v>
      </c>
      <c r="F4298" s="1" t="n">
        <v>584.98</v>
      </c>
      <c r="G4298" s="1" t="n">
        <v>0.1</v>
      </c>
      <c r="H4298" s="1" t="s">
        <v>1336</v>
      </c>
      <c r="I4298" s="1" t="n">
        <v>3158.89</v>
      </c>
      <c r="J4298" s="1" t="str">
        <f aca="false">VLOOKUP(B4298,Customers!$A$2:$G$502,6,FALSE())</f>
        <v>Small Business</v>
      </c>
      <c r="K4298" s="1" t="str">
        <f aca="false">VLOOKUP(C4298,Products!$A$2:$E$62,3,FALSE())</f>
        <v>Furniture</v>
      </c>
      <c r="L4298" s="1" t="str">
        <f aca="false">TEXT(D4298,"yyyy-mm")</f>
        <v>2024-06</v>
      </c>
    </row>
    <row r="4299" customFormat="false" ht="15" hidden="false" customHeight="true" outlineLevel="0" collapsed="false">
      <c r="A4299" s="1" t="n">
        <v>4392</v>
      </c>
      <c r="B4299" s="1" t="n">
        <v>86</v>
      </c>
      <c r="C4299" s="1" t="n">
        <v>50</v>
      </c>
      <c r="D4299" s="1" t="s">
        <v>1608</v>
      </c>
      <c r="E4299" s="1" t="n">
        <v>2</v>
      </c>
      <c r="F4299" s="1" t="n">
        <v>19.73</v>
      </c>
      <c r="G4299" s="1" t="n">
        <v>0.1</v>
      </c>
      <c r="H4299" s="1" t="s">
        <v>1336</v>
      </c>
      <c r="I4299" s="1" t="n">
        <v>35.51</v>
      </c>
      <c r="J4299" s="1" t="str">
        <f aca="false">VLOOKUP(B4299,Customers!$A$2:$G$502,6,FALSE())</f>
        <v>Small Business</v>
      </c>
      <c r="K4299" s="1" t="str">
        <f aca="false">VLOOKUP(C4299,Products!$A$2:$E$62,3,FALSE())</f>
        <v>Software</v>
      </c>
      <c r="L4299" s="1" t="str">
        <f aca="false">TEXT(D4299,"yyyy-mm")</f>
        <v>2024-04</v>
      </c>
    </row>
    <row r="4300" customFormat="false" ht="15" hidden="false" customHeight="true" outlineLevel="0" collapsed="false">
      <c r="A4300" s="1" t="n">
        <v>4393</v>
      </c>
      <c r="B4300" s="1" t="n">
        <v>471</v>
      </c>
      <c r="C4300" s="1" t="n">
        <v>3</v>
      </c>
      <c r="D4300" s="1" t="s">
        <v>1614</v>
      </c>
      <c r="E4300" s="1" t="n">
        <v>5</v>
      </c>
      <c r="F4300" s="1" t="n">
        <v>89.39</v>
      </c>
      <c r="G4300" s="1" t="n">
        <v>0</v>
      </c>
      <c r="H4300" s="1" t="s">
        <v>1336</v>
      </c>
      <c r="I4300" s="1" t="n">
        <v>446.95</v>
      </c>
      <c r="J4300" s="1" t="str">
        <f aca="false">VLOOKUP(B4300,Customers!$A$2:$G$502,6,FALSE())</f>
        <v>Small Business</v>
      </c>
      <c r="K4300" s="1" t="str">
        <f aca="false">VLOOKUP(C4300,Products!$A$2:$E$62,3,FALSE())</f>
        <v>Electronics</v>
      </c>
      <c r="L4300" s="1" t="str">
        <f aca="false">TEXT(D4300,"yyyy-mm")</f>
        <v>2023-10</v>
      </c>
    </row>
    <row r="4301" customFormat="false" ht="15" hidden="false" customHeight="true" outlineLevel="0" collapsed="false">
      <c r="A4301" s="1" t="n">
        <v>4394</v>
      </c>
      <c r="B4301" s="1" t="n">
        <v>334</v>
      </c>
      <c r="C4301" s="1" t="n">
        <v>15</v>
      </c>
      <c r="D4301" s="1" t="s">
        <v>34</v>
      </c>
      <c r="E4301" s="1" t="n">
        <v>6</v>
      </c>
      <c r="F4301" s="1" t="n">
        <v>304.95</v>
      </c>
      <c r="G4301" s="1" t="n">
        <v>0.1</v>
      </c>
      <c r="H4301" s="1" t="s">
        <v>1336</v>
      </c>
      <c r="I4301" s="1" t="n">
        <v>1646.73</v>
      </c>
      <c r="J4301" s="1" t="str">
        <f aca="false">VLOOKUP(B4301,Customers!$A$2:$G$502,6,FALSE())</f>
        <v>Unknown</v>
      </c>
      <c r="K4301" s="1" t="str">
        <f aca="false">VLOOKUP(C4301,Products!$A$2:$E$62,3,FALSE())</f>
        <v>Electronics</v>
      </c>
      <c r="L4301" s="1" t="str">
        <f aca="false">TEXT(D4301,"yyyy-mm")</f>
        <v>2023-03</v>
      </c>
    </row>
    <row r="4302" customFormat="false" ht="15" hidden="false" customHeight="true" outlineLevel="0" collapsed="false">
      <c r="A4302" s="1" t="n">
        <v>4395</v>
      </c>
      <c r="B4302" s="1" t="n">
        <v>372</v>
      </c>
      <c r="C4302" s="1" t="n">
        <v>28</v>
      </c>
      <c r="D4302" s="1" t="s">
        <v>68</v>
      </c>
      <c r="E4302" s="1" t="n">
        <v>4</v>
      </c>
      <c r="F4302" s="1" t="n">
        <v>505.23</v>
      </c>
      <c r="G4302" s="1" t="n">
        <v>0.1</v>
      </c>
      <c r="H4302" s="1" t="s">
        <v>1336</v>
      </c>
      <c r="I4302" s="1" t="n">
        <v>1818.83</v>
      </c>
      <c r="J4302" s="1" t="str">
        <f aca="false">VLOOKUP(B4302,Customers!$A$2:$G$502,6,FALSE())</f>
        <v>Corporate</v>
      </c>
      <c r="K4302" s="1" t="str">
        <f aca="false">VLOOKUP(C4302,Products!$A$2:$E$62,3,FALSE())</f>
        <v>Office Supplies</v>
      </c>
      <c r="L4302" s="1" t="str">
        <f aca="false">TEXT(D4302,"yyyy-mm")</f>
        <v>2024-11</v>
      </c>
    </row>
    <row r="4303" customFormat="false" ht="15" hidden="false" customHeight="true" outlineLevel="0" collapsed="false">
      <c r="A4303" s="1" t="n">
        <v>4396</v>
      </c>
      <c r="B4303" s="1" t="n">
        <v>160</v>
      </c>
      <c r="C4303" s="1" t="n">
        <v>46</v>
      </c>
      <c r="D4303" s="1" t="s">
        <v>552</v>
      </c>
      <c r="E4303" s="1" t="n">
        <v>3</v>
      </c>
      <c r="F4303" s="1" t="n">
        <v>94.92</v>
      </c>
      <c r="G4303" s="1" t="n">
        <v>0.15</v>
      </c>
      <c r="H4303" s="1" t="s">
        <v>1336</v>
      </c>
      <c r="I4303" s="1" t="n">
        <v>242.05</v>
      </c>
      <c r="J4303" s="1" t="str">
        <f aca="false">VLOOKUP(B4303,Customers!$A$2:$G$502,6,FALSE())</f>
        <v>Consumer</v>
      </c>
      <c r="K4303" s="1" t="str">
        <f aca="false">VLOOKUP(C4303,Products!$A$2:$E$62,3,FALSE())</f>
        <v>Software</v>
      </c>
      <c r="L4303" s="1" t="str">
        <f aca="false">TEXT(D4303,"yyyy-mm")</f>
        <v>2024-04</v>
      </c>
    </row>
    <row r="4304" customFormat="false" ht="15" hidden="false" customHeight="true" outlineLevel="0" collapsed="false">
      <c r="A4304" s="1" t="n">
        <v>4397</v>
      </c>
      <c r="B4304" s="1" t="n">
        <v>336</v>
      </c>
      <c r="C4304" s="1" t="n">
        <v>1</v>
      </c>
      <c r="D4304" s="1" t="s">
        <v>1575</v>
      </c>
      <c r="E4304" s="1" t="n">
        <v>7</v>
      </c>
      <c r="F4304" s="1" t="n">
        <v>327.32</v>
      </c>
      <c r="G4304" s="1" t="n">
        <v>0.05</v>
      </c>
      <c r="H4304" s="1" t="s">
        <v>1336</v>
      </c>
      <c r="I4304" s="1" t="n">
        <v>2176.68</v>
      </c>
      <c r="J4304" s="1" t="str">
        <f aca="false">VLOOKUP(B4304,Customers!$A$2:$G$502,6,FALSE())</f>
        <v>Consumer</v>
      </c>
      <c r="K4304" s="1" t="str">
        <f aca="false">VLOOKUP(C4304,Products!$A$2:$E$62,3,FALSE())</f>
        <v>Electronics</v>
      </c>
      <c r="L4304" s="1" t="str">
        <f aca="false">TEXT(D4304,"yyyy-mm")</f>
        <v>2024-05</v>
      </c>
    </row>
    <row r="4305" customFormat="false" ht="15" hidden="false" customHeight="true" outlineLevel="0" collapsed="false">
      <c r="A4305" s="1" t="n">
        <v>4398</v>
      </c>
      <c r="B4305" s="1" t="n">
        <v>153</v>
      </c>
      <c r="C4305" s="1" t="n">
        <v>37</v>
      </c>
      <c r="D4305" s="1" t="s">
        <v>1668</v>
      </c>
      <c r="E4305" s="1" t="n">
        <v>2</v>
      </c>
      <c r="F4305" s="1" t="n">
        <v>13.95</v>
      </c>
      <c r="G4305" s="1" t="n">
        <v>0.15</v>
      </c>
      <c r="H4305" s="1" t="s">
        <v>1336</v>
      </c>
      <c r="I4305" s="1" t="n">
        <v>23.72</v>
      </c>
      <c r="J4305" s="1" t="str">
        <f aca="false">VLOOKUP(B4305,Customers!$A$2:$G$502,6,FALSE())</f>
        <v>Corporate</v>
      </c>
      <c r="K4305" s="1" t="str">
        <f aca="false">VLOOKUP(C4305,Products!$A$2:$E$62,3,FALSE())</f>
        <v>Software</v>
      </c>
      <c r="L4305" s="1" t="str">
        <f aca="false">TEXT(D4305,"yyyy-mm")</f>
        <v>2023-10</v>
      </c>
    </row>
    <row r="4306" customFormat="false" ht="15" hidden="false" customHeight="true" outlineLevel="0" collapsed="false">
      <c r="A4306" s="1" t="n">
        <v>4399</v>
      </c>
      <c r="B4306" s="1" t="n">
        <v>178</v>
      </c>
      <c r="C4306" s="1" t="n">
        <v>30</v>
      </c>
      <c r="D4306" s="1" t="s">
        <v>1358</v>
      </c>
      <c r="E4306" s="1" t="n">
        <v>6</v>
      </c>
      <c r="F4306" s="1" t="n">
        <v>33.32</v>
      </c>
      <c r="G4306" s="1" t="n">
        <v>0.1</v>
      </c>
      <c r="H4306" s="1" t="s">
        <v>1336</v>
      </c>
      <c r="I4306" s="1" t="n">
        <v>179.93</v>
      </c>
      <c r="J4306" s="1" t="str">
        <f aca="false">VLOOKUP(B4306,Customers!$A$2:$G$502,6,FALSE())</f>
        <v>Consumer</v>
      </c>
      <c r="K4306" s="1" t="str">
        <f aca="false">VLOOKUP(C4306,Products!$A$2:$E$62,3,FALSE())</f>
        <v>Office Supplies</v>
      </c>
      <c r="L4306" s="1" t="str">
        <f aca="false">TEXT(D4306,"yyyy-mm")</f>
        <v>2024-01</v>
      </c>
    </row>
    <row r="4307" customFormat="false" ht="15" hidden="false" customHeight="true" outlineLevel="0" collapsed="false">
      <c r="A4307" s="1" t="n">
        <v>4400</v>
      </c>
      <c r="B4307" s="1" t="n">
        <v>280</v>
      </c>
      <c r="C4307" s="1" t="n">
        <v>60</v>
      </c>
      <c r="D4307" s="1" t="s">
        <v>1173</v>
      </c>
      <c r="E4307" s="1" t="n">
        <v>4</v>
      </c>
      <c r="F4307" s="1" t="n">
        <v>584.98</v>
      </c>
      <c r="G4307" s="1" t="n">
        <v>0.2</v>
      </c>
      <c r="H4307" s="1" t="s">
        <v>1336</v>
      </c>
      <c r="I4307" s="1" t="n">
        <v>1871.94</v>
      </c>
      <c r="J4307" s="1" t="str">
        <f aca="false">VLOOKUP(B4307,Customers!$A$2:$G$502,6,FALSE())</f>
        <v>Consumer</v>
      </c>
      <c r="K4307" s="1" t="str">
        <f aca="false">VLOOKUP(C4307,Products!$A$2:$E$62,3,FALSE())</f>
        <v>Furniture</v>
      </c>
      <c r="L4307" s="1" t="str">
        <f aca="false">TEXT(D4307,"yyyy-mm")</f>
        <v>2023-01</v>
      </c>
    </row>
    <row r="4308" customFormat="false" ht="15" hidden="false" customHeight="true" outlineLevel="0" collapsed="false">
      <c r="A4308" s="1" t="n">
        <v>4401</v>
      </c>
      <c r="B4308" s="1" t="n">
        <v>132</v>
      </c>
      <c r="C4308" s="1" t="n">
        <v>36</v>
      </c>
      <c r="D4308" s="1" t="s">
        <v>1377</v>
      </c>
      <c r="E4308" s="1" t="n">
        <v>6</v>
      </c>
      <c r="F4308" s="1" t="n">
        <v>424.45</v>
      </c>
      <c r="G4308" s="1" t="n">
        <v>0.15</v>
      </c>
      <c r="H4308" s="1" t="s">
        <v>1336</v>
      </c>
      <c r="I4308" s="1" t="n">
        <v>2164.69</v>
      </c>
      <c r="J4308" s="1" t="str">
        <f aca="false">VLOOKUP(B4308,Customers!$A$2:$G$502,6,FALSE())</f>
        <v>Corporate</v>
      </c>
      <c r="K4308" s="1" t="str">
        <f aca="false">VLOOKUP(C4308,Products!$A$2:$E$62,3,FALSE())</f>
        <v>Software</v>
      </c>
      <c r="L4308" s="1" t="str">
        <f aca="false">TEXT(D4308,"yyyy-mm")</f>
        <v>2023-10</v>
      </c>
    </row>
    <row r="4309" customFormat="false" ht="15" hidden="false" customHeight="true" outlineLevel="0" collapsed="false">
      <c r="A4309" s="1" t="n">
        <v>4402</v>
      </c>
      <c r="B4309" s="1" t="n">
        <v>171</v>
      </c>
      <c r="C4309" s="1" t="n">
        <v>22</v>
      </c>
      <c r="D4309" s="1" t="s">
        <v>1505</v>
      </c>
      <c r="E4309" s="1" t="n">
        <v>4</v>
      </c>
      <c r="F4309" s="1" t="n">
        <v>38.57</v>
      </c>
      <c r="G4309" s="1" t="n">
        <v>0</v>
      </c>
      <c r="H4309" s="1" t="s">
        <v>1336</v>
      </c>
      <c r="I4309" s="1" t="n">
        <v>154.28</v>
      </c>
      <c r="J4309" s="1" t="str">
        <f aca="false">VLOOKUP(B4309,Customers!$A$2:$G$502,6,FALSE())</f>
        <v>Small Business</v>
      </c>
      <c r="K4309" s="1" t="str">
        <f aca="false">VLOOKUP(C4309,Products!$A$2:$E$62,3,FALSE())</f>
        <v>Office Supplies</v>
      </c>
      <c r="L4309" s="1" t="str">
        <f aca="false">TEXT(D4309,"yyyy-mm")</f>
        <v>2023-04</v>
      </c>
    </row>
    <row r="4310" customFormat="false" ht="15" hidden="false" customHeight="true" outlineLevel="0" collapsed="false">
      <c r="A4310" s="1" t="n">
        <v>4403</v>
      </c>
      <c r="B4310" s="1" t="n">
        <v>314</v>
      </c>
      <c r="C4310" s="1" t="n">
        <v>5</v>
      </c>
      <c r="D4310" s="1" t="s">
        <v>416</v>
      </c>
      <c r="E4310" s="1" t="n">
        <v>4</v>
      </c>
      <c r="F4310" s="1" t="n">
        <v>439.06</v>
      </c>
      <c r="G4310" s="1" t="n">
        <v>0</v>
      </c>
      <c r="H4310" s="1" t="s">
        <v>1336</v>
      </c>
      <c r="I4310" s="1" t="n">
        <v>1756.24</v>
      </c>
      <c r="J4310" s="1" t="str">
        <f aca="false">VLOOKUP(B4310,Customers!$A$2:$G$502,6,FALSE())</f>
        <v>Small Business</v>
      </c>
      <c r="K4310" s="1" t="str">
        <f aca="false">VLOOKUP(C4310,Products!$A$2:$E$62,3,FALSE())</f>
        <v>Electronics</v>
      </c>
      <c r="L4310" s="1" t="str">
        <f aca="false">TEXT(D4310,"yyyy-mm")</f>
        <v>2023-12</v>
      </c>
    </row>
    <row r="4311" customFormat="false" ht="15" hidden="false" customHeight="true" outlineLevel="0" collapsed="false">
      <c r="A4311" s="1" t="n">
        <v>4404</v>
      </c>
      <c r="B4311" s="1" t="n">
        <v>472</v>
      </c>
      <c r="C4311" s="1" t="n">
        <v>48</v>
      </c>
      <c r="D4311" s="1" t="s">
        <v>804</v>
      </c>
      <c r="E4311" s="1" t="n">
        <v>4</v>
      </c>
      <c r="F4311" s="1" t="n">
        <v>493.53</v>
      </c>
      <c r="G4311" s="1" t="n">
        <v>0</v>
      </c>
      <c r="H4311" s="1" t="s">
        <v>1336</v>
      </c>
      <c r="I4311" s="1" t="n">
        <v>1974.12</v>
      </c>
      <c r="J4311" s="1" t="str">
        <f aca="false">VLOOKUP(B4311,Customers!$A$2:$G$502,6,FALSE())</f>
        <v>Consumer</v>
      </c>
      <c r="K4311" s="1" t="str">
        <f aca="false">VLOOKUP(C4311,Products!$A$2:$E$62,3,FALSE())</f>
        <v>Software</v>
      </c>
      <c r="L4311" s="1" t="str">
        <f aca="false">TEXT(D4311,"yyyy-mm")</f>
        <v>2024-12</v>
      </c>
    </row>
    <row r="4312" customFormat="false" ht="15" hidden="false" customHeight="true" outlineLevel="0" collapsed="false">
      <c r="A4312" s="1" t="n">
        <v>4405</v>
      </c>
      <c r="B4312" s="1" t="n">
        <v>118</v>
      </c>
      <c r="C4312" s="1" t="n">
        <v>56</v>
      </c>
      <c r="D4312" s="1" t="s">
        <v>853</v>
      </c>
      <c r="E4312" s="1" t="n">
        <v>9</v>
      </c>
      <c r="F4312" s="1" t="n">
        <v>160.64</v>
      </c>
      <c r="G4312" s="1" t="n">
        <v>0</v>
      </c>
      <c r="H4312" s="1" t="s">
        <v>1336</v>
      </c>
      <c r="I4312" s="1" t="n">
        <v>1445.76</v>
      </c>
      <c r="J4312" s="1" t="str">
        <f aca="false">VLOOKUP(B4312,Customers!$A$2:$G$502,6,FALSE())</f>
        <v>Small Business</v>
      </c>
      <c r="K4312" s="1" t="str">
        <f aca="false">VLOOKUP(C4312,Products!$A$2:$E$62,3,FALSE())</f>
        <v>Furniture</v>
      </c>
      <c r="L4312" s="1" t="str">
        <f aca="false">TEXT(D4312,"yyyy-mm")</f>
        <v>2024-03</v>
      </c>
    </row>
    <row r="4313" customFormat="false" ht="15" hidden="false" customHeight="true" outlineLevel="0" collapsed="false">
      <c r="A4313" s="1" t="n">
        <v>4406</v>
      </c>
      <c r="B4313" s="1" t="n">
        <v>172</v>
      </c>
      <c r="C4313" s="1" t="n">
        <v>47</v>
      </c>
      <c r="D4313" s="1" t="s">
        <v>1625</v>
      </c>
      <c r="E4313" s="1" t="n">
        <v>7</v>
      </c>
      <c r="F4313" s="1" t="n">
        <v>506.19</v>
      </c>
      <c r="G4313" s="1" t="n">
        <v>0</v>
      </c>
      <c r="H4313" s="1" t="s">
        <v>1336</v>
      </c>
      <c r="I4313" s="1" t="n">
        <v>3543.33</v>
      </c>
      <c r="J4313" s="1" t="str">
        <f aca="false">VLOOKUP(B4313,Customers!$A$2:$G$502,6,FALSE())</f>
        <v>Consumer</v>
      </c>
      <c r="K4313" s="1" t="str">
        <f aca="false">VLOOKUP(C4313,Products!$A$2:$E$62,3,FALSE())</f>
        <v>Software</v>
      </c>
      <c r="L4313" s="1" t="str">
        <f aca="false">TEXT(D4313,"yyyy-mm")</f>
        <v>2023-02</v>
      </c>
    </row>
    <row r="4314" customFormat="false" ht="15" hidden="false" customHeight="true" outlineLevel="0" collapsed="false">
      <c r="A4314" s="1" t="n">
        <v>4407</v>
      </c>
      <c r="B4314" s="1" t="n">
        <v>73</v>
      </c>
      <c r="C4314" s="1" t="n">
        <v>16</v>
      </c>
      <c r="D4314" s="1" t="s">
        <v>1496</v>
      </c>
      <c r="E4314" s="1" t="n">
        <v>3</v>
      </c>
      <c r="F4314" s="1" t="n">
        <v>330.91</v>
      </c>
      <c r="G4314" s="1" t="n">
        <v>0</v>
      </c>
      <c r="H4314" s="1" t="s">
        <v>1336</v>
      </c>
      <c r="I4314" s="1" t="n">
        <v>992.73</v>
      </c>
      <c r="J4314" s="1" t="str">
        <f aca="false">VLOOKUP(B4314,Customers!$A$2:$G$502,6,FALSE())</f>
        <v>Small Business</v>
      </c>
      <c r="K4314" s="1" t="str">
        <f aca="false">VLOOKUP(C4314,Products!$A$2:$E$62,3,FALSE())</f>
        <v>Electronics</v>
      </c>
      <c r="L4314" s="1" t="str">
        <f aca="false">TEXT(D4314,"yyyy-mm")</f>
        <v>2023-09</v>
      </c>
    </row>
    <row r="4315" customFormat="false" ht="15" hidden="false" customHeight="true" outlineLevel="0" collapsed="false">
      <c r="A4315" s="1" t="n">
        <v>4408</v>
      </c>
      <c r="B4315" s="1" t="n">
        <v>239</v>
      </c>
      <c r="C4315" s="1" t="n">
        <v>56</v>
      </c>
      <c r="D4315" s="1" t="s">
        <v>461</v>
      </c>
      <c r="E4315" s="1" t="n">
        <v>3</v>
      </c>
      <c r="F4315" s="1" t="n">
        <v>160.64</v>
      </c>
      <c r="G4315" s="1" t="n">
        <v>0.15</v>
      </c>
      <c r="H4315" s="1" t="s">
        <v>1336</v>
      </c>
      <c r="I4315" s="1" t="n">
        <v>409.63</v>
      </c>
      <c r="J4315" s="1" t="str">
        <f aca="false">VLOOKUP(B4315,Customers!$A$2:$G$502,6,FALSE())</f>
        <v>Corporate</v>
      </c>
      <c r="K4315" s="1" t="str">
        <f aca="false">VLOOKUP(C4315,Products!$A$2:$E$62,3,FALSE())</f>
        <v>Furniture</v>
      </c>
      <c r="L4315" s="1" t="str">
        <f aca="false">TEXT(D4315,"yyyy-mm")</f>
        <v>2023-02</v>
      </c>
    </row>
    <row r="4316" customFormat="false" ht="15" hidden="false" customHeight="true" outlineLevel="0" collapsed="false">
      <c r="A4316" s="1" t="n">
        <v>4409</v>
      </c>
      <c r="B4316" s="1" t="n">
        <v>423</v>
      </c>
      <c r="C4316" s="1" t="n">
        <v>35</v>
      </c>
      <c r="D4316" s="1" t="s">
        <v>1615</v>
      </c>
      <c r="E4316" s="1" t="n">
        <v>6</v>
      </c>
      <c r="F4316" s="1" t="n">
        <v>75.78</v>
      </c>
      <c r="G4316" s="1" t="n">
        <v>0</v>
      </c>
      <c r="H4316" s="1" t="s">
        <v>1336</v>
      </c>
      <c r="I4316" s="1" t="n">
        <v>454.68</v>
      </c>
      <c r="J4316" s="1" t="str">
        <f aca="false">VLOOKUP(B4316,Customers!$A$2:$G$502,6,FALSE())</f>
        <v>Small Business</v>
      </c>
      <c r="K4316" s="1" t="str">
        <f aca="false">VLOOKUP(C4316,Products!$A$2:$E$62,3,FALSE())</f>
        <v>Software</v>
      </c>
      <c r="L4316" s="1" t="str">
        <f aca="false">TEXT(D4316,"yyyy-mm")</f>
        <v>2023-04</v>
      </c>
    </row>
    <row r="4317" customFormat="false" ht="15" hidden="false" customHeight="true" outlineLevel="0" collapsed="false">
      <c r="A4317" s="1" t="n">
        <v>4410</v>
      </c>
      <c r="B4317" s="1" t="n">
        <v>418</v>
      </c>
      <c r="C4317" s="1" t="n">
        <v>40</v>
      </c>
      <c r="D4317" s="1" t="s">
        <v>1471</v>
      </c>
      <c r="E4317" s="1" t="n">
        <v>6</v>
      </c>
      <c r="F4317" s="1" t="n">
        <v>193.02</v>
      </c>
      <c r="G4317" s="1" t="n">
        <v>0.15</v>
      </c>
      <c r="H4317" s="1" t="s">
        <v>1336</v>
      </c>
      <c r="I4317" s="1" t="n">
        <v>984.4</v>
      </c>
      <c r="J4317" s="1" t="str">
        <f aca="false">VLOOKUP(B4317,Customers!$A$2:$G$502,6,FALSE())</f>
        <v>Corporate</v>
      </c>
      <c r="K4317" s="1" t="str">
        <f aca="false">VLOOKUP(C4317,Products!$A$2:$E$62,3,FALSE())</f>
        <v>Software</v>
      </c>
      <c r="L4317" s="1" t="str">
        <f aca="false">TEXT(D4317,"yyyy-mm")</f>
        <v>2024-10</v>
      </c>
    </row>
    <row r="4318" customFormat="false" ht="15" hidden="false" customHeight="true" outlineLevel="0" collapsed="false">
      <c r="A4318" s="1" t="n">
        <v>4411</v>
      </c>
      <c r="B4318" s="1" t="n">
        <v>227</v>
      </c>
      <c r="C4318" s="1" t="n">
        <v>48</v>
      </c>
      <c r="D4318" s="1" t="s">
        <v>68</v>
      </c>
      <c r="E4318" s="1" t="n">
        <v>4</v>
      </c>
      <c r="F4318" s="1" t="n">
        <v>493.53</v>
      </c>
      <c r="G4318" s="1" t="n">
        <v>0.2</v>
      </c>
      <c r="H4318" s="1" t="s">
        <v>1336</v>
      </c>
      <c r="I4318" s="1" t="n">
        <v>1579.3</v>
      </c>
      <c r="J4318" s="1" t="str">
        <f aca="false">VLOOKUP(B4318,Customers!$A$2:$G$502,6,FALSE())</f>
        <v>Consumer</v>
      </c>
      <c r="K4318" s="1" t="str">
        <f aca="false">VLOOKUP(C4318,Products!$A$2:$E$62,3,FALSE())</f>
        <v>Software</v>
      </c>
      <c r="L4318" s="1" t="str">
        <f aca="false">TEXT(D4318,"yyyy-mm")</f>
        <v>2024-11</v>
      </c>
    </row>
    <row r="4319" customFormat="false" ht="15" hidden="false" customHeight="true" outlineLevel="0" collapsed="false">
      <c r="A4319" s="1" t="n">
        <v>4412</v>
      </c>
      <c r="B4319" s="1" t="n">
        <v>463</v>
      </c>
      <c r="C4319" s="1" t="n">
        <v>11</v>
      </c>
      <c r="D4319" s="1" t="s">
        <v>1690</v>
      </c>
      <c r="E4319" s="1" t="n">
        <v>9</v>
      </c>
      <c r="F4319" s="1" t="n">
        <v>328.39</v>
      </c>
      <c r="G4319" s="1" t="n">
        <v>0.15</v>
      </c>
      <c r="H4319" s="1" t="s">
        <v>1336</v>
      </c>
      <c r="I4319" s="1" t="n">
        <v>2512.18</v>
      </c>
      <c r="J4319" s="1" t="str">
        <f aca="false">VLOOKUP(B4319,Customers!$A$2:$G$502,6,FALSE())</f>
        <v>Consumer</v>
      </c>
      <c r="K4319" s="1" t="str">
        <f aca="false">VLOOKUP(C4319,Products!$A$2:$E$62,3,FALSE())</f>
        <v>Electronics</v>
      </c>
      <c r="L4319" s="1" t="str">
        <f aca="false">TEXT(D4319,"yyyy-mm")</f>
        <v>2024-03</v>
      </c>
    </row>
    <row r="4320" customFormat="false" ht="15" hidden="false" customHeight="true" outlineLevel="0" collapsed="false">
      <c r="A4320" s="1" t="n">
        <v>4413</v>
      </c>
      <c r="B4320" s="1" t="n">
        <v>457</v>
      </c>
      <c r="C4320" s="1" t="n">
        <v>53</v>
      </c>
      <c r="D4320" s="1" t="s">
        <v>1350</v>
      </c>
      <c r="E4320" s="1" t="n">
        <v>4</v>
      </c>
      <c r="F4320" s="1" t="n">
        <v>509.98</v>
      </c>
      <c r="G4320" s="1" t="n">
        <v>0</v>
      </c>
      <c r="H4320" s="1" t="s">
        <v>1336</v>
      </c>
      <c r="I4320" s="1" t="n">
        <v>2039.92</v>
      </c>
      <c r="J4320" s="1" t="str">
        <f aca="false">VLOOKUP(B4320,Customers!$A$2:$G$502,6,FALSE())</f>
        <v>Small Business</v>
      </c>
      <c r="K4320" s="1" t="str">
        <f aca="false">VLOOKUP(C4320,Products!$A$2:$E$62,3,FALSE())</f>
        <v>Software</v>
      </c>
      <c r="L4320" s="1" t="str">
        <f aca="false">TEXT(D4320,"yyyy-mm")</f>
        <v>2023-08</v>
      </c>
    </row>
    <row r="4321" customFormat="false" ht="15" hidden="false" customHeight="true" outlineLevel="0" collapsed="false">
      <c r="A4321" s="1" t="n">
        <v>4414</v>
      </c>
      <c r="B4321" s="1" t="n">
        <v>54</v>
      </c>
      <c r="C4321" s="1" t="n">
        <v>58</v>
      </c>
      <c r="D4321" s="1" t="s">
        <v>503</v>
      </c>
      <c r="E4321" s="1" t="n">
        <v>9</v>
      </c>
      <c r="F4321" s="1" t="n">
        <v>515.55</v>
      </c>
      <c r="G4321" s="1" t="n">
        <v>0.1</v>
      </c>
      <c r="H4321" s="1" t="s">
        <v>1336</v>
      </c>
      <c r="I4321" s="1" t="n">
        <v>4175.96</v>
      </c>
      <c r="J4321" s="1" t="str">
        <f aca="false">VLOOKUP(B4321,Customers!$A$2:$G$502,6,FALSE())</f>
        <v>Consumer</v>
      </c>
      <c r="K4321" s="1" t="str">
        <f aca="false">VLOOKUP(C4321,Products!$A$2:$E$62,3,FALSE())</f>
        <v>Furniture</v>
      </c>
      <c r="L4321" s="1" t="str">
        <f aca="false">TEXT(D4321,"yyyy-mm")</f>
        <v>2023-01</v>
      </c>
    </row>
    <row r="4322" customFormat="false" ht="15" hidden="false" customHeight="true" outlineLevel="0" collapsed="false">
      <c r="A4322" s="1" t="n">
        <v>4415</v>
      </c>
      <c r="B4322" s="1" t="n">
        <v>375</v>
      </c>
      <c r="C4322" s="1" t="n">
        <v>50</v>
      </c>
      <c r="D4322" s="1" t="s">
        <v>1422</v>
      </c>
      <c r="E4322" s="1" t="n">
        <v>4</v>
      </c>
      <c r="F4322" s="1" t="n">
        <v>19.73</v>
      </c>
      <c r="G4322" s="1" t="n">
        <v>0.2</v>
      </c>
      <c r="H4322" s="1" t="s">
        <v>1370</v>
      </c>
      <c r="I4322" s="1" t="n">
        <v>63.14</v>
      </c>
      <c r="J4322" s="1" t="str">
        <f aca="false">VLOOKUP(B4322,Customers!$A$2:$G$502,6,FALSE())</f>
        <v>Consumer</v>
      </c>
      <c r="K4322" s="1" t="str">
        <f aca="false">VLOOKUP(C4322,Products!$A$2:$E$62,3,FALSE())</f>
        <v>Software</v>
      </c>
      <c r="L4322" s="1" t="str">
        <f aca="false">TEXT(D4322,"yyyy-mm")</f>
        <v>2023-12</v>
      </c>
    </row>
    <row r="4323" customFormat="false" ht="15" hidden="false" customHeight="true" outlineLevel="0" collapsed="false">
      <c r="A4323" s="1" t="n">
        <v>4416</v>
      </c>
      <c r="B4323" s="1" t="n">
        <v>121</v>
      </c>
      <c r="C4323" s="1" t="n">
        <v>53</v>
      </c>
      <c r="D4323" s="1" t="s">
        <v>611</v>
      </c>
      <c r="E4323" s="1" t="n">
        <v>2</v>
      </c>
      <c r="F4323" s="1" t="n">
        <v>509.98</v>
      </c>
      <c r="G4323" s="1" t="n">
        <v>0</v>
      </c>
      <c r="H4323" s="1" t="s">
        <v>1336</v>
      </c>
      <c r="I4323" s="1" t="n">
        <v>1019.96</v>
      </c>
      <c r="J4323" s="1" t="str">
        <f aca="false">VLOOKUP(B4323,Customers!$A$2:$G$502,6,FALSE())</f>
        <v>Consumer</v>
      </c>
      <c r="K4323" s="1" t="str">
        <f aca="false">VLOOKUP(C4323,Products!$A$2:$E$62,3,FALSE())</f>
        <v>Software</v>
      </c>
      <c r="L4323" s="1" t="str">
        <f aca="false">TEXT(D4323,"yyyy-mm")</f>
        <v>2024-06</v>
      </c>
    </row>
    <row r="4324" customFormat="false" ht="15" hidden="false" customHeight="true" outlineLevel="0" collapsed="false">
      <c r="A4324" s="1" t="n">
        <v>4417</v>
      </c>
      <c r="B4324" s="1" t="n">
        <v>488</v>
      </c>
      <c r="C4324" s="1" t="n">
        <v>24</v>
      </c>
      <c r="D4324" s="1" t="s">
        <v>1395</v>
      </c>
      <c r="E4324" s="1" t="n">
        <v>2</v>
      </c>
      <c r="F4324" s="1" t="n">
        <v>207.34</v>
      </c>
      <c r="G4324" s="1" t="n">
        <v>0.15</v>
      </c>
      <c r="H4324" s="1" t="s">
        <v>1336</v>
      </c>
      <c r="I4324" s="1" t="n">
        <v>352.48</v>
      </c>
      <c r="J4324" s="1" t="str">
        <f aca="false">VLOOKUP(B4324,Customers!$A$2:$G$502,6,FALSE())</f>
        <v>Consumer</v>
      </c>
      <c r="K4324" s="1" t="str">
        <f aca="false">VLOOKUP(C4324,Products!$A$2:$E$62,3,FALSE())</f>
        <v>Office Supplies</v>
      </c>
      <c r="L4324" s="1" t="str">
        <f aca="false">TEXT(D4324,"yyyy-mm")</f>
        <v>2023-04</v>
      </c>
    </row>
    <row r="4325" customFormat="false" ht="15" hidden="false" customHeight="true" outlineLevel="0" collapsed="false">
      <c r="A4325" s="1" t="n">
        <v>4418</v>
      </c>
      <c r="B4325" s="1" t="n">
        <v>39</v>
      </c>
      <c r="C4325" s="1" t="n">
        <v>46</v>
      </c>
      <c r="D4325" s="1" t="s">
        <v>1542</v>
      </c>
      <c r="E4325" s="1" t="n">
        <v>5</v>
      </c>
      <c r="F4325" s="1" t="n">
        <v>94.92</v>
      </c>
      <c r="G4325" s="1" t="n">
        <v>0</v>
      </c>
      <c r="H4325" s="1" t="s">
        <v>1336</v>
      </c>
      <c r="I4325" s="1" t="n">
        <v>474.6</v>
      </c>
      <c r="J4325" s="1" t="str">
        <f aca="false">VLOOKUP(B4325,Customers!$A$2:$G$502,6,FALSE())</f>
        <v>Corporate</v>
      </c>
      <c r="K4325" s="1" t="str">
        <f aca="false">VLOOKUP(C4325,Products!$A$2:$E$62,3,FALSE())</f>
        <v>Software</v>
      </c>
      <c r="L4325" s="1" t="str">
        <f aca="false">TEXT(D4325,"yyyy-mm")</f>
        <v>2023-09</v>
      </c>
    </row>
    <row r="4326" customFormat="false" ht="15" hidden="false" customHeight="true" outlineLevel="0" collapsed="false">
      <c r="A4326" s="1" t="n">
        <v>4419</v>
      </c>
      <c r="B4326" s="1" t="n">
        <v>217</v>
      </c>
      <c r="C4326" s="1" t="n">
        <v>5</v>
      </c>
      <c r="D4326" s="1" t="s">
        <v>1404</v>
      </c>
      <c r="E4326" s="1" t="n">
        <v>4</v>
      </c>
      <c r="F4326" s="1" t="n">
        <v>439.06</v>
      </c>
      <c r="G4326" s="1" t="n">
        <v>0.15</v>
      </c>
      <c r="H4326" s="1" t="s">
        <v>1336</v>
      </c>
      <c r="I4326" s="1" t="n">
        <v>1492.8</v>
      </c>
      <c r="J4326" s="1" t="str">
        <f aca="false">VLOOKUP(B4326,Customers!$A$2:$G$502,6,FALSE())</f>
        <v>Consumer</v>
      </c>
      <c r="K4326" s="1" t="str">
        <f aca="false">VLOOKUP(C4326,Products!$A$2:$E$62,3,FALSE())</f>
        <v>Electronics</v>
      </c>
      <c r="L4326" s="1" t="str">
        <f aca="false">TEXT(D4326,"yyyy-mm")</f>
        <v>2024-03</v>
      </c>
    </row>
    <row r="4327" customFormat="false" ht="15" hidden="false" customHeight="true" outlineLevel="0" collapsed="false">
      <c r="A4327" s="1" t="n">
        <v>4420</v>
      </c>
      <c r="B4327" s="1" t="n">
        <v>95</v>
      </c>
      <c r="C4327" s="1" t="n">
        <v>49</v>
      </c>
      <c r="D4327" s="1" t="s">
        <v>885</v>
      </c>
      <c r="E4327" s="1" t="n">
        <v>7</v>
      </c>
      <c r="F4327" s="1" t="n">
        <v>325.17</v>
      </c>
      <c r="G4327" s="1" t="n">
        <v>0</v>
      </c>
      <c r="H4327" s="1" t="s">
        <v>1336</v>
      </c>
      <c r="I4327" s="1" t="n">
        <v>2276.19</v>
      </c>
      <c r="J4327" s="1" t="str">
        <f aca="false">VLOOKUP(B4327,Customers!$A$2:$G$502,6,FALSE())</f>
        <v>Corporate</v>
      </c>
      <c r="K4327" s="1" t="str">
        <f aca="false">VLOOKUP(C4327,Products!$A$2:$E$62,3,FALSE())</f>
        <v>Software</v>
      </c>
      <c r="L4327" s="1" t="str">
        <f aca="false">TEXT(D4327,"yyyy-mm")</f>
        <v>2023-03</v>
      </c>
    </row>
    <row r="4328" customFormat="false" ht="15" hidden="false" customHeight="true" outlineLevel="0" collapsed="false">
      <c r="A4328" s="1" t="n">
        <v>4421</v>
      </c>
      <c r="B4328" s="1" t="n">
        <v>108</v>
      </c>
      <c r="C4328" s="1" t="n">
        <v>43</v>
      </c>
      <c r="D4328" s="1" t="s">
        <v>591</v>
      </c>
      <c r="E4328" s="1" t="n">
        <v>5</v>
      </c>
      <c r="F4328" s="1" t="n">
        <v>186.31</v>
      </c>
      <c r="G4328" s="1" t="n">
        <v>0</v>
      </c>
      <c r="H4328" s="1" t="s">
        <v>1336</v>
      </c>
      <c r="I4328" s="1" t="n">
        <v>931.55</v>
      </c>
      <c r="J4328" s="1" t="str">
        <f aca="false">VLOOKUP(B4328,Customers!$A$2:$G$502,6,FALSE())</f>
        <v>Consumer</v>
      </c>
      <c r="K4328" s="1" t="str">
        <f aca="false">VLOOKUP(C4328,Products!$A$2:$E$62,3,FALSE())</f>
        <v>Software</v>
      </c>
      <c r="L4328" s="1" t="str">
        <f aca="false">TEXT(D4328,"yyyy-mm")</f>
        <v>2023-05</v>
      </c>
    </row>
    <row r="4329" customFormat="false" ht="15" hidden="false" customHeight="true" outlineLevel="0" collapsed="false">
      <c r="A4329" s="1" t="n">
        <v>4422</v>
      </c>
      <c r="B4329" s="1" t="n">
        <v>371</v>
      </c>
      <c r="C4329" s="1" t="n">
        <v>14</v>
      </c>
      <c r="D4329" s="1" t="s">
        <v>76</v>
      </c>
      <c r="E4329" s="1" t="n">
        <v>6</v>
      </c>
      <c r="F4329" s="1" t="n">
        <v>135.27</v>
      </c>
      <c r="G4329" s="1" t="n">
        <v>0</v>
      </c>
      <c r="H4329" s="1" t="s">
        <v>1336</v>
      </c>
      <c r="I4329" s="1" t="n">
        <v>811.62</v>
      </c>
      <c r="J4329" s="1" t="str">
        <f aca="false">VLOOKUP(B4329,Customers!$A$2:$G$502,6,FALSE())</f>
        <v>Unknown</v>
      </c>
      <c r="K4329" s="1" t="str">
        <f aca="false">VLOOKUP(C4329,Products!$A$2:$E$62,3,FALSE())</f>
        <v>Electronics</v>
      </c>
      <c r="L4329" s="1" t="str">
        <f aca="false">TEXT(D4329,"yyyy-mm")</f>
        <v>2023-11</v>
      </c>
    </row>
    <row r="4330" customFormat="false" ht="15" hidden="false" customHeight="true" outlineLevel="0" collapsed="false">
      <c r="A4330" s="1" t="n">
        <v>4423</v>
      </c>
      <c r="B4330" s="1" t="n">
        <v>413</v>
      </c>
      <c r="C4330" s="1" t="n">
        <v>2</v>
      </c>
      <c r="D4330" s="1" t="s">
        <v>396</v>
      </c>
      <c r="E4330" s="1" t="n">
        <v>4</v>
      </c>
      <c r="F4330" s="1" t="n">
        <v>498.15</v>
      </c>
      <c r="G4330" s="1" t="n">
        <v>0.2</v>
      </c>
      <c r="H4330" s="1" t="s">
        <v>1336</v>
      </c>
      <c r="I4330" s="1" t="n">
        <v>1594.08</v>
      </c>
      <c r="J4330" s="1" t="str">
        <f aca="false">VLOOKUP(B4330,Customers!$A$2:$G$502,6,FALSE())</f>
        <v>Small Business</v>
      </c>
      <c r="K4330" s="1" t="str">
        <f aca="false">VLOOKUP(C4330,Products!$A$2:$E$62,3,FALSE())</f>
        <v>Electronics</v>
      </c>
      <c r="L4330" s="1" t="str">
        <f aca="false">TEXT(D4330,"yyyy-mm")</f>
        <v>2023-10</v>
      </c>
    </row>
    <row r="4331" customFormat="false" ht="15" hidden="false" customHeight="true" outlineLevel="0" collapsed="false">
      <c r="A4331" s="1" t="n">
        <v>4424</v>
      </c>
      <c r="B4331" s="1" t="n">
        <v>63</v>
      </c>
      <c r="C4331" s="1" t="n">
        <v>16</v>
      </c>
      <c r="D4331" s="1" t="s">
        <v>208</v>
      </c>
      <c r="E4331" s="1" t="n">
        <v>2</v>
      </c>
      <c r="F4331" s="1" t="n">
        <v>330.91</v>
      </c>
      <c r="G4331" s="1" t="n">
        <v>0</v>
      </c>
      <c r="H4331" s="1" t="s">
        <v>1336</v>
      </c>
      <c r="I4331" s="1" t="n">
        <v>661.82</v>
      </c>
      <c r="J4331" s="1" t="str">
        <f aca="false">VLOOKUP(B4331,Customers!$A$2:$G$502,6,FALSE())</f>
        <v>Consumer</v>
      </c>
      <c r="K4331" s="1" t="str">
        <f aca="false">VLOOKUP(C4331,Products!$A$2:$E$62,3,FALSE())</f>
        <v>Electronics</v>
      </c>
      <c r="L4331" s="1" t="str">
        <f aca="false">TEXT(D4331,"yyyy-mm")</f>
        <v>2023-12</v>
      </c>
    </row>
    <row r="4332" customFormat="false" ht="15" hidden="false" customHeight="true" outlineLevel="0" collapsed="false">
      <c r="A4332" s="1" t="n">
        <v>4425</v>
      </c>
      <c r="B4332" s="1" t="n">
        <v>370</v>
      </c>
      <c r="C4332" s="1" t="n">
        <v>31</v>
      </c>
      <c r="D4332" s="1" t="s">
        <v>1447</v>
      </c>
      <c r="E4332" s="1" t="n">
        <v>9</v>
      </c>
      <c r="F4332" s="1" t="n">
        <v>224.86</v>
      </c>
      <c r="G4332" s="1" t="n">
        <v>0.15</v>
      </c>
      <c r="H4332" s="1" t="s">
        <v>1336</v>
      </c>
      <c r="I4332" s="1" t="n">
        <v>1720.18</v>
      </c>
      <c r="J4332" s="1" t="str">
        <f aca="false">VLOOKUP(B4332,Customers!$A$2:$G$502,6,FALSE())</f>
        <v>Small Business</v>
      </c>
      <c r="K4332" s="1" t="str">
        <f aca="false">VLOOKUP(C4332,Products!$A$2:$E$62,3,FALSE())</f>
        <v>Office Supplies</v>
      </c>
      <c r="L4332" s="1" t="str">
        <f aca="false">TEXT(D4332,"yyyy-mm")</f>
        <v>2023-05</v>
      </c>
    </row>
    <row r="4333" customFormat="false" ht="15" hidden="false" customHeight="true" outlineLevel="0" collapsed="false">
      <c r="A4333" s="1" t="n">
        <v>4426</v>
      </c>
      <c r="B4333" s="1" t="n">
        <v>387</v>
      </c>
      <c r="C4333" s="1" t="n">
        <v>56</v>
      </c>
      <c r="D4333" s="1" t="s">
        <v>651</v>
      </c>
      <c r="E4333" s="1" t="n">
        <v>7</v>
      </c>
      <c r="F4333" s="1" t="n">
        <v>160.64</v>
      </c>
      <c r="G4333" s="1" t="n">
        <v>0.05</v>
      </c>
      <c r="H4333" s="1" t="s">
        <v>1336</v>
      </c>
      <c r="I4333" s="1" t="n">
        <v>1068.26</v>
      </c>
      <c r="J4333" s="1" t="str">
        <f aca="false">VLOOKUP(B4333,Customers!$A$2:$G$502,6,FALSE())</f>
        <v>Corporate</v>
      </c>
      <c r="K4333" s="1" t="str">
        <f aca="false">VLOOKUP(C4333,Products!$A$2:$E$62,3,FALSE())</f>
        <v>Furniture</v>
      </c>
      <c r="L4333" s="1" t="str">
        <f aca="false">TEXT(D4333,"yyyy-mm")</f>
        <v>2024-12</v>
      </c>
    </row>
    <row r="4334" customFormat="false" ht="15" hidden="false" customHeight="true" outlineLevel="0" collapsed="false">
      <c r="A4334" s="1" t="n">
        <v>4427</v>
      </c>
      <c r="B4334" s="1" t="n">
        <v>364</v>
      </c>
      <c r="C4334" s="1" t="n">
        <v>34</v>
      </c>
      <c r="D4334" s="1" t="s">
        <v>1563</v>
      </c>
      <c r="E4334" s="1" t="n">
        <v>4</v>
      </c>
      <c r="F4334" s="1" t="n">
        <v>116.85</v>
      </c>
      <c r="G4334" s="1" t="n">
        <v>0.2</v>
      </c>
      <c r="H4334" s="1" t="s">
        <v>1336</v>
      </c>
      <c r="I4334" s="1" t="n">
        <v>373.92</v>
      </c>
      <c r="J4334" s="1" t="str">
        <f aca="false">VLOOKUP(B4334,Customers!$A$2:$G$502,6,FALSE())</f>
        <v>Small Business</v>
      </c>
      <c r="K4334" s="1" t="str">
        <f aca="false">VLOOKUP(C4334,Products!$A$2:$E$62,3,FALSE())</f>
        <v>Office Supplies</v>
      </c>
      <c r="L4334" s="1" t="str">
        <f aca="false">TEXT(D4334,"yyyy-mm")</f>
        <v>2024-09</v>
      </c>
    </row>
    <row r="4335" customFormat="false" ht="15" hidden="false" customHeight="true" outlineLevel="0" collapsed="false">
      <c r="A4335" s="1" t="n">
        <v>4428</v>
      </c>
      <c r="B4335" s="1" t="n">
        <v>435</v>
      </c>
      <c r="C4335" s="1" t="n">
        <v>53</v>
      </c>
      <c r="D4335" s="1" t="s">
        <v>1618</v>
      </c>
      <c r="E4335" s="1" t="n">
        <v>3</v>
      </c>
      <c r="F4335" s="1" t="n">
        <v>509.98</v>
      </c>
      <c r="G4335" s="1" t="n">
        <v>0.05</v>
      </c>
      <c r="H4335" s="1" t="s">
        <v>1336</v>
      </c>
      <c r="I4335" s="1" t="n">
        <v>1453.44</v>
      </c>
      <c r="J4335" s="1" t="str">
        <f aca="false">VLOOKUP(B4335,Customers!$A$2:$G$502,6,FALSE())</f>
        <v>Unknown</v>
      </c>
      <c r="K4335" s="1" t="str">
        <f aca="false">VLOOKUP(C4335,Products!$A$2:$E$62,3,FALSE())</f>
        <v>Software</v>
      </c>
      <c r="L4335" s="1" t="str">
        <f aca="false">TEXT(D4335,"yyyy-mm")</f>
        <v>2024-04</v>
      </c>
    </row>
    <row r="4336" customFormat="false" ht="15" hidden="false" customHeight="true" outlineLevel="0" collapsed="false">
      <c r="A4336" s="1" t="n">
        <v>4429</v>
      </c>
      <c r="B4336" s="1" t="n">
        <v>112</v>
      </c>
      <c r="C4336" s="1" t="n">
        <v>33</v>
      </c>
      <c r="D4336" s="1" t="s">
        <v>1656</v>
      </c>
      <c r="E4336" s="1" t="n">
        <v>3</v>
      </c>
      <c r="F4336" s="1" t="n">
        <v>190.1</v>
      </c>
      <c r="G4336" s="1" t="n">
        <v>0.05</v>
      </c>
      <c r="H4336" s="1" t="s">
        <v>1336</v>
      </c>
      <c r="I4336" s="1" t="n">
        <v>541.78</v>
      </c>
      <c r="J4336" s="1" t="str">
        <f aca="false">VLOOKUP(B4336,Customers!$A$2:$G$502,6,FALSE())</f>
        <v>Corporate</v>
      </c>
      <c r="K4336" s="1" t="str">
        <f aca="false">VLOOKUP(C4336,Products!$A$2:$E$62,3,FALSE())</f>
        <v>Office Supplies</v>
      </c>
      <c r="L4336" s="1" t="str">
        <f aca="false">TEXT(D4336,"yyyy-mm")</f>
        <v>2024-05</v>
      </c>
    </row>
    <row r="4337" customFormat="false" ht="15" hidden="false" customHeight="true" outlineLevel="0" collapsed="false">
      <c r="A4337" s="1" t="n">
        <v>4430</v>
      </c>
      <c r="B4337" s="1" t="n">
        <v>273</v>
      </c>
      <c r="C4337" s="1" t="n">
        <v>37</v>
      </c>
      <c r="D4337" s="1" t="s">
        <v>1636</v>
      </c>
      <c r="E4337" s="1" t="n">
        <v>9</v>
      </c>
      <c r="F4337" s="1" t="n">
        <v>13.95</v>
      </c>
      <c r="G4337" s="1" t="n">
        <v>0.1</v>
      </c>
      <c r="H4337" s="1" t="s">
        <v>1336</v>
      </c>
      <c r="I4337" s="1" t="n">
        <v>113</v>
      </c>
      <c r="J4337" s="1" t="str">
        <f aca="false">VLOOKUP(B4337,Customers!$A$2:$G$502,6,FALSE())</f>
        <v>Corporate</v>
      </c>
      <c r="K4337" s="1" t="str">
        <f aca="false">VLOOKUP(C4337,Products!$A$2:$E$62,3,FALSE())</f>
        <v>Software</v>
      </c>
      <c r="L4337" s="1" t="str">
        <f aca="false">TEXT(D4337,"yyyy-mm")</f>
        <v>2023-08</v>
      </c>
    </row>
    <row r="4338" customFormat="false" ht="15" hidden="false" customHeight="true" outlineLevel="0" collapsed="false">
      <c r="A4338" s="1" t="n">
        <v>4431</v>
      </c>
      <c r="B4338" s="1" t="n">
        <v>244</v>
      </c>
      <c r="C4338" s="1" t="n">
        <v>15</v>
      </c>
      <c r="D4338" s="1" t="s">
        <v>1697</v>
      </c>
      <c r="E4338" s="1" t="n">
        <v>5</v>
      </c>
      <c r="F4338" s="1" t="n">
        <v>304.95</v>
      </c>
      <c r="G4338" s="1" t="n">
        <v>0</v>
      </c>
      <c r="H4338" s="1" t="s">
        <v>1336</v>
      </c>
      <c r="I4338" s="1" t="n">
        <v>1524.75</v>
      </c>
      <c r="J4338" s="1" t="str">
        <f aca="false">VLOOKUP(B4338,Customers!$A$2:$G$502,6,FALSE())</f>
        <v>Small Business</v>
      </c>
      <c r="K4338" s="1" t="str">
        <f aca="false">VLOOKUP(C4338,Products!$A$2:$E$62,3,FALSE())</f>
        <v>Electronics</v>
      </c>
      <c r="L4338" s="1" t="str">
        <f aca="false">TEXT(D4338,"yyyy-mm")</f>
        <v>2023-02</v>
      </c>
    </row>
    <row r="4339" customFormat="false" ht="15" hidden="false" customHeight="true" outlineLevel="0" collapsed="false">
      <c r="A4339" s="1" t="n">
        <v>4432</v>
      </c>
      <c r="B4339" s="1" t="n">
        <v>210</v>
      </c>
      <c r="C4339" s="1" t="n">
        <v>60</v>
      </c>
      <c r="D4339" s="1" t="s">
        <v>789</v>
      </c>
      <c r="E4339" s="1" t="n">
        <v>3</v>
      </c>
      <c r="F4339" s="1" t="n">
        <v>584.98</v>
      </c>
      <c r="G4339" s="1" t="n">
        <v>0.2</v>
      </c>
      <c r="H4339" s="1" t="s">
        <v>1336</v>
      </c>
      <c r="I4339" s="1" t="n">
        <v>1403.95</v>
      </c>
      <c r="J4339" s="1" t="str">
        <f aca="false">VLOOKUP(B4339,Customers!$A$2:$G$502,6,FALSE())</f>
        <v>Corporate</v>
      </c>
      <c r="K4339" s="1" t="str">
        <f aca="false">VLOOKUP(C4339,Products!$A$2:$E$62,3,FALSE())</f>
        <v>Furniture</v>
      </c>
      <c r="L4339" s="1" t="str">
        <f aca="false">TEXT(D4339,"yyyy-mm")</f>
        <v>2024-06</v>
      </c>
    </row>
    <row r="4340" customFormat="false" ht="15" hidden="false" customHeight="true" outlineLevel="0" collapsed="false">
      <c r="A4340" s="1" t="n">
        <v>4433</v>
      </c>
      <c r="B4340" s="1" t="n">
        <v>115</v>
      </c>
      <c r="C4340" s="1" t="n">
        <v>18</v>
      </c>
      <c r="D4340" s="1" t="s">
        <v>263</v>
      </c>
      <c r="E4340" s="1" t="n">
        <v>5</v>
      </c>
      <c r="F4340" s="1" t="n">
        <v>747.34</v>
      </c>
      <c r="G4340" s="1" t="n">
        <v>0.1</v>
      </c>
      <c r="H4340" s="1" t="s">
        <v>1336</v>
      </c>
      <c r="I4340" s="1" t="n">
        <v>3363.03</v>
      </c>
      <c r="J4340" s="1" t="str">
        <f aca="false">VLOOKUP(B4340,Customers!$A$2:$G$502,6,FALSE())</f>
        <v>Small Business</v>
      </c>
      <c r="K4340" s="1" t="str">
        <f aca="false">VLOOKUP(C4340,Products!$A$2:$E$62,3,FALSE())</f>
        <v>Electronics</v>
      </c>
      <c r="L4340" s="1" t="str">
        <f aca="false">TEXT(D4340,"yyyy-mm")</f>
        <v>2023-04</v>
      </c>
    </row>
    <row r="4341" customFormat="false" ht="15" hidden="false" customHeight="true" outlineLevel="0" collapsed="false">
      <c r="A4341" s="1" t="n">
        <v>4434</v>
      </c>
      <c r="B4341" s="1" t="n">
        <v>337</v>
      </c>
      <c r="C4341" s="1" t="n">
        <v>26</v>
      </c>
      <c r="D4341" s="1" t="s">
        <v>226</v>
      </c>
      <c r="E4341" s="1" t="n">
        <v>2</v>
      </c>
      <c r="F4341" s="1" t="n">
        <v>733.85</v>
      </c>
      <c r="G4341" s="1" t="n">
        <v>0.15</v>
      </c>
      <c r="H4341" s="1" t="s">
        <v>1336</v>
      </c>
      <c r="I4341" s="1" t="n">
        <v>1247.54</v>
      </c>
      <c r="J4341" s="1" t="str">
        <f aca="false">VLOOKUP(B4341,Customers!$A$2:$G$502,6,FALSE())</f>
        <v>Corporate</v>
      </c>
      <c r="K4341" s="1" t="str">
        <f aca="false">VLOOKUP(C4341,Products!$A$2:$E$62,3,FALSE())</f>
        <v>Office Supplies</v>
      </c>
      <c r="L4341" s="1" t="str">
        <f aca="false">TEXT(D4341,"yyyy-mm")</f>
        <v>2023-11</v>
      </c>
    </row>
    <row r="4342" customFormat="false" ht="15" hidden="false" customHeight="true" outlineLevel="0" collapsed="false">
      <c r="A4342" s="1" t="n">
        <v>4435</v>
      </c>
      <c r="B4342" s="1" t="n">
        <v>449</v>
      </c>
      <c r="C4342" s="1" t="n">
        <v>32</v>
      </c>
      <c r="D4342" s="1" t="s">
        <v>1682</v>
      </c>
      <c r="E4342" s="1" t="n">
        <v>4</v>
      </c>
      <c r="F4342" s="1" t="n">
        <v>492.27</v>
      </c>
      <c r="G4342" s="1" t="n">
        <v>0.1</v>
      </c>
      <c r="H4342" s="1" t="s">
        <v>1336</v>
      </c>
      <c r="I4342" s="1" t="n">
        <v>1772.17</v>
      </c>
      <c r="J4342" s="1" t="str">
        <f aca="false">VLOOKUP(B4342,Customers!$A$2:$G$502,6,FALSE())</f>
        <v>Corporate</v>
      </c>
      <c r="K4342" s="1" t="str">
        <f aca="false">VLOOKUP(C4342,Products!$A$2:$E$62,3,FALSE())</f>
        <v>Office Supplies</v>
      </c>
      <c r="L4342" s="1" t="str">
        <f aca="false">TEXT(D4342,"yyyy-mm")</f>
        <v>2023-11</v>
      </c>
    </row>
    <row r="4343" customFormat="false" ht="15" hidden="false" customHeight="true" outlineLevel="0" collapsed="false">
      <c r="A4343" s="1" t="n">
        <v>4436</v>
      </c>
      <c r="B4343" s="1" t="n">
        <v>277</v>
      </c>
      <c r="C4343" s="1" t="n">
        <v>41</v>
      </c>
      <c r="D4343" s="1" t="s">
        <v>1277</v>
      </c>
      <c r="E4343" s="1" t="n">
        <v>2</v>
      </c>
      <c r="F4343" s="1" t="n">
        <v>594.54</v>
      </c>
      <c r="G4343" s="1" t="n">
        <v>0</v>
      </c>
      <c r="H4343" s="1" t="s">
        <v>1336</v>
      </c>
      <c r="I4343" s="1" t="n">
        <v>1189.08</v>
      </c>
      <c r="J4343" s="1" t="str">
        <f aca="false">VLOOKUP(B4343,Customers!$A$2:$G$502,6,FALSE())</f>
        <v>Corporate</v>
      </c>
      <c r="K4343" s="1" t="str">
        <f aca="false">VLOOKUP(C4343,Products!$A$2:$E$62,3,FALSE())</f>
        <v>Software</v>
      </c>
      <c r="L4343" s="1" t="str">
        <f aca="false">TEXT(D4343,"yyyy-mm")</f>
        <v>2023-11</v>
      </c>
    </row>
    <row r="4344" customFormat="false" ht="15" hidden="false" customHeight="true" outlineLevel="0" collapsed="false">
      <c r="A4344" s="1" t="n">
        <v>4437</v>
      </c>
      <c r="B4344" s="1" t="n">
        <v>424</v>
      </c>
      <c r="C4344" s="1" t="n">
        <v>20</v>
      </c>
      <c r="D4344" s="1" t="s">
        <v>1529</v>
      </c>
      <c r="E4344" s="1" t="n">
        <v>2</v>
      </c>
      <c r="F4344" s="1" t="n">
        <v>426.15</v>
      </c>
      <c r="G4344" s="1" t="n">
        <v>0</v>
      </c>
      <c r="H4344" s="1" t="s">
        <v>1336</v>
      </c>
      <c r="I4344" s="1" t="n">
        <v>852.3</v>
      </c>
      <c r="J4344" s="1" t="str">
        <f aca="false">VLOOKUP(B4344,Customers!$A$2:$G$502,6,FALSE())</f>
        <v>Small Business</v>
      </c>
      <c r="K4344" s="1" t="str">
        <f aca="false">VLOOKUP(C4344,Products!$A$2:$E$62,3,FALSE())</f>
        <v>Office Supplies</v>
      </c>
      <c r="L4344" s="1" t="str">
        <f aca="false">TEXT(D4344,"yyyy-mm")</f>
        <v>2024-09</v>
      </c>
    </row>
    <row r="4345" customFormat="false" ht="15" hidden="false" customHeight="true" outlineLevel="0" collapsed="false">
      <c r="A4345" s="1" t="n">
        <v>4438</v>
      </c>
      <c r="B4345" s="1" t="n">
        <v>162</v>
      </c>
      <c r="C4345" s="1" t="n">
        <v>17</v>
      </c>
      <c r="D4345" s="1" t="s">
        <v>1625</v>
      </c>
      <c r="E4345" s="1" t="n">
        <v>8</v>
      </c>
      <c r="F4345" s="1" t="n">
        <v>65.61</v>
      </c>
      <c r="G4345" s="1" t="n">
        <v>0.05</v>
      </c>
      <c r="H4345" s="1" t="s">
        <v>1336</v>
      </c>
      <c r="I4345" s="1" t="n">
        <v>498.64</v>
      </c>
      <c r="J4345" s="1" t="str">
        <f aca="false">VLOOKUP(B4345,Customers!$A$2:$G$502,6,FALSE())</f>
        <v>Small Business</v>
      </c>
      <c r="K4345" s="1" t="str">
        <f aca="false">VLOOKUP(C4345,Products!$A$2:$E$62,3,FALSE())</f>
        <v>Electronics</v>
      </c>
      <c r="L4345" s="1" t="str">
        <f aca="false">TEXT(D4345,"yyyy-mm")</f>
        <v>2023-02</v>
      </c>
    </row>
    <row r="4346" customFormat="false" ht="15" hidden="false" customHeight="true" outlineLevel="0" collapsed="false">
      <c r="A4346" s="1" t="n">
        <v>4439</v>
      </c>
      <c r="B4346" s="1" t="n">
        <v>72</v>
      </c>
      <c r="C4346" s="1" t="n">
        <v>4</v>
      </c>
      <c r="D4346" s="1" t="s">
        <v>1473</v>
      </c>
      <c r="E4346" s="1" t="n">
        <v>1</v>
      </c>
      <c r="F4346" s="1" t="n">
        <v>56.24</v>
      </c>
      <c r="G4346" s="1" t="n">
        <v>0.15</v>
      </c>
      <c r="H4346" s="1" t="s">
        <v>1336</v>
      </c>
      <c r="I4346" s="1" t="n">
        <v>47.8</v>
      </c>
      <c r="J4346" s="1" t="str">
        <f aca="false">VLOOKUP(B4346,Customers!$A$2:$G$502,6,FALSE())</f>
        <v>Corporate</v>
      </c>
      <c r="K4346" s="1" t="str">
        <f aca="false">VLOOKUP(C4346,Products!$A$2:$E$62,3,FALSE())</f>
        <v>Electronics</v>
      </c>
      <c r="L4346" s="1" t="str">
        <f aca="false">TEXT(D4346,"yyyy-mm")</f>
        <v>2024-04</v>
      </c>
    </row>
    <row r="4347" customFormat="false" ht="15" hidden="false" customHeight="true" outlineLevel="0" collapsed="false">
      <c r="A4347" s="1" t="n">
        <v>4440</v>
      </c>
      <c r="B4347" s="1" t="n">
        <v>96</v>
      </c>
      <c r="C4347" s="1" t="n">
        <v>4</v>
      </c>
      <c r="D4347" s="1" t="s">
        <v>1692</v>
      </c>
      <c r="E4347" s="1" t="n">
        <v>7</v>
      </c>
      <c r="F4347" s="1" t="n">
        <v>56.24</v>
      </c>
      <c r="G4347" s="1" t="n">
        <v>0</v>
      </c>
      <c r="H4347" s="1" t="s">
        <v>1336</v>
      </c>
      <c r="I4347" s="1" t="n">
        <v>393.68</v>
      </c>
      <c r="J4347" s="1" t="str">
        <f aca="false">VLOOKUP(B4347,Customers!$A$2:$G$502,6,FALSE())</f>
        <v>Corporate</v>
      </c>
      <c r="K4347" s="1" t="str">
        <f aca="false">VLOOKUP(C4347,Products!$A$2:$E$62,3,FALSE())</f>
        <v>Electronics</v>
      </c>
      <c r="L4347" s="1" t="str">
        <f aca="false">TEXT(D4347,"yyyy-mm")</f>
        <v>2024-12</v>
      </c>
    </row>
    <row r="4348" customFormat="false" ht="15" hidden="false" customHeight="true" outlineLevel="0" collapsed="false">
      <c r="A4348" s="1" t="n">
        <v>4441</v>
      </c>
      <c r="B4348" s="1" t="n">
        <v>345</v>
      </c>
      <c r="C4348" s="1" t="n">
        <v>21</v>
      </c>
      <c r="D4348" s="1" t="s">
        <v>151</v>
      </c>
      <c r="E4348" s="1" t="n">
        <v>5</v>
      </c>
      <c r="F4348" s="1" t="n">
        <v>84.91</v>
      </c>
      <c r="G4348" s="1" t="n">
        <v>0</v>
      </c>
      <c r="H4348" s="1" t="s">
        <v>1346</v>
      </c>
      <c r="I4348" s="1" t="n">
        <v>424.55</v>
      </c>
      <c r="J4348" s="1" t="str">
        <f aca="false">VLOOKUP(B4348,Customers!$A$2:$G$502,6,FALSE())</f>
        <v>Corporate</v>
      </c>
      <c r="K4348" s="1" t="str">
        <f aca="false">VLOOKUP(C4348,Products!$A$2:$E$62,3,FALSE())</f>
        <v>Office Supplies</v>
      </c>
      <c r="L4348" s="1" t="str">
        <f aca="false">TEXT(D4348,"yyyy-mm")</f>
        <v>2023-10</v>
      </c>
    </row>
    <row r="4349" customFormat="false" ht="15" hidden="false" customHeight="true" outlineLevel="0" collapsed="false">
      <c r="A4349" s="1" t="n">
        <v>4442</v>
      </c>
      <c r="B4349" s="1" t="n">
        <v>265</v>
      </c>
      <c r="C4349" s="1" t="n">
        <v>46</v>
      </c>
      <c r="D4349" s="1" t="s">
        <v>1502</v>
      </c>
      <c r="E4349" s="1" t="n">
        <v>8</v>
      </c>
      <c r="F4349" s="1" t="n">
        <v>94.92</v>
      </c>
      <c r="G4349" s="1" t="n">
        <v>0.15</v>
      </c>
      <c r="H4349" s="1" t="s">
        <v>1336</v>
      </c>
      <c r="I4349" s="1" t="n">
        <v>645.46</v>
      </c>
      <c r="J4349" s="1" t="str">
        <f aca="false">VLOOKUP(B4349,Customers!$A$2:$G$502,6,FALSE())</f>
        <v>Corporate</v>
      </c>
      <c r="K4349" s="1" t="str">
        <f aca="false">VLOOKUP(C4349,Products!$A$2:$E$62,3,FALSE())</f>
        <v>Software</v>
      </c>
      <c r="L4349" s="1" t="str">
        <f aca="false">TEXT(D4349,"yyyy-mm")</f>
        <v>2024-08</v>
      </c>
    </row>
    <row r="4350" customFormat="false" ht="15" hidden="false" customHeight="true" outlineLevel="0" collapsed="false">
      <c r="A4350" s="1" t="n">
        <v>4443</v>
      </c>
      <c r="B4350" s="1" t="n">
        <v>276</v>
      </c>
      <c r="C4350" s="1" t="n">
        <v>52</v>
      </c>
      <c r="D4350" s="1" t="s">
        <v>737</v>
      </c>
      <c r="E4350" s="1" t="n">
        <v>1</v>
      </c>
      <c r="F4350" s="1" t="n">
        <v>207.67</v>
      </c>
      <c r="G4350" s="1" t="n">
        <v>0</v>
      </c>
      <c r="H4350" s="1" t="s">
        <v>1336</v>
      </c>
      <c r="I4350" s="1" t="n">
        <v>207.67</v>
      </c>
      <c r="J4350" s="1" t="str">
        <f aca="false">VLOOKUP(B4350,Customers!$A$2:$G$502,6,FALSE())</f>
        <v>Corporate</v>
      </c>
      <c r="K4350" s="1" t="str">
        <f aca="false">VLOOKUP(C4350,Products!$A$2:$E$62,3,FALSE())</f>
        <v>Software</v>
      </c>
      <c r="L4350" s="1" t="str">
        <f aca="false">TEXT(D4350,"yyyy-mm")</f>
        <v>2024-08</v>
      </c>
    </row>
    <row r="4351" customFormat="false" ht="15" hidden="false" customHeight="true" outlineLevel="0" collapsed="false">
      <c r="A4351" s="1" t="n">
        <v>4445</v>
      </c>
      <c r="B4351" s="1" t="n">
        <v>142</v>
      </c>
      <c r="C4351" s="1" t="n">
        <v>2</v>
      </c>
      <c r="D4351" s="1" t="s">
        <v>1661</v>
      </c>
      <c r="E4351" s="1" t="n">
        <v>5</v>
      </c>
      <c r="F4351" s="1" t="n">
        <v>498.15</v>
      </c>
      <c r="G4351" s="1" t="n">
        <v>0</v>
      </c>
      <c r="H4351" s="1" t="s">
        <v>1336</v>
      </c>
      <c r="I4351" s="1" t="n">
        <v>2490.75</v>
      </c>
      <c r="J4351" s="1" t="str">
        <f aca="false">VLOOKUP(B4351,Customers!$A$2:$G$502,6,FALSE())</f>
        <v>Small Business</v>
      </c>
      <c r="K4351" s="1" t="str">
        <f aca="false">VLOOKUP(C4351,Products!$A$2:$E$62,3,FALSE())</f>
        <v>Electronics</v>
      </c>
      <c r="L4351" s="1" t="str">
        <f aca="false">TEXT(D4351,"yyyy-mm")</f>
        <v>2024-09</v>
      </c>
    </row>
    <row r="4352" customFormat="false" ht="15" hidden="false" customHeight="true" outlineLevel="0" collapsed="false">
      <c r="A4352" s="1" t="n">
        <v>4447</v>
      </c>
      <c r="B4352" s="1" t="n">
        <v>484</v>
      </c>
      <c r="C4352" s="1" t="n">
        <v>18</v>
      </c>
      <c r="D4352" s="1" t="s">
        <v>1617</v>
      </c>
      <c r="E4352" s="1" t="n">
        <v>7</v>
      </c>
      <c r="F4352" s="1" t="n">
        <v>747.34</v>
      </c>
      <c r="G4352" s="1" t="n">
        <v>0</v>
      </c>
      <c r="H4352" s="1" t="s">
        <v>1370</v>
      </c>
      <c r="I4352" s="1" t="n">
        <v>5231.38</v>
      </c>
      <c r="J4352" s="1" t="str">
        <f aca="false">VLOOKUP(B4352,Customers!$A$2:$G$502,6,FALSE())</f>
        <v>Corporate</v>
      </c>
      <c r="K4352" s="1" t="str">
        <f aca="false">VLOOKUP(C4352,Products!$A$2:$E$62,3,FALSE())</f>
        <v>Electronics</v>
      </c>
      <c r="L4352" s="1" t="str">
        <f aca="false">TEXT(D4352,"yyyy-mm")</f>
        <v>2023-04</v>
      </c>
    </row>
    <row r="4353" customFormat="false" ht="15" hidden="false" customHeight="true" outlineLevel="0" collapsed="false">
      <c r="A4353" s="1" t="n">
        <v>4448</v>
      </c>
      <c r="B4353" s="1" t="n">
        <v>42</v>
      </c>
      <c r="C4353" s="1" t="n">
        <v>34</v>
      </c>
      <c r="D4353" s="1" t="s">
        <v>1114</v>
      </c>
      <c r="E4353" s="1" t="n">
        <v>2</v>
      </c>
      <c r="F4353" s="1" t="n">
        <v>116.85</v>
      </c>
      <c r="G4353" s="1" t="n">
        <v>0</v>
      </c>
      <c r="H4353" s="1" t="s">
        <v>1370</v>
      </c>
      <c r="I4353" s="1" t="n">
        <v>233.7</v>
      </c>
      <c r="J4353" s="1" t="str">
        <f aca="false">VLOOKUP(B4353,Customers!$A$2:$G$502,6,FALSE())</f>
        <v>Small Business</v>
      </c>
      <c r="K4353" s="1" t="str">
        <f aca="false">VLOOKUP(C4353,Products!$A$2:$E$62,3,FALSE())</f>
        <v>Office Supplies</v>
      </c>
      <c r="L4353" s="1" t="str">
        <f aca="false">TEXT(D4353,"yyyy-mm")</f>
        <v>2024-03</v>
      </c>
    </row>
    <row r="4354" customFormat="false" ht="15" hidden="false" customHeight="true" outlineLevel="0" collapsed="false">
      <c r="A4354" s="1" t="n">
        <v>4449</v>
      </c>
      <c r="B4354" s="1" t="n">
        <v>154</v>
      </c>
      <c r="C4354" s="1" t="n">
        <v>53</v>
      </c>
      <c r="D4354" s="1" t="s">
        <v>1414</v>
      </c>
      <c r="E4354" s="1" t="n">
        <v>1</v>
      </c>
      <c r="F4354" s="1" t="n">
        <v>509.98</v>
      </c>
      <c r="G4354" s="1" t="n">
        <v>0</v>
      </c>
      <c r="H4354" s="1" t="s">
        <v>1336</v>
      </c>
      <c r="I4354" s="1" t="n">
        <v>509.98</v>
      </c>
      <c r="J4354" s="1" t="str">
        <f aca="false">VLOOKUP(B4354,Customers!$A$2:$G$502,6,FALSE())</f>
        <v>Small Business</v>
      </c>
      <c r="K4354" s="1" t="str">
        <f aca="false">VLOOKUP(C4354,Products!$A$2:$E$62,3,FALSE())</f>
        <v>Software</v>
      </c>
      <c r="L4354" s="1" t="str">
        <f aca="false">TEXT(D4354,"yyyy-mm")</f>
        <v>2024-05</v>
      </c>
    </row>
    <row r="4355" customFormat="false" ht="15" hidden="false" customHeight="true" outlineLevel="0" collapsed="false">
      <c r="A4355" s="1" t="n">
        <v>4450</v>
      </c>
      <c r="B4355" s="1" t="n">
        <v>413</v>
      </c>
      <c r="C4355" s="1" t="n">
        <v>2</v>
      </c>
      <c r="D4355" s="1" t="s">
        <v>1532</v>
      </c>
      <c r="E4355" s="1" t="n">
        <v>1</v>
      </c>
      <c r="F4355" s="1" t="n">
        <v>498.15</v>
      </c>
      <c r="G4355" s="1" t="n">
        <v>0.1</v>
      </c>
      <c r="H4355" s="1" t="s">
        <v>1336</v>
      </c>
      <c r="I4355" s="1" t="n">
        <v>448.34</v>
      </c>
      <c r="J4355" s="1" t="str">
        <f aca="false">VLOOKUP(B4355,Customers!$A$2:$G$502,6,FALSE())</f>
        <v>Small Business</v>
      </c>
      <c r="K4355" s="1" t="str">
        <f aca="false">VLOOKUP(C4355,Products!$A$2:$E$62,3,FALSE())</f>
        <v>Electronics</v>
      </c>
      <c r="L4355" s="1" t="str">
        <f aca="false">TEXT(D4355,"yyyy-mm")</f>
        <v>2023-05</v>
      </c>
    </row>
    <row r="4356" customFormat="false" ht="15" hidden="false" customHeight="true" outlineLevel="0" collapsed="false">
      <c r="A4356" s="1" t="n">
        <v>4451</v>
      </c>
      <c r="B4356" s="1" t="n">
        <v>238</v>
      </c>
      <c r="C4356" s="1" t="n">
        <v>50</v>
      </c>
      <c r="D4356" s="1" t="s">
        <v>1569</v>
      </c>
      <c r="E4356" s="1" t="n">
        <v>1</v>
      </c>
      <c r="F4356" s="1" t="n">
        <v>19.73</v>
      </c>
      <c r="G4356" s="1" t="n">
        <v>0.15</v>
      </c>
      <c r="H4356" s="1" t="s">
        <v>1336</v>
      </c>
      <c r="I4356" s="1" t="n">
        <v>16.77</v>
      </c>
      <c r="J4356" s="1" t="str">
        <f aca="false">VLOOKUP(B4356,Customers!$A$2:$G$502,6,FALSE())</f>
        <v>Corporate</v>
      </c>
      <c r="K4356" s="1" t="str">
        <f aca="false">VLOOKUP(C4356,Products!$A$2:$E$62,3,FALSE())</f>
        <v>Software</v>
      </c>
      <c r="L4356" s="1" t="str">
        <f aca="false">TEXT(D4356,"yyyy-mm")</f>
        <v>2023-02</v>
      </c>
    </row>
    <row r="4357" customFormat="false" ht="15" hidden="false" customHeight="true" outlineLevel="0" collapsed="false">
      <c r="A4357" s="1" t="n">
        <v>4452</v>
      </c>
      <c r="B4357" s="1" t="n">
        <v>126</v>
      </c>
      <c r="C4357" s="1" t="n">
        <v>9</v>
      </c>
      <c r="D4357" s="1" t="s">
        <v>601</v>
      </c>
      <c r="E4357" s="1" t="n">
        <v>5</v>
      </c>
      <c r="F4357" s="1" t="n">
        <v>203.1</v>
      </c>
      <c r="G4357" s="1" t="n">
        <v>0.2</v>
      </c>
      <c r="H4357" s="1" t="s">
        <v>1336</v>
      </c>
      <c r="I4357" s="1" t="n">
        <v>812.4</v>
      </c>
      <c r="J4357" s="1" t="str">
        <f aca="false">VLOOKUP(B4357,Customers!$A$2:$G$502,6,FALSE())</f>
        <v>Small Business</v>
      </c>
      <c r="K4357" s="1" t="str">
        <f aca="false">VLOOKUP(C4357,Products!$A$2:$E$62,3,FALSE())</f>
        <v>Electronics</v>
      </c>
      <c r="L4357" s="1" t="str">
        <f aca="false">TEXT(D4357,"yyyy-mm")</f>
        <v>2023-11</v>
      </c>
    </row>
    <row r="4358" customFormat="false" ht="15" hidden="false" customHeight="true" outlineLevel="0" collapsed="false">
      <c r="A4358" s="1" t="n">
        <v>4453</v>
      </c>
      <c r="B4358" s="1" t="n">
        <v>448</v>
      </c>
      <c r="C4358" s="1" t="n">
        <v>31</v>
      </c>
      <c r="D4358" s="1" t="s">
        <v>1454</v>
      </c>
      <c r="E4358" s="1" t="n">
        <v>7</v>
      </c>
      <c r="F4358" s="1" t="n">
        <v>224.86</v>
      </c>
      <c r="G4358" s="1" t="n">
        <v>0</v>
      </c>
      <c r="H4358" s="1" t="s">
        <v>1336</v>
      </c>
      <c r="I4358" s="1" t="n">
        <v>1574.02</v>
      </c>
      <c r="J4358" s="1" t="str">
        <f aca="false">VLOOKUP(B4358,Customers!$A$2:$G$502,6,FALSE())</f>
        <v>Corporate</v>
      </c>
      <c r="K4358" s="1" t="str">
        <f aca="false">VLOOKUP(C4358,Products!$A$2:$E$62,3,FALSE())</f>
        <v>Office Supplies</v>
      </c>
      <c r="L4358" s="1" t="str">
        <f aca="false">TEXT(D4358,"yyyy-mm")</f>
        <v>2024-11</v>
      </c>
    </row>
    <row r="4359" customFormat="false" ht="15" hidden="false" customHeight="true" outlineLevel="0" collapsed="false">
      <c r="A4359" s="1" t="n">
        <v>4454</v>
      </c>
      <c r="B4359" s="1" t="n">
        <v>398</v>
      </c>
      <c r="C4359" s="1" t="n">
        <v>4</v>
      </c>
      <c r="D4359" s="1" t="s">
        <v>1496</v>
      </c>
      <c r="E4359" s="1" t="n">
        <v>2</v>
      </c>
      <c r="F4359" s="1" t="n">
        <v>56.24</v>
      </c>
      <c r="G4359" s="1" t="n">
        <v>0.2</v>
      </c>
      <c r="H4359" s="1" t="s">
        <v>1370</v>
      </c>
      <c r="I4359" s="1" t="n">
        <v>89.98</v>
      </c>
      <c r="J4359" s="1" t="str">
        <f aca="false">VLOOKUP(B4359,Customers!$A$2:$G$502,6,FALSE())</f>
        <v>Small Business</v>
      </c>
      <c r="K4359" s="1" t="str">
        <f aca="false">VLOOKUP(C4359,Products!$A$2:$E$62,3,FALSE())</f>
        <v>Electronics</v>
      </c>
      <c r="L4359" s="1" t="str">
        <f aca="false">TEXT(D4359,"yyyy-mm")</f>
        <v>2023-09</v>
      </c>
    </row>
    <row r="4360" customFormat="false" ht="15" hidden="false" customHeight="true" outlineLevel="0" collapsed="false">
      <c r="A4360" s="1" t="n">
        <v>4455</v>
      </c>
      <c r="B4360" s="1" t="n">
        <v>320</v>
      </c>
      <c r="C4360" s="1" t="n">
        <v>39</v>
      </c>
      <c r="D4360" s="1" t="s">
        <v>71</v>
      </c>
      <c r="E4360" s="1" t="n">
        <v>8</v>
      </c>
      <c r="F4360" s="1" t="n">
        <v>400.02</v>
      </c>
      <c r="G4360" s="1" t="n">
        <v>0.1</v>
      </c>
      <c r="H4360" s="1" t="s">
        <v>1336</v>
      </c>
      <c r="I4360" s="1" t="n">
        <v>2880.14</v>
      </c>
      <c r="J4360" s="1" t="str">
        <f aca="false">VLOOKUP(B4360,Customers!$A$2:$G$502,6,FALSE())</f>
        <v>Corporate</v>
      </c>
      <c r="K4360" s="1" t="str">
        <f aca="false">VLOOKUP(C4360,Products!$A$2:$E$62,3,FALSE())</f>
        <v>Software</v>
      </c>
      <c r="L4360" s="1" t="str">
        <f aca="false">TEXT(D4360,"yyyy-mm")</f>
        <v>2024-05</v>
      </c>
    </row>
    <row r="4361" customFormat="false" ht="15" hidden="false" customHeight="true" outlineLevel="0" collapsed="false">
      <c r="A4361" s="1" t="n">
        <v>4456</v>
      </c>
      <c r="B4361" s="1" t="n">
        <v>240</v>
      </c>
      <c r="C4361" s="1" t="n">
        <v>2</v>
      </c>
      <c r="D4361" s="1" t="s">
        <v>1668</v>
      </c>
      <c r="E4361" s="1" t="n">
        <v>4</v>
      </c>
      <c r="F4361" s="1" t="n">
        <v>498.15</v>
      </c>
      <c r="G4361" s="1" t="n">
        <v>0.2</v>
      </c>
      <c r="H4361" s="1" t="s">
        <v>1336</v>
      </c>
      <c r="I4361" s="1" t="n">
        <v>1594.08</v>
      </c>
      <c r="J4361" s="1" t="str">
        <f aca="false">VLOOKUP(B4361,Customers!$A$2:$G$502,6,FALSE())</f>
        <v>Corporate</v>
      </c>
      <c r="K4361" s="1" t="str">
        <f aca="false">VLOOKUP(C4361,Products!$A$2:$E$62,3,FALSE())</f>
        <v>Electronics</v>
      </c>
      <c r="L4361" s="1" t="str">
        <f aca="false">TEXT(D4361,"yyyy-mm")</f>
        <v>2023-10</v>
      </c>
    </row>
    <row r="4362" customFormat="false" ht="15" hidden="false" customHeight="true" outlineLevel="0" collapsed="false">
      <c r="A4362" s="1" t="n">
        <v>4457</v>
      </c>
      <c r="B4362" s="1" t="n">
        <v>48</v>
      </c>
      <c r="C4362" s="1" t="n">
        <v>33</v>
      </c>
      <c r="D4362" s="1" t="s">
        <v>1557</v>
      </c>
      <c r="E4362" s="1" t="n">
        <v>3</v>
      </c>
      <c r="F4362" s="1" t="n">
        <v>190.1</v>
      </c>
      <c r="G4362" s="1" t="n">
        <v>0.2</v>
      </c>
      <c r="H4362" s="1" t="s">
        <v>1370</v>
      </c>
      <c r="I4362" s="1" t="n">
        <v>456.24</v>
      </c>
      <c r="J4362" s="1" t="str">
        <f aca="false">VLOOKUP(B4362,Customers!$A$2:$G$502,6,FALSE())</f>
        <v>Small Business</v>
      </c>
      <c r="K4362" s="1" t="str">
        <f aca="false">VLOOKUP(C4362,Products!$A$2:$E$62,3,FALSE())</f>
        <v>Office Supplies</v>
      </c>
      <c r="L4362" s="1" t="str">
        <f aca="false">TEXT(D4362,"yyyy-mm")</f>
        <v>2024-03</v>
      </c>
    </row>
    <row r="4363" customFormat="false" ht="15" hidden="false" customHeight="true" outlineLevel="0" collapsed="false">
      <c r="A4363" s="1" t="n">
        <v>4458</v>
      </c>
      <c r="B4363" s="1" t="n">
        <v>473</v>
      </c>
      <c r="C4363" s="1" t="n">
        <v>23</v>
      </c>
      <c r="D4363" s="1" t="s">
        <v>1603</v>
      </c>
      <c r="E4363" s="1" t="n">
        <v>8</v>
      </c>
      <c r="F4363" s="1" t="n">
        <v>188.73</v>
      </c>
      <c r="G4363" s="1" t="n">
        <v>0.05</v>
      </c>
      <c r="H4363" s="1" t="s">
        <v>1336</v>
      </c>
      <c r="I4363" s="1" t="n">
        <v>1434.35</v>
      </c>
      <c r="J4363" s="1" t="str">
        <f aca="false">VLOOKUP(B4363,Customers!$A$2:$G$502,6,FALSE())</f>
        <v>Small Business</v>
      </c>
      <c r="K4363" s="1" t="str">
        <f aca="false">VLOOKUP(C4363,Products!$A$2:$E$62,3,FALSE())</f>
        <v>Office Supplies</v>
      </c>
      <c r="L4363" s="1" t="str">
        <f aca="false">TEXT(D4363,"yyyy-mm")</f>
        <v>2024-12</v>
      </c>
    </row>
    <row r="4364" customFormat="false" ht="15" hidden="false" customHeight="true" outlineLevel="0" collapsed="false">
      <c r="A4364" s="1" t="n">
        <v>4459</v>
      </c>
      <c r="B4364" s="1" t="n">
        <v>189</v>
      </c>
      <c r="C4364" s="1" t="n">
        <v>39</v>
      </c>
      <c r="D4364" s="1" t="s">
        <v>1458</v>
      </c>
      <c r="E4364" s="1" t="n">
        <v>2</v>
      </c>
      <c r="F4364" s="1" t="n">
        <v>400.02</v>
      </c>
      <c r="G4364" s="1" t="n">
        <v>0.2</v>
      </c>
      <c r="H4364" s="1" t="s">
        <v>1336</v>
      </c>
      <c r="I4364" s="1" t="n">
        <v>640.03</v>
      </c>
      <c r="J4364" s="1" t="str">
        <f aca="false">VLOOKUP(B4364,Customers!$A$2:$G$502,6,FALSE())</f>
        <v>Small Business</v>
      </c>
      <c r="K4364" s="1" t="str">
        <f aca="false">VLOOKUP(C4364,Products!$A$2:$E$62,3,FALSE())</f>
        <v>Software</v>
      </c>
      <c r="L4364" s="1" t="str">
        <f aca="false">TEXT(D4364,"yyyy-mm")</f>
        <v>2023-03</v>
      </c>
    </row>
    <row r="4365" customFormat="false" ht="15" hidden="false" customHeight="true" outlineLevel="0" collapsed="false">
      <c r="A4365" s="1" t="n">
        <v>4460</v>
      </c>
      <c r="B4365" s="1" t="n">
        <v>236</v>
      </c>
      <c r="C4365" s="1" t="n">
        <v>18</v>
      </c>
      <c r="D4365" s="1" t="s">
        <v>1568</v>
      </c>
      <c r="E4365" s="1" t="n">
        <v>3</v>
      </c>
      <c r="F4365" s="1" t="n">
        <v>747.34</v>
      </c>
      <c r="G4365" s="1" t="n">
        <v>0.15</v>
      </c>
      <c r="H4365" s="1" t="s">
        <v>1336</v>
      </c>
      <c r="I4365" s="1" t="n">
        <v>1905.72</v>
      </c>
      <c r="J4365" s="1" t="str">
        <f aca="false">VLOOKUP(B4365,Customers!$A$2:$G$502,6,FALSE())</f>
        <v>Corporate</v>
      </c>
      <c r="K4365" s="1" t="str">
        <f aca="false">VLOOKUP(C4365,Products!$A$2:$E$62,3,FALSE())</f>
        <v>Electronics</v>
      </c>
      <c r="L4365" s="1" t="str">
        <f aca="false">TEXT(D4365,"yyyy-mm")</f>
        <v>2023-07</v>
      </c>
    </row>
    <row r="4366" customFormat="false" ht="15" hidden="false" customHeight="true" outlineLevel="0" collapsed="false">
      <c r="A4366" s="1" t="n">
        <v>4461</v>
      </c>
      <c r="B4366" s="1" t="n">
        <v>152</v>
      </c>
      <c r="C4366" s="1" t="n">
        <v>2</v>
      </c>
      <c r="D4366" s="1" t="s">
        <v>1603</v>
      </c>
      <c r="E4366" s="1" t="n">
        <v>3</v>
      </c>
      <c r="F4366" s="1" t="n">
        <v>498.15</v>
      </c>
      <c r="G4366" s="1" t="n">
        <v>0</v>
      </c>
      <c r="H4366" s="1" t="s">
        <v>1336</v>
      </c>
      <c r="I4366" s="1" t="n">
        <v>1494.45</v>
      </c>
      <c r="J4366" s="1" t="str">
        <f aca="false">VLOOKUP(B4366,Customers!$A$2:$G$502,6,FALSE())</f>
        <v>Corporate</v>
      </c>
      <c r="K4366" s="1" t="str">
        <f aca="false">VLOOKUP(C4366,Products!$A$2:$E$62,3,FALSE())</f>
        <v>Electronics</v>
      </c>
      <c r="L4366" s="1" t="str">
        <f aca="false">TEXT(D4366,"yyyy-mm")</f>
        <v>2024-12</v>
      </c>
    </row>
    <row r="4367" customFormat="false" ht="15" hidden="false" customHeight="true" outlineLevel="0" collapsed="false">
      <c r="A4367" s="1" t="n">
        <v>4462</v>
      </c>
      <c r="B4367" s="1" t="n">
        <v>80</v>
      </c>
      <c r="C4367" s="1" t="n">
        <v>14</v>
      </c>
      <c r="D4367" s="1" t="s">
        <v>1385</v>
      </c>
      <c r="E4367" s="1" t="n">
        <v>1</v>
      </c>
      <c r="F4367" s="1" t="n">
        <v>135.27</v>
      </c>
      <c r="G4367" s="1" t="n">
        <v>0</v>
      </c>
      <c r="H4367" s="1" t="s">
        <v>1336</v>
      </c>
      <c r="I4367" s="1" t="n">
        <v>135.27</v>
      </c>
      <c r="J4367" s="1" t="str">
        <f aca="false">VLOOKUP(B4367,Customers!$A$2:$G$502,6,FALSE())</f>
        <v>Consumer</v>
      </c>
      <c r="K4367" s="1" t="str">
        <f aca="false">VLOOKUP(C4367,Products!$A$2:$E$62,3,FALSE())</f>
        <v>Electronics</v>
      </c>
      <c r="L4367" s="1" t="str">
        <f aca="false">TEXT(D4367,"yyyy-mm")</f>
        <v>2023-05</v>
      </c>
    </row>
    <row r="4368" customFormat="false" ht="15" hidden="false" customHeight="true" outlineLevel="0" collapsed="false">
      <c r="A4368" s="1" t="n">
        <v>4463</v>
      </c>
      <c r="B4368" s="1" t="n">
        <v>429</v>
      </c>
      <c r="C4368" s="1" t="n">
        <v>59</v>
      </c>
      <c r="D4368" s="1" t="s">
        <v>775</v>
      </c>
      <c r="E4368" s="1" t="n">
        <v>6</v>
      </c>
      <c r="F4368" s="1" t="n">
        <v>438.89</v>
      </c>
      <c r="G4368" s="1" t="n">
        <v>0.15</v>
      </c>
      <c r="H4368" s="1" t="s">
        <v>1336</v>
      </c>
      <c r="I4368" s="1" t="n">
        <v>2238.34</v>
      </c>
      <c r="J4368" s="1" t="str">
        <f aca="false">VLOOKUP(B4368,Customers!$A$2:$G$502,6,FALSE())</f>
        <v>Corporate</v>
      </c>
      <c r="K4368" s="1" t="str">
        <f aca="false">VLOOKUP(C4368,Products!$A$2:$E$62,3,FALSE())</f>
        <v>Furniture</v>
      </c>
      <c r="L4368" s="1" t="str">
        <f aca="false">TEXT(D4368,"yyyy-mm")</f>
        <v>2023-01</v>
      </c>
    </row>
    <row r="4369" customFormat="false" ht="15" hidden="false" customHeight="true" outlineLevel="0" collapsed="false">
      <c r="A4369" s="1" t="n">
        <v>4464</v>
      </c>
      <c r="B4369" s="1" t="n">
        <v>206</v>
      </c>
      <c r="C4369" s="1" t="n">
        <v>42</v>
      </c>
      <c r="D4369" s="1" t="s">
        <v>1429</v>
      </c>
      <c r="E4369" s="1" t="n">
        <v>2</v>
      </c>
      <c r="F4369" s="1" t="n">
        <v>174.48</v>
      </c>
      <c r="G4369" s="1" t="n">
        <v>0</v>
      </c>
      <c r="H4369" s="1" t="s">
        <v>1336</v>
      </c>
      <c r="I4369" s="1" t="n">
        <v>348.96</v>
      </c>
      <c r="J4369" s="1" t="str">
        <f aca="false">VLOOKUP(B4369,Customers!$A$2:$G$502,6,FALSE())</f>
        <v>Small Business</v>
      </c>
      <c r="K4369" s="1" t="str">
        <f aca="false">VLOOKUP(C4369,Products!$A$2:$E$62,3,FALSE())</f>
        <v>Software</v>
      </c>
      <c r="L4369" s="1" t="str">
        <f aca="false">TEXT(D4369,"yyyy-mm")</f>
        <v>2024-08</v>
      </c>
    </row>
    <row r="4370" customFormat="false" ht="15" hidden="false" customHeight="true" outlineLevel="0" collapsed="false">
      <c r="A4370" s="1" t="n">
        <v>4465</v>
      </c>
      <c r="B4370" s="1" t="n">
        <v>346</v>
      </c>
      <c r="C4370" s="1" t="n">
        <v>20</v>
      </c>
      <c r="D4370" s="1" t="s">
        <v>1412</v>
      </c>
      <c r="E4370" s="1" t="n">
        <v>1</v>
      </c>
      <c r="F4370" s="1" t="n">
        <v>426.15</v>
      </c>
      <c r="G4370" s="1" t="n">
        <v>0</v>
      </c>
      <c r="H4370" s="1" t="s">
        <v>1336</v>
      </c>
      <c r="I4370" s="1" t="n">
        <v>426.15</v>
      </c>
      <c r="J4370" s="1" t="str">
        <f aca="false">VLOOKUP(B4370,Customers!$A$2:$G$502,6,FALSE())</f>
        <v>Consumer</v>
      </c>
      <c r="K4370" s="1" t="str">
        <f aca="false">VLOOKUP(C4370,Products!$A$2:$E$62,3,FALSE())</f>
        <v>Office Supplies</v>
      </c>
      <c r="L4370" s="1" t="str">
        <f aca="false">TEXT(D4370,"yyyy-mm")</f>
        <v>2023-09</v>
      </c>
    </row>
    <row r="4371" customFormat="false" ht="15" hidden="false" customHeight="true" outlineLevel="0" collapsed="false">
      <c r="A4371" s="1" t="n">
        <v>4466</v>
      </c>
      <c r="B4371" s="1" t="n">
        <v>485</v>
      </c>
      <c r="C4371" s="1" t="n">
        <v>16</v>
      </c>
      <c r="D4371" s="1" t="s">
        <v>353</v>
      </c>
      <c r="E4371" s="1" t="n">
        <v>2</v>
      </c>
      <c r="F4371" s="1" t="n">
        <v>330.91</v>
      </c>
      <c r="G4371" s="1" t="n">
        <v>0.2</v>
      </c>
      <c r="H4371" s="1" t="s">
        <v>1336</v>
      </c>
      <c r="I4371" s="1" t="n">
        <v>529.46</v>
      </c>
      <c r="J4371" s="1" t="str">
        <f aca="false">VLOOKUP(B4371,Customers!$A$2:$G$502,6,FALSE())</f>
        <v>Corporate</v>
      </c>
      <c r="K4371" s="1" t="str">
        <f aca="false">VLOOKUP(C4371,Products!$A$2:$E$62,3,FALSE())</f>
        <v>Electronics</v>
      </c>
      <c r="L4371" s="1" t="str">
        <f aca="false">TEXT(D4371,"yyyy-mm")</f>
        <v>2024-01</v>
      </c>
    </row>
    <row r="4372" customFormat="false" ht="15" hidden="false" customHeight="true" outlineLevel="0" collapsed="false">
      <c r="A4372" s="1" t="n">
        <v>4467</v>
      </c>
      <c r="B4372" s="1" t="n">
        <v>62</v>
      </c>
      <c r="C4372" s="1" t="n">
        <v>8</v>
      </c>
      <c r="D4372" s="1" t="s">
        <v>322</v>
      </c>
      <c r="E4372" s="1" t="n">
        <v>6</v>
      </c>
      <c r="F4372" s="1" t="n">
        <v>104.4</v>
      </c>
      <c r="G4372" s="1" t="n">
        <v>0</v>
      </c>
      <c r="H4372" s="1" t="s">
        <v>1370</v>
      </c>
      <c r="I4372" s="1" t="n">
        <v>626.4</v>
      </c>
      <c r="J4372" s="1" t="str">
        <f aca="false">VLOOKUP(B4372,Customers!$A$2:$G$502,6,FALSE())</f>
        <v>Consumer</v>
      </c>
      <c r="K4372" s="1" t="str">
        <f aca="false">VLOOKUP(C4372,Products!$A$2:$E$62,3,FALSE())</f>
        <v>Electronics</v>
      </c>
      <c r="L4372" s="1" t="str">
        <f aca="false">TEXT(D4372,"yyyy-mm")</f>
        <v>2024-02</v>
      </c>
    </row>
    <row r="4373" customFormat="false" ht="15" hidden="false" customHeight="true" outlineLevel="0" collapsed="false">
      <c r="A4373" s="1" t="n">
        <v>4468</v>
      </c>
      <c r="B4373" s="1" t="n">
        <v>313</v>
      </c>
      <c r="C4373" s="1" t="n">
        <v>20</v>
      </c>
      <c r="D4373" s="1" t="s">
        <v>1691</v>
      </c>
      <c r="E4373" s="1" t="n">
        <v>4</v>
      </c>
      <c r="F4373" s="1" t="n">
        <v>426.15</v>
      </c>
      <c r="G4373" s="1" t="n">
        <v>0.15</v>
      </c>
      <c r="H4373" s="1" t="s">
        <v>1336</v>
      </c>
      <c r="I4373" s="1" t="n">
        <v>1448.91</v>
      </c>
      <c r="J4373" s="1" t="str">
        <f aca="false">VLOOKUP(B4373,Customers!$A$2:$G$502,6,FALSE())</f>
        <v>Consumer</v>
      </c>
      <c r="K4373" s="1" t="str">
        <f aca="false">VLOOKUP(C4373,Products!$A$2:$E$62,3,FALSE())</f>
        <v>Office Supplies</v>
      </c>
      <c r="L4373" s="1" t="str">
        <f aca="false">TEXT(D4373,"yyyy-mm")</f>
        <v>2023-10</v>
      </c>
    </row>
    <row r="4374" customFormat="false" ht="15" hidden="false" customHeight="true" outlineLevel="0" collapsed="false">
      <c r="A4374" s="1" t="n">
        <v>4469</v>
      </c>
      <c r="B4374" s="1" t="n">
        <v>424</v>
      </c>
      <c r="C4374" s="1" t="n">
        <v>22</v>
      </c>
      <c r="D4374" s="1" t="s">
        <v>863</v>
      </c>
      <c r="E4374" s="1" t="n">
        <v>6</v>
      </c>
      <c r="F4374" s="1" t="n">
        <v>38.57</v>
      </c>
      <c r="G4374" s="1" t="n">
        <v>0</v>
      </c>
      <c r="H4374" s="1" t="s">
        <v>1336</v>
      </c>
      <c r="I4374" s="1" t="n">
        <v>231.42</v>
      </c>
      <c r="J4374" s="1" t="str">
        <f aca="false">VLOOKUP(B4374,Customers!$A$2:$G$502,6,FALSE())</f>
        <v>Small Business</v>
      </c>
      <c r="K4374" s="1" t="str">
        <f aca="false">VLOOKUP(C4374,Products!$A$2:$E$62,3,FALSE())</f>
        <v>Office Supplies</v>
      </c>
      <c r="L4374" s="1" t="str">
        <f aca="false">TEXT(D4374,"yyyy-mm")</f>
        <v>2023-11</v>
      </c>
    </row>
    <row r="4375" customFormat="false" ht="15" hidden="false" customHeight="true" outlineLevel="0" collapsed="false">
      <c r="A4375" s="1" t="n">
        <v>4470</v>
      </c>
      <c r="B4375" s="1" t="n">
        <v>79</v>
      </c>
      <c r="C4375" s="1" t="n">
        <v>26</v>
      </c>
      <c r="D4375" s="1" t="s">
        <v>539</v>
      </c>
      <c r="E4375" s="1" t="n">
        <v>9</v>
      </c>
      <c r="F4375" s="1" t="n">
        <v>733.85</v>
      </c>
      <c r="G4375" s="1" t="n">
        <v>0</v>
      </c>
      <c r="H4375" s="1" t="s">
        <v>1336</v>
      </c>
      <c r="I4375" s="1" t="n">
        <v>6604.65</v>
      </c>
      <c r="J4375" s="1" t="str">
        <f aca="false">VLOOKUP(B4375,Customers!$A$2:$G$502,6,FALSE())</f>
        <v>Small Business</v>
      </c>
      <c r="K4375" s="1" t="str">
        <f aca="false">VLOOKUP(C4375,Products!$A$2:$E$62,3,FALSE())</f>
        <v>Office Supplies</v>
      </c>
      <c r="L4375" s="1" t="str">
        <f aca="false">TEXT(D4375,"yyyy-mm")</f>
        <v>2024-06</v>
      </c>
    </row>
    <row r="4376" customFormat="false" ht="15" hidden="false" customHeight="true" outlineLevel="0" collapsed="false">
      <c r="A4376" s="1" t="n">
        <v>4471</v>
      </c>
      <c r="B4376" s="1" t="n">
        <v>436</v>
      </c>
      <c r="C4376" s="1" t="n">
        <v>40</v>
      </c>
      <c r="D4376" s="1" t="s">
        <v>455</v>
      </c>
      <c r="E4376" s="1" t="n">
        <v>8</v>
      </c>
      <c r="F4376" s="1" t="n">
        <v>193.02</v>
      </c>
      <c r="G4376" s="1" t="n">
        <v>0.2</v>
      </c>
      <c r="H4376" s="1" t="s">
        <v>1336</v>
      </c>
      <c r="I4376" s="1" t="n">
        <v>1235.33</v>
      </c>
      <c r="J4376" s="1" t="str">
        <f aca="false">VLOOKUP(B4376,Customers!$A$2:$G$502,6,FALSE())</f>
        <v>Corporate</v>
      </c>
      <c r="K4376" s="1" t="str">
        <f aca="false">VLOOKUP(C4376,Products!$A$2:$E$62,3,FALSE())</f>
        <v>Software</v>
      </c>
      <c r="L4376" s="1" t="str">
        <f aca="false">TEXT(D4376,"yyyy-mm")</f>
        <v>2024-08</v>
      </c>
    </row>
    <row r="4377" customFormat="false" ht="15" hidden="false" customHeight="true" outlineLevel="0" collapsed="false">
      <c r="A4377" s="1" t="n">
        <v>4472</v>
      </c>
      <c r="B4377" s="1" t="n">
        <v>69</v>
      </c>
      <c r="C4377" s="1" t="n">
        <v>13</v>
      </c>
      <c r="D4377" s="1" t="s">
        <v>1512</v>
      </c>
      <c r="E4377" s="1" t="n">
        <v>1</v>
      </c>
      <c r="F4377" s="1" t="n">
        <v>352.54</v>
      </c>
      <c r="G4377" s="1" t="n">
        <v>0.1</v>
      </c>
      <c r="H4377" s="1" t="s">
        <v>1336</v>
      </c>
      <c r="I4377" s="1" t="n">
        <v>317.29</v>
      </c>
      <c r="J4377" s="1" t="str">
        <f aca="false">VLOOKUP(B4377,Customers!$A$2:$G$502,6,FALSE())</f>
        <v>Corporate</v>
      </c>
      <c r="K4377" s="1" t="str">
        <f aca="false">VLOOKUP(C4377,Products!$A$2:$E$62,3,FALSE())</f>
        <v>Electronics</v>
      </c>
      <c r="L4377" s="1" t="str">
        <f aca="false">TEXT(D4377,"yyyy-mm")</f>
        <v>2023-12</v>
      </c>
    </row>
    <row r="4378" customFormat="false" ht="15" hidden="false" customHeight="true" outlineLevel="0" collapsed="false">
      <c r="A4378" s="1" t="n">
        <v>4473</v>
      </c>
      <c r="B4378" s="1" t="n">
        <v>106</v>
      </c>
      <c r="C4378" s="1" t="n">
        <v>43</v>
      </c>
      <c r="D4378" s="1" t="s">
        <v>1514</v>
      </c>
      <c r="E4378" s="1" t="n">
        <v>8</v>
      </c>
      <c r="F4378" s="1" t="n">
        <v>186.31</v>
      </c>
      <c r="G4378" s="1" t="n">
        <v>0</v>
      </c>
      <c r="H4378" s="1" t="s">
        <v>1336</v>
      </c>
      <c r="I4378" s="1" t="n">
        <v>1490.48</v>
      </c>
      <c r="J4378" s="1" t="str">
        <f aca="false">VLOOKUP(B4378,Customers!$A$2:$G$502,6,FALSE())</f>
        <v>Small Business</v>
      </c>
      <c r="K4378" s="1" t="str">
        <f aca="false">VLOOKUP(C4378,Products!$A$2:$E$62,3,FALSE())</f>
        <v>Software</v>
      </c>
      <c r="L4378" s="1" t="str">
        <f aca="false">TEXT(D4378,"yyyy-mm")</f>
        <v>2024-10</v>
      </c>
    </row>
    <row r="4379" customFormat="false" ht="15" hidden="false" customHeight="true" outlineLevel="0" collapsed="false">
      <c r="A4379" s="1" t="n">
        <v>4474</v>
      </c>
      <c r="B4379" s="1" t="n">
        <v>475</v>
      </c>
      <c r="C4379" s="1" t="n">
        <v>52</v>
      </c>
      <c r="D4379" s="1" t="s">
        <v>1575</v>
      </c>
      <c r="E4379" s="1" t="n">
        <v>9</v>
      </c>
      <c r="F4379" s="1" t="n">
        <v>207.67</v>
      </c>
      <c r="G4379" s="1" t="n">
        <v>0</v>
      </c>
      <c r="H4379" s="1" t="s">
        <v>1336</v>
      </c>
      <c r="I4379" s="1" t="n">
        <v>1869.03</v>
      </c>
      <c r="J4379" s="1" t="str">
        <f aca="false">VLOOKUP(B4379,Customers!$A$2:$G$502,6,FALSE())</f>
        <v>Small Business</v>
      </c>
      <c r="K4379" s="1" t="str">
        <f aca="false">VLOOKUP(C4379,Products!$A$2:$E$62,3,FALSE())</f>
        <v>Software</v>
      </c>
      <c r="L4379" s="1" t="str">
        <f aca="false">TEXT(D4379,"yyyy-mm")</f>
        <v>2024-05</v>
      </c>
    </row>
    <row r="4380" customFormat="false" ht="15" hidden="false" customHeight="true" outlineLevel="0" collapsed="false">
      <c r="A4380" s="1" t="n">
        <v>4475</v>
      </c>
      <c r="B4380" s="1" t="n">
        <v>352</v>
      </c>
      <c r="C4380" s="1" t="n">
        <v>57</v>
      </c>
      <c r="D4380" s="1" t="s">
        <v>717</v>
      </c>
      <c r="E4380" s="1" t="n">
        <v>6</v>
      </c>
      <c r="F4380" s="1" t="n">
        <v>719.76</v>
      </c>
      <c r="G4380" s="1" t="n">
        <v>0.2</v>
      </c>
      <c r="H4380" s="1" t="s">
        <v>1336</v>
      </c>
      <c r="I4380" s="1" t="n">
        <v>3454.85</v>
      </c>
      <c r="J4380" s="1" t="str">
        <f aca="false">VLOOKUP(B4380,Customers!$A$2:$G$502,6,FALSE())</f>
        <v>Corporate</v>
      </c>
      <c r="K4380" s="1" t="str">
        <f aca="false">VLOOKUP(C4380,Products!$A$2:$E$62,3,FALSE())</f>
        <v>Furniture</v>
      </c>
      <c r="L4380" s="1" t="str">
        <f aca="false">TEXT(D4380,"yyyy-mm")</f>
        <v>2024-10</v>
      </c>
    </row>
    <row r="4381" customFormat="false" ht="15" hidden="false" customHeight="true" outlineLevel="0" collapsed="false">
      <c r="A4381" s="1" t="n">
        <v>4476</v>
      </c>
      <c r="B4381" s="1" t="n">
        <v>151</v>
      </c>
      <c r="C4381" s="1" t="n">
        <v>59</v>
      </c>
      <c r="D4381" s="1" t="s">
        <v>124</v>
      </c>
      <c r="E4381" s="1" t="n">
        <v>5</v>
      </c>
      <c r="F4381" s="1" t="n">
        <v>438.89</v>
      </c>
      <c r="G4381" s="1" t="n">
        <v>0</v>
      </c>
      <c r="H4381" s="1" t="s">
        <v>1336</v>
      </c>
      <c r="I4381" s="1" t="n">
        <v>2194.45</v>
      </c>
      <c r="J4381" s="1" t="str">
        <f aca="false">VLOOKUP(B4381,Customers!$A$2:$G$502,6,FALSE())</f>
        <v>Small Business</v>
      </c>
      <c r="K4381" s="1" t="str">
        <f aca="false">VLOOKUP(C4381,Products!$A$2:$E$62,3,FALSE())</f>
        <v>Furniture</v>
      </c>
      <c r="L4381" s="1" t="str">
        <f aca="false">TEXT(D4381,"yyyy-mm")</f>
        <v>2023-05</v>
      </c>
    </row>
    <row r="4382" customFormat="false" ht="15" hidden="false" customHeight="true" outlineLevel="0" collapsed="false">
      <c r="A4382" s="1" t="n">
        <v>4477</v>
      </c>
      <c r="B4382" s="1" t="n">
        <v>130</v>
      </c>
      <c r="C4382" s="1" t="n">
        <v>19</v>
      </c>
      <c r="D4382" s="1" t="s">
        <v>1614</v>
      </c>
      <c r="E4382" s="1" t="n">
        <v>6</v>
      </c>
      <c r="F4382" s="1" t="n">
        <v>163.64</v>
      </c>
      <c r="G4382" s="1" t="n">
        <v>0.1</v>
      </c>
      <c r="H4382" s="1" t="s">
        <v>1336</v>
      </c>
      <c r="I4382" s="1" t="n">
        <v>883.66</v>
      </c>
      <c r="J4382" s="1" t="str">
        <f aca="false">VLOOKUP(B4382,Customers!$A$2:$G$502,6,FALSE())</f>
        <v>Consumer</v>
      </c>
      <c r="K4382" s="1" t="str">
        <f aca="false">VLOOKUP(C4382,Products!$A$2:$E$62,3,FALSE())</f>
        <v>Office Supplies</v>
      </c>
      <c r="L4382" s="1" t="str">
        <f aca="false">TEXT(D4382,"yyyy-mm")</f>
        <v>2023-10</v>
      </c>
    </row>
    <row r="4383" customFormat="false" ht="15" hidden="false" customHeight="true" outlineLevel="0" collapsed="false">
      <c r="A4383" s="1" t="n">
        <v>4478</v>
      </c>
      <c r="B4383" s="1" t="n">
        <v>145</v>
      </c>
      <c r="C4383" s="1" t="n">
        <v>52</v>
      </c>
      <c r="D4383" s="1" t="s">
        <v>742</v>
      </c>
      <c r="E4383" s="1" t="n">
        <v>6</v>
      </c>
      <c r="F4383" s="1" t="n">
        <v>207.67</v>
      </c>
      <c r="G4383" s="1" t="n">
        <v>0</v>
      </c>
      <c r="H4383" s="1" t="s">
        <v>1336</v>
      </c>
      <c r="I4383" s="1" t="n">
        <v>1246.02</v>
      </c>
      <c r="J4383" s="1" t="str">
        <f aca="false">VLOOKUP(B4383,Customers!$A$2:$G$502,6,FALSE())</f>
        <v>Corporate</v>
      </c>
      <c r="K4383" s="1" t="str">
        <f aca="false">VLOOKUP(C4383,Products!$A$2:$E$62,3,FALSE())</f>
        <v>Software</v>
      </c>
      <c r="L4383" s="1" t="str">
        <f aca="false">TEXT(D4383,"yyyy-mm")</f>
        <v>2023-02</v>
      </c>
    </row>
    <row r="4384" customFormat="false" ht="15" hidden="false" customHeight="true" outlineLevel="0" collapsed="false">
      <c r="A4384" s="1" t="n">
        <v>4479</v>
      </c>
      <c r="B4384" s="1" t="n">
        <v>70</v>
      </c>
      <c r="C4384" s="1" t="n">
        <v>25</v>
      </c>
      <c r="D4384" s="1" t="s">
        <v>269</v>
      </c>
      <c r="E4384" s="1" t="n">
        <v>9</v>
      </c>
      <c r="F4384" s="1" t="n">
        <v>300.49</v>
      </c>
      <c r="G4384" s="1" t="n">
        <v>0.1</v>
      </c>
      <c r="H4384" s="1" t="s">
        <v>1336</v>
      </c>
      <c r="I4384" s="1" t="n">
        <v>2433.97</v>
      </c>
      <c r="J4384" s="1" t="str">
        <f aca="false">VLOOKUP(B4384,Customers!$A$2:$G$502,6,FALSE())</f>
        <v>Corporate</v>
      </c>
      <c r="K4384" s="1" t="str">
        <f aca="false">VLOOKUP(C4384,Products!$A$2:$E$62,3,FALSE())</f>
        <v>Office Supplies</v>
      </c>
      <c r="L4384" s="1" t="str">
        <f aca="false">TEXT(D4384,"yyyy-mm")</f>
        <v>2023-11</v>
      </c>
    </row>
    <row r="4385" customFormat="false" ht="15" hidden="false" customHeight="true" outlineLevel="0" collapsed="false">
      <c r="A4385" s="1" t="n">
        <v>4480</v>
      </c>
      <c r="B4385" s="1" t="n">
        <v>187</v>
      </c>
      <c r="C4385" s="1" t="n">
        <v>52</v>
      </c>
      <c r="D4385" s="1" t="s">
        <v>1386</v>
      </c>
      <c r="E4385" s="1" t="n">
        <v>4</v>
      </c>
      <c r="F4385" s="1" t="n">
        <v>207.67</v>
      </c>
      <c r="G4385" s="1" t="n">
        <v>0.05</v>
      </c>
      <c r="H4385" s="1" t="s">
        <v>1336</v>
      </c>
      <c r="I4385" s="1" t="n">
        <v>789.15</v>
      </c>
      <c r="J4385" s="1" t="str">
        <f aca="false">VLOOKUP(B4385,Customers!$A$2:$G$502,6,FALSE())</f>
        <v>Consumer</v>
      </c>
      <c r="K4385" s="1" t="str">
        <f aca="false">VLOOKUP(C4385,Products!$A$2:$E$62,3,FALSE())</f>
        <v>Software</v>
      </c>
      <c r="L4385" s="1" t="str">
        <f aca="false">TEXT(D4385,"yyyy-mm")</f>
        <v>2023-08</v>
      </c>
    </row>
    <row r="4386" customFormat="false" ht="15" hidden="false" customHeight="true" outlineLevel="0" collapsed="false">
      <c r="A4386" s="1" t="n">
        <v>4481</v>
      </c>
      <c r="B4386" s="1" t="n">
        <v>181</v>
      </c>
      <c r="C4386" s="1" t="n">
        <v>58</v>
      </c>
      <c r="D4386" s="1" t="s">
        <v>103</v>
      </c>
      <c r="E4386" s="1" t="n">
        <v>2</v>
      </c>
      <c r="F4386" s="1" t="n">
        <v>515.55</v>
      </c>
      <c r="G4386" s="1" t="n">
        <v>0</v>
      </c>
      <c r="H4386" s="1" t="s">
        <v>1336</v>
      </c>
      <c r="I4386" s="1" t="n">
        <v>1031.1</v>
      </c>
      <c r="J4386" s="1" t="str">
        <f aca="false">VLOOKUP(B4386,Customers!$A$2:$G$502,6,FALSE())</f>
        <v>Small Business</v>
      </c>
      <c r="K4386" s="1" t="str">
        <f aca="false">VLOOKUP(C4386,Products!$A$2:$E$62,3,FALSE())</f>
        <v>Furniture</v>
      </c>
      <c r="L4386" s="1" t="str">
        <f aca="false">TEXT(D4386,"yyyy-mm")</f>
        <v>2024-10</v>
      </c>
    </row>
    <row r="4387" customFormat="false" ht="15" hidden="false" customHeight="true" outlineLevel="0" collapsed="false">
      <c r="A4387" s="1" t="n">
        <v>4482</v>
      </c>
      <c r="B4387" s="1" t="n">
        <v>63</v>
      </c>
      <c r="C4387" s="1" t="n">
        <v>2</v>
      </c>
      <c r="D4387" s="1" t="s">
        <v>1695</v>
      </c>
      <c r="E4387" s="1" t="n">
        <v>9</v>
      </c>
      <c r="F4387" s="1" t="n">
        <v>498.15</v>
      </c>
      <c r="G4387" s="1" t="n">
        <v>0</v>
      </c>
      <c r="H4387" s="1" t="s">
        <v>1336</v>
      </c>
      <c r="I4387" s="1" t="n">
        <v>4483.35</v>
      </c>
      <c r="J4387" s="1" t="str">
        <f aca="false">VLOOKUP(B4387,Customers!$A$2:$G$502,6,FALSE())</f>
        <v>Consumer</v>
      </c>
      <c r="K4387" s="1" t="str">
        <f aca="false">VLOOKUP(C4387,Products!$A$2:$E$62,3,FALSE())</f>
        <v>Electronics</v>
      </c>
      <c r="L4387" s="1" t="str">
        <f aca="false">TEXT(D4387,"yyyy-mm")</f>
        <v>2023-09</v>
      </c>
    </row>
    <row r="4388" customFormat="false" ht="15" hidden="false" customHeight="true" outlineLevel="0" collapsed="false">
      <c r="A4388" s="1" t="n">
        <v>4483</v>
      </c>
      <c r="B4388" s="1" t="n">
        <v>375</v>
      </c>
      <c r="C4388" s="1" t="n">
        <v>13</v>
      </c>
      <c r="D4388" s="1" t="s">
        <v>1616</v>
      </c>
      <c r="E4388" s="1" t="n">
        <v>2</v>
      </c>
      <c r="F4388" s="1" t="n">
        <v>352.54</v>
      </c>
      <c r="G4388" s="1" t="n">
        <v>0.05</v>
      </c>
      <c r="H4388" s="1" t="s">
        <v>1336</v>
      </c>
      <c r="I4388" s="1" t="n">
        <v>669.83</v>
      </c>
      <c r="J4388" s="1" t="str">
        <f aca="false">VLOOKUP(B4388,Customers!$A$2:$G$502,6,FALSE())</f>
        <v>Consumer</v>
      </c>
      <c r="K4388" s="1" t="str">
        <f aca="false">VLOOKUP(C4388,Products!$A$2:$E$62,3,FALSE())</f>
        <v>Electronics</v>
      </c>
      <c r="L4388" s="1" t="str">
        <f aca="false">TEXT(D4388,"yyyy-mm")</f>
        <v>2024-09</v>
      </c>
    </row>
    <row r="4389" customFormat="false" ht="15" hidden="false" customHeight="true" outlineLevel="0" collapsed="false">
      <c r="A4389" s="1" t="n">
        <v>4484</v>
      </c>
      <c r="B4389" s="1" t="n">
        <v>315</v>
      </c>
      <c r="C4389" s="1" t="n">
        <v>55</v>
      </c>
      <c r="D4389" s="1" t="s">
        <v>1273</v>
      </c>
      <c r="E4389" s="1" t="n">
        <v>9</v>
      </c>
      <c r="F4389" s="1" t="n">
        <v>123.38</v>
      </c>
      <c r="G4389" s="1" t="n">
        <v>0</v>
      </c>
      <c r="H4389" s="1" t="s">
        <v>1336</v>
      </c>
      <c r="I4389" s="1" t="n">
        <v>1110.42</v>
      </c>
      <c r="J4389" s="1" t="str">
        <f aca="false">VLOOKUP(B4389,Customers!$A$2:$G$502,6,FALSE())</f>
        <v>Consumer</v>
      </c>
      <c r="K4389" s="1" t="str">
        <f aca="false">VLOOKUP(C4389,Products!$A$2:$E$62,3,FALSE())</f>
        <v>Furniture</v>
      </c>
      <c r="L4389" s="1" t="str">
        <f aca="false">TEXT(D4389,"yyyy-mm")</f>
        <v>2023-08</v>
      </c>
    </row>
    <row r="4390" customFormat="false" ht="15" hidden="false" customHeight="true" outlineLevel="0" collapsed="false">
      <c r="A4390" s="1" t="n">
        <v>4485</v>
      </c>
      <c r="B4390" s="1" t="n">
        <v>74</v>
      </c>
      <c r="C4390" s="1" t="n">
        <v>26</v>
      </c>
      <c r="D4390" s="1" t="s">
        <v>1344</v>
      </c>
      <c r="E4390" s="1" t="n">
        <v>2</v>
      </c>
      <c r="F4390" s="1" t="n">
        <v>733.85</v>
      </c>
      <c r="G4390" s="1" t="n">
        <v>0</v>
      </c>
      <c r="H4390" s="1" t="s">
        <v>1336</v>
      </c>
      <c r="I4390" s="1" t="n">
        <v>1467.7</v>
      </c>
      <c r="J4390" s="1" t="str">
        <f aca="false">VLOOKUP(B4390,Customers!$A$2:$G$502,6,FALSE())</f>
        <v>Consumer</v>
      </c>
      <c r="K4390" s="1" t="str">
        <f aca="false">VLOOKUP(C4390,Products!$A$2:$E$62,3,FALSE())</f>
        <v>Office Supplies</v>
      </c>
      <c r="L4390" s="1" t="str">
        <f aca="false">TEXT(D4390,"yyyy-mm")</f>
        <v>2023-05</v>
      </c>
    </row>
    <row r="4391" customFormat="false" ht="15" hidden="false" customHeight="true" outlineLevel="0" collapsed="false">
      <c r="A4391" s="1" t="n">
        <v>4486</v>
      </c>
      <c r="B4391" s="1" t="n">
        <v>104</v>
      </c>
      <c r="C4391" s="1" t="n">
        <v>8</v>
      </c>
      <c r="D4391" s="1" t="s">
        <v>1223</v>
      </c>
      <c r="E4391" s="1" t="n">
        <v>8</v>
      </c>
      <c r="F4391" s="1" t="n">
        <v>104.4</v>
      </c>
      <c r="G4391" s="1" t="n">
        <v>0.05</v>
      </c>
      <c r="H4391" s="1" t="s">
        <v>1336</v>
      </c>
      <c r="I4391" s="1" t="n">
        <v>793.44</v>
      </c>
      <c r="J4391" s="1" t="str">
        <f aca="false">VLOOKUP(B4391,Customers!$A$2:$G$502,6,FALSE())</f>
        <v>Corporate</v>
      </c>
      <c r="K4391" s="1" t="str">
        <f aca="false">VLOOKUP(C4391,Products!$A$2:$E$62,3,FALSE())</f>
        <v>Electronics</v>
      </c>
      <c r="L4391" s="1" t="str">
        <f aca="false">TEXT(D4391,"yyyy-mm")</f>
        <v>2024-12</v>
      </c>
    </row>
    <row r="4392" customFormat="false" ht="15" hidden="false" customHeight="true" outlineLevel="0" collapsed="false">
      <c r="A4392" s="1" t="n">
        <v>4487</v>
      </c>
      <c r="B4392" s="1" t="n">
        <v>119</v>
      </c>
      <c r="C4392" s="1" t="n">
        <v>48</v>
      </c>
      <c r="D4392" s="1" t="s">
        <v>856</v>
      </c>
      <c r="E4392" s="1" t="n">
        <v>9</v>
      </c>
      <c r="F4392" s="1" t="n">
        <v>493.53</v>
      </c>
      <c r="G4392" s="1" t="n">
        <v>0.15</v>
      </c>
      <c r="H4392" s="1" t="s">
        <v>1336</v>
      </c>
      <c r="I4392" s="1" t="n">
        <v>3775.5</v>
      </c>
      <c r="J4392" s="1" t="str">
        <f aca="false">VLOOKUP(B4392,Customers!$A$2:$G$502,6,FALSE())</f>
        <v>Small Business</v>
      </c>
      <c r="K4392" s="1" t="str">
        <f aca="false">VLOOKUP(C4392,Products!$A$2:$E$62,3,FALSE())</f>
        <v>Software</v>
      </c>
      <c r="L4392" s="1" t="str">
        <f aca="false">TEXT(D4392,"yyyy-mm")</f>
        <v>2024-11</v>
      </c>
    </row>
    <row r="4393" customFormat="false" ht="15" hidden="false" customHeight="true" outlineLevel="0" collapsed="false">
      <c r="A4393" s="1" t="n">
        <v>4488</v>
      </c>
      <c r="B4393" s="1" t="n">
        <v>479</v>
      </c>
      <c r="C4393" s="1" t="n">
        <v>34</v>
      </c>
      <c r="D4393" s="1" t="s">
        <v>1628</v>
      </c>
      <c r="E4393" s="1" t="n">
        <v>9</v>
      </c>
      <c r="F4393" s="1" t="n">
        <v>116.85</v>
      </c>
      <c r="G4393" s="1" t="n">
        <v>0</v>
      </c>
      <c r="H4393" s="1" t="s">
        <v>1346</v>
      </c>
      <c r="I4393" s="1" t="n">
        <v>1051.65</v>
      </c>
      <c r="J4393" s="1" t="str">
        <f aca="false">VLOOKUP(B4393,Customers!$A$2:$G$502,6,FALSE())</f>
        <v>Small Business</v>
      </c>
      <c r="K4393" s="1" t="str">
        <f aca="false">VLOOKUP(C4393,Products!$A$2:$E$62,3,FALSE())</f>
        <v>Office Supplies</v>
      </c>
      <c r="L4393" s="1" t="str">
        <f aca="false">TEXT(D4393,"yyyy-mm")</f>
        <v>2023-09</v>
      </c>
    </row>
    <row r="4394" customFormat="false" ht="15" hidden="false" customHeight="true" outlineLevel="0" collapsed="false">
      <c r="A4394" s="1" t="n">
        <v>4489</v>
      </c>
      <c r="B4394" s="1" t="n">
        <v>474</v>
      </c>
      <c r="C4394" s="1" t="n">
        <v>16</v>
      </c>
      <c r="D4394" s="1" t="s">
        <v>1390</v>
      </c>
      <c r="E4394" s="1" t="n">
        <v>9</v>
      </c>
      <c r="F4394" s="1" t="n">
        <v>330.91</v>
      </c>
      <c r="G4394" s="1" t="n">
        <v>0</v>
      </c>
      <c r="H4394" s="1" t="s">
        <v>1336</v>
      </c>
      <c r="I4394" s="1" t="n">
        <v>2978.19</v>
      </c>
      <c r="J4394" s="1" t="str">
        <f aca="false">VLOOKUP(B4394,Customers!$A$2:$G$502,6,FALSE())</f>
        <v>Consumer</v>
      </c>
      <c r="K4394" s="1" t="str">
        <f aca="false">VLOOKUP(C4394,Products!$A$2:$E$62,3,FALSE())</f>
        <v>Electronics</v>
      </c>
      <c r="L4394" s="1" t="str">
        <f aca="false">TEXT(D4394,"yyyy-mm")</f>
        <v>2024-03</v>
      </c>
    </row>
    <row r="4395" customFormat="false" ht="15" hidden="false" customHeight="true" outlineLevel="0" collapsed="false">
      <c r="A4395" s="1" t="n">
        <v>4490</v>
      </c>
      <c r="B4395" s="1" t="n">
        <v>372</v>
      </c>
      <c r="C4395" s="1" t="n">
        <v>17</v>
      </c>
      <c r="D4395" s="1" t="s">
        <v>208</v>
      </c>
      <c r="E4395" s="1" t="n">
        <v>2</v>
      </c>
      <c r="F4395" s="1" t="n">
        <v>65.61</v>
      </c>
      <c r="G4395" s="1" t="n">
        <v>0.2</v>
      </c>
      <c r="H4395" s="1" t="s">
        <v>1336</v>
      </c>
      <c r="I4395" s="1" t="n">
        <v>104.98</v>
      </c>
      <c r="J4395" s="1" t="str">
        <f aca="false">VLOOKUP(B4395,Customers!$A$2:$G$502,6,FALSE())</f>
        <v>Corporate</v>
      </c>
      <c r="K4395" s="1" t="str">
        <f aca="false">VLOOKUP(C4395,Products!$A$2:$E$62,3,FALSE())</f>
        <v>Electronics</v>
      </c>
      <c r="L4395" s="1" t="str">
        <f aca="false">TEXT(D4395,"yyyy-mm")</f>
        <v>2023-12</v>
      </c>
    </row>
    <row r="4396" customFormat="false" ht="15" hidden="false" customHeight="true" outlineLevel="0" collapsed="false">
      <c r="A4396" s="1" t="n">
        <v>4491</v>
      </c>
      <c r="B4396" s="1" t="n">
        <v>182</v>
      </c>
      <c r="C4396" s="1" t="n">
        <v>54</v>
      </c>
      <c r="D4396" s="1" t="s">
        <v>1620</v>
      </c>
      <c r="E4396" s="1" t="n">
        <v>4</v>
      </c>
      <c r="F4396" s="1" t="n">
        <v>312.01</v>
      </c>
      <c r="G4396" s="1" t="n">
        <v>0.15</v>
      </c>
      <c r="H4396" s="1" t="s">
        <v>1336</v>
      </c>
      <c r="I4396" s="1" t="n">
        <v>1060.83</v>
      </c>
      <c r="J4396" s="1" t="str">
        <f aca="false">VLOOKUP(B4396,Customers!$A$2:$G$502,6,FALSE())</f>
        <v>Unknown</v>
      </c>
      <c r="K4396" s="1" t="str">
        <f aca="false">VLOOKUP(C4396,Products!$A$2:$E$62,3,FALSE())</f>
        <v>Software</v>
      </c>
      <c r="L4396" s="1" t="str">
        <f aca="false">TEXT(D4396,"yyyy-mm")</f>
        <v>2024-04</v>
      </c>
    </row>
    <row r="4397" customFormat="false" ht="15" hidden="false" customHeight="true" outlineLevel="0" collapsed="false">
      <c r="A4397" s="1" t="n">
        <v>4492</v>
      </c>
      <c r="B4397" s="1" t="n">
        <v>56</v>
      </c>
      <c r="C4397" s="1" t="n">
        <v>32</v>
      </c>
      <c r="D4397" s="1" t="s">
        <v>303</v>
      </c>
      <c r="E4397" s="1" t="n">
        <v>7</v>
      </c>
      <c r="F4397" s="1" t="n">
        <v>492.27</v>
      </c>
      <c r="G4397" s="1" t="n">
        <v>0.2</v>
      </c>
      <c r="H4397" s="1" t="s">
        <v>1336</v>
      </c>
      <c r="I4397" s="1" t="n">
        <v>2756.71</v>
      </c>
      <c r="J4397" s="1" t="str">
        <f aca="false">VLOOKUP(B4397,Customers!$A$2:$G$502,6,FALSE())</f>
        <v>Corporate</v>
      </c>
      <c r="K4397" s="1" t="str">
        <f aca="false">VLOOKUP(C4397,Products!$A$2:$E$62,3,FALSE())</f>
        <v>Office Supplies</v>
      </c>
      <c r="L4397" s="1" t="str">
        <f aca="false">TEXT(D4397,"yyyy-mm")</f>
        <v>2024-12</v>
      </c>
    </row>
    <row r="4398" customFormat="false" ht="15" hidden="false" customHeight="true" outlineLevel="0" collapsed="false">
      <c r="A4398" s="1" t="n">
        <v>4493</v>
      </c>
      <c r="B4398" s="1" t="n">
        <v>374</v>
      </c>
      <c r="C4398" s="1" t="n">
        <v>7</v>
      </c>
      <c r="D4398" s="1" t="s">
        <v>1652</v>
      </c>
      <c r="E4398" s="1" t="n">
        <v>2</v>
      </c>
      <c r="F4398" s="1" t="n">
        <v>460</v>
      </c>
      <c r="G4398" s="1" t="n">
        <v>0</v>
      </c>
      <c r="H4398" s="1" t="s">
        <v>1336</v>
      </c>
      <c r="I4398" s="1" t="n">
        <v>920</v>
      </c>
      <c r="J4398" s="1" t="str">
        <f aca="false">VLOOKUP(B4398,Customers!$A$2:$G$502,6,FALSE())</f>
        <v>Consumer</v>
      </c>
      <c r="K4398" s="1" t="str">
        <f aca="false">VLOOKUP(C4398,Products!$A$2:$E$62,3,FALSE())</f>
        <v>Electronics</v>
      </c>
      <c r="L4398" s="1" t="str">
        <f aca="false">TEXT(D4398,"yyyy-mm")</f>
        <v>2024-06</v>
      </c>
    </row>
    <row r="4399" customFormat="false" ht="15" hidden="false" customHeight="true" outlineLevel="0" collapsed="false">
      <c r="A4399" s="1" t="n">
        <v>4494</v>
      </c>
      <c r="B4399" s="1" t="n">
        <v>83</v>
      </c>
      <c r="C4399" s="1" t="n">
        <v>14</v>
      </c>
      <c r="D4399" s="1" t="s">
        <v>1563</v>
      </c>
      <c r="E4399" s="1" t="n">
        <v>1</v>
      </c>
      <c r="F4399" s="1" t="n">
        <v>135.27</v>
      </c>
      <c r="G4399" s="1" t="n">
        <v>0</v>
      </c>
      <c r="H4399" s="1" t="s">
        <v>1336</v>
      </c>
      <c r="I4399" s="1" t="n">
        <v>135.27</v>
      </c>
      <c r="J4399" s="1" t="str">
        <f aca="false">VLOOKUP(B4399,Customers!$A$2:$G$502,6,FALSE())</f>
        <v>Corporate</v>
      </c>
      <c r="K4399" s="1" t="str">
        <f aca="false">VLOOKUP(C4399,Products!$A$2:$E$62,3,FALSE())</f>
        <v>Electronics</v>
      </c>
      <c r="L4399" s="1" t="str">
        <f aca="false">TEXT(D4399,"yyyy-mm")</f>
        <v>2024-09</v>
      </c>
    </row>
    <row r="4400" customFormat="false" ht="15" hidden="false" customHeight="true" outlineLevel="0" collapsed="false">
      <c r="A4400" s="1" t="n">
        <v>4495</v>
      </c>
      <c r="B4400" s="1" t="n">
        <v>237</v>
      </c>
      <c r="C4400" s="1" t="n">
        <v>27</v>
      </c>
      <c r="D4400" s="1" t="s">
        <v>1581</v>
      </c>
      <c r="E4400" s="1" t="n">
        <v>3</v>
      </c>
      <c r="F4400" s="1" t="n">
        <v>772.58</v>
      </c>
      <c r="G4400" s="1" t="n">
        <v>0.15</v>
      </c>
      <c r="H4400" s="1" t="s">
        <v>1336</v>
      </c>
      <c r="I4400" s="1" t="n">
        <v>1970.08</v>
      </c>
      <c r="J4400" s="1" t="str">
        <f aca="false">VLOOKUP(B4400,Customers!$A$2:$G$502,6,FALSE())</f>
        <v>Consumer</v>
      </c>
      <c r="K4400" s="1" t="str">
        <f aca="false">VLOOKUP(C4400,Products!$A$2:$E$62,3,FALSE())</f>
        <v>Office Supplies</v>
      </c>
      <c r="L4400" s="1" t="str">
        <f aca="false">TEXT(D4400,"yyyy-mm")</f>
        <v>2023-10</v>
      </c>
    </row>
    <row r="4401" customFormat="false" ht="15" hidden="false" customHeight="true" outlineLevel="0" collapsed="false">
      <c r="A4401" s="1" t="n">
        <v>4496</v>
      </c>
      <c r="B4401" s="1" t="n">
        <v>473</v>
      </c>
      <c r="C4401" s="1" t="n">
        <v>25</v>
      </c>
      <c r="D4401" s="1" t="s">
        <v>208</v>
      </c>
      <c r="E4401" s="1" t="n">
        <v>4</v>
      </c>
      <c r="F4401" s="1" t="n">
        <v>300.49</v>
      </c>
      <c r="G4401" s="1" t="n">
        <v>0.15</v>
      </c>
      <c r="H4401" s="1" t="s">
        <v>1336</v>
      </c>
      <c r="I4401" s="1" t="n">
        <v>1021.67</v>
      </c>
      <c r="J4401" s="1" t="str">
        <f aca="false">VLOOKUP(B4401,Customers!$A$2:$G$502,6,FALSE())</f>
        <v>Small Business</v>
      </c>
      <c r="K4401" s="1" t="str">
        <f aca="false">VLOOKUP(C4401,Products!$A$2:$E$62,3,FALSE())</f>
        <v>Office Supplies</v>
      </c>
      <c r="L4401" s="1" t="str">
        <f aca="false">TEXT(D4401,"yyyy-mm")</f>
        <v>2023-12</v>
      </c>
    </row>
    <row r="4402" customFormat="false" ht="15" hidden="false" customHeight="true" outlineLevel="0" collapsed="false">
      <c r="A4402" s="1" t="n">
        <v>4497</v>
      </c>
      <c r="B4402" s="1" t="n">
        <v>41</v>
      </c>
      <c r="C4402" s="1" t="n">
        <v>8</v>
      </c>
      <c r="D4402" s="1" t="s">
        <v>503</v>
      </c>
      <c r="E4402" s="1" t="n">
        <v>8</v>
      </c>
      <c r="F4402" s="1" t="n">
        <v>104.4</v>
      </c>
      <c r="G4402" s="1" t="n">
        <v>0</v>
      </c>
      <c r="H4402" s="1" t="s">
        <v>1336</v>
      </c>
      <c r="I4402" s="1" t="n">
        <v>835.2</v>
      </c>
      <c r="J4402" s="1" t="str">
        <f aca="false">VLOOKUP(B4402,Customers!$A$2:$G$502,6,FALSE())</f>
        <v>Corporate</v>
      </c>
      <c r="K4402" s="1" t="str">
        <f aca="false">VLOOKUP(C4402,Products!$A$2:$E$62,3,FALSE())</f>
        <v>Electronics</v>
      </c>
      <c r="L4402" s="1" t="str">
        <f aca="false">TEXT(D4402,"yyyy-mm")</f>
        <v>2023-01</v>
      </c>
    </row>
    <row r="4403" customFormat="false" ht="15" hidden="false" customHeight="true" outlineLevel="0" collapsed="false">
      <c r="A4403" s="1" t="n">
        <v>4498</v>
      </c>
      <c r="B4403" s="1" t="n">
        <v>368</v>
      </c>
      <c r="C4403" s="1" t="n">
        <v>39</v>
      </c>
      <c r="D4403" s="1" t="s">
        <v>73</v>
      </c>
      <c r="E4403" s="1" t="n">
        <v>6</v>
      </c>
      <c r="F4403" s="1" t="n">
        <v>400.02</v>
      </c>
      <c r="G4403" s="1" t="n">
        <v>0</v>
      </c>
      <c r="H4403" s="1" t="s">
        <v>1336</v>
      </c>
      <c r="I4403" s="1" t="n">
        <v>2400.12</v>
      </c>
      <c r="J4403" s="1" t="str">
        <f aca="false">VLOOKUP(B4403,Customers!$A$2:$G$502,6,FALSE())</f>
        <v>Corporate</v>
      </c>
      <c r="K4403" s="1" t="str">
        <f aca="false">VLOOKUP(C4403,Products!$A$2:$E$62,3,FALSE())</f>
        <v>Software</v>
      </c>
      <c r="L4403" s="1" t="str">
        <f aca="false">TEXT(D4403,"yyyy-mm")</f>
        <v>2023-06</v>
      </c>
    </row>
    <row r="4404" customFormat="false" ht="15" hidden="false" customHeight="true" outlineLevel="0" collapsed="false">
      <c r="A4404" s="1" t="n">
        <v>4499</v>
      </c>
      <c r="B4404" s="1" t="n">
        <v>183</v>
      </c>
      <c r="C4404" s="1" t="n">
        <v>11</v>
      </c>
      <c r="D4404" s="1" t="s">
        <v>659</v>
      </c>
      <c r="E4404" s="1" t="n">
        <v>2</v>
      </c>
      <c r="F4404" s="1" t="n">
        <v>328.39</v>
      </c>
      <c r="G4404" s="1" t="n">
        <v>0.15</v>
      </c>
      <c r="H4404" s="1" t="s">
        <v>1370</v>
      </c>
      <c r="I4404" s="1" t="n">
        <v>558.26</v>
      </c>
      <c r="J4404" s="1" t="str">
        <f aca="false">VLOOKUP(B4404,Customers!$A$2:$G$502,6,FALSE())</f>
        <v>Corporate</v>
      </c>
      <c r="K4404" s="1" t="str">
        <f aca="false">VLOOKUP(C4404,Products!$A$2:$E$62,3,FALSE())</f>
        <v>Electronics</v>
      </c>
      <c r="L4404" s="1" t="str">
        <f aca="false">TEXT(D4404,"yyyy-mm")</f>
        <v>2024-06</v>
      </c>
    </row>
    <row r="4405" customFormat="false" ht="15" hidden="false" customHeight="true" outlineLevel="0" collapsed="false">
      <c r="A4405" s="1" t="n">
        <v>4500</v>
      </c>
      <c r="B4405" s="1" t="n">
        <v>247</v>
      </c>
      <c r="C4405" s="1" t="n">
        <v>51</v>
      </c>
      <c r="D4405" s="1" t="s">
        <v>1397</v>
      </c>
      <c r="E4405" s="1" t="n">
        <v>9</v>
      </c>
      <c r="F4405" s="1" t="n">
        <v>30.16</v>
      </c>
      <c r="G4405" s="1" t="n">
        <v>0</v>
      </c>
      <c r="H4405" s="1" t="s">
        <v>1336</v>
      </c>
      <c r="I4405" s="1" t="n">
        <v>271.44</v>
      </c>
      <c r="J4405" s="1" t="str">
        <f aca="false">VLOOKUP(B4405,Customers!$A$2:$G$502,6,FALSE())</f>
        <v>Small Business</v>
      </c>
      <c r="K4405" s="1" t="str">
        <f aca="false">VLOOKUP(C4405,Products!$A$2:$E$62,3,FALSE())</f>
        <v>Software</v>
      </c>
      <c r="L4405" s="1" t="str">
        <f aca="false">TEXT(D4405,"yyyy-mm")</f>
        <v>2023-10</v>
      </c>
    </row>
    <row r="4406" customFormat="false" ht="15" hidden="false" customHeight="true" outlineLevel="0" collapsed="false">
      <c r="A4406" s="1" t="n">
        <v>4501</v>
      </c>
      <c r="B4406" s="1" t="n">
        <v>386</v>
      </c>
      <c r="C4406" s="1" t="n">
        <v>15</v>
      </c>
      <c r="D4406" s="1" t="s">
        <v>653</v>
      </c>
      <c r="E4406" s="1" t="n">
        <v>2</v>
      </c>
      <c r="F4406" s="1" t="n">
        <v>304.95</v>
      </c>
      <c r="G4406" s="1" t="n">
        <v>0.05</v>
      </c>
      <c r="H4406" s="1" t="s">
        <v>1336</v>
      </c>
      <c r="I4406" s="1" t="n">
        <v>579.4</v>
      </c>
      <c r="J4406" s="1" t="str">
        <f aca="false">VLOOKUP(B4406,Customers!$A$2:$G$502,6,FALSE())</f>
        <v>Consumer</v>
      </c>
      <c r="K4406" s="1" t="str">
        <f aca="false">VLOOKUP(C4406,Products!$A$2:$E$62,3,FALSE())</f>
        <v>Electronics</v>
      </c>
      <c r="L4406" s="1" t="str">
        <f aca="false">TEXT(D4406,"yyyy-mm")</f>
        <v>2024-10</v>
      </c>
    </row>
    <row r="4407" customFormat="false" ht="15" hidden="false" customHeight="true" outlineLevel="0" collapsed="false">
      <c r="A4407" s="1" t="n">
        <v>4502</v>
      </c>
      <c r="B4407" s="1" t="n">
        <v>111</v>
      </c>
      <c r="C4407" s="1" t="n">
        <v>39</v>
      </c>
      <c r="D4407" s="1" t="s">
        <v>1114</v>
      </c>
      <c r="E4407" s="1" t="n">
        <v>5</v>
      </c>
      <c r="F4407" s="1" t="n">
        <v>400.02</v>
      </c>
      <c r="G4407" s="1" t="n">
        <v>0.2</v>
      </c>
      <c r="H4407" s="1" t="s">
        <v>1336</v>
      </c>
      <c r="I4407" s="1" t="n">
        <v>1600.08</v>
      </c>
      <c r="J4407" s="1" t="str">
        <f aca="false">VLOOKUP(B4407,Customers!$A$2:$G$502,6,FALSE())</f>
        <v>Small Business</v>
      </c>
      <c r="K4407" s="1" t="str">
        <f aca="false">VLOOKUP(C4407,Products!$A$2:$E$62,3,FALSE())</f>
        <v>Software</v>
      </c>
      <c r="L4407" s="1" t="str">
        <f aca="false">TEXT(D4407,"yyyy-mm")</f>
        <v>2024-03</v>
      </c>
    </row>
    <row r="4408" customFormat="false" ht="15" hidden="false" customHeight="true" outlineLevel="0" collapsed="false">
      <c r="A4408" s="1" t="n">
        <v>4503</v>
      </c>
      <c r="B4408" s="1" t="n">
        <v>22</v>
      </c>
      <c r="C4408" s="1" t="n">
        <v>1</v>
      </c>
      <c r="D4408" s="1" t="s">
        <v>1117</v>
      </c>
      <c r="E4408" s="1" t="n">
        <v>4</v>
      </c>
      <c r="F4408" s="1" t="n">
        <v>327.32</v>
      </c>
      <c r="G4408" s="1" t="n">
        <v>0.05</v>
      </c>
      <c r="H4408" s="1" t="s">
        <v>1336</v>
      </c>
      <c r="I4408" s="1" t="n">
        <v>1243.82</v>
      </c>
      <c r="J4408" s="1" t="str">
        <f aca="false">VLOOKUP(B4408,Customers!$A$2:$G$502,6,FALSE())</f>
        <v>Consumer</v>
      </c>
      <c r="K4408" s="1" t="str">
        <f aca="false">VLOOKUP(C4408,Products!$A$2:$E$62,3,FALSE())</f>
        <v>Electronics</v>
      </c>
      <c r="L4408" s="1" t="str">
        <f aca="false">TEXT(D4408,"yyyy-mm")</f>
        <v>2023-05</v>
      </c>
    </row>
    <row r="4409" customFormat="false" ht="15" hidden="false" customHeight="true" outlineLevel="0" collapsed="false">
      <c r="A4409" s="1" t="n">
        <v>4504</v>
      </c>
      <c r="B4409" s="1" t="n">
        <v>458</v>
      </c>
      <c r="C4409" s="1" t="n">
        <v>41</v>
      </c>
      <c r="D4409" s="1" t="s">
        <v>1160</v>
      </c>
      <c r="E4409" s="1" t="n">
        <v>7</v>
      </c>
      <c r="F4409" s="1" t="n">
        <v>594.54</v>
      </c>
      <c r="G4409" s="1" t="n">
        <v>0</v>
      </c>
      <c r="H4409" s="1" t="s">
        <v>1370</v>
      </c>
      <c r="I4409" s="1" t="n">
        <v>4161.78</v>
      </c>
      <c r="J4409" s="1" t="str">
        <f aca="false">VLOOKUP(B4409,Customers!$A$2:$G$502,6,FALSE())</f>
        <v>Small Business</v>
      </c>
      <c r="K4409" s="1" t="str">
        <f aca="false">VLOOKUP(C4409,Products!$A$2:$E$62,3,FALSE())</f>
        <v>Software</v>
      </c>
      <c r="L4409" s="1" t="str">
        <f aca="false">TEXT(D4409,"yyyy-mm")</f>
        <v>2024-10</v>
      </c>
    </row>
    <row r="4410" customFormat="false" ht="15" hidden="false" customHeight="true" outlineLevel="0" collapsed="false">
      <c r="A4410" s="1" t="n">
        <v>4505</v>
      </c>
      <c r="B4410" s="1" t="n">
        <v>342</v>
      </c>
      <c r="C4410" s="1" t="n">
        <v>51</v>
      </c>
      <c r="D4410" s="1" t="s">
        <v>1508</v>
      </c>
      <c r="E4410" s="1" t="n">
        <v>8</v>
      </c>
      <c r="F4410" s="1" t="n">
        <v>30.16</v>
      </c>
      <c r="G4410" s="1" t="n">
        <v>0.2</v>
      </c>
      <c r="H4410" s="1" t="s">
        <v>1346</v>
      </c>
      <c r="I4410" s="1" t="n">
        <v>193.02</v>
      </c>
      <c r="J4410" s="1" t="str">
        <f aca="false">VLOOKUP(B4410,Customers!$A$2:$G$502,6,FALSE())</f>
        <v>Small Business</v>
      </c>
      <c r="K4410" s="1" t="str">
        <f aca="false">VLOOKUP(C4410,Products!$A$2:$E$62,3,FALSE())</f>
        <v>Software</v>
      </c>
      <c r="L4410" s="1" t="str">
        <f aca="false">TEXT(D4410,"yyyy-mm")</f>
        <v>2024-01</v>
      </c>
    </row>
    <row r="4411" customFormat="false" ht="15" hidden="false" customHeight="true" outlineLevel="0" collapsed="false">
      <c r="A4411" s="1" t="n">
        <v>4506</v>
      </c>
      <c r="B4411" s="1" t="n">
        <v>463</v>
      </c>
      <c r="C4411" s="1" t="n">
        <v>23</v>
      </c>
      <c r="D4411" s="1" t="s">
        <v>1446</v>
      </c>
      <c r="E4411" s="1" t="n">
        <v>5</v>
      </c>
      <c r="F4411" s="1" t="n">
        <v>188.73</v>
      </c>
      <c r="G4411" s="1" t="n">
        <v>0</v>
      </c>
      <c r="H4411" s="1" t="s">
        <v>1336</v>
      </c>
      <c r="I4411" s="1" t="n">
        <v>943.65</v>
      </c>
      <c r="J4411" s="1" t="str">
        <f aca="false">VLOOKUP(B4411,Customers!$A$2:$G$502,6,FALSE())</f>
        <v>Consumer</v>
      </c>
      <c r="K4411" s="1" t="str">
        <f aca="false">VLOOKUP(C4411,Products!$A$2:$E$62,3,FALSE())</f>
        <v>Office Supplies</v>
      </c>
      <c r="L4411" s="1" t="str">
        <f aca="false">TEXT(D4411,"yyyy-mm")</f>
        <v>2024-05</v>
      </c>
    </row>
    <row r="4412" customFormat="false" ht="15" hidden="false" customHeight="true" outlineLevel="0" collapsed="false">
      <c r="A4412" s="1" t="n">
        <v>4507</v>
      </c>
      <c r="B4412" s="1" t="n">
        <v>287</v>
      </c>
      <c r="C4412" s="1" t="n">
        <v>13</v>
      </c>
      <c r="D4412" s="1" t="s">
        <v>1001</v>
      </c>
      <c r="E4412" s="1" t="n">
        <v>5</v>
      </c>
      <c r="F4412" s="1" t="n">
        <v>352.54</v>
      </c>
      <c r="G4412" s="1" t="n">
        <v>0.1</v>
      </c>
      <c r="H4412" s="1" t="s">
        <v>1336</v>
      </c>
      <c r="I4412" s="1" t="n">
        <v>1586.43</v>
      </c>
      <c r="J4412" s="1" t="str">
        <f aca="false">VLOOKUP(B4412,Customers!$A$2:$G$502,6,FALSE())</f>
        <v>Corporate</v>
      </c>
      <c r="K4412" s="1" t="str">
        <f aca="false">VLOOKUP(C4412,Products!$A$2:$E$62,3,FALSE())</f>
        <v>Electronics</v>
      </c>
      <c r="L4412" s="1" t="str">
        <f aca="false">TEXT(D4412,"yyyy-mm")</f>
        <v>2023-03</v>
      </c>
    </row>
    <row r="4413" customFormat="false" ht="15" hidden="false" customHeight="true" outlineLevel="0" collapsed="false">
      <c r="A4413" s="1" t="n">
        <v>4508</v>
      </c>
      <c r="B4413" s="1" t="n">
        <v>27</v>
      </c>
      <c r="C4413" s="1" t="n">
        <v>31</v>
      </c>
      <c r="D4413" s="1" t="s">
        <v>1478</v>
      </c>
      <c r="E4413" s="1" t="n">
        <v>2</v>
      </c>
      <c r="F4413" s="1" t="n">
        <v>224.86</v>
      </c>
      <c r="G4413" s="1" t="n">
        <v>0</v>
      </c>
      <c r="H4413" s="1" t="s">
        <v>1336</v>
      </c>
      <c r="I4413" s="1" t="n">
        <v>449.72</v>
      </c>
      <c r="J4413" s="1" t="str">
        <f aca="false">VLOOKUP(B4413,Customers!$A$2:$G$502,6,FALSE())</f>
        <v>Small Business</v>
      </c>
      <c r="K4413" s="1" t="str">
        <f aca="false">VLOOKUP(C4413,Products!$A$2:$E$62,3,FALSE())</f>
        <v>Office Supplies</v>
      </c>
      <c r="L4413" s="1" t="str">
        <f aca="false">TEXT(D4413,"yyyy-mm")</f>
        <v>2024-09</v>
      </c>
    </row>
    <row r="4414" customFormat="false" ht="15" hidden="false" customHeight="true" outlineLevel="0" collapsed="false">
      <c r="A4414" s="1" t="n">
        <v>4509</v>
      </c>
      <c r="B4414" s="1" t="n">
        <v>54</v>
      </c>
      <c r="C4414" s="1" t="n">
        <v>9</v>
      </c>
      <c r="D4414" s="1" t="s">
        <v>1476</v>
      </c>
      <c r="E4414" s="1" t="n">
        <v>8</v>
      </c>
      <c r="F4414" s="1" t="n">
        <v>203.1</v>
      </c>
      <c r="G4414" s="1" t="n">
        <v>0.05</v>
      </c>
      <c r="H4414" s="1" t="s">
        <v>1370</v>
      </c>
      <c r="I4414" s="1" t="n">
        <v>1543.56</v>
      </c>
      <c r="J4414" s="1" t="str">
        <f aca="false">VLOOKUP(B4414,Customers!$A$2:$G$502,6,FALSE())</f>
        <v>Consumer</v>
      </c>
      <c r="K4414" s="1" t="str">
        <f aca="false">VLOOKUP(C4414,Products!$A$2:$E$62,3,FALSE())</f>
        <v>Electronics</v>
      </c>
      <c r="L4414" s="1" t="str">
        <f aca="false">TEXT(D4414,"yyyy-mm")</f>
        <v>2024-09</v>
      </c>
    </row>
    <row r="4415" customFormat="false" ht="15" hidden="false" customHeight="true" outlineLevel="0" collapsed="false">
      <c r="A4415" s="1" t="n">
        <v>4510</v>
      </c>
      <c r="B4415" s="1" t="n">
        <v>160</v>
      </c>
      <c r="C4415" s="1" t="n">
        <v>34</v>
      </c>
      <c r="D4415" s="1" t="s">
        <v>1657</v>
      </c>
      <c r="E4415" s="1" t="n">
        <v>2</v>
      </c>
      <c r="F4415" s="1" t="n">
        <v>116.85</v>
      </c>
      <c r="G4415" s="1" t="n">
        <v>0</v>
      </c>
      <c r="H4415" s="1" t="s">
        <v>1346</v>
      </c>
      <c r="I4415" s="1" t="n">
        <v>233.7</v>
      </c>
      <c r="J4415" s="1" t="str">
        <f aca="false">VLOOKUP(B4415,Customers!$A$2:$G$502,6,FALSE())</f>
        <v>Consumer</v>
      </c>
      <c r="K4415" s="1" t="str">
        <f aca="false">VLOOKUP(C4415,Products!$A$2:$E$62,3,FALSE())</f>
        <v>Office Supplies</v>
      </c>
      <c r="L4415" s="1" t="str">
        <f aca="false">TEXT(D4415,"yyyy-mm")</f>
        <v>2023-12</v>
      </c>
    </row>
    <row r="4416" customFormat="false" ht="15" hidden="false" customHeight="true" outlineLevel="0" collapsed="false">
      <c r="A4416" s="1" t="n">
        <v>4511</v>
      </c>
      <c r="B4416" s="1" t="n">
        <v>468</v>
      </c>
      <c r="C4416" s="1" t="n">
        <v>24</v>
      </c>
      <c r="D4416" s="1" t="s">
        <v>1565</v>
      </c>
      <c r="E4416" s="1" t="n">
        <v>6</v>
      </c>
      <c r="F4416" s="1" t="n">
        <v>207.34</v>
      </c>
      <c r="G4416" s="1" t="n">
        <v>0.15</v>
      </c>
      <c r="H4416" s="1" t="s">
        <v>1336</v>
      </c>
      <c r="I4416" s="1" t="n">
        <v>1057.43</v>
      </c>
      <c r="J4416" s="1" t="str">
        <f aca="false">VLOOKUP(B4416,Customers!$A$2:$G$502,6,FALSE())</f>
        <v>Small Business</v>
      </c>
      <c r="K4416" s="1" t="str">
        <f aca="false">VLOOKUP(C4416,Products!$A$2:$E$62,3,FALSE())</f>
        <v>Office Supplies</v>
      </c>
      <c r="L4416" s="1" t="str">
        <f aca="false">TEXT(D4416,"yyyy-mm")</f>
        <v>2024-09</v>
      </c>
    </row>
    <row r="4417" customFormat="false" ht="15" hidden="false" customHeight="true" outlineLevel="0" collapsed="false">
      <c r="A4417" s="1" t="n">
        <v>4512</v>
      </c>
      <c r="B4417" s="1" t="n">
        <v>367</v>
      </c>
      <c r="C4417" s="1" t="n">
        <v>2</v>
      </c>
      <c r="D4417" s="1" t="s">
        <v>1494</v>
      </c>
      <c r="E4417" s="1" t="n">
        <v>8</v>
      </c>
      <c r="F4417" s="1" t="n">
        <v>498.15</v>
      </c>
      <c r="G4417" s="1" t="n">
        <v>0</v>
      </c>
      <c r="H4417" s="1" t="s">
        <v>1336</v>
      </c>
      <c r="I4417" s="1" t="n">
        <v>3985.2</v>
      </c>
      <c r="J4417" s="1" t="str">
        <f aca="false">VLOOKUP(B4417,Customers!$A$2:$G$502,6,FALSE())</f>
        <v>Corporate</v>
      </c>
      <c r="K4417" s="1" t="str">
        <f aca="false">VLOOKUP(C4417,Products!$A$2:$E$62,3,FALSE())</f>
        <v>Electronics</v>
      </c>
      <c r="L4417" s="1" t="str">
        <f aca="false">TEXT(D4417,"yyyy-mm")</f>
        <v>2023-01</v>
      </c>
    </row>
    <row r="4418" customFormat="false" ht="15" hidden="false" customHeight="true" outlineLevel="0" collapsed="false">
      <c r="A4418" s="1" t="n">
        <v>4513</v>
      </c>
      <c r="B4418" s="1" t="n">
        <v>245</v>
      </c>
      <c r="C4418" s="1" t="n">
        <v>6</v>
      </c>
      <c r="D4418" s="1" t="s">
        <v>1590</v>
      </c>
      <c r="E4418" s="1" t="n">
        <v>6</v>
      </c>
      <c r="F4418" s="1" t="n">
        <v>28.51</v>
      </c>
      <c r="G4418" s="1" t="n">
        <v>0.2</v>
      </c>
      <c r="H4418" s="1" t="s">
        <v>1336</v>
      </c>
      <c r="I4418" s="1" t="n">
        <v>136.85</v>
      </c>
      <c r="J4418" s="1" t="str">
        <f aca="false">VLOOKUP(B4418,Customers!$A$2:$G$502,6,FALSE())</f>
        <v>Consumer</v>
      </c>
      <c r="K4418" s="1" t="str">
        <f aca="false">VLOOKUP(C4418,Products!$A$2:$E$62,3,FALSE())</f>
        <v>Electronics</v>
      </c>
      <c r="L4418" s="1" t="str">
        <f aca="false">TEXT(D4418,"yyyy-mm")</f>
        <v>2023-06</v>
      </c>
    </row>
    <row r="4419" customFormat="false" ht="15" hidden="false" customHeight="true" outlineLevel="0" collapsed="false">
      <c r="A4419" s="1" t="n">
        <v>4514</v>
      </c>
      <c r="B4419" s="1" t="n">
        <v>93</v>
      </c>
      <c r="C4419" s="1" t="n">
        <v>16</v>
      </c>
      <c r="D4419" s="1" t="s">
        <v>64</v>
      </c>
      <c r="E4419" s="1" t="n">
        <v>4</v>
      </c>
      <c r="F4419" s="1" t="n">
        <v>330.91</v>
      </c>
      <c r="G4419" s="1" t="n">
        <v>0.15</v>
      </c>
      <c r="H4419" s="1" t="s">
        <v>1336</v>
      </c>
      <c r="I4419" s="1" t="n">
        <v>1125.09</v>
      </c>
      <c r="J4419" s="1" t="str">
        <f aca="false">VLOOKUP(B4419,Customers!$A$2:$G$502,6,FALSE())</f>
        <v>Consumer</v>
      </c>
      <c r="K4419" s="1" t="str">
        <f aca="false">VLOOKUP(C4419,Products!$A$2:$E$62,3,FALSE())</f>
        <v>Electronics</v>
      </c>
      <c r="L4419" s="1" t="str">
        <f aca="false">TEXT(D4419,"yyyy-mm")</f>
        <v>2024-09</v>
      </c>
    </row>
    <row r="4420" customFormat="false" ht="15" hidden="false" customHeight="true" outlineLevel="0" collapsed="false">
      <c r="A4420" s="1" t="n">
        <v>4515</v>
      </c>
      <c r="B4420" s="1" t="n">
        <v>108</v>
      </c>
      <c r="C4420" s="1" t="n">
        <v>5</v>
      </c>
      <c r="D4420" s="1" t="s">
        <v>527</v>
      </c>
      <c r="E4420" s="1" t="n">
        <v>4</v>
      </c>
      <c r="F4420" s="1" t="n">
        <v>439.06</v>
      </c>
      <c r="G4420" s="1" t="n">
        <v>0.2</v>
      </c>
      <c r="H4420" s="1" t="s">
        <v>1336</v>
      </c>
      <c r="I4420" s="1" t="n">
        <v>1404.99</v>
      </c>
      <c r="J4420" s="1" t="str">
        <f aca="false">VLOOKUP(B4420,Customers!$A$2:$G$502,6,FALSE())</f>
        <v>Consumer</v>
      </c>
      <c r="K4420" s="1" t="str">
        <f aca="false">VLOOKUP(C4420,Products!$A$2:$E$62,3,FALSE())</f>
        <v>Electronics</v>
      </c>
      <c r="L4420" s="1" t="str">
        <f aca="false">TEXT(D4420,"yyyy-mm")</f>
        <v>2023-12</v>
      </c>
    </row>
    <row r="4421" customFormat="false" ht="15" hidden="false" customHeight="true" outlineLevel="0" collapsed="false">
      <c r="A4421" s="1" t="n">
        <v>4516</v>
      </c>
      <c r="B4421" s="1" t="n">
        <v>485</v>
      </c>
      <c r="C4421" s="1" t="n">
        <v>23</v>
      </c>
      <c r="D4421" s="1" t="s">
        <v>356</v>
      </c>
      <c r="E4421" s="1" t="n">
        <v>6</v>
      </c>
      <c r="F4421" s="1" t="n">
        <v>188.73</v>
      </c>
      <c r="G4421" s="1" t="n">
        <v>0</v>
      </c>
      <c r="H4421" s="1" t="s">
        <v>1336</v>
      </c>
      <c r="I4421" s="1" t="n">
        <v>1132.38</v>
      </c>
      <c r="J4421" s="1" t="str">
        <f aca="false">VLOOKUP(B4421,Customers!$A$2:$G$502,6,FALSE())</f>
        <v>Corporate</v>
      </c>
      <c r="K4421" s="1" t="str">
        <f aca="false">VLOOKUP(C4421,Products!$A$2:$E$62,3,FALSE())</f>
        <v>Office Supplies</v>
      </c>
      <c r="L4421" s="1" t="str">
        <f aca="false">TEXT(D4421,"yyyy-mm")</f>
        <v>2023-04</v>
      </c>
    </row>
    <row r="4422" customFormat="false" ht="15" hidden="false" customHeight="true" outlineLevel="0" collapsed="false">
      <c r="A4422" s="1" t="n">
        <v>4517</v>
      </c>
      <c r="B4422" s="1" t="n">
        <v>8</v>
      </c>
      <c r="C4422" s="1" t="n">
        <v>53</v>
      </c>
      <c r="D4422" s="1" t="s">
        <v>557</v>
      </c>
      <c r="E4422" s="1" t="n">
        <v>4</v>
      </c>
      <c r="F4422" s="1" t="n">
        <v>509.98</v>
      </c>
      <c r="G4422" s="1" t="n">
        <v>0.1</v>
      </c>
      <c r="H4422" s="1" t="s">
        <v>1336</v>
      </c>
      <c r="I4422" s="1" t="n">
        <v>1835.93</v>
      </c>
      <c r="J4422" s="1" t="str">
        <f aca="false">VLOOKUP(B4422,Customers!$A$2:$G$502,6,FALSE())</f>
        <v>Consumer</v>
      </c>
      <c r="K4422" s="1" t="str">
        <f aca="false">VLOOKUP(C4422,Products!$A$2:$E$62,3,FALSE())</f>
        <v>Software</v>
      </c>
      <c r="L4422" s="1" t="str">
        <f aca="false">TEXT(D4422,"yyyy-mm")</f>
        <v>2024-07</v>
      </c>
    </row>
    <row r="4423" customFormat="false" ht="15" hidden="false" customHeight="true" outlineLevel="0" collapsed="false">
      <c r="A4423" s="1" t="n">
        <v>4518</v>
      </c>
      <c r="B4423" s="1" t="n">
        <v>145</v>
      </c>
      <c r="C4423" s="1" t="n">
        <v>5</v>
      </c>
      <c r="D4423" s="1" t="s">
        <v>176</v>
      </c>
      <c r="E4423" s="1" t="n">
        <v>8</v>
      </c>
      <c r="F4423" s="1" t="n">
        <v>439.06</v>
      </c>
      <c r="G4423" s="1" t="n">
        <v>0</v>
      </c>
      <c r="H4423" s="1" t="s">
        <v>1336</v>
      </c>
      <c r="I4423" s="1" t="n">
        <v>3512.48</v>
      </c>
      <c r="J4423" s="1" t="str">
        <f aca="false">VLOOKUP(B4423,Customers!$A$2:$G$502,6,FALSE())</f>
        <v>Corporate</v>
      </c>
      <c r="K4423" s="1" t="str">
        <f aca="false">VLOOKUP(C4423,Products!$A$2:$E$62,3,FALSE())</f>
        <v>Electronics</v>
      </c>
      <c r="L4423" s="1" t="str">
        <f aca="false">TEXT(D4423,"yyyy-mm")</f>
        <v>2024-04</v>
      </c>
    </row>
    <row r="4424" customFormat="false" ht="15" hidden="false" customHeight="true" outlineLevel="0" collapsed="false">
      <c r="A4424" s="1" t="n">
        <v>4519</v>
      </c>
      <c r="B4424" s="1" t="n">
        <v>114</v>
      </c>
      <c r="C4424" s="1" t="n">
        <v>60</v>
      </c>
      <c r="D4424" s="1" t="s">
        <v>1645</v>
      </c>
      <c r="E4424" s="1" t="n">
        <v>9</v>
      </c>
      <c r="F4424" s="1" t="n">
        <v>584.98</v>
      </c>
      <c r="G4424" s="1" t="n">
        <v>0</v>
      </c>
      <c r="H4424" s="1" t="s">
        <v>1336</v>
      </c>
      <c r="I4424" s="1" t="n">
        <v>5264.82</v>
      </c>
      <c r="J4424" s="1" t="str">
        <f aca="false">VLOOKUP(B4424,Customers!$A$2:$G$502,6,FALSE())</f>
        <v>Consumer</v>
      </c>
      <c r="K4424" s="1" t="str">
        <f aca="false">VLOOKUP(C4424,Products!$A$2:$E$62,3,FALSE())</f>
        <v>Furniture</v>
      </c>
      <c r="L4424" s="1" t="str">
        <f aca="false">TEXT(D4424,"yyyy-mm")</f>
        <v>2023-01</v>
      </c>
    </row>
    <row r="4425" customFormat="false" ht="15" hidden="false" customHeight="true" outlineLevel="0" collapsed="false">
      <c r="A4425" s="1" t="n">
        <v>4521</v>
      </c>
      <c r="B4425" s="1" t="n">
        <v>174</v>
      </c>
      <c r="C4425" s="1" t="n">
        <v>37</v>
      </c>
      <c r="D4425" s="1" t="s">
        <v>578</v>
      </c>
      <c r="E4425" s="1" t="n">
        <v>4</v>
      </c>
      <c r="F4425" s="1" t="n">
        <v>13.95</v>
      </c>
      <c r="G4425" s="1" t="n">
        <v>0</v>
      </c>
      <c r="H4425" s="1" t="s">
        <v>1336</v>
      </c>
      <c r="I4425" s="1" t="n">
        <v>55.8</v>
      </c>
      <c r="J4425" s="1" t="str">
        <f aca="false">VLOOKUP(B4425,Customers!$A$2:$G$502,6,FALSE())</f>
        <v>Small Business</v>
      </c>
      <c r="K4425" s="1" t="str">
        <f aca="false">VLOOKUP(C4425,Products!$A$2:$E$62,3,FALSE())</f>
        <v>Software</v>
      </c>
      <c r="L4425" s="1" t="str">
        <f aca="false">TEXT(D4425,"yyyy-mm")</f>
        <v>2023-04</v>
      </c>
    </row>
    <row r="4426" customFormat="false" ht="15" hidden="false" customHeight="true" outlineLevel="0" collapsed="false">
      <c r="A4426" s="1" t="n">
        <v>4522</v>
      </c>
      <c r="B4426" s="1" t="n">
        <v>462</v>
      </c>
      <c r="C4426" s="1" t="n">
        <v>16</v>
      </c>
      <c r="D4426" s="1" t="s">
        <v>1510</v>
      </c>
      <c r="E4426" s="1" t="n">
        <v>4</v>
      </c>
      <c r="F4426" s="1" t="n">
        <v>330.91</v>
      </c>
      <c r="G4426" s="1" t="n">
        <v>0.05</v>
      </c>
      <c r="H4426" s="1" t="s">
        <v>1336</v>
      </c>
      <c r="I4426" s="1" t="n">
        <v>1257.46</v>
      </c>
      <c r="J4426" s="1" t="str">
        <f aca="false">VLOOKUP(B4426,Customers!$A$2:$G$502,6,FALSE())</f>
        <v>Small Business</v>
      </c>
      <c r="K4426" s="1" t="str">
        <f aca="false">VLOOKUP(C4426,Products!$A$2:$E$62,3,FALSE())</f>
        <v>Electronics</v>
      </c>
      <c r="L4426" s="1" t="str">
        <f aca="false">TEXT(D4426,"yyyy-mm")</f>
        <v>2024-02</v>
      </c>
    </row>
    <row r="4427" customFormat="false" ht="15" hidden="false" customHeight="true" outlineLevel="0" collapsed="false">
      <c r="A4427" s="1" t="n">
        <v>4523</v>
      </c>
      <c r="B4427" s="1" t="n">
        <v>220</v>
      </c>
      <c r="C4427" s="1" t="n">
        <v>22</v>
      </c>
      <c r="D4427" s="1" t="s">
        <v>904</v>
      </c>
      <c r="E4427" s="1" t="n">
        <v>2</v>
      </c>
      <c r="F4427" s="1" t="n">
        <v>38.57</v>
      </c>
      <c r="G4427" s="1" t="n">
        <v>0.1</v>
      </c>
      <c r="H4427" s="1" t="s">
        <v>1346</v>
      </c>
      <c r="I4427" s="1" t="n">
        <v>69.43</v>
      </c>
      <c r="J4427" s="1" t="str">
        <f aca="false">VLOOKUP(B4427,Customers!$A$2:$G$502,6,FALSE())</f>
        <v>Small Business</v>
      </c>
      <c r="K4427" s="1" t="str">
        <f aca="false">VLOOKUP(C4427,Products!$A$2:$E$62,3,FALSE())</f>
        <v>Office Supplies</v>
      </c>
      <c r="L4427" s="1" t="str">
        <f aca="false">TEXT(D4427,"yyyy-mm")</f>
        <v>2023-04</v>
      </c>
    </row>
    <row r="4428" customFormat="false" ht="15" hidden="false" customHeight="true" outlineLevel="0" collapsed="false">
      <c r="A4428" s="1" t="n">
        <v>4524</v>
      </c>
      <c r="B4428" s="1" t="n">
        <v>407</v>
      </c>
      <c r="C4428" s="1" t="n">
        <v>59</v>
      </c>
      <c r="D4428" s="1" t="s">
        <v>1043</v>
      </c>
      <c r="E4428" s="1" t="n">
        <v>6</v>
      </c>
      <c r="F4428" s="1" t="n">
        <v>438.89</v>
      </c>
      <c r="G4428" s="1" t="n">
        <v>0.15</v>
      </c>
      <c r="H4428" s="1" t="s">
        <v>1336</v>
      </c>
      <c r="I4428" s="1" t="n">
        <v>2238.34</v>
      </c>
      <c r="J4428" s="1" t="str">
        <f aca="false">VLOOKUP(B4428,Customers!$A$2:$G$502,6,FALSE())</f>
        <v>Consumer</v>
      </c>
      <c r="K4428" s="1" t="str">
        <f aca="false">VLOOKUP(C4428,Products!$A$2:$E$62,3,FALSE())</f>
        <v>Furniture</v>
      </c>
      <c r="L4428" s="1" t="str">
        <f aca="false">TEXT(D4428,"yyyy-mm")</f>
        <v>2023-08</v>
      </c>
    </row>
    <row r="4429" customFormat="false" ht="15" hidden="false" customHeight="true" outlineLevel="0" collapsed="false">
      <c r="A4429" s="1" t="n">
        <v>4525</v>
      </c>
      <c r="B4429" s="1" t="n">
        <v>489</v>
      </c>
      <c r="C4429" s="1" t="n">
        <v>45</v>
      </c>
      <c r="D4429" s="1" t="s">
        <v>1413</v>
      </c>
      <c r="E4429" s="1" t="n">
        <v>3</v>
      </c>
      <c r="F4429" s="1" t="n">
        <v>560.01</v>
      </c>
      <c r="G4429" s="1" t="n">
        <v>0.05</v>
      </c>
      <c r="H4429" s="1" t="s">
        <v>1336</v>
      </c>
      <c r="I4429" s="1" t="n">
        <v>1596.03</v>
      </c>
      <c r="J4429" s="1" t="str">
        <f aca="false">VLOOKUP(B4429,Customers!$A$2:$G$502,6,FALSE())</f>
        <v>Small Business</v>
      </c>
      <c r="K4429" s="1" t="str">
        <f aca="false">VLOOKUP(C4429,Products!$A$2:$E$62,3,FALSE())</f>
        <v>Software</v>
      </c>
      <c r="L4429" s="1" t="str">
        <f aca="false">TEXT(D4429,"yyyy-mm")</f>
        <v>2023-09</v>
      </c>
    </row>
    <row r="4430" customFormat="false" ht="15" hidden="false" customHeight="true" outlineLevel="0" collapsed="false">
      <c r="A4430" s="1" t="n">
        <v>4526</v>
      </c>
      <c r="B4430" s="1" t="n">
        <v>476</v>
      </c>
      <c r="C4430" s="1" t="n">
        <v>19</v>
      </c>
      <c r="D4430" s="1" t="s">
        <v>1379</v>
      </c>
      <c r="E4430" s="1" t="n">
        <v>7</v>
      </c>
      <c r="F4430" s="1" t="n">
        <v>163.64</v>
      </c>
      <c r="G4430" s="1" t="n">
        <v>0.2</v>
      </c>
      <c r="H4430" s="1" t="s">
        <v>1336</v>
      </c>
      <c r="I4430" s="1" t="n">
        <v>916.38</v>
      </c>
      <c r="J4430" s="1" t="str">
        <f aca="false">VLOOKUP(B4430,Customers!$A$2:$G$502,6,FALSE())</f>
        <v>Small Business</v>
      </c>
      <c r="K4430" s="1" t="str">
        <f aca="false">VLOOKUP(C4430,Products!$A$2:$E$62,3,FALSE())</f>
        <v>Office Supplies</v>
      </c>
      <c r="L4430" s="1" t="str">
        <f aca="false">TEXT(D4430,"yyyy-mm")</f>
        <v>2024-09</v>
      </c>
    </row>
    <row r="4431" customFormat="false" ht="15" hidden="false" customHeight="true" outlineLevel="0" collapsed="false">
      <c r="A4431" s="1" t="n">
        <v>4527</v>
      </c>
      <c r="B4431" s="1" t="n">
        <v>450</v>
      </c>
      <c r="C4431" s="1" t="n">
        <v>59</v>
      </c>
      <c r="D4431" s="1" t="s">
        <v>1358</v>
      </c>
      <c r="E4431" s="1" t="n">
        <v>5</v>
      </c>
      <c r="F4431" s="1" t="n">
        <v>438.89</v>
      </c>
      <c r="G4431" s="1" t="n">
        <v>0.05</v>
      </c>
      <c r="H4431" s="1" t="s">
        <v>1336</v>
      </c>
      <c r="I4431" s="1" t="n">
        <v>2084.73</v>
      </c>
      <c r="J4431" s="1" t="str">
        <f aca="false">VLOOKUP(B4431,Customers!$A$2:$G$502,6,FALSE())</f>
        <v>Consumer</v>
      </c>
      <c r="K4431" s="1" t="str">
        <f aca="false">VLOOKUP(C4431,Products!$A$2:$E$62,3,FALSE())</f>
        <v>Furniture</v>
      </c>
      <c r="L4431" s="1" t="str">
        <f aca="false">TEXT(D4431,"yyyy-mm")</f>
        <v>2024-01</v>
      </c>
    </row>
    <row r="4432" customFormat="false" ht="15" hidden="false" customHeight="true" outlineLevel="0" collapsed="false">
      <c r="A4432" s="1" t="n">
        <v>4528</v>
      </c>
      <c r="B4432" s="1" t="n">
        <v>345</v>
      </c>
      <c r="C4432" s="1" t="n">
        <v>57</v>
      </c>
      <c r="D4432" s="1" t="s">
        <v>1374</v>
      </c>
      <c r="E4432" s="1" t="n">
        <v>4</v>
      </c>
      <c r="F4432" s="1" t="n">
        <v>719.76</v>
      </c>
      <c r="G4432" s="1" t="n">
        <v>0.05</v>
      </c>
      <c r="H4432" s="1" t="s">
        <v>1336</v>
      </c>
      <c r="I4432" s="1" t="n">
        <v>2735.09</v>
      </c>
      <c r="J4432" s="1" t="str">
        <f aca="false">VLOOKUP(B4432,Customers!$A$2:$G$502,6,FALSE())</f>
        <v>Corporate</v>
      </c>
      <c r="K4432" s="1" t="str">
        <f aca="false">VLOOKUP(C4432,Products!$A$2:$E$62,3,FALSE())</f>
        <v>Furniture</v>
      </c>
      <c r="L4432" s="1" t="str">
        <f aca="false">TEXT(D4432,"yyyy-mm")</f>
        <v>2024-12</v>
      </c>
    </row>
    <row r="4433" customFormat="false" ht="15" hidden="false" customHeight="true" outlineLevel="0" collapsed="false">
      <c r="A4433" s="1" t="n">
        <v>4529</v>
      </c>
      <c r="B4433" s="1" t="n">
        <v>428</v>
      </c>
      <c r="C4433" s="1" t="n">
        <v>24</v>
      </c>
      <c r="D4433" s="1" t="s">
        <v>611</v>
      </c>
      <c r="E4433" s="1" t="n">
        <v>5</v>
      </c>
      <c r="F4433" s="1" t="n">
        <v>207.34</v>
      </c>
      <c r="G4433" s="1" t="n">
        <v>0</v>
      </c>
      <c r="H4433" s="1" t="s">
        <v>1336</v>
      </c>
      <c r="I4433" s="1" t="n">
        <v>1036.7</v>
      </c>
      <c r="J4433" s="1" t="str">
        <f aca="false">VLOOKUP(B4433,Customers!$A$2:$G$502,6,FALSE())</f>
        <v>Corporate</v>
      </c>
      <c r="K4433" s="1" t="str">
        <f aca="false">VLOOKUP(C4433,Products!$A$2:$E$62,3,FALSE())</f>
        <v>Office Supplies</v>
      </c>
      <c r="L4433" s="1" t="str">
        <f aca="false">TEXT(D4433,"yyyy-mm")</f>
        <v>2024-06</v>
      </c>
    </row>
    <row r="4434" customFormat="false" ht="15" hidden="false" customHeight="true" outlineLevel="0" collapsed="false">
      <c r="A4434" s="1" t="n">
        <v>4530</v>
      </c>
      <c r="B4434" s="1" t="n">
        <v>203</v>
      </c>
      <c r="C4434" s="1" t="n">
        <v>42</v>
      </c>
      <c r="D4434" s="1" t="s">
        <v>522</v>
      </c>
      <c r="E4434" s="1" t="n">
        <v>8</v>
      </c>
      <c r="F4434" s="1" t="n">
        <v>174.48</v>
      </c>
      <c r="G4434" s="1" t="n">
        <v>0.05</v>
      </c>
      <c r="H4434" s="1" t="s">
        <v>1336</v>
      </c>
      <c r="I4434" s="1" t="n">
        <v>1326.05</v>
      </c>
      <c r="J4434" s="1" t="str">
        <f aca="false">VLOOKUP(B4434,Customers!$A$2:$G$502,6,FALSE())</f>
        <v>Corporate</v>
      </c>
      <c r="K4434" s="1" t="str">
        <f aca="false">VLOOKUP(C4434,Products!$A$2:$E$62,3,FALSE())</f>
        <v>Software</v>
      </c>
      <c r="L4434" s="1" t="str">
        <f aca="false">TEXT(D4434,"yyyy-mm")</f>
        <v>2024-03</v>
      </c>
    </row>
    <row r="4435" customFormat="false" ht="15" hidden="false" customHeight="true" outlineLevel="0" collapsed="false">
      <c r="A4435" s="1" t="n">
        <v>4531</v>
      </c>
      <c r="B4435" s="1" t="n">
        <v>230</v>
      </c>
      <c r="C4435" s="1" t="n">
        <v>40</v>
      </c>
      <c r="D4435" s="1" t="s">
        <v>443</v>
      </c>
      <c r="E4435" s="1" t="n">
        <v>3</v>
      </c>
      <c r="F4435" s="1" t="n">
        <v>193.02</v>
      </c>
      <c r="G4435" s="1" t="n">
        <v>0.15</v>
      </c>
      <c r="H4435" s="1" t="s">
        <v>1336</v>
      </c>
      <c r="I4435" s="1" t="n">
        <v>492.2</v>
      </c>
      <c r="J4435" s="1" t="str">
        <f aca="false">VLOOKUP(B4435,Customers!$A$2:$G$502,6,FALSE())</f>
        <v>Corporate</v>
      </c>
      <c r="K4435" s="1" t="str">
        <f aca="false">VLOOKUP(C4435,Products!$A$2:$E$62,3,FALSE())</f>
        <v>Software</v>
      </c>
      <c r="L4435" s="1" t="str">
        <f aca="false">TEXT(D4435,"yyyy-mm")</f>
        <v>2023-08</v>
      </c>
    </row>
    <row r="4436" customFormat="false" ht="15" hidden="false" customHeight="true" outlineLevel="0" collapsed="false">
      <c r="A4436" s="1" t="n">
        <v>4532</v>
      </c>
      <c r="B4436" s="1" t="n">
        <v>243</v>
      </c>
      <c r="C4436" s="1" t="n">
        <v>4</v>
      </c>
      <c r="D4436" s="1" t="s">
        <v>697</v>
      </c>
      <c r="E4436" s="1" t="n">
        <v>7</v>
      </c>
      <c r="F4436" s="1" t="n">
        <v>56.24</v>
      </c>
      <c r="G4436" s="1" t="n">
        <v>0</v>
      </c>
      <c r="H4436" s="1" t="s">
        <v>1336</v>
      </c>
      <c r="I4436" s="1" t="n">
        <v>393.68</v>
      </c>
      <c r="J4436" s="1" t="str">
        <f aca="false">VLOOKUP(B4436,Customers!$A$2:$G$502,6,FALSE())</f>
        <v>Small Business</v>
      </c>
      <c r="K4436" s="1" t="str">
        <f aca="false">VLOOKUP(C4436,Products!$A$2:$E$62,3,FALSE())</f>
        <v>Electronics</v>
      </c>
      <c r="L4436" s="1" t="str">
        <f aca="false">TEXT(D4436,"yyyy-mm")</f>
        <v>2023-03</v>
      </c>
    </row>
    <row r="4437" customFormat="false" ht="15" hidden="false" customHeight="true" outlineLevel="0" collapsed="false">
      <c r="A4437" s="1" t="n">
        <v>4533</v>
      </c>
      <c r="B4437" s="1" t="n">
        <v>137</v>
      </c>
      <c r="C4437" s="1" t="n">
        <v>23</v>
      </c>
      <c r="D4437" s="1" t="s">
        <v>482</v>
      </c>
      <c r="E4437" s="1" t="n">
        <v>6</v>
      </c>
      <c r="F4437" s="1" t="n">
        <v>188.73</v>
      </c>
      <c r="G4437" s="1" t="n">
        <v>0.15</v>
      </c>
      <c r="H4437" s="1" t="s">
        <v>1336</v>
      </c>
      <c r="I4437" s="1" t="n">
        <v>962.52</v>
      </c>
      <c r="J4437" s="1" t="str">
        <f aca="false">VLOOKUP(B4437,Customers!$A$2:$G$502,6,FALSE())</f>
        <v>Consumer</v>
      </c>
      <c r="K4437" s="1" t="str">
        <f aca="false">VLOOKUP(C4437,Products!$A$2:$E$62,3,FALSE())</f>
        <v>Office Supplies</v>
      </c>
      <c r="L4437" s="1" t="str">
        <f aca="false">TEXT(D4437,"yyyy-mm")</f>
        <v>2024-11</v>
      </c>
    </row>
    <row r="4438" customFormat="false" ht="15" hidden="false" customHeight="true" outlineLevel="0" collapsed="false">
      <c r="A4438" s="1" t="n">
        <v>4534</v>
      </c>
      <c r="B4438" s="1" t="n">
        <v>127</v>
      </c>
      <c r="C4438" s="1" t="n">
        <v>60</v>
      </c>
      <c r="D4438" s="1" t="s">
        <v>1457</v>
      </c>
      <c r="E4438" s="1" t="n">
        <v>1</v>
      </c>
      <c r="F4438" s="1" t="n">
        <v>584.98</v>
      </c>
      <c r="G4438" s="1" t="n">
        <v>0.1</v>
      </c>
      <c r="H4438" s="1" t="s">
        <v>1336</v>
      </c>
      <c r="I4438" s="1" t="n">
        <v>526.48</v>
      </c>
      <c r="J4438" s="1" t="str">
        <f aca="false">VLOOKUP(B4438,Customers!$A$2:$G$502,6,FALSE())</f>
        <v>Corporate</v>
      </c>
      <c r="K4438" s="1" t="str">
        <f aca="false">VLOOKUP(C4438,Products!$A$2:$E$62,3,FALSE())</f>
        <v>Furniture</v>
      </c>
      <c r="L4438" s="1" t="str">
        <f aca="false">TEXT(D4438,"yyyy-mm")</f>
        <v>2024-03</v>
      </c>
    </row>
    <row r="4439" customFormat="false" ht="15" hidden="false" customHeight="true" outlineLevel="0" collapsed="false">
      <c r="A4439" s="1" t="n">
        <v>4535</v>
      </c>
      <c r="B4439" s="1" t="n">
        <v>302</v>
      </c>
      <c r="C4439" s="1" t="n">
        <v>13</v>
      </c>
      <c r="D4439" s="1" t="s">
        <v>750</v>
      </c>
      <c r="E4439" s="1" t="n">
        <v>7</v>
      </c>
      <c r="F4439" s="1" t="n">
        <v>352.54</v>
      </c>
      <c r="G4439" s="1" t="n">
        <v>0</v>
      </c>
      <c r="H4439" s="1" t="s">
        <v>1336</v>
      </c>
      <c r="I4439" s="1" t="n">
        <v>2467.78</v>
      </c>
      <c r="J4439" s="1" t="str">
        <f aca="false">VLOOKUP(B4439,Customers!$A$2:$G$502,6,FALSE())</f>
        <v>Corporate</v>
      </c>
      <c r="K4439" s="1" t="str">
        <f aca="false">VLOOKUP(C4439,Products!$A$2:$E$62,3,FALSE())</f>
        <v>Electronics</v>
      </c>
      <c r="L4439" s="1" t="str">
        <f aca="false">TEXT(D4439,"yyyy-mm")</f>
        <v>2024-02</v>
      </c>
    </row>
    <row r="4440" customFormat="false" ht="15" hidden="false" customHeight="true" outlineLevel="0" collapsed="false">
      <c r="A4440" s="1" t="n">
        <v>4536</v>
      </c>
      <c r="B4440" s="1" t="n">
        <v>297</v>
      </c>
      <c r="C4440" s="1" t="n">
        <v>12</v>
      </c>
      <c r="D4440" s="1" t="s">
        <v>1495</v>
      </c>
      <c r="E4440" s="1" t="n">
        <v>7</v>
      </c>
      <c r="F4440" s="1" t="n">
        <v>179.23</v>
      </c>
      <c r="G4440" s="1" t="n">
        <v>0.15</v>
      </c>
      <c r="H4440" s="1" t="s">
        <v>1346</v>
      </c>
      <c r="I4440" s="1" t="n">
        <v>1066.42</v>
      </c>
      <c r="J4440" s="1" t="str">
        <f aca="false">VLOOKUP(B4440,Customers!$A$2:$G$502,6,FALSE())</f>
        <v>Corporate</v>
      </c>
      <c r="K4440" s="1" t="str">
        <f aca="false">VLOOKUP(C4440,Products!$A$2:$E$62,3,FALSE())</f>
        <v>Electronics</v>
      </c>
      <c r="L4440" s="1" t="str">
        <f aca="false">TEXT(D4440,"yyyy-mm")</f>
        <v>2024-03</v>
      </c>
    </row>
    <row r="4441" customFormat="false" ht="15" hidden="false" customHeight="true" outlineLevel="0" collapsed="false">
      <c r="A4441" s="1" t="n">
        <v>4537</v>
      </c>
      <c r="B4441" s="1" t="n">
        <v>399</v>
      </c>
      <c r="C4441" s="1" t="n">
        <v>15</v>
      </c>
      <c r="D4441" s="1" t="s">
        <v>432</v>
      </c>
      <c r="E4441" s="1" t="n">
        <v>1</v>
      </c>
      <c r="F4441" s="1" t="n">
        <v>304.95</v>
      </c>
      <c r="G4441" s="1" t="n">
        <v>0.15</v>
      </c>
      <c r="H4441" s="1" t="s">
        <v>1336</v>
      </c>
      <c r="I4441" s="1" t="n">
        <v>259.21</v>
      </c>
      <c r="J4441" s="1" t="str">
        <f aca="false">VLOOKUP(B4441,Customers!$A$2:$G$502,6,FALSE())</f>
        <v>Corporate</v>
      </c>
      <c r="K4441" s="1" t="str">
        <f aca="false">VLOOKUP(C4441,Products!$A$2:$E$62,3,FALSE())</f>
        <v>Electronics</v>
      </c>
      <c r="L4441" s="1" t="str">
        <f aca="false">TEXT(D4441,"yyyy-mm")</f>
        <v>2024-11</v>
      </c>
    </row>
    <row r="4442" customFormat="false" ht="15" hidden="false" customHeight="true" outlineLevel="0" collapsed="false">
      <c r="A4442" s="1" t="n">
        <v>4538</v>
      </c>
      <c r="B4442" s="1" t="n">
        <v>61</v>
      </c>
      <c r="C4442" s="1" t="n">
        <v>10</v>
      </c>
      <c r="D4442" s="1" t="s">
        <v>1361</v>
      </c>
      <c r="E4442" s="1" t="n">
        <v>9</v>
      </c>
      <c r="F4442" s="1" t="n">
        <v>251.58</v>
      </c>
      <c r="G4442" s="1" t="n">
        <v>0.05</v>
      </c>
      <c r="H4442" s="1" t="s">
        <v>1346</v>
      </c>
      <c r="I4442" s="1" t="n">
        <v>2151.01</v>
      </c>
      <c r="J4442" s="1" t="str">
        <f aca="false">VLOOKUP(B4442,Customers!$A$2:$G$502,6,FALSE())</f>
        <v>Small Business</v>
      </c>
      <c r="K4442" s="1" t="str">
        <f aca="false">VLOOKUP(C4442,Products!$A$2:$E$62,3,FALSE())</f>
        <v>Electronics</v>
      </c>
      <c r="L4442" s="1" t="str">
        <f aca="false">TEXT(D4442,"yyyy-mm")</f>
        <v>2024-01</v>
      </c>
    </row>
    <row r="4443" customFormat="false" ht="15" hidden="false" customHeight="true" outlineLevel="0" collapsed="false">
      <c r="A4443" s="1" t="n">
        <v>4539</v>
      </c>
      <c r="B4443" s="1" t="n">
        <v>128</v>
      </c>
      <c r="C4443" s="1" t="n">
        <v>1</v>
      </c>
      <c r="D4443" s="1" t="s">
        <v>775</v>
      </c>
      <c r="E4443" s="1" t="n">
        <v>6</v>
      </c>
      <c r="F4443" s="1" t="n">
        <v>327.32</v>
      </c>
      <c r="G4443" s="1" t="n">
        <v>0.1</v>
      </c>
      <c r="H4443" s="1" t="s">
        <v>1336</v>
      </c>
      <c r="I4443" s="1" t="n">
        <v>1767.53</v>
      </c>
      <c r="J4443" s="1" t="str">
        <f aca="false">VLOOKUP(B4443,Customers!$A$2:$G$502,6,FALSE())</f>
        <v>Consumer</v>
      </c>
      <c r="K4443" s="1" t="str">
        <f aca="false">VLOOKUP(C4443,Products!$A$2:$E$62,3,FALSE())</f>
        <v>Electronics</v>
      </c>
      <c r="L4443" s="1" t="str">
        <f aca="false">TEXT(D4443,"yyyy-mm")</f>
        <v>2023-01</v>
      </c>
    </row>
    <row r="4444" customFormat="false" ht="15" hidden="false" customHeight="true" outlineLevel="0" collapsed="false">
      <c r="A4444" s="1" t="n">
        <v>4540</v>
      </c>
      <c r="B4444" s="1" t="n">
        <v>404</v>
      </c>
      <c r="C4444" s="1" t="n">
        <v>38</v>
      </c>
      <c r="D4444" s="1" t="s">
        <v>356</v>
      </c>
      <c r="E4444" s="1" t="n">
        <v>2</v>
      </c>
      <c r="F4444" s="1" t="n">
        <v>521.63</v>
      </c>
      <c r="G4444" s="1" t="n">
        <v>0</v>
      </c>
      <c r="H4444" s="1" t="s">
        <v>1336</v>
      </c>
      <c r="I4444" s="1" t="n">
        <v>1043.26</v>
      </c>
      <c r="J4444" s="1" t="str">
        <f aca="false">VLOOKUP(B4444,Customers!$A$2:$G$502,6,FALSE())</f>
        <v>Corporate</v>
      </c>
      <c r="K4444" s="1" t="str">
        <f aca="false">VLOOKUP(C4444,Products!$A$2:$E$62,3,FALSE())</f>
        <v>Software</v>
      </c>
      <c r="L4444" s="1" t="str">
        <f aca="false">TEXT(D4444,"yyyy-mm")</f>
        <v>2023-04</v>
      </c>
    </row>
    <row r="4445" customFormat="false" ht="15" hidden="false" customHeight="true" outlineLevel="0" collapsed="false">
      <c r="A4445" s="1" t="n">
        <v>4541</v>
      </c>
      <c r="B4445" s="1" t="n">
        <v>195</v>
      </c>
      <c r="C4445" s="1" t="n">
        <v>2</v>
      </c>
      <c r="D4445" s="1" t="s">
        <v>1559</v>
      </c>
      <c r="E4445" s="1" t="n">
        <v>5</v>
      </c>
      <c r="F4445" s="1" t="n">
        <v>498.15</v>
      </c>
      <c r="G4445" s="1" t="n">
        <v>0</v>
      </c>
      <c r="H4445" s="1" t="s">
        <v>1336</v>
      </c>
      <c r="I4445" s="1" t="n">
        <v>2490.75</v>
      </c>
      <c r="J4445" s="1" t="str">
        <f aca="false">VLOOKUP(B4445,Customers!$A$2:$G$502,6,FALSE())</f>
        <v>Corporate</v>
      </c>
      <c r="K4445" s="1" t="str">
        <f aca="false">VLOOKUP(C4445,Products!$A$2:$E$62,3,FALSE())</f>
        <v>Electronics</v>
      </c>
      <c r="L4445" s="1" t="str">
        <f aca="false">TEXT(D4445,"yyyy-mm")</f>
        <v>2023-01</v>
      </c>
    </row>
    <row r="4446" customFormat="false" ht="15" hidden="false" customHeight="true" outlineLevel="0" collapsed="false">
      <c r="A4446" s="1" t="n">
        <v>4542</v>
      </c>
      <c r="B4446" s="1" t="n">
        <v>470</v>
      </c>
      <c r="C4446" s="1" t="n">
        <v>32</v>
      </c>
      <c r="D4446" s="1" t="s">
        <v>1373</v>
      </c>
      <c r="E4446" s="1" t="n">
        <v>4</v>
      </c>
      <c r="F4446" s="1" t="n">
        <v>492.27</v>
      </c>
      <c r="G4446" s="1" t="n">
        <v>0</v>
      </c>
      <c r="H4446" s="1" t="s">
        <v>1336</v>
      </c>
      <c r="I4446" s="1" t="n">
        <v>1969.08</v>
      </c>
      <c r="J4446" s="1" t="str">
        <f aca="false">VLOOKUP(B4446,Customers!$A$2:$G$502,6,FALSE())</f>
        <v>Corporate</v>
      </c>
      <c r="K4446" s="1" t="str">
        <f aca="false">VLOOKUP(C4446,Products!$A$2:$E$62,3,FALSE())</f>
        <v>Office Supplies</v>
      </c>
      <c r="L4446" s="1" t="str">
        <f aca="false">TEXT(D4446,"yyyy-mm")</f>
        <v>2024-07</v>
      </c>
    </row>
    <row r="4447" customFormat="false" ht="15" hidden="false" customHeight="true" outlineLevel="0" collapsed="false">
      <c r="A4447" s="1" t="n">
        <v>4543</v>
      </c>
      <c r="B4447" s="1" t="n">
        <v>104</v>
      </c>
      <c r="C4447" s="1" t="n">
        <v>58</v>
      </c>
      <c r="D4447" s="1" t="s">
        <v>1493</v>
      </c>
      <c r="E4447" s="1" t="n">
        <v>7</v>
      </c>
      <c r="F4447" s="1" t="n">
        <v>515.55</v>
      </c>
      <c r="G4447" s="1" t="n">
        <v>0</v>
      </c>
      <c r="H4447" s="1" t="s">
        <v>1336</v>
      </c>
      <c r="I4447" s="1" t="n">
        <v>3608.85</v>
      </c>
      <c r="J4447" s="1" t="str">
        <f aca="false">VLOOKUP(B4447,Customers!$A$2:$G$502,6,FALSE())</f>
        <v>Corporate</v>
      </c>
      <c r="K4447" s="1" t="str">
        <f aca="false">VLOOKUP(C4447,Products!$A$2:$E$62,3,FALSE())</f>
        <v>Furniture</v>
      </c>
      <c r="L4447" s="1" t="str">
        <f aca="false">TEXT(D4447,"yyyy-mm")</f>
        <v>2023-10</v>
      </c>
    </row>
    <row r="4448" customFormat="false" ht="15" hidden="false" customHeight="true" outlineLevel="0" collapsed="false">
      <c r="A4448" s="1" t="n">
        <v>4544</v>
      </c>
      <c r="B4448" s="1" t="n">
        <v>335</v>
      </c>
      <c r="C4448" s="1" t="n">
        <v>13</v>
      </c>
      <c r="D4448" s="1" t="s">
        <v>81</v>
      </c>
      <c r="E4448" s="1" t="n">
        <v>8</v>
      </c>
      <c r="F4448" s="1" t="n">
        <v>352.54</v>
      </c>
      <c r="G4448" s="1" t="n">
        <v>0.1</v>
      </c>
      <c r="H4448" s="1" t="s">
        <v>1336</v>
      </c>
      <c r="I4448" s="1" t="n">
        <v>2538.29</v>
      </c>
      <c r="J4448" s="1" t="str">
        <f aca="false">VLOOKUP(B4448,Customers!$A$2:$G$502,6,FALSE())</f>
        <v>Small Business</v>
      </c>
      <c r="K4448" s="1" t="str">
        <f aca="false">VLOOKUP(C4448,Products!$A$2:$E$62,3,FALSE())</f>
        <v>Electronics</v>
      </c>
      <c r="L4448" s="1" t="str">
        <f aca="false">TEXT(D4448,"yyyy-mm")</f>
        <v>2023-05</v>
      </c>
    </row>
    <row r="4449" customFormat="false" ht="15" hidden="false" customHeight="true" outlineLevel="0" collapsed="false">
      <c r="A4449" s="1" t="n">
        <v>4545</v>
      </c>
      <c r="B4449" s="1" t="n">
        <v>456</v>
      </c>
      <c r="C4449" s="1" t="n">
        <v>44</v>
      </c>
      <c r="D4449" s="1" t="s">
        <v>1212</v>
      </c>
      <c r="E4449" s="1" t="n">
        <v>1</v>
      </c>
      <c r="F4449" s="1" t="n">
        <v>508.26</v>
      </c>
      <c r="G4449" s="1" t="n">
        <v>0.2</v>
      </c>
      <c r="H4449" s="1" t="s">
        <v>1336</v>
      </c>
      <c r="I4449" s="1" t="n">
        <v>406.61</v>
      </c>
      <c r="J4449" s="1" t="str">
        <f aca="false">VLOOKUP(B4449,Customers!$A$2:$G$502,6,FALSE())</f>
        <v>Consumer</v>
      </c>
      <c r="K4449" s="1" t="str">
        <f aca="false">VLOOKUP(C4449,Products!$A$2:$E$62,3,FALSE())</f>
        <v>Software</v>
      </c>
      <c r="L4449" s="1" t="str">
        <f aca="false">TEXT(D4449,"yyyy-mm")</f>
        <v>2024-09</v>
      </c>
    </row>
    <row r="4450" customFormat="false" ht="15" hidden="false" customHeight="true" outlineLevel="0" collapsed="false">
      <c r="A4450" s="1" t="n">
        <v>4546</v>
      </c>
      <c r="B4450" s="1" t="n">
        <v>378</v>
      </c>
      <c r="C4450" s="1" t="n">
        <v>32</v>
      </c>
      <c r="D4450" s="1" t="s">
        <v>1230</v>
      </c>
      <c r="E4450" s="1" t="n">
        <v>5</v>
      </c>
      <c r="F4450" s="1" t="n">
        <v>492.27</v>
      </c>
      <c r="G4450" s="1" t="n">
        <v>0.05</v>
      </c>
      <c r="H4450" s="1" t="s">
        <v>1336</v>
      </c>
      <c r="I4450" s="1" t="n">
        <v>2338.28</v>
      </c>
      <c r="J4450" s="1" t="str">
        <f aca="false">VLOOKUP(B4450,Customers!$A$2:$G$502,6,FALSE())</f>
        <v>Small Business</v>
      </c>
      <c r="K4450" s="1" t="str">
        <f aca="false">VLOOKUP(C4450,Products!$A$2:$E$62,3,FALSE())</f>
        <v>Office Supplies</v>
      </c>
      <c r="L4450" s="1" t="str">
        <f aca="false">TEXT(D4450,"yyyy-mm")</f>
        <v>2023-02</v>
      </c>
    </row>
    <row r="4451" customFormat="false" ht="15" hidden="false" customHeight="true" outlineLevel="0" collapsed="false">
      <c r="A4451" s="1" t="n">
        <v>4547</v>
      </c>
      <c r="B4451" s="1" t="n">
        <v>143</v>
      </c>
      <c r="C4451" s="1" t="n">
        <v>51</v>
      </c>
      <c r="D4451" s="1" t="s">
        <v>626</v>
      </c>
      <c r="E4451" s="1" t="n">
        <v>3</v>
      </c>
      <c r="F4451" s="1" t="n">
        <v>30.16</v>
      </c>
      <c r="G4451" s="1" t="n">
        <v>0</v>
      </c>
      <c r="H4451" s="1" t="s">
        <v>1336</v>
      </c>
      <c r="I4451" s="1" t="n">
        <v>90.48</v>
      </c>
      <c r="J4451" s="1" t="str">
        <f aca="false">VLOOKUP(B4451,Customers!$A$2:$G$502,6,FALSE())</f>
        <v>Small Business</v>
      </c>
      <c r="K4451" s="1" t="str">
        <f aca="false">VLOOKUP(C4451,Products!$A$2:$E$62,3,FALSE())</f>
        <v>Software</v>
      </c>
      <c r="L4451" s="1" t="str">
        <f aca="false">TEXT(D4451,"yyyy-mm")</f>
        <v>2023-09</v>
      </c>
    </row>
    <row r="4452" customFormat="false" ht="15" hidden="false" customHeight="true" outlineLevel="0" collapsed="false">
      <c r="A4452" s="1" t="n">
        <v>4548</v>
      </c>
      <c r="B4452" s="1" t="n">
        <v>303</v>
      </c>
      <c r="C4452" s="1" t="n">
        <v>6</v>
      </c>
      <c r="D4452" s="1" t="s">
        <v>748</v>
      </c>
      <c r="E4452" s="1" t="n">
        <v>1</v>
      </c>
      <c r="F4452" s="1" t="n">
        <v>28.51</v>
      </c>
      <c r="G4452" s="1" t="n">
        <v>0.05</v>
      </c>
      <c r="H4452" s="1" t="s">
        <v>1370</v>
      </c>
      <c r="I4452" s="1" t="n">
        <v>27.08</v>
      </c>
      <c r="J4452" s="1" t="str">
        <f aca="false">VLOOKUP(B4452,Customers!$A$2:$G$502,6,FALSE())</f>
        <v>Corporate</v>
      </c>
      <c r="K4452" s="1" t="str">
        <f aca="false">VLOOKUP(C4452,Products!$A$2:$E$62,3,FALSE())</f>
        <v>Electronics</v>
      </c>
      <c r="L4452" s="1" t="str">
        <f aca="false">TEXT(D4452,"yyyy-mm")</f>
        <v>2024-11</v>
      </c>
    </row>
    <row r="4453" customFormat="false" ht="15" hidden="false" customHeight="true" outlineLevel="0" collapsed="false">
      <c r="A4453" s="1" t="n">
        <v>4549</v>
      </c>
      <c r="B4453" s="1" t="n">
        <v>225</v>
      </c>
      <c r="C4453" s="1" t="n">
        <v>6</v>
      </c>
      <c r="D4453" s="1" t="s">
        <v>748</v>
      </c>
      <c r="E4453" s="1" t="n">
        <v>3</v>
      </c>
      <c r="F4453" s="1" t="n">
        <v>28.51</v>
      </c>
      <c r="G4453" s="1" t="n">
        <v>0.15</v>
      </c>
      <c r="H4453" s="1" t="s">
        <v>1336</v>
      </c>
      <c r="I4453" s="1" t="n">
        <v>72.7</v>
      </c>
      <c r="J4453" s="1" t="str">
        <f aca="false">VLOOKUP(B4453,Customers!$A$2:$G$502,6,FALSE())</f>
        <v>Consumer</v>
      </c>
      <c r="K4453" s="1" t="str">
        <f aca="false">VLOOKUP(C4453,Products!$A$2:$E$62,3,FALSE())</f>
        <v>Electronics</v>
      </c>
      <c r="L4453" s="1" t="str">
        <f aca="false">TEXT(D4453,"yyyy-mm")</f>
        <v>2024-11</v>
      </c>
    </row>
    <row r="4454" customFormat="false" ht="15" hidden="false" customHeight="true" outlineLevel="0" collapsed="false">
      <c r="A4454" s="1" t="n">
        <v>4550</v>
      </c>
      <c r="B4454" s="1" t="n">
        <v>360</v>
      </c>
      <c r="C4454" s="1" t="n">
        <v>30</v>
      </c>
      <c r="D4454" s="1" t="s">
        <v>522</v>
      </c>
      <c r="E4454" s="1" t="n">
        <v>6</v>
      </c>
      <c r="F4454" s="1" t="n">
        <v>33.32</v>
      </c>
      <c r="G4454" s="1" t="n">
        <v>0</v>
      </c>
      <c r="H4454" s="1" t="s">
        <v>1336</v>
      </c>
      <c r="I4454" s="1" t="n">
        <v>199.92</v>
      </c>
      <c r="J4454" s="1" t="str">
        <f aca="false">VLOOKUP(B4454,Customers!$A$2:$G$502,6,FALSE())</f>
        <v>Corporate</v>
      </c>
      <c r="K4454" s="1" t="str">
        <f aca="false">VLOOKUP(C4454,Products!$A$2:$E$62,3,FALSE())</f>
        <v>Office Supplies</v>
      </c>
      <c r="L4454" s="1" t="str">
        <f aca="false">TEXT(D4454,"yyyy-mm")</f>
        <v>2024-03</v>
      </c>
    </row>
    <row r="4455" customFormat="false" ht="15" hidden="false" customHeight="true" outlineLevel="0" collapsed="false">
      <c r="A4455" s="1" t="n">
        <v>4551</v>
      </c>
      <c r="B4455" s="1" t="n">
        <v>410</v>
      </c>
      <c r="C4455" s="1" t="n">
        <v>20</v>
      </c>
      <c r="D4455" s="1" t="s">
        <v>1689</v>
      </c>
      <c r="E4455" s="1" t="n">
        <v>7</v>
      </c>
      <c r="F4455" s="1" t="n">
        <v>426.15</v>
      </c>
      <c r="G4455" s="1" t="n">
        <v>0.15</v>
      </c>
      <c r="H4455" s="1" t="s">
        <v>1336</v>
      </c>
      <c r="I4455" s="1" t="n">
        <v>2535.59</v>
      </c>
      <c r="J4455" s="1" t="str">
        <f aca="false">VLOOKUP(B4455,Customers!$A$2:$G$502,6,FALSE())</f>
        <v>Consumer</v>
      </c>
      <c r="K4455" s="1" t="str">
        <f aca="false">VLOOKUP(C4455,Products!$A$2:$E$62,3,FALSE())</f>
        <v>Office Supplies</v>
      </c>
      <c r="L4455" s="1" t="str">
        <f aca="false">TEXT(D4455,"yyyy-mm")</f>
        <v>2023-01</v>
      </c>
    </row>
    <row r="4456" customFormat="false" ht="15" hidden="false" customHeight="true" outlineLevel="0" collapsed="false">
      <c r="A4456" s="1" t="n">
        <v>4552</v>
      </c>
      <c r="B4456" s="1" t="n">
        <v>63</v>
      </c>
      <c r="C4456" s="1" t="n">
        <v>34</v>
      </c>
      <c r="D4456" s="1" t="s">
        <v>1651</v>
      </c>
      <c r="E4456" s="1" t="n">
        <v>8</v>
      </c>
      <c r="F4456" s="1" t="n">
        <v>116.85</v>
      </c>
      <c r="G4456" s="1" t="n">
        <v>0</v>
      </c>
      <c r="H4456" s="1" t="s">
        <v>1336</v>
      </c>
      <c r="I4456" s="1" t="n">
        <v>934.8</v>
      </c>
      <c r="J4456" s="1" t="str">
        <f aca="false">VLOOKUP(B4456,Customers!$A$2:$G$502,6,FALSE())</f>
        <v>Consumer</v>
      </c>
      <c r="K4456" s="1" t="str">
        <f aca="false">VLOOKUP(C4456,Products!$A$2:$E$62,3,FALSE())</f>
        <v>Office Supplies</v>
      </c>
      <c r="L4456" s="1" t="str">
        <f aca="false">TEXT(D4456,"yyyy-mm")</f>
        <v>2023-06</v>
      </c>
    </row>
    <row r="4457" customFormat="false" ht="15" hidden="false" customHeight="true" outlineLevel="0" collapsed="false">
      <c r="A4457" s="1" t="n">
        <v>4553</v>
      </c>
      <c r="B4457" s="1" t="n">
        <v>251</v>
      </c>
      <c r="C4457" s="1" t="n">
        <v>33</v>
      </c>
      <c r="D4457" s="1" t="s">
        <v>536</v>
      </c>
      <c r="E4457" s="1" t="n">
        <v>4</v>
      </c>
      <c r="F4457" s="1" t="n">
        <v>190.1</v>
      </c>
      <c r="G4457" s="1" t="n">
        <v>0</v>
      </c>
      <c r="H4457" s="1" t="s">
        <v>1336</v>
      </c>
      <c r="I4457" s="1" t="n">
        <v>760.4</v>
      </c>
      <c r="J4457" s="1" t="str">
        <f aca="false">VLOOKUP(B4457,Customers!$A$2:$G$502,6,FALSE())</f>
        <v>Small Business</v>
      </c>
      <c r="K4457" s="1" t="str">
        <f aca="false">VLOOKUP(C4457,Products!$A$2:$E$62,3,FALSE())</f>
        <v>Office Supplies</v>
      </c>
      <c r="L4457" s="1" t="str">
        <f aca="false">TEXT(D4457,"yyyy-mm")</f>
        <v>2024-01</v>
      </c>
    </row>
    <row r="4458" customFormat="false" ht="15" hidden="false" customHeight="true" outlineLevel="0" collapsed="false">
      <c r="A4458" s="1" t="n">
        <v>4554</v>
      </c>
      <c r="B4458" s="1" t="n">
        <v>257</v>
      </c>
      <c r="C4458" s="1" t="n">
        <v>31</v>
      </c>
      <c r="D4458" s="1" t="s">
        <v>1460</v>
      </c>
      <c r="E4458" s="1" t="n">
        <v>3</v>
      </c>
      <c r="F4458" s="1" t="n">
        <v>224.86</v>
      </c>
      <c r="G4458" s="1" t="n">
        <v>0.05</v>
      </c>
      <c r="H4458" s="1" t="s">
        <v>1336</v>
      </c>
      <c r="I4458" s="1" t="n">
        <v>640.85</v>
      </c>
      <c r="J4458" s="1" t="str">
        <f aca="false">VLOOKUP(B4458,Customers!$A$2:$G$502,6,FALSE())</f>
        <v>Small Business</v>
      </c>
      <c r="K4458" s="1" t="str">
        <f aca="false">VLOOKUP(C4458,Products!$A$2:$E$62,3,FALSE())</f>
        <v>Office Supplies</v>
      </c>
      <c r="L4458" s="1" t="str">
        <f aca="false">TEXT(D4458,"yyyy-mm")</f>
        <v>2023-06</v>
      </c>
    </row>
    <row r="4459" customFormat="false" ht="15" hidden="false" customHeight="true" outlineLevel="0" collapsed="false">
      <c r="A4459" s="1" t="n">
        <v>4555</v>
      </c>
      <c r="B4459" s="1" t="n">
        <v>83</v>
      </c>
      <c r="C4459" s="1" t="n">
        <v>9</v>
      </c>
      <c r="D4459" s="1" t="s">
        <v>1639</v>
      </c>
      <c r="E4459" s="1" t="n">
        <v>5</v>
      </c>
      <c r="F4459" s="1" t="n">
        <v>203.1</v>
      </c>
      <c r="G4459" s="1" t="n">
        <v>0.15</v>
      </c>
      <c r="H4459" s="1" t="s">
        <v>1336</v>
      </c>
      <c r="I4459" s="1" t="n">
        <v>863.18</v>
      </c>
      <c r="J4459" s="1" t="str">
        <f aca="false">VLOOKUP(B4459,Customers!$A$2:$G$502,6,FALSE())</f>
        <v>Corporate</v>
      </c>
      <c r="K4459" s="1" t="str">
        <f aca="false">VLOOKUP(C4459,Products!$A$2:$E$62,3,FALSE())</f>
        <v>Electronics</v>
      </c>
      <c r="L4459" s="1" t="str">
        <f aca="false">TEXT(D4459,"yyyy-mm")</f>
        <v>2023-07</v>
      </c>
    </row>
    <row r="4460" customFormat="false" ht="15" hidden="false" customHeight="true" outlineLevel="0" collapsed="false">
      <c r="A4460" s="1" t="n">
        <v>4556</v>
      </c>
      <c r="B4460" s="1" t="n">
        <v>431</v>
      </c>
      <c r="C4460" s="1" t="n">
        <v>53</v>
      </c>
      <c r="D4460" s="1" t="s">
        <v>1607</v>
      </c>
      <c r="E4460" s="1" t="n">
        <v>9</v>
      </c>
      <c r="F4460" s="1" t="n">
        <v>509.98</v>
      </c>
      <c r="G4460" s="1" t="n">
        <v>0</v>
      </c>
      <c r="H4460" s="1" t="s">
        <v>1336</v>
      </c>
      <c r="I4460" s="1" t="n">
        <v>4589.82</v>
      </c>
      <c r="J4460" s="1" t="str">
        <f aca="false">VLOOKUP(B4460,Customers!$A$2:$G$502,6,FALSE())</f>
        <v>Consumer</v>
      </c>
      <c r="K4460" s="1" t="str">
        <f aca="false">VLOOKUP(C4460,Products!$A$2:$E$62,3,FALSE())</f>
        <v>Software</v>
      </c>
      <c r="L4460" s="1" t="str">
        <f aca="false">TEXT(D4460,"yyyy-mm")</f>
        <v>2023-06</v>
      </c>
    </row>
    <row r="4461" customFormat="false" ht="15" hidden="false" customHeight="true" outlineLevel="0" collapsed="false">
      <c r="A4461" s="1" t="n">
        <v>4557</v>
      </c>
      <c r="B4461" s="1" t="n">
        <v>63</v>
      </c>
      <c r="C4461" s="1" t="n">
        <v>14</v>
      </c>
      <c r="D4461" s="1" t="s">
        <v>1117</v>
      </c>
      <c r="E4461" s="1" t="n">
        <v>6</v>
      </c>
      <c r="F4461" s="1" t="n">
        <v>135.27</v>
      </c>
      <c r="G4461" s="1" t="n">
        <v>0.15</v>
      </c>
      <c r="H4461" s="1" t="s">
        <v>1336</v>
      </c>
      <c r="I4461" s="1" t="n">
        <v>689.88</v>
      </c>
      <c r="J4461" s="1" t="str">
        <f aca="false">VLOOKUP(B4461,Customers!$A$2:$G$502,6,FALSE())</f>
        <v>Consumer</v>
      </c>
      <c r="K4461" s="1" t="str">
        <f aca="false">VLOOKUP(C4461,Products!$A$2:$E$62,3,FALSE())</f>
        <v>Electronics</v>
      </c>
      <c r="L4461" s="1" t="str">
        <f aca="false">TEXT(D4461,"yyyy-mm")</f>
        <v>2023-05</v>
      </c>
    </row>
    <row r="4462" customFormat="false" ht="15" hidden="false" customHeight="true" outlineLevel="0" collapsed="false">
      <c r="A4462" s="1" t="n">
        <v>4558</v>
      </c>
      <c r="B4462" s="1" t="n">
        <v>473</v>
      </c>
      <c r="C4462" s="1" t="n">
        <v>50</v>
      </c>
      <c r="D4462" s="1" t="s">
        <v>416</v>
      </c>
      <c r="E4462" s="1" t="n">
        <v>9</v>
      </c>
      <c r="F4462" s="1" t="n">
        <v>19.73</v>
      </c>
      <c r="G4462" s="1" t="n">
        <v>0.05</v>
      </c>
      <c r="H4462" s="1" t="s">
        <v>1336</v>
      </c>
      <c r="I4462" s="1" t="n">
        <v>168.69</v>
      </c>
      <c r="J4462" s="1" t="str">
        <f aca="false">VLOOKUP(B4462,Customers!$A$2:$G$502,6,FALSE())</f>
        <v>Small Business</v>
      </c>
      <c r="K4462" s="1" t="str">
        <f aca="false">VLOOKUP(C4462,Products!$A$2:$E$62,3,FALSE())</f>
        <v>Software</v>
      </c>
      <c r="L4462" s="1" t="str">
        <f aca="false">TEXT(D4462,"yyyy-mm")</f>
        <v>2023-12</v>
      </c>
    </row>
    <row r="4463" customFormat="false" ht="15" hidden="false" customHeight="true" outlineLevel="0" collapsed="false">
      <c r="A4463" s="1" t="n">
        <v>4560</v>
      </c>
      <c r="B4463" s="1" t="n">
        <v>162</v>
      </c>
      <c r="C4463" s="1" t="n">
        <v>27</v>
      </c>
      <c r="D4463" s="1" t="s">
        <v>1340</v>
      </c>
      <c r="E4463" s="1" t="n">
        <v>2</v>
      </c>
      <c r="F4463" s="1" t="n">
        <v>772.58</v>
      </c>
      <c r="G4463" s="1" t="n">
        <v>0.1</v>
      </c>
      <c r="H4463" s="1" t="s">
        <v>1336</v>
      </c>
      <c r="I4463" s="1" t="n">
        <v>1390.64</v>
      </c>
      <c r="J4463" s="1" t="str">
        <f aca="false">VLOOKUP(B4463,Customers!$A$2:$G$502,6,FALSE())</f>
        <v>Small Business</v>
      </c>
      <c r="K4463" s="1" t="str">
        <f aca="false">VLOOKUP(C4463,Products!$A$2:$E$62,3,FALSE())</f>
        <v>Office Supplies</v>
      </c>
      <c r="L4463" s="1" t="str">
        <f aca="false">TEXT(D4463,"yyyy-mm")</f>
        <v>2024-07</v>
      </c>
    </row>
    <row r="4464" customFormat="false" ht="15" hidden="false" customHeight="true" outlineLevel="0" collapsed="false">
      <c r="A4464" s="1" t="n">
        <v>4561</v>
      </c>
      <c r="B4464" s="1" t="n">
        <v>420</v>
      </c>
      <c r="C4464" s="1" t="n">
        <v>48</v>
      </c>
      <c r="D4464" s="1" t="s">
        <v>1597</v>
      </c>
      <c r="E4464" s="1" t="n">
        <v>5</v>
      </c>
      <c r="F4464" s="1" t="n">
        <v>493.53</v>
      </c>
      <c r="G4464" s="1" t="n">
        <v>0</v>
      </c>
      <c r="H4464" s="1" t="s">
        <v>1336</v>
      </c>
      <c r="I4464" s="1" t="n">
        <v>2467.65</v>
      </c>
      <c r="J4464" s="1" t="str">
        <f aca="false">VLOOKUP(B4464,Customers!$A$2:$G$502,6,FALSE())</f>
        <v>Small Business</v>
      </c>
      <c r="K4464" s="1" t="str">
        <f aca="false">VLOOKUP(C4464,Products!$A$2:$E$62,3,FALSE())</f>
        <v>Software</v>
      </c>
      <c r="L4464" s="1" t="str">
        <f aca="false">TEXT(D4464,"yyyy-mm")</f>
        <v>2023-11</v>
      </c>
    </row>
    <row r="4465" customFormat="false" ht="15" hidden="false" customHeight="true" outlineLevel="0" collapsed="false">
      <c r="A4465" s="1" t="n">
        <v>4562</v>
      </c>
      <c r="B4465" s="1" t="n">
        <v>485</v>
      </c>
      <c r="C4465" s="1" t="n">
        <v>29</v>
      </c>
      <c r="D4465" s="1" t="s">
        <v>159</v>
      </c>
      <c r="E4465" s="1" t="n">
        <v>9</v>
      </c>
      <c r="F4465" s="1" t="n">
        <v>54.62</v>
      </c>
      <c r="G4465" s="1" t="n">
        <v>0</v>
      </c>
      <c r="H4465" s="1" t="s">
        <v>1336</v>
      </c>
      <c r="I4465" s="1" t="n">
        <v>491.58</v>
      </c>
      <c r="J4465" s="1" t="str">
        <f aca="false">VLOOKUP(B4465,Customers!$A$2:$G$502,6,FALSE())</f>
        <v>Corporate</v>
      </c>
      <c r="K4465" s="1" t="str">
        <f aca="false">VLOOKUP(C4465,Products!$A$2:$E$62,3,FALSE())</f>
        <v>Office Supplies</v>
      </c>
      <c r="L4465" s="1" t="str">
        <f aca="false">TEXT(D4465,"yyyy-mm")</f>
        <v>2024-02</v>
      </c>
    </row>
    <row r="4466" customFormat="false" ht="15" hidden="false" customHeight="true" outlineLevel="0" collapsed="false">
      <c r="A4466" s="1" t="n">
        <v>4563</v>
      </c>
      <c r="B4466" s="1" t="n">
        <v>247</v>
      </c>
      <c r="C4466" s="1" t="n">
        <v>26</v>
      </c>
      <c r="D4466" s="1" t="s">
        <v>183</v>
      </c>
      <c r="E4466" s="1" t="n">
        <v>8</v>
      </c>
      <c r="F4466" s="1" t="n">
        <v>733.85</v>
      </c>
      <c r="G4466" s="1" t="n">
        <v>0.1</v>
      </c>
      <c r="H4466" s="1" t="s">
        <v>1336</v>
      </c>
      <c r="I4466" s="1" t="n">
        <v>5283.72</v>
      </c>
      <c r="J4466" s="1" t="str">
        <f aca="false">VLOOKUP(B4466,Customers!$A$2:$G$502,6,FALSE())</f>
        <v>Small Business</v>
      </c>
      <c r="K4466" s="1" t="str">
        <f aca="false">VLOOKUP(C4466,Products!$A$2:$E$62,3,FALSE())</f>
        <v>Office Supplies</v>
      </c>
      <c r="L4466" s="1" t="str">
        <f aca="false">TEXT(D4466,"yyyy-mm")</f>
        <v>2023-02</v>
      </c>
    </row>
    <row r="4467" customFormat="false" ht="15" hidden="false" customHeight="true" outlineLevel="0" collapsed="false">
      <c r="A4467" s="1" t="n">
        <v>4564</v>
      </c>
      <c r="B4467" s="1" t="n">
        <v>436</v>
      </c>
      <c r="C4467" s="1" t="n">
        <v>42</v>
      </c>
      <c r="D4467" s="1" t="s">
        <v>100</v>
      </c>
      <c r="E4467" s="1" t="n">
        <v>7</v>
      </c>
      <c r="F4467" s="1" t="n">
        <v>174.48</v>
      </c>
      <c r="G4467" s="1" t="n">
        <v>0.1</v>
      </c>
      <c r="H4467" s="1" t="s">
        <v>1336</v>
      </c>
      <c r="I4467" s="1" t="n">
        <v>1099.22</v>
      </c>
      <c r="J4467" s="1" t="str">
        <f aca="false">VLOOKUP(B4467,Customers!$A$2:$G$502,6,FALSE())</f>
        <v>Corporate</v>
      </c>
      <c r="K4467" s="1" t="str">
        <f aca="false">VLOOKUP(C4467,Products!$A$2:$E$62,3,FALSE())</f>
        <v>Software</v>
      </c>
      <c r="L4467" s="1" t="str">
        <f aca="false">TEXT(D4467,"yyyy-mm")</f>
        <v>2023-05</v>
      </c>
    </row>
    <row r="4468" customFormat="false" ht="15" hidden="false" customHeight="true" outlineLevel="0" collapsed="false">
      <c r="A4468" s="1" t="n">
        <v>4565</v>
      </c>
      <c r="B4468" s="1" t="n">
        <v>252</v>
      </c>
      <c r="C4468" s="1" t="n">
        <v>24</v>
      </c>
      <c r="D4468" s="1" t="s">
        <v>609</v>
      </c>
      <c r="E4468" s="1" t="n">
        <v>1</v>
      </c>
      <c r="F4468" s="1" t="n">
        <v>207.34</v>
      </c>
      <c r="G4468" s="1" t="n">
        <v>0</v>
      </c>
      <c r="H4468" s="1" t="s">
        <v>1336</v>
      </c>
      <c r="I4468" s="1" t="n">
        <v>207.34</v>
      </c>
      <c r="J4468" s="1" t="str">
        <f aca="false">VLOOKUP(B4468,Customers!$A$2:$G$502,6,FALSE())</f>
        <v>Consumer</v>
      </c>
      <c r="K4468" s="1" t="str">
        <f aca="false">VLOOKUP(C4468,Products!$A$2:$E$62,3,FALSE())</f>
        <v>Office Supplies</v>
      </c>
      <c r="L4468" s="1" t="str">
        <f aca="false">TEXT(D4468,"yyyy-mm")</f>
        <v>2023-03</v>
      </c>
    </row>
    <row r="4469" customFormat="false" ht="15" hidden="false" customHeight="true" outlineLevel="0" collapsed="false">
      <c r="A4469" s="1" t="n">
        <v>4566</v>
      </c>
      <c r="B4469" s="1" t="n">
        <v>286</v>
      </c>
      <c r="C4469" s="1" t="n">
        <v>33</v>
      </c>
      <c r="D4469" s="1" t="s">
        <v>1036</v>
      </c>
      <c r="E4469" s="1" t="n">
        <v>4</v>
      </c>
      <c r="F4469" s="1" t="n">
        <v>190.1</v>
      </c>
      <c r="G4469" s="1" t="n">
        <v>0</v>
      </c>
      <c r="H4469" s="1" t="s">
        <v>1336</v>
      </c>
      <c r="I4469" s="1" t="n">
        <v>760.4</v>
      </c>
      <c r="J4469" s="1" t="str">
        <f aca="false">VLOOKUP(B4469,Customers!$A$2:$G$502,6,FALSE())</f>
        <v>Corporate</v>
      </c>
      <c r="K4469" s="1" t="str">
        <f aca="false">VLOOKUP(C4469,Products!$A$2:$E$62,3,FALSE())</f>
        <v>Office Supplies</v>
      </c>
      <c r="L4469" s="1" t="str">
        <f aca="false">TEXT(D4469,"yyyy-mm")</f>
        <v>2024-05</v>
      </c>
    </row>
    <row r="4470" customFormat="false" ht="15" hidden="false" customHeight="true" outlineLevel="0" collapsed="false">
      <c r="A4470" s="1" t="n">
        <v>4567</v>
      </c>
      <c r="B4470" s="1" t="n">
        <v>221</v>
      </c>
      <c r="C4470" s="1" t="n">
        <v>5</v>
      </c>
      <c r="D4470" s="1" t="s">
        <v>1692</v>
      </c>
      <c r="E4470" s="1" t="n">
        <v>7</v>
      </c>
      <c r="F4470" s="1" t="n">
        <v>439.06</v>
      </c>
      <c r="G4470" s="1" t="n">
        <v>0.15</v>
      </c>
      <c r="H4470" s="1" t="s">
        <v>1336</v>
      </c>
      <c r="I4470" s="1" t="n">
        <v>2612.41</v>
      </c>
      <c r="J4470" s="1" t="str">
        <f aca="false">VLOOKUP(B4470,Customers!$A$2:$G$502,6,FALSE())</f>
        <v>Consumer</v>
      </c>
      <c r="K4470" s="1" t="str">
        <f aca="false">VLOOKUP(C4470,Products!$A$2:$E$62,3,FALSE())</f>
        <v>Electronics</v>
      </c>
      <c r="L4470" s="1" t="str">
        <f aca="false">TEXT(D4470,"yyyy-mm")</f>
        <v>2024-12</v>
      </c>
    </row>
    <row r="4471" customFormat="false" ht="15" hidden="false" customHeight="true" outlineLevel="0" collapsed="false">
      <c r="A4471" s="1" t="n">
        <v>4568</v>
      </c>
      <c r="B4471" s="1" t="n">
        <v>305</v>
      </c>
      <c r="C4471" s="1" t="n">
        <v>53</v>
      </c>
      <c r="D4471" s="1" t="s">
        <v>662</v>
      </c>
      <c r="E4471" s="1" t="n">
        <v>7</v>
      </c>
      <c r="F4471" s="1" t="n">
        <v>509.98</v>
      </c>
      <c r="G4471" s="1" t="n">
        <v>0.05</v>
      </c>
      <c r="H4471" s="1" t="s">
        <v>1336</v>
      </c>
      <c r="I4471" s="1" t="n">
        <v>3391.37</v>
      </c>
      <c r="J4471" s="1" t="str">
        <f aca="false">VLOOKUP(B4471,Customers!$A$2:$G$502,6,FALSE())</f>
        <v>Consumer</v>
      </c>
      <c r="K4471" s="1" t="str">
        <f aca="false">VLOOKUP(C4471,Products!$A$2:$E$62,3,FALSE())</f>
        <v>Software</v>
      </c>
      <c r="L4471" s="1" t="str">
        <f aca="false">TEXT(D4471,"yyyy-mm")</f>
        <v>2024-07</v>
      </c>
    </row>
    <row r="4472" customFormat="false" ht="15" hidden="false" customHeight="true" outlineLevel="0" collapsed="false">
      <c r="A4472" s="1" t="n">
        <v>4569</v>
      </c>
      <c r="B4472" s="1" t="n">
        <v>142</v>
      </c>
      <c r="C4472" s="1" t="n">
        <v>3</v>
      </c>
      <c r="D4472" s="1" t="s">
        <v>609</v>
      </c>
      <c r="E4472" s="1" t="n">
        <v>6</v>
      </c>
      <c r="F4472" s="1" t="n">
        <v>89.39</v>
      </c>
      <c r="G4472" s="1" t="n">
        <v>0.05</v>
      </c>
      <c r="H4472" s="1" t="s">
        <v>1336</v>
      </c>
      <c r="I4472" s="1" t="n">
        <v>509.52</v>
      </c>
      <c r="J4472" s="1" t="str">
        <f aca="false">VLOOKUP(B4472,Customers!$A$2:$G$502,6,FALSE())</f>
        <v>Small Business</v>
      </c>
      <c r="K4472" s="1" t="str">
        <f aca="false">VLOOKUP(C4472,Products!$A$2:$E$62,3,FALSE())</f>
        <v>Electronics</v>
      </c>
      <c r="L4472" s="1" t="str">
        <f aca="false">TEXT(D4472,"yyyy-mm")</f>
        <v>2023-03</v>
      </c>
    </row>
    <row r="4473" customFormat="false" ht="15" hidden="false" customHeight="true" outlineLevel="0" collapsed="false">
      <c r="A4473" s="1" t="n">
        <v>4570</v>
      </c>
      <c r="B4473" s="1" t="n">
        <v>104</v>
      </c>
      <c r="C4473" s="1" t="n">
        <v>38</v>
      </c>
      <c r="D4473" s="1" t="s">
        <v>452</v>
      </c>
      <c r="E4473" s="1" t="n">
        <v>8</v>
      </c>
      <c r="F4473" s="1" t="n">
        <v>521.63</v>
      </c>
      <c r="G4473" s="1" t="n">
        <v>0</v>
      </c>
      <c r="H4473" s="1" t="s">
        <v>1336</v>
      </c>
      <c r="I4473" s="1" t="n">
        <v>4173.04</v>
      </c>
      <c r="J4473" s="1" t="str">
        <f aca="false">VLOOKUP(B4473,Customers!$A$2:$G$502,6,FALSE())</f>
        <v>Corporate</v>
      </c>
      <c r="K4473" s="1" t="str">
        <f aca="false">VLOOKUP(C4473,Products!$A$2:$E$62,3,FALSE())</f>
        <v>Software</v>
      </c>
      <c r="L4473" s="1" t="str">
        <f aca="false">TEXT(D4473,"yyyy-mm")</f>
        <v>2023-02</v>
      </c>
    </row>
    <row r="4474" customFormat="false" ht="15" hidden="false" customHeight="true" outlineLevel="0" collapsed="false">
      <c r="A4474" s="1" t="n">
        <v>4571</v>
      </c>
      <c r="B4474" s="1" t="n">
        <v>46</v>
      </c>
      <c r="C4474" s="1" t="n">
        <v>35</v>
      </c>
      <c r="D4474" s="1" t="s">
        <v>109</v>
      </c>
      <c r="E4474" s="1" t="n">
        <v>6</v>
      </c>
      <c r="F4474" s="1" t="n">
        <v>75.78</v>
      </c>
      <c r="G4474" s="1" t="n">
        <v>0</v>
      </c>
      <c r="H4474" s="1" t="s">
        <v>1370</v>
      </c>
      <c r="I4474" s="1" t="n">
        <v>454.68</v>
      </c>
      <c r="J4474" s="1" t="str">
        <f aca="false">VLOOKUP(B4474,Customers!$A$2:$G$502,6,FALSE())</f>
        <v>Consumer</v>
      </c>
      <c r="K4474" s="1" t="str">
        <f aca="false">VLOOKUP(C4474,Products!$A$2:$E$62,3,FALSE())</f>
        <v>Software</v>
      </c>
      <c r="L4474" s="1" t="str">
        <f aca="false">TEXT(D4474,"yyyy-mm")</f>
        <v>2024-12</v>
      </c>
    </row>
    <row r="4475" customFormat="false" ht="15" hidden="false" customHeight="true" outlineLevel="0" collapsed="false">
      <c r="A4475" s="1" t="n">
        <v>4572</v>
      </c>
      <c r="B4475" s="1" t="n">
        <v>460</v>
      </c>
      <c r="C4475" s="1" t="n">
        <v>6</v>
      </c>
      <c r="D4475" s="1" t="s">
        <v>1188</v>
      </c>
      <c r="E4475" s="1" t="n">
        <v>3</v>
      </c>
      <c r="F4475" s="1" t="n">
        <v>28.51</v>
      </c>
      <c r="G4475" s="1" t="n">
        <v>0</v>
      </c>
      <c r="H4475" s="1" t="s">
        <v>1336</v>
      </c>
      <c r="I4475" s="1" t="n">
        <v>85.53</v>
      </c>
      <c r="J4475" s="1" t="str">
        <f aca="false">VLOOKUP(B4475,Customers!$A$2:$G$502,6,FALSE())</f>
        <v>Corporate</v>
      </c>
      <c r="K4475" s="1" t="str">
        <f aca="false">VLOOKUP(C4475,Products!$A$2:$E$62,3,FALSE())</f>
        <v>Electronics</v>
      </c>
      <c r="L4475" s="1" t="str">
        <f aca="false">TEXT(D4475,"yyyy-mm")</f>
        <v>2023-04</v>
      </c>
    </row>
    <row r="4476" customFormat="false" ht="15" hidden="false" customHeight="true" outlineLevel="0" collapsed="false">
      <c r="A4476" s="1" t="n">
        <v>4573</v>
      </c>
      <c r="B4476" s="1" t="n">
        <v>129</v>
      </c>
      <c r="C4476" s="1" t="n">
        <v>33</v>
      </c>
      <c r="D4476" s="1" t="s">
        <v>1613</v>
      </c>
      <c r="E4476" s="1" t="n">
        <v>4</v>
      </c>
      <c r="F4476" s="1" t="n">
        <v>190.1</v>
      </c>
      <c r="G4476" s="1" t="n">
        <v>0</v>
      </c>
      <c r="H4476" s="1" t="s">
        <v>1336</v>
      </c>
      <c r="I4476" s="1" t="n">
        <v>760.4</v>
      </c>
      <c r="J4476" s="1" t="str">
        <f aca="false">VLOOKUP(B4476,Customers!$A$2:$G$502,6,FALSE())</f>
        <v>Corporate</v>
      </c>
      <c r="K4476" s="1" t="str">
        <f aca="false">VLOOKUP(C4476,Products!$A$2:$E$62,3,FALSE())</f>
        <v>Office Supplies</v>
      </c>
      <c r="L4476" s="1" t="str">
        <f aca="false">TEXT(D4476,"yyyy-mm")</f>
        <v>2024-06</v>
      </c>
    </row>
    <row r="4477" customFormat="false" ht="15" hidden="false" customHeight="true" outlineLevel="0" collapsed="false">
      <c r="A4477" s="1" t="n">
        <v>4574</v>
      </c>
      <c r="B4477" s="1" t="n">
        <v>183</v>
      </c>
      <c r="C4477" s="1" t="n">
        <v>10</v>
      </c>
      <c r="D4477" s="1" t="s">
        <v>1445</v>
      </c>
      <c r="E4477" s="1" t="n">
        <v>3</v>
      </c>
      <c r="F4477" s="1" t="n">
        <v>251.58</v>
      </c>
      <c r="G4477" s="1" t="n">
        <v>0.05</v>
      </c>
      <c r="H4477" s="1" t="s">
        <v>1336</v>
      </c>
      <c r="I4477" s="1" t="n">
        <v>717</v>
      </c>
      <c r="J4477" s="1" t="str">
        <f aca="false">VLOOKUP(B4477,Customers!$A$2:$G$502,6,FALSE())</f>
        <v>Corporate</v>
      </c>
      <c r="K4477" s="1" t="str">
        <f aca="false">VLOOKUP(C4477,Products!$A$2:$E$62,3,FALSE())</f>
        <v>Electronics</v>
      </c>
      <c r="L4477" s="1" t="str">
        <f aca="false">TEXT(D4477,"yyyy-mm")</f>
        <v>2024-08</v>
      </c>
    </row>
    <row r="4478" customFormat="false" ht="15" hidden="false" customHeight="true" outlineLevel="0" collapsed="false">
      <c r="A4478" s="1" t="n">
        <v>4575</v>
      </c>
      <c r="B4478" s="1" t="n">
        <v>480</v>
      </c>
      <c r="C4478" s="1" t="n">
        <v>17</v>
      </c>
      <c r="D4478" s="1" t="s">
        <v>1686</v>
      </c>
      <c r="E4478" s="1" t="n">
        <v>1</v>
      </c>
      <c r="F4478" s="1" t="n">
        <v>65.61</v>
      </c>
      <c r="G4478" s="1" t="n">
        <v>0.05</v>
      </c>
      <c r="H4478" s="1" t="s">
        <v>1336</v>
      </c>
      <c r="I4478" s="1" t="n">
        <v>62.33</v>
      </c>
      <c r="J4478" s="1" t="str">
        <f aca="false">VLOOKUP(B4478,Customers!$A$2:$G$502,6,FALSE())</f>
        <v>Unknown</v>
      </c>
      <c r="K4478" s="1" t="str">
        <f aca="false">VLOOKUP(C4478,Products!$A$2:$E$62,3,FALSE())</f>
        <v>Electronics</v>
      </c>
      <c r="L4478" s="1" t="str">
        <f aca="false">TEXT(D4478,"yyyy-mm")</f>
        <v>2023-12</v>
      </c>
    </row>
    <row r="4479" customFormat="false" ht="15" hidden="false" customHeight="true" outlineLevel="0" collapsed="false">
      <c r="A4479" s="1" t="n">
        <v>4576</v>
      </c>
      <c r="B4479" s="1" t="n">
        <v>491</v>
      </c>
      <c r="C4479" s="1" t="n">
        <v>37</v>
      </c>
      <c r="D4479" s="1" t="s">
        <v>828</v>
      </c>
      <c r="E4479" s="1" t="n">
        <v>5</v>
      </c>
      <c r="F4479" s="1" t="n">
        <v>13.95</v>
      </c>
      <c r="G4479" s="1" t="n">
        <v>0</v>
      </c>
      <c r="H4479" s="1" t="s">
        <v>1336</v>
      </c>
      <c r="I4479" s="1" t="n">
        <v>69.75</v>
      </c>
      <c r="J4479" s="1" t="str">
        <f aca="false">VLOOKUP(B4479,Customers!$A$2:$G$502,6,FALSE())</f>
        <v>Small Business</v>
      </c>
      <c r="K4479" s="1" t="str">
        <f aca="false">VLOOKUP(C4479,Products!$A$2:$E$62,3,FALSE())</f>
        <v>Software</v>
      </c>
      <c r="L4479" s="1" t="str">
        <f aca="false">TEXT(D4479,"yyyy-mm")</f>
        <v>2024-07</v>
      </c>
    </row>
    <row r="4480" customFormat="false" ht="15" hidden="false" customHeight="true" outlineLevel="0" collapsed="false">
      <c r="A4480" s="1" t="n">
        <v>4577</v>
      </c>
      <c r="B4480" s="1" t="n">
        <v>169</v>
      </c>
      <c r="C4480" s="1" t="n">
        <v>23</v>
      </c>
      <c r="D4480" s="1" t="s">
        <v>701</v>
      </c>
      <c r="E4480" s="1" t="n">
        <v>1</v>
      </c>
      <c r="F4480" s="1" t="n">
        <v>188.73</v>
      </c>
      <c r="G4480" s="1" t="n">
        <v>0.05</v>
      </c>
      <c r="H4480" s="1" t="s">
        <v>1346</v>
      </c>
      <c r="I4480" s="1" t="n">
        <v>179.29</v>
      </c>
      <c r="J4480" s="1" t="str">
        <f aca="false">VLOOKUP(B4480,Customers!$A$2:$G$502,6,FALSE())</f>
        <v>Consumer</v>
      </c>
      <c r="K4480" s="1" t="str">
        <f aca="false">VLOOKUP(C4480,Products!$A$2:$E$62,3,FALSE())</f>
        <v>Office Supplies</v>
      </c>
      <c r="L4480" s="1" t="str">
        <f aca="false">TEXT(D4480,"yyyy-mm")</f>
        <v>2024-02</v>
      </c>
    </row>
    <row r="4481" customFormat="false" ht="15" hidden="false" customHeight="true" outlineLevel="0" collapsed="false">
      <c r="A4481" s="1" t="n">
        <v>4578</v>
      </c>
      <c r="B4481" s="1" t="n">
        <v>105</v>
      </c>
      <c r="C4481" s="1" t="n">
        <v>52</v>
      </c>
      <c r="D4481" s="1" t="s">
        <v>112</v>
      </c>
      <c r="E4481" s="1" t="n">
        <v>1</v>
      </c>
      <c r="F4481" s="1" t="n">
        <v>207.67</v>
      </c>
      <c r="G4481" s="1" t="n">
        <v>0.15</v>
      </c>
      <c r="H4481" s="1" t="s">
        <v>1336</v>
      </c>
      <c r="I4481" s="1" t="n">
        <v>176.52</v>
      </c>
      <c r="J4481" s="1" t="str">
        <f aca="false">VLOOKUP(B4481,Customers!$A$2:$G$502,6,FALSE())</f>
        <v>Corporate</v>
      </c>
      <c r="K4481" s="1" t="str">
        <f aca="false">VLOOKUP(C4481,Products!$A$2:$E$62,3,FALSE())</f>
        <v>Software</v>
      </c>
      <c r="L4481" s="1" t="str">
        <f aca="false">TEXT(D4481,"yyyy-mm")</f>
        <v>2024-07</v>
      </c>
    </row>
    <row r="4482" customFormat="false" ht="15" hidden="false" customHeight="true" outlineLevel="0" collapsed="false">
      <c r="A4482" s="1" t="n">
        <v>4579</v>
      </c>
      <c r="B4482" s="1" t="n">
        <v>341</v>
      </c>
      <c r="C4482" s="1" t="n">
        <v>17</v>
      </c>
      <c r="D4482" s="1" t="s">
        <v>449</v>
      </c>
      <c r="E4482" s="1" t="n">
        <v>2</v>
      </c>
      <c r="F4482" s="1" t="n">
        <v>65.61</v>
      </c>
      <c r="G4482" s="1" t="n">
        <v>0.05</v>
      </c>
      <c r="H4482" s="1" t="s">
        <v>1336</v>
      </c>
      <c r="I4482" s="1" t="n">
        <v>124.66</v>
      </c>
      <c r="J4482" s="1" t="str">
        <f aca="false">VLOOKUP(B4482,Customers!$A$2:$G$502,6,FALSE())</f>
        <v>Small Business</v>
      </c>
      <c r="K4482" s="1" t="str">
        <f aca="false">VLOOKUP(C4482,Products!$A$2:$E$62,3,FALSE())</f>
        <v>Electronics</v>
      </c>
      <c r="L4482" s="1" t="str">
        <f aca="false">TEXT(D4482,"yyyy-mm")</f>
        <v>2023-03</v>
      </c>
    </row>
    <row r="4483" customFormat="false" ht="15" hidden="false" customHeight="true" outlineLevel="0" collapsed="false">
      <c r="A4483" s="1" t="n">
        <v>4580</v>
      </c>
      <c r="B4483" s="1" t="n">
        <v>463</v>
      </c>
      <c r="C4483" s="1" t="n">
        <v>3</v>
      </c>
      <c r="D4483" s="1" t="s">
        <v>651</v>
      </c>
      <c r="E4483" s="1" t="n">
        <v>4</v>
      </c>
      <c r="F4483" s="1" t="n">
        <v>89.39</v>
      </c>
      <c r="G4483" s="1" t="n">
        <v>0</v>
      </c>
      <c r="H4483" s="1" t="s">
        <v>1336</v>
      </c>
      <c r="I4483" s="1" t="n">
        <v>357.56</v>
      </c>
      <c r="J4483" s="1" t="str">
        <f aca="false">VLOOKUP(B4483,Customers!$A$2:$G$502,6,FALSE())</f>
        <v>Consumer</v>
      </c>
      <c r="K4483" s="1" t="str">
        <f aca="false">VLOOKUP(C4483,Products!$A$2:$E$62,3,FALSE())</f>
        <v>Electronics</v>
      </c>
      <c r="L4483" s="1" t="str">
        <f aca="false">TEXT(D4483,"yyyy-mm")</f>
        <v>2024-12</v>
      </c>
    </row>
    <row r="4484" customFormat="false" ht="15" hidden="false" customHeight="true" outlineLevel="0" collapsed="false">
      <c r="A4484" s="1" t="n">
        <v>4581</v>
      </c>
      <c r="B4484" s="1" t="n">
        <v>470</v>
      </c>
      <c r="C4484" s="1" t="n">
        <v>48</v>
      </c>
      <c r="D4484" s="1" t="s">
        <v>1495</v>
      </c>
      <c r="E4484" s="1" t="n">
        <v>6</v>
      </c>
      <c r="F4484" s="1" t="n">
        <v>493.53</v>
      </c>
      <c r="G4484" s="1" t="n">
        <v>0</v>
      </c>
      <c r="H4484" s="1" t="s">
        <v>1336</v>
      </c>
      <c r="I4484" s="1" t="n">
        <v>2961.18</v>
      </c>
      <c r="J4484" s="1" t="str">
        <f aca="false">VLOOKUP(B4484,Customers!$A$2:$G$502,6,FALSE())</f>
        <v>Corporate</v>
      </c>
      <c r="K4484" s="1" t="str">
        <f aca="false">VLOOKUP(C4484,Products!$A$2:$E$62,3,FALSE())</f>
        <v>Software</v>
      </c>
      <c r="L4484" s="1" t="str">
        <f aca="false">TEXT(D4484,"yyyy-mm")</f>
        <v>2024-03</v>
      </c>
    </row>
    <row r="4485" customFormat="false" ht="15" hidden="false" customHeight="true" outlineLevel="0" collapsed="false">
      <c r="A4485" s="1" t="n">
        <v>4582</v>
      </c>
      <c r="B4485" s="1" t="n">
        <v>216</v>
      </c>
      <c r="C4485" s="1" t="n">
        <v>46</v>
      </c>
      <c r="D4485" s="1" t="s">
        <v>1418</v>
      </c>
      <c r="E4485" s="1" t="n">
        <v>8</v>
      </c>
      <c r="F4485" s="1" t="n">
        <v>94.92</v>
      </c>
      <c r="G4485" s="1" t="n">
        <v>0.1</v>
      </c>
      <c r="H4485" s="1" t="s">
        <v>1336</v>
      </c>
      <c r="I4485" s="1" t="n">
        <v>683.42</v>
      </c>
      <c r="J4485" s="1" t="str">
        <f aca="false">VLOOKUP(B4485,Customers!$A$2:$G$502,6,FALSE())</f>
        <v>Consumer</v>
      </c>
      <c r="K4485" s="1" t="str">
        <f aca="false">VLOOKUP(C4485,Products!$A$2:$E$62,3,FALSE())</f>
        <v>Software</v>
      </c>
      <c r="L4485" s="1" t="str">
        <f aca="false">TEXT(D4485,"yyyy-mm")</f>
        <v>2023-06</v>
      </c>
    </row>
    <row r="4486" customFormat="false" ht="15" hidden="false" customHeight="true" outlineLevel="0" collapsed="false">
      <c r="A4486" s="1" t="n">
        <v>4583</v>
      </c>
      <c r="B4486" s="1" t="n">
        <v>71</v>
      </c>
      <c r="C4486" s="1" t="n">
        <v>28</v>
      </c>
      <c r="D4486" s="1" t="s">
        <v>1589</v>
      </c>
      <c r="E4486" s="1" t="n">
        <v>3</v>
      </c>
      <c r="F4486" s="1" t="n">
        <v>505.23</v>
      </c>
      <c r="G4486" s="1" t="n">
        <v>0.2</v>
      </c>
      <c r="H4486" s="1" t="s">
        <v>1336</v>
      </c>
      <c r="I4486" s="1" t="n">
        <v>1212.55</v>
      </c>
      <c r="J4486" s="1" t="str">
        <f aca="false">VLOOKUP(B4486,Customers!$A$2:$G$502,6,FALSE())</f>
        <v>Corporate</v>
      </c>
      <c r="K4486" s="1" t="str">
        <f aca="false">VLOOKUP(C4486,Products!$A$2:$E$62,3,FALSE())</f>
        <v>Office Supplies</v>
      </c>
      <c r="L4486" s="1" t="str">
        <f aca="false">TEXT(D4486,"yyyy-mm")</f>
        <v>2024-06</v>
      </c>
    </row>
    <row r="4487" customFormat="false" ht="15" hidden="false" customHeight="true" outlineLevel="0" collapsed="false">
      <c r="A4487" s="1" t="n">
        <v>4584</v>
      </c>
      <c r="B4487" s="1" t="n">
        <v>223</v>
      </c>
      <c r="C4487" s="1" t="n">
        <v>31</v>
      </c>
      <c r="D4487" s="1" t="s">
        <v>1083</v>
      </c>
      <c r="E4487" s="1" t="n">
        <v>1</v>
      </c>
      <c r="F4487" s="1" t="n">
        <v>224.86</v>
      </c>
      <c r="G4487" s="1" t="n">
        <v>0.15</v>
      </c>
      <c r="H4487" s="1" t="s">
        <v>1336</v>
      </c>
      <c r="I4487" s="1" t="n">
        <v>191.13</v>
      </c>
      <c r="J4487" s="1" t="str">
        <f aca="false">VLOOKUP(B4487,Customers!$A$2:$G$502,6,FALSE())</f>
        <v>Consumer</v>
      </c>
      <c r="K4487" s="1" t="str">
        <f aca="false">VLOOKUP(C4487,Products!$A$2:$E$62,3,FALSE())</f>
        <v>Office Supplies</v>
      </c>
      <c r="L4487" s="1" t="str">
        <f aca="false">TEXT(D4487,"yyyy-mm")</f>
        <v>2024-08</v>
      </c>
    </row>
    <row r="4488" customFormat="false" ht="15" hidden="false" customHeight="true" outlineLevel="0" collapsed="false">
      <c r="A4488" s="1" t="n">
        <v>4585</v>
      </c>
      <c r="B4488" s="1" t="n">
        <v>3</v>
      </c>
      <c r="C4488" s="1" t="n">
        <v>9</v>
      </c>
      <c r="D4488" s="1" t="s">
        <v>1099</v>
      </c>
      <c r="E4488" s="1" t="n">
        <v>3</v>
      </c>
      <c r="F4488" s="1" t="n">
        <v>203.1</v>
      </c>
      <c r="G4488" s="1" t="n">
        <v>0.2</v>
      </c>
      <c r="H4488" s="1" t="s">
        <v>1336</v>
      </c>
      <c r="I4488" s="1" t="n">
        <v>487.44</v>
      </c>
      <c r="J4488" s="1" t="str">
        <f aca="false">VLOOKUP(B4488,Customers!$A$2:$G$502,6,FALSE())</f>
        <v>Corporate</v>
      </c>
      <c r="K4488" s="1" t="str">
        <f aca="false">VLOOKUP(C4488,Products!$A$2:$E$62,3,FALSE())</f>
        <v>Electronics</v>
      </c>
      <c r="L4488" s="1" t="str">
        <f aca="false">TEXT(D4488,"yyyy-mm")</f>
        <v>2024-11</v>
      </c>
    </row>
    <row r="4489" customFormat="false" ht="15" hidden="false" customHeight="true" outlineLevel="0" collapsed="false">
      <c r="A4489" s="1" t="n">
        <v>4587</v>
      </c>
      <c r="B4489" s="1" t="n">
        <v>277</v>
      </c>
      <c r="C4489" s="1" t="n">
        <v>43</v>
      </c>
      <c r="D4489" s="1" t="s">
        <v>1202</v>
      </c>
      <c r="E4489" s="1" t="n">
        <v>5</v>
      </c>
      <c r="F4489" s="1" t="n">
        <v>186.31</v>
      </c>
      <c r="G4489" s="1" t="n">
        <v>0</v>
      </c>
      <c r="H4489" s="1" t="s">
        <v>1336</v>
      </c>
      <c r="I4489" s="1" t="n">
        <v>931.55</v>
      </c>
      <c r="J4489" s="1" t="str">
        <f aca="false">VLOOKUP(B4489,Customers!$A$2:$G$502,6,FALSE())</f>
        <v>Corporate</v>
      </c>
      <c r="K4489" s="1" t="str">
        <f aca="false">VLOOKUP(C4489,Products!$A$2:$E$62,3,FALSE())</f>
        <v>Software</v>
      </c>
      <c r="L4489" s="1" t="str">
        <f aca="false">TEXT(D4489,"yyyy-mm")</f>
        <v>2024-04</v>
      </c>
    </row>
    <row r="4490" customFormat="false" ht="15" hidden="false" customHeight="true" outlineLevel="0" collapsed="false">
      <c r="A4490" s="1" t="n">
        <v>4588</v>
      </c>
      <c r="B4490" s="1" t="n">
        <v>327</v>
      </c>
      <c r="C4490" s="1" t="n">
        <v>5</v>
      </c>
      <c r="D4490" s="1" t="s">
        <v>969</v>
      </c>
      <c r="E4490" s="1" t="n">
        <v>4</v>
      </c>
      <c r="F4490" s="1" t="n">
        <v>439.06</v>
      </c>
      <c r="G4490" s="1" t="n">
        <v>0</v>
      </c>
      <c r="H4490" s="1" t="s">
        <v>1336</v>
      </c>
      <c r="I4490" s="1" t="n">
        <v>1756.24</v>
      </c>
      <c r="J4490" s="1" t="str">
        <f aca="false">VLOOKUP(B4490,Customers!$A$2:$G$502,6,FALSE())</f>
        <v>Consumer</v>
      </c>
      <c r="K4490" s="1" t="str">
        <f aca="false">VLOOKUP(C4490,Products!$A$2:$E$62,3,FALSE())</f>
        <v>Electronics</v>
      </c>
      <c r="L4490" s="1" t="str">
        <f aca="false">TEXT(D4490,"yyyy-mm")</f>
        <v>2024-08</v>
      </c>
    </row>
    <row r="4491" customFormat="false" ht="15" hidden="false" customHeight="true" outlineLevel="0" collapsed="false">
      <c r="A4491" s="1" t="n">
        <v>4589</v>
      </c>
      <c r="B4491" s="1" t="n">
        <v>424</v>
      </c>
      <c r="C4491" s="1" t="n">
        <v>20</v>
      </c>
      <c r="D4491" s="1" t="s">
        <v>1581</v>
      </c>
      <c r="E4491" s="1" t="n">
        <v>4</v>
      </c>
      <c r="F4491" s="1" t="n">
        <v>426.15</v>
      </c>
      <c r="G4491" s="1" t="n">
        <v>0.05</v>
      </c>
      <c r="H4491" s="1" t="s">
        <v>1336</v>
      </c>
      <c r="I4491" s="1" t="n">
        <v>1619.37</v>
      </c>
      <c r="J4491" s="1" t="str">
        <f aca="false">VLOOKUP(B4491,Customers!$A$2:$G$502,6,FALSE())</f>
        <v>Small Business</v>
      </c>
      <c r="K4491" s="1" t="str">
        <f aca="false">VLOOKUP(C4491,Products!$A$2:$E$62,3,FALSE())</f>
        <v>Office Supplies</v>
      </c>
      <c r="L4491" s="1" t="str">
        <f aca="false">TEXT(D4491,"yyyy-mm")</f>
        <v>2023-10</v>
      </c>
    </row>
    <row r="4492" customFormat="false" ht="15" hidden="false" customHeight="true" outlineLevel="0" collapsed="false">
      <c r="A4492" s="1" t="n">
        <v>4590</v>
      </c>
      <c r="B4492" s="1" t="n">
        <v>209</v>
      </c>
      <c r="C4492" s="1" t="n">
        <v>14</v>
      </c>
      <c r="D4492" s="1" t="s">
        <v>1120</v>
      </c>
      <c r="E4492" s="1" t="n">
        <v>9</v>
      </c>
      <c r="F4492" s="1" t="n">
        <v>135.27</v>
      </c>
      <c r="G4492" s="1" t="n">
        <v>0.2</v>
      </c>
      <c r="H4492" s="1" t="s">
        <v>1336</v>
      </c>
      <c r="I4492" s="1" t="n">
        <v>973.94</v>
      </c>
      <c r="J4492" s="1" t="str">
        <f aca="false">VLOOKUP(B4492,Customers!$A$2:$G$502,6,FALSE())</f>
        <v>Small Business</v>
      </c>
      <c r="K4492" s="1" t="str">
        <f aca="false">VLOOKUP(C4492,Products!$A$2:$E$62,3,FALSE())</f>
        <v>Electronics</v>
      </c>
      <c r="L4492" s="1" t="str">
        <f aca="false">TEXT(D4492,"yyyy-mm")</f>
        <v>2024-10</v>
      </c>
    </row>
    <row r="4493" customFormat="false" ht="15" hidden="false" customHeight="true" outlineLevel="0" collapsed="false">
      <c r="A4493" s="1" t="n">
        <v>4591</v>
      </c>
      <c r="B4493" s="1" t="n">
        <v>80</v>
      </c>
      <c r="C4493" s="1" t="n">
        <v>19</v>
      </c>
      <c r="D4493" s="1" t="s">
        <v>1345</v>
      </c>
      <c r="E4493" s="1" t="n">
        <v>7</v>
      </c>
      <c r="F4493" s="1" t="n">
        <v>163.64</v>
      </c>
      <c r="G4493" s="1" t="n">
        <v>0.15</v>
      </c>
      <c r="H4493" s="1" t="s">
        <v>1336</v>
      </c>
      <c r="I4493" s="1" t="n">
        <v>973.66</v>
      </c>
      <c r="J4493" s="1" t="str">
        <f aca="false">VLOOKUP(B4493,Customers!$A$2:$G$502,6,FALSE())</f>
        <v>Consumer</v>
      </c>
      <c r="K4493" s="1" t="str">
        <f aca="false">VLOOKUP(C4493,Products!$A$2:$E$62,3,FALSE())</f>
        <v>Office Supplies</v>
      </c>
      <c r="L4493" s="1" t="str">
        <f aca="false">TEXT(D4493,"yyyy-mm")</f>
        <v>2023-07</v>
      </c>
    </row>
    <row r="4494" customFormat="false" ht="15" hidden="false" customHeight="true" outlineLevel="0" collapsed="false">
      <c r="A4494" s="1" t="n">
        <v>4592</v>
      </c>
      <c r="B4494" s="1" t="n">
        <v>489</v>
      </c>
      <c r="C4494" s="1" t="n">
        <v>18</v>
      </c>
      <c r="D4494" s="1" t="s">
        <v>642</v>
      </c>
      <c r="E4494" s="1" t="n">
        <v>4</v>
      </c>
      <c r="F4494" s="1" t="n">
        <v>747.34</v>
      </c>
      <c r="G4494" s="1" t="n">
        <v>0</v>
      </c>
      <c r="H4494" s="1" t="s">
        <v>1336</v>
      </c>
      <c r="I4494" s="1" t="n">
        <v>2989.36</v>
      </c>
      <c r="J4494" s="1" t="str">
        <f aca="false">VLOOKUP(B4494,Customers!$A$2:$G$502,6,FALSE())</f>
        <v>Small Business</v>
      </c>
      <c r="K4494" s="1" t="str">
        <f aca="false">VLOOKUP(C4494,Products!$A$2:$E$62,3,FALSE())</f>
        <v>Electronics</v>
      </c>
      <c r="L4494" s="1" t="str">
        <f aca="false">TEXT(D4494,"yyyy-mm")</f>
        <v>2023-01</v>
      </c>
    </row>
    <row r="4495" customFormat="false" ht="15" hidden="false" customHeight="true" outlineLevel="0" collapsed="false">
      <c r="A4495" s="1" t="n">
        <v>4593</v>
      </c>
      <c r="B4495" s="1" t="n">
        <v>388</v>
      </c>
      <c r="C4495" s="1" t="n">
        <v>34</v>
      </c>
      <c r="D4495" s="1" t="s">
        <v>1530</v>
      </c>
      <c r="E4495" s="1" t="n">
        <v>3</v>
      </c>
      <c r="F4495" s="1" t="n">
        <v>116.85</v>
      </c>
      <c r="G4495" s="1" t="n">
        <v>0</v>
      </c>
      <c r="H4495" s="1" t="s">
        <v>1336</v>
      </c>
      <c r="I4495" s="1" t="n">
        <v>350.55</v>
      </c>
      <c r="J4495" s="1" t="str">
        <f aca="false">VLOOKUP(B4495,Customers!$A$2:$G$502,6,FALSE())</f>
        <v>Corporate</v>
      </c>
      <c r="K4495" s="1" t="str">
        <f aca="false">VLOOKUP(C4495,Products!$A$2:$E$62,3,FALSE())</f>
        <v>Office Supplies</v>
      </c>
      <c r="L4495" s="1" t="str">
        <f aca="false">TEXT(D4495,"yyyy-mm")</f>
        <v>2023-10</v>
      </c>
    </row>
    <row r="4496" customFormat="false" ht="15" hidden="false" customHeight="true" outlineLevel="0" collapsed="false">
      <c r="A4496" s="1" t="n">
        <v>4595</v>
      </c>
      <c r="B4496" s="1" t="n">
        <v>489</v>
      </c>
      <c r="C4496" s="1" t="n">
        <v>48</v>
      </c>
      <c r="D4496" s="1" t="s">
        <v>1563</v>
      </c>
      <c r="E4496" s="1" t="n">
        <v>3</v>
      </c>
      <c r="F4496" s="1" t="n">
        <v>493.53</v>
      </c>
      <c r="G4496" s="1" t="n">
        <v>0</v>
      </c>
      <c r="H4496" s="1" t="s">
        <v>1336</v>
      </c>
      <c r="I4496" s="1" t="n">
        <v>1480.59</v>
      </c>
      <c r="J4496" s="1" t="str">
        <f aca="false">VLOOKUP(B4496,Customers!$A$2:$G$502,6,FALSE())</f>
        <v>Small Business</v>
      </c>
      <c r="K4496" s="1" t="str">
        <f aca="false">VLOOKUP(C4496,Products!$A$2:$E$62,3,FALSE())</f>
        <v>Software</v>
      </c>
      <c r="L4496" s="1" t="str">
        <f aca="false">TEXT(D4496,"yyyy-mm")</f>
        <v>2024-09</v>
      </c>
    </row>
    <row r="4497" customFormat="false" ht="15" hidden="false" customHeight="true" outlineLevel="0" collapsed="false">
      <c r="A4497" s="1" t="n">
        <v>4597</v>
      </c>
      <c r="B4497" s="1" t="n">
        <v>476</v>
      </c>
      <c r="C4497" s="1" t="n">
        <v>51</v>
      </c>
      <c r="D4497" s="1" t="s">
        <v>1380</v>
      </c>
      <c r="E4497" s="1" t="n">
        <v>9</v>
      </c>
      <c r="F4497" s="1" t="n">
        <v>30.16</v>
      </c>
      <c r="G4497" s="1" t="n">
        <v>0</v>
      </c>
      <c r="H4497" s="1" t="s">
        <v>1336</v>
      </c>
      <c r="I4497" s="1" t="n">
        <v>271.44</v>
      </c>
      <c r="J4497" s="1" t="str">
        <f aca="false">VLOOKUP(B4497,Customers!$A$2:$G$502,6,FALSE())</f>
        <v>Small Business</v>
      </c>
      <c r="K4497" s="1" t="str">
        <f aca="false">VLOOKUP(C4497,Products!$A$2:$E$62,3,FALSE())</f>
        <v>Software</v>
      </c>
      <c r="L4497" s="1" t="str">
        <f aca="false">TEXT(D4497,"yyyy-mm")</f>
        <v>2023-07</v>
      </c>
    </row>
    <row r="4498" customFormat="false" ht="15" hidden="false" customHeight="true" outlineLevel="0" collapsed="false">
      <c r="A4498" s="1" t="n">
        <v>4598</v>
      </c>
      <c r="B4498" s="1" t="n">
        <v>286</v>
      </c>
      <c r="C4498" s="1" t="n">
        <v>12</v>
      </c>
      <c r="D4498" s="1" t="s">
        <v>443</v>
      </c>
      <c r="E4498" s="1" t="n">
        <v>6</v>
      </c>
      <c r="F4498" s="1" t="n">
        <v>179.23</v>
      </c>
      <c r="G4498" s="1" t="n">
        <v>0.15</v>
      </c>
      <c r="H4498" s="1" t="s">
        <v>1336</v>
      </c>
      <c r="I4498" s="1" t="n">
        <v>914.07</v>
      </c>
      <c r="J4498" s="1" t="str">
        <f aca="false">VLOOKUP(B4498,Customers!$A$2:$G$502,6,FALSE())</f>
        <v>Corporate</v>
      </c>
      <c r="K4498" s="1" t="str">
        <f aca="false">VLOOKUP(C4498,Products!$A$2:$E$62,3,FALSE())</f>
        <v>Electronics</v>
      </c>
      <c r="L4498" s="1" t="str">
        <f aca="false">TEXT(D4498,"yyyy-mm")</f>
        <v>2023-08</v>
      </c>
    </row>
    <row r="4499" customFormat="false" ht="15" hidden="false" customHeight="true" outlineLevel="0" collapsed="false">
      <c r="A4499" s="1" t="n">
        <v>4599</v>
      </c>
      <c r="B4499" s="1" t="n">
        <v>446</v>
      </c>
      <c r="C4499" s="1" t="n">
        <v>32</v>
      </c>
      <c r="D4499" s="1" t="s">
        <v>1672</v>
      </c>
      <c r="E4499" s="1" t="n">
        <v>4</v>
      </c>
      <c r="F4499" s="1" t="n">
        <v>492.27</v>
      </c>
      <c r="G4499" s="1" t="n">
        <v>0.15</v>
      </c>
      <c r="H4499" s="1" t="s">
        <v>1336</v>
      </c>
      <c r="I4499" s="1" t="n">
        <v>1673.72</v>
      </c>
      <c r="J4499" s="1" t="str">
        <f aca="false">VLOOKUP(B4499,Customers!$A$2:$G$502,6,FALSE())</f>
        <v>Small Business</v>
      </c>
      <c r="K4499" s="1" t="str">
        <f aca="false">VLOOKUP(C4499,Products!$A$2:$E$62,3,FALSE())</f>
        <v>Office Supplies</v>
      </c>
      <c r="L4499" s="1" t="str">
        <f aca="false">TEXT(D4499,"yyyy-mm")</f>
        <v>2024-05</v>
      </c>
    </row>
    <row r="4500" customFormat="false" ht="15" hidden="false" customHeight="true" outlineLevel="0" collapsed="false">
      <c r="A4500" s="1" t="n">
        <v>4600</v>
      </c>
      <c r="B4500" s="1" t="n">
        <v>204</v>
      </c>
      <c r="C4500" s="1" t="n">
        <v>5</v>
      </c>
      <c r="D4500" s="1" t="s">
        <v>130</v>
      </c>
      <c r="E4500" s="1" t="n">
        <v>5</v>
      </c>
      <c r="F4500" s="1" t="n">
        <v>439.06</v>
      </c>
      <c r="G4500" s="1" t="n">
        <v>0</v>
      </c>
      <c r="H4500" s="1" t="s">
        <v>1336</v>
      </c>
      <c r="I4500" s="1" t="n">
        <v>2195.3</v>
      </c>
      <c r="J4500" s="1" t="str">
        <f aca="false">VLOOKUP(B4500,Customers!$A$2:$G$502,6,FALSE())</f>
        <v>Small Business</v>
      </c>
      <c r="K4500" s="1" t="str">
        <f aca="false">VLOOKUP(C4500,Products!$A$2:$E$62,3,FALSE())</f>
        <v>Electronics</v>
      </c>
      <c r="L4500" s="1" t="str">
        <f aca="false">TEXT(D4500,"yyyy-mm")</f>
        <v>2024-03</v>
      </c>
    </row>
    <row r="4501" customFormat="false" ht="15" hidden="false" customHeight="true" outlineLevel="0" collapsed="false">
      <c r="A4501" s="1" t="n">
        <v>4601</v>
      </c>
      <c r="B4501" s="1" t="n">
        <v>286</v>
      </c>
      <c r="C4501" s="1" t="n">
        <v>60</v>
      </c>
      <c r="D4501" s="1" t="s">
        <v>764</v>
      </c>
      <c r="E4501" s="1" t="n">
        <v>6</v>
      </c>
      <c r="F4501" s="1" t="n">
        <v>584.98</v>
      </c>
      <c r="G4501" s="1" t="n">
        <v>0</v>
      </c>
      <c r="H4501" s="1" t="s">
        <v>1336</v>
      </c>
      <c r="I4501" s="1" t="n">
        <v>3509.88</v>
      </c>
      <c r="J4501" s="1" t="str">
        <f aca="false">VLOOKUP(B4501,Customers!$A$2:$G$502,6,FALSE())</f>
        <v>Corporate</v>
      </c>
      <c r="K4501" s="1" t="str">
        <f aca="false">VLOOKUP(C4501,Products!$A$2:$E$62,3,FALSE())</f>
        <v>Furniture</v>
      </c>
      <c r="L4501" s="1" t="str">
        <f aca="false">TEXT(D4501,"yyyy-mm")</f>
        <v>2023-04</v>
      </c>
    </row>
    <row r="4502" customFormat="false" ht="15" hidden="false" customHeight="true" outlineLevel="0" collapsed="false">
      <c r="A4502" s="1" t="n">
        <v>4602</v>
      </c>
      <c r="B4502" s="1" t="n">
        <v>55</v>
      </c>
      <c r="C4502" s="1" t="n">
        <v>22</v>
      </c>
      <c r="D4502" s="1" t="s">
        <v>1455</v>
      </c>
      <c r="E4502" s="1" t="n">
        <v>3</v>
      </c>
      <c r="F4502" s="1" t="n">
        <v>38.57</v>
      </c>
      <c r="G4502" s="1" t="n">
        <v>0</v>
      </c>
      <c r="H4502" s="1" t="s">
        <v>1336</v>
      </c>
      <c r="I4502" s="1" t="n">
        <v>115.71</v>
      </c>
      <c r="J4502" s="1" t="str">
        <f aca="false">VLOOKUP(B4502,Customers!$A$2:$G$502,6,FALSE())</f>
        <v>Consumer</v>
      </c>
      <c r="K4502" s="1" t="str">
        <f aca="false">VLOOKUP(C4502,Products!$A$2:$E$62,3,FALSE())</f>
        <v>Office Supplies</v>
      </c>
      <c r="L4502" s="1" t="str">
        <f aca="false">TEXT(D4502,"yyyy-mm")</f>
        <v>2024-11</v>
      </c>
    </row>
    <row r="4503" customFormat="false" ht="15" hidden="false" customHeight="true" outlineLevel="0" collapsed="false">
      <c r="A4503" s="1" t="n">
        <v>4603</v>
      </c>
      <c r="B4503" s="1" t="n">
        <v>311</v>
      </c>
      <c r="C4503" s="1" t="n">
        <v>18</v>
      </c>
      <c r="D4503" s="1" t="s">
        <v>257</v>
      </c>
      <c r="E4503" s="1" t="n">
        <v>8</v>
      </c>
      <c r="F4503" s="1" t="n">
        <v>747.34</v>
      </c>
      <c r="G4503" s="1" t="n">
        <v>0.05</v>
      </c>
      <c r="H4503" s="1" t="s">
        <v>1336</v>
      </c>
      <c r="I4503" s="1" t="n">
        <v>5679.78</v>
      </c>
      <c r="J4503" s="1" t="str">
        <f aca="false">VLOOKUP(B4503,Customers!$A$2:$G$502,6,FALSE())</f>
        <v>Consumer</v>
      </c>
      <c r="K4503" s="1" t="str">
        <f aca="false">VLOOKUP(C4503,Products!$A$2:$E$62,3,FALSE())</f>
        <v>Electronics</v>
      </c>
      <c r="L4503" s="1" t="str">
        <f aca="false">TEXT(D4503,"yyyy-mm")</f>
        <v>2023-07</v>
      </c>
    </row>
    <row r="4504" customFormat="false" ht="15" hidden="false" customHeight="true" outlineLevel="0" collapsed="false">
      <c r="A4504" s="1" t="n">
        <v>4604</v>
      </c>
      <c r="B4504" s="1" t="n">
        <v>479</v>
      </c>
      <c r="C4504" s="1" t="n">
        <v>42</v>
      </c>
      <c r="D4504" s="1" t="s">
        <v>1450</v>
      </c>
      <c r="E4504" s="1" t="n">
        <v>4</v>
      </c>
      <c r="F4504" s="1" t="n">
        <v>174.48</v>
      </c>
      <c r="G4504" s="1" t="n">
        <v>0</v>
      </c>
      <c r="H4504" s="1" t="s">
        <v>1346</v>
      </c>
      <c r="I4504" s="1" t="n">
        <v>697.92</v>
      </c>
      <c r="J4504" s="1" t="str">
        <f aca="false">VLOOKUP(B4504,Customers!$A$2:$G$502,6,FALSE())</f>
        <v>Small Business</v>
      </c>
      <c r="K4504" s="1" t="str">
        <f aca="false">VLOOKUP(C4504,Products!$A$2:$E$62,3,FALSE())</f>
        <v>Software</v>
      </c>
      <c r="L4504" s="1" t="str">
        <f aca="false">TEXT(D4504,"yyyy-mm")</f>
        <v>2023-04</v>
      </c>
    </row>
    <row r="4505" customFormat="false" ht="15" hidden="false" customHeight="true" outlineLevel="0" collapsed="false">
      <c r="A4505" s="1" t="n">
        <v>4605</v>
      </c>
      <c r="B4505" s="1" t="n">
        <v>26</v>
      </c>
      <c r="C4505" s="1" t="n">
        <v>28</v>
      </c>
      <c r="D4505" s="1" t="s">
        <v>572</v>
      </c>
      <c r="E4505" s="1" t="n">
        <v>8</v>
      </c>
      <c r="F4505" s="1" t="n">
        <v>505.23</v>
      </c>
      <c r="G4505" s="1" t="n">
        <v>0.05</v>
      </c>
      <c r="H4505" s="1" t="s">
        <v>1336</v>
      </c>
      <c r="I4505" s="1" t="n">
        <v>3839.75</v>
      </c>
      <c r="J4505" s="1" t="str">
        <f aca="false">VLOOKUP(B4505,Customers!$A$2:$G$502,6,FALSE())</f>
        <v>Consumer</v>
      </c>
      <c r="K4505" s="1" t="str">
        <f aca="false">VLOOKUP(C4505,Products!$A$2:$E$62,3,FALSE())</f>
        <v>Office Supplies</v>
      </c>
      <c r="L4505" s="1" t="str">
        <f aca="false">TEXT(D4505,"yyyy-mm")</f>
        <v>2023-06</v>
      </c>
    </row>
    <row r="4506" customFormat="false" ht="15" hidden="false" customHeight="true" outlineLevel="0" collapsed="false">
      <c r="A4506" s="1" t="n">
        <v>4606</v>
      </c>
      <c r="B4506" s="1" t="n">
        <v>170</v>
      </c>
      <c r="C4506" s="1" t="n">
        <v>33</v>
      </c>
      <c r="D4506" s="1" t="s">
        <v>1078</v>
      </c>
      <c r="E4506" s="1" t="n">
        <v>3</v>
      </c>
      <c r="F4506" s="1" t="n">
        <v>190.1</v>
      </c>
      <c r="G4506" s="1" t="n">
        <v>0</v>
      </c>
      <c r="H4506" s="1" t="s">
        <v>1336</v>
      </c>
      <c r="I4506" s="1" t="n">
        <v>570.3</v>
      </c>
      <c r="J4506" s="1" t="str">
        <f aca="false">VLOOKUP(B4506,Customers!$A$2:$G$502,6,FALSE())</f>
        <v>Small Business</v>
      </c>
      <c r="K4506" s="1" t="str">
        <f aca="false">VLOOKUP(C4506,Products!$A$2:$E$62,3,FALSE())</f>
        <v>Office Supplies</v>
      </c>
      <c r="L4506" s="1" t="str">
        <f aca="false">TEXT(D4506,"yyyy-mm")</f>
        <v>2023-07</v>
      </c>
    </row>
    <row r="4507" customFormat="false" ht="15" hidden="false" customHeight="true" outlineLevel="0" collapsed="false">
      <c r="A4507" s="1" t="n">
        <v>4607</v>
      </c>
      <c r="B4507" s="1" t="n">
        <v>290</v>
      </c>
      <c r="C4507" s="1" t="n">
        <v>5</v>
      </c>
      <c r="D4507" s="1" t="s">
        <v>124</v>
      </c>
      <c r="E4507" s="1" t="n">
        <v>7</v>
      </c>
      <c r="F4507" s="1" t="n">
        <v>439.06</v>
      </c>
      <c r="G4507" s="1" t="n">
        <v>0.1</v>
      </c>
      <c r="H4507" s="1" t="s">
        <v>1336</v>
      </c>
      <c r="I4507" s="1" t="n">
        <v>2766.08</v>
      </c>
      <c r="J4507" s="1" t="str">
        <f aca="false">VLOOKUP(B4507,Customers!$A$2:$G$502,6,FALSE())</f>
        <v>Consumer</v>
      </c>
      <c r="K4507" s="1" t="str">
        <f aca="false">VLOOKUP(C4507,Products!$A$2:$E$62,3,FALSE())</f>
        <v>Electronics</v>
      </c>
      <c r="L4507" s="1" t="str">
        <f aca="false">TEXT(D4507,"yyyy-mm")</f>
        <v>2023-05</v>
      </c>
    </row>
    <row r="4508" customFormat="false" ht="15" hidden="false" customHeight="true" outlineLevel="0" collapsed="false">
      <c r="A4508" s="1" t="n">
        <v>4608</v>
      </c>
      <c r="B4508" s="1" t="n">
        <v>353</v>
      </c>
      <c r="C4508" s="1" t="n">
        <v>39</v>
      </c>
      <c r="D4508" s="1" t="s">
        <v>381</v>
      </c>
      <c r="E4508" s="1" t="n">
        <v>9</v>
      </c>
      <c r="F4508" s="1" t="n">
        <v>400.02</v>
      </c>
      <c r="G4508" s="1" t="n">
        <v>0</v>
      </c>
      <c r="H4508" s="1" t="s">
        <v>1370</v>
      </c>
      <c r="I4508" s="1" t="n">
        <v>3600.18</v>
      </c>
      <c r="J4508" s="1" t="str">
        <f aca="false">VLOOKUP(B4508,Customers!$A$2:$G$502,6,FALSE())</f>
        <v>Corporate</v>
      </c>
      <c r="K4508" s="1" t="str">
        <f aca="false">VLOOKUP(C4508,Products!$A$2:$E$62,3,FALSE())</f>
        <v>Software</v>
      </c>
      <c r="L4508" s="1" t="str">
        <f aca="false">TEXT(D4508,"yyyy-mm")</f>
        <v>2023-04</v>
      </c>
    </row>
    <row r="4509" customFormat="false" ht="15" hidden="false" customHeight="true" outlineLevel="0" collapsed="false">
      <c r="A4509" s="1" t="n">
        <v>4609</v>
      </c>
      <c r="B4509" s="1" t="n">
        <v>186</v>
      </c>
      <c r="C4509" s="1" t="n">
        <v>21</v>
      </c>
      <c r="D4509" s="1" t="s">
        <v>297</v>
      </c>
      <c r="E4509" s="1" t="n">
        <v>4</v>
      </c>
      <c r="F4509" s="1" t="n">
        <v>84.91</v>
      </c>
      <c r="G4509" s="1" t="n">
        <v>0.15</v>
      </c>
      <c r="H4509" s="1" t="s">
        <v>1346</v>
      </c>
      <c r="I4509" s="1" t="n">
        <v>288.69</v>
      </c>
      <c r="J4509" s="1" t="str">
        <f aca="false">VLOOKUP(B4509,Customers!$A$2:$G$502,6,FALSE())</f>
        <v>Small Business</v>
      </c>
      <c r="K4509" s="1" t="str">
        <f aca="false">VLOOKUP(C4509,Products!$A$2:$E$62,3,FALSE())</f>
        <v>Office Supplies</v>
      </c>
      <c r="L4509" s="1" t="str">
        <f aca="false">TEXT(D4509,"yyyy-mm")</f>
        <v>2024-04</v>
      </c>
    </row>
    <row r="4510" customFormat="false" ht="15" hidden="false" customHeight="true" outlineLevel="0" collapsed="false">
      <c r="A4510" s="1" t="n">
        <v>4610</v>
      </c>
      <c r="B4510" s="1" t="n">
        <v>379</v>
      </c>
      <c r="C4510" s="1" t="n">
        <v>6</v>
      </c>
      <c r="D4510" s="1" t="s">
        <v>1405</v>
      </c>
      <c r="E4510" s="1" t="n">
        <v>8</v>
      </c>
      <c r="F4510" s="1" t="n">
        <v>28.51</v>
      </c>
      <c r="G4510" s="1" t="n">
        <v>0.15</v>
      </c>
      <c r="H4510" s="1" t="s">
        <v>1336</v>
      </c>
      <c r="I4510" s="1" t="n">
        <v>193.87</v>
      </c>
      <c r="J4510" s="1" t="str">
        <f aca="false">VLOOKUP(B4510,Customers!$A$2:$G$502,6,FALSE())</f>
        <v>Corporate</v>
      </c>
      <c r="K4510" s="1" t="str">
        <f aca="false">VLOOKUP(C4510,Products!$A$2:$E$62,3,FALSE())</f>
        <v>Electronics</v>
      </c>
      <c r="L4510" s="1" t="str">
        <f aca="false">TEXT(D4510,"yyyy-mm")</f>
        <v>2024-03</v>
      </c>
    </row>
    <row r="4511" customFormat="false" ht="15" hidden="false" customHeight="true" outlineLevel="0" collapsed="false">
      <c r="A4511" s="1" t="n">
        <v>4611</v>
      </c>
      <c r="B4511" s="1" t="n">
        <v>439</v>
      </c>
      <c r="C4511" s="1" t="n">
        <v>42</v>
      </c>
      <c r="D4511" s="1" t="s">
        <v>97</v>
      </c>
      <c r="E4511" s="1" t="n">
        <v>3</v>
      </c>
      <c r="F4511" s="1" t="n">
        <v>174.48</v>
      </c>
      <c r="G4511" s="1" t="n">
        <v>0</v>
      </c>
      <c r="H4511" s="1" t="s">
        <v>1336</v>
      </c>
      <c r="I4511" s="1" t="n">
        <v>523.44</v>
      </c>
      <c r="J4511" s="1" t="str">
        <f aca="false">VLOOKUP(B4511,Customers!$A$2:$G$502,6,FALSE())</f>
        <v>Corporate</v>
      </c>
      <c r="K4511" s="1" t="str">
        <f aca="false">VLOOKUP(C4511,Products!$A$2:$E$62,3,FALSE())</f>
        <v>Software</v>
      </c>
      <c r="L4511" s="1" t="str">
        <f aca="false">TEXT(D4511,"yyyy-mm")</f>
        <v>2024-11</v>
      </c>
    </row>
    <row r="4512" customFormat="false" ht="15" hidden="false" customHeight="true" outlineLevel="0" collapsed="false">
      <c r="A4512" s="1" t="n">
        <v>4612</v>
      </c>
      <c r="B4512" s="1" t="n">
        <v>98</v>
      </c>
      <c r="C4512" s="1" t="n">
        <v>26</v>
      </c>
      <c r="D4512" s="1" t="s">
        <v>251</v>
      </c>
      <c r="E4512" s="1" t="n">
        <v>7</v>
      </c>
      <c r="F4512" s="1" t="n">
        <v>733.85</v>
      </c>
      <c r="G4512" s="1" t="n">
        <v>0</v>
      </c>
      <c r="H4512" s="1" t="s">
        <v>1336</v>
      </c>
      <c r="I4512" s="1" t="n">
        <v>5136.95</v>
      </c>
      <c r="J4512" s="1" t="str">
        <f aca="false">VLOOKUP(B4512,Customers!$A$2:$G$502,6,FALSE())</f>
        <v>Corporate</v>
      </c>
      <c r="K4512" s="1" t="str">
        <f aca="false">VLOOKUP(C4512,Products!$A$2:$E$62,3,FALSE())</f>
        <v>Office Supplies</v>
      </c>
      <c r="L4512" s="1" t="str">
        <f aca="false">TEXT(D4512,"yyyy-mm")</f>
        <v>2023-09</v>
      </c>
    </row>
    <row r="4513" customFormat="false" ht="15" hidden="false" customHeight="true" outlineLevel="0" collapsed="false">
      <c r="A4513" s="1" t="n">
        <v>4613</v>
      </c>
      <c r="B4513" s="1" t="n">
        <v>399</v>
      </c>
      <c r="C4513" s="1" t="n">
        <v>37</v>
      </c>
      <c r="D4513" s="1" t="s">
        <v>1114</v>
      </c>
      <c r="E4513" s="1" t="n">
        <v>3</v>
      </c>
      <c r="F4513" s="1" t="n">
        <v>13.95</v>
      </c>
      <c r="G4513" s="1" t="n">
        <v>0.1</v>
      </c>
      <c r="H4513" s="1" t="s">
        <v>1336</v>
      </c>
      <c r="I4513" s="1" t="n">
        <v>37.66</v>
      </c>
      <c r="J4513" s="1" t="str">
        <f aca="false">VLOOKUP(B4513,Customers!$A$2:$G$502,6,FALSE())</f>
        <v>Corporate</v>
      </c>
      <c r="K4513" s="1" t="str">
        <f aca="false">VLOOKUP(C4513,Products!$A$2:$E$62,3,FALSE())</f>
        <v>Software</v>
      </c>
      <c r="L4513" s="1" t="str">
        <f aca="false">TEXT(D4513,"yyyy-mm")</f>
        <v>2024-03</v>
      </c>
    </row>
    <row r="4514" customFormat="false" ht="15" hidden="false" customHeight="true" outlineLevel="0" collapsed="false">
      <c r="A4514" s="1" t="n">
        <v>4614</v>
      </c>
      <c r="B4514" s="1" t="n">
        <v>363</v>
      </c>
      <c r="C4514" s="1" t="n">
        <v>1</v>
      </c>
      <c r="D4514" s="1" t="s">
        <v>1612</v>
      </c>
      <c r="E4514" s="1" t="n">
        <v>7</v>
      </c>
      <c r="F4514" s="1" t="n">
        <v>327.32</v>
      </c>
      <c r="G4514" s="1" t="n">
        <v>0</v>
      </c>
      <c r="H4514" s="1" t="s">
        <v>1336</v>
      </c>
      <c r="I4514" s="1" t="n">
        <v>2291.24</v>
      </c>
      <c r="J4514" s="1" t="str">
        <f aca="false">VLOOKUP(B4514,Customers!$A$2:$G$502,6,FALSE())</f>
        <v>Small Business</v>
      </c>
      <c r="K4514" s="1" t="str">
        <f aca="false">VLOOKUP(C4514,Products!$A$2:$E$62,3,FALSE())</f>
        <v>Electronics</v>
      </c>
      <c r="L4514" s="1" t="str">
        <f aca="false">TEXT(D4514,"yyyy-mm")</f>
        <v>2024-10</v>
      </c>
    </row>
    <row r="4515" customFormat="false" ht="15" hidden="false" customHeight="true" outlineLevel="0" collapsed="false">
      <c r="A4515" s="1" t="n">
        <v>4615</v>
      </c>
      <c r="B4515" s="1" t="n">
        <v>204</v>
      </c>
      <c r="C4515" s="1" t="n">
        <v>46</v>
      </c>
      <c r="D4515" s="1" t="s">
        <v>71</v>
      </c>
      <c r="E4515" s="1" t="n">
        <v>6</v>
      </c>
      <c r="F4515" s="1" t="n">
        <v>94.92</v>
      </c>
      <c r="G4515" s="1" t="n">
        <v>0</v>
      </c>
      <c r="H4515" s="1" t="s">
        <v>1336</v>
      </c>
      <c r="I4515" s="1" t="n">
        <v>569.52</v>
      </c>
      <c r="J4515" s="1" t="str">
        <f aca="false">VLOOKUP(B4515,Customers!$A$2:$G$502,6,FALSE())</f>
        <v>Small Business</v>
      </c>
      <c r="K4515" s="1" t="str">
        <f aca="false">VLOOKUP(C4515,Products!$A$2:$E$62,3,FALSE())</f>
        <v>Software</v>
      </c>
      <c r="L4515" s="1" t="str">
        <f aca="false">TEXT(D4515,"yyyy-mm")</f>
        <v>2024-05</v>
      </c>
    </row>
    <row r="4516" customFormat="false" ht="15" hidden="false" customHeight="true" outlineLevel="0" collapsed="false">
      <c r="A4516" s="1" t="n">
        <v>4616</v>
      </c>
      <c r="B4516" s="1" t="n">
        <v>463</v>
      </c>
      <c r="C4516" s="1" t="n">
        <v>57</v>
      </c>
      <c r="D4516" s="1" t="s">
        <v>664</v>
      </c>
      <c r="E4516" s="1" t="n">
        <v>2</v>
      </c>
      <c r="F4516" s="1" t="n">
        <v>719.76</v>
      </c>
      <c r="G4516" s="1" t="n">
        <v>0.1</v>
      </c>
      <c r="H4516" s="1" t="s">
        <v>1336</v>
      </c>
      <c r="I4516" s="1" t="n">
        <v>1295.57</v>
      </c>
      <c r="J4516" s="1" t="str">
        <f aca="false">VLOOKUP(B4516,Customers!$A$2:$G$502,6,FALSE())</f>
        <v>Consumer</v>
      </c>
      <c r="K4516" s="1" t="str">
        <f aca="false">VLOOKUP(C4516,Products!$A$2:$E$62,3,FALSE())</f>
        <v>Furniture</v>
      </c>
      <c r="L4516" s="1" t="str">
        <f aca="false">TEXT(D4516,"yyyy-mm")</f>
        <v>2024-04</v>
      </c>
    </row>
    <row r="4517" customFormat="false" ht="15" hidden="false" customHeight="true" outlineLevel="0" collapsed="false">
      <c r="A4517" s="1" t="n">
        <v>4617</v>
      </c>
      <c r="B4517" s="1" t="n">
        <v>97</v>
      </c>
      <c r="C4517" s="1" t="n">
        <v>35</v>
      </c>
      <c r="D4517" s="1" t="s">
        <v>405</v>
      </c>
      <c r="E4517" s="1" t="n">
        <v>3</v>
      </c>
      <c r="F4517" s="1" t="n">
        <v>75.78</v>
      </c>
      <c r="G4517" s="1" t="n">
        <v>0</v>
      </c>
      <c r="H4517" s="1" t="s">
        <v>1336</v>
      </c>
      <c r="I4517" s="1" t="n">
        <v>227.34</v>
      </c>
      <c r="J4517" s="1" t="str">
        <f aca="false">VLOOKUP(B4517,Customers!$A$2:$G$502,6,FALSE())</f>
        <v>Corporate</v>
      </c>
      <c r="K4517" s="1" t="str">
        <f aca="false">VLOOKUP(C4517,Products!$A$2:$E$62,3,FALSE())</f>
        <v>Software</v>
      </c>
      <c r="L4517" s="1" t="str">
        <f aca="false">TEXT(D4517,"yyyy-mm")</f>
        <v>2024-01</v>
      </c>
    </row>
    <row r="4518" customFormat="false" ht="15" hidden="false" customHeight="true" outlineLevel="0" collapsed="false">
      <c r="A4518" s="1" t="n">
        <v>4618</v>
      </c>
      <c r="B4518" s="1" t="n">
        <v>217</v>
      </c>
      <c r="C4518" s="1" t="n">
        <v>14</v>
      </c>
      <c r="D4518" s="1" t="s">
        <v>1538</v>
      </c>
      <c r="E4518" s="1" t="n">
        <v>6</v>
      </c>
      <c r="F4518" s="1" t="n">
        <v>135.27</v>
      </c>
      <c r="G4518" s="1" t="n">
        <v>0</v>
      </c>
      <c r="H4518" s="1" t="s">
        <v>1336</v>
      </c>
      <c r="I4518" s="1" t="n">
        <v>811.62</v>
      </c>
      <c r="J4518" s="1" t="str">
        <f aca="false">VLOOKUP(B4518,Customers!$A$2:$G$502,6,FALSE())</f>
        <v>Consumer</v>
      </c>
      <c r="K4518" s="1" t="str">
        <f aca="false">VLOOKUP(C4518,Products!$A$2:$E$62,3,FALSE())</f>
        <v>Electronics</v>
      </c>
      <c r="L4518" s="1" t="str">
        <f aca="false">TEXT(D4518,"yyyy-mm")</f>
        <v>2024-10</v>
      </c>
    </row>
    <row r="4519" customFormat="false" ht="15" hidden="false" customHeight="true" outlineLevel="0" collapsed="false">
      <c r="A4519" s="1" t="n">
        <v>4619</v>
      </c>
      <c r="B4519" s="1" t="n">
        <v>478</v>
      </c>
      <c r="C4519" s="1" t="n">
        <v>29</v>
      </c>
      <c r="D4519" s="1" t="s">
        <v>1092</v>
      </c>
      <c r="E4519" s="1" t="n">
        <v>4</v>
      </c>
      <c r="F4519" s="1" t="n">
        <v>54.62</v>
      </c>
      <c r="G4519" s="1" t="n">
        <v>0</v>
      </c>
      <c r="H4519" s="1" t="s">
        <v>1336</v>
      </c>
      <c r="I4519" s="1" t="n">
        <v>218.48</v>
      </c>
      <c r="J4519" s="1" t="str">
        <f aca="false">VLOOKUP(B4519,Customers!$A$2:$G$502,6,FALSE())</f>
        <v>Small Business</v>
      </c>
      <c r="K4519" s="1" t="str">
        <f aca="false">VLOOKUP(C4519,Products!$A$2:$E$62,3,FALSE())</f>
        <v>Office Supplies</v>
      </c>
      <c r="L4519" s="1" t="str">
        <f aca="false">TEXT(D4519,"yyyy-mm")</f>
        <v>2023-12</v>
      </c>
    </row>
    <row r="4520" customFormat="false" ht="15" hidden="false" customHeight="true" outlineLevel="0" collapsed="false">
      <c r="A4520" s="1" t="n">
        <v>4620</v>
      </c>
      <c r="B4520" s="1" t="n">
        <v>337</v>
      </c>
      <c r="C4520" s="1" t="n">
        <v>20</v>
      </c>
      <c r="D4520" s="1" t="s">
        <v>297</v>
      </c>
      <c r="E4520" s="1" t="n">
        <v>6</v>
      </c>
      <c r="F4520" s="1" t="n">
        <v>426.15</v>
      </c>
      <c r="G4520" s="1" t="n">
        <v>0.15</v>
      </c>
      <c r="H4520" s="1" t="s">
        <v>1336</v>
      </c>
      <c r="I4520" s="1" t="n">
        <v>2173.36</v>
      </c>
      <c r="J4520" s="1" t="str">
        <f aca="false">VLOOKUP(B4520,Customers!$A$2:$G$502,6,FALSE())</f>
        <v>Corporate</v>
      </c>
      <c r="K4520" s="1" t="str">
        <f aca="false">VLOOKUP(C4520,Products!$A$2:$E$62,3,FALSE())</f>
        <v>Office Supplies</v>
      </c>
      <c r="L4520" s="1" t="str">
        <f aca="false">TEXT(D4520,"yyyy-mm")</f>
        <v>2024-04</v>
      </c>
    </row>
    <row r="4521" customFormat="false" ht="15" hidden="false" customHeight="true" outlineLevel="0" collapsed="false">
      <c r="A4521" s="1" t="n">
        <v>4621</v>
      </c>
      <c r="B4521" s="1" t="n">
        <v>113</v>
      </c>
      <c r="C4521" s="1" t="n">
        <v>12</v>
      </c>
      <c r="D4521" s="1" t="s">
        <v>489</v>
      </c>
      <c r="E4521" s="1" t="n">
        <v>1</v>
      </c>
      <c r="F4521" s="1" t="n">
        <v>179.23</v>
      </c>
      <c r="G4521" s="1" t="n">
        <v>0</v>
      </c>
      <c r="H4521" s="1" t="s">
        <v>1336</v>
      </c>
      <c r="I4521" s="1" t="n">
        <v>179.23</v>
      </c>
      <c r="J4521" s="1" t="str">
        <f aca="false">VLOOKUP(B4521,Customers!$A$2:$G$502,6,FALSE())</f>
        <v>Small Business</v>
      </c>
      <c r="K4521" s="1" t="str">
        <f aca="false">VLOOKUP(C4521,Products!$A$2:$E$62,3,FALSE())</f>
        <v>Electronics</v>
      </c>
      <c r="L4521" s="1" t="str">
        <f aca="false">TEXT(D4521,"yyyy-mm")</f>
        <v>2024-12</v>
      </c>
    </row>
    <row r="4522" customFormat="false" ht="15" hidden="false" customHeight="true" outlineLevel="0" collapsed="false">
      <c r="A4522" s="1" t="n">
        <v>4622</v>
      </c>
      <c r="B4522" s="1" t="n">
        <v>212</v>
      </c>
      <c r="C4522" s="1" t="n">
        <v>55</v>
      </c>
      <c r="D4522" s="1" t="s">
        <v>1652</v>
      </c>
      <c r="E4522" s="1" t="n">
        <v>1</v>
      </c>
      <c r="F4522" s="1" t="n">
        <v>123.38</v>
      </c>
      <c r="G4522" s="1" t="n">
        <v>0</v>
      </c>
      <c r="H4522" s="1" t="s">
        <v>1346</v>
      </c>
      <c r="I4522" s="1" t="n">
        <v>123.38</v>
      </c>
      <c r="J4522" s="1" t="str">
        <f aca="false">VLOOKUP(B4522,Customers!$A$2:$G$502,6,FALSE())</f>
        <v>Consumer</v>
      </c>
      <c r="K4522" s="1" t="str">
        <f aca="false">VLOOKUP(C4522,Products!$A$2:$E$62,3,FALSE())</f>
        <v>Furniture</v>
      </c>
      <c r="L4522" s="1" t="str">
        <f aca="false">TEXT(D4522,"yyyy-mm")</f>
        <v>2024-06</v>
      </c>
    </row>
    <row r="4523" customFormat="false" ht="15" hidden="false" customHeight="true" outlineLevel="0" collapsed="false">
      <c r="A4523" s="1" t="n">
        <v>4623</v>
      </c>
      <c r="B4523" s="1" t="n">
        <v>377</v>
      </c>
      <c r="C4523" s="1" t="n">
        <v>13</v>
      </c>
      <c r="D4523" s="1" t="s">
        <v>1431</v>
      </c>
      <c r="E4523" s="1" t="n">
        <v>3</v>
      </c>
      <c r="F4523" s="1" t="n">
        <v>352.54</v>
      </c>
      <c r="G4523" s="1" t="n">
        <v>0</v>
      </c>
      <c r="H4523" s="1" t="s">
        <v>1336</v>
      </c>
      <c r="I4523" s="1" t="n">
        <v>1057.62</v>
      </c>
      <c r="J4523" s="1" t="str">
        <f aca="false">VLOOKUP(B4523,Customers!$A$2:$G$502,6,FALSE())</f>
        <v>Corporate</v>
      </c>
      <c r="K4523" s="1" t="str">
        <f aca="false">VLOOKUP(C4523,Products!$A$2:$E$62,3,FALSE())</f>
        <v>Electronics</v>
      </c>
      <c r="L4523" s="1" t="str">
        <f aca="false">TEXT(D4523,"yyyy-mm")</f>
        <v>2023-12</v>
      </c>
    </row>
    <row r="4524" customFormat="false" ht="15" hidden="false" customHeight="true" outlineLevel="0" collapsed="false">
      <c r="A4524" s="1" t="n">
        <v>4624</v>
      </c>
      <c r="B4524" s="1" t="n">
        <v>35</v>
      </c>
      <c r="C4524" s="1" t="n">
        <v>53</v>
      </c>
      <c r="D4524" s="1" t="s">
        <v>645</v>
      </c>
      <c r="E4524" s="1" t="n">
        <v>8</v>
      </c>
      <c r="F4524" s="1" t="n">
        <v>509.98</v>
      </c>
      <c r="G4524" s="1" t="n">
        <v>0</v>
      </c>
      <c r="H4524" s="1" t="s">
        <v>1336</v>
      </c>
      <c r="I4524" s="1" t="n">
        <v>4079.84</v>
      </c>
      <c r="J4524" s="1" t="str">
        <f aca="false">VLOOKUP(B4524,Customers!$A$2:$G$502,6,FALSE())</f>
        <v>Corporate</v>
      </c>
      <c r="K4524" s="1" t="str">
        <f aca="false">VLOOKUP(C4524,Products!$A$2:$E$62,3,FALSE())</f>
        <v>Software</v>
      </c>
      <c r="L4524" s="1" t="str">
        <f aca="false">TEXT(D4524,"yyyy-mm")</f>
        <v>2024-06</v>
      </c>
    </row>
    <row r="4525" customFormat="false" ht="15" hidden="false" customHeight="true" outlineLevel="0" collapsed="false">
      <c r="A4525" s="1" t="n">
        <v>4625</v>
      </c>
      <c r="B4525" s="1" t="n">
        <v>346</v>
      </c>
      <c r="C4525" s="1" t="n">
        <v>25</v>
      </c>
      <c r="D4525" s="1" t="s">
        <v>1047</v>
      </c>
      <c r="E4525" s="1" t="n">
        <v>8</v>
      </c>
      <c r="F4525" s="1" t="n">
        <v>300.49</v>
      </c>
      <c r="G4525" s="1" t="n">
        <v>0.15</v>
      </c>
      <c r="H4525" s="1" t="s">
        <v>1336</v>
      </c>
      <c r="I4525" s="1" t="n">
        <v>2043.33</v>
      </c>
      <c r="J4525" s="1" t="str">
        <f aca="false">VLOOKUP(B4525,Customers!$A$2:$G$502,6,FALSE())</f>
        <v>Consumer</v>
      </c>
      <c r="K4525" s="1" t="str">
        <f aca="false">VLOOKUP(C4525,Products!$A$2:$E$62,3,FALSE())</f>
        <v>Office Supplies</v>
      </c>
      <c r="L4525" s="1" t="str">
        <f aca="false">TEXT(D4525,"yyyy-mm")</f>
        <v>2024-01</v>
      </c>
    </row>
    <row r="4526" customFormat="false" ht="15" hidden="false" customHeight="true" outlineLevel="0" collapsed="false">
      <c r="A4526" s="1" t="n">
        <v>4626</v>
      </c>
      <c r="B4526" s="1" t="n">
        <v>211</v>
      </c>
      <c r="C4526" s="1" t="n">
        <v>1</v>
      </c>
      <c r="D4526" s="1" t="s">
        <v>1630</v>
      </c>
      <c r="E4526" s="1" t="n">
        <v>4</v>
      </c>
      <c r="F4526" s="1" t="n">
        <v>327.32</v>
      </c>
      <c r="G4526" s="1" t="n">
        <v>0.2</v>
      </c>
      <c r="H4526" s="1" t="s">
        <v>1346</v>
      </c>
      <c r="I4526" s="1" t="n">
        <v>1047.42</v>
      </c>
      <c r="J4526" s="1" t="str">
        <f aca="false">VLOOKUP(B4526,Customers!$A$2:$G$502,6,FALSE())</f>
        <v>Consumer</v>
      </c>
      <c r="K4526" s="1" t="str">
        <f aca="false">VLOOKUP(C4526,Products!$A$2:$E$62,3,FALSE())</f>
        <v>Electronics</v>
      </c>
      <c r="L4526" s="1" t="str">
        <f aca="false">TEXT(D4526,"yyyy-mm")</f>
        <v>2023-02</v>
      </c>
    </row>
    <row r="4527" customFormat="false" ht="15" hidden="false" customHeight="true" outlineLevel="0" collapsed="false">
      <c r="A4527" s="1" t="n">
        <v>4627</v>
      </c>
      <c r="B4527" s="1" t="n">
        <v>113</v>
      </c>
      <c r="C4527" s="1" t="n">
        <v>29</v>
      </c>
      <c r="D4527" s="1" t="s">
        <v>863</v>
      </c>
      <c r="E4527" s="1" t="n">
        <v>6</v>
      </c>
      <c r="F4527" s="1" t="n">
        <v>54.62</v>
      </c>
      <c r="G4527" s="1" t="n">
        <v>0</v>
      </c>
      <c r="H4527" s="1" t="s">
        <v>1336</v>
      </c>
      <c r="I4527" s="1" t="n">
        <v>327.72</v>
      </c>
      <c r="J4527" s="1" t="str">
        <f aca="false">VLOOKUP(B4527,Customers!$A$2:$G$502,6,FALSE())</f>
        <v>Small Business</v>
      </c>
      <c r="K4527" s="1" t="str">
        <f aca="false">VLOOKUP(C4527,Products!$A$2:$E$62,3,FALSE())</f>
        <v>Office Supplies</v>
      </c>
      <c r="L4527" s="1" t="str">
        <f aca="false">TEXT(D4527,"yyyy-mm")</f>
        <v>2023-11</v>
      </c>
    </row>
    <row r="4528" customFormat="false" ht="15" hidden="false" customHeight="true" outlineLevel="0" collapsed="false">
      <c r="A4528" s="1" t="n">
        <v>4628</v>
      </c>
      <c r="B4528" s="1" t="n">
        <v>327</v>
      </c>
      <c r="C4528" s="1" t="n">
        <v>9</v>
      </c>
      <c r="D4528" s="1" t="s">
        <v>1667</v>
      </c>
      <c r="E4528" s="1" t="n">
        <v>8</v>
      </c>
      <c r="F4528" s="1" t="n">
        <v>203.1</v>
      </c>
      <c r="G4528" s="1" t="n">
        <v>0</v>
      </c>
      <c r="H4528" s="1" t="s">
        <v>1336</v>
      </c>
      <c r="I4528" s="1" t="n">
        <v>1624.8</v>
      </c>
      <c r="J4528" s="1" t="str">
        <f aca="false">VLOOKUP(B4528,Customers!$A$2:$G$502,6,FALSE())</f>
        <v>Consumer</v>
      </c>
      <c r="K4528" s="1" t="str">
        <f aca="false">VLOOKUP(C4528,Products!$A$2:$E$62,3,FALSE())</f>
        <v>Electronics</v>
      </c>
      <c r="L4528" s="1" t="str">
        <f aca="false">TEXT(D4528,"yyyy-mm")</f>
        <v>2023-04</v>
      </c>
    </row>
    <row r="4529" customFormat="false" ht="15" hidden="false" customHeight="true" outlineLevel="0" collapsed="false">
      <c r="A4529" s="1" t="n">
        <v>4629</v>
      </c>
      <c r="B4529" s="1" t="n">
        <v>375</v>
      </c>
      <c r="C4529" s="1" t="n">
        <v>17</v>
      </c>
      <c r="D4529" s="1" t="s">
        <v>464</v>
      </c>
      <c r="E4529" s="1" t="n">
        <v>7</v>
      </c>
      <c r="F4529" s="1" t="n">
        <v>65.61</v>
      </c>
      <c r="G4529" s="1" t="n">
        <v>0</v>
      </c>
      <c r="H4529" s="1" t="s">
        <v>1336</v>
      </c>
      <c r="I4529" s="1" t="n">
        <v>459.27</v>
      </c>
      <c r="J4529" s="1" t="str">
        <f aca="false">VLOOKUP(B4529,Customers!$A$2:$G$502,6,FALSE())</f>
        <v>Consumer</v>
      </c>
      <c r="K4529" s="1" t="str">
        <f aca="false">VLOOKUP(C4529,Products!$A$2:$E$62,3,FALSE())</f>
        <v>Electronics</v>
      </c>
      <c r="L4529" s="1" t="str">
        <f aca="false">TEXT(D4529,"yyyy-mm")</f>
        <v>2023-12</v>
      </c>
    </row>
    <row r="4530" customFormat="false" ht="15" hidden="false" customHeight="true" outlineLevel="0" collapsed="false">
      <c r="A4530" s="1" t="n">
        <v>4630</v>
      </c>
      <c r="B4530" s="1" t="n">
        <v>233</v>
      </c>
      <c r="C4530" s="1" t="n">
        <v>42</v>
      </c>
      <c r="D4530" s="1" t="s">
        <v>138</v>
      </c>
      <c r="E4530" s="1" t="n">
        <v>7</v>
      </c>
      <c r="F4530" s="1" t="n">
        <v>174.48</v>
      </c>
      <c r="G4530" s="1" t="n">
        <v>0</v>
      </c>
      <c r="H4530" s="1" t="s">
        <v>1336</v>
      </c>
      <c r="I4530" s="1" t="n">
        <v>1221.36</v>
      </c>
      <c r="J4530" s="1" t="str">
        <f aca="false">VLOOKUP(B4530,Customers!$A$2:$G$502,6,FALSE())</f>
        <v>Corporate</v>
      </c>
      <c r="K4530" s="1" t="str">
        <f aca="false">VLOOKUP(C4530,Products!$A$2:$E$62,3,FALSE())</f>
        <v>Software</v>
      </c>
      <c r="L4530" s="1" t="str">
        <f aca="false">TEXT(D4530,"yyyy-mm")</f>
        <v>2023-05</v>
      </c>
    </row>
    <row r="4531" customFormat="false" ht="15" hidden="false" customHeight="true" outlineLevel="0" collapsed="false">
      <c r="A4531" s="1" t="n">
        <v>4631</v>
      </c>
      <c r="B4531" s="1" t="n">
        <v>480</v>
      </c>
      <c r="C4531" s="1" t="n">
        <v>28</v>
      </c>
      <c r="D4531" s="1" t="s">
        <v>76</v>
      </c>
      <c r="E4531" s="1" t="n">
        <v>4</v>
      </c>
      <c r="F4531" s="1" t="n">
        <v>505.23</v>
      </c>
      <c r="G4531" s="1" t="n">
        <v>0</v>
      </c>
      <c r="H4531" s="1" t="s">
        <v>1336</v>
      </c>
      <c r="I4531" s="1" t="n">
        <v>2020.92</v>
      </c>
      <c r="J4531" s="1" t="str">
        <f aca="false">VLOOKUP(B4531,Customers!$A$2:$G$502,6,FALSE())</f>
        <v>Unknown</v>
      </c>
      <c r="K4531" s="1" t="str">
        <f aca="false">VLOOKUP(C4531,Products!$A$2:$E$62,3,FALSE())</f>
        <v>Office Supplies</v>
      </c>
      <c r="L4531" s="1" t="str">
        <f aca="false">TEXT(D4531,"yyyy-mm")</f>
        <v>2023-11</v>
      </c>
    </row>
    <row r="4532" customFormat="false" ht="15" hidden="false" customHeight="true" outlineLevel="0" collapsed="false">
      <c r="A4532" s="1" t="n">
        <v>4632</v>
      </c>
      <c r="B4532" s="1" t="n">
        <v>113</v>
      </c>
      <c r="C4532" s="1" t="n">
        <v>51</v>
      </c>
      <c r="D4532" s="1" t="s">
        <v>1693</v>
      </c>
      <c r="E4532" s="1" t="n">
        <v>9</v>
      </c>
      <c r="F4532" s="1" t="n">
        <v>30.16</v>
      </c>
      <c r="G4532" s="1" t="n">
        <v>0</v>
      </c>
      <c r="H4532" s="1" t="s">
        <v>1336</v>
      </c>
      <c r="I4532" s="1" t="n">
        <v>271.44</v>
      </c>
      <c r="J4532" s="1" t="str">
        <f aca="false">VLOOKUP(B4532,Customers!$A$2:$G$502,6,FALSE())</f>
        <v>Small Business</v>
      </c>
      <c r="K4532" s="1" t="str">
        <f aca="false">VLOOKUP(C4532,Products!$A$2:$E$62,3,FALSE())</f>
        <v>Software</v>
      </c>
      <c r="L4532" s="1" t="str">
        <f aca="false">TEXT(D4532,"yyyy-mm")</f>
        <v>2024-05</v>
      </c>
    </row>
    <row r="4533" customFormat="false" ht="15" hidden="false" customHeight="true" outlineLevel="0" collapsed="false">
      <c r="A4533" s="1" t="n">
        <v>4633</v>
      </c>
      <c r="B4533" s="1" t="n">
        <v>103</v>
      </c>
      <c r="C4533" s="1" t="n">
        <v>24</v>
      </c>
      <c r="D4533" s="1" t="s">
        <v>360</v>
      </c>
      <c r="E4533" s="1" t="n">
        <v>6</v>
      </c>
      <c r="F4533" s="1" t="n">
        <v>207.34</v>
      </c>
      <c r="G4533" s="1" t="n">
        <v>0.2</v>
      </c>
      <c r="H4533" s="1" t="s">
        <v>1336</v>
      </c>
      <c r="I4533" s="1" t="n">
        <v>995.23</v>
      </c>
      <c r="J4533" s="1" t="str">
        <f aca="false">VLOOKUP(B4533,Customers!$A$2:$G$502,6,FALSE())</f>
        <v>Small Business</v>
      </c>
      <c r="K4533" s="1" t="str">
        <f aca="false">VLOOKUP(C4533,Products!$A$2:$E$62,3,FALSE())</f>
        <v>Office Supplies</v>
      </c>
      <c r="L4533" s="1" t="str">
        <f aca="false">TEXT(D4533,"yyyy-mm")</f>
        <v>2024-10</v>
      </c>
    </row>
    <row r="4534" customFormat="false" ht="15" hidden="false" customHeight="true" outlineLevel="0" collapsed="false">
      <c r="A4534" s="1" t="n">
        <v>4634</v>
      </c>
      <c r="B4534" s="1" t="n">
        <v>86</v>
      </c>
      <c r="C4534" s="1" t="n">
        <v>39</v>
      </c>
      <c r="D4534" s="1" t="s">
        <v>360</v>
      </c>
      <c r="E4534" s="1" t="n">
        <v>3</v>
      </c>
      <c r="F4534" s="1" t="n">
        <v>400.02</v>
      </c>
      <c r="G4534" s="1" t="n">
        <v>0</v>
      </c>
      <c r="H4534" s="1" t="s">
        <v>1336</v>
      </c>
      <c r="I4534" s="1" t="n">
        <v>1200.06</v>
      </c>
      <c r="J4534" s="1" t="str">
        <f aca="false">VLOOKUP(B4534,Customers!$A$2:$G$502,6,FALSE())</f>
        <v>Small Business</v>
      </c>
      <c r="K4534" s="1" t="str">
        <f aca="false">VLOOKUP(C4534,Products!$A$2:$E$62,3,FALSE())</f>
        <v>Software</v>
      </c>
      <c r="L4534" s="1" t="str">
        <f aca="false">TEXT(D4534,"yyyy-mm")</f>
        <v>2024-10</v>
      </c>
    </row>
    <row r="4535" customFormat="false" ht="15" hidden="false" customHeight="true" outlineLevel="0" collapsed="false">
      <c r="A4535" s="1" t="n">
        <v>4635</v>
      </c>
      <c r="B4535" s="1" t="n">
        <v>157</v>
      </c>
      <c r="C4535" s="1" t="n">
        <v>37</v>
      </c>
      <c r="D4535" s="1" t="s">
        <v>1436</v>
      </c>
      <c r="E4535" s="1" t="n">
        <v>5</v>
      </c>
      <c r="F4535" s="1" t="n">
        <v>13.95</v>
      </c>
      <c r="G4535" s="1" t="n">
        <v>0</v>
      </c>
      <c r="H4535" s="1" t="s">
        <v>1336</v>
      </c>
      <c r="I4535" s="1" t="n">
        <v>69.75</v>
      </c>
      <c r="J4535" s="1" t="str">
        <f aca="false">VLOOKUP(B4535,Customers!$A$2:$G$502,6,FALSE())</f>
        <v>Corporate</v>
      </c>
      <c r="K4535" s="1" t="str">
        <f aca="false">VLOOKUP(C4535,Products!$A$2:$E$62,3,FALSE())</f>
        <v>Software</v>
      </c>
      <c r="L4535" s="1" t="str">
        <f aca="false">TEXT(D4535,"yyyy-mm")</f>
        <v>2024-02</v>
      </c>
    </row>
    <row r="4536" customFormat="false" ht="15" hidden="false" customHeight="true" outlineLevel="0" collapsed="false">
      <c r="A4536" s="1" t="n">
        <v>4636</v>
      </c>
      <c r="B4536" s="1" t="n">
        <v>342</v>
      </c>
      <c r="C4536" s="1" t="n">
        <v>38</v>
      </c>
      <c r="D4536" s="1" t="s">
        <v>325</v>
      </c>
      <c r="E4536" s="1" t="n">
        <v>5</v>
      </c>
      <c r="F4536" s="1" t="n">
        <v>521.63</v>
      </c>
      <c r="G4536" s="1" t="n">
        <v>0</v>
      </c>
      <c r="H4536" s="1" t="s">
        <v>1336</v>
      </c>
      <c r="I4536" s="1" t="n">
        <v>2608.15</v>
      </c>
      <c r="J4536" s="1" t="str">
        <f aca="false">VLOOKUP(B4536,Customers!$A$2:$G$502,6,FALSE())</f>
        <v>Small Business</v>
      </c>
      <c r="K4536" s="1" t="str">
        <f aca="false">VLOOKUP(C4536,Products!$A$2:$E$62,3,FALSE())</f>
        <v>Software</v>
      </c>
      <c r="L4536" s="1" t="str">
        <f aca="false">TEXT(D4536,"yyyy-mm")</f>
        <v>2023-12</v>
      </c>
    </row>
    <row r="4537" customFormat="false" ht="15" hidden="false" customHeight="true" outlineLevel="0" collapsed="false">
      <c r="A4537" s="1" t="n">
        <v>4637</v>
      </c>
      <c r="B4537" s="1" t="n">
        <v>338</v>
      </c>
      <c r="C4537" s="1" t="n">
        <v>43</v>
      </c>
      <c r="D4537" s="1" t="s">
        <v>396</v>
      </c>
      <c r="E4537" s="1" t="n">
        <v>5</v>
      </c>
      <c r="F4537" s="1" t="n">
        <v>186.31</v>
      </c>
      <c r="G4537" s="1" t="n">
        <v>0.2</v>
      </c>
      <c r="H4537" s="1" t="s">
        <v>1336</v>
      </c>
      <c r="I4537" s="1" t="n">
        <v>745.24</v>
      </c>
      <c r="J4537" s="1" t="str">
        <f aca="false">VLOOKUP(B4537,Customers!$A$2:$G$502,6,FALSE())</f>
        <v>Corporate</v>
      </c>
      <c r="K4537" s="1" t="str">
        <f aca="false">VLOOKUP(C4537,Products!$A$2:$E$62,3,FALSE())</f>
        <v>Software</v>
      </c>
      <c r="L4537" s="1" t="str">
        <f aca="false">TEXT(D4537,"yyyy-mm")</f>
        <v>2023-10</v>
      </c>
    </row>
    <row r="4538" customFormat="false" ht="15" hidden="false" customHeight="true" outlineLevel="0" collapsed="false">
      <c r="A4538" s="1" t="n">
        <v>4638</v>
      </c>
      <c r="B4538" s="1" t="n">
        <v>225</v>
      </c>
      <c r="C4538" s="1" t="n">
        <v>33</v>
      </c>
      <c r="D4538" s="1" t="s">
        <v>1341</v>
      </c>
      <c r="E4538" s="1" t="n">
        <v>8</v>
      </c>
      <c r="F4538" s="1" t="n">
        <v>190.1</v>
      </c>
      <c r="G4538" s="1" t="n">
        <v>0</v>
      </c>
      <c r="H4538" s="1" t="s">
        <v>1336</v>
      </c>
      <c r="I4538" s="1" t="n">
        <v>1520.8</v>
      </c>
      <c r="J4538" s="1" t="str">
        <f aca="false">VLOOKUP(B4538,Customers!$A$2:$G$502,6,FALSE())</f>
        <v>Consumer</v>
      </c>
      <c r="K4538" s="1" t="str">
        <f aca="false">VLOOKUP(C4538,Products!$A$2:$E$62,3,FALSE())</f>
        <v>Office Supplies</v>
      </c>
      <c r="L4538" s="1" t="str">
        <f aca="false">TEXT(D4538,"yyyy-mm")</f>
        <v>2023-06</v>
      </c>
    </row>
    <row r="4539" customFormat="false" ht="15" hidden="false" customHeight="true" outlineLevel="0" collapsed="false">
      <c r="A4539" s="1" t="n">
        <v>4639</v>
      </c>
      <c r="B4539" s="1" t="n">
        <v>353</v>
      </c>
      <c r="C4539" s="1" t="n">
        <v>36</v>
      </c>
      <c r="D4539" s="1" t="s">
        <v>1273</v>
      </c>
      <c r="E4539" s="1" t="n">
        <v>9</v>
      </c>
      <c r="F4539" s="1" t="n">
        <v>424.45</v>
      </c>
      <c r="G4539" s="1" t="n">
        <v>0.05</v>
      </c>
      <c r="H4539" s="1" t="s">
        <v>1346</v>
      </c>
      <c r="I4539" s="1" t="n">
        <v>3629.05</v>
      </c>
      <c r="J4539" s="1" t="str">
        <f aca="false">VLOOKUP(B4539,Customers!$A$2:$G$502,6,FALSE())</f>
        <v>Corporate</v>
      </c>
      <c r="K4539" s="1" t="str">
        <f aca="false">VLOOKUP(C4539,Products!$A$2:$E$62,3,FALSE())</f>
        <v>Software</v>
      </c>
      <c r="L4539" s="1" t="str">
        <f aca="false">TEXT(D4539,"yyyy-mm")</f>
        <v>2023-08</v>
      </c>
    </row>
    <row r="4540" customFormat="false" ht="15" hidden="false" customHeight="true" outlineLevel="0" collapsed="false">
      <c r="A4540" s="1" t="n">
        <v>4640</v>
      </c>
      <c r="B4540" s="1" t="n">
        <v>159</v>
      </c>
      <c r="C4540" s="1" t="n">
        <v>14</v>
      </c>
      <c r="D4540" s="1" t="s">
        <v>1500</v>
      </c>
      <c r="E4540" s="1" t="n">
        <v>9</v>
      </c>
      <c r="F4540" s="1" t="n">
        <v>135.27</v>
      </c>
      <c r="G4540" s="1" t="n">
        <v>0.05</v>
      </c>
      <c r="H4540" s="1" t="s">
        <v>1336</v>
      </c>
      <c r="I4540" s="1" t="n">
        <v>1156.56</v>
      </c>
      <c r="J4540" s="1" t="str">
        <f aca="false">VLOOKUP(B4540,Customers!$A$2:$G$502,6,FALSE())</f>
        <v>Corporate</v>
      </c>
      <c r="K4540" s="1" t="str">
        <f aca="false">VLOOKUP(C4540,Products!$A$2:$E$62,3,FALSE())</f>
        <v>Electronics</v>
      </c>
      <c r="L4540" s="1" t="str">
        <f aca="false">TEXT(D4540,"yyyy-mm")</f>
        <v>2024-06</v>
      </c>
    </row>
    <row r="4541" customFormat="false" ht="15" hidden="false" customHeight="true" outlineLevel="0" collapsed="false">
      <c r="A4541" s="1" t="n">
        <v>4641</v>
      </c>
      <c r="B4541" s="1" t="n">
        <v>9</v>
      </c>
      <c r="C4541" s="1" t="n">
        <v>34</v>
      </c>
      <c r="D4541" s="1" t="s">
        <v>1518</v>
      </c>
      <c r="E4541" s="1" t="n">
        <v>6</v>
      </c>
      <c r="F4541" s="1" t="n">
        <v>116.85</v>
      </c>
      <c r="G4541" s="1" t="n">
        <v>0</v>
      </c>
      <c r="H4541" s="1" t="s">
        <v>1336</v>
      </c>
      <c r="I4541" s="1" t="n">
        <v>701.1</v>
      </c>
      <c r="J4541" s="1" t="str">
        <f aca="false">VLOOKUP(B4541,Customers!$A$2:$G$502,6,FALSE())</f>
        <v>Small Business</v>
      </c>
      <c r="K4541" s="1" t="str">
        <f aca="false">VLOOKUP(C4541,Products!$A$2:$E$62,3,FALSE())</f>
        <v>Office Supplies</v>
      </c>
      <c r="L4541" s="1" t="str">
        <f aca="false">TEXT(D4541,"yyyy-mm")</f>
        <v>2023-12</v>
      </c>
    </row>
    <row r="4542" customFormat="false" ht="15" hidden="false" customHeight="true" outlineLevel="0" collapsed="false">
      <c r="A4542" s="1" t="n">
        <v>4642</v>
      </c>
      <c r="B4542" s="1" t="n">
        <v>245</v>
      </c>
      <c r="C4542" s="1" t="n">
        <v>51</v>
      </c>
      <c r="D4542" s="1" t="s">
        <v>1280</v>
      </c>
      <c r="E4542" s="1" t="n">
        <v>6</v>
      </c>
      <c r="F4542" s="1" t="n">
        <v>30.16</v>
      </c>
      <c r="G4542" s="1" t="n">
        <v>0.05</v>
      </c>
      <c r="H4542" s="1" t="s">
        <v>1336</v>
      </c>
      <c r="I4542" s="1" t="n">
        <v>171.91</v>
      </c>
      <c r="J4542" s="1" t="str">
        <f aca="false">VLOOKUP(B4542,Customers!$A$2:$G$502,6,FALSE())</f>
        <v>Consumer</v>
      </c>
      <c r="K4542" s="1" t="str">
        <f aca="false">VLOOKUP(C4542,Products!$A$2:$E$62,3,FALSE())</f>
        <v>Software</v>
      </c>
      <c r="L4542" s="1" t="str">
        <f aca="false">TEXT(D4542,"yyyy-mm")</f>
        <v>2023-07</v>
      </c>
    </row>
    <row r="4543" customFormat="false" ht="15" hidden="false" customHeight="true" outlineLevel="0" collapsed="false">
      <c r="A4543" s="1" t="n">
        <v>4643</v>
      </c>
      <c r="B4543" s="1" t="n">
        <v>399</v>
      </c>
      <c r="C4543" s="1" t="n">
        <v>10</v>
      </c>
      <c r="D4543" s="1" t="s">
        <v>527</v>
      </c>
      <c r="E4543" s="1" t="n">
        <v>9</v>
      </c>
      <c r="F4543" s="1" t="n">
        <v>251.58</v>
      </c>
      <c r="G4543" s="1" t="n">
        <v>0.05</v>
      </c>
      <c r="H4543" s="1" t="s">
        <v>1336</v>
      </c>
      <c r="I4543" s="1" t="n">
        <v>2151.01</v>
      </c>
      <c r="J4543" s="1" t="str">
        <f aca="false">VLOOKUP(B4543,Customers!$A$2:$G$502,6,FALSE())</f>
        <v>Corporate</v>
      </c>
      <c r="K4543" s="1" t="str">
        <f aca="false">VLOOKUP(C4543,Products!$A$2:$E$62,3,FALSE())</f>
        <v>Electronics</v>
      </c>
      <c r="L4543" s="1" t="str">
        <f aca="false">TEXT(D4543,"yyyy-mm")</f>
        <v>2023-12</v>
      </c>
    </row>
    <row r="4544" customFormat="false" ht="15" hidden="false" customHeight="true" outlineLevel="0" collapsed="false">
      <c r="A4544" s="1" t="n">
        <v>4644</v>
      </c>
      <c r="B4544" s="1" t="n">
        <v>368</v>
      </c>
      <c r="C4544" s="1" t="n">
        <v>53</v>
      </c>
      <c r="D4544" s="1" t="s">
        <v>1097</v>
      </c>
      <c r="E4544" s="1" t="n">
        <v>4</v>
      </c>
      <c r="F4544" s="1" t="n">
        <v>509.98</v>
      </c>
      <c r="G4544" s="1" t="n">
        <v>0.1</v>
      </c>
      <c r="H4544" s="1" t="s">
        <v>1336</v>
      </c>
      <c r="I4544" s="1" t="n">
        <v>1835.93</v>
      </c>
      <c r="J4544" s="1" t="str">
        <f aca="false">VLOOKUP(B4544,Customers!$A$2:$G$502,6,FALSE())</f>
        <v>Corporate</v>
      </c>
      <c r="K4544" s="1" t="str">
        <f aca="false">VLOOKUP(C4544,Products!$A$2:$E$62,3,FALSE())</f>
        <v>Software</v>
      </c>
      <c r="L4544" s="1" t="str">
        <f aca="false">TEXT(D4544,"yyyy-mm")</f>
        <v>2024-02</v>
      </c>
    </row>
    <row r="4545" customFormat="false" ht="15" hidden="false" customHeight="true" outlineLevel="0" collapsed="false">
      <c r="A4545" s="1" t="n">
        <v>4645</v>
      </c>
      <c r="B4545" s="1" t="n">
        <v>373</v>
      </c>
      <c r="C4545" s="1" t="n">
        <v>44</v>
      </c>
      <c r="D4545" s="1" t="s">
        <v>1691</v>
      </c>
      <c r="E4545" s="1" t="n">
        <v>6</v>
      </c>
      <c r="F4545" s="1" t="n">
        <v>508.26</v>
      </c>
      <c r="G4545" s="1" t="n">
        <v>0.05</v>
      </c>
      <c r="H4545" s="1" t="s">
        <v>1336</v>
      </c>
      <c r="I4545" s="1" t="n">
        <v>2897.08</v>
      </c>
      <c r="J4545" s="1" t="str">
        <f aca="false">VLOOKUP(B4545,Customers!$A$2:$G$502,6,FALSE())</f>
        <v>Corporate</v>
      </c>
      <c r="K4545" s="1" t="str">
        <f aca="false">VLOOKUP(C4545,Products!$A$2:$E$62,3,FALSE())</f>
        <v>Software</v>
      </c>
      <c r="L4545" s="1" t="str">
        <f aca="false">TEXT(D4545,"yyyy-mm")</f>
        <v>2023-10</v>
      </c>
    </row>
    <row r="4546" customFormat="false" ht="15" hidden="false" customHeight="true" outlineLevel="0" collapsed="false">
      <c r="A4546" s="1" t="n">
        <v>4646</v>
      </c>
      <c r="B4546" s="1" t="n">
        <v>129</v>
      </c>
      <c r="C4546" s="1" t="n">
        <v>57</v>
      </c>
      <c r="D4546" s="1" t="s">
        <v>399</v>
      </c>
      <c r="E4546" s="1" t="n">
        <v>4</v>
      </c>
      <c r="F4546" s="1" t="n">
        <v>719.76</v>
      </c>
      <c r="G4546" s="1" t="n">
        <v>0.05</v>
      </c>
      <c r="H4546" s="1" t="s">
        <v>1336</v>
      </c>
      <c r="I4546" s="1" t="n">
        <v>2735.09</v>
      </c>
      <c r="J4546" s="1" t="str">
        <f aca="false">VLOOKUP(B4546,Customers!$A$2:$G$502,6,FALSE())</f>
        <v>Corporate</v>
      </c>
      <c r="K4546" s="1" t="str">
        <f aca="false">VLOOKUP(C4546,Products!$A$2:$E$62,3,FALSE())</f>
        <v>Furniture</v>
      </c>
      <c r="L4546" s="1" t="str">
        <f aca="false">TEXT(D4546,"yyyy-mm")</f>
        <v>2024-03</v>
      </c>
    </row>
    <row r="4547" customFormat="false" ht="15" hidden="false" customHeight="true" outlineLevel="0" collapsed="false">
      <c r="A4547" s="1" t="n">
        <v>4647</v>
      </c>
      <c r="B4547" s="1" t="n">
        <v>307</v>
      </c>
      <c r="C4547" s="1" t="n">
        <v>47</v>
      </c>
      <c r="D4547" s="1" t="s">
        <v>1649</v>
      </c>
      <c r="E4547" s="1" t="n">
        <v>1</v>
      </c>
      <c r="F4547" s="1" t="n">
        <v>506.19</v>
      </c>
      <c r="G4547" s="1" t="n">
        <v>0</v>
      </c>
      <c r="H4547" s="1" t="s">
        <v>1336</v>
      </c>
      <c r="I4547" s="1" t="n">
        <v>506.19</v>
      </c>
      <c r="J4547" s="1" t="str">
        <f aca="false">VLOOKUP(B4547,Customers!$A$2:$G$502,6,FALSE())</f>
        <v>Corporate</v>
      </c>
      <c r="K4547" s="1" t="str">
        <f aca="false">VLOOKUP(C4547,Products!$A$2:$E$62,3,FALSE())</f>
        <v>Software</v>
      </c>
      <c r="L4547" s="1" t="str">
        <f aca="false">TEXT(D4547,"yyyy-mm")</f>
        <v>2024-01</v>
      </c>
    </row>
    <row r="4548" customFormat="false" ht="15" hidden="false" customHeight="true" outlineLevel="0" collapsed="false">
      <c r="A4548" s="1" t="n">
        <v>4648</v>
      </c>
      <c r="B4548" s="1" t="n">
        <v>258</v>
      </c>
      <c r="C4548" s="1" t="n">
        <v>53</v>
      </c>
      <c r="D4548" s="1" t="s">
        <v>300</v>
      </c>
      <c r="E4548" s="1" t="n">
        <v>7</v>
      </c>
      <c r="F4548" s="1" t="n">
        <v>509.98</v>
      </c>
      <c r="G4548" s="1" t="n">
        <v>0.05</v>
      </c>
      <c r="H4548" s="1" t="s">
        <v>1336</v>
      </c>
      <c r="I4548" s="1" t="n">
        <v>3391.37</v>
      </c>
      <c r="J4548" s="1" t="str">
        <f aca="false">VLOOKUP(B4548,Customers!$A$2:$G$502,6,FALSE())</f>
        <v>Small Business</v>
      </c>
      <c r="K4548" s="1" t="str">
        <f aca="false">VLOOKUP(C4548,Products!$A$2:$E$62,3,FALSE())</f>
        <v>Software</v>
      </c>
      <c r="L4548" s="1" t="str">
        <f aca="false">TEXT(D4548,"yyyy-mm")</f>
        <v>2024-07</v>
      </c>
    </row>
    <row r="4549" customFormat="false" ht="15" hidden="false" customHeight="true" outlineLevel="0" collapsed="false">
      <c r="A4549" s="1" t="n">
        <v>4649</v>
      </c>
      <c r="B4549" s="1" t="n">
        <v>483</v>
      </c>
      <c r="C4549" s="1" t="n">
        <v>40</v>
      </c>
      <c r="D4549" s="1" t="s">
        <v>758</v>
      </c>
      <c r="E4549" s="1" t="n">
        <v>6</v>
      </c>
      <c r="F4549" s="1" t="n">
        <v>193.02</v>
      </c>
      <c r="G4549" s="1" t="n">
        <v>0</v>
      </c>
      <c r="H4549" s="1" t="s">
        <v>1370</v>
      </c>
      <c r="I4549" s="1" t="n">
        <v>1158.12</v>
      </c>
      <c r="J4549" s="1" t="str">
        <f aca="false">VLOOKUP(B4549,Customers!$A$2:$G$502,6,FALSE())</f>
        <v>Small Business</v>
      </c>
      <c r="K4549" s="1" t="str">
        <f aca="false">VLOOKUP(C4549,Products!$A$2:$E$62,3,FALSE())</f>
        <v>Software</v>
      </c>
      <c r="L4549" s="1" t="str">
        <f aca="false">TEXT(D4549,"yyyy-mm")</f>
        <v>2023-06</v>
      </c>
    </row>
    <row r="4550" customFormat="false" ht="15" hidden="false" customHeight="true" outlineLevel="0" collapsed="false">
      <c r="A4550" s="1" t="n">
        <v>4650</v>
      </c>
      <c r="B4550" s="1" t="n">
        <v>387</v>
      </c>
      <c r="C4550" s="1" t="n">
        <v>16</v>
      </c>
      <c r="D4550" s="1" t="s">
        <v>856</v>
      </c>
      <c r="E4550" s="1" t="n">
        <v>9</v>
      </c>
      <c r="F4550" s="1" t="n">
        <v>330.91</v>
      </c>
      <c r="G4550" s="1" t="n">
        <v>0.2</v>
      </c>
      <c r="H4550" s="1" t="s">
        <v>1336</v>
      </c>
      <c r="I4550" s="1" t="n">
        <v>2382.55</v>
      </c>
      <c r="J4550" s="1" t="str">
        <f aca="false">VLOOKUP(B4550,Customers!$A$2:$G$502,6,FALSE())</f>
        <v>Corporate</v>
      </c>
      <c r="K4550" s="1" t="str">
        <f aca="false">VLOOKUP(C4550,Products!$A$2:$E$62,3,FALSE())</f>
        <v>Electronics</v>
      </c>
      <c r="L4550" s="1" t="str">
        <f aca="false">TEXT(D4550,"yyyy-mm")</f>
        <v>2024-11</v>
      </c>
    </row>
    <row r="4551" customFormat="false" ht="15" hidden="false" customHeight="true" outlineLevel="0" collapsed="false">
      <c r="A4551" s="1" t="n">
        <v>4651</v>
      </c>
      <c r="B4551" s="1" t="n">
        <v>491</v>
      </c>
      <c r="C4551" s="1" t="n">
        <v>28</v>
      </c>
      <c r="D4551" s="1" t="s">
        <v>1507</v>
      </c>
      <c r="E4551" s="1" t="n">
        <v>7</v>
      </c>
      <c r="F4551" s="1" t="n">
        <v>505.23</v>
      </c>
      <c r="G4551" s="1" t="n">
        <v>0.15</v>
      </c>
      <c r="H4551" s="1" t="s">
        <v>1336</v>
      </c>
      <c r="I4551" s="1" t="n">
        <v>3006.12</v>
      </c>
      <c r="J4551" s="1" t="str">
        <f aca="false">VLOOKUP(B4551,Customers!$A$2:$G$502,6,FALSE())</f>
        <v>Small Business</v>
      </c>
      <c r="K4551" s="1" t="str">
        <f aca="false">VLOOKUP(C4551,Products!$A$2:$E$62,3,FALSE())</f>
        <v>Office Supplies</v>
      </c>
      <c r="L4551" s="1" t="str">
        <f aca="false">TEXT(D4551,"yyyy-mm")</f>
        <v>2024-09</v>
      </c>
    </row>
    <row r="4552" customFormat="false" ht="15" hidden="false" customHeight="true" outlineLevel="0" collapsed="false">
      <c r="A4552" s="1" t="n">
        <v>4652</v>
      </c>
      <c r="B4552" s="1" t="n">
        <v>25</v>
      </c>
      <c r="C4552" s="1" t="n">
        <v>55</v>
      </c>
      <c r="D4552" s="1" t="s">
        <v>1369</v>
      </c>
      <c r="E4552" s="1" t="n">
        <v>7</v>
      </c>
      <c r="F4552" s="1" t="n">
        <v>123.38</v>
      </c>
      <c r="G4552" s="1" t="n">
        <v>0.1</v>
      </c>
      <c r="H4552" s="1" t="s">
        <v>1336</v>
      </c>
      <c r="I4552" s="1" t="n">
        <v>777.29</v>
      </c>
      <c r="J4552" s="1" t="str">
        <f aca="false">VLOOKUP(B4552,Customers!$A$2:$G$502,6,FALSE())</f>
        <v>Corporate</v>
      </c>
      <c r="K4552" s="1" t="str">
        <f aca="false">VLOOKUP(C4552,Products!$A$2:$E$62,3,FALSE())</f>
        <v>Furniture</v>
      </c>
      <c r="L4552" s="1" t="str">
        <f aca="false">TEXT(D4552,"yyyy-mm")</f>
        <v>2024-07</v>
      </c>
    </row>
    <row r="4553" customFormat="false" ht="15" hidden="false" customHeight="true" outlineLevel="0" collapsed="false">
      <c r="A4553" s="1" t="n">
        <v>4653</v>
      </c>
      <c r="B4553" s="1" t="n">
        <v>279</v>
      </c>
      <c r="C4553" s="1" t="n">
        <v>2</v>
      </c>
      <c r="D4553" s="1" t="s">
        <v>501</v>
      </c>
      <c r="E4553" s="1" t="n">
        <v>2</v>
      </c>
      <c r="F4553" s="1" t="n">
        <v>498.15</v>
      </c>
      <c r="G4553" s="1" t="n">
        <v>0.05</v>
      </c>
      <c r="H4553" s="1" t="s">
        <v>1336</v>
      </c>
      <c r="I4553" s="1" t="n">
        <v>946.48</v>
      </c>
      <c r="J4553" s="1" t="str">
        <f aca="false">VLOOKUP(B4553,Customers!$A$2:$G$502,6,FALSE())</f>
        <v>Unknown</v>
      </c>
      <c r="K4553" s="1" t="str">
        <f aca="false">VLOOKUP(C4553,Products!$A$2:$E$62,3,FALSE())</f>
        <v>Electronics</v>
      </c>
      <c r="L4553" s="1" t="str">
        <f aca="false">TEXT(D4553,"yyyy-mm")</f>
        <v>2023-05</v>
      </c>
    </row>
    <row r="4554" customFormat="false" ht="15" hidden="false" customHeight="true" outlineLevel="0" collapsed="false">
      <c r="A4554" s="1" t="n">
        <v>4654</v>
      </c>
      <c r="B4554" s="1" t="n">
        <v>412</v>
      </c>
      <c r="C4554" s="1" t="n">
        <v>9</v>
      </c>
      <c r="D4554" s="1" t="s">
        <v>1338</v>
      </c>
      <c r="E4554" s="1" t="n">
        <v>9</v>
      </c>
      <c r="F4554" s="1" t="n">
        <v>203.1</v>
      </c>
      <c r="G4554" s="1" t="n">
        <v>0.2</v>
      </c>
      <c r="H4554" s="1" t="s">
        <v>1336</v>
      </c>
      <c r="I4554" s="1" t="n">
        <v>1462.32</v>
      </c>
      <c r="J4554" s="1" t="str">
        <f aca="false">VLOOKUP(B4554,Customers!$A$2:$G$502,6,FALSE())</f>
        <v>Corporate</v>
      </c>
      <c r="K4554" s="1" t="str">
        <f aca="false">VLOOKUP(C4554,Products!$A$2:$E$62,3,FALSE())</f>
        <v>Electronics</v>
      </c>
      <c r="L4554" s="1" t="str">
        <f aca="false">TEXT(D4554,"yyyy-mm")</f>
        <v>2024-10</v>
      </c>
    </row>
    <row r="4555" customFormat="false" ht="15" hidden="false" customHeight="true" outlineLevel="0" collapsed="false">
      <c r="A4555" s="1" t="n">
        <v>4655</v>
      </c>
      <c r="B4555" s="1" t="n">
        <v>402</v>
      </c>
      <c r="C4555" s="1" t="n">
        <v>16</v>
      </c>
      <c r="D4555" s="1" t="s">
        <v>1612</v>
      </c>
      <c r="E4555" s="1" t="n">
        <v>9</v>
      </c>
      <c r="F4555" s="1" t="n">
        <v>330.91</v>
      </c>
      <c r="G4555" s="1" t="n">
        <v>0.1</v>
      </c>
      <c r="H4555" s="1" t="s">
        <v>1336</v>
      </c>
      <c r="I4555" s="1" t="n">
        <v>2680.37</v>
      </c>
      <c r="J4555" s="1" t="str">
        <f aca="false">VLOOKUP(B4555,Customers!$A$2:$G$502,6,FALSE())</f>
        <v>Unknown</v>
      </c>
      <c r="K4555" s="1" t="str">
        <f aca="false">VLOOKUP(C4555,Products!$A$2:$E$62,3,FALSE())</f>
        <v>Electronics</v>
      </c>
      <c r="L4555" s="1" t="str">
        <f aca="false">TEXT(D4555,"yyyy-mm")</f>
        <v>2024-10</v>
      </c>
    </row>
    <row r="4556" customFormat="false" ht="15" hidden="false" customHeight="true" outlineLevel="0" collapsed="false">
      <c r="A4556" s="1" t="n">
        <v>4656</v>
      </c>
      <c r="B4556" s="1" t="n">
        <v>82</v>
      </c>
      <c r="C4556" s="1" t="n">
        <v>60</v>
      </c>
      <c r="D4556" s="1" t="s">
        <v>1452</v>
      </c>
      <c r="E4556" s="1" t="n">
        <v>6</v>
      </c>
      <c r="F4556" s="1" t="n">
        <v>584.98</v>
      </c>
      <c r="G4556" s="1" t="n">
        <v>0</v>
      </c>
      <c r="H4556" s="1" t="s">
        <v>1336</v>
      </c>
      <c r="I4556" s="1" t="n">
        <v>3509.88</v>
      </c>
      <c r="J4556" s="1" t="str">
        <f aca="false">VLOOKUP(B4556,Customers!$A$2:$G$502,6,FALSE())</f>
        <v>Consumer</v>
      </c>
      <c r="K4556" s="1" t="str">
        <f aca="false">VLOOKUP(C4556,Products!$A$2:$E$62,3,FALSE())</f>
        <v>Furniture</v>
      </c>
      <c r="L4556" s="1" t="str">
        <f aca="false">TEXT(D4556,"yyyy-mm")</f>
        <v>2023-01</v>
      </c>
    </row>
    <row r="4557" customFormat="false" ht="15" hidden="false" customHeight="true" outlineLevel="0" collapsed="false">
      <c r="A4557" s="1" t="n">
        <v>4657</v>
      </c>
      <c r="B4557" s="1" t="n">
        <v>4</v>
      </c>
      <c r="C4557" s="1" t="n">
        <v>41</v>
      </c>
      <c r="D4557" s="1" t="s">
        <v>1183</v>
      </c>
      <c r="E4557" s="1" t="n">
        <v>3</v>
      </c>
      <c r="F4557" s="1" t="n">
        <v>594.54</v>
      </c>
      <c r="G4557" s="1" t="n">
        <v>0</v>
      </c>
      <c r="H4557" s="1" t="s">
        <v>1336</v>
      </c>
      <c r="I4557" s="1" t="n">
        <v>1783.62</v>
      </c>
      <c r="J4557" s="1" t="str">
        <f aca="false">VLOOKUP(B4557,Customers!$A$2:$G$502,6,FALSE())</f>
        <v>Consumer</v>
      </c>
      <c r="K4557" s="1" t="str">
        <f aca="false">VLOOKUP(C4557,Products!$A$2:$E$62,3,FALSE())</f>
        <v>Software</v>
      </c>
      <c r="L4557" s="1" t="str">
        <f aca="false">TEXT(D4557,"yyyy-mm")</f>
        <v>2023-06</v>
      </c>
    </row>
    <row r="4558" customFormat="false" ht="15" hidden="false" customHeight="true" outlineLevel="0" collapsed="false">
      <c r="A4558" s="1" t="n">
        <v>4658</v>
      </c>
      <c r="B4558" s="1" t="n">
        <v>125</v>
      </c>
      <c r="C4558" s="1" t="n">
        <v>53</v>
      </c>
      <c r="D4558" s="1" t="s">
        <v>1629</v>
      </c>
      <c r="E4558" s="1" t="n">
        <v>1</v>
      </c>
      <c r="F4558" s="1" t="n">
        <v>509.98</v>
      </c>
      <c r="G4558" s="1" t="n">
        <v>0.15</v>
      </c>
      <c r="H4558" s="1" t="s">
        <v>1336</v>
      </c>
      <c r="I4558" s="1" t="n">
        <v>433.48</v>
      </c>
      <c r="J4558" s="1" t="str">
        <f aca="false">VLOOKUP(B4558,Customers!$A$2:$G$502,6,FALSE())</f>
        <v>Small Business</v>
      </c>
      <c r="K4558" s="1" t="str">
        <f aca="false">VLOOKUP(C4558,Products!$A$2:$E$62,3,FALSE())</f>
        <v>Software</v>
      </c>
      <c r="L4558" s="1" t="str">
        <f aca="false">TEXT(D4558,"yyyy-mm")</f>
        <v>2024-02</v>
      </c>
    </row>
    <row r="4559" customFormat="false" ht="15" hidden="false" customHeight="true" outlineLevel="0" collapsed="false">
      <c r="A4559" s="1" t="n">
        <v>4659</v>
      </c>
      <c r="B4559" s="1" t="n">
        <v>304</v>
      </c>
      <c r="C4559" s="1" t="n">
        <v>36</v>
      </c>
      <c r="D4559" s="1" t="s">
        <v>769</v>
      </c>
      <c r="E4559" s="1" t="n">
        <v>4</v>
      </c>
      <c r="F4559" s="1" t="n">
        <v>424.45</v>
      </c>
      <c r="G4559" s="1" t="n">
        <v>0</v>
      </c>
      <c r="H4559" s="1" t="s">
        <v>1336</v>
      </c>
      <c r="I4559" s="1" t="n">
        <v>1697.8</v>
      </c>
      <c r="J4559" s="1" t="str">
        <f aca="false">VLOOKUP(B4559,Customers!$A$2:$G$502,6,FALSE())</f>
        <v>Small Business</v>
      </c>
      <c r="K4559" s="1" t="str">
        <f aca="false">VLOOKUP(C4559,Products!$A$2:$E$62,3,FALSE())</f>
        <v>Software</v>
      </c>
      <c r="L4559" s="1" t="str">
        <f aca="false">TEXT(D4559,"yyyy-mm")</f>
        <v>2023-07</v>
      </c>
    </row>
    <row r="4560" customFormat="false" ht="15" hidden="false" customHeight="true" outlineLevel="0" collapsed="false">
      <c r="A4560" s="1" t="n">
        <v>4660</v>
      </c>
      <c r="B4560" s="1" t="n">
        <v>469</v>
      </c>
      <c r="C4560" s="1" t="n">
        <v>28</v>
      </c>
      <c r="D4560" s="1" t="s">
        <v>314</v>
      </c>
      <c r="E4560" s="1" t="n">
        <v>3</v>
      </c>
      <c r="F4560" s="1" t="n">
        <v>505.23</v>
      </c>
      <c r="G4560" s="1" t="n">
        <v>0</v>
      </c>
      <c r="H4560" s="1" t="s">
        <v>1336</v>
      </c>
      <c r="I4560" s="1" t="n">
        <v>1515.69</v>
      </c>
      <c r="J4560" s="1" t="str">
        <f aca="false">VLOOKUP(B4560,Customers!$A$2:$G$502,6,FALSE())</f>
        <v>Small Business</v>
      </c>
      <c r="K4560" s="1" t="str">
        <f aca="false">VLOOKUP(C4560,Products!$A$2:$E$62,3,FALSE())</f>
        <v>Office Supplies</v>
      </c>
      <c r="L4560" s="1" t="str">
        <f aca="false">TEXT(D4560,"yyyy-mm")</f>
        <v>2024-05</v>
      </c>
    </row>
    <row r="4561" customFormat="false" ht="15" hidden="false" customHeight="true" outlineLevel="0" collapsed="false">
      <c r="A4561" s="1" t="n">
        <v>4661</v>
      </c>
      <c r="B4561" s="1" t="n">
        <v>460</v>
      </c>
      <c r="C4561" s="1" t="n">
        <v>55</v>
      </c>
      <c r="D4561" s="1" t="s">
        <v>12</v>
      </c>
      <c r="E4561" s="1" t="n">
        <v>1</v>
      </c>
      <c r="F4561" s="1" t="n">
        <v>123.38</v>
      </c>
      <c r="G4561" s="1" t="n">
        <v>0</v>
      </c>
      <c r="H4561" s="1" t="s">
        <v>1336</v>
      </c>
      <c r="I4561" s="1" t="n">
        <v>123.38</v>
      </c>
      <c r="J4561" s="1" t="str">
        <f aca="false">VLOOKUP(B4561,Customers!$A$2:$G$502,6,FALSE())</f>
        <v>Corporate</v>
      </c>
      <c r="K4561" s="1" t="str">
        <f aca="false">VLOOKUP(C4561,Products!$A$2:$E$62,3,FALSE())</f>
        <v>Furniture</v>
      </c>
      <c r="L4561" s="1" t="str">
        <f aca="false">TEXT(D4561,"yyyy-mm")</f>
        <v>2023-09</v>
      </c>
    </row>
    <row r="4562" customFormat="false" ht="15" hidden="false" customHeight="true" outlineLevel="0" collapsed="false">
      <c r="A4562" s="1" t="n">
        <v>4662</v>
      </c>
      <c r="B4562" s="1" t="n">
        <v>295</v>
      </c>
      <c r="C4562" s="1" t="n">
        <v>45</v>
      </c>
      <c r="D4562" s="1" t="s">
        <v>1603</v>
      </c>
      <c r="E4562" s="1" t="n">
        <v>3</v>
      </c>
      <c r="F4562" s="1" t="n">
        <v>560.01</v>
      </c>
      <c r="G4562" s="1" t="n">
        <v>0</v>
      </c>
      <c r="H4562" s="1" t="s">
        <v>1336</v>
      </c>
      <c r="I4562" s="1" t="n">
        <v>1680.03</v>
      </c>
      <c r="J4562" s="1" t="str">
        <f aca="false">VLOOKUP(B4562,Customers!$A$2:$G$502,6,FALSE())</f>
        <v>Small Business</v>
      </c>
      <c r="K4562" s="1" t="str">
        <f aca="false">VLOOKUP(C4562,Products!$A$2:$E$62,3,FALSE())</f>
        <v>Software</v>
      </c>
      <c r="L4562" s="1" t="str">
        <f aca="false">TEXT(D4562,"yyyy-mm")</f>
        <v>2024-12</v>
      </c>
    </row>
    <row r="4563" customFormat="false" ht="15" hidden="false" customHeight="true" outlineLevel="0" collapsed="false">
      <c r="A4563" s="1" t="n">
        <v>4663</v>
      </c>
      <c r="B4563" s="1" t="n">
        <v>385</v>
      </c>
      <c r="C4563" s="1" t="n">
        <v>48</v>
      </c>
      <c r="D4563" s="1" t="s">
        <v>1247</v>
      </c>
      <c r="E4563" s="1" t="n">
        <v>4</v>
      </c>
      <c r="F4563" s="1" t="n">
        <v>493.53</v>
      </c>
      <c r="G4563" s="1" t="n">
        <v>0.05</v>
      </c>
      <c r="H4563" s="1" t="s">
        <v>1336</v>
      </c>
      <c r="I4563" s="1" t="n">
        <v>1875.41</v>
      </c>
      <c r="J4563" s="1" t="str">
        <f aca="false">VLOOKUP(B4563,Customers!$A$2:$G$502,6,FALSE())</f>
        <v>Small Business</v>
      </c>
      <c r="K4563" s="1" t="str">
        <f aca="false">VLOOKUP(C4563,Products!$A$2:$E$62,3,FALSE())</f>
        <v>Software</v>
      </c>
      <c r="L4563" s="1" t="str">
        <f aca="false">TEXT(D4563,"yyyy-mm")</f>
        <v>2023-03</v>
      </c>
    </row>
    <row r="4564" customFormat="false" ht="15" hidden="false" customHeight="true" outlineLevel="0" collapsed="false">
      <c r="A4564" s="1" t="n">
        <v>4664</v>
      </c>
      <c r="B4564" s="1" t="n">
        <v>388</v>
      </c>
      <c r="C4564" s="1" t="n">
        <v>12</v>
      </c>
      <c r="D4564" s="1" t="s">
        <v>396</v>
      </c>
      <c r="E4564" s="1" t="n">
        <v>8</v>
      </c>
      <c r="F4564" s="1" t="n">
        <v>179.23</v>
      </c>
      <c r="G4564" s="1" t="n">
        <v>0.2</v>
      </c>
      <c r="H4564" s="1" t="s">
        <v>1336</v>
      </c>
      <c r="I4564" s="1" t="n">
        <v>1147.07</v>
      </c>
      <c r="J4564" s="1" t="str">
        <f aca="false">VLOOKUP(B4564,Customers!$A$2:$G$502,6,FALSE())</f>
        <v>Corporate</v>
      </c>
      <c r="K4564" s="1" t="str">
        <f aca="false">VLOOKUP(C4564,Products!$A$2:$E$62,3,FALSE())</f>
        <v>Electronics</v>
      </c>
      <c r="L4564" s="1" t="str">
        <f aca="false">TEXT(D4564,"yyyy-mm")</f>
        <v>2023-10</v>
      </c>
    </row>
    <row r="4565" customFormat="false" ht="15" hidden="false" customHeight="true" outlineLevel="0" collapsed="false">
      <c r="A4565" s="1" t="n">
        <v>4665</v>
      </c>
      <c r="B4565" s="1" t="n">
        <v>262</v>
      </c>
      <c r="C4565" s="1" t="n">
        <v>59</v>
      </c>
      <c r="D4565" s="1" t="s">
        <v>1439</v>
      </c>
      <c r="E4565" s="1" t="n">
        <v>9</v>
      </c>
      <c r="F4565" s="1" t="n">
        <v>438.89</v>
      </c>
      <c r="G4565" s="1" t="n">
        <v>0</v>
      </c>
      <c r="H4565" s="1" t="s">
        <v>1336</v>
      </c>
      <c r="I4565" s="1" t="n">
        <v>3950.01</v>
      </c>
      <c r="J4565" s="1" t="str">
        <f aca="false">VLOOKUP(B4565,Customers!$A$2:$G$502,6,FALSE())</f>
        <v>Small Business</v>
      </c>
      <c r="K4565" s="1" t="str">
        <f aca="false">VLOOKUP(C4565,Products!$A$2:$E$62,3,FALSE())</f>
        <v>Furniture</v>
      </c>
      <c r="L4565" s="1" t="str">
        <f aca="false">TEXT(D4565,"yyyy-mm")</f>
        <v>2024-05</v>
      </c>
    </row>
    <row r="4566" customFormat="false" ht="15" hidden="false" customHeight="true" outlineLevel="0" collapsed="false">
      <c r="A4566" s="1" t="n">
        <v>4666</v>
      </c>
      <c r="B4566" s="1" t="n">
        <v>223</v>
      </c>
      <c r="C4566" s="1" t="n">
        <v>40</v>
      </c>
      <c r="D4566" s="1" t="s">
        <v>365</v>
      </c>
      <c r="E4566" s="1" t="n">
        <v>3</v>
      </c>
      <c r="F4566" s="1" t="n">
        <v>193.02</v>
      </c>
      <c r="G4566" s="1" t="n">
        <v>0</v>
      </c>
      <c r="H4566" s="1" t="s">
        <v>1336</v>
      </c>
      <c r="I4566" s="1" t="n">
        <v>579.06</v>
      </c>
      <c r="J4566" s="1" t="str">
        <f aca="false">VLOOKUP(B4566,Customers!$A$2:$G$502,6,FALSE())</f>
        <v>Consumer</v>
      </c>
      <c r="K4566" s="1" t="str">
        <f aca="false">VLOOKUP(C4566,Products!$A$2:$E$62,3,FALSE())</f>
        <v>Software</v>
      </c>
      <c r="L4566" s="1" t="str">
        <f aca="false">TEXT(D4566,"yyyy-mm")</f>
        <v>2023-04</v>
      </c>
    </row>
    <row r="4567" customFormat="false" ht="15" hidden="false" customHeight="true" outlineLevel="0" collapsed="false">
      <c r="A4567" s="1" t="n">
        <v>4667</v>
      </c>
      <c r="B4567" s="1" t="n">
        <v>232</v>
      </c>
      <c r="C4567" s="1" t="n">
        <v>1</v>
      </c>
      <c r="D4567" s="1" t="s">
        <v>1464</v>
      </c>
      <c r="E4567" s="1" t="n">
        <v>6</v>
      </c>
      <c r="F4567" s="1" t="n">
        <v>327.32</v>
      </c>
      <c r="G4567" s="1" t="n">
        <v>0.05</v>
      </c>
      <c r="H4567" s="1" t="s">
        <v>1336</v>
      </c>
      <c r="I4567" s="1" t="n">
        <v>1865.72</v>
      </c>
      <c r="J4567" s="1" t="str">
        <f aca="false">VLOOKUP(B4567,Customers!$A$2:$G$502,6,FALSE())</f>
        <v>Corporate</v>
      </c>
      <c r="K4567" s="1" t="str">
        <f aca="false">VLOOKUP(C4567,Products!$A$2:$E$62,3,FALSE())</f>
        <v>Electronics</v>
      </c>
      <c r="L4567" s="1" t="str">
        <f aca="false">TEXT(D4567,"yyyy-mm")</f>
        <v>2023-05</v>
      </c>
    </row>
    <row r="4568" customFormat="false" ht="15" hidden="false" customHeight="true" outlineLevel="0" collapsed="false">
      <c r="A4568" s="1" t="n">
        <v>4668</v>
      </c>
      <c r="B4568" s="1" t="n">
        <v>28</v>
      </c>
      <c r="C4568" s="1" t="n">
        <v>3</v>
      </c>
      <c r="D4568" s="1" t="s">
        <v>1052</v>
      </c>
      <c r="E4568" s="1" t="n">
        <v>5</v>
      </c>
      <c r="F4568" s="1" t="n">
        <v>89.39</v>
      </c>
      <c r="G4568" s="1" t="n">
        <v>0</v>
      </c>
      <c r="H4568" s="1" t="s">
        <v>1336</v>
      </c>
      <c r="I4568" s="1" t="n">
        <v>446.95</v>
      </c>
      <c r="J4568" s="1" t="str">
        <f aca="false">VLOOKUP(B4568,Customers!$A$2:$G$502,6,FALSE())</f>
        <v>Small Business</v>
      </c>
      <c r="K4568" s="1" t="str">
        <f aca="false">VLOOKUP(C4568,Products!$A$2:$E$62,3,FALSE())</f>
        <v>Electronics</v>
      </c>
      <c r="L4568" s="1" t="str">
        <f aca="false">TEXT(D4568,"yyyy-mm")</f>
        <v>2024-09</v>
      </c>
    </row>
    <row r="4569" customFormat="false" ht="15" hidden="false" customHeight="true" outlineLevel="0" collapsed="false">
      <c r="A4569" s="1" t="n">
        <v>4669</v>
      </c>
      <c r="B4569" s="1" t="n">
        <v>280</v>
      </c>
      <c r="C4569" s="1" t="n">
        <v>60</v>
      </c>
      <c r="D4569" s="1" t="s">
        <v>516</v>
      </c>
      <c r="E4569" s="1" t="n">
        <v>6</v>
      </c>
      <c r="F4569" s="1" t="n">
        <v>584.98</v>
      </c>
      <c r="G4569" s="1" t="n">
        <v>0</v>
      </c>
      <c r="H4569" s="1" t="s">
        <v>1336</v>
      </c>
      <c r="I4569" s="1" t="n">
        <v>3509.88</v>
      </c>
      <c r="J4569" s="1" t="str">
        <f aca="false">VLOOKUP(B4569,Customers!$A$2:$G$502,6,FALSE())</f>
        <v>Consumer</v>
      </c>
      <c r="K4569" s="1" t="str">
        <f aca="false">VLOOKUP(C4569,Products!$A$2:$E$62,3,FALSE())</f>
        <v>Furniture</v>
      </c>
      <c r="L4569" s="1" t="str">
        <f aca="false">TEXT(D4569,"yyyy-mm")</f>
        <v>2023-07</v>
      </c>
    </row>
    <row r="4570" customFormat="false" ht="15" hidden="false" customHeight="true" outlineLevel="0" collapsed="false">
      <c r="A4570" s="1" t="n">
        <v>4670</v>
      </c>
      <c r="B4570" s="1" t="n">
        <v>86</v>
      </c>
      <c r="C4570" s="1" t="n">
        <v>8</v>
      </c>
      <c r="D4570" s="1" t="s">
        <v>1054</v>
      </c>
      <c r="E4570" s="1" t="n">
        <v>4</v>
      </c>
      <c r="F4570" s="1" t="n">
        <v>104.4</v>
      </c>
      <c r="G4570" s="1" t="n">
        <v>0.15</v>
      </c>
      <c r="H4570" s="1" t="s">
        <v>1336</v>
      </c>
      <c r="I4570" s="1" t="n">
        <v>354.96</v>
      </c>
      <c r="J4570" s="1" t="str">
        <f aca="false">VLOOKUP(B4570,Customers!$A$2:$G$502,6,FALSE())</f>
        <v>Small Business</v>
      </c>
      <c r="K4570" s="1" t="str">
        <f aca="false">VLOOKUP(C4570,Products!$A$2:$E$62,3,FALSE())</f>
        <v>Electronics</v>
      </c>
      <c r="L4570" s="1" t="str">
        <f aca="false">TEXT(D4570,"yyyy-mm")</f>
        <v>2024-01</v>
      </c>
    </row>
    <row r="4571" customFormat="false" ht="15" hidden="false" customHeight="true" outlineLevel="0" collapsed="false">
      <c r="A4571" s="1" t="n">
        <v>4671</v>
      </c>
      <c r="B4571" s="1" t="n">
        <v>110</v>
      </c>
      <c r="C4571" s="1" t="n">
        <v>12</v>
      </c>
      <c r="D4571" s="1" t="s">
        <v>1412</v>
      </c>
      <c r="E4571" s="1" t="n">
        <v>6</v>
      </c>
      <c r="F4571" s="1" t="n">
        <v>179.23</v>
      </c>
      <c r="G4571" s="1" t="n">
        <v>0.15</v>
      </c>
      <c r="H4571" s="1" t="s">
        <v>1336</v>
      </c>
      <c r="I4571" s="1" t="n">
        <v>914.07</v>
      </c>
      <c r="J4571" s="1" t="str">
        <f aca="false">VLOOKUP(B4571,Customers!$A$2:$G$502,6,FALSE())</f>
        <v>Corporate</v>
      </c>
      <c r="K4571" s="1" t="str">
        <f aca="false">VLOOKUP(C4571,Products!$A$2:$E$62,3,FALSE())</f>
        <v>Electronics</v>
      </c>
      <c r="L4571" s="1" t="str">
        <f aca="false">TEXT(D4571,"yyyy-mm")</f>
        <v>2023-09</v>
      </c>
    </row>
    <row r="4572" customFormat="false" ht="15" hidden="false" customHeight="true" outlineLevel="0" collapsed="false">
      <c r="A4572" s="1" t="n">
        <v>4672</v>
      </c>
      <c r="B4572" s="1" t="n">
        <v>96</v>
      </c>
      <c r="C4572" s="1" t="n">
        <v>46</v>
      </c>
      <c r="D4572" s="1" t="s">
        <v>1339</v>
      </c>
      <c r="E4572" s="1" t="n">
        <v>7</v>
      </c>
      <c r="F4572" s="1" t="n">
        <v>94.92</v>
      </c>
      <c r="G4572" s="1" t="n">
        <v>0.05</v>
      </c>
      <c r="H4572" s="1" t="s">
        <v>1336</v>
      </c>
      <c r="I4572" s="1" t="n">
        <v>631.22</v>
      </c>
      <c r="J4572" s="1" t="str">
        <f aca="false">VLOOKUP(B4572,Customers!$A$2:$G$502,6,FALSE())</f>
        <v>Corporate</v>
      </c>
      <c r="K4572" s="1" t="str">
        <f aca="false">VLOOKUP(C4572,Products!$A$2:$E$62,3,FALSE())</f>
        <v>Software</v>
      </c>
      <c r="L4572" s="1" t="str">
        <f aca="false">TEXT(D4572,"yyyy-mm")</f>
        <v>2024-04</v>
      </c>
    </row>
    <row r="4573" customFormat="false" ht="15" hidden="false" customHeight="true" outlineLevel="0" collapsed="false">
      <c r="A4573" s="1" t="n">
        <v>4673</v>
      </c>
      <c r="B4573" s="1" t="n">
        <v>46</v>
      </c>
      <c r="C4573" s="1" t="n">
        <v>15</v>
      </c>
      <c r="D4573" s="1" t="s">
        <v>1615</v>
      </c>
      <c r="E4573" s="1" t="n">
        <v>9</v>
      </c>
      <c r="F4573" s="1" t="n">
        <v>304.95</v>
      </c>
      <c r="G4573" s="1" t="n">
        <v>0</v>
      </c>
      <c r="H4573" s="1" t="s">
        <v>1336</v>
      </c>
      <c r="I4573" s="1" t="n">
        <v>2744.55</v>
      </c>
      <c r="J4573" s="1" t="str">
        <f aca="false">VLOOKUP(B4573,Customers!$A$2:$G$502,6,FALSE())</f>
        <v>Consumer</v>
      </c>
      <c r="K4573" s="1" t="str">
        <f aca="false">VLOOKUP(C4573,Products!$A$2:$E$62,3,FALSE())</f>
        <v>Electronics</v>
      </c>
      <c r="L4573" s="1" t="str">
        <f aca="false">TEXT(D4573,"yyyy-mm")</f>
        <v>2023-04</v>
      </c>
    </row>
    <row r="4574" customFormat="false" ht="15" hidden="false" customHeight="true" outlineLevel="0" collapsed="false">
      <c r="A4574" s="1" t="n">
        <v>4674</v>
      </c>
      <c r="B4574" s="1" t="n">
        <v>489</v>
      </c>
      <c r="C4574" s="1" t="n">
        <v>58</v>
      </c>
      <c r="D4574" s="1" t="s">
        <v>419</v>
      </c>
      <c r="E4574" s="1" t="n">
        <v>7</v>
      </c>
      <c r="F4574" s="1" t="n">
        <v>515.55</v>
      </c>
      <c r="G4574" s="1" t="n">
        <v>0</v>
      </c>
      <c r="H4574" s="1" t="s">
        <v>1346</v>
      </c>
      <c r="I4574" s="1" t="n">
        <v>3608.85</v>
      </c>
      <c r="J4574" s="1" t="str">
        <f aca="false">VLOOKUP(B4574,Customers!$A$2:$G$502,6,FALSE())</f>
        <v>Small Business</v>
      </c>
      <c r="K4574" s="1" t="str">
        <f aca="false">VLOOKUP(C4574,Products!$A$2:$E$62,3,FALSE())</f>
        <v>Furniture</v>
      </c>
      <c r="L4574" s="1" t="str">
        <f aca="false">TEXT(D4574,"yyyy-mm")</f>
        <v>2023-08</v>
      </c>
    </row>
    <row r="4575" customFormat="false" ht="15" hidden="false" customHeight="true" outlineLevel="0" collapsed="false">
      <c r="A4575" s="1" t="n">
        <v>4675</v>
      </c>
      <c r="B4575" s="1" t="n">
        <v>43</v>
      </c>
      <c r="C4575" s="1" t="n">
        <v>26</v>
      </c>
      <c r="D4575" s="1" t="s">
        <v>664</v>
      </c>
      <c r="E4575" s="1" t="n">
        <v>6</v>
      </c>
      <c r="F4575" s="1" t="n">
        <v>733.85</v>
      </c>
      <c r="G4575" s="1" t="n">
        <v>0.1</v>
      </c>
      <c r="H4575" s="1" t="s">
        <v>1336</v>
      </c>
      <c r="I4575" s="1" t="n">
        <v>3962.79</v>
      </c>
      <c r="J4575" s="1" t="str">
        <f aca="false">VLOOKUP(B4575,Customers!$A$2:$G$502,6,FALSE())</f>
        <v>Small Business</v>
      </c>
      <c r="K4575" s="1" t="str">
        <f aca="false">VLOOKUP(C4575,Products!$A$2:$E$62,3,FALSE())</f>
        <v>Office Supplies</v>
      </c>
      <c r="L4575" s="1" t="str">
        <f aca="false">TEXT(D4575,"yyyy-mm")</f>
        <v>2024-04</v>
      </c>
    </row>
    <row r="4576" customFormat="false" ht="15" hidden="false" customHeight="true" outlineLevel="0" collapsed="false">
      <c r="A4576" s="1" t="n">
        <v>4676</v>
      </c>
      <c r="B4576" s="1" t="n">
        <v>425</v>
      </c>
      <c r="C4576" s="1" t="n">
        <v>48</v>
      </c>
      <c r="D4576" s="1" t="s">
        <v>662</v>
      </c>
      <c r="E4576" s="1" t="n">
        <v>1</v>
      </c>
      <c r="F4576" s="1" t="n">
        <v>493.53</v>
      </c>
      <c r="G4576" s="1" t="n">
        <v>0</v>
      </c>
      <c r="H4576" s="1" t="s">
        <v>1336</v>
      </c>
      <c r="I4576" s="1" t="n">
        <v>493.53</v>
      </c>
      <c r="J4576" s="1" t="str">
        <f aca="false">VLOOKUP(B4576,Customers!$A$2:$G$502,6,FALSE())</f>
        <v>Unknown</v>
      </c>
      <c r="K4576" s="1" t="str">
        <f aca="false">VLOOKUP(C4576,Products!$A$2:$E$62,3,FALSE())</f>
        <v>Software</v>
      </c>
      <c r="L4576" s="1" t="str">
        <f aca="false">TEXT(D4576,"yyyy-mm")</f>
        <v>2024-07</v>
      </c>
    </row>
    <row r="4577" customFormat="false" ht="15" hidden="false" customHeight="true" outlineLevel="0" collapsed="false">
      <c r="A4577" s="1" t="n">
        <v>4677</v>
      </c>
      <c r="B4577" s="1" t="n">
        <v>171</v>
      </c>
      <c r="C4577" s="1" t="n">
        <v>13</v>
      </c>
      <c r="D4577" s="1" t="s">
        <v>1481</v>
      </c>
      <c r="E4577" s="1" t="n">
        <v>2</v>
      </c>
      <c r="F4577" s="1" t="n">
        <v>352.54</v>
      </c>
      <c r="G4577" s="1" t="n">
        <v>0.05</v>
      </c>
      <c r="H4577" s="1" t="s">
        <v>1336</v>
      </c>
      <c r="I4577" s="1" t="n">
        <v>669.83</v>
      </c>
      <c r="J4577" s="1" t="str">
        <f aca="false">VLOOKUP(B4577,Customers!$A$2:$G$502,6,FALSE())</f>
        <v>Small Business</v>
      </c>
      <c r="K4577" s="1" t="str">
        <f aca="false">VLOOKUP(C4577,Products!$A$2:$E$62,3,FALSE())</f>
        <v>Electronics</v>
      </c>
      <c r="L4577" s="1" t="str">
        <f aca="false">TEXT(D4577,"yyyy-mm")</f>
        <v>2024-06</v>
      </c>
    </row>
    <row r="4578" customFormat="false" ht="15" hidden="false" customHeight="true" outlineLevel="0" collapsed="false">
      <c r="A4578" s="1" t="n">
        <v>4678</v>
      </c>
      <c r="B4578" s="1" t="n">
        <v>9</v>
      </c>
      <c r="C4578" s="1" t="n">
        <v>11</v>
      </c>
      <c r="D4578" s="1" t="s">
        <v>1398</v>
      </c>
      <c r="E4578" s="1" t="n">
        <v>1</v>
      </c>
      <c r="F4578" s="1" t="n">
        <v>328.39</v>
      </c>
      <c r="G4578" s="1" t="n">
        <v>0</v>
      </c>
      <c r="H4578" s="1" t="s">
        <v>1336</v>
      </c>
      <c r="I4578" s="1" t="n">
        <v>328.39</v>
      </c>
      <c r="J4578" s="1" t="str">
        <f aca="false">VLOOKUP(B4578,Customers!$A$2:$G$502,6,FALSE())</f>
        <v>Small Business</v>
      </c>
      <c r="K4578" s="1" t="str">
        <f aca="false">VLOOKUP(C4578,Products!$A$2:$E$62,3,FALSE())</f>
        <v>Electronics</v>
      </c>
      <c r="L4578" s="1" t="str">
        <f aca="false">TEXT(D4578,"yyyy-mm")</f>
        <v>2023-06</v>
      </c>
    </row>
    <row r="4579" customFormat="false" ht="15" hidden="false" customHeight="true" outlineLevel="0" collapsed="false">
      <c r="A4579" s="1" t="n">
        <v>4679</v>
      </c>
      <c r="B4579" s="1" t="n">
        <v>483</v>
      </c>
      <c r="C4579" s="1" t="n">
        <v>22</v>
      </c>
      <c r="D4579" s="1" t="s">
        <v>1699</v>
      </c>
      <c r="E4579" s="1" t="n">
        <v>9</v>
      </c>
      <c r="F4579" s="1" t="n">
        <v>38.57</v>
      </c>
      <c r="G4579" s="1" t="n">
        <v>0.15</v>
      </c>
      <c r="H4579" s="1" t="s">
        <v>1336</v>
      </c>
      <c r="I4579" s="1" t="n">
        <v>295.06</v>
      </c>
      <c r="J4579" s="1" t="str">
        <f aca="false">VLOOKUP(B4579,Customers!$A$2:$G$502,6,FALSE())</f>
        <v>Small Business</v>
      </c>
      <c r="K4579" s="1" t="str">
        <f aca="false">VLOOKUP(C4579,Products!$A$2:$E$62,3,FALSE())</f>
        <v>Office Supplies</v>
      </c>
      <c r="L4579" s="1" t="str">
        <f aca="false">TEXT(D4579,"yyyy-mm")</f>
        <v>2023-08</v>
      </c>
    </row>
    <row r="4580" customFormat="false" ht="15" hidden="false" customHeight="true" outlineLevel="0" collapsed="false">
      <c r="A4580" s="1" t="n">
        <v>4680</v>
      </c>
      <c r="B4580" s="1" t="n">
        <v>102</v>
      </c>
      <c r="C4580" s="1" t="n">
        <v>5</v>
      </c>
      <c r="D4580" s="1" t="s">
        <v>1384</v>
      </c>
      <c r="E4580" s="1" t="n">
        <v>9</v>
      </c>
      <c r="F4580" s="1" t="n">
        <v>439.06</v>
      </c>
      <c r="G4580" s="1" t="n">
        <v>0.1</v>
      </c>
      <c r="H4580" s="1" t="s">
        <v>1336</v>
      </c>
      <c r="I4580" s="1" t="n">
        <v>3556.39</v>
      </c>
      <c r="J4580" s="1" t="str">
        <f aca="false">VLOOKUP(B4580,Customers!$A$2:$G$502,6,FALSE())</f>
        <v>Consumer</v>
      </c>
      <c r="K4580" s="1" t="str">
        <f aca="false">VLOOKUP(C4580,Products!$A$2:$E$62,3,FALSE())</f>
        <v>Electronics</v>
      </c>
      <c r="L4580" s="1" t="str">
        <f aca="false">TEXT(D4580,"yyyy-mm")</f>
        <v>2024-09</v>
      </c>
    </row>
    <row r="4581" customFormat="false" ht="15" hidden="false" customHeight="true" outlineLevel="0" collapsed="false">
      <c r="A4581" s="1" t="n">
        <v>4681</v>
      </c>
      <c r="B4581" s="1" t="n">
        <v>166</v>
      </c>
      <c r="C4581" s="1" t="n">
        <v>51</v>
      </c>
      <c r="D4581" s="1" t="s">
        <v>1637</v>
      </c>
      <c r="E4581" s="1" t="n">
        <v>7</v>
      </c>
      <c r="F4581" s="1" t="n">
        <v>30.16</v>
      </c>
      <c r="G4581" s="1" t="n">
        <v>0</v>
      </c>
      <c r="H4581" s="1" t="s">
        <v>1336</v>
      </c>
      <c r="I4581" s="1" t="n">
        <v>211.12</v>
      </c>
      <c r="J4581" s="1" t="str">
        <f aca="false">VLOOKUP(B4581,Customers!$A$2:$G$502,6,FALSE())</f>
        <v>Small Business</v>
      </c>
      <c r="K4581" s="1" t="str">
        <f aca="false">VLOOKUP(C4581,Products!$A$2:$E$62,3,FALSE())</f>
        <v>Software</v>
      </c>
      <c r="L4581" s="1" t="str">
        <f aca="false">TEXT(D4581,"yyyy-mm")</f>
        <v>2023-11</v>
      </c>
    </row>
    <row r="4582" customFormat="false" ht="15" hidden="false" customHeight="true" outlineLevel="0" collapsed="false">
      <c r="A4582" s="1" t="n">
        <v>4682</v>
      </c>
      <c r="B4582" s="1" t="n">
        <v>476</v>
      </c>
      <c r="C4582" s="1" t="n">
        <v>32</v>
      </c>
      <c r="D4582" s="1" t="s">
        <v>680</v>
      </c>
      <c r="E4582" s="1" t="n">
        <v>2</v>
      </c>
      <c r="F4582" s="1" t="n">
        <v>492.27</v>
      </c>
      <c r="G4582" s="1" t="n">
        <v>0</v>
      </c>
      <c r="H4582" s="1" t="s">
        <v>1336</v>
      </c>
      <c r="I4582" s="1" t="n">
        <v>984.54</v>
      </c>
      <c r="J4582" s="1" t="str">
        <f aca="false">VLOOKUP(B4582,Customers!$A$2:$G$502,6,FALSE())</f>
        <v>Small Business</v>
      </c>
      <c r="K4582" s="1" t="str">
        <f aca="false">VLOOKUP(C4582,Products!$A$2:$E$62,3,FALSE())</f>
        <v>Office Supplies</v>
      </c>
      <c r="L4582" s="1" t="str">
        <f aca="false">TEXT(D4582,"yyyy-mm")</f>
        <v>2024-04</v>
      </c>
    </row>
    <row r="4583" customFormat="false" ht="15" hidden="false" customHeight="true" outlineLevel="0" collapsed="false">
      <c r="A4583" s="1" t="n">
        <v>4683</v>
      </c>
      <c r="B4583" s="1" t="n">
        <v>252</v>
      </c>
      <c r="C4583" s="1" t="n">
        <v>4</v>
      </c>
      <c r="D4583" s="1" t="s">
        <v>1559</v>
      </c>
      <c r="E4583" s="1" t="n">
        <v>6</v>
      </c>
      <c r="F4583" s="1" t="n">
        <v>56.24</v>
      </c>
      <c r="G4583" s="1" t="n">
        <v>0</v>
      </c>
      <c r="H4583" s="1" t="s">
        <v>1336</v>
      </c>
      <c r="I4583" s="1" t="n">
        <v>337.44</v>
      </c>
      <c r="J4583" s="1" t="str">
        <f aca="false">VLOOKUP(B4583,Customers!$A$2:$G$502,6,FALSE())</f>
        <v>Consumer</v>
      </c>
      <c r="K4583" s="1" t="str">
        <f aca="false">VLOOKUP(C4583,Products!$A$2:$E$62,3,FALSE())</f>
        <v>Electronics</v>
      </c>
      <c r="L4583" s="1" t="str">
        <f aca="false">TEXT(D4583,"yyyy-mm")</f>
        <v>2023-01</v>
      </c>
    </row>
    <row r="4584" customFormat="false" ht="15" hidden="false" customHeight="true" outlineLevel="0" collapsed="false">
      <c r="A4584" s="1" t="n">
        <v>4684</v>
      </c>
      <c r="B4584" s="1" t="n">
        <v>140</v>
      </c>
      <c r="C4584" s="1" t="n">
        <v>43</v>
      </c>
      <c r="D4584" s="1" t="s">
        <v>396</v>
      </c>
      <c r="E4584" s="1" t="n">
        <v>4</v>
      </c>
      <c r="F4584" s="1" t="n">
        <v>186.31</v>
      </c>
      <c r="G4584" s="1" t="n">
        <v>0.2</v>
      </c>
      <c r="H4584" s="1" t="s">
        <v>1336</v>
      </c>
      <c r="I4584" s="1" t="n">
        <v>596.19</v>
      </c>
      <c r="J4584" s="1" t="str">
        <f aca="false">VLOOKUP(B4584,Customers!$A$2:$G$502,6,FALSE())</f>
        <v>Unknown</v>
      </c>
      <c r="K4584" s="1" t="str">
        <f aca="false">VLOOKUP(C4584,Products!$A$2:$E$62,3,FALSE())</f>
        <v>Software</v>
      </c>
      <c r="L4584" s="1" t="str">
        <f aca="false">TEXT(D4584,"yyyy-mm")</f>
        <v>2023-10</v>
      </c>
    </row>
    <row r="4585" customFormat="false" ht="15" hidden="false" customHeight="true" outlineLevel="0" collapsed="false">
      <c r="A4585" s="1" t="n">
        <v>4685</v>
      </c>
      <c r="B4585" s="1" t="n">
        <v>459</v>
      </c>
      <c r="C4585" s="1" t="n">
        <v>1</v>
      </c>
      <c r="D4585" s="1" t="s">
        <v>1533</v>
      </c>
      <c r="E4585" s="1" t="n">
        <v>1</v>
      </c>
      <c r="F4585" s="1" t="n">
        <v>327.32</v>
      </c>
      <c r="G4585" s="1" t="n">
        <v>0.05</v>
      </c>
      <c r="H4585" s="1" t="s">
        <v>1346</v>
      </c>
      <c r="I4585" s="1" t="n">
        <v>310.95</v>
      </c>
      <c r="J4585" s="1" t="str">
        <f aca="false">VLOOKUP(B4585,Customers!$A$2:$G$502,6,FALSE())</f>
        <v>Small Business</v>
      </c>
      <c r="K4585" s="1" t="str">
        <f aca="false">VLOOKUP(C4585,Products!$A$2:$E$62,3,FALSE())</f>
        <v>Electronics</v>
      </c>
      <c r="L4585" s="1" t="str">
        <f aca="false">TEXT(D4585,"yyyy-mm")</f>
        <v>2023-03</v>
      </c>
    </row>
    <row r="4586" customFormat="false" ht="15" hidden="false" customHeight="true" outlineLevel="0" collapsed="false">
      <c r="A4586" s="1" t="n">
        <v>4686</v>
      </c>
      <c r="B4586" s="1" t="n">
        <v>227</v>
      </c>
      <c r="C4586" s="1" t="n">
        <v>16</v>
      </c>
      <c r="D4586" s="1" t="s">
        <v>496</v>
      </c>
      <c r="E4586" s="1" t="n">
        <v>1</v>
      </c>
      <c r="F4586" s="1" t="n">
        <v>330.91</v>
      </c>
      <c r="G4586" s="1" t="n">
        <v>0.1</v>
      </c>
      <c r="H4586" s="1" t="s">
        <v>1336</v>
      </c>
      <c r="I4586" s="1" t="n">
        <v>297.82</v>
      </c>
      <c r="J4586" s="1" t="str">
        <f aca="false">VLOOKUP(B4586,Customers!$A$2:$G$502,6,FALSE())</f>
        <v>Consumer</v>
      </c>
      <c r="K4586" s="1" t="str">
        <f aca="false">VLOOKUP(C4586,Products!$A$2:$E$62,3,FALSE())</f>
        <v>Electronics</v>
      </c>
      <c r="L4586" s="1" t="str">
        <f aca="false">TEXT(D4586,"yyyy-mm")</f>
        <v>2023-05</v>
      </c>
    </row>
    <row r="4587" customFormat="false" ht="15" hidden="false" customHeight="true" outlineLevel="0" collapsed="false">
      <c r="A4587" s="1" t="n">
        <v>4687</v>
      </c>
      <c r="B4587" s="1" t="n">
        <v>121</v>
      </c>
      <c r="C4587" s="1" t="n">
        <v>9</v>
      </c>
      <c r="D4587" s="1" t="s">
        <v>1173</v>
      </c>
      <c r="E4587" s="1" t="n">
        <v>5</v>
      </c>
      <c r="F4587" s="1" t="n">
        <v>203.1</v>
      </c>
      <c r="G4587" s="1" t="n">
        <v>0</v>
      </c>
      <c r="H4587" s="1" t="s">
        <v>1336</v>
      </c>
      <c r="I4587" s="1" t="n">
        <v>1015.5</v>
      </c>
      <c r="J4587" s="1" t="str">
        <f aca="false">VLOOKUP(B4587,Customers!$A$2:$G$502,6,FALSE())</f>
        <v>Consumer</v>
      </c>
      <c r="K4587" s="1" t="str">
        <f aca="false">VLOOKUP(C4587,Products!$A$2:$E$62,3,FALSE())</f>
        <v>Electronics</v>
      </c>
      <c r="L4587" s="1" t="str">
        <f aca="false">TEXT(D4587,"yyyy-mm")</f>
        <v>2023-01</v>
      </c>
    </row>
    <row r="4588" customFormat="false" ht="15" hidden="false" customHeight="true" outlineLevel="0" collapsed="false">
      <c r="A4588" s="1" t="n">
        <v>4688</v>
      </c>
      <c r="B4588" s="1" t="n">
        <v>15</v>
      </c>
      <c r="C4588" s="1" t="n">
        <v>28</v>
      </c>
      <c r="D4588" s="1" t="s">
        <v>710</v>
      </c>
      <c r="E4588" s="1" t="n">
        <v>2</v>
      </c>
      <c r="F4588" s="1" t="n">
        <v>505.23</v>
      </c>
      <c r="G4588" s="1" t="n">
        <v>0.2</v>
      </c>
      <c r="H4588" s="1" t="s">
        <v>1336</v>
      </c>
      <c r="I4588" s="1" t="n">
        <v>808.37</v>
      </c>
      <c r="J4588" s="1" t="str">
        <f aca="false">VLOOKUP(B4588,Customers!$A$2:$G$502,6,FALSE())</f>
        <v>Corporate</v>
      </c>
      <c r="K4588" s="1" t="str">
        <f aca="false">VLOOKUP(C4588,Products!$A$2:$E$62,3,FALSE())</f>
        <v>Office Supplies</v>
      </c>
      <c r="L4588" s="1" t="str">
        <f aca="false">TEXT(D4588,"yyyy-mm")</f>
        <v>2023-07</v>
      </c>
    </row>
    <row r="4589" customFormat="false" ht="15" hidden="false" customHeight="true" outlineLevel="0" collapsed="false">
      <c r="A4589" s="1" t="n">
        <v>4689</v>
      </c>
      <c r="B4589" s="1" t="n">
        <v>187</v>
      </c>
      <c r="C4589" s="1" t="n">
        <v>2</v>
      </c>
      <c r="D4589" s="1" t="s">
        <v>257</v>
      </c>
      <c r="E4589" s="1" t="n">
        <v>4</v>
      </c>
      <c r="F4589" s="1" t="n">
        <v>498.15</v>
      </c>
      <c r="G4589" s="1" t="n">
        <v>0</v>
      </c>
      <c r="H4589" s="1" t="s">
        <v>1336</v>
      </c>
      <c r="I4589" s="1" t="n">
        <v>1992.6</v>
      </c>
      <c r="J4589" s="1" t="str">
        <f aca="false">VLOOKUP(B4589,Customers!$A$2:$G$502,6,FALSE())</f>
        <v>Consumer</v>
      </c>
      <c r="K4589" s="1" t="str">
        <f aca="false">VLOOKUP(C4589,Products!$A$2:$E$62,3,FALSE())</f>
        <v>Electronics</v>
      </c>
      <c r="L4589" s="1" t="str">
        <f aca="false">TEXT(D4589,"yyyy-mm")</f>
        <v>2023-07</v>
      </c>
    </row>
    <row r="4590" customFormat="false" ht="15" hidden="false" customHeight="true" outlineLevel="0" collapsed="false">
      <c r="A4590" s="1" t="n">
        <v>4690</v>
      </c>
      <c r="B4590" s="1" t="n">
        <v>366</v>
      </c>
      <c r="C4590" s="1" t="n">
        <v>54</v>
      </c>
      <c r="D4590" s="1" t="s">
        <v>1397</v>
      </c>
      <c r="E4590" s="1" t="n">
        <v>1</v>
      </c>
      <c r="F4590" s="1" t="n">
        <v>312.01</v>
      </c>
      <c r="G4590" s="1" t="n">
        <v>0.2</v>
      </c>
      <c r="H4590" s="1" t="s">
        <v>1370</v>
      </c>
      <c r="I4590" s="1" t="n">
        <v>249.61</v>
      </c>
      <c r="J4590" s="1" t="str">
        <f aca="false">VLOOKUP(B4590,Customers!$A$2:$G$502,6,FALSE())</f>
        <v>Corporate</v>
      </c>
      <c r="K4590" s="1" t="str">
        <f aca="false">VLOOKUP(C4590,Products!$A$2:$E$62,3,FALSE())</f>
        <v>Software</v>
      </c>
      <c r="L4590" s="1" t="str">
        <f aca="false">TEXT(D4590,"yyyy-mm")</f>
        <v>2023-10</v>
      </c>
    </row>
    <row r="4591" customFormat="false" ht="15" hidden="false" customHeight="true" outlineLevel="0" collapsed="false">
      <c r="A4591" s="1" t="n">
        <v>4691</v>
      </c>
      <c r="B4591" s="1" t="n">
        <v>343</v>
      </c>
      <c r="C4591" s="1" t="n">
        <v>26</v>
      </c>
      <c r="D4591" s="1" t="s">
        <v>283</v>
      </c>
      <c r="E4591" s="1" t="n">
        <v>4</v>
      </c>
      <c r="F4591" s="1" t="n">
        <v>733.85</v>
      </c>
      <c r="G4591" s="1" t="n">
        <v>0.1</v>
      </c>
      <c r="H4591" s="1" t="s">
        <v>1336</v>
      </c>
      <c r="I4591" s="1" t="n">
        <v>2641.86</v>
      </c>
      <c r="J4591" s="1" t="str">
        <f aca="false">VLOOKUP(B4591,Customers!$A$2:$G$502,6,FALSE())</f>
        <v>Unknown</v>
      </c>
      <c r="K4591" s="1" t="str">
        <f aca="false">VLOOKUP(C4591,Products!$A$2:$E$62,3,FALSE())</f>
        <v>Office Supplies</v>
      </c>
      <c r="L4591" s="1" t="str">
        <f aca="false">TEXT(D4591,"yyyy-mm")</f>
        <v>2023-10</v>
      </c>
    </row>
    <row r="4592" customFormat="false" ht="15" hidden="false" customHeight="true" outlineLevel="0" collapsed="false">
      <c r="A4592" s="1" t="n">
        <v>4692</v>
      </c>
      <c r="B4592" s="1" t="n">
        <v>262</v>
      </c>
      <c r="C4592" s="1" t="n">
        <v>36</v>
      </c>
      <c r="D4592" s="1" t="s">
        <v>1403</v>
      </c>
      <c r="E4592" s="1" t="n">
        <v>6</v>
      </c>
      <c r="F4592" s="1" t="n">
        <v>424.45</v>
      </c>
      <c r="G4592" s="1" t="n">
        <v>0</v>
      </c>
      <c r="H4592" s="1" t="s">
        <v>1336</v>
      </c>
      <c r="I4592" s="1" t="n">
        <v>2546.7</v>
      </c>
      <c r="J4592" s="1" t="str">
        <f aca="false">VLOOKUP(B4592,Customers!$A$2:$G$502,6,FALSE())</f>
        <v>Small Business</v>
      </c>
      <c r="K4592" s="1" t="str">
        <f aca="false">VLOOKUP(C4592,Products!$A$2:$E$62,3,FALSE())</f>
        <v>Software</v>
      </c>
      <c r="L4592" s="1" t="str">
        <f aca="false">TEXT(D4592,"yyyy-mm")</f>
        <v>2024-02</v>
      </c>
    </row>
    <row r="4593" customFormat="false" ht="15" hidden="false" customHeight="true" outlineLevel="0" collapsed="false">
      <c r="A4593" s="1" t="n">
        <v>4693</v>
      </c>
      <c r="B4593" s="1" t="n">
        <v>131</v>
      </c>
      <c r="C4593" s="1" t="n">
        <v>54</v>
      </c>
      <c r="D4593" s="1" t="s">
        <v>1609</v>
      </c>
      <c r="E4593" s="1" t="n">
        <v>4</v>
      </c>
      <c r="F4593" s="1" t="n">
        <v>312.01</v>
      </c>
      <c r="G4593" s="1" t="n">
        <v>0.05</v>
      </c>
      <c r="H4593" s="1" t="s">
        <v>1336</v>
      </c>
      <c r="I4593" s="1" t="n">
        <v>1185.64</v>
      </c>
      <c r="J4593" s="1" t="str">
        <f aca="false">VLOOKUP(B4593,Customers!$A$2:$G$502,6,FALSE())</f>
        <v>Corporate</v>
      </c>
      <c r="K4593" s="1" t="str">
        <f aca="false">VLOOKUP(C4593,Products!$A$2:$E$62,3,FALSE())</f>
        <v>Software</v>
      </c>
      <c r="L4593" s="1" t="str">
        <f aca="false">TEXT(D4593,"yyyy-mm")</f>
        <v>2023-02</v>
      </c>
    </row>
    <row r="4594" customFormat="false" ht="15" hidden="false" customHeight="true" outlineLevel="0" collapsed="false">
      <c r="A4594" s="1" t="n">
        <v>4694</v>
      </c>
      <c r="B4594" s="1" t="n">
        <v>351</v>
      </c>
      <c r="C4594" s="1" t="n">
        <v>6</v>
      </c>
      <c r="D4594" s="1" t="s">
        <v>1526</v>
      </c>
      <c r="E4594" s="1" t="n">
        <v>1</v>
      </c>
      <c r="F4594" s="1" t="n">
        <v>28.51</v>
      </c>
      <c r="G4594" s="1" t="n">
        <v>0.1</v>
      </c>
      <c r="H4594" s="1" t="s">
        <v>1370</v>
      </c>
      <c r="I4594" s="1" t="n">
        <v>25.66</v>
      </c>
      <c r="J4594" s="1" t="str">
        <f aca="false">VLOOKUP(B4594,Customers!$A$2:$G$502,6,FALSE())</f>
        <v>Small Business</v>
      </c>
      <c r="K4594" s="1" t="str">
        <f aca="false">VLOOKUP(C4594,Products!$A$2:$E$62,3,FALSE())</f>
        <v>Electronics</v>
      </c>
      <c r="L4594" s="1" t="str">
        <f aca="false">TEXT(D4594,"yyyy-mm")</f>
        <v>2023-09</v>
      </c>
    </row>
    <row r="4595" customFormat="false" ht="15" hidden="false" customHeight="true" outlineLevel="0" collapsed="false">
      <c r="A4595" s="1" t="n">
        <v>4695</v>
      </c>
      <c r="B4595" s="1" t="n">
        <v>52</v>
      </c>
      <c r="C4595" s="1" t="n">
        <v>49</v>
      </c>
      <c r="D4595" s="1" t="s">
        <v>1614</v>
      </c>
      <c r="E4595" s="1" t="n">
        <v>7</v>
      </c>
      <c r="F4595" s="1" t="n">
        <v>325.17</v>
      </c>
      <c r="G4595" s="1" t="n">
        <v>0.2</v>
      </c>
      <c r="H4595" s="1" t="s">
        <v>1346</v>
      </c>
      <c r="I4595" s="1" t="n">
        <v>1820.95</v>
      </c>
      <c r="J4595" s="1" t="str">
        <f aca="false">VLOOKUP(B4595,Customers!$A$2:$G$502,6,FALSE())</f>
        <v>Small Business</v>
      </c>
      <c r="K4595" s="1" t="str">
        <f aca="false">VLOOKUP(C4595,Products!$A$2:$E$62,3,FALSE())</f>
        <v>Software</v>
      </c>
      <c r="L4595" s="1" t="str">
        <f aca="false">TEXT(D4595,"yyyy-mm")</f>
        <v>2023-10</v>
      </c>
    </row>
    <row r="4596" customFormat="false" ht="15" hidden="false" customHeight="true" outlineLevel="0" collapsed="false">
      <c r="A4596" s="1" t="n">
        <v>4696</v>
      </c>
      <c r="B4596" s="1" t="n">
        <v>238</v>
      </c>
      <c r="C4596" s="1" t="n">
        <v>29</v>
      </c>
      <c r="D4596" s="1" t="s">
        <v>1550</v>
      </c>
      <c r="E4596" s="1" t="n">
        <v>2</v>
      </c>
      <c r="F4596" s="1" t="n">
        <v>54.62</v>
      </c>
      <c r="G4596" s="1" t="n">
        <v>0</v>
      </c>
      <c r="H4596" s="1" t="s">
        <v>1336</v>
      </c>
      <c r="I4596" s="1" t="n">
        <v>109.24</v>
      </c>
      <c r="J4596" s="1" t="str">
        <f aca="false">VLOOKUP(B4596,Customers!$A$2:$G$502,6,FALSE())</f>
        <v>Corporate</v>
      </c>
      <c r="K4596" s="1" t="str">
        <f aca="false">VLOOKUP(C4596,Products!$A$2:$E$62,3,FALSE())</f>
        <v>Office Supplies</v>
      </c>
      <c r="L4596" s="1" t="str">
        <f aca="false">TEXT(D4596,"yyyy-mm")</f>
        <v>2024-03</v>
      </c>
    </row>
    <row r="4597" customFormat="false" ht="15" hidden="false" customHeight="true" outlineLevel="0" collapsed="false">
      <c r="A4597" s="1" t="n">
        <v>4697</v>
      </c>
      <c r="B4597" s="1" t="n">
        <v>15</v>
      </c>
      <c r="C4597" s="1" t="n">
        <v>7</v>
      </c>
      <c r="D4597" s="1" t="s">
        <v>314</v>
      </c>
      <c r="E4597" s="1" t="n">
        <v>9</v>
      </c>
      <c r="F4597" s="1" t="n">
        <v>460</v>
      </c>
      <c r="G4597" s="1" t="n">
        <v>0</v>
      </c>
      <c r="H4597" s="1" t="s">
        <v>1336</v>
      </c>
      <c r="I4597" s="1" t="n">
        <v>4140</v>
      </c>
      <c r="J4597" s="1" t="str">
        <f aca="false">VLOOKUP(B4597,Customers!$A$2:$G$502,6,FALSE())</f>
        <v>Corporate</v>
      </c>
      <c r="K4597" s="1" t="str">
        <f aca="false">VLOOKUP(C4597,Products!$A$2:$E$62,3,FALSE())</f>
        <v>Electronics</v>
      </c>
      <c r="L4597" s="1" t="str">
        <f aca="false">TEXT(D4597,"yyyy-mm")</f>
        <v>2024-05</v>
      </c>
    </row>
    <row r="4598" customFormat="false" ht="15" hidden="false" customHeight="true" outlineLevel="0" collapsed="false">
      <c r="A4598" s="1" t="n">
        <v>4698</v>
      </c>
      <c r="B4598" s="1" t="n">
        <v>39</v>
      </c>
      <c r="C4598" s="1" t="n">
        <v>60</v>
      </c>
      <c r="D4598" s="1" t="s">
        <v>1598</v>
      </c>
      <c r="E4598" s="1" t="n">
        <v>3</v>
      </c>
      <c r="F4598" s="1" t="n">
        <v>584.98</v>
      </c>
      <c r="G4598" s="1" t="n">
        <v>0.2</v>
      </c>
      <c r="H4598" s="1" t="s">
        <v>1370</v>
      </c>
      <c r="I4598" s="1" t="n">
        <v>1403.95</v>
      </c>
      <c r="J4598" s="1" t="str">
        <f aca="false">VLOOKUP(B4598,Customers!$A$2:$G$502,6,FALSE())</f>
        <v>Corporate</v>
      </c>
      <c r="K4598" s="1" t="str">
        <f aca="false">VLOOKUP(C4598,Products!$A$2:$E$62,3,FALSE())</f>
        <v>Furniture</v>
      </c>
      <c r="L4598" s="1" t="str">
        <f aca="false">TEXT(D4598,"yyyy-mm")</f>
        <v>2024-05</v>
      </c>
    </row>
    <row r="4599" customFormat="false" ht="15" hidden="false" customHeight="true" outlineLevel="0" collapsed="false">
      <c r="A4599" s="1" t="n">
        <v>4699</v>
      </c>
      <c r="B4599" s="1" t="n">
        <v>341</v>
      </c>
      <c r="C4599" s="1" t="n">
        <v>14</v>
      </c>
      <c r="D4599" s="1" t="s">
        <v>1670</v>
      </c>
      <c r="E4599" s="1" t="n">
        <v>8</v>
      </c>
      <c r="F4599" s="1" t="n">
        <v>135.27</v>
      </c>
      <c r="G4599" s="1" t="n">
        <v>0</v>
      </c>
      <c r="H4599" s="1" t="s">
        <v>1336</v>
      </c>
      <c r="I4599" s="1" t="n">
        <v>1082.16</v>
      </c>
      <c r="J4599" s="1" t="str">
        <f aca="false">VLOOKUP(B4599,Customers!$A$2:$G$502,6,FALSE())</f>
        <v>Small Business</v>
      </c>
      <c r="K4599" s="1" t="str">
        <f aca="false">VLOOKUP(C4599,Products!$A$2:$E$62,3,FALSE())</f>
        <v>Electronics</v>
      </c>
      <c r="L4599" s="1" t="str">
        <f aca="false">TEXT(D4599,"yyyy-mm")</f>
        <v>2024-07</v>
      </c>
    </row>
    <row r="4600" customFormat="false" ht="15" hidden="false" customHeight="true" outlineLevel="0" collapsed="false">
      <c r="A4600" s="1" t="n">
        <v>4700</v>
      </c>
      <c r="B4600" s="1" t="n">
        <v>259</v>
      </c>
      <c r="C4600" s="1" t="n">
        <v>56</v>
      </c>
      <c r="D4600" s="1" t="s">
        <v>148</v>
      </c>
      <c r="E4600" s="1" t="n">
        <v>8</v>
      </c>
      <c r="F4600" s="1" t="n">
        <v>160.64</v>
      </c>
      <c r="G4600" s="1" t="n">
        <v>0.05</v>
      </c>
      <c r="H4600" s="1" t="s">
        <v>1336</v>
      </c>
      <c r="I4600" s="1" t="n">
        <v>1220.86</v>
      </c>
      <c r="J4600" s="1" t="str">
        <f aca="false">VLOOKUP(B4600,Customers!$A$2:$G$502,6,FALSE())</f>
        <v>Consumer</v>
      </c>
      <c r="K4600" s="1" t="str">
        <f aca="false">VLOOKUP(C4600,Products!$A$2:$E$62,3,FALSE())</f>
        <v>Furniture</v>
      </c>
      <c r="L4600" s="1" t="str">
        <f aca="false">TEXT(D4600,"yyyy-mm")</f>
        <v>2023-06</v>
      </c>
    </row>
    <row r="4601" customFormat="false" ht="15" hidden="false" customHeight="true" outlineLevel="0" collapsed="false">
      <c r="A4601" s="1" t="n">
        <v>4701</v>
      </c>
      <c r="B4601" s="1" t="n">
        <v>31</v>
      </c>
      <c r="C4601" s="1" t="n">
        <v>40</v>
      </c>
      <c r="D4601" s="1" t="s">
        <v>1433</v>
      </c>
      <c r="E4601" s="1" t="n">
        <v>3</v>
      </c>
      <c r="F4601" s="1" t="n">
        <v>193.02</v>
      </c>
      <c r="G4601" s="1" t="n">
        <v>0.15</v>
      </c>
      <c r="H4601" s="1" t="s">
        <v>1336</v>
      </c>
      <c r="I4601" s="1" t="n">
        <v>492.2</v>
      </c>
      <c r="J4601" s="1" t="str">
        <f aca="false">VLOOKUP(B4601,Customers!$A$2:$G$502,6,FALSE())</f>
        <v>Consumer</v>
      </c>
      <c r="K4601" s="1" t="str">
        <f aca="false">VLOOKUP(C4601,Products!$A$2:$E$62,3,FALSE())</f>
        <v>Software</v>
      </c>
      <c r="L4601" s="1" t="str">
        <f aca="false">TEXT(D4601,"yyyy-mm")</f>
        <v>2023-12</v>
      </c>
    </row>
    <row r="4602" customFormat="false" ht="15" hidden="false" customHeight="true" outlineLevel="0" collapsed="false">
      <c r="A4602" s="1" t="n">
        <v>4702</v>
      </c>
      <c r="B4602" s="1" t="n">
        <v>285</v>
      </c>
      <c r="C4602" s="1" t="n">
        <v>31</v>
      </c>
      <c r="D4602" s="1" t="s">
        <v>443</v>
      </c>
      <c r="E4602" s="1" t="n">
        <v>4</v>
      </c>
      <c r="F4602" s="1" t="n">
        <v>224.86</v>
      </c>
      <c r="G4602" s="1" t="n">
        <v>0</v>
      </c>
      <c r="H4602" s="1" t="s">
        <v>1336</v>
      </c>
      <c r="I4602" s="1" t="n">
        <v>899.44</v>
      </c>
      <c r="J4602" s="1" t="str">
        <f aca="false">VLOOKUP(B4602,Customers!$A$2:$G$502,6,FALSE())</f>
        <v>Consumer</v>
      </c>
      <c r="K4602" s="1" t="str">
        <f aca="false">VLOOKUP(C4602,Products!$A$2:$E$62,3,FALSE())</f>
        <v>Office Supplies</v>
      </c>
      <c r="L4602" s="1" t="str">
        <f aca="false">TEXT(D4602,"yyyy-mm")</f>
        <v>2023-08</v>
      </c>
    </row>
    <row r="4603" customFormat="false" ht="15" hidden="false" customHeight="true" outlineLevel="0" collapsed="false">
      <c r="A4603" s="1" t="n">
        <v>4703</v>
      </c>
      <c r="B4603" s="1" t="n">
        <v>318</v>
      </c>
      <c r="C4603" s="1" t="n">
        <v>39</v>
      </c>
      <c r="D4603" s="1" t="s">
        <v>581</v>
      </c>
      <c r="E4603" s="1" t="n">
        <v>2</v>
      </c>
      <c r="F4603" s="1" t="n">
        <v>400.02</v>
      </c>
      <c r="G4603" s="1" t="n">
        <v>0</v>
      </c>
      <c r="H4603" s="1" t="s">
        <v>1336</v>
      </c>
      <c r="I4603" s="1" t="n">
        <v>800.04</v>
      </c>
      <c r="J4603" s="1" t="str">
        <f aca="false">VLOOKUP(B4603,Customers!$A$2:$G$502,6,FALSE())</f>
        <v>Consumer</v>
      </c>
      <c r="K4603" s="1" t="str">
        <f aca="false">VLOOKUP(C4603,Products!$A$2:$E$62,3,FALSE())</f>
        <v>Software</v>
      </c>
      <c r="L4603" s="1" t="str">
        <f aca="false">TEXT(D4603,"yyyy-mm")</f>
        <v>2023-07</v>
      </c>
    </row>
    <row r="4604" customFormat="false" ht="15" hidden="false" customHeight="true" outlineLevel="0" collapsed="false">
      <c r="A4604" s="1" t="n">
        <v>4704</v>
      </c>
      <c r="B4604" s="1" t="n">
        <v>9</v>
      </c>
      <c r="C4604" s="1" t="n">
        <v>11</v>
      </c>
      <c r="D4604" s="1" t="s">
        <v>1653</v>
      </c>
      <c r="E4604" s="1" t="n">
        <v>4</v>
      </c>
      <c r="F4604" s="1" t="n">
        <v>328.39</v>
      </c>
      <c r="G4604" s="1" t="n">
        <v>0</v>
      </c>
      <c r="H4604" s="1" t="s">
        <v>1336</v>
      </c>
      <c r="I4604" s="1" t="n">
        <v>1313.56</v>
      </c>
      <c r="J4604" s="1" t="str">
        <f aca="false">VLOOKUP(B4604,Customers!$A$2:$G$502,6,FALSE())</f>
        <v>Small Business</v>
      </c>
      <c r="K4604" s="1" t="str">
        <f aca="false">VLOOKUP(C4604,Products!$A$2:$E$62,3,FALSE())</f>
        <v>Electronics</v>
      </c>
      <c r="L4604" s="1" t="str">
        <f aca="false">TEXT(D4604,"yyyy-mm")</f>
        <v>2024-12</v>
      </c>
    </row>
    <row r="4605" customFormat="false" ht="15" hidden="false" customHeight="true" outlineLevel="0" collapsed="false">
      <c r="A4605" s="1" t="n">
        <v>4705</v>
      </c>
      <c r="B4605" s="1" t="n">
        <v>341</v>
      </c>
      <c r="C4605" s="1" t="n">
        <v>28</v>
      </c>
      <c r="D4605" s="1" t="s">
        <v>710</v>
      </c>
      <c r="E4605" s="1" t="n">
        <v>9</v>
      </c>
      <c r="F4605" s="1" t="n">
        <v>505.23</v>
      </c>
      <c r="G4605" s="1" t="n">
        <v>0.15</v>
      </c>
      <c r="H4605" s="1" t="s">
        <v>1336</v>
      </c>
      <c r="I4605" s="1" t="n">
        <v>3865.01</v>
      </c>
      <c r="J4605" s="1" t="str">
        <f aca="false">VLOOKUP(B4605,Customers!$A$2:$G$502,6,FALSE())</f>
        <v>Small Business</v>
      </c>
      <c r="K4605" s="1" t="str">
        <f aca="false">VLOOKUP(C4605,Products!$A$2:$E$62,3,FALSE())</f>
        <v>Office Supplies</v>
      </c>
      <c r="L4605" s="1" t="str">
        <f aca="false">TEXT(D4605,"yyyy-mm")</f>
        <v>2023-07</v>
      </c>
    </row>
    <row r="4606" customFormat="false" ht="15" hidden="false" customHeight="true" outlineLevel="0" collapsed="false">
      <c r="A4606" s="1" t="n">
        <v>4706</v>
      </c>
      <c r="B4606" s="1" t="n">
        <v>147</v>
      </c>
      <c r="C4606" s="1" t="n">
        <v>18</v>
      </c>
      <c r="D4606" s="1" t="s">
        <v>545</v>
      </c>
      <c r="E4606" s="1" t="n">
        <v>2</v>
      </c>
      <c r="F4606" s="1" t="n">
        <v>747.34</v>
      </c>
      <c r="G4606" s="1" t="n">
        <v>0.15</v>
      </c>
      <c r="H4606" s="1" t="s">
        <v>1336</v>
      </c>
      <c r="I4606" s="1" t="n">
        <v>1270.48</v>
      </c>
      <c r="J4606" s="1" t="str">
        <f aca="false">VLOOKUP(B4606,Customers!$A$2:$G$502,6,FALSE())</f>
        <v>Small Business</v>
      </c>
      <c r="K4606" s="1" t="str">
        <f aca="false">VLOOKUP(C4606,Products!$A$2:$E$62,3,FALSE())</f>
        <v>Electronics</v>
      </c>
      <c r="L4606" s="1" t="str">
        <f aca="false">TEXT(D4606,"yyyy-mm")</f>
        <v>2023-05</v>
      </c>
    </row>
    <row r="4607" customFormat="false" ht="15" hidden="false" customHeight="true" outlineLevel="0" collapsed="false">
      <c r="A4607" s="1" t="n">
        <v>4707</v>
      </c>
      <c r="B4607" s="1" t="n">
        <v>202</v>
      </c>
      <c r="C4607" s="1" t="n">
        <v>51</v>
      </c>
      <c r="D4607" s="1" t="s">
        <v>739</v>
      </c>
      <c r="E4607" s="1" t="n">
        <v>3</v>
      </c>
      <c r="F4607" s="1" t="n">
        <v>30.16</v>
      </c>
      <c r="G4607" s="1" t="n">
        <v>0</v>
      </c>
      <c r="H4607" s="1" t="s">
        <v>1336</v>
      </c>
      <c r="I4607" s="1" t="n">
        <v>90.48</v>
      </c>
      <c r="J4607" s="1" t="str">
        <f aca="false">VLOOKUP(B4607,Customers!$A$2:$G$502,6,FALSE())</f>
        <v>Corporate</v>
      </c>
      <c r="K4607" s="1" t="str">
        <f aca="false">VLOOKUP(C4607,Products!$A$2:$E$62,3,FALSE())</f>
        <v>Software</v>
      </c>
      <c r="L4607" s="1" t="str">
        <f aca="false">TEXT(D4607,"yyyy-mm")</f>
        <v>2024-11</v>
      </c>
    </row>
    <row r="4608" customFormat="false" ht="15" hidden="false" customHeight="true" outlineLevel="0" collapsed="false">
      <c r="A4608" s="1" t="n">
        <v>4708</v>
      </c>
      <c r="B4608" s="1" t="n">
        <v>214</v>
      </c>
      <c r="C4608" s="1" t="n">
        <v>43</v>
      </c>
      <c r="D4608" s="1" t="s">
        <v>1618</v>
      </c>
      <c r="E4608" s="1" t="n">
        <v>4</v>
      </c>
      <c r="F4608" s="1" t="n">
        <v>186.31</v>
      </c>
      <c r="G4608" s="1" t="n">
        <v>0.05</v>
      </c>
      <c r="H4608" s="1" t="s">
        <v>1336</v>
      </c>
      <c r="I4608" s="1" t="n">
        <v>707.98</v>
      </c>
      <c r="J4608" s="1" t="str">
        <f aca="false">VLOOKUP(B4608,Customers!$A$2:$G$502,6,FALSE())</f>
        <v>Corporate</v>
      </c>
      <c r="K4608" s="1" t="str">
        <f aca="false">VLOOKUP(C4608,Products!$A$2:$E$62,3,FALSE())</f>
        <v>Software</v>
      </c>
      <c r="L4608" s="1" t="str">
        <f aca="false">TEXT(D4608,"yyyy-mm")</f>
        <v>2024-04</v>
      </c>
    </row>
    <row r="4609" customFormat="false" ht="15" hidden="false" customHeight="true" outlineLevel="0" collapsed="false">
      <c r="A4609" s="1" t="n">
        <v>4709</v>
      </c>
      <c r="B4609" s="1" t="n">
        <v>444</v>
      </c>
      <c r="C4609" s="1" t="n">
        <v>15</v>
      </c>
      <c r="D4609" s="1" t="s">
        <v>1267</v>
      </c>
      <c r="E4609" s="1" t="n">
        <v>5</v>
      </c>
      <c r="F4609" s="1" t="n">
        <v>304.95</v>
      </c>
      <c r="G4609" s="1" t="n">
        <v>0.2</v>
      </c>
      <c r="H4609" s="1" t="s">
        <v>1336</v>
      </c>
      <c r="I4609" s="1" t="n">
        <v>1219.8</v>
      </c>
      <c r="J4609" s="1" t="str">
        <f aca="false">VLOOKUP(B4609,Customers!$A$2:$G$502,6,FALSE())</f>
        <v>Small Business</v>
      </c>
      <c r="K4609" s="1" t="str">
        <f aca="false">VLOOKUP(C4609,Products!$A$2:$E$62,3,FALSE())</f>
        <v>Electronics</v>
      </c>
      <c r="L4609" s="1" t="str">
        <f aca="false">TEXT(D4609,"yyyy-mm")</f>
        <v>2023-08</v>
      </c>
    </row>
    <row r="4610" customFormat="false" ht="15" hidden="false" customHeight="true" outlineLevel="0" collapsed="false">
      <c r="A4610" s="1" t="n">
        <v>4710</v>
      </c>
      <c r="B4610" s="1" t="n">
        <v>437</v>
      </c>
      <c r="C4610" s="1" t="n">
        <v>7</v>
      </c>
      <c r="D4610" s="1" t="s">
        <v>1687</v>
      </c>
      <c r="E4610" s="1" t="n">
        <v>1</v>
      </c>
      <c r="F4610" s="1" t="n">
        <v>460</v>
      </c>
      <c r="G4610" s="1" t="n">
        <v>0.05</v>
      </c>
      <c r="H4610" s="1" t="s">
        <v>1336</v>
      </c>
      <c r="I4610" s="1" t="n">
        <v>437</v>
      </c>
      <c r="J4610" s="1" t="str">
        <f aca="false">VLOOKUP(B4610,Customers!$A$2:$G$502,6,FALSE())</f>
        <v>Small Business</v>
      </c>
      <c r="K4610" s="1" t="str">
        <f aca="false">VLOOKUP(C4610,Products!$A$2:$E$62,3,FALSE())</f>
        <v>Electronics</v>
      </c>
      <c r="L4610" s="1" t="str">
        <f aca="false">TEXT(D4610,"yyyy-mm")</f>
        <v>2024-02</v>
      </c>
    </row>
    <row r="4611" customFormat="false" ht="15" hidden="false" customHeight="true" outlineLevel="0" collapsed="false">
      <c r="A4611" s="1" t="n">
        <v>4711</v>
      </c>
      <c r="B4611" s="1" t="n">
        <v>450</v>
      </c>
      <c r="C4611" s="1" t="n">
        <v>9</v>
      </c>
      <c r="D4611" s="1" t="s">
        <v>1395</v>
      </c>
      <c r="E4611" s="1" t="n">
        <v>7</v>
      </c>
      <c r="F4611" s="1" t="n">
        <v>203.1</v>
      </c>
      <c r="G4611" s="1" t="n">
        <v>0</v>
      </c>
      <c r="H4611" s="1" t="s">
        <v>1336</v>
      </c>
      <c r="I4611" s="1" t="n">
        <v>1421.7</v>
      </c>
      <c r="J4611" s="1" t="str">
        <f aca="false">VLOOKUP(B4611,Customers!$A$2:$G$502,6,FALSE())</f>
        <v>Consumer</v>
      </c>
      <c r="K4611" s="1" t="str">
        <f aca="false">VLOOKUP(C4611,Products!$A$2:$E$62,3,FALSE())</f>
        <v>Electronics</v>
      </c>
      <c r="L4611" s="1" t="str">
        <f aca="false">TEXT(D4611,"yyyy-mm")</f>
        <v>2023-04</v>
      </c>
    </row>
    <row r="4612" customFormat="false" ht="15" hidden="false" customHeight="true" outlineLevel="0" collapsed="false">
      <c r="A4612" s="1" t="n">
        <v>4712</v>
      </c>
      <c r="B4612" s="1" t="n">
        <v>91</v>
      </c>
      <c r="C4612" s="1" t="n">
        <v>56</v>
      </c>
      <c r="D4612" s="1" t="s">
        <v>656</v>
      </c>
      <c r="E4612" s="1" t="n">
        <v>7</v>
      </c>
      <c r="F4612" s="1" t="n">
        <v>160.64</v>
      </c>
      <c r="G4612" s="1" t="n">
        <v>0</v>
      </c>
      <c r="H4612" s="1" t="s">
        <v>1336</v>
      </c>
      <c r="I4612" s="1" t="n">
        <v>1124.48</v>
      </c>
      <c r="J4612" s="1" t="str">
        <f aca="false">VLOOKUP(B4612,Customers!$A$2:$G$502,6,FALSE())</f>
        <v>Consumer</v>
      </c>
      <c r="K4612" s="1" t="str">
        <f aca="false">VLOOKUP(C4612,Products!$A$2:$E$62,3,FALSE())</f>
        <v>Furniture</v>
      </c>
      <c r="L4612" s="1" t="str">
        <f aca="false">TEXT(D4612,"yyyy-mm")</f>
        <v>2024-03</v>
      </c>
    </row>
    <row r="4613" customFormat="false" ht="15" hidden="false" customHeight="true" outlineLevel="0" collapsed="false">
      <c r="A4613" s="1" t="n">
        <v>4713</v>
      </c>
      <c r="B4613" s="1" t="n">
        <v>455</v>
      </c>
      <c r="C4613" s="1" t="n">
        <v>14</v>
      </c>
      <c r="D4613" s="1" t="s">
        <v>1030</v>
      </c>
      <c r="E4613" s="1" t="n">
        <v>9</v>
      </c>
      <c r="F4613" s="1" t="n">
        <v>135.27</v>
      </c>
      <c r="G4613" s="1" t="n">
        <v>0</v>
      </c>
      <c r="H4613" s="1" t="s">
        <v>1336</v>
      </c>
      <c r="I4613" s="1" t="n">
        <v>1217.43</v>
      </c>
      <c r="J4613" s="1" t="str">
        <f aca="false">VLOOKUP(B4613,Customers!$A$2:$G$502,6,FALSE())</f>
        <v>Consumer</v>
      </c>
      <c r="K4613" s="1" t="str">
        <f aca="false">VLOOKUP(C4613,Products!$A$2:$E$62,3,FALSE())</f>
        <v>Electronics</v>
      </c>
      <c r="L4613" s="1" t="str">
        <f aca="false">TEXT(D4613,"yyyy-mm")</f>
        <v>2023-07</v>
      </c>
    </row>
    <row r="4614" customFormat="false" ht="15" hidden="false" customHeight="true" outlineLevel="0" collapsed="false">
      <c r="A4614" s="1" t="n">
        <v>4714</v>
      </c>
      <c r="B4614" s="1" t="n">
        <v>367</v>
      </c>
      <c r="C4614" s="1" t="n">
        <v>8</v>
      </c>
      <c r="D4614" s="1" t="s">
        <v>1479</v>
      </c>
      <c r="E4614" s="1" t="n">
        <v>4</v>
      </c>
      <c r="F4614" s="1" t="n">
        <v>104.4</v>
      </c>
      <c r="G4614" s="1" t="n">
        <v>0</v>
      </c>
      <c r="H4614" s="1" t="s">
        <v>1336</v>
      </c>
      <c r="I4614" s="1" t="n">
        <v>417.6</v>
      </c>
      <c r="J4614" s="1" t="str">
        <f aca="false">VLOOKUP(B4614,Customers!$A$2:$G$502,6,FALSE())</f>
        <v>Corporate</v>
      </c>
      <c r="K4614" s="1" t="str">
        <f aca="false">VLOOKUP(C4614,Products!$A$2:$E$62,3,FALSE())</f>
        <v>Electronics</v>
      </c>
      <c r="L4614" s="1" t="str">
        <f aca="false">TEXT(D4614,"yyyy-mm")</f>
        <v>2024-10</v>
      </c>
    </row>
    <row r="4615" customFormat="false" ht="15" hidden="false" customHeight="true" outlineLevel="0" collapsed="false">
      <c r="A4615" s="1" t="n">
        <v>4715</v>
      </c>
      <c r="B4615" s="1" t="n">
        <v>54</v>
      </c>
      <c r="C4615" s="1" t="n">
        <v>30</v>
      </c>
      <c r="D4615" s="1" t="s">
        <v>440</v>
      </c>
      <c r="E4615" s="1" t="n">
        <v>6</v>
      </c>
      <c r="F4615" s="1" t="n">
        <v>33.32</v>
      </c>
      <c r="G4615" s="1" t="n">
        <v>0</v>
      </c>
      <c r="H4615" s="1" t="s">
        <v>1346</v>
      </c>
      <c r="I4615" s="1" t="n">
        <v>199.92</v>
      </c>
      <c r="J4615" s="1" t="str">
        <f aca="false">VLOOKUP(B4615,Customers!$A$2:$G$502,6,FALSE())</f>
        <v>Consumer</v>
      </c>
      <c r="K4615" s="1" t="str">
        <f aca="false">VLOOKUP(C4615,Products!$A$2:$E$62,3,FALSE())</f>
        <v>Office Supplies</v>
      </c>
      <c r="L4615" s="1" t="str">
        <f aca="false">TEXT(D4615,"yyyy-mm")</f>
        <v>2023-12</v>
      </c>
    </row>
    <row r="4616" customFormat="false" ht="15" hidden="false" customHeight="true" outlineLevel="0" collapsed="false">
      <c r="A4616" s="1" t="n">
        <v>4716</v>
      </c>
      <c r="B4616" s="1" t="n">
        <v>329</v>
      </c>
      <c r="C4616" s="1" t="n">
        <v>19</v>
      </c>
      <c r="D4616" s="1" t="s">
        <v>887</v>
      </c>
      <c r="E4616" s="1" t="n">
        <v>2</v>
      </c>
      <c r="F4616" s="1" t="n">
        <v>163.64</v>
      </c>
      <c r="G4616" s="1" t="n">
        <v>0.2</v>
      </c>
      <c r="H4616" s="1" t="s">
        <v>1336</v>
      </c>
      <c r="I4616" s="1" t="n">
        <v>261.82</v>
      </c>
      <c r="J4616" s="1" t="str">
        <f aca="false">VLOOKUP(B4616,Customers!$A$2:$G$502,6,FALSE())</f>
        <v>Consumer</v>
      </c>
      <c r="K4616" s="1" t="str">
        <f aca="false">VLOOKUP(C4616,Products!$A$2:$E$62,3,FALSE())</f>
        <v>Office Supplies</v>
      </c>
      <c r="L4616" s="1" t="str">
        <f aca="false">TEXT(D4616,"yyyy-mm")</f>
        <v>2023-06</v>
      </c>
    </row>
    <row r="4617" customFormat="false" ht="15" hidden="false" customHeight="true" outlineLevel="0" collapsed="false">
      <c r="A4617" s="1" t="n">
        <v>4717</v>
      </c>
      <c r="B4617" s="1" t="n">
        <v>439</v>
      </c>
      <c r="C4617" s="1" t="n">
        <v>41</v>
      </c>
      <c r="D4617" s="1" t="s">
        <v>689</v>
      </c>
      <c r="E4617" s="1" t="n">
        <v>4</v>
      </c>
      <c r="F4617" s="1" t="n">
        <v>594.54</v>
      </c>
      <c r="G4617" s="1" t="n">
        <v>0.05</v>
      </c>
      <c r="H4617" s="1" t="s">
        <v>1336</v>
      </c>
      <c r="I4617" s="1" t="n">
        <v>2259.25</v>
      </c>
      <c r="J4617" s="1" t="str">
        <f aca="false">VLOOKUP(B4617,Customers!$A$2:$G$502,6,FALSE())</f>
        <v>Corporate</v>
      </c>
      <c r="K4617" s="1" t="str">
        <f aca="false">VLOOKUP(C4617,Products!$A$2:$E$62,3,FALSE())</f>
        <v>Software</v>
      </c>
      <c r="L4617" s="1" t="str">
        <f aca="false">TEXT(D4617,"yyyy-mm")</f>
        <v>2023-11</v>
      </c>
    </row>
    <row r="4618" customFormat="false" ht="15" hidden="false" customHeight="true" outlineLevel="0" collapsed="false">
      <c r="A4618" s="1" t="n">
        <v>4718</v>
      </c>
      <c r="B4618" s="1" t="n">
        <v>57</v>
      </c>
      <c r="C4618" s="1" t="n">
        <v>8</v>
      </c>
      <c r="D4618" s="1" t="s">
        <v>1662</v>
      </c>
      <c r="E4618" s="1" t="n">
        <v>2</v>
      </c>
      <c r="F4618" s="1" t="n">
        <v>104.4</v>
      </c>
      <c r="G4618" s="1" t="n">
        <v>0</v>
      </c>
      <c r="H4618" s="1" t="s">
        <v>1336</v>
      </c>
      <c r="I4618" s="1" t="n">
        <v>208.8</v>
      </c>
      <c r="J4618" s="1" t="str">
        <f aca="false">VLOOKUP(B4618,Customers!$A$2:$G$502,6,FALSE())</f>
        <v>Consumer</v>
      </c>
      <c r="K4618" s="1" t="str">
        <f aca="false">VLOOKUP(C4618,Products!$A$2:$E$62,3,FALSE())</f>
        <v>Electronics</v>
      </c>
      <c r="L4618" s="1" t="str">
        <f aca="false">TEXT(D4618,"yyyy-mm")</f>
        <v>2024-02</v>
      </c>
    </row>
    <row r="4619" customFormat="false" ht="15" hidden="false" customHeight="true" outlineLevel="0" collapsed="false">
      <c r="A4619" s="1" t="n">
        <v>4719</v>
      </c>
      <c r="B4619" s="1" t="n">
        <v>199</v>
      </c>
      <c r="C4619" s="1" t="n">
        <v>19</v>
      </c>
      <c r="D4619" s="1" t="s">
        <v>1165</v>
      </c>
      <c r="E4619" s="1" t="n">
        <v>5</v>
      </c>
      <c r="F4619" s="1" t="n">
        <v>163.64</v>
      </c>
      <c r="G4619" s="1" t="n">
        <v>0.1</v>
      </c>
      <c r="H4619" s="1" t="s">
        <v>1336</v>
      </c>
      <c r="I4619" s="1" t="n">
        <v>736.38</v>
      </c>
      <c r="J4619" s="1" t="str">
        <f aca="false">VLOOKUP(B4619,Customers!$A$2:$G$502,6,FALSE())</f>
        <v>Corporate</v>
      </c>
      <c r="K4619" s="1" t="str">
        <f aca="false">VLOOKUP(C4619,Products!$A$2:$E$62,3,FALSE())</f>
        <v>Office Supplies</v>
      </c>
      <c r="L4619" s="1" t="str">
        <f aca="false">TEXT(D4619,"yyyy-mm")</f>
        <v>2023-07</v>
      </c>
    </row>
    <row r="4620" customFormat="false" ht="15" hidden="false" customHeight="true" outlineLevel="0" collapsed="false">
      <c r="A4620" s="1" t="n">
        <v>4720</v>
      </c>
      <c r="B4620" s="1" t="n">
        <v>373</v>
      </c>
      <c r="C4620" s="1" t="n">
        <v>14</v>
      </c>
      <c r="D4620" s="1" t="s">
        <v>949</v>
      </c>
      <c r="E4620" s="1" t="n">
        <v>7</v>
      </c>
      <c r="F4620" s="1" t="n">
        <v>135.27</v>
      </c>
      <c r="G4620" s="1" t="n">
        <v>0</v>
      </c>
      <c r="H4620" s="1" t="s">
        <v>1336</v>
      </c>
      <c r="I4620" s="1" t="n">
        <v>946.89</v>
      </c>
      <c r="J4620" s="1" t="str">
        <f aca="false">VLOOKUP(B4620,Customers!$A$2:$G$502,6,FALSE())</f>
        <v>Corporate</v>
      </c>
      <c r="K4620" s="1" t="str">
        <f aca="false">VLOOKUP(C4620,Products!$A$2:$E$62,3,FALSE())</f>
        <v>Electronics</v>
      </c>
      <c r="L4620" s="1" t="str">
        <f aca="false">TEXT(D4620,"yyyy-mm")</f>
        <v>2023-11</v>
      </c>
    </row>
    <row r="4621" customFormat="false" ht="15" hidden="false" customHeight="true" outlineLevel="0" collapsed="false">
      <c r="A4621" s="1" t="n">
        <v>4721</v>
      </c>
      <c r="B4621" s="1" t="n">
        <v>392</v>
      </c>
      <c r="C4621" s="1" t="n">
        <v>42</v>
      </c>
      <c r="D4621" s="1" t="s">
        <v>1445</v>
      </c>
      <c r="E4621" s="1" t="n">
        <v>1</v>
      </c>
      <c r="F4621" s="1" t="n">
        <v>174.48</v>
      </c>
      <c r="G4621" s="1" t="n">
        <v>0</v>
      </c>
      <c r="H4621" s="1" t="s">
        <v>1336</v>
      </c>
      <c r="I4621" s="1" t="n">
        <v>174.48</v>
      </c>
      <c r="J4621" s="1" t="str">
        <f aca="false">VLOOKUP(B4621,Customers!$A$2:$G$502,6,FALSE())</f>
        <v>Corporate</v>
      </c>
      <c r="K4621" s="1" t="str">
        <f aca="false">VLOOKUP(C4621,Products!$A$2:$E$62,3,FALSE())</f>
        <v>Software</v>
      </c>
      <c r="L4621" s="1" t="str">
        <f aca="false">TEXT(D4621,"yyyy-mm")</f>
        <v>2024-08</v>
      </c>
    </row>
    <row r="4622" customFormat="false" ht="15" hidden="false" customHeight="true" outlineLevel="0" collapsed="false">
      <c r="A4622" s="1" t="n">
        <v>4722</v>
      </c>
      <c r="B4622" s="1" t="n">
        <v>415</v>
      </c>
      <c r="C4622" s="1" t="n">
        <v>8</v>
      </c>
      <c r="D4622" s="1" t="s">
        <v>1496</v>
      </c>
      <c r="E4622" s="1" t="n">
        <v>7</v>
      </c>
      <c r="F4622" s="1" t="n">
        <v>104.4</v>
      </c>
      <c r="G4622" s="1" t="n">
        <v>0</v>
      </c>
      <c r="H4622" s="1" t="s">
        <v>1370</v>
      </c>
      <c r="I4622" s="1" t="n">
        <v>730.8</v>
      </c>
      <c r="J4622" s="1" t="str">
        <f aca="false">VLOOKUP(B4622,Customers!$A$2:$G$502,6,FALSE())</f>
        <v>Consumer</v>
      </c>
      <c r="K4622" s="1" t="str">
        <f aca="false">VLOOKUP(C4622,Products!$A$2:$E$62,3,FALSE())</f>
        <v>Electronics</v>
      </c>
      <c r="L4622" s="1" t="str">
        <f aca="false">TEXT(D4622,"yyyy-mm")</f>
        <v>2023-09</v>
      </c>
    </row>
    <row r="4623" customFormat="false" ht="15" hidden="false" customHeight="true" outlineLevel="0" collapsed="false">
      <c r="A4623" s="1" t="n">
        <v>4723</v>
      </c>
      <c r="B4623" s="1" t="n">
        <v>143</v>
      </c>
      <c r="C4623" s="1" t="n">
        <v>31</v>
      </c>
      <c r="D4623" s="1" t="s">
        <v>870</v>
      </c>
      <c r="E4623" s="1" t="n">
        <v>6</v>
      </c>
      <c r="F4623" s="1" t="n">
        <v>224.86</v>
      </c>
      <c r="G4623" s="1" t="n">
        <v>0</v>
      </c>
      <c r="H4623" s="1" t="s">
        <v>1346</v>
      </c>
      <c r="I4623" s="1" t="n">
        <v>1349.16</v>
      </c>
      <c r="J4623" s="1" t="str">
        <f aca="false">VLOOKUP(B4623,Customers!$A$2:$G$502,6,FALSE())</f>
        <v>Small Business</v>
      </c>
      <c r="K4623" s="1" t="str">
        <f aca="false">VLOOKUP(C4623,Products!$A$2:$E$62,3,FALSE())</f>
        <v>Office Supplies</v>
      </c>
      <c r="L4623" s="1" t="str">
        <f aca="false">TEXT(D4623,"yyyy-mm")</f>
        <v>2024-08</v>
      </c>
    </row>
    <row r="4624" customFormat="false" ht="15" hidden="false" customHeight="true" outlineLevel="0" collapsed="false">
      <c r="A4624" s="1" t="n">
        <v>4724</v>
      </c>
      <c r="B4624" s="1" t="n">
        <v>417</v>
      </c>
      <c r="C4624" s="1" t="n">
        <v>57</v>
      </c>
      <c r="D4624" s="1" t="s">
        <v>1357</v>
      </c>
      <c r="E4624" s="1" t="n">
        <v>6</v>
      </c>
      <c r="F4624" s="1" t="n">
        <v>719.76</v>
      </c>
      <c r="G4624" s="1" t="n">
        <v>0</v>
      </c>
      <c r="H4624" s="1" t="s">
        <v>1336</v>
      </c>
      <c r="I4624" s="1" t="n">
        <v>4318.56</v>
      </c>
      <c r="J4624" s="1" t="str">
        <f aca="false">VLOOKUP(B4624,Customers!$A$2:$G$502,6,FALSE())</f>
        <v>Consumer</v>
      </c>
      <c r="K4624" s="1" t="str">
        <f aca="false">VLOOKUP(C4624,Products!$A$2:$E$62,3,FALSE())</f>
        <v>Furniture</v>
      </c>
      <c r="L4624" s="1" t="str">
        <f aca="false">TEXT(D4624,"yyyy-mm")</f>
        <v>2024-07</v>
      </c>
    </row>
    <row r="4625" customFormat="false" ht="15" hidden="false" customHeight="true" outlineLevel="0" collapsed="false">
      <c r="A4625" s="1" t="n">
        <v>4725</v>
      </c>
      <c r="B4625" s="1" t="n">
        <v>258</v>
      </c>
      <c r="C4625" s="1" t="n">
        <v>6</v>
      </c>
      <c r="D4625" s="1" t="s">
        <v>100</v>
      </c>
      <c r="E4625" s="1" t="n">
        <v>8</v>
      </c>
      <c r="F4625" s="1" t="n">
        <v>28.51</v>
      </c>
      <c r="G4625" s="1" t="n">
        <v>0</v>
      </c>
      <c r="H4625" s="1" t="s">
        <v>1336</v>
      </c>
      <c r="I4625" s="1" t="n">
        <v>228.08</v>
      </c>
      <c r="J4625" s="1" t="str">
        <f aca="false">VLOOKUP(B4625,Customers!$A$2:$G$502,6,FALSE())</f>
        <v>Small Business</v>
      </c>
      <c r="K4625" s="1" t="str">
        <f aca="false">VLOOKUP(C4625,Products!$A$2:$E$62,3,FALSE())</f>
        <v>Electronics</v>
      </c>
      <c r="L4625" s="1" t="str">
        <f aca="false">TEXT(D4625,"yyyy-mm")</f>
        <v>2023-05</v>
      </c>
    </row>
    <row r="4626" customFormat="false" ht="15" hidden="false" customHeight="true" outlineLevel="0" collapsed="false">
      <c r="A4626" s="1" t="n">
        <v>4726</v>
      </c>
      <c r="B4626" s="1" t="n">
        <v>274</v>
      </c>
      <c r="C4626" s="1" t="n">
        <v>41</v>
      </c>
      <c r="D4626" s="1" t="s">
        <v>856</v>
      </c>
      <c r="E4626" s="1" t="n">
        <v>8</v>
      </c>
      <c r="F4626" s="1" t="n">
        <v>594.54</v>
      </c>
      <c r="G4626" s="1" t="n">
        <v>0.2</v>
      </c>
      <c r="H4626" s="1" t="s">
        <v>1370</v>
      </c>
      <c r="I4626" s="1" t="n">
        <v>3805.06</v>
      </c>
      <c r="J4626" s="1" t="str">
        <f aca="false">VLOOKUP(B4626,Customers!$A$2:$G$502,6,FALSE())</f>
        <v>Corporate</v>
      </c>
      <c r="K4626" s="1" t="str">
        <f aca="false">VLOOKUP(C4626,Products!$A$2:$E$62,3,FALSE())</f>
        <v>Software</v>
      </c>
      <c r="L4626" s="1" t="str">
        <f aca="false">TEXT(D4626,"yyyy-mm")</f>
        <v>2024-11</v>
      </c>
    </row>
    <row r="4627" customFormat="false" ht="15" hidden="false" customHeight="true" outlineLevel="0" collapsed="false">
      <c r="A4627" s="1" t="n">
        <v>4727</v>
      </c>
      <c r="B4627" s="1" t="n">
        <v>419</v>
      </c>
      <c r="C4627" s="1" t="n">
        <v>41</v>
      </c>
      <c r="D4627" s="1" t="s">
        <v>1470</v>
      </c>
      <c r="E4627" s="1" t="n">
        <v>6</v>
      </c>
      <c r="F4627" s="1" t="n">
        <v>594.54</v>
      </c>
      <c r="G4627" s="1" t="n">
        <v>0</v>
      </c>
      <c r="H4627" s="1" t="s">
        <v>1336</v>
      </c>
      <c r="I4627" s="1" t="n">
        <v>3567.24</v>
      </c>
      <c r="J4627" s="1" t="str">
        <f aca="false">VLOOKUP(B4627,Customers!$A$2:$G$502,6,FALSE())</f>
        <v>Small Business</v>
      </c>
      <c r="K4627" s="1" t="str">
        <f aca="false">VLOOKUP(C4627,Products!$A$2:$E$62,3,FALSE())</f>
        <v>Software</v>
      </c>
      <c r="L4627" s="1" t="str">
        <f aca="false">TEXT(D4627,"yyyy-mm")</f>
        <v>2023-03</v>
      </c>
    </row>
    <row r="4628" customFormat="false" ht="15" hidden="false" customHeight="true" outlineLevel="0" collapsed="false">
      <c r="A4628" s="1" t="n">
        <v>4728</v>
      </c>
      <c r="B4628" s="1" t="n">
        <v>200</v>
      </c>
      <c r="C4628" s="1" t="n">
        <v>8</v>
      </c>
      <c r="D4628" s="1" t="s">
        <v>775</v>
      </c>
      <c r="E4628" s="1" t="n">
        <v>3</v>
      </c>
      <c r="F4628" s="1" t="n">
        <v>104.4</v>
      </c>
      <c r="G4628" s="1" t="n">
        <v>0.05</v>
      </c>
      <c r="H4628" s="1" t="s">
        <v>1336</v>
      </c>
      <c r="I4628" s="1" t="n">
        <v>297.54</v>
      </c>
      <c r="J4628" s="1" t="str">
        <f aca="false">VLOOKUP(B4628,Customers!$A$2:$G$502,6,FALSE())</f>
        <v>Small Business</v>
      </c>
      <c r="K4628" s="1" t="str">
        <f aca="false">VLOOKUP(C4628,Products!$A$2:$E$62,3,FALSE())</f>
        <v>Electronics</v>
      </c>
      <c r="L4628" s="1" t="str">
        <f aca="false">TEXT(D4628,"yyyy-mm")</f>
        <v>2023-01</v>
      </c>
    </row>
    <row r="4629" customFormat="false" ht="15" hidden="false" customHeight="true" outlineLevel="0" collapsed="false">
      <c r="A4629" s="1" t="n">
        <v>4729</v>
      </c>
      <c r="B4629" s="1" t="n">
        <v>468</v>
      </c>
      <c r="C4629" s="1" t="n">
        <v>20</v>
      </c>
      <c r="D4629" s="1" t="s">
        <v>1565</v>
      </c>
      <c r="E4629" s="1" t="n">
        <v>5</v>
      </c>
      <c r="F4629" s="1" t="n">
        <v>426.15</v>
      </c>
      <c r="G4629" s="1" t="n">
        <v>0</v>
      </c>
      <c r="H4629" s="1" t="s">
        <v>1346</v>
      </c>
      <c r="I4629" s="1" t="n">
        <v>2130.75</v>
      </c>
      <c r="J4629" s="1" t="str">
        <f aca="false">VLOOKUP(B4629,Customers!$A$2:$G$502,6,FALSE())</f>
        <v>Small Business</v>
      </c>
      <c r="K4629" s="1" t="str">
        <f aca="false">VLOOKUP(C4629,Products!$A$2:$E$62,3,FALSE())</f>
        <v>Office Supplies</v>
      </c>
      <c r="L4629" s="1" t="str">
        <f aca="false">TEXT(D4629,"yyyy-mm")</f>
        <v>2024-09</v>
      </c>
    </row>
    <row r="4630" customFormat="false" ht="15" hidden="false" customHeight="true" outlineLevel="0" collapsed="false">
      <c r="A4630" s="1" t="n">
        <v>4730</v>
      </c>
      <c r="B4630" s="1" t="n">
        <v>468</v>
      </c>
      <c r="C4630" s="1" t="n">
        <v>32</v>
      </c>
      <c r="D4630" s="1" t="s">
        <v>780</v>
      </c>
      <c r="E4630" s="1" t="n">
        <v>2</v>
      </c>
      <c r="F4630" s="1" t="n">
        <v>492.27</v>
      </c>
      <c r="G4630" s="1" t="n">
        <v>0</v>
      </c>
      <c r="H4630" s="1" t="s">
        <v>1336</v>
      </c>
      <c r="I4630" s="1" t="n">
        <v>984.54</v>
      </c>
      <c r="J4630" s="1" t="str">
        <f aca="false">VLOOKUP(B4630,Customers!$A$2:$G$502,6,FALSE())</f>
        <v>Small Business</v>
      </c>
      <c r="K4630" s="1" t="str">
        <f aca="false">VLOOKUP(C4630,Products!$A$2:$E$62,3,FALSE())</f>
        <v>Office Supplies</v>
      </c>
      <c r="L4630" s="1" t="str">
        <f aca="false">TEXT(D4630,"yyyy-mm")</f>
        <v>2024-09</v>
      </c>
    </row>
    <row r="4631" customFormat="false" ht="15" hidden="false" customHeight="true" outlineLevel="0" collapsed="false">
      <c r="A4631" s="1" t="n">
        <v>4731</v>
      </c>
      <c r="B4631" s="1" t="n">
        <v>396</v>
      </c>
      <c r="C4631" s="1" t="n">
        <v>18</v>
      </c>
      <c r="D4631" s="1" t="s">
        <v>130</v>
      </c>
      <c r="E4631" s="1" t="n">
        <v>5</v>
      </c>
      <c r="F4631" s="1" t="n">
        <v>747.34</v>
      </c>
      <c r="G4631" s="1" t="n">
        <v>0</v>
      </c>
      <c r="H4631" s="1" t="s">
        <v>1336</v>
      </c>
      <c r="I4631" s="1" t="n">
        <v>3736.7</v>
      </c>
      <c r="J4631" s="1" t="str">
        <f aca="false">VLOOKUP(B4631,Customers!$A$2:$G$502,6,FALSE())</f>
        <v>Small Business</v>
      </c>
      <c r="K4631" s="1" t="str">
        <f aca="false">VLOOKUP(C4631,Products!$A$2:$E$62,3,FALSE())</f>
        <v>Electronics</v>
      </c>
      <c r="L4631" s="1" t="str">
        <f aca="false">TEXT(D4631,"yyyy-mm")</f>
        <v>2024-03</v>
      </c>
    </row>
    <row r="4632" customFormat="false" ht="15" hidden="false" customHeight="true" outlineLevel="0" collapsed="false">
      <c r="A4632" s="1" t="n">
        <v>4732</v>
      </c>
      <c r="B4632" s="1" t="n">
        <v>2</v>
      </c>
      <c r="C4632" s="1" t="n">
        <v>9</v>
      </c>
      <c r="D4632" s="1" t="s">
        <v>1541</v>
      </c>
      <c r="E4632" s="1" t="n">
        <v>9</v>
      </c>
      <c r="F4632" s="1" t="n">
        <v>203.1</v>
      </c>
      <c r="G4632" s="1" t="n">
        <v>0</v>
      </c>
      <c r="H4632" s="1" t="s">
        <v>1336</v>
      </c>
      <c r="I4632" s="1" t="n">
        <v>1827.9</v>
      </c>
      <c r="J4632" s="1" t="str">
        <f aca="false">VLOOKUP(B4632,Customers!$A$2:$G$502,6,FALSE())</f>
        <v>Small Business</v>
      </c>
      <c r="K4632" s="1" t="str">
        <f aca="false">VLOOKUP(C4632,Products!$A$2:$E$62,3,FALSE())</f>
        <v>Electronics</v>
      </c>
      <c r="L4632" s="1" t="str">
        <f aca="false">TEXT(D4632,"yyyy-mm")</f>
        <v>2023-07</v>
      </c>
    </row>
    <row r="4633" customFormat="false" ht="15" hidden="false" customHeight="true" outlineLevel="0" collapsed="false">
      <c r="A4633" s="1" t="n">
        <v>4733</v>
      </c>
      <c r="B4633" s="1" t="n">
        <v>467</v>
      </c>
      <c r="C4633" s="1" t="n">
        <v>31</v>
      </c>
      <c r="D4633" s="1" t="s">
        <v>280</v>
      </c>
      <c r="E4633" s="1" t="n">
        <v>1</v>
      </c>
      <c r="F4633" s="1" t="n">
        <v>224.86</v>
      </c>
      <c r="G4633" s="1" t="n">
        <v>0.1</v>
      </c>
      <c r="H4633" s="1" t="s">
        <v>1346</v>
      </c>
      <c r="I4633" s="1" t="n">
        <v>202.37</v>
      </c>
      <c r="J4633" s="1" t="str">
        <f aca="false">VLOOKUP(B4633,Customers!$A$2:$G$502,6,FALSE())</f>
        <v>Corporate</v>
      </c>
      <c r="K4633" s="1" t="str">
        <f aca="false">VLOOKUP(C4633,Products!$A$2:$E$62,3,FALSE())</f>
        <v>Office Supplies</v>
      </c>
      <c r="L4633" s="1" t="str">
        <f aca="false">TEXT(D4633,"yyyy-mm")</f>
        <v>2023-06</v>
      </c>
    </row>
    <row r="4634" customFormat="false" ht="15" hidden="false" customHeight="true" outlineLevel="0" collapsed="false">
      <c r="A4634" s="1" t="n">
        <v>4734</v>
      </c>
      <c r="B4634" s="1" t="n">
        <v>441</v>
      </c>
      <c r="C4634" s="1" t="n">
        <v>33</v>
      </c>
      <c r="D4634" s="1" t="s">
        <v>1644</v>
      </c>
      <c r="E4634" s="1" t="n">
        <v>5</v>
      </c>
      <c r="F4634" s="1" t="n">
        <v>190.1</v>
      </c>
      <c r="G4634" s="1" t="n">
        <v>0.15</v>
      </c>
      <c r="H4634" s="1" t="s">
        <v>1336</v>
      </c>
      <c r="I4634" s="1" t="n">
        <v>807.92</v>
      </c>
      <c r="J4634" s="1" t="str">
        <f aca="false">VLOOKUP(B4634,Customers!$A$2:$G$502,6,FALSE())</f>
        <v>Corporate</v>
      </c>
      <c r="K4634" s="1" t="str">
        <f aca="false">VLOOKUP(C4634,Products!$A$2:$E$62,3,FALSE())</f>
        <v>Office Supplies</v>
      </c>
      <c r="L4634" s="1" t="str">
        <f aca="false">TEXT(D4634,"yyyy-mm")</f>
        <v>2023-08</v>
      </c>
    </row>
    <row r="4635" customFormat="false" ht="15" hidden="false" customHeight="true" outlineLevel="0" collapsed="false">
      <c r="A4635" s="1" t="n">
        <v>4735</v>
      </c>
      <c r="B4635" s="1" t="n">
        <v>41</v>
      </c>
      <c r="C4635" s="1" t="n">
        <v>17</v>
      </c>
      <c r="D4635" s="1" t="s">
        <v>783</v>
      </c>
      <c r="E4635" s="1" t="n">
        <v>6</v>
      </c>
      <c r="F4635" s="1" t="n">
        <v>65.61</v>
      </c>
      <c r="G4635" s="1" t="n">
        <v>0.1</v>
      </c>
      <c r="H4635" s="1" t="s">
        <v>1336</v>
      </c>
      <c r="I4635" s="1" t="n">
        <v>354.29</v>
      </c>
      <c r="J4635" s="1" t="str">
        <f aca="false">VLOOKUP(B4635,Customers!$A$2:$G$502,6,FALSE())</f>
        <v>Corporate</v>
      </c>
      <c r="K4635" s="1" t="str">
        <f aca="false">VLOOKUP(C4635,Products!$A$2:$E$62,3,FALSE())</f>
        <v>Electronics</v>
      </c>
      <c r="L4635" s="1" t="str">
        <f aca="false">TEXT(D4635,"yyyy-mm")</f>
        <v>2024-12</v>
      </c>
    </row>
    <row r="4636" customFormat="false" ht="15" hidden="false" customHeight="true" outlineLevel="0" collapsed="false">
      <c r="A4636" s="1" t="n">
        <v>4736</v>
      </c>
      <c r="B4636" s="1" t="n">
        <v>203</v>
      </c>
      <c r="C4636" s="1" t="n">
        <v>49</v>
      </c>
      <c r="D4636" s="1" t="s">
        <v>1054</v>
      </c>
      <c r="E4636" s="1" t="n">
        <v>7</v>
      </c>
      <c r="F4636" s="1" t="n">
        <v>325.17</v>
      </c>
      <c r="G4636" s="1" t="n">
        <v>0.1</v>
      </c>
      <c r="H4636" s="1" t="s">
        <v>1336</v>
      </c>
      <c r="I4636" s="1" t="n">
        <v>2048.57</v>
      </c>
      <c r="J4636" s="1" t="str">
        <f aca="false">VLOOKUP(B4636,Customers!$A$2:$G$502,6,FALSE())</f>
        <v>Corporate</v>
      </c>
      <c r="K4636" s="1" t="str">
        <f aca="false">VLOOKUP(C4636,Products!$A$2:$E$62,3,FALSE())</f>
        <v>Software</v>
      </c>
      <c r="L4636" s="1" t="str">
        <f aca="false">TEXT(D4636,"yyyy-mm")</f>
        <v>2024-01</v>
      </c>
    </row>
    <row r="4637" customFormat="false" ht="15" hidden="false" customHeight="true" outlineLevel="0" collapsed="false">
      <c r="A4637" s="1" t="n">
        <v>4737</v>
      </c>
      <c r="B4637" s="1" t="n">
        <v>134</v>
      </c>
      <c r="C4637" s="1" t="n">
        <v>11</v>
      </c>
      <c r="D4637" s="1" t="s">
        <v>1130</v>
      </c>
      <c r="E4637" s="1" t="n">
        <v>9</v>
      </c>
      <c r="F4637" s="1" t="n">
        <v>328.39</v>
      </c>
      <c r="G4637" s="1" t="n">
        <v>0</v>
      </c>
      <c r="H4637" s="1" t="s">
        <v>1336</v>
      </c>
      <c r="I4637" s="1" t="n">
        <v>2955.51</v>
      </c>
      <c r="J4637" s="1" t="str">
        <f aca="false">VLOOKUP(B4637,Customers!$A$2:$G$502,6,FALSE())</f>
        <v>Corporate</v>
      </c>
      <c r="K4637" s="1" t="str">
        <f aca="false">VLOOKUP(C4637,Products!$A$2:$E$62,3,FALSE())</f>
        <v>Electronics</v>
      </c>
      <c r="L4637" s="1" t="str">
        <f aca="false">TEXT(D4637,"yyyy-mm")</f>
        <v>2023-02</v>
      </c>
    </row>
    <row r="4638" customFormat="false" ht="15" hidden="false" customHeight="true" outlineLevel="0" collapsed="false">
      <c r="A4638" s="1" t="n">
        <v>4738</v>
      </c>
      <c r="B4638" s="1" t="n">
        <v>132</v>
      </c>
      <c r="C4638" s="1" t="n">
        <v>26</v>
      </c>
      <c r="D4638" s="1" t="s">
        <v>642</v>
      </c>
      <c r="E4638" s="1" t="n">
        <v>6</v>
      </c>
      <c r="F4638" s="1" t="n">
        <v>733.85</v>
      </c>
      <c r="G4638" s="1" t="n">
        <v>0.15</v>
      </c>
      <c r="H4638" s="1" t="s">
        <v>1336</v>
      </c>
      <c r="I4638" s="1" t="n">
        <v>3742.64</v>
      </c>
      <c r="J4638" s="1" t="str">
        <f aca="false">VLOOKUP(B4638,Customers!$A$2:$G$502,6,FALSE())</f>
        <v>Corporate</v>
      </c>
      <c r="K4638" s="1" t="str">
        <f aca="false">VLOOKUP(C4638,Products!$A$2:$E$62,3,FALSE())</f>
        <v>Office Supplies</v>
      </c>
      <c r="L4638" s="1" t="str">
        <f aca="false">TEXT(D4638,"yyyy-mm")</f>
        <v>2023-01</v>
      </c>
    </row>
    <row r="4639" customFormat="false" ht="15" hidden="false" customHeight="true" outlineLevel="0" collapsed="false">
      <c r="A4639" s="1" t="n">
        <v>4739</v>
      </c>
      <c r="B4639" s="1" t="n">
        <v>274</v>
      </c>
      <c r="C4639" s="1" t="n">
        <v>59</v>
      </c>
      <c r="D4639" s="1" t="s">
        <v>1551</v>
      </c>
      <c r="E4639" s="1" t="n">
        <v>5</v>
      </c>
      <c r="F4639" s="1" t="n">
        <v>438.89</v>
      </c>
      <c r="G4639" s="1" t="n">
        <v>0</v>
      </c>
      <c r="H4639" s="1" t="s">
        <v>1336</v>
      </c>
      <c r="I4639" s="1" t="n">
        <v>2194.45</v>
      </c>
      <c r="J4639" s="1" t="str">
        <f aca="false">VLOOKUP(B4639,Customers!$A$2:$G$502,6,FALSE())</f>
        <v>Corporate</v>
      </c>
      <c r="K4639" s="1" t="str">
        <f aca="false">VLOOKUP(C4639,Products!$A$2:$E$62,3,FALSE())</f>
        <v>Furniture</v>
      </c>
      <c r="L4639" s="1" t="str">
        <f aca="false">TEXT(D4639,"yyyy-mm")</f>
        <v>2024-03</v>
      </c>
    </row>
    <row r="4640" customFormat="false" ht="15" hidden="false" customHeight="true" outlineLevel="0" collapsed="false">
      <c r="A4640" s="1" t="n">
        <v>4740</v>
      </c>
      <c r="B4640" s="1" t="n">
        <v>475</v>
      </c>
      <c r="C4640" s="1" t="n">
        <v>54</v>
      </c>
      <c r="D4640" s="1" t="s">
        <v>393</v>
      </c>
      <c r="E4640" s="1" t="n">
        <v>7</v>
      </c>
      <c r="F4640" s="1" t="n">
        <v>312.01</v>
      </c>
      <c r="G4640" s="1" t="n">
        <v>0.15</v>
      </c>
      <c r="H4640" s="1" t="s">
        <v>1336</v>
      </c>
      <c r="I4640" s="1" t="n">
        <v>1856.46</v>
      </c>
      <c r="J4640" s="1" t="str">
        <f aca="false">VLOOKUP(B4640,Customers!$A$2:$G$502,6,FALSE())</f>
        <v>Small Business</v>
      </c>
      <c r="K4640" s="1" t="str">
        <f aca="false">VLOOKUP(C4640,Products!$A$2:$E$62,3,FALSE())</f>
        <v>Software</v>
      </c>
      <c r="L4640" s="1" t="str">
        <f aca="false">TEXT(D4640,"yyyy-mm")</f>
        <v>2023-11</v>
      </c>
    </row>
    <row r="4641" customFormat="false" ht="15" hidden="false" customHeight="true" outlineLevel="0" collapsed="false">
      <c r="A4641" s="1" t="n">
        <v>4741</v>
      </c>
      <c r="B4641" s="1" t="n">
        <v>338</v>
      </c>
      <c r="C4641" s="1" t="n">
        <v>31</v>
      </c>
      <c r="D4641" s="1" t="s">
        <v>1342</v>
      </c>
      <c r="E4641" s="1" t="n">
        <v>1</v>
      </c>
      <c r="F4641" s="1" t="n">
        <v>224.86</v>
      </c>
      <c r="G4641" s="1" t="n">
        <v>0.05</v>
      </c>
      <c r="H4641" s="1" t="s">
        <v>1336</v>
      </c>
      <c r="I4641" s="1" t="n">
        <v>213.62</v>
      </c>
      <c r="J4641" s="1" t="str">
        <f aca="false">VLOOKUP(B4641,Customers!$A$2:$G$502,6,FALSE())</f>
        <v>Corporate</v>
      </c>
      <c r="K4641" s="1" t="str">
        <f aca="false">VLOOKUP(C4641,Products!$A$2:$E$62,3,FALSE())</f>
        <v>Office Supplies</v>
      </c>
      <c r="L4641" s="1" t="str">
        <f aca="false">TEXT(D4641,"yyyy-mm")</f>
        <v>2024-12</v>
      </c>
    </row>
    <row r="4642" customFormat="false" ht="15" hidden="false" customHeight="true" outlineLevel="0" collapsed="false">
      <c r="A4642" s="1" t="n">
        <v>4742</v>
      </c>
      <c r="B4642" s="1" t="n">
        <v>258</v>
      </c>
      <c r="C4642" s="1" t="n">
        <v>11</v>
      </c>
      <c r="D4642" s="1" t="s">
        <v>1502</v>
      </c>
      <c r="E4642" s="1" t="n">
        <v>5</v>
      </c>
      <c r="F4642" s="1" t="n">
        <v>328.39</v>
      </c>
      <c r="G4642" s="1" t="n">
        <v>0</v>
      </c>
      <c r="H4642" s="1" t="s">
        <v>1336</v>
      </c>
      <c r="I4642" s="1" t="n">
        <v>1641.95</v>
      </c>
      <c r="J4642" s="1" t="str">
        <f aca="false">VLOOKUP(B4642,Customers!$A$2:$G$502,6,FALSE())</f>
        <v>Small Business</v>
      </c>
      <c r="K4642" s="1" t="str">
        <f aca="false">VLOOKUP(C4642,Products!$A$2:$E$62,3,FALSE())</f>
        <v>Electronics</v>
      </c>
      <c r="L4642" s="1" t="str">
        <f aca="false">TEXT(D4642,"yyyy-mm")</f>
        <v>2024-08</v>
      </c>
    </row>
    <row r="4643" customFormat="false" ht="15" hidden="false" customHeight="true" outlineLevel="0" collapsed="false">
      <c r="A4643" s="1" t="n">
        <v>4744</v>
      </c>
      <c r="B4643" s="1" t="n">
        <v>160</v>
      </c>
      <c r="C4643" s="1" t="n">
        <v>47</v>
      </c>
      <c r="D4643" s="1" t="s">
        <v>272</v>
      </c>
      <c r="E4643" s="1" t="n">
        <v>4</v>
      </c>
      <c r="F4643" s="1" t="n">
        <v>506.19</v>
      </c>
      <c r="G4643" s="1" t="n">
        <v>0</v>
      </c>
      <c r="H4643" s="1" t="s">
        <v>1336</v>
      </c>
      <c r="I4643" s="1" t="n">
        <v>2024.76</v>
      </c>
      <c r="J4643" s="1" t="str">
        <f aca="false">VLOOKUP(B4643,Customers!$A$2:$G$502,6,FALSE())</f>
        <v>Consumer</v>
      </c>
      <c r="K4643" s="1" t="str">
        <f aca="false">VLOOKUP(C4643,Products!$A$2:$E$62,3,FALSE())</f>
        <v>Software</v>
      </c>
      <c r="L4643" s="1" t="str">
        <f aca="false">TEXT(D4643,"yyyy-mm")</f>
        <v>2024-10</v>
      </c>
    </row>
    <row r="4644" customFormat="false" ht="15" hidden="false" customHeight="true" outlineLevel="0" collapsed="false">
      <c r="A4644" s="1" t="n">
        <v>4745</v>
      </c>
      <c r="B4644" s="1" t="n">
        <v>275</v>
      </c>
      <c r="C4644" s="1" t="n">
        <v>7</v>
      </c>
      <c r="D4644" s="1" t="s">
        <v>617</v>
      </c>
      <c r="E4644" s="1" t="n">
        <v>7</v>
      </c>
      <c r="F4644" s="1" t="n">
        <v>460</v>
      </c>
      <c r="G4644" s="1" t="n">
        <v>0</v>
      </c>
      <c r="H4644" s="1" t="s">
        <v>1336</v>
      </c>
      <c r="I4644" s="1" t="n">
        <v>3220</v>
      </c>
      <c r="J4644" s="1" t="str">
        <f aca="false">VLOOKUP(B4644,Customers!$A$2:$G$502,6,FALSE())</f>
        <v>Consumer</v>
      </c>
      <c r="K4644" s="1" t="str">
        <f aca="false">VLOOKUP(C4644,Products!$A$2:$E$62,3,FALSE())</f>
        <v>Electronics</v>
      </c>
      <c r="L4644" s="1" t="str">
        <f aca="false">TEXT(D4644,"yyyy-mm")</f>
        <v>2023-11</v>
      </c>
    </row>
    <row r="4645" customFormat="false" ht="15" hidden="false" customHeight="true" outlineLevel="0" collapsed="false">
      <c r="A4645" s="1" t="n">
        <v>4746</v>
      </c>
      <c r="B4645" s="1" t="n">
        <v>122</v>
      </c>
      <c r="C4645" s="1" t="n">
        <v>22</v>
      </c>
      <c r="D4645" s="1" t="s">
        <v>1354</v>
      </c>
      <c r="E4645" s="1" t="n">
        <v>5</v>
      </c>
      <c r="F4645" s="1" t="n">
        <v>38.57</v>
      </c>
      <c r="G4645" s="1" t="n">
        <v>0.15</v>
      </c>
      <c r="H4645" s="1" t="s">
        <v>1336</v>
      </c>
      <c r="I4645" s="1" t="n">
        <v>163.92</v>
      </c>
      <c r="J4645" s="1" t="str">
        <f aca="false">VLOOKUP(B4645,Customers!$A$2:$G$502,6,FALSE())</f>
        <v>Corporate</v>
      </c>
      <c r="K4645" s="1" t="str">
        <f aca="false">VLOOKUP(C4645,Products!$A$2:$E$62,3,FALSE())</f>
        <v>Office Supplies</v>
      </c>
      <c r="L4645" s="1" t="str">
        <f aca="false">TEXT(D4645,"yyyy-mm")</f>
        <v>2024-03</v>
      </c>
    </row>
    <row r="4646" customFormat="false" ht="15" hidden="false" customHeight="true" outlineLevel="0" collapsed="false">
      <c r="A4646" s="1" t="n">
        <v>4747</v>
      </c>
      <c r="B4646" s="1" t="n">
        <v>210</v>
      </c>
      <c r="C4646" s="1" t="n">
        <v>40</v>
      </c>
      <c r="D4646" s="1" t="s">
        <v>1120</v>
      </c>
      <c r="E4646" s="1" t="n">
        <v>6</v>
      </c>
      <c r="F4646" s="1" t="n">
        <v>193.02</v>
      </c>
      <c r="G4646" s="1" t="n">
        <v>0.05</v>
      </c>
      <c r="H4646" s="1" t="s">
        <v>1336</v>
      </c>
      <c r="I4646" s="1" t="n">
        <v>1100.21</v>
      </c>
      <c r="J4646" s="1" t="str">
        <f aca="false">VLOOKUP(B4646,Customers!$A$2:$G$502,6,FALSE())</f>
        <v>Corporate</v>
      </c>
      <c r="K4646" s="1" t="str">
        <f aca="false">VLOOKUP(C4646,Products!$A$2:$E$62,3,FALSE())</f>
        <v>Software</v>
      </c>
      <c r="L4646" s="1" t="str">
        <f aca="false">TEXT(D4646,"yyyy-mm")</f>
        <v>2024-10</v>
      </c>
    </row>
    <row r="4647" customFormat="false" ht="15" hidden="false" customHeight="true" outlineLevel="0" collapsed="false">
      <c r="A4647" s="1" t="n">
        <v>4748</v>
      </c>
      <c r="B4647" s="1" t="n">
        <v>158</v>
      </c>
      <c r="C4647" s="1" t="n">
        <v>44</v>
      </c>
      <c r="D4647" s="1" t="s">
        <v>1473</v>
      </c>
      <c r="E4647" s="1" t="n">
        <v>2</v>
      </c>
      <c r="F4647" s="1" t="n">
        <v>508.26</v>
      </c>
      <c r="G4647" s="1" t="n">
        <v>0.05</v>
      </c>
      <c r="H4647" s="1" t="s">
        <v>1336</v>
      </c>
      <c r="I4647" s="1" t="n">
        <v>965.69</v>
      </c>
      <c r="J4647" s="1" t="str">
        <f aca="false">VLOOKUP(B4647,Customers!$A$2:$G$502,6,FALSE())</f>
        <v>Small Business</v>
      </c>
      <c r="K4647" s="1" t="str">
        <f aca="false">VLOOKUP(C4647,Products!$A$2:$E$62,3,FALSE())</f>
        <v>Software</v>
      </c>
      <c r="L4647" s="1" t="str">
        <f aca="false">TEXT(D4647,"yyyy-mm")</f>
        <v>2024-04</v>
      </c>
    </row>
    <row r="4648" customFormat="false" ht="15" hidden="false" customHeight="true" outlineLevel="0" collapsed="false">
      <c r="A4648" s="1" t="n">
        <v>4749</v>
      </c>
      <c r="B4648" s="1" t="n">
        <v>45</v>
      </c>
      <c r="C4648" s="1" t="n">
        <v>4</v>
      </c>
      <c r="D4648" s="1" t="s">
        <v>1667</v>
      </c>
      <c r="E4648" s="1" t="n">
        <v>3</v>
      </c>
      <c r="F4648" s="1" t="n">
        <v>56.24</v>
      </c>
      <c r="G4648" s="1" t="n">
        <v>0.1</v>
      </c>
      <c r="H4648" s="1" t="s">
        <v>1336</v>
      </c>
      <c r="I4648" s="1" t="n">
        <v>151.85</v>
      </c>
      <c r="J4648" s="1" t="str">
        <f aca="false">VLOOKUP(B4648,Customers!$A$2:$G$502,6,FALSE())</f>
        <v>Corporate</v>
      </c>
      <c r="K4648" s="1" t="str">
        <f aca="false">VLOOKUP(C4648,Products!$A$2:$E$62,3,FALSE())</f>
        <v>Electronics</v>
      </c>
      <c r="L4648" s="1" t="str">
        <f aca="false">TEXT(D4648,"yyyy-mm")</f>
        <v>2023-04</v>
      </c>
    </row>
    <row r="4649" customFormat="false" ht="15" hidden="false" customHeight="true" outlineLevel="0" collapsed="false">
      <c r="A4649" s="1" t="n">
        <v>4750</v>
      </c>
      <c r="B4649" s="1" t="n">
        <v>430</v>
      </c>
      <c r="C4649" s="1" t="n">
        <v>42</v>
      </c>
      <c r="D4649" s="1" t="s">
        <v>1124</v>
      </c>
      <c r="E4649" s="1" t="n">
        <v>7</v>
      </c>
      <c r="F4649" s="1" t="n">
        <v>174.48</v>
      </c>
      <c r="G4649" s="1" t="n">
        <v>0</v>
      </c>
      <c r="H4649" s="1" t="s">
        <v>1336</v>
      </c>
      <c r="I4649" s="1" t="n">
        <v>1221.36</v>
      </c>
      <c r="J4649" s="1" t="str">
        <f aca="false">VLOOKUP(B4649,Customers!$A$2:$G$502,6,FALSE())</f>
        <v>Corporate</v>
      </c>
      <c r="K4649" s="1" t="str">
        <f aca="false">VLOOKUP(C4649,Products!$A$2:$E$62,3,FALSE())</f>
        <v>Software</v>
      </c>
      <c r="L4649" s="1" t="str">
        <f aca="false">TEXT(D4649,"yyyy-mm")</f>
        <v>2023-10</v>
      </c>
    </row>
    <row r="4650" customFormat="false" ht="15" hidden="false" customHeight="true" outlineLevel="0" collapsed="false">
      <c r="A4650" s="1" t="n">
        <v>4751</v>
      </c>
      <c r="B4650" s="1" t="n">
        <v>299</v>
      </c>
      <c r="C4650" s="1" t="n">
        <v>19</v>
      </c>
      <c r="D4650" s="1" t="s">
        <v>390</v>
      </c>
      <c r="E4650" s="1" t="n">
        <v>2</v>
      </c>
      <c r="F4650" s="1" t="n">
        <v>163.64</v>
      </c>
      <c r="G4650" s="1" t="n">
        <v>0.1</v>
      </c>
      <c r="H4650" s="1" t="s">
        <v>1336</v>
      </c>
      <c r="I4650" s="1" t="n">
        <v>294.55</v>
      </c>
      <c r="J4650" s="1" t="str">
        <f aca="false">VLOOKUP(B4650,Customers!$A$2:$G$502,6,FALSE())</f>
        <v>Small Business</v>
      </c>
      <c r="K4650" s="1" t="str">
        <f aca="false">VLOOKUP(C4650,Products!$A$2:$E$62,3,FALSE())</f>
        <v>Office Supplies</v>
      </c>
      <c r="L4650" s="1" t="str">
        <f aca="false">TEXT(D4650,"yyyy-mm")</f>
        <v>2023-03</v>
      </c>
    </row>
    <row r="4651" customFormat="false" ht="15" hidden="false" customHeight="true" outlineLevel="0" collapsed="false">
      <c r="A4651" s="1" t="n">
        <v>4752</v>
      </c>
      <c r="B4651" s="1" t="n">
        <v>192</v>
      </c>
      <c r="C4651" s="1" t="n">
        <v>16</v>
      </c>
      <c r="D4651" s="1" t="s">
        <v>208</v>
      </c>
      <c r="E4651" s="1" t="n">
        <v>6</v>
      </c>
      <c r="F4651" s="1" t="n">
        <v>330.91</v>
      </c>
      <c r="G4651" s="1" t="n">
        <v>0</v>
      </c>
      <c r="H4651" s="1" t="s">
        <v>1336</v>
      </c>
      <c r="I4651" s="1" t="n">
        <v>1985.46</v>
      </c>
      <c r="J4651" s="1" t="str">
        <f aca="false">VLOOKUP(B4651,Customers!$A$2:$G$502,6,FALSE())</f>
        <v>Corporate</v>
      </c>
      <c r="K4651" s="1" t="str">
        <f aca="false">VLOOKUP(C4651,Products!$A$2:$E$62,3,FALSE())</f>
        <v>Electronics</v>
      </c>
      <c r="L4651" s="1" t="str">
        <f aca="false">TEXT(D4651,"yyyy-mm")</f>
        <v>2023-12</v>
      </c>
    </row>
    <row r="4652" customFormat="false" ht="15" hidden="false" customHeight="true" outlineLevel="0" collapsed="false">
      <c r="A4652" s="1" t="n">
        <v>4753</v>
      </c>
      <c r="B4652" s="1" t="n">
        <v>374</v>
      </c>
      <c r="C4652" s="1" t="n">
        <v>38</v>
      </c>
      <c r="D4652" s="1" t="s">
        <v>1092</v>
      </c>
      <c r="E4652" s="1" t="n">
        <v>5</v>
      </c>
      <c r="F4652" s="1" t="n">
        <v>521.63</v>
      </c>
      <c r="G4652" s="1" t="n">
        <v>0</v>
      </c>
      <c r="H4652" s="1" t="s">
        <v>1336</v>
      </c>
      <c r="I4652" s="1" t="n">
        <v>2608.15</v>
      </c>
      <c r="J4652" s="1" t="str">
        <f aca="false">VLOOKUP(B4652,Customers!$A$2:$G$502,6,FALSE())</f>
        <v>Consumer</v>
      </c>
      <c r="K4652" s="1" t="str">
        <f aca="false">VLOOKUP(C4652,Products!$A$2:$E$62,3,FALSE())</f>
        <v>Software</v>
      </c>
      <c r="L4652" s="1" t="str">
        <f aca="false">TEXT(D4652,"yyyy-mm")</f>
        <v>2023-12</v>
      </c>
    </row>
    <row r="4653" customFormat="false" ht="15" hidden="false" customHeight="true" outlineLevel="0" collapsed="false">
      <c r="A4653" s="1" t="n">
        <v>4754</v>
      </c>
      <c r="B4653" s="1" t="n">
        <v>186</v>
      </c>
      <c r="C4653" s="1" t="n">
        <v>50</v>
      </c>
      <c r="D4653" s="1" t="s">
        <v>949</v>
      </c>
      <c r="E4653" s="1" t="n">
        <v>1</v>
      </c>
      <c r="F4653" s="1" t="n">
        <v>19.73</v>
      </c>
      <c r="G4653" s="1" t="n">
        <v>0.05</v>
      </c>
      <c r="H4653" s="1" t="s">
        <v>1346</v>
      </c>
      <c r="I4653" s="1" t="n">
        <v>18.74</v>
      </c>
      <c r="J4653" s="1" t="str">
        <f aca="false">VLOOKUP(B4653,Customers!$A$2:$G$502,6,FALSE())</f>
        <v>Small Business</v>
      </c>
      <c r="K4653" s="1" t="str">
        <f aca="false">VLOOKUP(C4653,Products!$A$2:$E$62,3,FALSE())</f>
        <v>Software</v>
      </c>
      <c r="L4653" s="1" t="str">
        <f aca="false">TEXT(D4653,"yyyy-mm")</f>
        <v>2023-11</v>
      </c>
    </row>
    <row r="4654" customFormat="false" ht="15" hidden="false" customHeight="true" outlineLevel="0" collapsed="false">
      <c r="A4654" s="1" t="n">
        <v>4755</v>
      </c>
      <c r="B4654" s="1" t="n">
        <v>384</v>
      </c>
      <c r="C4654" s="1" t="n">
        <v>52</v>
      </c>
      <c r="D4654" s="1" t="s">
        <v>1433</v>
      </c>
      <c r="E4654" s="1" t="n">
        <v>4</v>
      </c>
      <c r="F4654" s="1" t="n">
        <v>207.67</v>
      </c>
      <c r="G4654" s="1" t="n">
        <v>0.15</v>
      </c>
      <c r="H4654" s="1" t="s">
        <v>1346</v>
      </c>
      <c r="I4654" s="1" t="n">
        <v>706.08</v>
      </c>
      <c r="J4654" s="1" t="str">
        <f aca="false">VLOOKUP(B4654,Customers!$A$2:$G$502,6,FALSE())</f>
        <v>Corporate</v>
      </c>
      <c r="K4654" s="1" t="str">
        <f aca="false">VLOOKUP(C4654,Products!$A$2:$E$62,3,FALSE())</f>
        <v>Software</v>
      </c>
      <c r="L4654" s="1" t="str">
        <f aca="false">TEXT(D4654,"yyyy-mm")</f>
        <v>2023-12</v>
      </c>
    </row>
    <row r="4655" customFormat="false" ht="15" hidden="false" customHeight="true" outlineLevel="0" collapsed="false">
      <c r="A4655" s="1" t="n">
        <v>4756</v>
      </c>
      <c r="B4655" s="1" t="n">
        <v>170</v>
      </c>
      <c r="C4655" s="1" t="n">
        <v>53</v>
      </c>
      <c r="D4655" s="1" t="s">
        <v>557</v>
      </c>
      <c r="E4655" s="1" t="n">
        <v>2</v>
      </c>
      <c r="F4655" s="1" t="n">
        <v>509.98</v>
      </c>
      <c r="G4655" s="1" t="n">
        <v>0.2</v>
      </c>
      <c r="H4655" s="1" t="s">
        <v>1336</v>
      </c>
      <c r="I4655" s="1" t="n">
        <v>815.97</v>
      </c>
      <c r="J4655" s="1" t="str">
        <f aca="false">VLOOKUP(B4655,Customers!$A$2:$G$502,6,FALSE())</f>
        <v>Small Business</v>
      </c>
      <c r="K4655" s="1" t="str">
        <f aca="false">VLOOKUP(C4655,Products!$A$2:$E$62,3,FALSE())</f>
        <v>Software</v>
      </c>
      <c r="L4655" s="1" t="str">
        <f aca="false">TEXT(D4655,"yyyy-mm")</f>
        <v>2024-07</v>
      </c>
    </row>
    <row r="4656" customFormat="false" ht="15" hidden="false" customHeight="true" outlineLevel="0" collapsed="false">
      <c r="A4656" s="1" t="n">
        <v>4757</v>
      </c>
      <c r="B4656" s="1" t="n">
        <v>43</v>
      </c>
      <c r="C4656" s="1" t="n">
        <v>43</v>
      </c>
      <c r="D4656" s="1" t="s">
        <v>1348</v>
      </c>
      <c r="E4656" s="1" t="n">
        <v>4</v>
      </c>
      <c r="F4656" s="1" t="n">
        <v>186.31</v>
      </c>
      <c r="G4656" s="1" t="n">
        <v>0.2</v>
      </c>
      <c r="H4656" s="1" t="s">
        <v>1336</v>
      </c>
      <c r="I4656" s="1" t="n">
        <v>596.19</v>
      </c>
      <c r="J4656" s="1" t="str">
        <f aca="false">VLOOKUP(B4656,Customers!$A$2:$G$502,6,FALSE())</f>
        <v>Small Business</v>
      </c>
      <c r="K4656" s="1" t="str">
        <f aca="false">VLOOKUP(C4656,Products!$A$2:$E$62,3,FALSE())</f>
        <v>Software</v>
      </c>
      <c r="L4656" s="1" t="str">
        <f aca="false">TEXT(D4656,"yyyy-mm")</f>
        <v>2024-05</v>
      </c>
    </row>
    <row r="4657" customFormat="false" ht="15" hidden="false" customHeight="true" outlineLevel="0" collapsed="false">
      <c r="A4657" s="1" t="n">
        <v>4758</v>
      </c>
      <c r="B4657" s="1" t="n">
        <v>385</v>
      </c>
      <c r="C4657" s="1" t="n">
        <v>41</v>
      </c>
      <c r="D4657" s="1" t="s">
        <v>289</v>
      </c>
      <c r="E4657" s="1" t="n">
        <v>1</v>
      </c>
      <c r="F4657" s="1" t="n">
        <v>594.54</v>
      </c>
      <c r="G4657" s="1" t="n">
        <v>0.1</v>
      </c>
      <c r="H4657" s="1" t="s">
        <v>1336</v>
      </c>
      <c r="I4657" s="1" t="n">
        <v>535.09</v>
      </c>
      <c r="J4657" s="1" t="str">
        <f aca="false">VLOOKUP(B4657,Customers!$A$2:$G$502,6,FALSE())</f>
        <v>Small Business</v>
      </c>
      <c r="K4657" s="1" t="str">
        <f aca="false">VLOOKUP(C4657,Products!$A$2:$E$62,3,FALSE())</f>
        <v>Software</v>
      </c>
      <c r="L4657" s="1" t="str">
        <f aca="false">TEXT(D4657,"yyyy-mm")</f>
        <v>2023-06</v>
      </c>
    </row>
    <row r="4658" customFormat="false" ht="15" hidden="false" customHeight="true" outlineLevel="0" collapsed="false">
      <c r="A4658" s="1" t="n">
        <v>4759</v>
      </c>
      <c r="B4658" s="1" t="n">
        <v>450</v>
      </c>
      <c r="C4658" s="1" t="n">
        <v>11</v>
      </c>
      <c r="D4658" s="1" t="s">
        <v>1396</v>
      </c>
      <c r="E4658" s="1" t="n">
        <v>2</v>
      </c>
      <c r="F4658" s="1" t="n">
        <v>328.39</v>
      </c>
      <c r="G4658" s="1" t="n">
        <v>0.2</v>
      </c>
      <c r="H4658" s="1" t="s">
        <v>1336</v>
      </c>
      <c r="I4658" s="1" t="n">
        <v>525.42</v>
      </c>
      <c r="J4658" s="1" t="str">
        <f aca="false">VLOOKUP(B4658,Customers!$A$2:$G$502,6,FALSE())</f>
        <v>Consumer</v>
      </c>
      <c r="K4658" s="1" t="str">
        <f aca="false">VLOOKUP(C4658,Products!$A$2:$E$62,3,FALSE())</f>
        <v>Electronics</v>
      </c>
      <c r="L4658" s="1" t="str">
        <f aca="false">TEXT(D4658,"yyyy-mm")</f>
        <v>2023-08</v>
      </c>
    </row>
    <row r="4659" customFormat="false" ht="15" hidden="false" customHeight="true" outlineLevel="0" collapsed="false">
      <c r="A4659" s="1" t="n">
        <v>4760</v>
      </c>
      <c r="B4659" s="1" t="n">
        <v>480</v>
      </c>
      <c r="C4659" s="1" t="n">
        <v>37</v>
      </c>
      <c r="D4659" s="1" t="s">
        <v>1363</v>
      </c>
      <c r="E4659" s="1" t="n">
        <v>8</v>
      </c>
      <c r="F4659" s="1" t="n">
        <v>13.95</v>
      </c>
      <c r="G4659" s="1" t="n">
        <v>0</v>
      </c>
      <c r="H4659" s="1" t="s">
        <v>1336</v>
      </c>
      <c r="I4659" s="1" t="n">
        <v>111.6</v>
      </c>
      <c r="J4659" s="1" t="str">
        <f aca="false">VLOOKUP(B4659,Customers!$A$2:$G$502,6,FALSE())</f>
        <v>Unknown</v>
      </c>
      <c r="K4659" s="1" t="str">
        <f aca="false">VLOOKUP(C4659,Products!$A$2:$E$62,3,FALSE())</f>
        <v>Software</v>
      </c>
      <c r="L4659" s="1" t="str">
        <f aca="false">TEXT(D4659,"yyyy-mm")</f>
        <v>2024-09</v>
      </c>
    </row>
    <row r="4660" customFormat="false" ht="15" hidden="false" customHeight="true" outlineLevel="0" collapsed="false">
      <c r="A4660" s="1" t="n">
        <v>4761</v>
      </c>
      <c r="B4660" s="1" t="n">
        <v>20</v>
      </c>
      <c r="C4660" s="1" t="n">
        <v>29</v>
      </c>
      <c r="D4660" s="1" t="s">
        <v>1494</v>
      </c>
      <c r="E4660" s="1" t="n">
        <v>6</v>
      </c>
      <c r="F4660" s="1" t="n">
        <v>54.62</v>
      </c>
      <c r="G4660" s="1" t="n">
        <v>0</v>
      </c>
      <c r="H4660" s="1" t="s">
        <v>1336</v>
      </c>
      <c r="I4660" s="1" t="n">
        <v>327.72</v>
      </c>
      <c r="J4660" s="1" t="str">
        <f aca="false">VLOOKUP(B4660,Customers!$A$2:$G$502,6,FALSE())</f>
        <v>Consumer</v>
      </c>
      <c r="K4660" s="1" t="str">
        <f aca="false">VLOOKUP(C4660,Products!$A$2:$E$62,3,FALSE())</f>
        <v>Office Supplies</v>
      </c>
      <c r="L4660" s="1" t="str">
        <f aca="false">TEXT(D4660,"yyyy-mm")</f>
        <v>2023-01</v>
      </c>
    </row>
    <row r="4661" customFormat="false" ht="15" hidden="false" customHeight="true" outlineLevel="0" collapsed="false">
      <c r="A4661" s="1" t="n">
        <v>4762</v>
      </c>
      <c r="B4661" s="1" t="n">
        <v>482</v>
      </c>
      <c r="C4661" s="1" t="n">
        <v>9</v>
      </c>
      <c r="D4661" s="1" t="s">
        <v>1668</v>
      </c>
      <c r="E4661" s="1" t="n">
        <v>2</v>
      </c>
      <c r="F4661" s="1" t="n">
        <v>203.1</v>
      </c>
      <c r="G4661" s="1" t="n">
        <v>0</v>
      </c>
      <c r="H4661" s="1" t="s">
        <v>1336</v>
      </c>
      <c r="I4661" s="1" t="n">
        <v>406.2</v>
      </c>
      <c r="J4661" s="1" t="str">
        <f aca="false">VLOOKUP(B4661,Customers!$A$2:$G$502,6,FALSE())</f>
        <v>Small Business</v>
      </c>
      <c r="K4661" s="1" t="str">
        <f aca="false">VLOOKUP(C4661,Products!$A$2:$E$62,3,FALSE())</f>
        <v>Electronics</v>
      </c>
      <c r="L4661" s="1" t="str">
        <f aca="false">TEXT(D4661,"yyyy-mm")</f>
        <v>2023-10</v>
      </c>
    </row>
    <row r="4662" customFormat="false" ht="15" hidden="false" customHeight="true" outlineLevel="0" collapsed="false">
      <c r="A4662" s="1" t="n">
        <v>4763</v>
      </c>
      <c r="B4662" s="1" t="n">
        <v>429</v>
      </c>
      <c r="C4662" s="1" t="n">
        <v>45</v>
      </c>
      <c r="D4662" s="1" t="s">
        <v>1351</v>
      </c>
      <c r="E4662" s="1" t="n">
        <v>6</v>
      </c>
      <c r="F4662" s="1" t="n">
        <v>560.01</v>
      </c>
      <c r="G4662" s="1" t="n">
        <v>0</v>
      </c>
      <c r="H4662" s="1" t="s">
        <v>1336</v>
      </c>
      <c r="I4662" s="1" t="n">
        <v>3360.06</v>
      </c>
      <c r="J4662" s="1" t="str">
        <f aca="false">VLOOKUP(B4662,Customers!$A$2:$G$502,6,FALSE())</f>
        <v>Corporate</v>
      </c>
      <c r="K4662" s="1" t="str">
        <f aca="false">VLOOKUP(C4662,Products!$A$2:$E$62,3,FALSE())</f>
        <v>Software</v>
      </c>
      <c r="L4662" s="1" t="str">
        <f aca="false">TEXT(D4662,"yyyy-mm")</f>
        <v>2024-07</v>
      </c>
    </row>
    <row r="4663" customFormat="false" ht="15" hidden="false" customHeight="true" outlineLevel="0" collapsed="false">
      <c r="A4663" s="1" t="n">
        <v>4764</v>
      </c>
      <c r="B4663" s="1" t="n">
        <v>247</v>
      </c>
      <c r="C4663" s="1" t="n">
        <v>25</v>
      </c>
      <c r="D4663" s="1" t="s">
        <v>1703</v>
      </c>
      <c r="E4663" s="1" t="n">
        <v>9</v>
      </c>
      <c r="F4663" s="1" t="n">
        <v>300.49</v>
      </c>
      <c r="G4663" s="1" t="n">
        <v>0</v>
      </c>
      <c r="H4663" s="1" t="s">
        <v>1336</v>
      </c>
      <c r="I4663" s="1" t="n">
        <v>2704.41</v>
      </c>
      <c r="J4663" s="1" t="str">
        <f aca="false">VLOOKUP(B4663,Customers!$A$2:$G$502,6,FALSE())</f>
        <v>Small Business</v>
      </c>
      <c r="K4663" s="1" t="str">
        <f aca="false">VLOOKUP(C4663,Products!$A$2:$E$62,3,FALSE())</f>
        <v>Office Supplies</v>
      </c>
      <c r="L4663" s="1" t="str">
        <f aca="false">TEXT(D4663,"yyyy-mm")</f>
        <v>2024-12</v>
      </c>
    </row>
    <row r="4664" customFormat="false" ht="15" hidden="false" customHeight="true" outlineLevel="0" collapsed="false">
      <c r="A4664" s="1" t="n">
        <v>4765</v>
      </c>
      <c r="B4664" s="1" t="n">
        <v>371</v>
      </c>
      <c r="C4664" s="1" t="n">
        <v>28</v>
      </c>
      <c r="D4664" s="1" t="s">
        <v>223</v>
      </c>
      <c r="E4664" s="1" t="n">
        <v>7</v>
      </c>
      <c r="F4664" s="1" t="n">
        <v>505.23</v>
      </c>
      <c r="G4664" s="1" t="n">
        <v>0</v>
      </c>
      <c r="H4664" s="1" t="s">
        <v>1336</v>
      </c>
      <c r="I4664" s="1" t="n">
        <v>3536.61</v>
      </c>
      <c r="J4664" s="1" t="str">
        <f aca="false">VLOOKUP(B4664,Customers!$A$2:$G$502,6,FALSE())</f>
        <v>Unknown</v>
      </c>
      <c r="K4664" s="1" t="str">
        <f aca="false">VLOOKUP(C4664,Products!$A$2:$E$62,3,FALSE())</f>
        <v>Office Supplies</v>
      </c>
      <c r="L4664" s="1" t="str">
        <f aca="false">TEXT(D4664,"yyyy-mm")</f>
        <v>2023-06</v>
      </c>
    </row>
    <row r="4665" customFormat="false" ht="15" hidden="false" customHeight="true" outlineLevel="0" collapsed="false">
      <c r="A4665" s="1" t="n">
        <v>4766</v>
      </c>
      <c r="B4665" s="1" t="n">
        <v>126</v>
      </c>
      <c r="C4665" s="1" t="n">
        <v>14</v>
      </c>
      <c r="D4665" s="1" t="s">
        <v>1467</v>
      </c>
      <c r="E4665" s="1" t="n">
        <v>9</v>
      </c>
      <c r="F4665" s="1" t="n">
        <v>135.27</v>
      </c>
      <c r="G4665" s="1" t="n">
        <v>0.05</v>
      </c>
      <c r="H4665" s="1" t="s">
        <v>1336</v>
      </c>
      <c r="I4665" s="1" t="n">
        <v>1156.56</v>
      </c>
      <c r="J4665" s="1" t="str">
        <f aca="false">VLOOKUP(B4665,Customers!$A$2:$G$502,6,FALSE())</f>
        <v>Small Business</v>
      </c>
      <c r="K4665" s="1" t="str">
        <f aca="false">VLOOKUP(C4665,Products!$A$2:$E$62,3,FALSE())</f>
        <v>Electronics</v>
      </c>
      <c r="L4665" s="1" t="str">
        <f aca="false">TEXT(D4665,"yyyy-mm")</f>
        <v>2023-09</v>
      </c>
    </row>
    <row r="4666" customFormat="false" ht="15" hidden="false" customHeight="true" outlineLevel="0" collapsed="false">
      <c r="A4666" s="1" t="n">
        <v>4767</v>
      </c>
      <c r="B4666" s="1" t="n">
        <v>230</v>
      </c>
      <c r="C4666" s="1" t="n">
        <v>10</v>
      </c>
      <c r="D4666" s="1" t="s">
        <v>1621</v>
      </c>
      <c r="E4666" s="1" t="n">
        <v>5</v>
      </c>
      <c r="F4666" s="1" t="n">
        <v>251.58</v>
      </c>
      <c r="G4666" s="1" t="n">
        <v>0</v>
      </c>
      <c r="H4666" s="1" t="s">
        <v>1336</v>
      </c>
      <c r="I4666" s="1" t="n">
        <v>1257.9</v>
      </c>
      <c r="J4666" s="1" t="str">
        <f aca="false">VLOOKUP(B4666,Customers!$A$2:$G$502,6,FALSE())</f>
        <v>Corporate</v>
      </c>
      <c r="K4666" s="1" t="str">
        <f aca="false">VLOOKUP(C4666,Products!$A$2:$E$62,3,FALSE())</f>
        <v>Electronics</v>
      </c>
      <c r="L4666" s="1" t="str">
        <f aca="false">TEXT(D4666,"yyyy-mm")</f>
        <v>2024-06</v>
      </c>
    </row>
    <row r="4667" customFormat="false" ht="15" hidden="false" customHeight="true" outlineLevel="0" collapsed="false">
      <c r="A4667" s="1" t="n">
        <v>4768</v>
      </c>
      <c r="B4667" s="1" t="n">
        <v>97</v>
      </c>
      <c r="C4667" s="1" t="n">
        <v>43</v>
      </c>
      <c r="D4667" s="1" t="s">
        <v>18</v>
      </c>
      <c r="E4667" s="1" t="n">
        <v>7</v>
      </c>
      <c r="F4667" s="1" t="n">
        <v>186.31</v>
      </c>
      <c r="G4667" s="1" t="n">
        <v>0.15</v>
      </c>
      <c r="H4667" s="1" t="s">
        <v>1336</v>
      </c>
      <c r="I4667" s="1" t="n">
        <v>1108.54</v>
      </c>
      <c r="J4667" s="1" t="str">
        <f aca="false">VLOOKUP(B4667,Customers!$A$2:$G$502,6,FALSE())</f>
        <v>Corporate</v>
      </c>
      <c r="K4667" s="1" t="str">
        <f aca="false">VLOOKUP(C4667,Products!$A$2:$E$62,3,FALSE())</f>
        <v>Software</v>
      </c>
      <c r="L4667" s="1" t="str">
        <f aca="false">TEXT(D4667,"yyyy-mm")</f>
        <v>2023-08</v>
      </c>
    </row>
    <row r="4668" customFormat="false" ht="15" hidden="false" customHeight="true" outlineLevel="0" collapsed="false">
      <c r="A4668" s="1" t="n">
        <v>4769</v>
      </c>
      <c r="B4668" s="1" t="n">
        <v>247</v>
      </c>
      <c r="C4668" s="1" t="n">
        <v>6</v>
      </c>
      <c r="D4668" s="1" t="s">
        <v>1584</v>
      </c>
      <c r="E4668" s="1" t="n">
        <v>7</v>
      </c>
      <c r="F4668" s="1" t="n">
        <v>28.51</v>
      </c>
      <c r="G4668" s="1" t="n">
        <v>0</v>
      </c>
      <c r="H4668" s="1" t="s">
        <v>1370</v>
      </c>
      <c r="I4668" s="1" t="n">
        <v>199.57</v>
      </c>
      <c r="J4668" s="1" t="str">
        <f aca="false">VLOOKUP(B4668,Customers!$A$2:$G$502,6,FALSE())</f>
        <v>Small Business</v>
      </c>
      <c r="K4668" s="1" t="str">
        <f aca="false">VLOOKUP(C4668,Products!$A$2:$E$62,3,FALSE())</f>
        <v>Electronics</v>
      </c>
      <c r="L4668" s="1" t="str">
        <f aca="false">TEXT(D4668,"yyyy-mm")</f>
        <v>2024-01</v>
      </c>
    </row>
    <row r="4669" customFormat="false" ht="15" hidden="false" customHeight="true" outlineLevel="0" collapsed="false">
      <c r="A4669" s="1" t="n">
        <v>4770</v>
      </c>
      <c r="B4669" s="1" t="n">
        <v>119</v>
      </c>
      <c r="C4669" s="1" t="n">
        <v>4</v>
      </c>
      <c r="D4669" s="1" t="s">
        <v>1226</v>
      </c>
      <c r="E4669" s="1" t="n">
        <v>3</v>
      </c>
      <c r="F4669" s="1" t="n">
        <v>56.24</v>
      </c>
      <c r="G4669" s="1" t="n">
        <v>0.2</v>
      </c>
      <c r="H4669" s="1" t="s">
        <v>1336</v>
      </c>
      <c r="I4669" s="1" t="n">
        <v>134.98</v>
      </c>
      <c r="J4669" s="1" t="str">
        <f aca="false">VLOOKUP(B4669,Customers!$A$2:$G$502,6,FALSE())</f>
        <v>Small Business</v>
      </c>
      <c r="K4669" s="1" t="str">
        <f aca="false">VLOOKUP(C4669,Products!$A$2:$E$62,3,FALSE())</f>
        <v>Electronics</v>
      </c>
      <c r="L4669" s="1" t="str">
        <f aca="false">TEXT(D4669,"yyyy-mm")</f>
        <v>2024-05</v>
      </c>
    </row>
    <row r="4670" customFormat="false" ht="15" hidden="false" customHeight="true" outlineLevel="0" collapsed="false">
      <c r="A4670" s="1" t="n">
        <v>4771</v>
      </c>
      <c r="B4670" s="1" t="n">
        <v>215</v>
      </c>
      <c r="C4670" s="1" t="n">
        <v>42</v>
      </c>
      <c r="D4670" s="1" t="s">
        <v>399</v>
      </c>
      <c r="E4670" s="1" t="n">
        <v>7</v>
      </c>
      <c r="F4670" s="1" t="n">
        <v>174.48</v>
      </c>
      <c r="G4670" s="1" t="n">
        <v>0</v>
      </c>
      <c r="H4670" s="1" t="s">
        <v>1336</v>
      </c>
      <c r="I4670" s="1" t="n">
        <v>1221.36</v>
      </c>
      <c r="J4670" s="1" t="str">
        <f aca="false">VLOOKUP(B4670,Customers!$A$2:$G$502,6,FALSE())</f>
        <v>Corporate</v>
      </c>
      <c r="K4670" s="1" t="str">
        <f aca="false">VLOOKUP(C4670,Products!$A$2:$E$62,3,FALSE())</f>
        <v>Software</v>
      </c>
      <c r="L4670" s="1" t="str">
        <f aca="false">TEXT(D4670,"yyyy-mm")</f>
        <v>2024-03</v>
      </c>
    </row>
    <row r="4671" customFormat="false" ht="15" hidden="false" customHeight="true" outlineLevel="0" collapsed="false">
      <c r="A4671" s="1" t="n">
        <v>4772</v>
      </c>
      <c r="B4671" s="1" t="n">
        <v>45</v>
      </c>
      <c r="C4671" s="1" t="n">
        <v>15</v>
      </c>
      <c r="D4671" s="1" t="s">
        <v>1423</v>
      </c>
      <c r="E4671" s="1" t="n">
        <v>1</v>
      </c>
      <c r="F4671" s="1" t="n">
        <v>304.95</v>
      </c>
      <c r="G4671" s="1" t="n">
        <v>0.1</v>
      </c>
      <c r="H4671" s="1" t="s">
        <v>1336</v>
      </c>
      <c r="I4671" s="1" t="n">
        <v>274.46</v>
      </c>
      <c r="J4671" s="1" t="str">
        <f aca="false">VLOOKUP(B4671,Customers!$A$2:$G$502,6,FALSE())</f>
        <v>Corporate</v>
      </c>
      <c r="K4671" s="1" t="str">
        <f aca="false">VLOOKUP(C4671,Products!$A$2:$E$62,3,FALSE())</f>
        <v>Electronics</v>
      </c>
      <c r="L4671" s="1" t="str">
        <f aca="false">TEXT(D4671,"yyyy-mm")</f>
        <v>2024-04</v>
      </c>
    </row>
    <row r="4672" customFormat="false" ht="15" hidden="false" customHeight="true" outlineLevel="0" collapsed="false">
      <c r="A4672" s="1" t="n">
        <v>4773</v>
      </c>
      <c r="B4672" s="1" t="n">
        <v>298</v>
      </c>
      <c r="C4672" s="1" t="n">
        <v>16</v>
      </c>
      <c r="D4672" s="1" t="s">
        <v>656</v>
      </c>
      <c r="E4672" s="1" t="n">
        <v>9</v>
      </c>
      <c r="F4672" s="1" t="n">
        <v>330.91</v>
      </c>
      <c r="G4672" s="1" t="n">
        <v>0.05</v>
      </c>
      <c r="H4672" s="1" t="s">
        <v>1336</v>
      </c>
      <c r="I4672" s="1" t="n">
        <v>2829.28</v>
      </c>
      <c r="J4672" s="1" t="str">
        <f aca="false">VLOOKUP(B4672,Customers!$A$2:$G$502,6,FALSE())</f>
        <v>Consumer</v>
      </c>
      <c r="K4672" s="1" t="str">
        <f aca="false">VLOOKUP(C4672,Products!$A$2:$E$62,3,FALSE())</f>
        <v>Electronics</v>
      </c>
      <c r="L4672" s="1" t="str">
        <f aca="false">TEXT(D4672,"yyyy-mm")</f>
        <v>2024-03</v>
      </c>
    </row>
    <row r="4673" customFormat="false" ht="15" hidden="false" customHeight="true" outlineLevel="0" collapsed="false">
      <c r="A4673" s="1" t="n">
        <v>4774</v>
      </c>
      <c r="B4673" s="1" t="n">
        <v>401</v>
      </c>
      <c r="C4673" s="1" t="n">
        <v>30</v>
      </c>
      <c r="D4673" s="1" t="s">
        <v>1202</v>
      </c>
      <c r="E4673" s="1" t="n">
        <v>6</v>
      </c>
      <c r="F4673" s="1" t="n">
        <v>33.32</v>
      </c>
      <c r="G4673" s="1" t="n">
        <v>0</v>
      </c>
      <c r="H4673" s="1" t="s">
        <v>1336</v>
      </c>
      <c r="I4673" s="1" t="n">
        <v>199.92</v>
      </c>
      <c r="J4673" s="1" t="str">
        <f aca="false">VLOOKUP(B4673,Customers!$A$2:$G$502,6,FALSE())</f>
        <v>Consumer</v>
      </c>
      <c r="K4673" s="1" t="str">
        <f aca="false">VLOOKUP(C4673,Products!$A$2:$E$62,3,FALSE())</f>
        <v>Office Supplies</v>
      </c>
      <c r="L4673" s="1" t="str">
        <f aca="false">TEXT(D4673,"yyyy-mm")</f>
        <v>2024-04</v>
      </c>
    </row>
    <row r="4674" customFormat="false" ht="15" hidden="false" customHeight="true" outlineLevel="0" collapsed="false">
      <c r="A4674" s="1" t="n">
        <v>4775</v>
      </c>
      <c r="B4674" s="1" t="n">
        <v>183</v>
      </c>
      <c r="C4674" s="1" t="n">
        <v>23</v>
      </c>
      <c r="D4674" s="1" t="s">
        <v>1016</v>
      </c>
      <c r="E4674" s="1" t="n">
        <v>5</v>
      </c>
      <c r="F4674" s="1" t="n">
        <v>188.73</v>
      </c>
      <c r="G4674" s="1" t="n">
        <v>0</v>
      </c>
      <c r="H4674" s="1" t="s">
        <v>1336</v>
      </c>
      <c r="I4674" s="1" t="n">
        <v>943.65</v>
      </c>
      <c r="J4674" s="1" t="str">
        <f aca="false">VLOOKUP(B4674,Customers!$A$2:$G$502,6,FALSE())</f>
        <v>Corporate</v>
      </c>
      <c r="K4674" s="1" t="str">
        <f aca="false">VLOOKUP(C4674,Products!$A$2:$E$62,3,FALSE())</f>
        <v>Office Supplies</v>
      </c>
      <c r="L4674" s="1" t="str">
        <f aca="false">TEXT(D4674,"yyyy-mm")</f>
        <v>2023-11</v>
      </c>
    </row>
    <row r="4675" customFormat="false" ht="15" hidden="false" customHeight="true" outlineLevel="0" collapsed="false">
      <c r="A4675" s="1" t="n">
        <v>4776</v>
      </c>
      <c r="B4675" s="1" t="n">
        <v>57</v>
      </c>
      <c r="C4675" s="1" t="n">
        <v>40</v>
      </c>
      <c r="D4675" s="1" t="s">
        <v>1092</v>
      </c>
      <c r="E4675" s="1" t="n">
        <v>7</v>
      </c>
      <c r="F4675" s="1" t="n">
        <v>193.02</v>
      </c>
      <c r="G4675" s="1" t="n">
        <v>0.2</v>
      </c>
      <c r="H4675" s="1" t="s">
        <v>1336</v>
      </c>
      <c r="I4675" s="1" t="n">
        <v>1080.91</v>
      </c>
      <c r="J4675" s="1" t="str">
        <f aca="false">VLOOKUP(B4675,Customers!$A$2:$G$502,6,FALSE())</f>
        <v>Consumer</v>
      </c>
      <c r="K4675" s="1" t="str">
        <f aca="false">VLOOKUP(C4675,Products!$A$2:$E$62,3,FALSE())</f>
        <v>Software</v>
      </c>
      <c r="L4675" s="1" t="str">
        <f aca="false">TEXT(D4675,"yyyy-mm")</f>
        <v>2023-12</v>
      </c>
    </row>
    <row r="4676" customFormat="false" ht="15" hidden="false" customHeight="true" outlineLevel="0" collapsed="false">
      <c r="A4676" s="1" t="n">
        <v>4777</v>
      </c>
      <c r="B4676" s="1" t="n">
        <v>57</v>
      </c>
      <c r="C4676" s="1" t="n">
        <v>7</v>
      </c>
      <c r="D4676" s="1" t="s">
        <v>1634</v>
      </c>
      <c r="E4676" s="1" t="n">
        <v>5</v>
      </c>
      <c r="F4676" s="1" t="n">
        <v>460</v>
      </c>
      <c r="G4676" s="1" t="n">
        <v>0</v>
      </c>
      <c r="H4676" s="1" t="s">
        <v>1336</v>
      </c>
      <c r="I4676" s="1" t="n">
        <v>2300</v>
      </c>
      <c r="J4676" s="1" t="str">
        <f aca="false">VLOOKUP(B4676,Customers!$A$2:$G$502,6,FALSE())</f>
        <v>Consumer</v>
      </c>
      <c r="K4676" s="1" t="str">
        <f aca="false">VLOOKUP(C4676,Products!$A$2:$E$62,3,FALSE())</f>
        <v>Electronics</v>
      </c>
      <c r="L4676" s="1" t="str">
        <f aca="false">TEXT(D4676,"yyyy-mm")</f>
        <v>2023-02</v>
      </c>
    </row>
    <row r="4677" customFormat="false" ht="15" hidden="false" customHeight="true" outlineLevel="0" collapsed="false">
      <c r="A4677" s="1" t="n">
        <v>4778</v>
      </c>
      <c r="B4677" s="1" t="n">
        <v>422</v>
      </c>
      <c r="C4677" s="1" t="n">
        <v>4</v>
      </c>
      <c r="D4677" s="1" t="s">
        <v>1373</v>
      </c>
      <c r="E4677" s="1" t="n">
        <v>5</v>
      </c>
      <c r="F4677" s="1" t="n">
        <v>56.24</v>
      </c>
      <c r="G4677" s="1" t="n">
        <v>0.1</v>
      </c>
      <c r="H4677" s="1" t="s">
        <v>1336</v>
      </c>
      <c r="I4677" s="1" t="n">
        <v>253.08</v>
      </c>
      <c r="J4677" s="1" t="str">
        <f aca="false">VLOOKUP(B4677,Customers!$A$2:$G$502,6,FALSE())</f>
        <v>Small Business</v>
      </c>
      <c r="K4677" s="1" t="str">
        <f aca="false">VLOOKUP(C4677,Products!$A$2:$E$62,3,FALSE())</f>
        <v>Electronics</v>
      </c>
      <c r="L4677" s="1" t="str">
        <f aca="false">TEXT(D4677,"yyyy-mm")</f>
        <v>2024-07</v>
      </c>
    </row>
    <row r="4678" customFormat="false" ht="15" hidden="false" customHeight="true" outlineLevel="0" collapsed="false">
      <c r="A4678" s="1" t="n">
        <v>4779</v>
      </c>
      <c r="B4678" s="1" t="n">
        <v>485</v>
      </c>
      <c r="C4678" s="1" t="n">
        <v>57</v>
      </c>
      <c r="D4678" s="1" t="s">
        <v>874</v>
      </c>
      <c r="E4678" s="1" t="n">
        <v>7</v>
      </c>
      <c r="F4678" s="1" t="n">
        <v>719.76</v>
      </c>
      <c r="G4678" s="1" t="n">
        <v>0</v>
      </c>
      <c r="H4678" s="1" t="s">
        <v>1336</v>
      </c>
      <c r="I4678" s="1" t="n">
        <v>5038.32</v>
      </c>
      <c r="J4678" s="1" t="str">
        <f aca="false">VLOOKUP(B4678,Customers!$A$2:$G$502,6,FALSE())</f>
        <v>Corporate</v>
      </c>
      <c r="K4678" s="1" t="str">
        <f aca="false">VLOOKUP(C4678,Products!$A$2:$E$62,3,FALSE())</f>
        <v>Furniture</v>
      </c>
      <c r="L4678" s="1" t="str">
        <f aca="false">TEXT(D4678,"yyyy-mm")</f>
        <v>2023-03</v>
      </c>
    </row>
    <row r="4679" customFormat="false" ht="15" hidden="false" customHeight="true" outlineLevel="0" collapsed="false">
      <c r="A4679" s="1" t="n">
        <v>4780</v>
      </c>
      <c r="B4679" s="1" t="n">
        <v>267</v>
      </c>
      <c r="C4679" s="1" t="n">
        <v>21</v>
      </c>
      <c r="D4679" s="1" t="s">
        <v>208</v>
      </c>
      <c r="E4679" s="1" t="n">
        <v>7</v>
      </c>
      <c r="F4679" s="1" t="n">
        <v>84.91</v>
      </c>
      <c r="G4679" s="1" t="n">
        <v>0.15</v>
      </c>
      <c r="H4679" s="1" t="s">
        <v>1336</v>
      </c>
      <c r="I4679" s="1" t="n">
        <v>505.21</v>
      </c>
      <c r="J4679" s="1" t="str">
        <f aca="false">VLOOKUP(B4679,Customers!$A$2:$G$502,6,FALSE())</f>
        <v>Corporate</v>
      </c>
      <c r="K4679" s="1" t="str">
        <f aca="false">VLOOKUP(C4679,Products!$A$2:$E$62,3,FALSE())</f>
        <v>Office Supplies</v>
      </c>
      <c r="L4679" s="1" t="str">
        <f aca="false">TEXT(D4679,"yyyy-mm")</f>
        <v>2023-12</v>
      </c>
    </row>
    <row r="4680" customFormat="false" ht="15" hidden="false" customHeight="true" outlineLevel="0" collapsed="false">
      <c r="A4680" s="1" t="n">
        <v>4781</v>
      </c>
      <c r="B4680" s="1" t="n">
        <v>222</v>
      </c>
      <c r="C4680" s="1" t="n">
        <v>9</v>
      </c>
      <c r="D4680" s="1" t="s">
        <v>1459</v>
      </c>
      <c r="E4680" s="1" t="n">
        <v>3</v>
      </c>
      <c r="F4680" s="1" t="n">
        <v>203.1</v>
      </c>
      <c r="G4680" s="1" t="n">
        <v>0</v>
      </c>
      <c r="H4680" s="1" t="s">
        <v>1336</v>
      </c>
      <c r="I4680" s="1" t="n">
        <v>609.3</v>
      </c>
      <c r="J4680" s="1" t="str">
        <f aca="false">VLOOKUP(B4680,Customers!$A$2:$G$502,6,FALSE())</f>
        <v>Consumer</v>
      </c>
      <c r="K4680" s="1" t="str">
        <f aca="false">VLOOKUP(C4680,Products!$A$2:$E$62,3,FALSE())</f>
        <v>Electronics</v>
      </c>
      <c r="L4680" s="1" t="str">
        <f aca="false">TEXT(D4680,"yyyy-mm")</f>
        <v>2024-03</v>
      </c>
    </row>
    <row r="4681" customFormat="false" ht="15" hidden="false" customHeight="true" outlineLevel="0" collapsed="false">
      <c r="A4681" s="1" t="n">
        <v>4782</v>
      </c>
      <c r="B4681" s="1" t="n">
        <v>64</v>
      </c>
      <c r="C4681" s="1" t="n">
        <v>48</v>
      </c>
      <c r="D4681" s="1" t="s">
        <v>269</v>
      </c>
      <c r="E4681" s="1" t="n">
        <v>3</v>
      </c>
      <c r="F4681" s="1" t="n">
        <v>493.53</v>
      </c>
      <c r="G4681" s="1" t="n">
        <v>0</v>
      </c>
      <c r="H4681" s="1" t="s">
        <v>1336</v>
      </c>
      <c r="I4681" s="1" t="n">
        <v>1480.59</v>
      </c>
      <c r="J4681" s="1" t="str">
        <f aca="false">VLOOKUP(B4681,Customers!$A$2:$G$502,6,FALSE())</f>
        <v>Consumer</v>
      </c>
      <c r="K4681" s="1" t="str">
        <f aca="false">VLOOKUP(C4681,Products!$A$2:$E$62,3,FALSE())</f>
        <v>Software</v>
      </c>
      <c r="L4681" s="1" t="str">
        <f aca="false">TEXT(D4681,"yyyy-mm")</f>
        <v>2023-11</v>
      </c>
    </row>
    <row r="4682" customFormat="false" ht="15" hidden="false" customHeight="true" outlineLevel="0" collapsed="false">
      <c r="A4682" s="1" t="n">
        <v>4783</v>
      </c>
      <c r="B4682" s="1" t="n">
        <v>464</v>
      </c>
      <c r="C4682" s="1" t="n">
        <v>27</v>
      </c>
      <c r="D4682" s="1" t="s">
        <v>1124</v>
      </c>
      <c r="E4682" s="1" t="n">
        <v>3</v>
      </c>
      <c r="F4682" s="1" t="n">
        <v>772.58</v>
      </c>
      <c r="G4682" s="1" t="n">
        <v>0.1</v>
      </c>
      <c r="H4682" s="1" t="s">
        <v>1370</v>
      </c>
      <c r="I4682" s="1" t="n">
        <v>2085.97</v>
      </c>
      <c r="J4682" s="1" t="str">
        <f aca="false">VLOOKUP(B4682,Customers!$A$2:$G$502,6,FALSE())</f>
        <v>Consumer</v>
      </c>
      <c r="K4682" s="1" t="str">
        <f aca="false">VLOOKUP(C4682,Products!$A$2:$E$62,3,FALSE())</f>
        <v>Office Supplies</v>
      </c>
      <c r="L4682" s="1" t="str">
        <f aca="false">TEXT(D4682,"yyyy-mm")</f>
        <v>2023-10</v>
      </c>
    </row>
    <row r="4683" customFormat="false" ht="15" hidden="false" customHeight="true" outlineLevel="0" collapsed="false">
      <c r="A4683" s="1" t="n">
        <v>4784</v>
      </c>
      <c r="B4683" s="1" t="n">
        <v>357</v>
      </c>
      <c r="C4683" s="1" t="n">
        <v>57</v>
      </c>
      <c r="D4683" s="1" t="s">
        <v>1205</v>
      </c>
      <c r="E4683" s="1" t="n">
        <v>6</v>
      </c>
      <c r="F4683" s="1" t="n">
        <v>719.76</v>
      </c>
      <c r="G4683" s="1" t="n">
        <v>0.05</v>
      </c>
      <c r="H4683" s="1" t="s">
        <v>1336</v>
      </c>
      <c r="I4683" s="1" t="n">
        <v>4102.63</v>
      </c>
      <c r="J4683" s="1" t="str">
        <f aca="false">VLOOKUP(B4683,Customers!$A$2:$G$502,6,FALSE())</f>
        <v>Consumer</v>
      </c>
      <c r="K4683" s="1" t="str">
        <f aca="false">VLOOKUP(C4683,Products!$A$2:$E$62,3,FALSE())</f>
        <v>Furniture</v>
      </c>
      <c r="L4683" s="1" t="str">
        <f aca="false">TEXT(D4683,"yyyy-mm")</f>
        <v>2024-08</v>
      </c>
    </row>
    <row r="4684" customFormat="false" ht="15" hidden="false" customHeight="true" outlineLevel="0" collapsed="false">
      <c r="A4684" s="1" t="n">
        <v>4785</v>
      </c>
      <c r="B4684" s="1" t="n">
        <v>168</v>
      </c>
      <c r="C4684" s="1" t="n">
        <v>53</v>
      </c>
      <c r="D4684" s="1" t="s">
        <v>1684</v>
      </c>
      <c r="E4684" s="1" t="n">
        <v>6</v>
      </c>
      <c r="F4684" s="1" t="n">
        <v>509.98</v>
      </c>
      <c r="G4684" s="1" t="n">
        <v>0</v>
      </c>
      <c r="H4684" s="1" t="s">
        <v>1336</v>
      </c>
      <c r="I4684" s="1" t="n">
        <v>3059.88</v>
      </c>
      <c r="J4684" s="1" t="str">
        <f aca="false">VLOOKUP(B4684,Customers!$A$2:$G$502,6,FALSE())</f>
        <v>Consumer</v>
      </c>
      <c r="K4684" s="1" t="str">
        <f aca="false">VLOOKUP(C4684,Products!$A$2:$E$62,3,FALSE())</f>
        <v>Software</v>
      </c>
      <c r="L4684" s="1" t="str">
        <f aca="false">TEXT(D4684,"yyyy-mm")</f>
        <v>2024-05</v>
      </c>
    </row>
    <row r="4685" customFormat="false" ht="15" hidden="false" customHeight="true" outlineLevel="0" collapsed="false">
      <c r="A4685" s="1" t="n">
        <v>4786</v>
      </c>
      <c r="B4685" s="1" t="n">
        <v>397</v>
      </c>
      <c r="C4685" s="1" t="n">
        <v>24</v>
      </c>
      <c r="D4685" s="1" t="s">
        <v>1481</v>
      </c>
      <c r="E4685" s="1" t="n">
        <v>3</v>
      </c>
      <c r="F4685" s="1" t="n">
        <v>207.34</v>
      </c>
      <c r="G4685" s="1" t="n">
        <v>0.1</v>
      </c>
      <c r="H4685" s="1" t="s">
        <v>1336</v>
      </c>
      <c r="I4685" s="1" t="n">
        <v>559.82</v>
      </c>
      <c r="J4685" s="1" t="str">
        <f aca="false">VLOOKUP(B4685,Customers!$A$2:$G$502,6,FALSE())</f>
        <v>Consumer</v>
      </c>
      <c r="K4685" s="1" t="str">
        <f aca="false">VLOOKUP(C4685,Products!$A$2:$E$62,3,FALSE())</f>
        <v>Office Supplies</v>
      </c>
      <c r="L4685" s="1" t="str">
        <f aca="false">TEXT(D4685,"yyyy-mm")</f>
        <v>2024-06</v>
      </c>
    </row>
    <row r="4686" customFormat="false" ht="15" hidden="false" customHeight="true" outlineLevel="0" collapsed="false">
      <c r="A4686" s="1" t="n">
        <v>4787</v>
      </c>
      <c r="B4686" s="1" t="n">
        <v>93</v>
      </c>
      <c r="C4686" s="1" t="n">
        <v>35</v>
      </c>
      <c r="D4686" s="1" t="s">
        <v>1593</v>
      </c>
      <c r="E4686" s="1" t="n">
        <v>3</v>
      </c>
      <c r="F4686" s="1" t="n">
        <v>75.78</v>
      </c>
      <c r="G4686" s="1" t="n">
        <v>0.1</v>
      </c>
      <c r="H4686" s="1" t="s">
        <v>1370</v>
      </c>
      <c r="I4686" s="1" t="n">
        <v>204.61</v>
      </c>
      <c r="J4686" s="1" t="str">
        <f aca="false">VLOOKUP(B4686,Customers!$A$2:$G$502,6,FALSE())</f>
        <v>Consumer</v>
      </c>
      <c r="K4686" s="1" t="str">
        <f aca="false">VLOOKUP(C4686,Products!$A$2:$E$62,3,FALSE())</f>
        <v>Software</v>
      </c>
      <c r="L4686" s="1" t="str">
        <f aca="false">TEXT(D4686,"yyyy-mm")</f>
        <v>2023-09</v>
      </c>
    </row>
    <row r="4687" customFormat="false" ht="15" hidden="false" customHeight="true" outlineLevel="0" collapsed="false">
      <c r="A4687" s="1" t="n">
        <v>4788</v>
      </c>
      <c r="B4687" s="1" t="n">
        <v>456</v>
      </c>
      <c r="C4687" s="1" t="n">
        <v>53</v>
      </c>
      <c r="D4687" s="1" t="s">
        <v>1050</v>
      </c>
      <c r="E4687" s="1" t="n">
        <v>8</v>
      </c>
      <c r="F4687" s="1" t="n">
        <v>509.98</v>
      </c>
      <c r="G4687" s="1" t="n">
        <v>0</v>
      </c>
      <c r="H4687" s="1" t="s">
        <v>1336</v>
      </c>
      <c r="I4687" s="1" t="n">
        <v>4079.84</v>
      </c>
      <c r="J4687" s="1" t="str">
        <f aca="false">VLOOKUP(B4687,Customers!$A$2:$G$502,6,FALSE())</f>
        <v>Consumer</v>
      </c>
      <c r="K4687" s="1" t="str">
        <f aca="false">VLOOKUP(C4687,Products!$A$2:$E$62,3,FALSE())</f>
        <v>Software</v>
      </c>
      <c r="L4687" s="1" t="str">
        <f aca="false">TEXT(D4687,"yyyy-mm")</f>
        <v>2024-08</v>
      </c>
    </row>
    <row r="4688" customFormat="false" ht="15" hidden="false" customHeight="true" outlineLevel="0" collapsed="false">
      <c r="A4688" s="1" t="n">
        <v>4789</v>
      </c>
      <c r="B4688" s="1" t="n">
        <v>171</v>
      </c>
      <c r="C4688" s="1" t="n">
        <v>40</v>
      </c>
      <c r="D4688" s="1" t="s">
        <v>1654</v>
      </c>
      <c r="E4688" s="1" t="n">
        <v>8</v>
      </c>
      <c r="F4688" s="1" t="n">
        <v>193.02</v>
      </c>
      <c r="G4688" s="1" t="n">
        <v>0</v>
      </c>
      <c r="H4688" s="1" t="s">
        <v>1336</v>
      </c>
      <c r="I4688" s="1" t="n">
        <v>1544.16</v>
      </c>
      <c r="J4688" s="1" t="str">
        <f aca="false">VLOOKUP(B4688,Customers!$A$2:$G$502,6,FALSE())</f>
        <v>Small Business</v>
      </c>
      <c r="K4688" s="1" t="str">
        <f aca="false">VLOOKUP(C4688,Products!$A$2:$E$62,3,FALSE())</f>
        <v>Software</v>
      </c>
      <c r="L4688" s="1" t="str">
        <f aca="false">TEXT(D4688,"yyyy-mm")</f>
        <v>2024-08</v>
      </c>
    </row>
    <row r="4689" customFormat="false" ht="15" hidden="false" customHeight="true" outlineLevel="0" collapsed="false">
      <c r="A4689" s="1" t="n">
        <v>4790</v>
      </c>
      <c r="B4689" s="1" t="n">
        <v>202</v>
      </c>
      <c r="C4689" s="1" t="n">
        <v>43</v>
      </c>
      <c r="D4689" s="1" t="s">
        <v>1601</v>
      </c>
      <c r="E4689" s="1" t="n">
        <v>7</v>
      </c>
      <c r="F4689" s="1" t="n">
        <v>186.31</v>
      </c>
      <c r="G4689" s="1" t="n">
        <v>0</v>
      </c>
      <c r="H4689" s="1" t="s">
        <v>1336</v>
      </c>
      <c r="I4689" s="1" t="n">
        <v>1304.17</v>
      </c>
      <c r="J4689" s="1" t="str">
        <f aca="false">VLOOKUP(B4689,Customers!$A$2:$G$502,6,FALSE())</f>
        <v>Corporate</v>
      </c>
      <c r="K4689" s="1" t="str">
        <f aca="false">VLOOKUP(C4689,Products!$A$2:$E$62,3,FALSE())</f>
        <v>Software</v>
      </c>
      <c r="L4689" s="1" t="str">
        <f aca="false">TEXT(D4689,"yyyy-mm")</f>
        <v>2023-10</v>
      </c>
    </row>
    <row r="4690" customFormat="false" ht="15" hidden="false" customHeight="true" outlineLevel="0" collapsed="false">
      <c r="A4690" s="1" t="n">
        <v>4791</v>
      </c>
      <c r="B4690" s="1" t="n">
        <v>4</v>
      </c>
      <c r="C4690" s="1" t="n">
        <v>2</v>
      </c>
      <c r="D4690" s="1" t="s">
        <v>1628</v>
      </c>
      <c r="E4690" s="1" t="n">
        <v>4</v>
      </c>
      <c r="F4690" s="1" t="n">
        <v>498.15</v>
      </c>
      <c r="G4690" s="1" t="n">
        <v>0</v>
      </c>
      <c r="H4690" s="1" t="s">
        <v>1370</v>
      </c>
      <c r="I4690" s="1" t="n">
        <v>1992.6</v>
      </c>
      <c r="J4690" s="1" t="str">
        <f aca="false">VLOOKUP(B4690,Customers!$A$2:$G$502,6,FALSE())</f>
        <v>Consumer</v>
      </c>
      <c r="K4690" s="1" t="str">
        <f aca="false">VLOOKUP(C4690,Products!$A$2:$E$62,3,FALSE())</f>
        <v>Electronics</v>
      </c>
      <c r="L4690" s="1" t="str">
        <f aca="false">TEXT(D4690,"yyyy-mm")</f>
        <v>2023-09</v>
      </c>
    </row>
    <row r="4691" customFormat="false" ht="15" hidden="false" customHeight="true" outlineLevel="0" collapsed="false">
      <c r="A4691" s="1" t="n">
        <v>4792</v>
      </c>
      <c r="B4691" s="1" t="n">
        <v>450</v>
      </c>
      <c r="C4691" s="1" t="n">
        <v>55</v>
      </c>
      <c r="D4691" s="1" t="s">
        <v>659</v>
      </c>
      <c r="E4691" s="1" t="n">
        <v>4</v>
      </c>
      <c r="F4691" s="1" t="n">
        <v>123.38</v>
      </c>
      <c r="G4691" s="1" t="n">
        <v>0.05</v>
      </c>
      <c r="H4691" s="1" t="s">
        <v>1336</v>
      </c>
      <c r="I4691" s="1" t="n">
        <v>468.84</v>
      </c>
      <c r="J4691" s="1" t="str">
        <f aca="false">VLOOKUP(B4691,Customers!$A$2:$G$502,6,FALSE())</f>
        <v>Consumer</v>
      </c>
      <c r="K4691" s="1" t="str">
        <f aca="false">VLOOKUP(C4691,Products!$A$2:$E$62,3,FALSE())</f>
        <v>Furniture</v>
      </c>
      <c r="L4691" s="1" t="str">
        <f aca="false">TEXT(D4691,"yyyy-mm")</f>
        <v>2024-06</v>
      </c>
    </row>
    <row r="4692" customFormat="false" ht="15" hidden="false" customHeight="true" outlineLevel="0" collapsed="false">
      <c r="A4692" s="1" t="n">
        <v>4793</v>
      </c>
      <c r="B4692" s="1" t="n">
        <v>404</v>
      </c>
      <c r="C4692" s="1" t="n">
        <v>5</v>
      </c>
      <c r="D4692" s="1" t="s">
        <v>722</v>
      </c>
      <c r="E4692" s="1" t="n">
        <v>3</v>
      </c>
      <c r="F4692" s="1" t="n">
        <v>439.06</v>
      </c>
      <c r="G4692" s="1" t="n">
        <v>0.1</v>
      </c>
      <c r="H4692" s="1" t="s">
        <v>1336</v>
      </c>
      <c r="I4692" s="1" t="n">
        <v>1185.46</v>
      </c>
      <c r="J4692" s="1" t="str">
        <f aca="false">VLOOKUP(B4692,Customers!$A$2:$G$502,6,FALSE())</f>
        <v>Corporate</v>
      </c>
      <c r="K4692" s="1" t="str">
        <f aca="false">VLOOKUP(C4692,Products!$A$2:$E$62,3,FALSE())</f>
        <v>Electronics</v>
      </c>
      <c r="L4692" s="1" t="str">
        <f aca="false">TEXT(D4692,"yyyy-mm")</f>
        <v>2024-05</v>
      </c>
    </row>
    <row r="4693" customFormat="false" ht="15" hidden="false" customHeight="true" outlineLevel="0" collapsed="false">
      <c r="A4693" s="1" t="n">
        <v>4794</v>
      </c>
      <c r="B4693" s="1" t="n">
        <v>64</v>
      </c>
      <c r="C4693" s="1" t="n">
        <v>58</v>
      </c>
      <c r="D4693" s="1" t="s">
        <v>513</v>
      </c>
      <c r="E4693" s="1" t="n">
        <v>5</v>
      </c>
      <c r="F4693" s="1" t="n">
        <v>515.55</v>
      </c>
      <c r="G4693" s="1" t="n">
        <v>0</v>
      </c>
      <c r="H4693" s="1" t="s">
        <v>1336</v>
      </c>
      <c r="I4693" s="1" t="n">
        <v>2577.75</v>
      </c>
      <c r="J4693" s="1" t="str">
        <f aca="false">VLOOKUP(B4693,Customers!$A$2:$G$502,6,FALSE())</f>
        <v>Consumer</v>
      </c>
      <c r="K4693" s="1" t="str">
        <f aca="false">VLOOKUP(C4693,Products!$A$2:$E$62,3,FALSE())</f>
        <v>Furniture</v>
      </c>
      <c r="L4693" s="1" t="str">
        <f aca="false">TEXT(D4693,"yyyy-mm")</f>
        <v>2024-12</v>
      </c>
    </row>
    <row r="4694" customFormat="false" ht="15" hidden="false" customHeight="true" outlineLevel="0" collapsed="false">
      <c r="A4694" s="1" t="n">
        <v>4795</v>
      </c>
      <c r="B4694" s="1" t="n">
        <v>386</v>
      </c>
      <c r="C4694" s="1" t="n">
        <v>15</v>
      </c>
      <c r="D4694" s="1" t="s">
        <v>1551</v>
      </c>
      <c r="E4694" s="1" t="n">
        <v>3</v>
      </c>
      <c r="F4694" s="1" t="n">
        <v>304.95</v>
      </c>
      <c r="G4694" s="1" t="n">
        <v>0.05</v>
      </c>
      <c r="H4694" s="1" t="s">
        <v>1336</v>
      </c>
      <c r="I4694" s="1" t="n">
        <v>869.11</v>
      </c>
      <c r="J4694" s="1" t="str">
        <f aca="false">VLOOKUP(B4694,Customers!$A$2:$G$502,6,FALSE())</f>
        <v>Consumer</v>
      </c>
      <c r="K4694" s="1" t="str">
        <f aca="false">VLOOKUP(C4694,Products!$A$2:$E$62,3,FALSE())</f>
        <v>Electronics</v>
      </c>
      <c r="L4694" s="1" t="str">
        <f aca="false">TEXT(D4694,"yyyy-mm")</f>
        <v>2024-03</v>
      </c>
    </row>
    <row r="4695" customFormat="false" ht="15" hidden="false" customHeight="true" outlineLevel="0" collapsed="false">
      <c r="A4695" s="1" t="n">
        <v>4796</v>
      </c>
      <c r="B4695" s="1" t="n">
        <v>66</v>
      </c>
      <c r="C4695" s="1" t="n">
        <v>59</v>
      </c>
      <c r="D4695" s="1" t="s">
        <v>1544</v>
      </c>
      <c r="E4695" s="1" t="n">
        <v>8</v>
      </c>
      <c r="F4695" s="1" t="n">
        <v>438.89</v>
      </c>
      <c r="G4695" s="1" t="n">
        <v>0.15</v>
      </c>
      <c r="H4695" s="1" t="s">
        <v>1336</v>
      </c>
      <c r="I4695" s="1" t="n">
        <v>2984.45</v>
      </c>
      <c r="J4695" s="1" t="str">
        <f aca="false">VLOOKUP(B4695,Customers!$A$2:$G$502,6,FALSE())</f>
        <v>Corporate</v>
      </c>
      <c r="K4695" s="1" t="str">
        <f aca="false">VLOOKUP(C4695,Products!$A$2:$E$62,3,FALSE())</f>
        <v>Furniture</v>
      </c>
      <c r="L4695" s="1" t="str">
        <f aca="false">TEXT(D4695,"yyyy-mm")</f>
        <v>2024-05</v>
      </c>
    </row>
    <row r="4696" customFormat="false" ht="15" hidden="false" customHeight="true" outlineLevel="0" collapsed="false">
      <c r="A4696" s="1" t="n">
        <v>4797</v>
      </c>
      <c r="B4696" s="1" t="n">
        <v>248</v>
      </c>
      <c r="C4696" s="1" t="n">
        <v>58</v>
      </c>
      <c r="D4696" s="1" t="s">
        <v>489</v>
      </c>
      <c r="E4696" s="1" t="n">
        <v>7</v>
      </c>
      <c r="F4696" s="1" t="n">
        <v>515.55</v>
      </c>
      <c r="G4696" s="1" t="n">
        <v>0</v>
      </c>
      <c r="H4696" s="1" t="s">
        <v>1336</v>
      </c>
      <c r="I4696" s="1" t="n">
        <v>3608.85</v>
      </c>
      <c r="J4696" s="1" t="str">
        <f aca="false">VLOOKUP(B4696,Customers!$A$2:$G$502,6,FALSE())</f>
        <v>Small Business</v>
      </c>
      <c r="K4696" s="1" t="str">
        <f aca="false">VLOOKUP(C4696,Products!$A$2:$E$62,3,FALSE())</f>
        <v>Furniture</v>
      </c>
      <c r="L4696" s="1" t="str">
        <f aca="false">TEXT(D4696,"yyyy-mm")</f>
        <v>2024-12</v>
      </c>
    </row>
    <row r="4697" customFormat="false" ht="15" hidden="false" customHeight="true" outlineLevel="0" collapsed="false">
      <c r="A4697" s="1" t="n">
        <v>4798</v>
      </c>
      <c r="B4697" s="1" t="n">
        <v>22</v>
      </c>
      <c r="C4697" s="1" t="n">
        <v>44</v>
      </c>
      <c r="D4697" s="1" t="s">
        <v>266</v>
      </c>
      <c r="E4697" s="1" t="n">
        <v>3</v>
      </c>
      <c r="F4697" s="1" t="n">
        <v>508.26</v>
      </c>
      <c r="G4697" s="1" t="n">
        <v>0</v>
      </c>
      <c r="H4697" s="1" t="s">
        <v>1336</v>
      </c>
      <c r="I4697" s="1" t="n">
        <v>1524.78</v>
      </c>
      <c r="J4697" s="1" t="str">
        <f aca="false">VLOOKUP(B4697,Customers!$A$2:$G$502,6,FALSE())</f>
        <v>Consumer</v>
      </c>
      <c r="K4697" s="1" t="str">
        <f aca="false">VLOOKUP(C4697,Products!$A$2:$E$62,3,FALSE())</f>
        <v>Software</v>
      </c>
      <c r="L4697" s="1" t="str">
        <f aca="false">TEXT(D4697,"yyyy-mm")</f>
        <v>2023-09</v>
      </c>
    </row>
    <row r="4698" customFormat="false" ht="15" hidden="false" customHeight="true" outlineLevel="0" collapsed="false">
      <c r="A4698" s="1" t="n">
        <v>4799</v>
      </c>
      <c r="B4698" s="1" t="n">
        <v>301</v>
      </c>
      <c r="C4698" s="1" t="n">
        <v>40</v>
      </c>
      <c r="D4698" s="1" t="s">
        <v>1425</v>
      </c>
      <c r="E4698" s="1" t="n">
        <v>9</v>
      </c>
      <c r="F4698" s="1" t="n">
        <v>193.02</v>
      </c>
      <c r="G4698" s="1" t="n">
        <v>0.2</v>
      </c>
      <c r="H4698" s="1" t="s">
        <v>1336</v>
      </c>
      <c r="I4698" s="1" t="n">
        <v>1389.74</v>
      </c>
      <c r="J4698" s="1" t="str">
        <f aca="false">VLOOKUP(B4698,Customers!$A$2:$G$502,6,FALSE())</f>
        <v>Corporate</v>
      </c>
      <c r="K4698" s="1" t="str">
        <f aca="false">VLOOKUP(C4698,Products!$A$2:$E$62,3,FALSE())</f>
        <v>Software</v>
      </c>
      <c r="L4698" s="1" t="str">
        <f aca="false">TEXT(D4698,"yyyy-mm")</f>
        <v>2023-05</v>
      </c>
    </row>
    <row r="4699" customFormat="false" ht="15" hidden="false" customHeight="true" outlineLevel="0" collapsed="false">
      <c r="A4699" s="1" t="n">
        <v>4800</v>
      </c>
      <c r="B4699" s="1" t="n">
        <v>166</v>
      </c>
      <c r="C4699" s="1" t="n">
        <v>54</v>
      </c>
      <c r="D4699" s="1" t="s">
        <v>769</v>
      </c>
      <c r="E4699" s="1" t="n">
        <v>5</v>
      </c>
      <c r="F4699" s="1" t="n">
        <v>312.01</v>
      </c>
      <c r="G4699" s="1" t="n">
        <v>0.05</v>
      </c>
      <c r="H4699" s="1" t="s">
        <v>1336</v>
      </c>
      <c r="I4699" s="1" t="n">
        <v>1482.05</v>
      </c>
      <c r="J4699" s="1" t="str">
        <f aca="false">VLOOKUP(B4699,Customers!$A$2:$G$502,6,FALSE())</f>
        <v>Small Business</v>
      </c>
      <c r="K4699" s="1" t="str">
        <f aca="false">VLOOKUP(C4699,Products!$A$2:$E$62,3,FALSE())</f>
        <v>Software</v>
      </c>
      <c r="L4699" s="1" t="str">
        <f aca="false">TEXT(D4699,"yyyy-mm")</f>
        <v>2023-07</v>
      </c>
    </row>
    <row r="4700" customFormat="false" ht="15" hidden="false" customHeight="true" outlineLevel="0" collapsed="false">
      <c r="A4700" s="1" t="n">
        <v>4801</v>
      </c>
      <c r="B4700" s="1" t="n">
        <v>342</v>
      </c>
      <c r="C4700" s="1" t="n">
        <v>56</v>
      </c>
      <c r="D4700" s="1" t="s">
        <v>516</v>
      </c>
      <c r="E4700" s="1" t="n">
        <v>9</v>
      </c>
      <c r="F4700" s="1" t="n">
        <v>160.64</v>
      </c>
      <c r="G4700" s="1" t="n">
        <v>0.2</v>
      </c>
      <c r="H4700" s="1" t="s">
        <v>1336</v>
      </c>
      <c r="I4700" s="1" t="n">
        <v>1156.61</v>
      </c>
      <c r="J4700" s="1" t="str">
        <f aca="false">VLOOKUP(B4700,Customers!$A$2:$G$502,6,FALSE())</f>
        <v>Small Business</v>
      </c>
      <c r="K4700" s="1" t="str">
        <f aca="false">VLOOKUP(C4700,Products!$A$2:$E$62,3,FALSE())</f>
        <v>Furniture</v>
      </c>
      <c r="L4700" s="1" t="str">
        <f aca="false">TEXT(D4700,"yyyy-mm")</f>
        <v>2023-07</v>
      </c>
    </row>
    <row r="4701" customFormat="false" ht="15" hidden="false" customHeight="true" outlineLevel="0" collapsed="false">
      <c r="A4701" s="1" t="n">
        <v>4802</v>
      </c>
      <c r="B4701" s="1" t="n">
        <v>258</v>
      </c>
      <c r="C4701" s="1" t="n">
        <v>22</v>
      </c>
      <c r="D4701" s="1" t="s">
        <v>915</v>
      </c>
      <c r="E4701" s="1" t="n">
        <v>7</v>
      </c>
      <c r="F4701" s="1" t="n">
        <v>38.57</v>
      </c>
      <c r="G4701" s="1" t="n">
        <v>0</v>
      </c>
      <c r="H4701" s="1" t="s">
        <v>1336</v>
      </c>
      <c r="I4701" s="1" t="n">
        <v>269.99</v>
      </c>
      <c r="J4701" s="1" t="str">
        <f aca="false">VLOOKUP(B4701,Customers!$A$2:$G$502,6,FALSE())</f>
        <v>Small Business</v>
      </c>
      <c r="K4701" s="1" t="str">
        <f aca="false">VLOOKUP(C4701,Products!$A$2:$E$62,3,FALSE())</f>
        <v>Office Supplies</v>
      </c>
      <c r="L4701" s="1" t="str">
        <f aca="false">TEXT(D4701,"yyyy-mm")</f>
        <v>2023-04</v>
      </c>
    </row>
    <row r="4702" customFormat="false" ht="15" hidden="false" customHeight="true" outlineLevel="0" collapsed="false">
      <c r="A4702" s="1" t="n">
        <v>4803</v>
      </c>
      <c r="B4702" s="1" t="n">
        <v>261</v>
      </c>
      <c r="C4702" s="1" t="n">
        <v>5</v>
      </c>
      <c r="D4702" s="1" t="s">
        <v>1512</v>
      </c>
      <c r="E4702" s="1" t="n">
        <v>7</v>
      </c>
      <c r="F4702" s="1" t="n">
        <v>439.06</v>
      </c>
      <c r="G4702" s="1" t="n">
        <v>0</v>
      </c>
      <c r="H4702" s="1" t="s">
        <v>1336</v>
      </c>
      <c r="I4702" s="1" t="n">
        <v>3073.42</v>
      </c>
      <c r="J4702" s="1" t="str">
        <f aca="false">VLOOKUP(B4702,Customers!$A$2:$G$502,6,FALSE())</f>
        <v>Consumer</v>
      </c>
      <c r="K4702" s="1" t="str">
        <f aca="false">VLOOKUP(C4702,Products!$A$2:$E$62,3,FALSE())</f>
        <v>Electronics</v>
      </c>
      <c r="L4702" s="1" t="str">
        <f aca="false">TEXT(D4702,"yyyy-mm")</f>
        <v>2023-12</v>
      </c>
    </row>
    <row r="4703" customFormat="false" ht="15" hidden="false" customHeight="true" outlineLevel="0" collapsed="false">
      <c r="A4703" s="1" t="n">
        <v>4804</v>
      </c>
      <c r="B4703" s="1" t="n">
        <v>347</v>
      </c>
      <c r="C4703" s="1" t="n">
        <v>27</v>
      </c>
      <c r="D4703" s="1" t="s">
        <v>1458</v>
      </c>
      <c r="E4703" s="1" t="n">
        <v>6</v>
      </c>
      <c r="F4703" s="1" t="n">
        <v>772.58</v>
      </c>
      <c r="G4703" s="1" t="n">
        <v>0.2</v>
      </c>
      <c r="H4703" s="1" t="s">
        <v>1336</v>
      </c>
      <c r="I4703" s="1" t="n">
        <v>3708.38</v>
      </c>
      <c r="J4703" s="1" t="str">
        <f aca="false">VLOOKUP(B4703,Customers!$A$2:$G$502,6,FALSE())</f>
        <v>Small Business</v>
      </c>
      <c r="K4703" s="1" t="str">
        <f aca="false">VLOOKUP(C4703,Products!$A$2:$E$62,3,FALSE())</f>
        <v>Office Supplies</v>
      </c>
      <c r="L4703" s="1" t="str">
        <f aca="false">TEXT(D4703,"yyyy-mm")</f>
        <v>2023-03</v>
      </c>
    </row>
    <row r="4704" customFormat="false" ht="15" hidden="false" customHeight="true" outlineLevel="0" collapsed="false">
      <c r="A4704" s="1" t="n">
        <v>4805</v>
      </c>
      <c r="B4704" s="1" t="n">
        <v>23</v>
      </c>
      <c r="C4704" s="1" t="n">
        <v>37</v>
      </c>
      <c r="D4704" s="1" t="s">
        <v>626</v>
      </c>
      <c r="E4704" s="1" t="n">
        <v>2</v>
      </c>
      <c r="F4704" s="1" t="n">
        <v>13.95</v>
      </c>
      <c r="G4704" s="1" t="n">
        <v>0.05</v>
      </c>
      <c r="H4704" s="1" t="s">
        <v>1346</v>
      </c>
      <c r="I4704" s="1" t="n">
        <v>26.5</v>
      </c>
      <c r="J4704" s="1" t="str">
        <f aca="false">VLOOKUP(B4704,Customers!$A$2:$G$502,6,FALSE())</f>
        <v>Corporate</v>
      </c>
      <c r="K4704" s="1" t="str">
        <f aca="false">VLOOKUP(C4704,Products!$A$2:$E$62,3,FALSE())</f>
        <v>Software</v>
      </c>
      <c r="L4704" s="1" t="str">
        <f aca="false">TEXT(D4704,"yyyy-mm")</f>
        <v>2023-09</v>
      </c>
    </row>
    <row r="4705" customFormat="false" ht="15" hidden="false" customHeight="true" outlineLevel="0" collapsed="false">
      <c r="A4705" s="1" t="n">
        <v>4806</v>
      </c>
      <c r="B4705" s="1" t="n">
        <v>175</v>
      </c>
      <c r="C4705" s="1" t="n">
        <v>37</v>
      </c>
      <c r="D4705" s="1" t="s">
        <v>1430</v>
      </c>
      <c r="E4705" s="1" t="n">
        <v>9</v>
      </c>
      <c r="F4705" s="1" t="n">
        <v>13.95</v>
      </c>
      <c r="G4705" s="1" t="n">
        <v>0</v>
      </c>
      <c r="H4705" s="1" t="s">
        <v>1336</v>
      </c>
      <c r="I4705" s="1" t="n">
        <v>125.55</v>
      </c>
      <c r="J4705" s="1" t="str">
        <f aca="false">VLOOKUP(B4705,Customers!$A$2:$G$502,6,FALSE())</f>
        <v>Consumer</v>
      </c>
      <c r="K4705" s="1" t="str">
        <f aca="false">VLOOKUP(C4705,Products!$A$2:$E$62,3,FALSE())</f>
        <v>Software</v>
      </c>
      <c r="L4705" s="1" t="str">
        <f aca="false">TEXT(D4705,"yyyy-mm")</f>
        <v>2024-01</v>
      </c>
    </row>
    <row r="4706" customFormat="false" ht="15" hidden="false" customHeight="true" outlineLevel="0" collapsed="false">
      <c r="A4706" s="1" t="n">
        <v>4807</v>
      </c>
      <c r="B4706" s="1" t="n">
        <v>107</v>
      </c>
      <c r="C4706" s="1" t="n">
        <v>38</v>
      </c>
      <c r="D4706" s="1" t="s">
        <v>1422</v>
      </c>
      <c r="E4706" s="1" t="n">
        <v>6</v>
      </c>
      <c r="F4706" s="1" t="n">
        <v>521.63</v>
      </c>
      <c r="G4706" s="1" t="n">
        <v>0.05</v>
      </c>
      <c r="H4706" s="1" t="s">
        <v>1370</v>
      </c>
      <c r="I4706" s="1" t="n">
        <v>2973.29</v>
      </c>
      <c r="J4706" s="1" t="str">
        <f aca="false">VLOOKUP(B4706,Customers!$A$2:$G$502,6,FALSE())</f>
        <v>Consumer</v>
      </c>
      <c r="K4706" s="1" t="str">
        <f aca="false">VLOOKUP(C4706,Products!$A$2:$E$62,3,FALSE())</f>
        <v>Software</v>
      </c>
      <c r="L4706" s="1" t="str">
        <f aca="false">TEXT(D4706,"yyyy-mm")</f>
        <v>2023-12</v>
      </c>
    </row>
    <row r="4707" customFormat="false" ht="15" hidden="false" customHeight="true" outlineLevel="0" collapsed="false">
      <c r="A4707" s="1" t="n">
        <v>4808</v>
      </c>
      <c r="B4707" s="1" t="n">
        <v>39</v>
      </c>
      <c r="C4707" s="1" t="n">
        <v>33</v>
      </c>
      <c r="D4707" s="1" t="s">
        <v>1651</v>
      </c>
      <c r="E4707" s="1" t="n">
        <v>8</v>
      </c>
      <c r="F4707" s="1" t="n">
        <v>190.1</v>
      </c>
      <c r="G4707" s="1" t="n">
        <v>0</v>
      </c>
      <c r="H4707" s="1" t="s">
        <v>1336</v>
      </c>
      <c r="I4707" s="1" t="n">
        <v>1520.8</v>
      </c>
      <c r="J4707" s="1" t="str">
        <f aca="false">VLOOKUP(B4707,Customers!$A$2:$G$502,6,FALSE())</f>
        <v>Corporate</v>
      </c>
      <c r="K4707" s="1" t="str">
        <f aca="false">VLOOKUP(C4707,Products!$A$2:$E$62,3,FALSE())</f>
        <v>Office Supplies</v>
      </c>
      <c r="L4707" s="1" t="str">
        <f aca="false">TEXT(D4707,"yyyy-mm")</f>
        <v>2023-06</v>
      </c>
    </row>
    <row r="4708" customFormat="false" ht="15" hidden="false" customHeight="true" outlineLevel="0" collapsed="false">
      <c r="A4708" s="1" t="n">
        <v>4809</v>
      </c>
      <c r="B4708" s="1" t="n">
        <v>75</v>
      </c>
      <c r="C4708" s="1" t="n">
        <v>42</v>
      </c>
      <c r="D4708" s="1" t="s">
        <v>303</v>
      </c>
      <c r="E4708" s="1" t="n">
        <v>1</v>
      </c>
      <c r="F4708" s="1" t="n">
        <v>174.48</v>
      </c>
      <c r="G4708" s="1" t="n">
        <v>0.05</v>
      </c>
      <c r="H4708" s="1" t="s">
        <v>1346</v>
      </c>
      <c r="I4708" s="1" t="n">
        <v>165.76</v>
      </c>
      <c r="J4708" s="1" t="str">
        <f aca="false">VLOOKUP(B4708,Customers!$A$2:$G$502,6,FALSE())</f>
        <v>Consumer</v>
      </c>
      <c r="K4708" s="1" t="str">
        <f aca="false">VLOOKUP(C4708,Products!$A$2:$E$62,3,FALSE())</f>
        <v>Software</v>
      </c>
      <c r="L4708" s="1" t="str">
        <f aca="false">TEXT(D4708,"yyyy-mm")</f>
        <v>2024-12</v>
      </c>
    </row>
    <row r="4709" customFormat="false" ht="15" hidden="false" customHeight="true" outlineLevel="0" collapsed="false">
      <c r="A4709" s="1" t="n">
        <v>4810</v>
      </c>
      <c r="B4709" s="1" t="n">
        <v>430</v>
      </c>
      <c r="C4709" s="1" t="n">
        <v>49</v>
      </c>
      <c r="D4709" s="1" t="s">
        <v>1653</v>
      </c>
      <c r="E4709" s="1" t="n">
        <v>5</v>
      </c>
      <c r="F4709" s="1" t="n">
        <v>325.17</v>
      </c>
      <c r="G4709" s="1" t="n">
        <v>0.05</v>
      </c>
      <c r="H4709" s="1" t="s">
        <v>1336</v>
      </c>
      <c r="I4709" s="1" t="n">
        <v>1544.56</v>
      </c>
      <c r="J4709" s="1" t="str">
        <f aca="false">VLOOKUP(B4709,Customers!$A$2:$G$502,6,FALSE())</f>
        <v>Corporate</v>
      </c>
      <c r="K4709" s="1" t="str">
        <f aca="false">VLOOKUP(C4709,Products!$A$2:$E$62,3,FALSE())</f>
        <v>Software</v>
      </c>
      <c r="L4709" s="1" t="str">
        <f aca="false">TEXT(D4709,"yyyy-mm")</f>
        <v>2024-12</v>
      </c>
    </row>
    <row r="4710" customFormat="false" ht="15" hidden="false" customHeight="true" outlineLevel="0" collapsed="false">
      <c r="A4710" s="1" t="n">
        <v>4811</v>
      </c>
      <c r="B4710" s="1" t="n">
        <v>424</v>
      </c>
      <c r="C4710" s="1" t="n">
        <v>33</v>
      </c>
      <c r="D4710" s="1" t="s">
        <v>1484</v>
      </c>
      <c r="E4710" s="1" t="n">
        <v>1</v>
      </c>
      <c r="F4710" s="1" t="n">
        <v>190.1</v>
      </c>
      <c r="G4710" s="1" t="n">
        <v>0.1</v>
      </c>
      <c r="H4710" s="1" t="s">
        <v>1370</v>
      </c>
      <c r="I4710" s="1" t="n">
        <v>171.09</v>
      </c>
      <c r="J4710" s="1" t="str">
        <f aca="false">VLOOKUP(B4710,Customers!$A$2:$G$502,6,FALSE())</f>
        <v>Small Business</v>
      </c>
      <c r="K4710" s="1" t="str">
        <f aca="false">VLOOKUP(C4710,Products!$A$2:$E$62,3,FALSE())</f>
        <v>Office Supplies</v>
      </c>
      <c r="L4710" s="1" t="str">
        <f aca="false">TEXT(D4710,"yyyy-mm")</f>
        <v>2024-10</v>
      </c>
    </row>
    <row r="4711" customFormat="false" ht="15" hidden="false" customHeight="true" outlineLevel="0" collapsed="false">
      <c r="A4711" s="1" t="n">
        <v>4812</v>
      </c>
      <c r="B4711" s="1" t="n">
        <v>115</v>
      </c>
      <c r="C4711" s="1" t="n">
        <v>4</v>
      </c>
      <c r="D4711" s="1" t="s">
        <v>1512</v>
      </c>
      <c r="E4711" s="1" t="n">
        <v>8</v>
      </c>
      <c r="F4711" s="1" t="n">
        <v>56.24</v>
      </c>
      <c r="G4711" s="1" t="n">
        <v>0</v>
      </c>
      <c r="H4711" s="1" t="s">
        <v>1336</v>
      </c>
      <c r="I4711" s="1" t="n">
        <v>449.92</v>
      </c>
      <c r="J4711" s="1" t="str">
        <f aca="false">VLOOKUP(B4711,Customers!$A$2:$G$502,6,FALSE())</f>
        <v>Small Business</v>
      </c>
      <c r="K4711" s="1" t="str">
        <f aca="false">VLOOKUP(C4711,Products!$A$2:$E$62,3,FALSE())</f>
        <v>Electronics</v>
      </c>
      <c r="L4711" s="1" t="str">
        <f aca="false">TEXT(D4711,"yyyy-mm")</f>
        <v>2023-12</v>
      </c>
    </row>
    <row r="4712" customFormat="false" ht="15" hidden="false" customHeight="true" outlineLevel="0" collapsed="false">
      <c r="A4712" s="1" t="n">
        <v>4813</v>
      </c>
      <c r="B4712" s="1" t="n">
        <v>449</v>
      </c>
      <c r="C4712" s="1" t="n">
        <v>54</v>
      </c>
      <c r="D4712" s="1" t="s">
        <v>1491</v>
      </c>
      <c r="E4712" s="1" t="n">
        <v>8</v>
      </c>
      <c r="F4712" s="1" t="n">
        <v>312.01</v>
      </c>
      <c r="G4712" s="1" t="n">
        <v>0</v>
      </c>
      <c r="H4712" s="1" t="s">
        <v>1336</v>
      </c>
      <c r="I4712" s="1" t="n">
        <v>2496.08</v>
      </c>
      <c r="J4712" s="1" t="str">
        <f aca="false">VLOOKUP(B4712,Customers!$A$2:$G$502,6,FALSE())</f>
        <v>Corporate</v>
      </c>
      <c r="K4712" s="1" t="str">
        <f aca="false">VLOOKUP(C4712,Products!$A$2:$E$62,3,FALSE())</f>
        <v>Software</v>
      </c>
      <c r="L4712" s="1" t="str">
        <f aca="false">TEXT(D4712,"yyyy-mm")</f>
        <v>2023-07</v>
      </c>
    </row>
    <row r="4713" customFormat="false" ht="15" hidden="false" customHeight="true" outlineLevel="0" collapsed="false">
      <c r="A4713" s="1" t="n">
        <v>4814</v>
      </c>
      <c r="B4713" s="1" t="n">
        <v>69</v>
      </c>
      <c r="C4713" s="1" t="n">
        <v>16</v>
      </c>
      <c r="D4713" s="1" t="s">
        <v>1696</v>
      </c>
      <c r="E4713" s="1" t="n">
        <v>1</v>
      </c>
      <c r="F4713" s="1" t="n">
        <v>330.91</v>
      </c>
      <c r="G4713" s="1" t="n">
        <v>0</v>
      </c>
      <c r="H4713" s="1" t="s">
        <v>1336</v>
      </c>
      <c r="I4713" s="1" t="n">
        <v>330.91</v>
      </c>
      <c r="J4713" s="1" t="str">
        <f aca="false">VLOOKUP(B4713,Customers!$A$2:$G$502,6,FALSE())</f>
        <v>Corporate</v>
      </c>
      <c r="K4713" s="1" t="str">
        <f aca="false">VLOOKUP(C4713,Products!$A$2:$E$62,3,FALSE())</f>
        <v>Electronics</v>
      </c>
      <c r="L4713" s="1" t="str">
        <f aca="false">TEXT(D4713,"yyyy-mm")</f>
        <v>2023-01</v>
      </c>
    </row>
    <row r="4714" customFormat="false" ht="15" hidden="false" customHeight="true" outlineLevel="0" collapsed="false">
      <c r="A4714" s="1" t="n">
        <v>4815</v>
      </c>
      <c r="B4714" s="1" t="n">
        <v>6</v>
      </c>
      <c r="C4714" s="1" t="n">
        <v>8</v>
      </c>
      <c r="D4714" s="1" t="s">
        <v>1036</v>
      </c>
      <c r="E4714" s="1" t="n">
        <v>9</v>
      </c>
      <c r="F4714" s="1" t="n">
        <v>104.4</v>
      </c>
      <c r="G4714" s="1" t="n">
        <v>0.05</v>
      </c>
      <c r="H4714" s="1" t="s">
        <v>1336</v>
      </c>
      <c r="I4714" s="1" t="n">
        <v>892.62</v>
      </c>
      <c r="J4714" s="1" t="str">
        <f aca="false">VLOOKUP(B4714,Customers!$A$2:$G$502,6,FALSE())</f>
        <v>Corporate</v>
      </c>
      <c r="K4714" s="1" t="str">
        <f aca="false">VLOOKUP(C4714,Products!$A$2:$E$62,3,FALSE())</f>
        <v>Electronics</v>
      </c>
      <c r="L4714" s="1" t="str">
        <f aca="false">TEXT(D4714,"yyyy-mm")</f>
        <v>2024-05</v>
      </c>
    </row>
    <row r="4715" customFormat="false" ht="15" hidden="false" customHeight="true" outlineLevel="0" collapsed="false">
      <c r="A4715" s="1" t="n">
        <v>4816</v>
      </c>
      <c r="B4715" s="1" t="n">
        <v>258</v>
      </c>
      <c r="C4715" s="1" t="n">
        <v>56</v>
      </c>
      <c r="D4715" s="1" t="s">
        <v>1592</v>
      </c>
      <c r="E4715" s="1" t="n">
        <v>2</v>
      </c>
      <c r="F4715" s="1" t="n">
        <v>160.64</v>
      </c>
      <c r="G4715" s="1" t="n">
        <v>0</v>
      </c>
      <c r="H4715" s="1" t="s">
        <v>1336</v>
      </c>
      <c r="I4715" s="1" t="n">
        <v>321.28</v>
      </c>
      <c r="J4715" s="1" t="str">
        <f aca="false">VLOOKUP(B4715,Customers!$A$2:$G$502,6,FALSE())</f>
        <v>Small Business</v>
      </c>
      <c r="K4715" s="1" t="str">
        <f aca="false">VLOOKUP(C4715,Products!$A$2:$E$62,3,FALSE())</f>
        <v>Furniture</v>
      </c>
      <c r="L4715" s="1" t="str">
        <f aca="false">TEXT(D4715,"yyyy-mm")</f>
        <v>2024-03</v>
      </c>
    </row>
    <row r="4716" customFormat="false" ht="15" hidden="false" customHeight="true" outlineLevel="0" collapsed="false">
      <c r="A4716" s="1" t="n">
        <v>4817</v>
      </c>
      <c r="B4716" s="1" t="n">
        <v>342</v>
      </c>
      <c r="C4716" s="1" t="n">
        <v>23</v>
      </c>
      <c r="D4716" s="1" t="s">
        <v>1043</v>
      </c>
      <c r="E4716" s="1" t="n">
        <v>9</v>
      </c>
      <c r="F4716" s="1" t="n">
        <v>188.73</v>
      </c>
      <c r="G4716" s="1" t="n">
        <v>0.2</v>
      </c>
      <c r="H4716" s="1" t="s">
        <v>1336</v>
      </c>
      <c r="I4716" s="1" t="n">
        <v>1358.86</v>
      </c>
      <c r="J4716" s="1" t="str">
        <f aca="false">VLOOKUP(B4716,Customers!$A$2:$G$502,6,FALSE())</f>
        <v>Small Business</v>
      </c>
      <c r="K4716" s="1" t="str">
        <f aca="false">VLOOKUP(C4716,Products!$A$2:$E$62,3,FALSE())</f>
        <v>Office Supplies</v>
      </c>
      <c r="L4716" s="1" t="str">
        <f aca="false">TEXT(D4716,"yyyy-mm")</f>
        <v>2023-08</v>
      </c>
    </row>
    <row r="4717" customFormat="false" ht="15" hidden="false" customHeight="true" outlineLevel="0" collapsed="false">
      <c r="A4717" s="1" t="n">
        <v>4818</v>
      </c>
      <c r="B4717" s="1" t="n">
        <v>212</v>
      </c>
      <c r="C4717" s="1" t="n">
        <v>13</v>
      </c>
      <c r="D4717" s="1" t="s">
        <v>292</v>
      </c>
      <c r="E4717" s="1" t="n">
        <v>1</v>
      </c>
      <c r="F4717" s="1" t="n">
        <v>352.54</v>
      </c>
      <c r="G4717" s="1" t="n">
        <v>0.05</v>
      </c>
      <c r="H4717" s="1" t="s">
        <v>1336</v>
      </c>
      <c r="I4717" s="1" t="n">
        <v>334.91</v>
      </c>
      <c r="J4717" s="1" t="str">
        <f aca="false">VLOOKUP(B4717,Customers!$A$2:$G$502,6,FALSE())</f>
        <v>Consumer</v>
      </c>
      <c r="K4717" s="1" t="str">
        <f aca="false">VLOOKUP(C4717,Products!$A$2:$E$62,3,FALSE())</f>
        <v>Electronics</v>
      </c>
      <c r="L4717" s="1" t="str">
        <f aca="false">TEXT(D4717,"yyyy-mm")</f>
        <v>2023-12</v>
      </c>
    </row>
    <row r="4718" customFormat="false" ht="15" hidden="false" customHeight="true" outlineLevel="0" collapsed="false">
      <c r="A4718" s="1" t="n">
        <v>4820</v>
      </c>
      <c r="B4718" s="1" t="n">
        <v>153</v>
      </c>
      <c r="C4718" s="1" t="n">
        <v>57</v>
      </c>
      <c r="D4718" s="1" t="s">
        <v>586</v>
      </c>
      <c r="E4718" s="1" t="n">
        <v>4</v>
      </c>
      <c r="F4718" s="1" t="n">
        <v>719.76</v>
      </c>
      <c r="G4718" s="1" t="n">
        <v>0.2</v>
      </c>
      <c r="H4718" s="1" t="s">
        <v>1370</v>
      </c>
      <c r="I4718" s="1" t="n">
        <v>2303.23</v>
      </c>
      <c r="J4718" s="1" t="str">
        <f aca="false">VLOOKUP(B4718,Customers!$A$2:$G$502,6,FALSE())</f>
        <v>Corporate</v>
      </c>
      <c r="K4718" s="1" t="str">
        <f aca="false">VLOOKUP(C4718,Products!$A$2:$E$62,3,FALSE())</f>
        <v>Furniture</v>
      </c>
      <c r="L4718" s="1" t="str">
        <f aca="false">TEXT(D4718,"yyyy-mm")</f>
        <v>2023-01</v>
      </c>
    </row>
    <row r="4719" customFormat="false" ht="15" hidden="false" customHeight="true" outlineLevel="0" collapsed="false">
      <c r="A4719" s="1" t="n">
        <v>4821</v>
      </c>
      <c r="B4719" s="1" t="n">
        <v>105</v>
      </c>
      <c r="C4719" s="1" t="n">
        <v>2</v>
      </c>
      <c r="D4719" s="1" t="s">
        <v>18</v>
      </c>
      <c r="E4719" s="1" t="n">
        <v>9</v>
      </c>
      <c r="F4719" s="1" t="n">
        <v>498.15</v>
      </c>
      <c r="G4719" s="1" t="n">
        <v>0.2</v>
      </c>
      <c r="H4719" s="1" t="s">
        <v>1336</v>
      </c>
      <c r="I4719" s="1" t="n">
        <v>3586.68</v>
      </c>
      <c r="J4719" s="1" t="str">
        <f aca="false">VLOOKUP(B4719,Customers!$A$2:$G$502,6,FALSE())</f>
        <v>Corporate</v>
      </c>
      <c r="K4719" s="1" t="str">
        <f aca="false">VLOOKUP(C4719,Products!$A$2:$E$62,3,FALSE())</f>
        <v>Electronics</v>
      </c>
      <c r="L4719" s="1" t="str">
        <f aca="false">TEXT(D4719,"yyyy-mm")</f>
        <v>2023-08</v>
      </c>
    </row>
    <row r="4720" customFormat="false" ht="15" hidden="false" customHeight="true" outlineLevel="0" collapsed="false">
      <c r="A4720" s="1" t="n">
        <v>4822</v>
      </c>
      <c r="B4720" s="1" t="n">
        <v>443</v>
      </c>
      <c r="C4720" s="1" t="n">
        <v>45</v>
      </c>
      <c r="D4720" s="1" t="s">
        <v>1678</v>
      </c>
      <c r="E4720" s="1" t="n">
        <v>7</v>
      </c>
      <c r="F4720" s="1" t="n">
        <v>560.01</v>
      </c>
      <c r="G4720" s="1" t="n">
        <v>0</v>
      </c>
      <c r="H4720" s="1" t="s">
        <v>1336</v>
      </c>
      <c r="I4720" s="1" t="n">
        <v>3920.07</v>
      </c>
      <c r="J4720" s="1" t="str">
        <f aca="false">VLOOKUP(B4720,Customers!$A$2:$G$502,6,FALSE())</f>
        <v>Consumer</v>
      </c>
      <c r="K4720" s="1" t="str">
        <f aca="false">VLOOKUP(C4720,Products!$A$2:$E$62,3,FALSE())</f>
        <v>Software</v>
      </c>
      <c r="L4720" s="1" t="str">
        <f aca="false">TEXT(D4720,"yyyy-mm")</f>
        <v>2024-01</v>
      </c>
    </row>
    <row r="4721" customFormat="false" ht="15" hidden="false" customHeight="true" outlineLevel="0" collapsed="false">
      <c r="A4721" s="1" t="n">
        <v>4824</v>
      </c>
      <c r="B4721" s="1" t="n">
        <v>125</v>
      </c>
      <c r="C4721" s="1" t="n">
        <v>54</v>
      </c>
      <c r="D4721" s="1" t="s">
        <v>1154</v>
      </c>
      <c r="E4721" s="1" t="n">
        <v>5</v>
      </c>
      <c r="F4721" s="1" t="n">
        <v>312.01</v>
      </c>
      <c r="G4721" s="1" t="n">
        <v>0</v>
      </c>
      <c r="H4721" s="1" t="s">
        <v>1336</v>
      </c>
      <c r="I4721" s="1" t="n">
        <v>1560.05</v>
      </c>
      <c r="J4721" s="1" t="str">
        <f aca="false">VLOOKUP(B4721,Customers!$A$2:$G$502,6,FALSE())</f>
        <v>Small Business</v>
      </c>
      <c r="K4721" s="1" t="str">
        <f aca="false">VLOOKUP(C4721,Products!$A$2:$E$62,3,FALSE())</f>
        <v>Software</v>
      </c>
      <c r="L4721" s="1" t="str">
        <f aca="false">TEXT(D4721,"yyyy-mm")</f>
        <v>2024-07</v>
      </c>
    </row>
    <row r="4722" customFormat="false" ht="15" hidden="false" customHeight="true" outlineLevel="0" collapsed="false">
      <c r="A4722" s="1" t="n">
        <v>4825</v>
      </c>
      <c r="B4722" s="1" t="n">
        <v>299</v>
      </c>
      <c r="C4722" s="1" t="n">
        <v>22</v>
      </c>
      <c r="D4722" s="1" t="s">
        <v>136</v>
      </c>
      <c r="E4722" s="1" t="n">
        <v>9</v>
      </c>
      <c r="F4722" s="1" t="n">
        <v>38.57</v>
      </c>
      <c r="G4722" s="1" t="n">
        <v>0.15</v>
      </c>
      <c r="H4722" s="1" t="s">
        <v>1370</v>
      </c>
      <c r="I4722" s="1" t="n">
        <v>295.06</v>
      </c>
      <c r="J4722" s="1" t="str">
        <f aca="false">VLOOKUP(B4722,Customers!$A$2:$G$502,6,FALSE())</f>
        <v>Small Business</v>
      </c>
      <c r="K4722" s="1" t="str">
        <f aca="false">VLOOKUP(C4722,Products!$A$2:$E$62,3,FALSE())</f>
        <v>Office Supplies</v>
      </c>
      <c r="L4722" s="1" t="str">
        <f aca="false">TEXT(D4722,"yyyy-mm")</f>
        <v>2024-06</v>
      </c>
    </row>
    <row r="4723" customFormat="false" ht="15" hidden="false" customHeight="true" outlineLevel="0" collapsed="false">
      <c r="A4723" s="1" t="n">
        <v>4826</v>
      </c>
      <c r="B4723" s="1" t="n">
        <v>103</v>
      </c>
      <c r="C4723" s="1" t="n">
        <v>59</v>
      </c>
      <c r="D4723" s="1" t="s">
        <v>1499</v>
      </c>
      <c r="E4723" s="1" t="n">
        <v>2</v>
      </c>
      <c r="F4723" s="1" t="n">
        <v>438.89</v>
      </c>
      <c r="G4723" s="1" t="n">
        <v>0.15</v>
      </c>
      <c r="H4723" s="1" t="s">
        <v>1336</v>
      </c>
      <c r="I4723" s="1" t="n">
        <v>746.11</v>
      </c>
      <c r="J4723" s="1" t="str">
        <f aca="false">VLOOKUP(B4723,Customers!$A$2:$G$502,6,FALSE())</f>
        <v>Small Business</v>
      </c>
      <c r="K4723" s="1" t="str">
        <f aca="false">VLOOKUP(C4723,Products!$A$2:$E$62,3,FALSE())</f>
        <v>Furniture</v>
      </c>
      <c r="L4723" s="1" t="str">
        <f aca="false">TEXT(D4723,"yyyy-mm")</f>
        <v>2024-10</v>
      </c>
    </row>
    <row r="4724" customFormat="false" ht="15" hidden="false" customHeight="true" outlineLevel="0" collapsed="false">
      <c r="A4724" s="1" t="n">
        <v>4827</v>
      </c>
      <c r="B4724" s="1" t="n">
        <v>258</v>
      </c>
      <c r="C4724" s="1" t="n">
        <v>49</v>
      </c>
      <c r="D4724" s="1" t="s">
        <v>34</v>
      </c>
      <c r="E4724" s="1" t="n">
        <v>2</v>
      </c>
      <c r="F4724" s="1" t="n">
        <v>325.17</v>
      </c>
      <c r="G4724" s="1" t="n">
        <v>0.05</v>
      </c>
      <c r="H4724" s="1" t="s">
        <v>1336</v>
      </c>
      <c r="I4724" s="1" t="n">
        <v>617.82</v>
      </c>
      <c r="J4724" s="1" t="str">
        <f aca="false">VLOOKUP(B4724,Customers!$A$2:$G$502,6,FALSE())</f>
        <v>Small Business</v>
      </c>
      <c r="K4724" s="1" t="str">
        <f aca="false">VLOOKUP(C4724,Products!$A$2:$E$62,3,FALSE())</f>
        <v>Software</v>
      </c>
      <c r="L4724" s="1" t="str">
        <f aca="false">TEXT(D4724,"yyyy-mm")</f>
        <v>2023-03</v>
      </c>
    </row>
    <row r="4725" customFormat="false" ht="15" hidden="false" customHeight="true" outlineLevel="0" collapsed="false">
      <c r="A4725" s="1" t="n">
        <v>4828</v>
      </c>
      <c r="B4725" s="1" t="n">
        <v>201</v>
      </c>
      <c r="C4725" s="1" t="n">
        <v>28</v>
      </c>
      <c r="D4725" s="1" t="s">
        <v>756</v>
      </c>
      <c r="E4725" s="1" t="n">
        <v>9</v>
      </c>
      <c r="F4725" s="1" t="n">
        <v>505.23</v>
      </c>
      <c r="G4725" s="1" t="n">
        <v>0.05</v>
      </c>
      <c r="H4725" s="1" t="s">
        <v>1336</v>
      </c>
      <c r="I4725" s="1" t="n">
        <v>4319.72</v>
      </c>
      <c r="J4725" s="1" t="str">
        <f aca="false">VLOOKUP(B4725,Customers!$A$2:$G$502,6,FALSE())</f>
        <v>Corporate</v>
      </c>
      <c r="K4725" s="1" t="str">
        <f aca="false">VLOOKUP(C4725,Products!$A$2:$E$62,3,FALSE())</f>
        <v>Office Supplies</v>
      </c>
      <c r="L4725" s="1" t="str">
        <f aca="false">TEXT(D4725,"yyyy-mm")</f>
        <v>2024-01</v>
      </c>
    </row>
    <row r="4726" customFormat="false" ht="15" hidden="false" customHeight="true" outlineLevel="0" collapsed="false">
      <c r="A4726" s="1" t="n">
        <v>4829</v>
      </c>
      <c r="B4726" s="1" t="n">
        <v>90</v>
      </c>
      <c r="C4726" s="1" t="n">
        <v>33</v>
      </c>
      <c r="D4726" s="1" t="s">
        <v>127</v>
      </c>
      <c r="E4726" s="1" t="n">
        <v>3</v>
      </c>
      <c r="F4726" s="1" t="n">
        <v>190.1</v>
      </c>
      <c r="G4726" s="1" t="n">
        <v>0.15</v>
      </c>
      <c r="H4726" s="1" t="s">
        <v>1336</v>
      </c>
      <c r="I4726" s="1" t="n">
        <v>484.75</v>
      </c>
      <c r="J4726" s="1" t="str">
        <f aca="false">VLOOKUP(B4726,Customers!$A$2:$G$502,6,FALSE())</f>
        <v>Consumer</v>
      </c>
      <c r="K4726" s="1" t="str">
        <f aca="false">VLOOKUP(C4726,Products!$A$2:$E$62,3,FALSE())</f>
        <v>Office Supplies</v>
      </c>
      <c r="L4726" s="1" t="str">
        <f aca="false">TEXT(D4726,"yyyy-mm")</f>
        <v>2023-03</v>
      </c>
    </row>
    <row r="4727" customFormat="false" ht="15" hidden="false" customHeight="true" outlineLevel="0" collapsed="false">
      <c r="A4727" s="1" t="n">
        <v>4830</v>
      </c>
      <c r="B4727" s="1" t="n">
        <v>144</v>
      </c>
      <c r="C4727" s="1" t="n">
        <v>22</v>
      </c>
      <c r="D4727" s="1" t="s">
        <v>1515</v>
      </c>
      <c r="E4727" s="1" t="n">
        <v>8</v>
      </c>
      <c r="F4727" s="1" t="n">
        <v>38.57</v>
      </c>
      <c r="G4727" s="1" t="n">
        <v>0</v>
      </c>
      <c r="H4727" s="1" t="s">
        <v>1336</v>
      </c>
      <c r="I4727" s="1" t="n">
        <v>308.56</v>
      </c>
      <c r="J4727" s="1" t="str">
        <f aca="false">VLOOKUP(B4727,Customers!$A$2:$G$502,6,FALSE())</f>
        <v>Small Business</v>
      </c>
      <c r="K4727" s="1" t="str">
        <f aca="false">VLOOKUP(C4727,Products!$A$2:$E$62,3,FALSE())</f>
        <v>Office Supplies</v>
      </c>
      <c r="L4727" s="1" t="str">
        <f aca="false">TEXT(D4727,"yyyy-mm")</f>
        <v>2023-01</v>
      </c>
    </row>
    <row r="4728" customFormat="false" ht="15" hidden="false" customHeight="true" outlineLevel="0" collapsed="false">
      <c r="A4728" s="1" t="n">
        <v>4831</v>
      </c>
      <c r="B4728" s="1" t="n">
        <v>342</v>
      </c>
      <c r="C4728" s="1" t="n">
        <v>43</v>
      </c>
      <c r="D4728" s="1" t="s">
        <v>1529</v>
      </c>
      <c r="E4728" s="1" t="n">
        <v>9</v>
      </c>
      <c r="F4728" s="1" t="n">
        <v>186.31</v>
      </c>
      <c r="G4728" s="1" t="n">
        <v>0</v>
      </c>
      <c r="H4728" s="1" t="s">
        <v>1370</v>
      </c>
      <c r="I4728" s="1" t="n">
        <v>1676.79</v>
      </c>
      <c r="J4728" s="1" t="str">
        <f aca="false">VLOOKUP(B4728,Customers!$A$2:$G$502,6,FALSE())</f>
        <v>Small Business</v>
      </c>
      <c r="K4728" s="1" t="str">
        <f aca="false">VLOOKUP(C4728,Products!$A$2:$E$62,3,FALSE())</f>
        <v>Software</v>
      </c>
      <c r="L4728" s="1" t="str">
        <f aca="false">TEXT(D4728,"yyyy-mm")</f>
        <v>2024-09</v>
      </c>
    </row>
    <row r="4729" customFormat="false" ht="15" hidden="false" customHeight="true" outlineLevel="0" collapsed="false">
      <c r="A4729" s="1" t="n">
        <v>4832</v>
      </c>
      <c r="B4729" s="1" t="n">
        <v>177</v>
      </c>
      <c r="C4729" s="1" t="n">
        <v>41</v>
      </c>
      <c r="D4729" s="1" t="s">
        <v>1603</v>
      </c>
      <c r="E4729" s="1" t="n">
        <v>8</v>
      </c>
      <c r="F4729" s="1" t="n">
        <v>594.54</v>
      </c>
      <c r="G4729" s="1" t="n">
        <v>0</v>
      </c>
      <c r="H4729" s="1" t="s">
        <v>1336</v>
      </c>
      <c r="I4729" s="1" t="n">
        <v>4756.32</v>
      </c>
      <c r="J4729" s="1" t="str">
        <f aca="false">VLOOKUP(B4729,Customers!$A$2:$G$502,6,FALSE())</f>
        <v>Corporate</v>
      </c>
      <c r="K4729" s="1" t="str">
        <f aca="false">VLOOKUP(C4729,Products!$A$2:$E$62,3,FALSE())</f>
        <v>Software</v>
      </c>
      <c r="L4729" s="1" t="str">
        <f aca="false">TEXT(D4729,"yyyy-mm")</f>
        <v>2024-12</v>
      </c>
    </row>
    <row r="4730" customFormat="false" ht="15" hidden="false" customHeight="true" outlineLevel="0" collapsed="false">
      <c r="A4730" s="1" t="n">
        <v>4833</v>
      </c>
      <c r="B4730" s="1" t="n">
        <v>379</v>
      </c>
      <c r="C4730" s="1" t="n">
        <v>22</v>
      </c>
      <c r="D4730" s="1" t="s">
        <v>320</v>
      </c>
      <c r="E4730" s="1" t="n">
        <v>4</v>
      </c>
      <c r="F4730" s="1" t="n">
        <v>38.57</v>
      </c>
      <c r="G4730" s="1" t="n">
        <v>0.2</v>
      </c>
      <c r="H4730" s="1" t="s">
        <v>1336</v>
      </c>
      <c r="I4730" s="1" t="n">
        <v>123.42</v>
      </c>
      <c r="J4730" s="1" t="str">
        <f aca="false">VLOOKUP(B4730,Customers!$A$2:$G$502,6,FALSE())</f>
        <v>Corporate</v>
      </c>
      <c r="K4730" s="1" t="str">
        <f aca="false">VLOOKUP(C4730,Products!$A$2:$E$62,3,FALSE())</f>
        <v>Office Supplies</v>
      </c>
      <c r="L4730" s="1" t="str">
        <f aca="false">TEXT(D4730,"yyyy-mm")</f>
        <v>2023-05</v>
      </c>
    </row>
    <row r="4731" customFormat="false" ht="15" hidden="false" customHeight="true" outlineLevel="0" collapsed="false">
      <c r="A4731" s="1" t="n">
        <v>4834</v>
      </c>
      <c r="B4731" s="1" t="n">
        <v>51</v>
      </c>
      <c r="C4731" s="1" t="n">
        <v>38</v>
      </c>
      <c r="D4731" s="1" t="s">
        <v>1612</v>
      </c>
      <c r="E4731" s="1" t="n">
        <v>1</v>
      </c>
      <c r="F4731" s="1" t="n">
        <v>521.63</v>
      </c>
      <c r="G4731" s="1" t="n">
        <v>0</v>
      </c>
      <c r="H4731" s="1" t="s">
        <v>1336</v>
      </c>
      <c r="I4731" s="1" t="n">
        <v>521.63</v>
      </c>
      <c r="J4731" s="1" t="str">
        <f aca="false">VLOOKUP(B4731,Customers!$A$2:$G$502,6,FALSE())</f>
        <v>Corporate</v>
      </c>
      <c r="K4731" s="1" t="str">
        <f aca="false">VLOOKUP(C4731,Products!$A$2:$E$62,3,FALSE())</f>
        <v>Software</v>
      </c>
      <c r="L4731" s="1" t="str">
        <f aca="false">TEXT(D4731,"yyyy-mm")</f>
        <v>2024-10</v>
      </c>
    </row>
    <row r="4732" customFormat="false" ht="15" hidden="false" customHeight="true" outlineLevel="0" collapsed="false">
      <c r="A4732" s="1" t="n">
        <v>4835</v>
      </c>
      <c r="B4732" s="1" t="n">
        <v>190</v>
      </c>
      <c r="C4732" s="1" t="n">
        <v>26</v>
      </c>
      <c r="D4732" s="1" t="s">
        <v>458</v>
      </c>
      <c r="E4732" s="1" t="n">
        <v>4</v>
      </c>
      <c r="F4732" s="1" t="n">
        <v>733.85</v>
      </c>
      <c r="G4732" s="1" t="n">
        <v>0.05</v>
      </c>
      <c r="H4732" s="1" t="s">
        <v>1336</v>
      </c>
      <c r="I4732" s="1" t="n">
        <v>2788.63</v>
      </c>
      <c r="J4732" s="1" t="str">
        <f aca="false">VLOOKUP(B4732,Customers!$A$2:$G$502,6,FALSE())</f>
        <v>Corporate</v>
      </c>
      <c r="K4732" s="1" t="str">
        <f aca="false">VLOOKUP(C4732,Products!$A$2:$E$62,3,FALSE())</f>
        <v>Office Supplies</v>
      </c>
      <c r="L4732" s="1" t="str">
        <f aca="false">TEXT(D4732,"yyyy-mm")</f>
        <v>2024-05</v>
      </c>
    </row>
    <row r="4733" customFormat="false" ht="15" hidden="false" customHeight="true" outlineLevel="0" collapsed="false">
      <c r="A4733" s="1" t="n">
        <v>4836</v>
      </c>
      <c r="B4733" s="1" t="n">
        <v>396</v>
      </c>
      <c r="C4733" s="1" t="n">
        <v>26</v>
      </c>
      <c r="D4733" s="1" t="s">
        <v>1415</v>
      </c>
      <c r="E4733" s="1" t="n">
        <v>9</v>
      </c>
      <c r="F4733" s="1" t="n">
        <v>733.85</v>
      </c>
      <c r="G4733" s="1" t="n">
        <v>0</v>
      </c>
      <c r="H4733" s="1" t="s">
        <v>1336</v>
      </c>
      <c r="I4733" s="1" t="n">
        <v>6604.65</v>
      </c>
      <c r="J4733" s="1" t="str">
        <f aca="false">VLOOKUP(B4733,Customers!$A$2:$G$502,6,FALSE())</f>
        <v>Small Business</v>
      </c>
      <c r="K4733" s="1" t="str">
        <f aca="false">VLOOKUP(C4733,Products!$A$2:$E$62,3,FALSE())</f>
        <v>Office Supplies</v>
      </c>
      <c r="L4733" s="1" t="str">
        <f aca="false">TEXT(D4733,"yyyy-mm")</f>
        <v>2023-12</v>
      </c>
    </row>
    <row r="4734" customFormat="false" ht="15" hidden="false" customHeight="true" outlineLevel="0" collapsed="false">
      <c r="A4734" s="1" t="n">
        <v>4837</v>
      </c>
      <c r="B4734" s="1" t="n">
        <v>37</v>
      </c>
      <c r="C4734" s="1" t="n">
        <v>33</v>
      </c>
      <c r="D4734" s="1" t="s">
        <v>1683</v>
      </c>
      <c r="E4734" s="1" t="n">
        <v>2</v>
      </c>
      <c r="F4734" s="1" t="n">
        <v>190.1</v>
      </c>
      <c r="G4734" s="1" t="n">
        <v>0</v>
      </c>
      <c r="H4734" s="1" t="s">
        <v>1336</v>
      </c>
      <c r="I4734" s="1" t="n">
        <v>380.2</v>
      </c>
      <c r="J4734" s="1" t="str">
        <f aca="false">VLOOKUP(B4734,Customers!$A$2:$G$502,6,FALSE())</f>
        <v>Corporate</v>
      </c>
      <c r="K4734" s="1" t="str">
        <f aca="false">VLOOKUP(C4734,Products!$A$2:$E$62,3,FALSE())</f>
        <v>Office Supplies</v>
      </c>
      <c r="L4734" s="1" t="str">
        <f aca="false">TEXT(D4734,"yyyy-mm")</f>
        <v>2023-12</v>
      </c>
    </row>
    <row r="4735" customFormat="false" ht="15" hidden="false" customHeight="true" outlineLevel="0" collapsed="false">
      <c r="A4735" s="1" t="n">
        <v>4838</v>
      </c>
      <c r="B4735" s="1" t="n">
        <v>461</v>
      </c>
      <c r="C4735" s="1" t="n">
        <v>11</v>
      </c>
      <c r="D4735" s="1" t="s">
        <v>1696</v>
      </c>
      <c r="E4735" s="1" t="n">
        <v>3</v>
      </c>
      <c r="F4735" s="1" t="n">
        <v>328.39</v>
      </c>
      <c r="G4735" s="1" t="n">
        <v>0.15</v>
      </c>
      <c r="H4735" s="1" t="s">
        <v>1336</v>
      </c>
      <c r="I4735" s="1" t="n">
        <v>837.39</v>
      </c>
      <c r="J4735" s="1" t="str">
        <f aca="false">VLOOKUP(B4735,Customers!$A$2:$G$502,6,FALSE())</f>
        <v>Corporate</v>
      </c>
      <c r="K4735" s="1" t="str">
        <f aca="false">VLOOKUP(C4735,Products!$A$2:$E$62,3,FALSE())</f>
        <v>Electronics</v>
      </c>
      <c r="L4735" s="1" t="str">
        <f aca="false">TEXT(D4735,"yyyy-mm")</f>
        <v>2023-01</v>
      </c>
    </row>
    <row r="4736" customFormat="false" ht="15" hidden="false" customHeight="true" outlineLevel="0" collapsed="false">
      <c r="A4736" s="1" t="n">
        <v>4839</v>
      </c>
      <c r="B4736" s="1" t="n">
        <v>212</v>
      </c>
      <c r="C4736" s="1" t="n">
        <v>18</v>
      </c>
      <c r="D4736" s="1" t="s">
        <v>342</v>
      </c>
      <c r="E4736" s="1" t="n">
        <v>8</v>
      </c>
      <c r="F4736" s="1" t="n">
        <v>747.34</v>
      </c>
      <c r="G4736" s="1" t="n">
        <v>0</v>
      </c>
      <c r="H4736" s="1" t="s">
        <v>1336</v>
      </c>
      <c r="I4736" s="1" t="n">
        <v>5978.72</v>
      </c>
      <c r="J4736" s="1" t="str">
        <f aca="false">VLOOKUP(B4736,Customers!$A$2:$G$502,6,FALSE())</f>
        <v>Consumer</v>
      </c>
      <c r="K4736" s="1" t="str">
        <f aca="false">VLOOKUP(C4736,Products!$A$2:$E$62,3,FALSE())</f>
        <v>Electronics</v>
      </c>
      <c r="L4736" s="1" t="str">
        <f aca="false">TEXT(D4736,"yyyy-mm")</f>
        <v>2024-08</v>
      </c>
    </row>
    <row r="4737" customFormat="false" ht="15" hidden="false" customHeight="true" outlineLevel="0" collapsed="false">
      <c r="A4737" s="1" t="n">
        <v>4840</v>
      </c>
      <c r="B4737" s="1" t="n">
        <v>212</v>
      </c>
      <c r="C4737" s="1" t="n">
        <v>54</v>
      </c>
      <c r="D4737" s="1" t="s">
        <v>1686</v>
      </c>
      <c r="E4737" s="1" t="n">
        <v>6</v>
      </c>
      <c r="F4737" s="1" t="n">
        <v>312.01</v>
      </c>
      <c r="G4737" s="1" t="n">
        <v>0</v>
      </c>
      <c r="H4737" s="1" t="s">
        <v>1336</v>
      </c>
      <c r="I4737" s="1" t="n">
        <v>1872.06</v>
      </c>
      <c r="J4737" s="1" t="str">
        <f aca="false">VLOOKUP(B4737,Customers!$A$2:$G$502,6,FALSE())</f>
        <v>Consumer</v>
      </c>
      <c r="K4737" s="1" t="str">
        <f aca="false">VLOOKUP(C4737,Products!$A$2:$E$62,3,FALSE())</f>
        <v>Software</v>
      </c>
      <c r="L4737" s="1" t="str">
        <f aca="false">TEXT(D4737,"yyyy-mm")</f>
        <v>2023-12</v>
      </c>
    </row>
    <row r="4738" customFormat="false" ht="15" hidden="false" customHeight="true" outlineLevel="0" collapsed="false">
      <c r="A4738" s="1" t="n">
        <v>4841</v>
      </c>
      <c r="B4738" s="1" t="n">
        <v>413</v>
      </c>
      <c r="C4738" s="1" t="n">
        <v>49</v>
      </c>
      <c r="D4738" s="1" t="s">
        <v>1424</v>
      </c>
      <c r="E4738" s="1" t="n">
        <v>8</v>
      </c>
      <c r="F4738" s="1" t="n">
        <v>325.17</v>
      </c>
      <c r="G4738" s="1" t="n">
        <v>0</v>
      </c>
      <c r="H4738" s="1" t="s">
        <v>1336</v>
      </c>
      <c r="I4738" s="1" t="n">
        <v>2601.36</v>
      </c>
      <c r="J4738" s="1" t="str">
        <f aca="false">VLOOKUP(B4738,Customers!$A$2:$G$502,6,FALSE())</f>
        <v>Small Business</v>
      </c>
      <c r="K4738" s="1" t="str">
        <f aca="false">VLOOKUP(C4738,Products!$A$2:$E$62,3,FALSE())</f>
        <v>Software</v>
      </c>
      <c r="L4738" s="1" t="str">
        <f aca="false">TEXT(D4738,"yyyy-mm")</f>
        <v>2024-02</v>
      </c>
    </row>
    <row r="4739" customFormat="false" ht="15" hidden="false" customHeight="true" outlineLevel="0" collapsed="false">
      <c r="A4739" s="1" t="n">
        <v>4842</v>
      </c>
      <c r="B4739" s="1" t="n">
        <v>289</v>
      </c>
      <c r="C4739" s="1" t="n">
        <v>43</v>
      </c>
      <c r="D4739" s="1" t="s">
        <v>1645</v>
      </c>
      <c r="E4739" s="1" t="n">
        <v>7</v>
      </c>
      <c r="F4739" s="1" t="n">
        <v>186.31</v>
      </c>
      <c r="G4739" s="1" t="n">
        <v>0.2</v>
      </c>
      <c r="H4739" s="1" t="s">
        <v>1370</v>
      </c>
      <c r="I4739" s="1" t="n">
        <v>1043.34</v>
      </c>
      <c r="J4739" s="1" t="str">
        <f aca="false">VLOOKUP(B4739,Customers!$A$2:$G$502,6,FALSE())</f>
        <v>Consumer</v>
      </c>
      <c r="K4739" s="1" t="str">
        <f aca="false">VLOOKUP(C4739,Products!$A$2:$E$62,3,FALSE())</f>
        <v>Software</v>
      </c>
      <c r="L4739" s="1" t="str">
        <f aca="false">TEXT(D4739,"yyyy-mm")</f>
        <v>2023-01</v>
      </c>
    </row>
    <row r="4740" customFormat="false" ht="15" hidden="false" customHeight="true" outlineLevel="0" collapsed="false">
      <c r="A4740" s="1" t="n">
        <v>4843</v>
      </c>
      <c r="B4740" s="1" t="n">
        <v>399</v>
      </c>
      <c r="C4740" s="1" t="n">
        <v>19</v>
      </c>
      <c r="D4740" s="1" t="s">
        <v>581</v>
      </c>
      <c r="E4740" s="1" t="n">
        <v>5</v>
      </c>
      <c r="F4740" s="1" t="n">
        <v>163.64</v>
      </c>
      <c r="G4740" s="1" t="n">
        <v>0.15</v>
      </c>
      <c r="H4740" s="1" t="s">
        <v>1336</v>
      </c>
      <c r="I4740" s="1" t="n">
        <v>695.47</v>
      </c>
      <c r="J4740" s="1" t="str">
        <f aca="false">VLOOKUP(B4740,Customers!$A$2:$G$502,6,FALSE())</f>
        <v>Corporate</v>
      </c>
      <c r="K4740" s="1" t="str">
        <f aca="false">VLOOKUP(C4740,Products!$A$2:$E$62,3,FALSE())</f>
        <v>Office Supplies</v>
      </c>
      <c r="L4740" s="1" t="str">
        <f aca="false">TEXT(D4740,"yyyy-mm")</f>
        <v>2023-07</v>
      </c>
    </row>
    <row r="4741" customFormat="false" ht="15" hidden="false" customHeight="true" outlineLevel="0" collapsed="false">
      <c r="A4741" s="1" t="n">
        <v>4844</v>
      </c>
      <c r="B4741" s="1" t="n">
        <v>246</v>
      </c>
      <c r="C4741" s="1" t="n">
        <v>54</v>
      </c>
      <c r="D4741" s="1" t="s">
        <v>322</v>
      </c>
      <c r="E4741" s="1" t="n">
        <v>9</v>
      </c>
      <c r="F4741" s="1" t="n">
        <v>312.01</v>
      </c>
      <c r="G4741" s="1" t="n">
        <v>0.2</v>
      </c>
      <c r="H4741" s="1" t="s">
        <v>1336</v>
      </c>
      <c r="I4741" s="1" t="n">
        <v>2246.47</v>
      </c>
      <c r="J4741" s="1" t="str">
        <f aca="false">VLOOKUP(B4741,Customers!$A$2:$G$502,6,FALSE())</f>
        <v>Small Business</v>
      </c>
      <c r="K4741" s="1" t="str">
        <f aca="false">VLOOKUP(C4741,Products!$A$2:$E$62,3,FALSE())</f>
        <v>Software</v>
      </c>
      <c r="L4741" s="1" t="str">
        <f aca="false">TEXT(D4741,"yyyy-mm")</f>
        <v>2024-02</v>
      </c>
    </row>
    <row r="4742" customFormat="false" ht="15" hidden="false" customHeight="true" outlineLevel="0" collapsed="false">
      <c r="A4742" s="1" t="n">
        <v>4845</v>
      </c>
      <c r="B4742" s="1" t="n">
        <v>433</v>
      </c>
      <c r="C4742" s="1" t="n">
        <v>28</v>
      </c>
      <c r="D4742" s="1" t="s">
        <v>795</v>
      </c>
      <c r="E4742" s="1" t="n">
        <v>4</v>
      </c>
      <c r="F4742" s="1" t="n">
        <v>505.23</v>
      </c>
      <c r="G4742" s="1" t="n">
        <v>0.15</v>
      </c>
      <c r="H4742" s="1" t="s">
        <v>1336</v>
      </c>
      <c r="I4742" s="1" t="n">
        <v>1717.78</v>
      </c>
      <c r="J4742" s="1" t="str">
        <f aca="false">VLOOKUP(B4742,Customers!$A$2:$G$502,6,FALSE())</f>
        <v>Small Business</v>
      </c>
      <c r="K4742" s="1" t="str">
        <f aca="false">VLOOKUP(C4742,Products!$A$2:$E$62,3,FALSE())</f>
        <v>Office Supplies</v>
      </c>
      <c r="L4742" s="1" t="str">
        <f aca="false">TEXT(D4742,"yyyy-mm")</f>
        <v>2023-12</v>
      </c>
    </row>
    <row r="4743" customFormat="false" ht="15" hidden="false" customHeight="true" outlineLevel="0" collapsed="false">
      <c r="A4743" s="1" t="n">
        <v>4846</v>
      </c>
      <c r="B4743" s="1" t="n">
        <v>363</v>
      </c>
      <c r="C4743" s="1" t="n">
        <v>58</v>
      </c>
      <c r="D4743" s="1" t="s">
        <v>1654</v>
      </c>
      <c r="E4743" s="1" t="n">
        <v>6</v>
      </c>
      <c r="F4743" s="1" t="n">
        <v>515.55</v>
      </c>
      <c r="G4743" s="1" t="n">
        <v>0.2</v>
      </c>
      <c r="H4743" s="1" t="s">
        <v>1336</v>
      </c>
      <c r="I4743" s="1" t="n">
        <v>2474.64</v>
      </c>
      <c r="J4743" s="1" t="str">
        <f aca="false">VLOOKUP(B4743,Customers!$A$2:$G$502,6,FALSE())</f>
        <v>Small Business</v>
      </c>
      <c r="K4743" s="1" t="str">
        <f aca="false">VLOOKUP(C4743,Products!$A$2:$E$62,3,FALSE())</f>
        <v>Furniture</v>
      </c>
      <c r="L4743" s="1" t="str">
        <f aca="false">TEXT(D4743,"yyyy-mm")</f>
        <v>2024-08</v>
      </c>
    </row>
    <row r="4744" customFormat="false" ht="15" hidden="false" customHeight="true" outlineLevel="0" collapsed="false">
      <c r="A4744" s="1" t="n">
        <v>4847</v>
      </c>
      <c r="B4744" s="1" t="n">
        <v>228</v>
      </c>
      <c r="C4744" s="1" t="n">
        <v>33</v>
      </c>
      <c r="D4744" s="1" t="s">
        <v>998</v>
      </c>
      <c r="E4744" s="1" t="n">
        <v>2</v>
      </c>
      <c r="F4744" s="1" t="n">
        <v>190.1</v>
      </c>
      <c r="G4744" s="1" t="n">
        <v>0</v>
      </c>
      <c r="H4744" s="1" t="s">
        <v>1370</v>
      </c>
      <c r="I4744" s="1" t="n">
        <v>380.2</v>
      </c>
      <c r="J4744" s="1" t="str">
        <f aca="false">VLOOKUP(B4744,Customers!$A$2:$G$502,6,FALSE())</f>
        <v>Small Business</v>
      </c>
      <c r="K4744" s="1" t="str">
        <f aca="false">VLOOKUP(C4744,Products!$A$2:$E$62,3,FALSE())</f>
        <v>Office Supplies</v>
      </c>
      <c r="L4744" s="1" t="str">
        <f aca="false">TEXT(D4744,"yyyy-mm")</f>
        <v>2023-07</v>
      </c>
    </row>
    <row r="4745" customFormat="false" ht="15" hidden="false" customHeight="true" outlineLevel="0" collapsed="false">
      <c r="A4745" s="1" t="n">
        <v>4848</v>
      </c>
      <c r="B4745" s="1" t="n">
        <v>392</v>
      </c>
      <c r="C4745" s="1" t="n">
        <v>24</v>
      </c>
      <c r="D4745" s="1" t="s">
        <v>941</v>
      </c>
      <c r="E4745" s="1" t="n">
        <v>2</v>
      </c>
      <c r="F4745" s="1" t="n">
        <v>207.34</v>
      </c>
      <c r="G4745" s="1" t="n">
        <v>0.2</v>
      </c>
      <c r="H4745" s="1" t="s">
        <v>1336</v>
      </c>
      <c r="I4745" s="1" t="n">
        <v>331.74</v>
      </c>
      <c r="J4745" s="1" t="str">
        <f aca="false">VLOOKUP(B4745,Customers!$A$2:$G$502,6,FALSE())</f>
        <v>Corporate</v>
      </c>
      <c r="K4745" s="1" t="str">
        <f aca="false">VLOOKUP(C4745,Products!$A$2:$E$62,3,FALSE())</f>
        <v>Office Supplies</v>
      </c>
      <c r="L4745" s="1" t="str">
        <f aca="false">TEXT(D4745,"yyyy-mm")</f>
        <v>2024-08</v>
      </c>
    </row>
    <row r="4746" customFormat="false" ht="15" hidden="false" customHeight="true" outlineLevel="0" collapsed="false">
      <c r="A4746" s="1" t="n">
        <v>4849</v>
      </c>
      <c r="B4746" s="1" t="n">
        <v>146</v>
      </c>
      <c r="C4746" s="1" t="n">
        <v>6</v>
      </c>
      <c r="D4746" s="1" t="s">
        <v>565</v>
      </c>
      <c r="E4746" s="1" t="n">
        <v>2</v>
      </c>
      <c r="F4746" s="1" t="n">
        <v>28.51</v>
      </c>
      <c r="G4746" s="1" t="n">
        <v>0.15</v>
      </c>
      <c r="H4746" s="1" t="s">
        <v>1336</v>
      </c>
      <c r="I4746" s="1" t="n">
        <v>48.47</v>
      </c>
      <c r="J4746" s="1" t="str">
        <f aca="false">VLOOKUP(B4746,Customers!$A$2:$G$502,6,FALSE())</f>
        <v>Consumer</v>
      </c>
      <c r="K4746" s="1" t="str">
        <f aca="false">VLOOKUP(C4746,Products!$A$2:$E$62,3,FALSE())</f>
        <v>Electronics</v>
      </c>
      <c r="L4746" s="1" t="str">
        <f aca="false">TEXT(D4746,"yyyy-mm")</f>
        <v>2023-06</v>
      </c>
    </row>
    <row r="4747" customFormat="false" ht="15" hidden="false" customHeight="true" outlineLevel="0" collapsed="false">
      <c r="A4747" s="1" t="n">
        <v>4850</v>
      </c>
      <c r="B4747" s="1" t="n">
        <v>344</v>
      </c>
      <c r="C4747" s="1" t="n">
        <v>15</v>
      </c>
      <c r="D4747" s="1" t="s">
        <v>322</v>
      </c>
      <c r="E4747" s="1" t="n">
        <v>7</v>
      </c>
      <c r="F4747" s="1" t="n">
        <v>304.95</v>
      </c>
      <c r="G4747" s="1" t="n">
        <v>0</v>
      </c>
      <c r="H4747" s="1" t="s">
        <v>1336</v>
      </c>
      <c r="I4747" s="1" t="n">
        <v>2134.65</v>
      </c>
      <c r="J4747" s="1" t="str">
        <f aca="false">VLOOKUP(B4747,Customers!$A$2:$G$502,6,FALSE())</f>
        <v>Small Business</v>
      </c>
      <c r="K4747" s="1" t="str">
        <f aca="false">VLOOKUP(C4747,Products!$A$2:$E$62,3,FALSE())</f>
        <v>Electronics</v>
      </c>
      <c r="L4747" s="1" t="str">
        <f aca="false">TEXT(D4747,"yyyy-mm")</f>
        <v>2024-02</v>
      </c>
    </row>
    <row r="4748" customFormat="false" ht="15" hidden="false" customHeight="true" outlineLevel="0" collapsed="false">
      <c r="A4748" s="1" t="n">
        <v>4851</v>
      </c>
      <c r="B4748" s="1" t="n">
        <v>70</v>
      </c>
      <c r="C4748" s="1" t="n">
        <v>1</v>
      </c>
      <c r="D4748" s="1" t="s">
        <v>432</v>
      </c>
      <c r="E4748" s="1" t="n">
        <v>2</v>
      </c>
      <c r="F4748" s="1" t="n">
        <v>327.32</v>
      </c>
      <c r="G4748" s="1" t="n">
        <v>0</v>
      </c>
      <c r="H4748" s="1" t="s">
        <v>1336</v>
      </c>
      <c r="I4748" s="1" t="n">
        <v>654.64</v>
      </c>
      <c r="J4748" s="1" t="str">
        <f aca="false">VLOOKUP(B4748,Customers!$A$2:$G$502,6,FALSE())</f>
        <v>Corporate</v>
      </c>
      <c r="K4748" s="1" t="str">
        <f aca="false">VLOOKUP(C4748,Products!$A$2:$E$62,3,FALSE())</f>
        <v>Electronics</v>
      </c>
      <c r="L4748" s="1" t="str">
        <f aca="false">TEXT(D4748,"yyyy-mm")</f>
        <v>2024-11</v>
      </c>
    </row>
    <row r="4749" customFormat="false" ht="15" hidden="false" customHeight="true" outlineLevel="0" collapsed="false">
      <c r="A4749" s="1" t="n">
        <v>4852</v>
      </c>
      <c r="B4749" s="1" t="n">
        <v>110</v>
      </c>
      <c r="C4749" s="1" t="n">
        <v>36</v>
      </c>
      <c r="D4749" s="1" t="s">
        <v>300</v>
      </c>
      <c r="E4749" s="1" t="n">
        <v>2</v>
      </c>
      <c r="F4749" s="1" t="n">
        <v>424.45</v>
      </c>
      <c r="G4749" s="1" t="n">
        <v>0</v>
      </c>
      <c r="H4749" s="1" t="s">
        <v>1370</v>
      </c>
      <c r="I4749" s="1" t="n">
        <v>848.9</v>
      </c>
      <c r="J4749" s="1" t="str">
        <f aca="false">VLOOKUP(B4749,Customers!$A$2:$G$502,6,FALSE())</f>
        <v>Corporate</v>
      </c>
      <c r="K4749" s="1" t="str">
        <f aca="false">VLOOKUP(C4749,Products!$A$2:$E$62,3,FALSE())</f>
        <v>Software</v>
      </c>
      <c r="L4749" s="1" t="str">
        <f aca="false">TEXT(D4749,"yyyy-mm")</f>
        <v>2024-07</v>
      </c>
    </row>
    <row r="4750" customFormat="false" ht="15" hidden="false" customHeight="true" outlineLevel="0" collapsed="false">
      <c r="A4750" s="1" t="n">
        <v>4853</v>
      </c>
      <c r="B4750" s="1" t="n">
        <v>219</v>
      </c>
      <c r="C4750" s="1" t="n">
        <v>26</v>
      </c>
      <c r="D4750" s="1" t="s">
        <v>1663</v>
      </c>
      <c r="E4750" s="1" t="n">
        <v>9</v>
      </c>
      <c r="F4750" s="1" t="n">
        <v>733.85</v>
      </c>
      <c r="G4750" s="1" t="n">
        <v>0.05</v>
      </c>
      <c r="H4750" s="1" t="s">
        <v>1370</v>
      </c>
      <c r="I4750" s="1" t="n">
        <v>6274.42</v>
      </c>
      <c r="J4750" s="1" t="str">
        <f aca="false">VLOOKUP(B4750,Customers!$A$2:$G$502,6,FALSE())</f>
        <v>Small Business</v>
      </c>
      <c r="K4750" s="1" t="str">
        <f aca="false">VLOOKUP(C4750,Products!$A$2:$E$62,3,FALSE())</f>
        <v>Office Supplies</v>
      </c>
      <c r="L4750" s="1" t="str">
        <f aca="false">TEXT(D4750,"yyyy-mm")</f>
        <v>2024-05</v>
      </c>
    </row>
    <row r="4751" customFormat="false" ht="15" hidden="false" customHeight="true" outlineLevel="0" collapsed="false">
      <c r="A4751" s="1" t="n">
        <v>4854</v>
      </c>
      <c r="B4751" s="1" t="n">
        <v>228</v>
      </c>
      <c r="C4751" s="1" t="n">
        <v>15</v>
      </c>
      <c r="D4751" s="1" t="s">
        <v>476</v>
      </c>
      <c r="E4751" s="1" t="n">
        <v>7</v>
      </c>
      <c r="F4751" s="1" t="n">
        <v>304.95</v>
      </c>
      <c r="G4751" s="1" t="n">
        <v>0.2</v>
      </c>
      <c r="H4751" s="1" t="s">
        <v>1336</v>
      </c>
      <c r="I4751" s="1" t="n">
        <v>1707.72</v>
      </c>
      <c r="J4751" s="1" t="str">
        <f aca="false">VLOOKUP(B4751,Customers!$A$2:$G$502,6,FALSE())</f>
        <v>Small Business</v>
      </c>
      <c r="K4751" s="1" t="str">
        <f aca="false">VLOOKUP(C4751,Products!$A$2:$E$62,3,FALSE())</f>
        <v>Electronics</v>
      </c>
      <c r="L4751" s="1" t="str">
        <f aca="false">TEXT(D4751,"yyyy-mm")</f>
        <v>2023-10</v>
      </c>
    </row>
    <row r="4752" customFormat="false" ht="15" hidden="false" customHeight="true" outlineLevel="0" collapsed="false">
      <c r="A4752" s="1" t="n">
        <v>4855</v>
      </c>
      <c r="B4752" s="1" t="n">
        <v>248</v>
      </c>
      <c r="C4752" s="1" t="n">
        <v>1</v>
      </c>
      <c r="D4752" s="1" t="s">
        <v>1555</v>
      </c>
      <c r="E4752" s="1" t="n">
        <v>3</v>
      </c>
      <c r="F4752" s="1" t="n">
        <v>327.32</v>
      </c>
      <c r="G4752" s="1" t="n">
        <v>0</v>
      </c>
      <c r="H4752" s="1" t="s">
        <v>1336</v>
      </c>
      <c r="I4752" s="1" t="n">
        <v>981.96</v>
      </c>
      <c r="J4752" s="1" t="str">
        <f aca="false">VLOOKUP(B4752,Customers!$A$2:$G$502,6,FALSE())</f>
        <v>Small Business</v>
      </c>
      <c r="K4752" s="1" t="str">
        <f aca="false">VLOOKUP(C4752,Products!$A$2:$E$62,3,FALSE())</f>
        <v>Electronics</v>
      </c>
      <c r="L4752" s="1" t="str">
        <f aca="false">TEXT(D4752,"yyyy-mm")</f>
        <v>2024-04</v>
      </c>
    </row>
    <row r="4753" customFormat="false" ht="15" hidden="false" customHeight="true" outlineLevel="0" collapsed="false">
      <c r="A4753" s="1" t="n">
        <v>4856</v>
      </c>
      <c r="B4753" s="1" t="n">
        <v>439</v>
      </c>
      <c r="C4753" s="1" t="n">
        <v>21</v>
      </c>
      <c r="D4753" s="1" t="s">
        <v>1147</v>
      </c>
      <c r="E4753" s="1" t="n">
        <v>3</v>
      </c>
      <c r="F4753" s="1" t="n">
        <v>84.91</v>
      </c>
      <c r="G4753" s="1" t="n">
        <v>0.2</v>
      </c>
      <c r="H4753" s="1" t="s">
        <v>1336</v>
      </c>
      <c r="I4753" s="1" t="n">
        <v>203.78</v>
      </c>
      <c r="J4753" s="1" t="str">
        <f aca="false">VLOOKUP(B4753,Customers!$A$2:$G$502,6,FALSE())</f>
        <v>Corporate</v>
      </c>
      <c r="K4753" s="1" t="str">
        <f aca="false">VLOOKUP(C4753,Products!$A$2:$E$62,3,FALSE())</f>
        <v>Office Supplies</v>
      </c>
      <c r="L4753" s="1" t="str">
        <f aca="false">TEXT(D4753,"yyyy-mm")</f>
        <v>2024-05</v>
      </c>
    </row>
    <row r="4754" customFormat="false" ht="15" hidden="false" customHeight="true" outlineLevel="0" collapsed="false">
      <c r="A4754" s="1" t="n">
        <v>4857</v>
      </c>
      <c r="B4754" s="1" t="n">
        <v>245</v>
      </c>
      <c r="C4754" s="1" t="n">
        <v>3</v>
      </c>
      <c r="D4754" s="1" t="s">
        <v>1536</v>
      </c>
      <c r="E4754" s="1" t="n">
        <v>7</v>
      </c>
      <c r="F4754" s="1" t="n">
        <v>89.39</v>
      </c>
      <c r="G4754" s="1" t="n">
        <v>0</v>
      </c>
      <c r="H4754" s="1" t="s">
        <v>1336</v>
      </c>
      <c r="I4754" s="1" t="n">
        <v>625.73</v>
      </c>
      <c r="J4754" s="1" t="str">
        <f aca="false">VLOOKUP(B4754,Customers!$A$2:$G$502,6,FALSE())</f>
        <v>Consumer</v>
      </c>
      <c r="K4754" s="1" t="str">
        <f aca="false">VLOOKUP(C4754,Products!$A$2:$E$62,3,FALSE())</f>
        <v>Electronics</v>
      </c>
      <c r="L4754" s="1" t="str">
        <f aca="false">TEXT(D4754,"yyyy-mm")</f>
        <v>2023-11</v>
      </c>
    </row>
    <row r="4755" customFormat="false" ht="15" hidden="false" customHeight="true" outlineLevel="0" collapsed="false">
      <c r="A4755" s="1" t="n">
        <v>4858</v>
      </c>
      <c r="B4755" s="1" t="n">
        <v>129</v>
      </c>
      <c r="C4755" s="1" t="n">
        <v>47</v>
      </c>
      <c r="D4755" s="1" t="s">
        <v>479</v>
      </c>
      <c r="E4755" s="1" t="n">
        <v>5</v>
      </c>
      <c r="F4755" s="1" t="n">
        <v>506.19</v>
      </c>
      <c r="G4755" s="1" t="n">
        <v>0</v>
      </c>
      <c r="H4755" s="1" t="s">
        <v>1336</v>
      </c>
      <c r="I4755" s="1" t="n">
        <v>2530.95</v>
      </c>
      <c r="J4755" s="1" t="str">
        <f aca="false">VLOOKUP(B4755,Customers!$A$2:$G$502,6,FALSE())</f>
        <v>Corporate</v>
      </c>
      <c r="K4755" s="1" t="str">
        <f aca="false">VLOOKUP(C4755,Products!$A$2:$E$62,3,FALSE())</f>
        <v>Software</v>
      </c>
      <c r="L4755" s="1" t="str">
        <f aca="false">TEXT(D4755,"yyyy-mm")</f>
        <v>2024-09</v>
      </c>
    </row>
    <row r="4756" customFormat="false" ht="15" hidden="false" customHeight="true" outlineLevel="0" collapsed="false">
      <c r="A4756" s="1" t="n">
        <v>4859</v>
      </c>
      <c r="B4756" s="1" t="n">
        <v>458</v>
      </c>
      <c r="C4756" s="1" t="n">
        <v>36</v>
      </c>
      <c r="D4756" s="1" t="s">
        <v>1471</v>
      </c>
      <c r="E4756" s="1" t="n">
        <v>6</v>
      </c>
      <c r="F4756" s="1" t="n">
        <v>424.45</v>
      </c>
      <c r="G4756" s="1" t="n">
        <v>0.1</v>
      </c>
      <c r="H4756" s="1" t="s">
        <v>1336</v>
      </c>
      <c r="I4756" s="1" t="n">
        <v>2292.03</v>
      </c>
      <c r="J4756" s="1" t="str">
        <f aca="false">VLOOKUP(B4756,Customers!$A$2:$G$502,6,FALSE())</f>
        <v>Small Business</v>
      </c>
      <c r="K4756" s="1" t="str">
        <f aca="false">VLOOKUP(C4756,Products!$A$2:$E$62,3,FALSE())</f>
        <v>Software</v>
      </c>
      <c r="L4756" s="1" t="str">
        <f aca="false">TEXT(D4756,"yyyy-mm")</f>
        <v>2024-10</v>
      </c>
    </row>
    <row r="4757" customFormat="false" ht="15" hidden="false" customHeight="true" outlineLevel="0" collapsed="false">
      <c r="A4757" s="1" t="n">
        <v>4860</v>
      </c>
      <c r="B4757" s="1" t="n">
        <v>182</v>
      </c>
      <c r="C4757" s="1" t="n">
        <v>34</v>
      </c>
      <c r="D4757" s="1" t="s">
        <v>722</v>
      </c>
      <c r="E4757" s="1" t="n">
        <v>8</v>
      </c>
      <c r="F4757" s="1" t="n">
        <v>116.85</v>
      </c>
      <c r="G4757" s="1" t="n">
        <v>0.05</v>
      </c>
      <c r="H4757" s="1" t="s">
        <v>1336</v>
      </c>
      <c r="I4757" s="1" t="n">
        <v>888.06</v>
      </c>
      <c r="J4757" s="1" t="str">
        <f aca="false">VLOOKUP(B4757,Customers!$A$2:$G$502,6,FALSE())</f>
        <v>Unknown</v>
      </c>
      <c r="K4757" s="1" t="str">
        <f aca="false">VLOOKUP(C4757,Products!$A$2:$E$62,3,FALSE())</f>
        <v>Office Supplies</v>
      </c>
      <c r="L4757" s="1" t="str">
        <f aca="false">TEXT(D4757,"yyyy-mm")</f>
        <v>2024-05</v>
      </c>
    </row>
    <row r="4758" customFormat="false" ht="15" hidden="false" customHeight="true" outlineLevel="0" collapsed="false">
      <c r="A4758" s="1" t="n">
        <v>4861</v>
      </c>
      <c r="B4758" s="1" t="n">
        <v>49</v>
      </c>
      <c r="C4758" s="1" t="n">
        <v>9</v>
      </c>
      <c r="D4758" s="1" t="s">
        <v>1050</v>
      </c>
      <c r="E4758" s="1" t="n">
        <v>9</v>
      </c>
      <c r="F4758" s="1" t="n">
        <v>203.1</v>
      </c>
      <c r="G4758" s="1" t="n">
        <v>0.2</v>
      </c>
      <c r="H4758" s="1" t="s">
        <v>1336</v>
      </c>
      <c r="I4758" s="1" t="n">
        <v>1462.32</v>
      </c>
      <c r="J4758" s="1" t="str">
        <f aca="false">VLOOKUP(B4758,Customers!$A$2:$G$502,6,FALSE())</f>
        <v>Corporate</v>
      </c>
      <c r="K4758" s="1" t="str">
        <f aca="false">VLOOKUP(C4758,Products!$A$2:$E$62,3,FALSE())</f>
        <v>Electronics</v>
      </c>
      <c r="L4758" s="1" t="str">
        <f aca="false">TEXT(D4758,"yyyy-mm")</f>
        <v>2024-08</v>
      </c>
    </row>
    <row r="4759" customFormat="false" ht="15" hidden="false" customHeight="true" outlineLevel="0" collapsed="false">
      <c r="A4759" s="1" t="n">
        <v>4862</v>
      </c>
      <c r="B4759" s="1" t="n">
        <v>254</v>
      </c>
      <c r="C4759" s="1" t="n">
        <v>50</v>
      </c>
      <c r="D4759" s="1" t="s">
        <v>473</v>
      </c>
      <c r="E4759" s="1" t="n">
        <v>1</v>
      </c>
      <c r="F4759" s="1" t="n">
        <v>19.73</v>
      </c>
      <c r="G4759" s="1" t="n">
        <v>0</v>
      </c>
      <c r="H4759" s="1" t="s">
        <v>1336</v>
      </c>
      <c r="I4759" s="1" t="n">
        <v>19.73</v>
      </c>
      <c r="J4759" s="1" t="str">
        <f aca="false">VLOOKUP(B4759,Customers!$A$2:$G$502,6,FALSE())</f>
        <v>Small Business</v>
      </c>
      <c r="K4759" s="1" t="str">
        <f aca="false">VLOOKUP(C4759,Products!$A$2:$E$62,3,FALSE())</f>
        <v>Software</v>
      </c>
      <c r="L4759" s="1" t="str">
        <f aca="false">TEXT(D4759,"yyyy-mm")</f>
        <v>2024-06</v>
      </c>
    </row>
    <row r="4760" customFormat="false" ht="15" hidden="false" customHeight="true" outlineLevel="0" collapsed="false">
      <c r="A4760" s="1" t="n">
        <v>4863</v>
      </c>
      <c r="B4760" s="1" t="n">
        <v>435</v>
      </c>
      <c r="C4760" s="1" t="n">
        <v>6</v>
      </c>
      <c r="D4760" s="1" t="s">
        <v>1601</v>
      </c>
      <c r="E4760" s="1" t="n">
        <v>3</v>
      </c>
      <c r="F4760" s="1" t="n">
        <v>28.51</v>
      </c>
      <c r="G4760" s="1" t="n">
        <v>0.05</v>
      </c>
      <c r="H4760" s="1" t="s">
        <v>1336</v>
      </c>
      <c r="I4760" s="1" t="n">
        <v>81.25</v>
      </c>
      <c r="J4760" s="1" t="str">
        <f aca="false">VLOOKUP(B4760,Customers!$A$2:$G$502,6,FALSE())</f>
        <v>Unknown</v>
      </c>
      <c r="K4760" s="1" t="str">
        <f aca="false">VLOOKUP(C4760,Products!$A$2:$E$62,3,FALSE())</f>
        <v>Electronics</v>
      </c>
      <c r="L4760" s="1" t="str">
        <f aca="false">TEXT(D4760,"yyyy-mm")</f>
        <v>2023-10</v>
      </c>
    </row>
    <row r="4761" customFormat="false" ht="15" hidden="false" customHeight="true" outlineLevel="0" collapsed="false">
      <c r="A4761" s="1" t="n">
        <v>4864</v>
      </c>
      <c r="B4761" s="1" t="n">
        <v>7</v>
      </c>
      <c r="C4761" s="1" t="n">
        <v>3</v>
      </c>
      <c r="D4761" s="1" t="s">
        <v>413</v>
      </c>
      <c r="E4761" s="1" t="n">
        <v>7</v>
      </c>
      <c r="F4761" s="1" t="n">
        <v>89.39</v>
      </c>
      <c r="G4761" s="1" t="n">
        <v>0</v>
      </c>
      <c r="H4761" s="1" t="s">
        <v>1346</v>
      </c>
      <c r="I4761" s="1" t="n">
        <v>625.73</v>
      </c>
      <c r="J4761" s="1" t="str">
        <f aca="false">VLOOKUP(B4761,Customers!$A$2:$G$502,6,FALSE())</f>
        <v>Small Business</v>
      </c>
      <c r="K4761" s="1" t="str">
        <f aca="false">VLOOKUP(C4761,Products!$A$2:$E$62,3,FALSE())</f>
        <v>Electronics</v>
      </c>
      <c r="L4761" s="1" t="str">
        <f aca="false">TEXT(D4761,"yyyy-mm")</f>
        <v>2023-01</v>
      </c>
    </row>
    <row r="4762" customFormat="false" ht="15" hidden="false" customHeight="true" outlineLevel="0" collapsed="false">
      <c r="A4762" s="1" t="n">
        <v>4865</v>
      </c>
      <c r="B4762" s="1" t="n">
        <v>231</v>
      </c>
      <c r="C4762" s="1" t="n">
        <v>14</v>
      </c>
      <c r="D4762" s="1" t="s">
        <v>1702</v>
      </c>
      <c r="E4762" s="1" t="n">
        <v>6</v>
      </c>
      <c r="F4762" s="1" t="n">
        <v>135.27</v>
      </c>
      <c r="G4762" s="1" t="n">
        <v>0.1</v>
      </c>
      <c r="H4762" s="1" t="s">
        <v>1346</v>
      </c>
      <c r="I4762" s="1" t="n">
        <v>730.46</v>
      </c>
      <c r="J4762" s="1" t="str">
        <f aca="false">VLOOKUP(B4762,Customers!$A$2:$G$502,6,FALSE())</f>
        <v>Consumer</v>
      </c>
      <c r="K4762" s="1" t="str">
        <f aca="false">VLOOKUP(C4762,Products!$A$2:$E$62,3,FALSE())</f>
        <v>Electronics</v>
      </c>
      <c r="L4762" s="1" t="str">
        <f aca="false">TEXT(D4762,"yyyy-mm")</f>
        <v>2024-06</v>
      </c>
    </row>
    <row r="4763" customFormat="false" ht="15" hidden="false" customHeight="true" outlineLevel="0" collapsed="false">
      <c r="A4763" s="1" t="n">
        <v>4866</v>
      </c>
      <c r="B4763" s="1" t="n">
        <v>119</v>
      </c>
      <c r="C4763" s="1" t="n">
        <v>41</v>
      </c>
      <c r="D4763" s="1" t="s">
        <v>1520</v>
      </c>
      <c r="E4763" s="1" t="n">
        <v>7</v>
      </c>
      <c r="F4763" s="1" t="n">
        <v>594.54</v>
      </c>
      <c r="G4763" s="1" t="n">
        <v>0.15</v>
      </c>
      <c r="H4763" s="1" t="s">
        <v>1336</v>
      </c>
      <c r="I4763" s="1" t="n">
        <v>3537.51</v>
      </c>
      <c r="J4763" s="1" t="str">
        <f aca="false">VLOOKUP(B4763,Customers!$A$2:$G$502,6,FALSE())</f>
        <v>Small Business</v>
      </c>
      <c r="K4763" s="1" t="str">
        <f aca="false">VLOOKUP(C4763,Products!$A$2:$E$62,3,FALSE())</f>
        <v>Software</v>
      </c>
      <c r="L4763" s="1" t="str">
        <f aca="false">TEXT(D4763,"yyyy-mm")</f>
        <v>2023-11</v>
      </c>
    </row>
    <row r="4764" customFormat="false" ht="15" hidden="false" customHeight="true" outlineLevel="0" collapsed="false">
      <c r="A4764" s="1" t="n">
        <v>4867</v>
      </c>
      <c r="B4764" s="1" t="n">
        <v>420</v>
      </c>
      <c r="C4764" s="1" t="n">
        <v>37</v>
      </c>
      <c r="D4764" s="1" t="s">
        <v>1244</v>
      </c>
      <c r="E4764" s="1" t="n">
        <v>8</v>
      </c>
      <c r="F4764" s="1" t="n">
        <v>13.95</v>
      </c>
      <c r="G4764" s="1" t="n">
        <v>0</v>
      </c>
      <c r="H4764" s="1" t="s">
        <v>1336</v>
      </c>
      <c r="I4764" s="1" t="n">
        <v>111.6</v>
      </c>
      <c r="J4764" s="1" t="str">
        <f aca="false">VLOOKUP(B4764,Customers!$A$2:$G$502,6,FALSE())</f>
        <v>Small Business</v>
      </c>
      <c r="K4764" s="1" t="str">
        <f aca="false">VLOOKUP(C4764,Products!$A$2:$E$62,3,FALSE())</f>
        <v>Software</v>
      </c>
      <c r="L4764" s="1" t="str">
        <f aca="false">TEXT(D4764,"yyyy-mm")</f>
        <v>2024-10</v>
      </c>
    </row>
    <row r="4765" customFormat="false" ht="15" hidden="false" customHeight="true" outlineLevel="0" collapsed="false">
      <c r="A4765" s="1" t="n">
        <v>4868</v>
      </c>
      <c r="B4765" s="1" t="n">
        <v>163</v>
      </c>
      <c r="C4765" s="1" t="n">
        <v>37</v>
      </c>
      <c r="D4765" s="1" t="s">
        <v>1347</v>
      </c>
      <c r="E4765" s="1" t="n">
        <v>6</v>
      </c>
      <c r="F4765" s="1" t="n">
        <v>13.95</v>
      </c>
      <c r="G4765" s="1" t="n">
        <v>0.05</v>
      </c>
      <c r="H4765" s="1" t="s">
        <v>1336</v>
      </c>
      <c r="I4765" s="1" t="n">
        <v>79.51</v>
      </c>
      <c r="J4765" s="1" t="str">
        <f aca="false">VLOOKUP(B4765,Customers!$A$2:$G$502,6,FALSE())</f>
        <v>Small Business</v>
      </c>
      <c r="K4765" s="1" t="str">
        <f aca="false">VLOOKUP(C4765,Products!$A$2:$E$62,3,FALSE())</f>
        <v>Software</v>
      </c>
      <c r="L4765" s="1" t="str">
        <f aca="false">TEXT(D4765,"yyyy-mm")</f>
        <v>2024-01</v>
      </c>
    </row>
    <row r="4766" customFormat="false" ht="15" hidden="false" customHeight="true" outlineLevel="0" collapsed="false">
      <c r="A4766" s="1" t="n">
        <v>4869</v>
      </c>
      <c r="B4766" s="1" t="n">
        <v>180</v>
      </c>
      <c r="C4766" s="1" t="n">
        <v>19</v>
      </c>
      <c r="D4766" s="1" t="s">
        <v>81</v>
      </c>
      <c r="E4766" s="1" t="n">
        <v>3</v>
      </c>
      <c r="F4766" s="1" t="n">
        <v>163.64</v>
      </c>
      <c r="G4766" s="1" t="n">
        <v>0.15</v>
      </c>
      <c r="H4766" s="1" t="s">
        <v>1336</v>
      </c>
      <c r="I4766" s="1" t="n">
        <v>417.28</v>
      </c>
      <c r="J4766" s="1" t="str">
        <f aca="false">VLOOKUP(B4766,Customers!$A$2:$G$502,6,FALSE())</f>
        <v>Consumer</v>
      </c>
      <c r="K4766" s="1" t="str">
        <f aca="false">VLOOKUP(C4766,Products!$A$2:$E$62,3,FALSE())</f>
        <v>Office Supplies</v>
      </c>
      <c r="L4766" s="1" t="str">
        <f aca="false">TEXT(D4766,"yyyy-mm")</f>
        <v>2023-05</v>
      </c>
    </row>
    <row r="4767" customFormat="false" ht="15" hidden="false" customHeight="true" outlineLevel="0" collapsed="false">
      <c r="A4767" s="1" t="n">
        <v>4870</v>
      </c>
      <c r="B4767" s="1" t="n">
        <v>323</v>
      </c>
      <c r="C4767" s="1" t="n">
        <v>5</v>
      </c>
      <c r="D4767" s="1" t="s">
        <v>904</v>
      </c>
      <c r="E4767" s="1" t="n">
        <v>2</v>
      </c>
      <c r="F4767" s="1" t="n">
        <v>439.06</v>
      </c>
      <c r="G4767" s="1" t="n">
        <v>0</v>
      </c>
      <c r="H4767" s="1" t="s">
        <v>1370</v>
      </c>
      <c r="I4767" s="1" t="n">
        <v>878.12</v>
      </c>
      <c r="J4767" s="1" t="str">
        <f aca="false">VLOOKUP(B4767,Customers!$A$2:$G$502,6,FALSE())</f>
        <v>Consumer</v>
      </c>
      <c r="K4767" s="1" t="str">
        <f aca="false">VLOOKUP(C4767,Products!$A$2:$E$62,3,FALSE())</f>
        <v>Electronics</v>
      </c>
      <c r="L4767" s="1" t="str">
        <f aca="false">TEXT(D4767,"yyyy-mm")</f>
        <v>2023-04</v>
      </c>
    </row>
    <row r="4768" customFormat="false" ht="15" hidden="false" customHeight="true" outlineLevel="0" collapsed="false">
      <c r="A4768" s="1" t="n">
        <v>4871</v>
      </c>
      <c r="B4768" s="1" t="n">
        <v>308</v>
      </c>
      <c r="C4768" s="1" t="n">
        <v>20</v>
      </c>
      <c r="D4768" s="1" t="s">
        <v>642</v>
      </c>
      <c r="E4768" s="1" t="n">
        <v>7</v>
      </c>
      <c r="F4768" s="1" t="n">
        <v>426.15</v>
      </c>
      <c r="G4768" s="1" t="n">
        <v>0.1</v>
      </c>
      <c r="H4768" s="1" t="s">
        <v>1336</v>
      </c>
      <c r="I4768" s="1" t="n">
        <v>2684.74</v>
      </c>
      <c r="J4768" s="1" t="str">
        <f aca="false">VLOOKUP(B4768,Customers!$A$2:$G$502,6,FALSE())</f>
        <v>Consumer</v>
      </c>
      <c r="K4768" s="1" t="str">
        <f aca="false">VLOOKUP(C4768,Products!$A$2:$E$62,3,FALSE())</f>
        <v>Office Supplies</v>
      </c>
      <c r="L4768" s="1" t="str">
        <f aca="false">TEXT(D4768,"yyyy-mm")</f>
        <v>2023-01</v>
      </c>
    </row>
    <row r="4769" customFormat="false" ht="15" hidden="false" customHeight="true" outlineLevel="0" collapsed="false">
      <c r="A4769" s="1" t="n">
        <v>4872</v>
      </c>
      <c r="B4769" s="1" t="n">
        <v>161</v>
      </c>
      <c r="C4769" s="1" t="n">
        <v>37</v>
      </c>
      <c r="D4769" s="1" t="s">
        <v>671</v>
      </c>
      <c r="E4769" s="1" t="n">
        <v>1</v>
      </c>
      <c r="F4769" s="1" t="n">
        <v>13.95</v>
      </c>
      <c r="G4769" s="1" t="n">
        <v>0.1</v>
      </c>
      <c r="H4769" s="1" t="s">
        <v>1336</v>
      </c>
      <c r="I4769" s="1" t="n">
        <v>12.56</v>
      </c>
      <c r="J4769" s="1" t="str">
        <f aca="false">VLOOKUP(B4769,Customers!$A$2:$G$502,6,FALSE())</f>
        <v>Consumer</v>
      </c>
      <c r="K4769" s="1" t="str">
        <f aca="false">VLOOKUP(C4769,Products!$A$2:$E$62,3,FALSE())</f>
        <v>Software</v>
      </c>
      <c r="L4769" s="1" t="str">
        <f aca="false">TEXT(D4769,"yyyy-mm")</f>
        <v>2024-04</v>
      </c>
    </row>
    <row r="4770" customFormat="false" ht="15" hidden="false" customHeight="true" outlineLevel="0" collapsed="false">
      <c r="A4770" s="1" t="n">
        <v>4873</v>
      </c>
      <c r="B4770" s="1" t="n">
        <v>390</v>
      </c>
      <c r="C4770" s="1" t="n">
        <v>50</v>
      </c>
      <c r="D4770" s="1" t="s">
        <v>1528</v>
      </c>
      <c r="E4770" s="1" t="n">
        <v>3</v>
      </c>
      <c r="F4770" s="1" t="n">
        <v>19.73</v>
      </c>
      <c r="G4770" s="1" t="n">
        <v>0</v>
      </c>
      <c r="H4770" s="1" t="s">
        <v>1336</v>
      </c>
      <c r="I4770" s="1" t="n">
        <v>59.19</v>
      </c>
      <c r="J4770" s="1" t="str">
        <f aca="false">VLOOKUP(B4770,Customers!$A$2:$G$502,6,FALSE())</f>
        <v>Small Business</v>
      </c>
      <c r="K4770" s="1" t="str">
        <f aca="false">VLOOKUP(C4770,Products!$A$2:$E$62,3,FALSE())</f>
        <v>Software</v>
      </c>
      <c r="L4770" s="1" t="str">
        <f aca="false">TEXT(D4770,"yyyy-mm")</f>
        <v>2023-05</v>
      </c>
    </row>
    <row r="4771" customFormat="false" ht="15" hidden="false" customHeight="true" outlineLevel="0" collapsed="false">
      <c r="A4771" s="1" t="n">
        <v>4874</v>
      </c>
      <c r="B4771" s="1" t="n">
        <v>200</v>
      </c>
      <c r="C4771" s="1" t="n">
        <v>55</v>
      </c>
      <c r="D4771" s="1" t="s">
        <v>399</v>
      </c>
      <c r="E4771" s="1" t="n">
        <v>4</v>
      </c>
      <c r="F4771" s="1" t="n">
        <v>123.38</v>
      </c>
      <c r="G4771" s="1" t="n">
        <v>0</v>
      </c>
      <c r="H4771" s="1" t="s">
        <v>1370</v>
      </c>
      <c r="I4771" s="1" t="n">
        <v>493.52</v>
      </c>
      <c r="J4771" s="1" t="str">
        <f aca="false">VLOOKUP(B4771,Customers!$A$2:$G$502,6,FALSE())</f>
        <v>Small Business</v>
      </c>
      <c r="K4771" s="1" t="str">
        <f aca="false">VLOOKUP(C4771,Products!$A$2:$E$62,3,FALSE())</f>
        <v>Furniture</v>
      </c>
      <c r="L4771" s="1" t="str">
        <f aca="false">TEXT(D4771,"yyyy-mm")</f>
        <v>2024-03</v>
      </c>
    </row>
    <row r="4772" customFormat="false" ht="15" hidden="false" customHeight="true" outlineLevel="0" collapsed="false">
      <c r="A4772" s="1" t="n">
        <v>4875</v>
      </c>
      <c r="B4772" s="1" t="n">
        <v>296</v>
      </c>
      <c r="C4772" s="1" t="n">
        <v>21</v>
      </c>
      <c r="D4772" s="1" t="s">
        <v>1470</v>
      </c>
      <c r="E4772" s="1" t="n">
        <v>1</v>
      </c>
      <c r="F4772" s="1" t="n">
        <v>84.91</v>
      </c>
      <c r="G4772" s="1" t="n">
        <v>0</v>
      </c>
      <c r="H4772" s="1" t="s">
        <v>1336</v>
      </c>
      <c r="I4772" s="1" t="n">
        <v>84.91</v>
      </c>
      <c r="J4772" s="1" t="str">
        <f aca="false">VLOOKUP(B4772,Customers!$A$2:$G$502,6,FALSE())</f>
        <v>Corporate</v>
      </c>
      <c r="K4772" s="1" t="str">
        <f aca="false">VLOOKUP(C4772,Products!$A$2:$E$62,3,FALSE())</f>
        <v>Office Supplies</v>
      </c>
      <c r="L4772" s="1" t="str">
        <f aca="false">TEXT(D4772,"yyyy-mm")</f>
        <v>2023-03</v>
      </c>
    </row>
    <row r="4773" customFormat="false" ht="15" hidden="false" customHeight="true" outlineLevel="0" collapsed="false">
      <c r="A4773" s="1" t="n">
        <v>4876</v>
      </c>
      <c r="B4773" s="1" t="n">
        <v>314</v>
      </c>
      <c r="C4773" s="1" t="n">
        <v>53</v>
      </c>
      <c r="D4773" s="1" t="s">
        <v>1448</v>
      </c>
      <c r="E4773" s="1" t="n">
        <v>5</v>
      </c>
      <c r="F4773" s="1" t="n">
        <v>509.98</v>
      </c>
      <c r="G4773" s="1" t="n">
        <v>0.1</v>
      </c>
      <c r="H4773" s="1" t="s">
        <v>1336</v>
      </c>
      <c r="I4773" s="1" t="n">
        <v>2294.91</v>
      </c>
      <c r="J4773" s="1" t="str">
        <f aca="false">VLOOKUP(B4773,Customers!$A$2:$G$502,6,FALSE())</f>
        <v>Small Business</v>
      </c>
      <c r="K4773" s="1" t="str">
        <f aca="false">VLOOKUP(C4773,Products!$A$2:$E$62,3,FALSE())</f>
        <v>Software</v>
      </c>
      <c r="L4773" s="1" t="str">
        <f aca="false">TEXT(D4773,"yyyy-mm")</f>
        <v>2024-04</v>
      </c>
    </row>
    <row r="4774" customFormat="false" ht="15" hidden="false" customHeight="true" outlineLevel="0" collapsed="false">
      <c r="A4774" s="1" t="n">
        <v>4877</v>
      </c>
      <c r="B4774" s="1" t="n">
        <v>100</v>
      </c>
      <c r="C4774" s="1" t="n">
        <v>2</v>
      </c>
      <c r="D4774" s="1" t="s">
        <v>1490</v>
      </c>
      <c r="E4774" s="1" t="n">
        <v>3</v>
      </c>
      <c r="F4774" s="1" t="n">
        <v>498.15</v>
      </c>
      <c r="G4774" s="1" t="n">
        <v>0</v>
      </c>
      <c r="H4774" s="1" t="s">
        <v>1336</v>
      </c>
      <c r="I4774" s="1" t="n">
        <v>1494.45</v>
      </c>
      <c r="J4774" s="1" t="str">
        <f aca="false">VLOOKUP(B4774,Customers!$A$2:$G$502,6,FALSE())</f>
        <v>Consumer</v>
      </c>
      <c r="K4774" s="1" t="str">
        <f aca="false">VLOOKUP(C4774,Products!$A$2:$E$62,3,FALSE())</f>
        <v>Electronics</v>
      </c>
      <c r="L4774" s="1" t="str">
        <f aca="false">TEXT(D4774,"yyyy-mm")</f>
        <v>2024-06</v>
      </c>
    </row>
    <row r="4775" customFormat="false" ht="15" hidden="false" customHeight="true" outlineLevel="0" collapsed="false">
      <c r="A4775" s="1" t="n">
        <v>4878</v>
      </c>
      <c r="B4775" s="1" t="n">
        <v>341</v>
      </c>
      <c r="C4775" s="1" t="n">
        <v>14</v>
      </c>
      <c r="D4775" s="1" t="s">
        <v>1602</v>
      </c>
      <c r="E4775" s="1" t="n">
        <v>2</v>
      </c>
      <c r="F4775" s="1" t="n">
        <v>135.27</v>
      </c>
      <c r="G4775" s="1" t="n">
        <v>0.1</v>
      </c>
      <c r="H4775" s="1" t="s">
        <v>1336</v>
      </c>
      <c r="I4775" s="1" t="n">
        <v>243.49</v>
      </c>
      <c r="J4775" s="1" t="str">
        <f aca="false">VLOOKUP(B4775,Customers!$A$2:$G$502,6,FALSE())</f>
        <v>Small Business</v>
      </c>
      <c r="K4775" s="1" t="str">
        <f aca="false">VLOOKUP(C4775,Products!$A$2:$E$62,3,FALSE())</f>
        <v>Electronics</v>
      </c>
      <c r="L4775" s="1" t="str">
        <f aca="false">TEXT(D4775,"yyyy-mm")</f>
        <v>2024-10</v>
      </c>
    </row>
    <row r="4776" customFormat="false" ht="15" hidden="false" customHeight="true" outlineLevel="0" collapsed="false">
      <c r="A4776" s="1" t="n">
        <v>4879</v>
      </c>
      <c r="B4776" s="1" t="n">
        <v>386</v>
      </c>
      <c r="C4776" s="1" t="n">
        <v>25</v>
      </c>
      <c r="D4776" s="1" t="s">
        <v>94</v>
      </c>
      <c r="E4776" s="1" t="n">
        <v>3</v>
      </c>
      <c r="F4776" s="1" t="n">
        <v>300.49</v>
      </c>
      <c r="G4776" s="1" t="n">
        <v>0.1</v>
      </c>
      <c r="H4776" s="1" t="s">
        <v>1336</v>
      </c>
      <c r="I4776" s="1" t="n">
        <v>811.32</v>
      </c>
      <c r="J4776" s="1" t="str">
        <f aca="false">VLOOKUP(B4776,Customers!$A$2:$G$502,6,FALSE())</f>
        <v>Consumer</v>
      </c>
      <c r="K4776" s="1" t="str">
        <f aca="false">VLOOKUP(C4776,Products!$A$2:$E$62,3,FALSE())</f>
        <v>Office Supplies</v>
      </c>
      <c r="L4776" s="1" t="str">
        <f aca="false">TEXT(D4776,"yyyy-mm")</f>
        <v>2023-09</v>
      </c>
    </row>
    <row r="4777" customFormat="false" ht="15" hidden="false" customHeight="true" outlineLevel="0" collapsed="false">
      <c r="A4777" s="1" t="n">
        <v>4880</v>
      </c>
      <c r="B4777" s="1" t="n">
        <v>287</v>
      </c>
      <c r="C4777" s="1" t="n">
        <v>6</v>
      </c>
      <c r="D4777" s="1" t="s">
        <v>557</v>
      </c>
      <c r="E4777" s="1" t="n">
        <v>8</v>
      </c>
      <c r="F4777" s="1" t="n">
        <v>28.51</v>
      </c>
      <c r="G4777" s="1" t="n">
        <v>0</v>
      </c>
      <c r="H4777" s="1" t="s">
        <v>1336</v>
      </c>
      <c r="I4777" s="1" t="n">
        <v>228.08</v>
      </c>
      <c r="J4777" s="1" t="str">
        <f aca="false">VLOOKUP(B4777,Customers!$A$2:$G$502,6,FALSE())</f>
        <v>Corporate</v>
      </c>
      <c r="K4777" s="1" t="str">
        <f aca="false">VLOOKUP(C4777,Products!$A$2:$E$62,3,FALSE())</f>
        <v>Electronics</v>
      </c>
      <c r="L4777" s="1" t="str">
        <f aca="false">TEXT(D4777,"yyyy-mm")</f>
        <v>2024-07</v>
      </c>
    </row>
    <row r="4778" customFormat="false" ht="15" hidden="false" customHeight="true" outlineLevel="0" collapsed="false">
      <c r="A4778" s="1" t="n">
        <v>4881</v>
      </c>
      <c r="B4778" s="1" t="n">
        <v>241</v>
      </c>
      <c r="C4778" s="1" t="n">
        <v>33</v>
      </c>
      <c r="D4778" s="1" t="s">
        <v>424</v>
      </c>
      <c r="E4778" s="1" t="n">
        <v>6</v>
      </c>
      <c r="F4778" s="1" t="n">
        <v>190.1</v>
      </c>
      <c r="G4778" s="1" t="n">
        <v>0</v>
      </c>
      <c r="H4778" s="1" t="s">
        <v>1336</v>
      </c>
      <c r="I4778" s="1" t="n">
        <v>1140.6</v>
      </c>
      <c r="J4778" s="1" t="str">
        <f aca="false">VLOOKUP(B4778,Customers!$A$2:$G$502,6,FALSE())</f>
        <v>Small Business</v>
      </c>
      <c r="K4778" s="1" t="str">
        <f aca="false">VLOOKUP(C4778,Products!$A$2:$E$62,3,FALSE())</f>
        <v>Office Supplies</v>
      </c>
      <c r="L4778" s="1" t="str">
        <f aca="false">TEXT(D4778,"yyyy-mm")</f>
        <v>2024-02</v>
      </c>
    </row>
    <row r="4779" customFormat="false" ht="15" hidden="false" customHeight="true" outlineLevel="0" collapsed="false">
      <c r="A4779" s="1" t="n">
        <v>4882</v>
      </c>
      <c r="B4779" s="1" t="n">
        <v>37</v>
      </c>
      <c r="C4779" s="1" t="n">
        <v>38</v>
      </c>
      <c r="D4779" s="1" t="s">
        <v>1344</v>
      </c>
      <c r="E4779" s="1" t="n">
        <v>7</v>
      </c>
      <c r="F4779" s="1" t="n">
        <v>521.63</v>
      </c>
      <c r="G4779" s="1" t="n">
        <v>0.15</v>
      </c>
      <c r="H4779" s="1" t="s">
        <v>1336</v>
      </c>
      <c r="I4779" s="1" t="n">
        <v>3103.7</v>
      </c>
      <c r="J4779" s="1" t="str">
        <f aca="false">VLOOKUP(B4779,Customers!$A$2:$G$502,6,FALSE())</f>
        <v>Corporate</v>
      </c>
      <c r="K4779" s="1" t="str">
        <f aca="false">VLOOKUP(C4779,Products!$A$2:$E$62,3,FALSE())</f>
        <v>Software</v>
      </c>
      <c r="L4779" s="1" t="str">
        <f aca="false">TEXT(D4779,"yyyy-mm")</f>
        <v>2023-05</v>
      </c>
    </row>
    <row r="4780" customFormat="false" ht="15" hidden="false" customHeight="true" outlineLevel="0" collapsed="false">
      <c r="A4780" s="1" t="n">
        <v>4883</v>
      </c>
      <c r="B4780" s="1" t="n">
        <v>391</v>
      </c>
      <c r="C4780" s="1" t="n">
        <v>3</v>
      </c>
      <c r="D4780" s="1" t="s">
        <v>155</v>
      </c>
      <c r="E4780" s="1" t="n">
        <v>6</v>
      </c>
      <c r="F4780" s="1" t="n">
        <v>89.39</v>
      </c>
      <c r="G4780" s="1" t="n">
        <v>0</v>
      </c>
      <c r="H4780" s="1" t="s">
        <v>1346</v>
      </c>
      <c r="I4780" s="1" t="n">
        <v>536.34</v>
      </c>
      <c r="J4780" s="1" t="str">
        <f aca="false">VLOOKUP(B4780,Customers!$A$2:$G$502,6,FALSE())</f>
        <v>Small Business</v>
      </c>
      <c r="K4780" s="1" t="str">
        <f aca="false">VLOOKUP(C4780,Products!$A$2:$E$62,3,FALSE())</f>
        <v>Electronics</v>
      </c>
      <c r="L4780" s="1" t="str">
        <f aca="false">TEXT(D4780,"yyyy-mm")</f>
        <v>2023-08</v>
      </c>
    </row>
    <row r="4781" customFormat="false" ht="15" hidden="false" customHeight="true" outlineLevel="0" collapsed="false">
      <c r="A4781" s="1" t="n">
        <v>4884</v>
      </c>
      <c r="B4781" s="1" t="n">
        <v>412</v>
      </c>
      <c r="C4781" s="1" t="n">
        <v>29</v>
      </c>
      <c r="D4781" s="1" t="s">
        <v>1691</v>
      </c>
      <c r="E4781" s="1" t="n">
        <v>6</v>
      </c>
      <c r="F4781" s="1" t="n">
        <v>54.62</v>
      </c>
      <c r="G4781" s="1" t="n">
        <v>0</v>
      </c>
      <c r="H4781" s="1" t="s">
        <v>1336</v>
      </c>
      <c r="I4781" s="1" t="n">
        <v>327.72</v>
      </c>
      <c r="J4781" s="1" t="str">
        <f aca="false">VLOOKUP(B4781,Customers!$A$2:$G$502,6,FALSE())</f>
        <v>Corporate</v>
      </c>
      <c r="K4781" s="1" t="str">
        <f aca="false">VLOOKUP(C4781,Products!$A$2:$E$62,3,FALSE())</f>
        <v>Office Supplies</v>
      </c>
      <c r="L4781" s="1" t="str">
        <f aca="false">TEXT(D4781,"yyyy-mm")</f>
        <v>2023-10</v>
      </c>
    </row>
    <row r="4782" customFormat="false" ht="15" hidden="false" customHeight="true" outlineLevel="0" collapsed="false">
      <c r="A4782" s="1" t="n">
        <v>4885</v>
      </c>
      <c r="B4782" s="1" t="n">
        <v>429</v>
      </c>
      <c r="C4782" s="1" t="n">
        <v>1</v>
      </c>
      <c r="D4782" s="1" t="s">
        <v>1396</v>
      </c>
      <c r="E4782" s="1" t="n">
        <v>3</v>
      </c>
      <c r="F4782" s="1" t="n">
        <v>327.32</v>
      </c>
      <c r="G4782" s="1" t="n">
        <v>0.05</v>
      </c>
      <c r="H4782" s="1" t="s">
        <v>1336</v>
      </c>
      <c r="I4782" s="1" t="n">
        <v>932.86</v>
      </c>
      <c r="J4782" s="1" t="str">
        <f aca="false">VLOOKUP(B4782,Customers!$A$2:$G$502,6,FALSE())</f>
        <v>Corporate</v>
      </c>
      <c r="K4782" s="1" t="str">
        <f aca="false">VLOOKUP(C4782,Products!$A$2:$E$62,3,FALSE())</f>
        <v>Electronics</v>
      </c>
      <c r="L4782" s="1" t="str">
        <f aca="false">TEXT(D4782,"yyyy-mm")</f>
        <v>2023-08</v>
      </c>
    </row>
    <row r="4783" customFormat="false" ht="15" hidden="false" customHeight="true" outlineLevel="0" collapsed="false">
      <c r="A4783" s="1" t="n">
        <v>4886</v>
      </c>
      <c r="B4783" s="1" t="n">
        <v>447</v>
      </c>
      <c r="C4783" s="1" t="n">
        <v>42</v>
      </c>
      <c r="D4783" s="1" t="s">
        <v>758</v>
      </c>
      <c r="E4783" s="1" t="n">
        <v>8</v>
      </c>
      <c r="F4783" s="1" t="n">
        <v>174.48</v>
      </c>
      <c r="G4783" s="1" t="n">
        <v>0</v>
      </c>
      <c r="H4783" s="1" t="s">
        <v>1336</v>
      </c>
      <c r="I4783" s="1" t="n">
        <v>1395.84</v>
      </c>
      <c r="J4783" s="1" t="str">
        <f aca="false">VLOOKUP(B4783,Customers!$A$2:$G$502,6,FALSE())</f>
        <v>Small Business</v>
      </c>
      <c r="K4783" s="1" t="str">
        <f aca="false">VLOOKUP(C4783,Products!$A$2:$E$62,3,FALSE())</f>
        <v>Software</v>
      </c>
      <c r="L4783" s="1" t="str">
        <f aca="false">TEXT(D4783,"yyyy-mm")</f>
        <v>2023-06</v>
      </c>
    </row>
    <row r="4784" customFormat="false" ht="15" hidden="false" customHeight="true" outlineLevel="0" collapsed="false">
      <c r="A4784" s="1" t="n">
        <v>4887</v>
      </c>
      <c r="B4784" s="1" t="n">
        <v>175</v>
      </c>
      <c r="C4784" s="1" t="n">
        <v>49</v>
      </c>
      <c r="D4784" s="1" t="s">
        <v>176</v>
      </c>
      <c r="E4784" s="1" t="n">
        <v>7</v>
      </c>
      <c r="F4784" s="1" t="n">
        <v>325.17</v>
      </c>
      <c r="G4784" s="1" t="n">
        <v>0</v>
      </c>
      <c r="H4784" s="1" t="s">
        <v>1336</v>
      </c>
      <c r="I4784" s="1" t="n">
        <v>2276.19</v>
      </c>
      <c r="J4784" s="1" t="str">
        <f aca="false">VLOOKUP(B4784,Customers!$A$2:$G$502,6,FALSE())</f>
        <v>Consumer</v>
      </c>
      <c r="K4784" s="1" t="str">
        <f aca="false">VLOOKUP(C4784,Products!$A$2:$E$62,3,FALSE())</f>
        <v>Software</v>
      </c>
      <c r="L4784" s="1" t="str">
        <f aca="false">TEXT(D4784,"yyyy-mm")</f>
        <v>2024-04</v>
      </c>
    </row>
    <row r="4785" customFormat="false" ht="15" hidden="false" customHeight="true" outlineLevel="0" collapsed="false">
      <c r="A4785" s="1" t="n">
        <v>4888</v>
      </c>
      <c r="B4785" s="1" t="n">
        <v>486</v>
      </c>
      <c r="C4785" s="1" t="n">
        <v>17</v>
      </c>
      <c r="D4785" s="1" t="s">
        <v>1342</v>
      </c>
      <c r="E4785" s="1" t="n">
        <v>7</v>
      </c>
      <c r="F4785" s="1" t="n">
        <v>65.61</v>
      </c>
      <c r="G4785" s="1" t="n">
        <v>0</v>
      </c>
      <c r="H4785" s="1" t="s">
        <v>1336</v>
      </c>
      <c r="I4785" s="1" t="n">
        <v>459.27</v>
      </c>
      <c r="J4785" s="1" t="str">
        <f aca="false">VLOOKUP(B4785,Customers!$A$2:$G$502,6,FALSE())</f>
        <v>Corporate</v>
      </c>
      <c r="K4785" s="1" t="str">
        <f aca="false">VLOOKUP(C4785,Products!$A$2:$E$62,3,FALSE())</f>
        <v>Electronics</v>
      </c>
      <c r="L4785" s="1" t="str">
        <f aca="false">TEXT(D4785,"yyyy-mm")</f>
        <v>2024-12</v>
      </c>
    </row>
    <row r="4786" customFormat="false" ht="15" hidden="false" customHeight="true" outlineLevel="0" collapsed="false">
      <c r="A4786" s="1" t="n">
        <v>4889</v>
      </c>
      <c r="B4786" s="1" t="n">
        <v>392</v>
      </c>
      <c r="C4786" s="1" t="n">
        <v>12</v>
      </c>
      <c r="D4786" s="1" t="s">
        <v>44</v>
      </c>
      <c r="E4786" s="1" t="n">
        <v>6</v>
      </c>
      <c r="F4786" s="1" t="n">
        <v>179.23</v>
      </c>
      <c r="G4786" s="1" t="n">
        <v>0.05</v>
      </c>
      <c r="H4786" s="1" t="s">
        <v>1336</v>
      </c>
      <c r="I4786" s="1" t="n">
        <v>1021.61</v>
      </c>
      <c r="J4786" s="1" t="str">
        <f aca="false">VLOOKUP(B4786,Customers!$A$2:$G$502,6,FALSE())</f>
        <v>Corporate</v>
      </c>
      <c r="K4786" s="1" t="str">
        <f aca="false">VLOOKUP(C4786,Products!$A$2:$E$62,3,FALSE())</f>
        <v>Electronics</v>
      </c>
      <c r="L4786" s="1" t="str">
        <f aca="false">TEXT(D4786,"yyyy-mm")</f>
        <v>2023-12</v>
      </c>
    </row>
    <row r="4787" customFormat="false" ht="15" hidden="false" customHeight="true" outlineLevel="0" collapsed="false">
      <c r="A4787" s="1" t="n">
        <v>4890</v>
      </c>
      <c r="B4787" s="1" t="n">
        <v>422</v>
      </c>
      <c r="C4787" s="1" t="n">
        <v>34</v>
      </c>
      <c r="D4787" s="1" t="s">
        <v>1613</v>
      </c>
      <c r="E4787" s="1" t="n">
        <v>5</v>
      </c>
      <c r="F4787" s="1" t="n">
        <v>116.85</v>
      </c>
      <c r="G4787" s="1" t="n">
        <v>0</v>
      </c>
      <c r="H4787" s="1" t="s">
        <v>1370</v>
      </c>
      <c r="I4787" s="1" t="n">
        <v>584.25</v>
      </c>
      <c r="J4787" s="1" t="str">
        <f aca="false">VLOOKUP(B4787,Customers!$A$2:$G$502,6,FALSE())</f>
        <v>Small Business</v>
      </c>
      <c r="K4787" s="1" t="str">
        <f aca="false">VLOOKUP(C4787,Products!$A$2:$E$62,3,FALSE())</f>
        <v>Office Supplies</v>
      </c>
      <c r="L4787" s="1" t="str">
        <f aca="false">TEXT(D4787,"yyyy-mm")</f>
        <v>2024-06</v>
      </c>
    </row>
    <row r="4788" customFormat="false" ht="15" hidden="false" customHeight="true" outlineLevel="0" collapsed="false">
      <c r="A4788" s="1" t="n">
        <v>4891</v>
      </c>
      <c r="B4788" s="1" t="n">
        <v>486</v>
      </c>
      <c r="C4788" s="1" t="n">
        <v>39</v>
      </c>
      <c r="D4788" s="1" t="s">
        <v>1435</v>
      </c>
      <c r="E4788" s="1" t="n">
        <v>8</v>
      </c>
      <c r="F4788" s="1" t="n">
        <v>400.02</v>
      </c>
      <c r="G4788" s="1" t="n">
        <v>0</v>
      </c>
      <c r="H4788" s="1" t="s">
        <v>1336</v>
      </c>
      <c r="I4788" s="1" t="n">
        <v>3200.16</v>
      </c>
      <c r="J4788" s="1" t="str">
        <f aca="false">VLOOKUP(B4788,Customers!$A$2:$G$502,6,FALSE())</f>
        <v>Corporate</v>
      </c>
      <c r="K4788" s="1" t="str">
        <f aca="false">VLOOKUP(C4788,Products!$A$2:$E$62,3,FALSE())</f>
        <v>Software</v>
      </c>
      <c r="L4788" s="1" t="str">
        <f aca="false">TEXT(D4788,"yyyy-mm")</f>
        <v>2024-08</v>
      </c>
    </row>
    <row r="4789" customFormat="false" ht="15" hidden="false" customHeight="true" outlineLevel="0" collapsed="false">
      <c r="A4789" s="1" t="n">
        <v>4892</v>
      </c>
      <c r="B4789" s="1" t="n">
        <v>474</v>
      </c>
      <c r="C4789" s="1" t="n">
        <v>7</v>
      </c>
      <c r="D4789" s="1" t="s">
        <v>1615</v>
      </c>
      <c r="E4789" s="1" t="n">
        <v>5</v>
      </c>
      <c r="F4789" s="1" t="n">
        <v>460</v>
      </c>
      <c r="G4789" s="1" t="n">
        <v>0</v>
      </c>
      <c r="H4789" s="1" t="s">
        <v>1336</v>
      </c>
      <c r="I4789" s="1" t="n">
        <v>2300</v>
      </c>
      <c r="J4789" s="1" t="str">
        <f aca="false">VLOOKUP(B4789,Customers!$A$2:$G$502,6,FALSE())</f>
        <v>Consumer</v>
      </c>
      <c r="K4789" s="1" t="str">
        <f aca="false">VLOOKUP(C4789,Products!$A$2:$E$62,3,FALSE())</f>
        <v>Electronics</v>
      </c>
      <c r="L4789" s="1" t="str">
        <f aca="false">TEXT(D4789,"yyyy-mm")</f>
        <v>2023-04</v>
      </c>
    </row>
    <row r="4790" customFormat="false" ht="15" hidden="false" customHeight="true" outlineLevel="0" collapsed="false">
      <c r="A4790" s="1" t="n">
        <v>4893</v>
      </c>
      <c r="B4790" s="1" t="n">
        <v>443</v>
      </c>
      <c r="C4790" s="1" t="n">
        <v>23</v>
      </c>
      <c r="D4790" s="1" t="s">
        <v>909</v>
      </c>
      <c r="E4790" s="1" t="n">
        <v>9</v>
      </c>
      <c r="F4790" s="1" t="n">
        <v>188.73</v>
      </c>
      <c r="G4790" s="1" t="n">
        <v>0</v>
      </c>
      <c r="H4790" s="1" t="s">
        <v>1336</v>
      </c>
      <c r="I4790" s="1" t="n">
        <v>1698.57</v>
      </c>
      <c r="J4790" s="1" t="str">
        <f aca="false">VLOOKUP(B4790,Customers!$A$2:$G$502,6,FALSE())</f>
        <v>Consumer</v>
      </c>
      <c r="K4790" s="1" t="str">
        <f aca="false">VLOOKUP(C4790,Products!$A$2:$E$62,3,FALSE())</f>
        <v>Office Supplies</v>
      </c>
      <c r="L4790" s="1" t="str">
        <f aca="false">TEXT(D4790,"yyyy-mm")</f>
        <v>2023-03</v>
      </c>
    </row>
    <row r="4791" customFormat="false" ht="15" hidden="false" customHeight="true" outlineLevel="0" collapsed="false">
      <c r="A4791" s="1" t="n">
        <v>4895</v>
      </c>
      <c r="B4791" s="1" t="n">
        <v>312</v>
      </c>
      <c r="C4791" s="1" t="n">
        <v>35</v>
      </c>
      <c r="D4791" s="1" t="s">
        <v>1380</v>
      </c>
      <c r="E4791" s="1" t="n">
        <v>1</v>
      </c>
      <c r="F4791" s="1" t="n">
        <v>75.78</v>
      </c>
      <c r="G4791" s="1" t="n">
        <v>0.1</v>
      </c>
      <c r="H4791" s="1" t="s">
        <v>1336</v>
      </c>
      <c r="I4791" s="1" t="n">
        <v>68.2</v>
      </c>
      <c r="J4791" s="1" t="str">
        <f aca="false">VLOOKUP(B4791,Customers!$A$2:$G$502,6,FALSE())</f>
        <v>Small Business</v>
      </c>
      <c r="K4791" s="1" t="str">
        <f aca="false">VLOOKUP(C4791,Products!$A$2:$E$62,3,FALSE())</f>
        <v>Software</v>
      </c>
      <c r="L4791" s="1" t="str">
        <f aca="false">TEXT(D4791,"yyyy-mm")</f>
        <v>2023-07</v>
      </c>
    </row>
    <row r="4792" customFormat="false" ht="15" hidden="false" customHeight="true" outlineLevel="0" collapsed="false">
      <c r="A4792" s="1" t="n">
        <v>4896</v>
      </c>
      <c r="B4792" s="1" t="n">
        <v>223</v>
      </c>
      <c r="C4792" s="1" t="n">
        <v>21</v>
      </c>
      <c r="D4792" s="1" t="s">
        <v>1642</v>
      </c>
      <c r="E4792" s="1" t="n">
        <v>6</v>
      </c>
      <c r="F4792" s="1" t="n">
        <v>84.91</v>
      </c>
      <c r="G4792" s="1" t="n">
        <v>0</v>
      </c>
      <c r="H4792" s="1" t="s">
        <v>1336</v>
      </c>
      <c r="I4792" s="1" t="n">
        <v>509.46</v>
      </c>
      <c r="J4792" s="1" t="str">
        <f aca="false">VLOOKUP(B4792,Customers!$A$2:$G$502,6,FALSE())</f>
        <v>Consumer</v>
      </c>
      <c r="K4792" s="1" t="str">
        <f aca="false">VLOOKUP(C4792,Products!$A$2:$E$62,3,FALSE())</f>
        <v>Office Supplies</v>
      </c>
      <c r="L4792" s="1" t="str">
        <f aca="false">TEXT(D4792,"yyyy-mm")</f>
        <v>2024-12</v>
      </c>
    </row>
    <row r="4793" customFormat="false" ht="15" hidden="false" customHeight="true" outlineLevel="0" collapsed="false">
      <c r="A4793" s="1" t="n">
        <v>4897</v>
      </c>
      <c r="B4793" s="1" t="n">
        <v>128</v>
      </c>
      <c r="C4793" s="1" t="n">
        <v>59</v>
      </c>
      <c r="D4793" s="1" t="s">
        <v>272</v>
      </c>
      <c r="E4793" s="1" t="n">
        <v>7</v>
      </c>
      <c r="F4793" s="1" t="n">
        <v>438.89</v>
      </c>
      <c r="G4793" s="1" t="n">
        <v>0</v>
      </c>
      <c r="H4793" s="1" t="s">
        <v>1336</v>
      </c>
      <c r="I4793" s="1" t="n">
        <v>3072.23</v>
      </c>
      <c r="J4793" s="1" t="str">
        <f aca="false">VLOOKUP(B4793,Customers!$A$2:$G$502,6,FALSE())</f>
        <v>Consumer</v>
      </c>
      <c r="K4793" s="1" t="str">
        <f aca="false">VLOOKUP(C4793,Products!$A$2:$E$62,3,FALSE())</f>
        <v>Furniture</v>
      </c>
      <c r="L4793" s="1" t="str">
        <f aca="false">TEXT(D4793,"yyyy-mm")</f>
        <v>2024-10</v>
      </c>
    </row>
    <row r="4794" customFormat="false" ht="15" hidden="false" customHeight="true" outlineLevel="0" collapsed="false">
      <c r="A4794" s="1" t="n">
        <v>4898</v>
      </c>
      <c r="B4794" s="1" t="n">
        <v>438</v>
      </c>
      <c r="C4794" s="1" t="n">
        <v>14</v>
      </c>
      <c r="D4794" s="1" t="s">
        <v>1154</v>
      </c>
      <c r="E4794" s="1" t="n">
        <v>3</v>
      </c>
      <c r="F4794" s="1" t="n">
        <v>135.27</v>
      </c>
      <c r="G4794" s="1" t="n">
        <v>0.1</v>
      </c>
      <c r="H4794" s="1" t="s">
        <v>1336</v>
      </c>
      <c r="I4794" s="1" t="n">
        <v>365.23</v>
      </c>
      <c r="J4794" s="1" t="str">
        <f aca="false">VLOOKUP(B4794,Customers!$A$2:$G$502,6,FALSE())</f>
        <v>Consumer</v>
      </c>
      <c r="K4794" s="1" t="str">
        <f aca="false">VLOOKUP(C4794,Products!$A$2:$E$62,3,FALSE())</f>
        <v>Electronics</v>
      </c>
      <c r="L4794" s="1" t="str">
        <f aca="false">TEXT(D4794,"yyyy-mm")</f>
        <v>2024-07</v>
      </c>
    </row>
    <row r="4795" customFormat="false" ht="15" hidden="false" customHeight="true" outlineLevel="0" collapsed="false">
      <c r="A4795" s="1" t="n">
        <v>4899</v>
      </c>
      <c r="B4795" s="1" t="n">
        <v>143</v>
      </c>
      <c r="C4795" s="1" t="n">
        <v>50</v>
      </c>
      <c r="D4795" s="1" t="s">
        <v>1627</v>
      </c>
      <c r="E4795" s="1" t="n">
        <v>7</v>
      </c>
      <c r="F4795" s="1" t="n">
        <v>19.73</v>
      </c>
      <c r="G4795" s="1" t="n">
        <v>0.05</v>
      </c>
      <c r="H4795" s="1" t="s">
        <v>1336</v>
      </c>
      <c r="I4795" s="1" t="n">
        <v>131.2</v>
      </c>
      <c r="J4795" s="1" t="str">
        <f aca="false">VLOOKUP(B4795,Customers!$A$2:$G$502,6,FALSE())</f>
        <v>Small Business</v>
      </c>
      <c r="K4795" s="1" t="str">
        <f aca="false">VLOOKUP(C4795,Products!$A$2:$E$62,3,FALSE())</f>
        <v>Software</v>
      </c>
      <c r="L4795" s="1" t="str">
        <f aca="false">TEXT(D4795,"yyyy-mm")</f>
        <v>2023-11</v>
      </c>
    </row>
    <row r="4796" customFormat="false" ht="15" hidden="false" customHeight="true" outlineLevel="0" collapsed="false">
      <c r="A4796" s="1" t="n">
        <v>4900</v>
      </c>
      <c r="B4796" s="1" t="n">
        <v>370</v>
      </c>
      <c r="C4796" s="1" t="n">
        <v>31</v>
      </c>
      <c r="D4796" s="1" t="s">
        <v>1428</v>
      </c>
      <c r="E4796" s="1" t="n">
        <v>7</v>
      </c>
      <c r="F4796" s="1" t="n">
        <v>224.86</v>
      </c>
      <c r="G4796" s="1" t="n">
        <v>0.15</v>
      </c>
      <c r="H4796" s="1" t="s">
        <v>1336</v>
      </c>
      <c r="I4796" s="1" t="n">
        <v>1337.92</v>
      </c>
      <c r="J4796" s="1" t="str">
        <f aca="false">VLOOKUP(B4796,Customers!$A$2:$G$502,6,FALSE())</f>
        <v>Small Business</v>
      </c>
      <c r="K4796" s="1" t="str">
        <f aca="false">VLOOKUP(C4796,Products!$A$2:$E$62,3,FALSE())</f>
        <v>Office Supplies</v>
      </c>
      <c r="L4796" s="1" t="str">
        <f aca="false">TEXT(D4796,"yyyy-mm")</f>
        <v>2024-06</v>
      </c>
    </row>
    <row r="4797" customFormat="false" ht="15" hidden="false" customHeight="true" outlineLevel="0" collapsed="false">
      <c r="A4797" s="1" t="n">
        <v>4901</v>
      </c>
      <c r="B4797" s="1" t="n">
        <v>104</v>
      </c>
      <c r="C4797" s="1" t="n">
        <v>52</v>
      </c>
      <c r="D4797" s="1" t="s">
        <v>887</v>
      </c>
      <c r="E4797" s="1" t="n">
        <v>2</v>
      </c>
      <c r="F4797" s="1" t="n">
        <v>207.67</v>
      </c>
      <c r="G4797" s="1" t="n">
        <v>0</v>
      </c>
      <c r="H4797" s="1" t="s">
        <v>1370</v>
      </c>
      <c r="I4797" s="1" t="n">
        <v>415.34</v>
      </c>
      <c r="J4797" s="1" t="str">
        <f aca="false">VLOOKUP(B4797,Customers!$A$2:$G$502,6,FALSE())</f>
        <v>Corporate</v>
      </c>
      <c r="K4797" s="1" t="str">
        <f aca="false">VLOOKUP(C4797,Products!$A$2:$E$62,3,FALSE())</f>
        <v>Software</v>
      </c>
      <c r="L4797" s="1" t="str">
        <f aca="false">TEXT(D4797,"yyyy-mm")</f>
        <v>2023-06</v>
      </c>
    </row>
    <row r="4798" customFormat="false" ht="15" hidden="false" customHeight="true" outlineLevel="0" collapsed="false">
      <c r="A4798" s="1" t="n">
        <v>4902</v>
      </c>
      <c r="B4798" s="1" t="n">
        <v>194</v>
      </c>
      <c r="C4798" s="1" t="n">
        <v>8</v>
      </c>
      <c r="D4798" s="1" t="s">
        <v>402</v>
      </c>
      <c r="E4798" s="1" t="n">
        <v>7</v>
      </c>
      <c r="F4798" s="1" t="n">
        <v>104.4</v>
      </c>
      <c r="G4798" s="1" t="n">
        <v>0.1</v>
      </c>
      <c r="H4798" s="1" t="s">
        <v>1336</v>
      </c>
      <c r="I4798" s="1" t="n">
        <v>657.72</v>
      </c>
      <c r="J4798" s="1" t="str">
        <f aca="false">VLOOKUP(B4798,Customers!$A$2:$G$502,6,FALSE())</f>
        <v>Corporate</v>
      </c>
      <c r="K4798" s="1" t="str">
        <f aca="false">VLOOKUP(C4798,Products!$A$2:$E$62,3,FALSE())</f>
        <v>Electronics</v>
      </c>
      <c r="L4798" s="1" t="str">
        <f aca="false">TEXT(D4798,"yyyy-mm")</f>
        <v>2024-11</v>
      </c>
    </row>
    <row r="4799" customFormat="false" ht="15" hidden="false" customHeight="true" outlineLevel="0" collapsed="false">
      <c r="A4799" s="1" t="n">
        <v>4903</v>
      </c>
      <c r="B4799" s="1" t="n">
        <v>262</v>
      </c>
      <c r="C4799" s="1" t="n">
        <v>59</v>
      </c>
      <c r="D4799" s="1" t="s">
        <v>1120</v>
      </c>
      <c r="E4799" s="1" t="n">
        <v>1</v>
      </c>
      <c r="F4799" s="1" t="n">
        <v>438.89</v>
      </c>
      <c r="G4799" s="1" t="n">
        <v>0.05</v>
      </c>
      <c r="H4799" s="1" t="s">
        <v>1336</v>
      </c>
      <c r="I4799" s="1" t="n">
        <v>416.95</v>
      </c>
      <c r="J4799" s="1" t="str">
        <f aca="false">VLOOKUP(B4799,Customers!$A$2:$G$502,6,FALSE())</f>
        <v>Small Business</v>
      </c>
      <c r="K4799" s="1" t="str">
        <f aca="false">VLOOKUP(C4799,Products!$A$2:$E$62,3,FALSE())</f>
        <v>Furniture</v>
      </c>
      <c r="L4799" s="1" t="str">
        <f aca="false">TEXT(D4799,"yyyy-mm")</f>
        <v>2024-10</v>
      </c>
    </row>
    <row r="4800" customFormat="false" ht="15" hidden="false" customHeight="true" outlineLevel="0" collapsed="false">
      <c r="A4800" s="1" t="n">
        <v>4904</v>
      </c>
      <c r="B4800" s="1" t="n">
        <v>371</v>
      </c>
      <c r="C4800" s="1" t="n">
        <v>52</v>
      </c>
      <c r="D4800" s="1" t="s">
        <v>1562</v>
      </c>
      <c r="E4800" s="1" t="n">
        <v>5</v>
      </c>
      <c r="F4800" s="1" t="n">
        <v>207.67</v>
      </c>
      <c r="G4800" s="1" t="n">
        <v>0</v>
      </c>
      <c r="H4800" s="1" t="s">
        <v>1336</v>
      </c>
      <c r="I4800" s="1" t="n">
        <v>1038.35</v>
      </c>
      <c r="J4800" s="1" t="str">
        <f aca="false">VLOOKUP(B4800,Customers!$A$2:$G$502,6,FALSE())</f>
        <v>Unknown</v>
      </c>
      <c r="K4800" s="1" t="str">
        <f aca="false">VLOOKUP(C4800,Products!$A$2:$E$62,3,FALSE())</f>
        <v>Software</v>
      </c>
      <c r="L4800" s="1" t="str">
        <f aca="false">TEXT(D4800,"yyyy-mm")</f>
        <v>2023-07</v>
      </c>
    </row>
    <row r="4801" customFormat="false" ht="15" hidden="false" customHeight="true" outlineLevel="0" collapsed="false">
      <c r="A4801" s="1" t="n">
        <v>4905</v>
      </c>
      <c r="B4801" s="1" t="n">
        <v>143</v>
      </c>
      <c r="C4801" s="1" t="n">
        <v>31</v>
      </c>
      <c r="D4801" s="1" t="s">
        <v>1624</v>
      </c>
      <c r="E4801" s="1" t="n">
        <v>9</v>
      </c>
      <c r="F4801" s="1" t="n">
        <v>224.86</v>
      </c>
      <c r="G4801" s="1" t="n">
        <v>0.2</v>
      </c>
      <c r="H4801" s="1" t="s">
        <v>1336</v>
      </c>
      <c r="I4801" s="1" t="n">
        <v>1618.99</v>
      </c>
      <c r="J4801" s="1" t="str">
        <f aca="false">VLOOKUP(B4801,Customers!$A$2:$G$502,6,FALSE())</f>
        <v>Small Business</v>
      </c>
      <c r="K4801" s="1" t="str">
        <f aca="false">VLOOKUP(C4801,Products!$A$2:$E$62,3,FALSE())</f>
        <v>Office Supplies</v>
      </c>
      <c r="L4801" s="1" t="str">
        <f aca="false">TEXT(D4801,"yyyy-mm")</f>
        <v>2024-07</v>
      </c>
    </row>
    <row r="4802" customFormat="false" ht="15" hidden="false" customHeight="true" outlineLevel="0" collapsed="false">
      <c r="A4802" s="1" t="n">
        <v>4906</v>
      </c>
      <c r="B4802" s="1" t="n">
        <v>293</v>
      </c>
      <c r="C4802" s="1" t="n">
        <v>56</v>
      </c>
      <c r="D4802" s="1" t="s">
        <v>1345</v>
      </c>
      <c r="E4802" s="1" t="n">
        <v>7</v>
      </c>
      <c r="F4802" s="1" t="n">
        <v>160.64</v>
      </c>
      <c r="G4802" s="1" t="n">
        <v>0</v>
      </c>
      <c r="H4802" s="1" t="s">
        <v>1336</v>
      </c>
      <c r="I4802" s="1" t="n">
        <v>1124.48</v>
      </c>
      <c r="J4802" s="1" t="str">
        <f aca="false">VLOOKUP(B4802,Customers!$A$2:$G$502,6,FALSE())</f>
        <v>Small Business</v>
      </c>
      <c r="K4802" s="1" t="str">
        <f aca="false">VLOOKUP(C4802,Products!$A$2:$E$62,3,FALSE())</f>
        <v>Furniture</v>
      </c>
      <c r="L4802" s="1" t="str">
        <f aca="false">TEXT(D4802,"yyyy-mm")</f>
        <v>2023-07</v>
      </c>
    </row>
    <row r="4803" customFormat="false" ht="15" hidden="false" customHeight="true" outlineLevel="0" collapsed="false">
      <c r="A4803" s="1" t="n">
        <v>4907</v>
      </c>
      <c r="B4803" s="1" t="n">
        <v>47</v>
      </c>
      <c r="C4803" s="1" t="n">
        <v>50</v>
      </c>
      <c r="D4803" s="1" t="s">
        <v>1013</v>
      </c>
      <c r="E4803" s="1" t="n">
        <v>7</v>
      </c>
      <c r="F4803" s="1" t="n">
        <v>19.73</v>
      </c>
      <c r="G4803" s="1" t="n">
        <v>0</v>
      </c>
      <c r="H4803" s="1" t="s">
        <v>1346</v>
      </c>
      <c r="I4803" s="1" t="n">
        <v>138.11</v>
      </c>
      <c r="J4803" s="1" t="str">
        <f aca="false">VLOOKUP(B4803,Customers!$A$2:$G$502,6,FALSE())</f>
        <v>Small Business</v>
      </c>
      <c r="K4803" s="1" t="str">
        <f aca="false">VLOOKUP(C4803,Products!$A$2:$E$62,3,FALSE())</f>
        <v>Software</v>
      </c>
      <c r="L4803" s="1" t="str">
        <f aca="false">TEXT(D4803,"yyyy-mm")</f>
        <v>2024-12</v>
      </c>
    </row>
    <row r="4804" customFormat="false" ht="15" hidden="false" customHeight="true" outlineLevel="0" collapsed="false">
      <c r="A4804" s="1" t="n">
        <v>4908</v>
      </c>
      <c r="B4804" s="1" t="n">
        <v>1</v>
      </c>
      <c r="C4804" s="1" t="n">
        <v>56</v>
      </c>
      <c r="D4804" s="1" t="s">
        <v>1561</v>
      </c>
      <c r="E4804" s="1" t="n">
        <v>2</v>
      </c>
      <c r="F4804" s="1" t="n">
        <v>160.64</v>
      </c>
      <c r="G4804" s="1" t="n">
        <v>0</v>
      </c>
      <c r="H4804" s="1" t="s">
        <v>1336</v>
      </c>
      <c r="I4804" s="1" t="n">
        <v>321.28</v>
      </c>
      <c r="J4804" s="1" t="str">
        <f aca="false">VLOOKUP(B4804,Customers!$A$2:$G$502,6,FALSE())</f>
        <v>Consumer</v>
      </c>
      <c r="K4804" s="1" t="str">
        <f aca="false">VLOOKUP(C4804,Products!$A$2:$E$62,3,FALSE())</f>
        <v>Furniture</v>
      </c>
      <c r="L4804" s="1" t="str">
        <f aca="false">TEXT(D4804,"yyyy-mm")</f>
        <v>2024-02</v>
      </c>
    </row>
    <row r="4805" customFormat="false" ht="15" hidden="false" customHeight="true" outlineLevel="0" collapsed="false">
      <c r="A4805" s="1" t="n">
        <v>4909</v>
      </c>
      <c r="B4805" s="1" t="n">
        <v>467</v>
      </c>
      <c r="C4805" s="1" t="n">
        <v>33</v>
      </c>
      <c r="D4805" s="1" t="s">
        <v>1362</v>
      </c>
      <c r="E4805" s="1" t="n">
        <v>8</v>
      </c>
      <c r="F4805" s="1" t="n">
        <v>190.1</v>
      </c>
      <c r="G4805" s="1" t="n">
        <v>0</v>
      </c>
      <c r="H4805" s="1" t="s">
        <v>1336</v>
      </c>
      <c r="I4805" s="1" t="n">
        <v>1520.8</v>
      </c>
      <c r="J4805" s="1" t="str">
        <f aca="false">VLOOKUP(B4805,Customers!$A$2:$G$502,6,FALSE())</f>
        <v>Corporate</v>
      </c>
      <c r="K4805" s="1" t="str">
        <f aca="false">VLOOKUP(C4805,Products!$A$2:$E$62,3,FALSE())</f>
        <v>Office Supplies</v>
      </c>
      <c r="L4805" s="1" t="str">
        <f aca="false">TEXT(D4805,"yyyy-mm")</f>
        <v>2024-01</v>
      </c>
    </row>
    <row r="4806" customFormat="false" ht="15" hidden="false" customHeight="true" outlineLevel="0" collapsed="false">
      <c r="A4806" s="1" t="n">
        <v>4910</v>
      </c>
      <c r="B4806" s="1" t="n">
        <v>163</v>
      </c>
      <c r="C4806" s="1" t="n">
        <v>35</v>
      </c>
      <c r="D4806" s="1" t="s">
        <v>539</v>
      </c>
      <c r="E4806" s="1" t="n">
        <v>3</v>
      </c>
      <c r="F4806" s="1" t="n">
        <v>75.78</v>
      </c>
      <c r="G4806" s="1" t="n">
        <v>0</v>
      </c>
      <c r="H4806" s="1" t="s">
        <v>1336</v>
      </c>
      <c r="I4806" s="1" t="n">
        <v>227.34</v>
      </c>
      <c r="J4806" s="1" t="str">
        <f aca="false">VLOOKUP(B4806,Customers!$A$2:$G$502,6,FALSE())</f>
        <v>Small Business</v>
      </c>
      <c r="K4806" s="1" t="str">
        <f aca="false">VLOOKUP(C4806,Products!$A$2:$E$62,3,FALSE())</f>
        <v>Software</v>
      </c>
      <c r="L4806" s="1" t="str">
        <f aca="false">TEXT(D4806,"yyyy-mm")</f>
        <v>2024-06</v>
      </c>
    </row>
    <row r="4807" customFormat="false" ht="15" hidden="false" customHeight="true" outlineLevel="0" collapsed="false">
      <c r="A4807" s="1" t="n">
        <v>4911</v>
      </c>
      <c r="B4807" s="1" t="n">
        <v>206</v>
      </c>
      <c r="C4807" s="1" t="n">
        <v>15</v>
      </c>
      <c r="D4807" s="1" t="s">
        <v>1452</v>
      </c>
      <c r="E4807" s="1" t="n">
        <v>8</v>
      </c>
      <c r="F4807" s="1" t="n">
        <v>304.95</v>
      </c>
      <c r="G4807" s="1" t="n">
        <v>0</v>
      </c>
      <c r="H4807" s="1" t="s">
        <v>1346</v>
      </c>
      <c r="I4807" s="1" t="n">
        <v>2439.6</v>
      </c>
      <c r="J4807" s="1" t="str">
        <f aca="false">VLOOKUP(B4807,Customers!$A$2:$G$502,6,FALSE())</f>
        <v>Small Business</v>
      </c>
      <c r="K4807" s="1" t="str">
        <f aca="false">VLOOKUP(C4807,Products!$A$2:$E$62,3,FALSE())</f>
        <v>Electronics</v>
      </c>
      <c r="L4807" s="1" t="str">
        <f aca="false">TEXT(D4807,"yyyy-mm")</f>
        <v>2023-01</v>
      </c>
    </row>
    <row r="4808" customFormat="false" ht="15" hidden="false" customHeight="true" outlineLevel="0" collapsed="false">
      <c r="A4808" s="1" t="n">
        <v>4912</v>
      </c>
      <c r="B4808" s="1" t="n">
        <v>168</v>
      </c>
      <c r="C4808" s="1" t="n">
        <v>43</v>
      </c>
      <c r="D4808" s="1" t="s">
        <v>1582</v>
      </c>
      <c r="E4808" s="1" t="n">
        <v>3</v>
      </c>
      <c r="F4808" s="1" t="n">
        <v>186.31</v>
      </c>
      <c r="G4808" s="1" t="n">
        <v>0.2</v>
      </c>
      <c r="H4808" s="1" t="s">
        <v>1336</v>
      </c>
      <c r="I4808" s="1" t="n">
        <v>447.14</v>
      </c>
      <c r="J4808" s="1" t="str">
        <f aca="false">VLOOKUP(B4808,Customers!$A$2:$G$502,6,FALSE())</f>
        <v>Consumer</v>
      </c>
      <c r="K4808" s="1" t="str">
        <f aca="false">VLOOKUP(C4808,Products!$A$2:$E$62,3,FALSE())</f>
        <v>Software</v>
      </c>
      <c r="L4808" s="1" t="str">
        <f aca="false">TEXT(D4808,"yyyy-mm")</f>
        <v>2023-11</v>
      </c>
    </row>
    <row r="4809" customFormat="false" ht="15" hidden="false" customHeight="true" outlineLevel="0" collapsed="false">
      <c r="A4809" s="1" t="n">
        <v>4913</v>
      </c>
      <c r="B4809" s="1" t="n">
        <v>280</v>
      </c>
      <c r="C4809" s="1" t="n">
        <v>25</v>
      </c>
      <c r="D4809" s="1" t="s">
        <v>1069</v>
      </c>
      <c r="E4809" s="1" t="n">
        <v>7</v>
      </c>
      <c r="F4809" s="1" t="n">
        <v>300.49</v>
      </c>
      <c r="G4809" s="1" t="n">
        <v>0.05</v>
      </c>
      <c r="H4809" s="1" t="s">
        <v>1336</v>
      </c>
      <c r="I4809" s="1" t="n">
        <v>1998.26</v>
      </c>
      <c r="J4809" s="1" t="str">
        <f aca="false">VLOOKUP(B4809,Customers!$A$2:$G$502,6,FALSE())</f>
        <v>Consumer</v>
      </c>
      <c r="K4809" s="1" t="str">
        <f aca="false">VLOOKUP(C4809,Products!$A$2:$E$62,3,FALSE())</f>
        <v>Office Supplies</v>
      </c>
      <c r="L4809" s="1" t="str">
        <f aca="false">TEXT(D4809,"yyyy-mm")</f>
        <v>2024-01</v>
      </c>
    </row>
    <row r="4810" customFormat="false" ht="15" hidden="false" customHeight="true" outlineLevel="0" collapsed="false">
      <c r="A4810" s="1" t="n">
        <v>4914</v>
      </c>
      <c r="B4810" s="1" t="n">
        <v>335</v>
      </c>
      <c r="C4810" s="1" t="n">
        <v>9</v>
      </c>
      <c r="D4810" s="1" t="s">
        <v>1395</v>
      </c>
      <c r="E4810" s="1" t="n">
        <v>2</v>
      </c>
      <c r="F4810" s="1" t="n">
        <v>203.1</v>
      </c>
      <c r="G4810" s="1" t="n">
        <v>0</v>
      </c>
      <c r="H4810" s="1" t="s">
        <v>1336</v>
      </c>
      <c r="I4810" s="1" t="n">
        <v>406.2</v>
      </c>
      <c r="J4810" s="1" t="str">
        <f aca="false">VLOOKUP(B4810,Customers!$A$2:$G$502,6,FALSE())</f>
        <v>Small Business</v>
      </c>
      <c r="K4810" s="1" t="str">
        <f aca="false">VLOOKUP(C4810,Products!$A$2:$E$62,3,FALSE())</f>
        <v>Electronics</v>
      </c>
      <c r="L4810" s="1" t="str">
        <f aca="false">TEXT(D4810,"yyyy-mm")</f>
        <v>2023-04</v>
      </c>
    </row>
    <row r="4811" customFormat="false" ht="15" hidden="false" customHeight="true" outlineLevel="0" collapsed="false">
      <c r="A4811" s="1" t="n">
        <v>4915</v>
      </c>
      <c r="B4811" s="1" t="n">
        <v>89</v>
      </c>
      <c r="C4811" s="1" t="n">
        <v>55</v>
      </c>
      <c r="D4811" s="1" t="s">
        <v>217</v>
      </c>
      <c r="E4811" s="1" t="n">
        <v>4</v>
      </c>
      <c r="F4811" s="1" t="n">
        <v>123.38</v>
      </c>
      <c r="G4811" s="1" t="n">
        <v>0.05</v>
      </c>
      <c r="H4811" s="1" t="s">
        <v>1346</v>
      </c>
      <c r="I4811" s="1" t="n">
        <v>468.84</v>
      </c>
      <c r="J4811" s="1" t="str">
        <f aca="false">VLOOKUP(B4811,Customers!$A$2:$G$502,6,FALSE())</f>
        <v>Small Business</v>
      </c>
      <c r="K4811" s="1" t="str">
        <f aca="false">VLOOKUP(C4811,Products!$A$2:$E$62,3,FALSE())</f>
        <v>Furniture</v>
      </c>
      <c r="L4811" s="1" t="str">
        <f aca="false">TEXT(D4811,"yyyy-mm")</f>
        <v>2024-07</v>
      </c>
    </row>
    <row r="4812" customFormat="false" ht="15" hidden="false" customHeight="true" outlineLevel="0" collapsed="false">
      <c r="A4812" s="1" t="n">
        <v>4916</v>
      </c>
      <c r="B4812" s="1" t="n">
        <v>153</v>
      </c>
      <c r="C4812" s="1" t="n">
        <v>29</v>
      </c>
      <c r="D4812" s="1" t="s">
        <v>1649</v>
      </c>
      <c r="E4812" s="1" t="n">
        <v>6</v>
      </c>
      <c r="F4812" s="1" t="n">
        <v>54.62</v>
      </c>
      <c r="G4812" s="1" t="n">
        <v>0</v>
      </c>
      <c r="H4812" s="1" t="s">
        <v>1336</v>
      </c>
      <c r="I4812" s="1" t="n">
        <v>327.72</v>
      </c>
      <c r="J4812" s="1" t="str">
        <f aca="false">VLOOKUP(B4812,Customers!$A$2:$G$502,6,FALSE())</f>
        <v>Corporate</v>
      </c>
      <c r="K4812" s="1" t="str">
        <f aca="false">VLOOKUP(C4812,Products!$A$2:$E$62,3,FALSE())</f>
        <v>Office Supplies</v>
      </c>
      <c r="L4812" s="1" t="str">
        <f aca="false">TEXT(D4812,"yyyy-mm")</f>
        <v>2024-01</v>
      </c>
    </row>
    <row r="4813" customFormat="false" ht="15" hidden="false" customHeight="true" outlineLevel="0" collapsed="false">
      <c r="A4813" s="1" t="n">
        <v>4917</v>
      </c>
      <c r="B4813" s="1" t="n">
        <v>108</v>
      </c>
      <c r="C4813" s="1" t="n">
        <v>2</v>
      </c>
      <c r="D4813" s="1" t="s">
        <v>1477</v>
      </c>
      <c r="E4813" s="1" t="n">
        <v>9</v>
      </c>
      <c r="F4813" s="1" t="n">
        <v>498.15</v>
      </c>
      <c r="G4813" s="1" t="n">
        <v>0</v>
      </c>
      <c r="H4813" s="1" t="s">
        <v>1336</v>
      </c>
      <c r="I4813" s="1" t="n">
        <v>4483.35</v>
      </c>
      <c r="J4813" s="1" t="str">
        <f aca="false">VLOOKUP(B4813,Customers!$A$2:$G$502,6,FALSE())</f>
        <v>Consumer</v>
      </c>
      <c r="K4813" s="1" t="str">
        <f aca="false">VLOOKUP(C4813,Products!$A$2:$E$62,3,FALSE())</f>
        <v>Electronics</v>
      </c>
      <c r="L4813" s="1" t="str">
        <f aca="false">TEXT(D4813,"yyyy-mm")</f>
        <v>2024-08</v>
      </c>
    </row>
    <row r="4814" customFormat="false" ht="15" hidden="false" customHeight="true" outlineLevel="0" collapsed="false">
      <c r="A4814" s="1" t="n">
        <v>4918</v>
      </c>
      <c r="B4814" s="1" t="n">
        <v>334</v>
      </c>
      <c r="C4814" s="1" t="n">
        <v>41</v>
      </c>
      <c r="D4814" s="1" t="s">
        <v>39</v>
      </c>
      <c r="E4814" s="1" t="n">
        <v>5</v>
      </c>
      <c r="F4814" s="1" t="n">
        <v>594.54</v>
      </c>
      <c r="G4814" s="1" t="n">
        <v>0.05</v>
      </c>
      <c r="H4814" s="1" t="s">
        <v>1336</v>
      </c>
      <c r="I4814" s="1" t="n">
        <v>2824.06</v>
      </c>
      <c r="J4814" s="1" t="str">
        <f aca="false">VLOOKUP(B4814,Customers!$A$2:$G$502,6,FALSE())</f>
        <v>Unknown</v>
      </c>
      <c r="K4814" s="1" t="str">
        <f aca="false">VLOOKUP(C4814,Products!$A$2:$E$62,3,FALSE())</f>
        <v>Software</v>
      </c>
      <c r="L4814" s="1" t="str">
        <f aca="false">TEXT(D4814,"yyyy-mm")</f>
        <v>2023-10</v>
      </c>
    </row>
    <row r="4815" customFormat="false" ht="15" hidden="false" customHeight="true" outlineLevel="0" collapsed="false">
      <c r="A4815" s="1" t="n">
        <v>4919</v>
      </c>
      <c r="B4815" s="1" t="n">
        <v>204</v>
      </c>
      <c r="C4815" s="1" t="n">
        <v>13</v>
      </c>
      <c r="D4815" s="1" t="s">
        <v>726</v>
      </c>
      <c r="E4815" s="1" t="n">
        <v>9</v>
      </c>
      <c r="F4815" s="1" t="n">
        <v>352.54</v>
      </c>
      <c r="G4815" s="1" t="n">
        <v>0</v>
      </c>
      <c r="H4815" s="1" t="s">
        <v>1336</v>
      </c>
      <c r="I4815" s="1" t="n">
        <v>3172.86</v>
      </c>
      <c r="J4815" s="1" t="str">
        <f aca="false">VLOOKUP(B4815,Customers!$A$2:$G$502,6,FALSE())</f>
        <v>Small Business</v>
      </c>
      <c r="K4815" s="1" t="str">
        <f aca="false">VLOOKUP(C4815,Products!$A$2:$E$62,3,FALSE())</f>
        <v>Electronics</v>
      </c>
      <c r="L4815" s="1" t="str">
        <f aca="false">TEXT(D4815,"yyyy-mm")</f>
        <v>2023-09</v>
      </c>
    </row>
    <row r="4816" customFormat="false" ht="15" hidden="false" customHeight="true" outlineLevel="0" collapsed="false">
      <c r="A4816" s="1" t="n">
        <v>4920</v>
      </c>
      <c r="B4816" s="1" t="n">
        <v>382</v>
      </c>
      <c r="C4816" s="1" t="n">
        <v>26</v>
      </c>
      <c r="D4816" s="1" t="s">
        <v>1553</v>
      </c>
      <c r="E4816" s="1" t="n">
        <v>5</v>
      </c>
      <c r="F4816" s="1" t="n">
        <v>733.85</v>
      </c>
      <c r="G4816" s="1" t="n">
        <v>0.1</v>
      </c>
      <c r="H4816" s="1" t="s">
        <v>1336</v>
      </c>
      <c r="I4816" s="1" t="n">
        <v>3302.32</v>
      </c>
      <c r="J4816" s="1" t="str">
        <f aca="false">VLOOKUP(B4816,Customers!$A$2:$G$502,6,FALSE())</f>
        <v>Corporate</v>
      </c>
      <c r="K4816" s="1" t="str">
        <f aca="false">VLOOKUP(C4816,Products!$A$2:$E$62,3,FALSE())</f>
        <v>Office Supplies</v>
      </c>
      <c r="L4816" s="1" t="str">
        <f aca="false">TEXT(D4816,"yyyy-mm")</f>
        <v>2023-06</v>
      </c>
    </row>
    <row r="4817" customFormat="false" ht="15" hidden="false" customHeight="true" outlineLevel="0" collapsed="false">
      <c r="A4817" s="1" t="n">
        <v>4921</v>
      </c>
      <c r="B4817" s="1" t="n">
        <v>160</v>
      </c>
      <c r="C4817" s="1" t="n">
        <v>39</v>
      </c>
      <c r="D4817" s="1" t="s">
        <v>994</v>
      </c>
      <c r="E4817" s="1" t="n">
        <v>8</v>
      </c>
      <c r="F4817" s="1" t="n">
        <v>400.02</v>
      </c>
      <c r="G4817" s="1" t="n">
        <v>0.1</v>
      </c>
      <c r="H4817" s="1" t="s">
        <v>1336</v>
      </c>
      <c r="I4817" s="1" t="n">
        <v>2880.14</v>
      </c>
      <c r="J4817" s="1" t="str">
        <f aca="false">VLOOKUP(B4817,Customers!$A$2:$G$502,6,FALSE())</f>
        <v>Consumer</v>
      </c>
      <c r="K4817" s="1" t="str">
        <f aca="false">VLOOKUP(C4817,Products!$A$2:$E$62,3,FALSE())</f>
        <v>Software</v>
      </c>
      <c r="L4817" s="1" t="str">
        <f aca="false">TEXT(D4817,"yyyy-mm")</f>
        <v>2023-02</v>
      </c>
    </row>
    <row r="4818" customFormat="false" ht="15" hidden="false" customHeight="true" outlineLevel="0" collapsed="false">
      <c r="A4818" s="1" t="n">
        <v>4922</v>
      </c>
      <c r="B4818" s="1" t="n">
        <v>293</v>
      </c>
      <c r="C4818" s="1" t="n">
        <v>6</v>
      </c>
      <c r="D4818" s="1" t="s">
        <v>1612</v>
      </c>
      <c r="E4818" s="1" t="n">
        <v>1</v>
      </c>
      <c r="F4818" s="1" t="n">
        <v>28.51</v>
      </c>
      <c r="G4818" s="1" t="n">
        <v>0</v>
      </c>
      <c r="H4818" s="1" t="s">
        <v>1336</v>
      </c>
      <c r="I4818" s="1" t="n">
        <v>28.51</v>
      </c>
      <c r="J4818" s="1" t="str">
        <f aca="false">VLOOKUP(B4818,Customers!$A$2:$G$502,6,FALSE())</f>
        <v>Small Business</v>
      </c>
      <c r="K4818" s="1" t="str">
        <f aca="false">VLOOKUP(C4818,Products!$A$2:$E$62,3,FALSE())</f>
        <v>Electronics</v>
      </c>
      <c r="L4818" s="1" t="str">
        <f aca="false">TEXT(D4818,"yyyy-mm")</f>
        <v>2024-10</v>
      </c>
    </row>
    <row r="4819" customFormat="false" ht="15" hidden="false" customHeight="true" outlineLevel="0" collapsed="false">
      <c r="A4819" s="1" t="n">
        <v>4923</v>
      </c>
      <c r="B4819" s="1" t="n">
        <v>114</v>
      </c>
      <c r="C4819" s="1" t="n">
        <v>55</v>
      </c>
      <c r="D4819" s="1" t="s">
        <v>856</v>
      </c>
      <c r="E4819" s="1" t="n">
        <v>7</v>
      </c>
      <c r="F4819" s="1" t="n">
        <v>123.38</v>
      </c>
      <c r="G4819" s="1" t="n">
        <v>0</v>
      </c>
      <c r="H4819" s="1" t="s">
        <v>1336</v>
      </c>
      <c r="I4819" s="1" t="n">
        <v>863.66</v>
      </c>
      <c r="J4819" s="1" t="str">
        <f aca="false">VLOOKUP(B4819,Customers!$A$2:$G$502,6,FALSE())</f>
        <v>Consumer</v>
      </c>
      <c r="K4819" s="1" t="str">
        <f aca="false">VLOOKUP(C4819,Products!$A$2:$E$62,3,FALSE())</f>
        <v>Furniture</v>
      </c>
      <c r="L4819" s="1" t="str">
        <f aca="false">TEXT(D4819,"yyyy-mm")</f>
        <v>2024-11</v>
      </c>
    </row>
    <row r="4820" customFormat="false" ht="15" hidden="false" customHeight="true" outlineLevel="0" collapsed="false">
      <c r="A4820" s="1" t="n">
        <v>4924</v>
      </c>
      <c r="B4820" s="1" t="n">
        <v>199</v>
      </c>
      <c r="C4820" s="1" t="n">
        <v>27</v>
      </c>
      <c r="D4820" s="1" t="s">
        <v>1267</v>
      </c>
      <c r="E4820" s="1" t="n">
        <v>4</v>
      </c>
      <c r="F4820" s="1" t="n">
        <v>772.58</v>
      </c>
      <c r="G4820" s="1" t="n">
        <v>0.2</v>
      </c>
      <c r="H4820" s="1" t="s">
        <v>1336</v>
      </c>
      <c r="I4820" s="1" t="n">
        <v>2472.26</v>
      </c>
      <c r="J4820" s="1" t="str">
        <f aca="false">VLOOKUP(B4820,Customers!$A$2:$G$502,6,FALSE())</f>
        <v>Corporate</v>
      </c>
      <c r="K4820" s="1" t="str">
        <f aca="false">VLOOKUP(C4820,Products!$A$2:$E$62,3,FALSE())</f>
        <v>Office Supplies</v>
      </c>
      <c r="L4820" s="1" t="str">
        <f aca="false">TEXT(D4820,"yyyy-mm")</f>
        <v>2023-08</v>
      </c>
    </row>
    <row r="4821" customFormat="false" ht="15" hidden="false" customHeight="true" outlineLevel="0" collapsed="false">
      <c r="A4821" s="1" t="n">
        <v>4925</v>
      </c>
      <c r="B4821" s="1" t="n">
        <v>141</v>
      </c>
      <c r="C4821" s="1" t="n">
        <v>24</v>
      </c>
      <c r="D4821" s="1" t="s">
        <v>1536</v>
      </c>
      <c r="E4821" s="1" t="n">
        <v>5</v>
      </c>
      <c r="F4821" s="1" t="n">
        <v>207.34</v>
      </c>
      <c r="G4821" s="1" t="n">
        <v>0</v>
      </c>
      <c r="H4821" s="1" t="s">
        <v>1336</v>
      </c>
      <c r="I4821" s="1" t="n">
        <v>1036.7</v>
      </c>
      <c r="J4821" s="1" t="str">
        <f aca="false">VLOOKUP(B4821,Customers!$A$2:$G$502,6,FALSE())</f>
        <v>Small Business</v>
      </c>
      <c r="K4821" s="1" t="str">
        <f aca="false">VLOOKUP(C4821,Products!$A$2:$E$62,3,FALSE())</f>
        <v>Office Supplies</v>
      </c>
      <c r="L4821" s="1" t="str">
        <f aca="false">TEXT(D4821,"yyyy-mm")</f>
        <v>2023-11</v>
      </c>
    </row>
    <row r="4822" customFormat="false" ht="15" hidden="false" customHeight="true" outlineLevel="0" collapsed="false">
      <c r="A4822" s="1" t="n">
        <v>4926</v>
      </c>
      <c r="B4822" s="1" t="n">
        <v>316</v>
      </c>
      <c r="C4822" s="1" t="n">
        <v>59</v>
      </c>
      <c r="D4822" s="1" t="s">
        <v>1347</v>
      </c>
      <c r="E4822" s="1" t="n">
        <v>6</v>
      </c>
      <c r="F4822" s="1" t="n">
        <v>438.89</v>
      </c>
      <c r="G4822" s="1" t="n">
        <v>0</v>
      </c>
      <c r="H4822" s="1" t="s">
        <v>1336</v>
      </c>
      <c r="I4822" s="1" t="n">
        <v>2633.34</v>
      </c>
      <c r="J4822" s="1" t="str">
        <f aca="false">VLOOKUP(B4822,Customers!$A$2:$G$502,6,FALSE())</f>
        <v>Small Business</v>
      </c>
      <c r="K4822" s="1" t="str">
        <f aca="false">VLOOKUP(C4822,Products!$A$2:$E$62,3,FALSE())</f>
        <v>Furniture</v>
      </c>
      <c r="L4822" s="1" t="str">
        <f aca="false">TEXT(D4822,"yyyy-mm")</f>
        <v>2024-01</v>
      </c>
    </row>
    <row r="4823" customFormat="false" ht="15" hidden="false" customHeight="true" outlineLevel="0" collapsed="false">
      <c r="A4823" s="1" t="n">
        <v>4927</v>
      </c>
      <c r="B4823" s="1" t="n">
        <v>325</v>
      </c>
      <c r="C4823" s="1" t="n">
        <v>1</v>
      </c>
      <c r="D4823" s="1" t="s">
        <v>1133</v>
      </c>
      <c r="E4823" s="1" t="n">
        <v>5</v>
      </c>
      <c r="F4823" s="1" t="n">
        <v>327.32</v>
      </c>
      <c r="G4823" s="1" t="n">
        <v>0</v>
      </c>
      <c r="H4823" s="1" t="s">
        <v>1336</v>
      </c>
      <c r="I4823" s="1" t="n">
        <v>1636.6</v>
      </c>
      <c r="J4823" s="1" t="str">
        <f aca="false">VLOOKUP(B4823,Customers!$A$2:$G$502,6,FALSE())</f>
        <v>Small Business</v>
      </c>
      <c r="K4823" s="1" t="str">
        <f aca="false">VLOOKUP(C4823,Products!$A$2:$E$62,3,FALSE())</f>
        <v>Electronics</v>
      </c>
      <c r="L4823" s="1" t="str">
        <f aca="false">TEXT(D4823,"yyyy-mm")</f>
        <v>2024-06</v>
      </c>
    </row>
    <row r="4824" customFormat="false" ht="15" hidden="false" customHeight="true" outlineLevel="0" collapsed="false">
      <c r="A4824" s="1" t="n">
        <v>4928</v>
      </c>
      <c r="B4824" s="1" t="n">
        <v>213</v>
      </c>
      <c r="C4824" s="1" t="n">
        <v>48</v>
      </c>
      <c r="D4824" s="1" t="s">
        <v>1230</v>
      </c>
      <c r="E4824" s="1" t="n">
        <v>1</v>
      </c>
      <c r="F4824" s="1" t="n">
        <v>493.53</v>
      </c>
      <c r="G4824" s="1" t="n">
        <v>0.15</v>
      </c>
      <c r="H4824" s="1" t="s">
        <v>1336</v>
      </c>
      <c r="I4824" s="1" t="n">
        <v>419.5</v>
      </c>
      <c r="J4824" s="1" t="str">
        <f aca="false">VLOOKUP(B4824,Customers!$A$2:$G$502,6,FALSE())</f>
        <v>Small Business</v>
      </c>
      <c r="K4824" s="1" t="str">
        <f aca="false">VLOOKUP(C4824,Products!$A$2:$E$62,3,FALSE())</f>
        <v>Software</v>
      </c>
      <c r="L4824" s="1" t="str">
        <f aca="false">TEXT(D4824,"yyyy-mm")</f>
        <v>2023-02</v>
      </c>
    </row>
    <row r="4825" customFormat="false" ht="15" hidden="false" customHeight="true" outlineLevel="0" collapsed="false">
      <c r="A4825" s="1" t="n">
        <v>4929</v>
      </c>
      <c r="B4825" s="1" t="n">
        <v>152</v>
      </c>
      <c r="C4825" s="1" t="n">
        <v>27</v>
      </c>
      <c r="D4825" s="1" t="s">
        <v>941</v>
      </c>
      <c r="E4825" s="1" t="n">
        <v>9</v>
      </c>
      <c r="F4825" s="1" t="n">
        <v>772.58</v>
      </c>
      <c r="G4825" s="1" t="n">
        <v>0</v>
      </c>
      <c r="H4825" s="1" t="s">
        <v>1336</v>
      </c>
      <c r="I4825" s="1" t="n">
        <v>6953.22</v>
      </c>
      <c r="J4825" s="1" t="str">
        <f aca="false">VLOOKUP(B4825,Customers!$A$2:$G$502,6,FALSE())</f>
        <v>Corporate</v>
      </c>
      <c r="K4825" s="1" t="str">
        <f aca="false">VLOOKUP(C4825,Products!$A$2:$E$62,3,FALSE())</f>
        <v>Office Supplies</v>
      </c>
      <c r="L4825" s="1" t="str">
        <f aca="false">TEXT(D4825,"yyyy-mm")</f>
        <v>2024-08</v>
      </c>
    </row>
    <row r="4826" customFormat="false" ht="15" hidden="false" customHeight="true" outlineLevel="0" collapsed="false">
      <c r="A4826" s="1" t="n">
        <v>4930</v>
      </c>
      <c r="B4826" s="1" t="n">
        <v>262</v>
      </c>
      <c r="C4826" s="1" t="n">
        <v>54</v>
      </c>
      <c r="D4826" s="1" t="s">
        <v>1538</v>
      </c>
      <c r="E4826" s="1" t="n">
        <v>2</v>
      </c>
      <c r="F4826" s="1" t="n">
        <v>312.01</v>
      </c>
      <c r="G4826" s="1" t="n">
        <v>0.1</v>
      </c>
      <c r="H4826" s="1" t="s">
        <v>1336</v>
      </c>
      <c r="I4826" s="1" t="n">
        <v>561.62</v>
      </c>
      <c r="J4826" s="1" t="str">
        <f aca="false">VLOOKUP(B4826,Customers!$A$2:$G$502,6,FALSE())</f>
        <v>Small Business</v>
      </c>
      <c r="K4826" s="1" t="str">
        <f aca="false">VLOOKUP(C4826,Products!$A$2:$E$62,3,FALSE())</f>
        <v>Software</v>
      </c>
      <c r="L4826" s="1" t="str">
        <f aca="false">TEXT(D4826,"yyyy-mm")</f>
        <v>2024-10</v>
      </c>
    </row>
    <row r="4827" customFormat="false" ht="15" hidden="false" customHeight="true" outlineLevel="0" collapsed="false">
      <c r="A4827" s="1" t="n">
        <v>4931</v>
      </c>
      <c r="B4827" s="1" t="n">
        <v>462</v>
      </c>
      <c r="C4827" s="1" t="n">
        <v>20</v>
      </c>
      <c r="D4827" s="1" t="s">
        <v>24</v>
      </c>
      <c r="E4827" s="1" t="n">
        <v>9</v>
      </c>
      <c r="F4827" s="1" t="n">
        <v>426.15</v>
      </c>
      <c r="G4827" s="1" t="n">
        <v>0</v>
      </c>
      <c r="H4827" s="1" t="s">
        <v>1370</v>
      </c>
      <c r="I4827" s="1" t="n">
        <v>3835.35</v>
      </c>
      <c r="J4827" s="1" t="str">
        <f aca="false">VLOOKUP(B4827,Customers!$A$2:$G$502,6,FALSE())</f>
        <v>Small Business</v>
      </c>
      <c r="K4827" s="1" t="str">
        <f aca="false">VLOOKUP(C4827,Products!$A$2:$E$62,3,FALSE())</f>
        <v>Office Supplies</v>
      </c>
      <c r="L4827" s="1" t="str">
        <f aca="false">TEXT(D4827,"yyyy-mm")</f>
        <v>2023-10</v>
      </c>
    </row>
    <row r="4828" customFormat="false" ht="15" hidden="false" customHeight="true" outlineLevel="0" collapsed="false">
      <c r="A4828" s="1" t="n">
        <v>4932</v>
      </c>
      <c r="B4828" s="1" t="n">
        <v>148</v>
      </c>
      <c r="C4828" s="1" t="n">
        <v>21</v>
      </c>
      <c r="D4828" s="1" t="s">
        <v>1448</v>
      </c>
      <c r="E4828" s="1" t="n">
        <v>2</v>
      </c>
      <c r="F4828" s="1" t="n">
        <v>84.91</v>
      </c>
      <c r="G4828" s="1" t="n">
        <v>0.2</v>
      </c>
      <c r="H4828" s="1" t="s">
        <v>1346</v>
      </c>
      <c r="I4828" s="1" t="n">
        <v>135.86</v>
      </c>
      <c r="J4828" s="1" t="str">
        <f aca="false">VLOOKUP(B4828,Customers!$A$2:$G$502,6,FALSE())</f>
        <v>Corporate</v>
      </c>
      <c r="K4828" s="1" t="str">
        <f aca="false">VLOOKUP(C4828,Products!$A$2:$E$62,3,FALSE())</f>
        <v>Office Supplies</v>
      </c>
      <c r="L4828" s="1" t="str">
        <f aca="false">TEXT(D4828,"yyyy-mm")</f>
        <v>2024-04</v>
      </c>
    </row>
    <row r="4829" customFormat="false" ht="15" hidden="false" customHeight="true" outlineLevel="0" collapsed="false">
      <c r="A4829" s="1" t="n">
        <v>4933</v>
      </c>
      <c r="B4829" s="1" t="n">
        <v>179</v>
      </c>
      <c r="C4829" s="1" t="n">
        <v>4</v>
      </c>
      <c r="D4829" s="1" t="s">
        <v>769</v>
      </c>
      <c r="E4829" s="1" t="n">
        <v>9</v>
      </c>
      <c r="F4829" s="1" t="n">
        <v>56.24</v>
      </c>
      <c r="G4829" s="1" t="n">
        <v>0.15</v>
      </c>
      <c r="H4829" s="1" t="s">
        <v>1336</v>
      </c>
      <c r="I4829" s="1" t="n">
        <v>430.24</v>
      </c>
      <c r="J4829" s="1" t="str">
        <f aca="false">VLOOKUP(B4829,Customers!$A$2:$G$502,6,FALSE())</f>
        <v>Small Business</v>
      </c>
      <c r="K4829" s="1" t="str">
        <f aca="false">VLOOKUP(C4829,Products!$A$2:$E$62,3,FALSE())</f>
        <v>Electronics</v>
      </c>
      <c r="L4829" s="1" t="str">
        <f aca="false">TEXT(D4829,"yyyy-mm")</f>
        <v>2023-07</v>
      </c>
    </row>
    <row r="4830" customFormat="false" ht="15" hidden="false" customHeight="true" outlineLevel="0" collapsed="false">
      <c r="A4830" s="1" t="n">
        <v>4934</v>
      </c>
      <c r="B4830" s="1" t="n">
        <v>178</v>
      </c>
      <c r="C4830" s="1" t="n">
        <v>18</v>
      </c>
      <c r="D4830" s="1" t="s">
        <v>1695</v>
      </c>
      <c r="E4830" s="1" t="n">
        <v>6</v>
      </c>
      <c r="F4830" s="1" t="n">
        <v>747.34</v>
      </c>
      <c r="G4830" s="1" t="n">
        <v>0.2</v>
      </c>
      <c r="H4830" s="1" t="s">
        <v>1336</v>
      </c>
      <c r="I4830" s="1" t="n">
        <v>3587.23</v>
      </c>
      <c r="J4830" s="1" t="str">
        <f aca="false">VLOOKUP(B4830,Customers!$A$2:$G$502,6,FALSE())</f>
        <v>Consumer</v>
      </c>
      <c r="K4830" s="1" t="str">
        <f aca="false">VLOOKUP(C4830,Products!$A$2:$E$62,3,FALSE())</f>
        <v>Electronics</v>
      </c>
      <c r="L4830" s="1" t="str">
        <f aca="false">TEXT(D4830,"yyyy-mm")</f>
        <v>2023-09</v>
      </c>
    </row>
    <row r="4831" customFormat="false" ht="15" hidden="false" customHeight="true" outlineLevel="0" collapsed="false">
      <c r="A4831" s="1" t="n">
        <v>4935</v>
      </c>
      <c r="B4831" s="1" t="n">
        <v>8</v>
      </c>
      <c r="C4831" s="1" t="n">
        <v>44</v>
      </c>
      <c r="D4831" s="1" t="s">
        <v>188</v>
      </c>
      <c r="E4831" s="1" t="n">
        <v>9</v>
      </c>
      <c r="F4831" s="1" t="n">
        <v>508.26</v>
      </c>
      <c r="G4831" s="1" t="n">
        <v>0</v>
      </c>
      <c r="H4831" s="1" t="s">
        <v>1336</v>
      </c>
      <c r="I4831" s="1" t="n">
        <v>4574.34</v>
      </c>
      <c r="J4831" s="1" t="str">
        <f aca="false">VLOOKUP(B4831,Customers!$A$2:$G$502,6,FALSE())</f>
        <v>Consumer</v>
      </c>
      <c r="K4831" s="1" t="str">
        <f aca="false">VLOOKUP(C4831,Products!$A$2:$E$62,3,FALSE())</f>
        <v>Software</v>
      </c>
      <c r="L4831" s="1" t="str">
        <f aca="false">TEXT(D4831,"yyyy-mm")</f>
        <v>2024-04</v>
      </c>
    </row>
    <row r="4832" customFormat="false" ht="15" hidden="false" customHeight="true" outlineLevel="0" collapsed="false">
      <c r="A4832" s="1" t="n">
        <v>4936</v>
      </c>
      <c r="B4832" s="1" t="n">
        <v>338</v>
      </c>
      <c r="C4832" s="1" t="n">
        <v>2</v>
      </c>
      <c r="D4832" s="1" t="s">
        <v>1686</v>
      </c>
      <c r="E4832" s="1" t="n">
        <v>6</v>
      </c>
      <c r="F4832" s="1" t="n">
        <v>498.15</v>
      </c>
      <c r="G4832" s="1" t="n">
        <v>0.15</v>
      </c>
      <c r="H4832" s="1" t="s">
        <v>1346</v>
      </c>
      <c r="I4832" s="1" t="n">
        <v>2540.56</v>
      </c>
      <c r="J4832" s="1" t="str">
        <f aca="false">VLOOKUP(B4832,Customers!$A$2:$G$502,6,FALSE())</f>
        <v>Corporate</v>
      </c>
      <c r="K4832" s="1" t="str">
        <f aca="false">VLOOKUP(C4832,Products!$A$2:$E$62,3,FALSE())</f>
        <v>Electronics</v>
      </c>
      <c r="L4832" s="1" t="str">
        <f aca="false">TEXT(D4832,"yyyy-mm")</f>
        <v>2023-12</v>
      </c>
    </row>
    <row r="4833" customFormat="false" ht="15" hidden="false" customHeight="true" outlineLevel="0" collapsed="false">
      <c r="A4833" s="1" t="n">
        <v>4937</v>
      </c>
      <c r="B4833" s="1" t="n">
        <v>130</v>
      </c>
      <c r="C4833" s="1" t="n">
        <v>35</v>
      </c>
      <c r="D4833" s="1" t="s">
        <v>440</v>
      </c>
      <c r="E4833" s="1" t="n">
        <v>6</v>
      </c>
      <c r="F4833" s="1" t="n">
        <v>75.78</v>
      </c>
      <c r="G4833" s="1" t="n">
        <v>0</v>
      </c>
      <c r="H4833" s="1" t="s">
        <v>1346</v>
      </c>
      <c r="I4833" s="1" t="n">
        <v>454.68</v>
      </c>
      <c r="J4833" s="1" t="str">
        <f aca="false">VLOOKUP(B4833,Customers!$A$2:$G$502,6,FALSE())</f>
        <v>Consumer</v>
      </c>
      <c r="K4833" s="1" t="str">
        <f aca="false">VLOOKUP(C4833,Products!$A$2:$E$62,3,FALSE())</f>
        <v>Software</v>
      </c>
      <c r="L4833" s="1" t="str">
        <f aca="false">TEXT(D4833,"yyyy-mm")</f>
        <v>2023-12</v>
      </c>
    </row>
    <row r="4834" customFormat="false" ht="15" hidden="false" customHeight="true" outlineLevel="0" collapsed="false">
      <c r="A4834" s="1" t="n">
        <v>4938</v>
      </c>
      <c r="B4834" s="1" t="n">
        <v>42</v>
      </c>
      <c r="C4834" s="1" t="n">
        <v>17</v>
      </c>
      <c r="D4834" s="1" t="s">
        <v>1701</v>
      </c>
      <c r="E4834" s="1" t="n">
        <v>2</v>
      </c>
      <c r="F4834" s="1" t="n">
        <v>65.61</v>
      </c>
      <c r="G4834" s="1" t="n">
        <v>0.1</v>
      </c>
      <c r="H4834" s="1" t="s">
        <v>1336</v>
      </c>
      <c r="I4834" s="1" t="n">
        <v>118.1</v>
      </c>
      <c r="J4834" s="1" t="str">
        <f aca="false">VLOOKUP(B4834,Customers!$A$2:$G$502,6,FALSE())</f>
        <v>Small Business</v>
      </c>
      <c r="K4834" s="1" t="str">
        <f aca="false">VLOOKUP(C4834,Products!$A$2:$E$62,3,FALSE())</f>
        <v>Electronics</v>
      </c>
      <c r="L4834" s="1" t="str">
        <f aca="false">TEXT(D4834,"yyyy-mm")</f>
        <v>2024-04</v>
      </c>
    </row>
    <row r="4835" customFormat="false" ht="15" hidden="false" customHeight="true" outlineLevel="0" collapsed="false">
      <c r="A4835" s="1" t="n">
        <v>4939</v>
      </c>
      <c r="B4835" s="1" t="n">
        <v>289</v>
      </c>
      <c r="C4835" s="1" t="n">
        <v>59</v>
      </c>
      <c r="D4835" s="1" t="s">
        <v>1611</v>
      </c>
      <c r="E4835" s="1" t="n">
        <v>8</v>
      </c>
      <c r="F4835" s="1" t="n">
        <v>438.89</v>
      </c>
      <c r="G4835" s="1" t="n">
        <v>0.15</v>
      </c>
      <c r="H4835" s="1" t="s">
        <v>1336</v>
      </c>
      <c r="I4835" s="1" t="n">
        <v>2984.45</v>
      </c>
      <c r="J4835" s="1" t="str">
        <f aca="false">VLOOKUP(B4835,Customers!$A$2:$G$502,6,FALSE())</f>
        <v>Consumer</v>
      </c>
      <c r="K4835" s="1" t="str">
        <f aca="false">VLOOKUP(C4835,Products!$A$2:$E$62,3,FALSE())</f>
        <v>Furniture</v>
      </c>
      <c r="L4835" s="1" t="str">
        <f aca="false">TEXT(D4835,"yyyy-mm")</f>
        <v>2024-07</v>
      </c>
    </row>
    <row r="4836" customFormat="false" ht="15" hidden="false" customHeight="true" outlineLevel="0" collapsed="false">
      <c r="A4836" s="1" t="n">
        <v>4940</v>
      </c>
      <c r="B4836" s="1" t="n">
        <v>421</v>
      </c>
      <c r="C4836" s="1" t="n">
        <v>51</v>
      </c>
      <c r="D4836" s="1" t="s">
        <v>1562</v>
      </c>
      <c r="E4836" s="1" t="n">
        <v>3</v>
      </c>
      <c r="F4836" s="1" t="n">
        <v>30.16</v>
      </c>
      <c r="G4836" s="1" t="n">
        <v>0.1</v>
      </c>
      <c r="H4836" s="1" t="s">
        <v>1370</v>
      </c>
      <c r="I4836" s="1" t="n">
        <v>81.43</v>
      </c>
      <c r="J4836" s="1" t="str">
        <f aca="false">VLOOKUP(B4836,Customers!$A$2:$G$502,6,FALSE())</f>
        <v>Corporate</v>
      </c>
      <c r="K4836" s="1" t="str">
        <f aca="false">VLOOKUP(C4836,Products!$A$2:$E$62,3,FALSE())</f>
        <v>Software</v>
      </c>
      <c r="L4836" s="1" t="str">
        <f aca="false">TEXT(D4836,"yyyy-mm")</f>
        <v>2023-07</v>
      </c>
    </row>
    <row r="4837" customFormat="false" ht="15" hidden="false" customHeight="true" outlineLevel="0" collapsed="false">
      <c r="A4837" s="1" t="n">
        <v>4941</v>
      </c>
      <c r="B4837" s="1" t="n">
        <v>93</v>
      </c>
      <c r="C4837" s="1" t="n">
        <v>4</v>
      </c>
      <c r="D4837" s="1" t="s">
        <v>599</v>
      </c>
      <c r="E4837" s="1" t="n">
        <v>7</v>
      </c>
      <c r="F4837" s="1" t="n">
        <v>56.24</v>
      </c>
      <c r="G4837" s="1" t="n">
        <v>0.1</v>
      </c>
      <c r="H4837" s="1" t="s">
        <v>1336</v>
      </c>
      <c r="I4837" s="1" t="n">
        <v>354.31</v>
      </c>
      <c r="J4837" s="1" t="str">
        <f aca="false">VLOOKUP(B4837,Customers!$A$2:$G$502,6,FALSE())</f>
        <v>Consumer</v>
      </c>
      <c r="K4837" s="1" t="str">
        <f aca="false">VLOOKUP(C4837,Products!$A$2:$E$62,3,FALSE())</f>
        <v>Electronics</v>
      </c>
      <c r="L4837" s="1" t="str">
        <f aca="false">TEXT(D4837,"yyyy-mm")</f>
        <v>2024-06</v>
      </c>
    </row>
    <row r="4838" customFormat="false" ht="15" hidden="false" customHeight="true" outlineLevel="0" collapsed="false">
      <c r="A4838" s="1" t="n">
        <v>4942</v>
      </c>
      <c r="B4838" s="1" t="n">
        <v>447</v>
      </c>
      <c r="C4838" s="1" t="n">
        <v>26</v>
      </c>
      <c r="D4838" s="1" t="s">
        <v>1410</v>
      </c>
      <c r="E4838" s="1" t="n">
        <v>5</v>
      </c>
      <c r="F4838" s="1" t="n">
        <v>733.85</v>
      </c>
      <c r="G4838" s="1" t="n">
        <v>0</v>
      </c>
      <c r="H4838" s="1" t="s">
        <v>1336</v>
      </c>
      <c r="I4838" s="1" t="n">
        <v>3669.25</v>
      </c>
      <c r="J4838" s="1" t="str">
        <f aca="false">VLOOKUP(B4838,Customers!$A$2:$G$502,6,FALSE())</f>
        <v>Small Business</v>
      </c>
      <c r="K4838" s="1" t="str">
        <f aca="false">VLOOKUP(C4838,Products!$A$2:$E$62,3,FALSE())</f>
        <v>Office Supplies</v>
      </c>
      <c r="L4838" s="1" t="str">
        <f aca="false">TEXT(D4838,"yyyy-mm")</f>
        <v>2024-07</v>
      </c>
    </row>
    <row r="4839" customFormat="false" ht="15" hidden="false" customHeight="true" outlineLevel="0" collapsed="false">
      <c r="A4839" s="1" t="n">
        <v>4943</v>
      </c>
      <c r="B4839" s="1" t="n">
        <v>172</v>
      </c>
      <c r="C4839" s="1" t="n">
        <v>3</v>
      </c>
      <c r="D4839" s="1" t="s">
        <v>527</v>
      </c>
      <c r="E4839" s="1" t="n">
        <v>3</v>
      </c>
      <c r="F4839" s="1" t="n">
        <v>89.39</v>
      </c>
      <c r="G4839" s="1" t="n">
        <v>0.2</v>
      </c>
      <c r="H4839" s="1" t="s">
        <v>1336</v>
      </c>
      <c r="I4839" s="1" t="n">
        <v>214.54</v>
      </c>
      <c r="J4839" s="1" t="str">
        <f aca="false">VLOOKUP(B4839,Customers!$A$2:$G$502,6,FALSE())</f>
        <v>Consumer</v>
      </c>
      <c r="K4839" s="1" t="str">
        <f aca="false">VLOOKUP(C4839,Products!$A$2:$E$62,3,FALSE())</f>
        <v>Electronics</v>
      </c>
      <c r="L4839" s="1" t="str">
        <f aca="false">TEXT(D4839,"yyyy-mm")</f>
        <v>2023-12</v>
      </c>
    </row>
    <row r="4840" customFormat="false" ht="15" hidden="false" customHeight="true" outlineLevel="0" collapsed="false">
      <c r="A4840" s="1" t="n">
        <v>4944</v>
      </c>
      <c r="B4840" s="1" t="n">
        <v>384</v>
      </c>
      <c r="C4840" s="1" t="n">
        <v>59</v>
      </c>
      <c r="D4840" s="1" t="s">
        <v>1563</v>
      </c>
      <c r="E4840" s="1" t="n">
        <v>1</v>
      </c>
      <c r="F4840" s="1" t="n">
        <v>438.89</v>
      </c>
      <c r="G4840" s="1" t="n">
        <v>0</v>
      </c>
      <c r="H4840" s="1" t="s">
        <v>1336</v>
      </c>
      <c r="I4840" s="1" t="n">
        <v>438.89</v>
      </c>
      <c r="J4840" s="1" t="str">
        <f aca="false">VLOOKUP(B4840,Customers!$A$2:$G$502,6,FALSE())</f>
        <v>Corporate</v>
      </c>
      <c r="K4840" s="1" t="str">
        <f aca="false">VLOOKUP(C4840,Products!$A$2:$E$62,3,FALSE())</f>
        <v>Furniture</v>
      </c>
      <c r="L4840" s="1" t="str">
        <f aca="false">TEXT(D4840,"yyyy-mm")</f>
        <v>2024-09</v>
      </c>
    </row>
    <row r="4841" customFormat="false" ht="15" hidden="false" customHeight="true" outlineLevel="0" collapsed="false">
      <c r="A4841" s="1" t="n">
        <v>4945</v>
      </c>
      <c r="B4841" s="1" t="n">
        <v>494</v>
      </c>
      <c r="C4841" s="1" t="n">
        <v>45</v>
      </c>
      <c r="D4841" s="1" t="s">
        <v>1418</v>
      </c>
      <c r="E4841" s="1" t="n">
        <v>8</v>
      </c>
      <c r="F4841" s="1" t="n">
        <v>560.01</v>
      </c>
      <c r="G4841" s="1" t="n">
        <v>0</v>
      </c>
      <c r="H4841" s="1" t="s">
        <v>1336</v>
      </c>
      <c r="I4841" s="1" t="n">
        <v>4480.08</v>
      </c>
      <c r="J4841" s="1" t="str">
        <f aca="false">VLOOKUP(B4841,Customers!$A$2:$G$502,6,FALSE())</f>
        <v>Corporate</v>
      </c>
      <c r="K4841" s="1" t="str">
        <f aca="false">VLOOKUP(C4841,Products!$A$2:$E$62,3,FALSE())</f>
        <v>Software</v>
      </c>
      <c r="L4841" s="1" t="str">
        <f aca="false">TEXT(D4841,"yyyy-mm")</f>
        <v>2023-06</v>
      </c>
    </row>
    <row r="4842" customFormat="false" ht="15" hidden="false" customHeight="true" outlineLevel="0" collapsed="false">
      <c r="A4842" s="1" t="n">
        <v>4946</v>
      </c>
      <c r="B4842" s="1" t="n">
        <v>417</v>
      </c>
      <c r="C4842" s="1" t="n">
        <v>10</v>
      </c>
      <c r="D4842" s="1" t="s">
        <v>626</v>
      </c>
      <c r="E4842" s="1" t="n">
        <v>3</v>
      </c>
      <c r="F4842" s="1" t="n">
        <v>251.58</v>
      </c>
      <c r="G4842" s="1" t="n">
        <v>0.1</v>
      </c>
      <c r="H4842" s="1" t="s">
        <v>1336</v>
      </c>
      <c r="I4842" s="1" t="n">
        <v>679.27</v>
      </c>
      <c r="J4842" s="1" t="str">
        <f aca="false">VLOOKUP(B4842,Customers!$A$2:$G$502,6,FALSE())</f>
        <v>Consumer</v>
      </c>
      <c r="K4842" s="1" t="str">
        <f aca="false">VLOOKUP(C4842,Products!$A$2:$E$62,3,FALSE())</f>
        <v>Electronics</v>
      </c>
      <c r="L4842" s="1" t="str">
        <f aca="false">TEXT(D4842,"yyyy-mm")</f>
        <v>2023-09</v>
      </c>
    </row>
    <row r="4843" customFormat="false" ht="15" hidden="false" customHeight="true" outlineLevel="0" collapsed="false">
      <c r="A4843" s="1" t="n">
        <v>4947</v>
      </c>
      <c r="B4843" s="1" t="n">
        <v>477</v>
      </c>
      <c r="C4843" s="1" t="n">
        <v>44</v>
      </c>
      <c r="D4843" s="1" t="s">
        <v>1579</v>
      </c>
      <c r="E4843" s="1" t="n">
        <v>2</v>
      </c>
      <c r="F4843" s="1" t="n">
        <v>508.26</v>
      </c>
      <c r="G4843" s="1" t="n">
        <v>0.05</v>
      </c>
      <c r="H4843" s="1" t="s">
        <v>1336</v>
      </c>
      <c r="I4843" s="1" t="n">
        <v>965.69</v>
      </c>
      <c r="J4843" s="1" t="str">
        <f aca="false">VLOOKUP(B4843,Customers!$A$2:$G$502,6,FALSE())</f>
        <v>Corporate</v>
      </c>
      <c r="K4843" s="1" t="str">
        <f aca="false">VLOOKUP(C4843,Products!$A$2:$E$62,3,FALSE())</f>
        <v>Software</v>
      </c>
      <c r="L4843" s="1" t="str">
        <f aca="false">TEXT(D4843,"yyyy-mm")</f>
        <v>2023-08</v>
      </c>
    </row>
    <row r="4844" customFormat="false" ht="15" hidden="false" customHeight="true" outlineLevel="0" collapsed="false">
      <c r="A4844" s="1" t="n">
        <v>4948</v>
      </c>
      <c r="B4844" s="1" t="n">
        <v>137</v>
      </c>
      <c r="C4844" s="1" t="n">
        <v>10</v>
      </c>
      <c r="D4844" s="1" t="s">
        <v>542</v>
      </c>
      <c r="E4844" s="1" t="n">
        <v>1</v>
      </c>
      <c r="F4844" s="1" t="n">
        <v>251.58</v>
      </c>
      <c r="G4844" s="1" t="n">
        <v>0.2</v>
      </c>
      <c r="H4844" s="1" t="s">
        <v>1336</v>
      </c>
      <c r="I4844" s="1" t="n">
        <v>201.26</v>
      </c>
      <c r="J4844" s="1" t="str">
        <f aca="false">VLOOKUP(B4844,Customers!$A$2:$G$502,6,FALSE())</f>
        <v>Consumer</v>
      </c>
      <c r="K4844" s="1" t="str">
        <f aca="false">VLOOKUP(C4844,Products!$A$2:$E$62,3,FALSE())</f>
        <v>Electronics</v>
      </c>
      <c r="L4844" s="1" t="str">
        <f aca="false">TEXT(D4844,"yyyy-mm")</f>
        <v>2024-07</v>
      </c>
    </row>
    <row r="4845" customFormat="false" ht="15" hidden="false" customHeight="true" outlineLevel="0" collapsed="false">
      <c r="A4845" s="1" t="n">
        <v>4949</v>
      </c>
      <c r="B4845" s="1" t="n">
        <v>268</v>
      </c>
      <c r="C4845" s="1" t="n">
        <v>27</v>
      </c>
      <c r="D4845" s="1" t="s">
        <v>1249</v>
      </c>
      <c r="E4845" s="1" t="n">
        <v>4</v>
      </c>
      <c r="F4845" s="1" t="n">
        <v>772.58</v>
      </c>
      <c r="G4845" s="1" t="n">
        <v>0</v>
      </c>
      <c r="H4845" s="1" t="s">
        <v>1336</v>
      </c>
      <c r="I4845" s="1" t="n">
        <v>3090.32</v>
      </c>
      <c r="J4845" s="1" t="str">
        <f aca="false">VLOOKUP(B4845,Customers!$A$2:$G$502,6,FALSE())</f>
        <v>Small Business</v>
      </c>
      <c r="K4845" s="1" t="str">
        <f aca="false">VLOOKUP(C4845,Products!$A$2:$E$62,3,FALSE())</f>
        <v>Office Supplies</v>
      </c>
      <c r="L4845" s="1" t="str">
        <f aca="false">TEXT(D4845,"yyyy-mm")</f>
        <v>2024-10</v>
      </c>
    </row>
    <row r="4846" customFormat="false" ht="15" hidden="false" customHeight="true" outlineLevel="0" collapsed="false">
      <c r="A4846" s="1" t="n">
        <v>4950</v>
      </c>
      <c r="B4846" s="1" t="n">
        <v>66</v>
      </c>
      <c r="C4846" s="1" t="n">
        <v>38</v>
      </c>
      <c r="D4846" s="1" t="s">
        <v>1483</v>
      </c>
      <c r="E4846" s="1" t="n">
        <v>8</v>
      </c>
      <c r="F4846" s="1" t="n">
        <v>521.63</v>
      </c>
      <c r="G4846" s="1" t="n">
        <v>0</v>
      </c>
      <c r="H4846" s="1" t="s">
        <v>1336</v>
      </c>
      <c r="I4846" s="1" t="n">
        <v>4173.04</v>
      </c>
      <c r="J4846" s="1" t="str">
        <f aca="false">VLOOKUP(B4846,Customers!$A$2:$G$502,6,FALSE())</f>
        <v>Corporate</v>
      </c>
      <c r="K4846" s="1" t="str">
        <f aca="false">VLOOKUP(C4846,Products!$A$2:$E$62,3,FALSE())</f>
        <v>Software</v>
      </c>
      <c r="L4846" s="1" t="str">
        <f aca="false">TEXT(D4846,"yyyy-mm")</f>
        <v>2024-10</v>
      </c>
    </row>
    <row r="4847" customFormat="false" ht="15" hidden="false" customHeight="true" outlineLevel="0" collapsed="false">
      <c r="A4847" s="1" t="n">
        <v>4951</v>
      </c>
      <c r="B4847" s="1" t="n">
        <v>425</v>
      </c>
      <c r="C4847" s="1" t="n">
        <v>18</v>
      </c>
      <c r="D4847" s="1" t="s">
        <v>1567</v>
      </c>
      <c r="E4847" s="1" t="n">
        <v>3</v>
      </c>
      <c r="F4847" s="1" t="n">
        <v>747.34</v>
      </c>
      <c r="G4847" s="1" t="n">
        <v>0.1</v>
      </c>
      <c r="H4847" s="1" t="s">
        <v>1336</v>
      </c>
      <c r="I4847" s="1" t="n">
        <v>2017.82</v>
      </c>
      <c r="J4847" s="1" t="str">
        <f aca="false">VLOOKUP(B4847,Customers!$A$2:$G$502,6,FALSE())</f>
        <v>Unknown</v>
      </c>
      <c r="K4847" s="1" t="str">
        <f aca="false">VLOOKUP(C4847,Products!$A$2:$E$62,3,FALSE())</f>
        <v>Electronics</v>
      </c>
      <c r="L4847" s="1" t="str">
        <f aca="false">TEXT(D4847,"yyyy-mm")</f>
        <v>2024-11</v>
      </c>
    </row>
    <row r="4848" customFormat="false" ht="15" hidden="false" customHeight="true" outlineLevel="0" collapsed="false">
      <c r="A4848" s="1" t="n">
        <v>4952</v>
      </c>
      <c r="B4848" s="1" t="n">
        <v>162</v>
      </c>
      <c r="C4848" s="1" t="n">
        <v>8</v>
      </c>
      <c r="D4848" s="1" t="s">
        <v>1640</v>
      </c>
      <c r="E4848" s="1" t="n">
        <v>1</v>
      </c>
      <c r="F4848" s="1" t="n">
        <v>104.4</v>
      </c>
      <c r="G4848" s="1" t="n">
        <v>0</v>
      </c>
      <c r="H4848" s="1" t="s">
        <v>1346</v>
      </c>
      <c r="I4848" s="1" t="n">
        <v>104.4</v>
      </c>
      <c r="J4848" s="1" t="str">
        <f aca="false">VLOOKUP(B4848,Customers!$A$2:$G$502,6,FALSE())</f>
        <v>Small Business</v>
      </c>
      <c r="K4848" s="1" t="str">
        <f aca="false">VLOOKUP(C4848,Products!$A$2:$E$62,3,FALSE())</f>
        <v>Electronics</v>
      </c>
      <c r="L4848" s="1" t="str">
        <f aca="false">TEXT(D4848,"yyyy-mm")</f>
        <v>2024-07</v>
      </c>
    </row>
    <row r="4849" customFormat="false" ht="15" hidden="false" customHeight="true" outlineLevel="0" collapsed="false">
      <c r="A4849" s="1" t="n">
        <v>4953</v>
      </c>
      <c r="B4849" s="1" t="n">
        <v>27</v>
      </c>
      <c r="C4849" s="1" t="n">
        <v>31</v>
      </c>
      <c r="D4849" s="1" t="s">
        <v>1443</v>
      </c>
      <c r="E4849" s="1" t="n">
        <v>4</v>
      </c>
      <c r="F4849" s="1" t="n">
        <v>224.86</v>
      </c>
      <c r="G4849" s="1" t="n">
        <v>0</v>
      </c>
      <c r="H4849" s="1" t="s">
        <v>1336</v>
      </c>
      <c r="I4849" s="1" t="n">
        <v>899.44</v>
      </c>
      <c r="J4849" s="1" t="str">
        <f aca="false">VLOOKUP(B4849,Customers!$A$2:$G$502,6,FALSE())</f>
        <v>Small Business</v>
      </c>
      <c r="K4849" s="1" t="str">
        <f aca="false">VLOOKUP(C4849,Products!$A$2:$E$62,3,FALSE())</f>
        <v>Office Supplies</v>
      </c>
      <c r="L4849" s="1" t="str">
        <f aca="false">TEXT(D4849,"yyyy-mm")</f>
        <v>2023-09</v>
      </c>
    </row>
    <row r="4850" customFormat="false" ht="15" hidden="false" customHeight="true" outlineLevel="0" collapsed="false">
      <c r="A4850" s="1" t="n">
        <v>4954</v>
      </c>
      <c r="B4850" s="1" t="n">
        <v>37</v>
      </c>
      <c r="C4850" s="1" t="n">
        <v>31</v>
      </c>
      <c r="D4850" s="1" t="s">
        <v>1438</v>
      </c>
      <c r="E4850" s="1" t="n">
        <v>9</v>
      </c>
      <c r="F4850" s="1" t="n">
        <v>224.86</v>
      </c>
      <c r="G4850" s="1" t="n">
        <v>0</v>
      </c>
      <c r="H4850" s="1" t="s">
        <v>1346</v>
      </c>
      <c r="I4850" s="1" t="n">
        <v>2023.74</v>
      </c>
      <c r="J4850" s="1" t="str">
        <f aca="false">VLOOKUP(B4850,Customers!$A$2:$G$502,6,FALSE())</f>
        <v>Corporate</v>
      </c>
      <c r="K4850" s="1" t="str">
        <f aca="false">VLOOKUP(C4850,Products!$A$2:$E$62,3,FALSE())</f>
        <v>Office Supplies</v>
      </c>
      <c r="L4850" s="1" t="str">
        <f aca="false">TEXT(D4850,"yyyy-mm")</f>
        <v>2023-05</v>
      </c>
    </row>
    <row r="4851" customFormat="false" ht="15" hidden="false" customHeight="true" outlineLevel="0" collapsed="false">
      <c r="A4851" s="1" t="n">
        <v>4955</v>
      </c>
      <c r="B4851" s="1" t="n">
        <v>132</v>
      </c>
      <c r="C4851" s="1" t="n">
        <v>23</v>
      </c>
      <c r="D4851" s="1" t="s">
        <v>1436</v>
      </c>
      <c r="E4851" s="1" t="n">
        <v>1</v>
      </c>
      <c r="F4851" s="1" t="n">
        <v>188.73</v>
      </c>
      <c r="G4851" s="1" t="n">
        <v>0.1</v>
      </c>
      <c r="H4851" s="1" t="s">
        <v>1336</v>
      </c>
      <c r="I4851" s="1" t="n">
        <v>169.86</v>
      </c>
      <c r="J4851" s="1" t="str">
        <f aca="false">VLOOKUP(B4851,Customers!$A$2:$G$502,6,FALSE())</f>
        <v>Corporate</v>
      </c>
      <c r="K4851" s="1" t="str">
        <f aca="false">VLOOKUP(C4851,Products!$A$2:$E$62,3,FALSE())</f>
        <v>Office Supplies</v>
      </c>
      <c r="L4851" s="1" t="str">
        <f aca="false">TEXT(D4851,"yyyy-mm")</f>
        <v>2024-02</v>
      </c>
    </row>
    <row r="4852" customFormat="false" ht="15" hidden="false" customHeight="true" outlineLevel="0" collapsed="false">
      <c r="A4852" s="1" t="n">
        <v>4956</v>
      </c>
      <c r="B4852" s="1" t="n">
        <v>203</v>
      </c>
      <c r="C4852" s="1" t="n">
        <v>22</v>
      </c>
      <c r="D4852" s="1" t="s">
        <v>1364</v>
      </c>
      <c r="E4852" s="1" t="n">
        <v>2</v>
      </c>
      <c r="F4852" s="1" t="n">
        <v>38.57</v>
      </c>
      <c r="G4852" s="1" t="n">
        <v>0.05</v>
      </c>
      <c r="H4852" s="1" t="s">
        <v>1336</v>
      </c>
      <c r="I4852" s="1" t="n">
        <v>73.28</v>
      </c>
      <c r="J4852" s="1" t="str">
        <f aca="false">VLOOKUP(B4852,Customers!$A$2:$G$502,6,FALSE())</f>
        <v>Corporate</v>
      </c>
      <c r="K4852" s="1" t="str">
        <f aca="false">VLOOKUP(C4852,Products!$A$2:$E$62,3,FALSE())</f>
        <v>Office Supplies</v>
      </c>
      <c r="L4852" s="1" t="str">
        <f aca="false">TEXT(D4852,"yyyy-mm")</f>
        <v>2024-11</v>
      </c>
    </row>
    <row r="4853" customFormat="false" ht="15" hidden="false" customHeight="true" outlineLevel="0" collapsed="false">
      <c r="A4853" s="1" t="n">
        <v>4957</v>
      </c>
      <c r="B4853" s="1" t="n">
        <v>208</v>
      </c>
      <c r="C4853" s="1" t="n">
        <v>25</v>
      </c>
      <c r="D4853" s="1" t="s">
        <v>1235</v>
      </c>
      <c r="E4853" s="1" t="n">
        <v>9</v>
      </c>
      <c r="F4853" s="1" t="n">
        <v>300.49</v>
      </c>
      <c r="G4853" s="1" t="n">
        <v>0.05</v>
      </c>
      <c r="H4853" s="1" t="s">
        <v>1336</v>
      </c>
      <c r="I4853" s="1" t="n">
        <v>2569.19</v>
      </c>
      <c r="J4853" s="1" t="str">
        <f aca="false">VLOOKUP(B4853,Customers!$A$2:$G$502,6,FALSE())</f>
        <v>Corporate</v>
      </c>
      <c r="K4853" s="1" t="str">
        <f aca="false">VLOOKUP(C4853,Products!$A$2:$E$62,3,FALSE())</f>
        <v>Office Supplies</v>
      </c>
      <c r="L4853" s="1" t="str">
        <f aca="false">TEXT(D4853,"yyyy-mm")</f>
        <v>2023-01</v>
      </c>
    </row>
    <row r="4854" customFormat="false" ht="15" hidden="false" customHeight="true" outlineLevel="0" collapsed="false">
      <c r="A4854" s="1" t="n">
        <v>4959</v>
      </c>
      <c r="B4854" s="1" t="n">
        <v>224</v>
      </c>
      <c r="C4854" s="1" t="n">
        <v>34</v>
      </c>
      <c r="D4854" s="1" t="s">
        <v>1371</v>
      </c>
      <c r="E4854" s="1" t="n">
        <v>3</v>
      </c>
      <c r="F4854" s="1" t="n">
        <v>116.85</v>
      </c>
      <c r="G4854" s="1" t="n">
        <v>0</v>
      </c>
      <c r="H4854" s="1" t="s">
        <v>1336</v>
      </c>
      <c r="I4854" s="1" t="n">
        <v>350.55</v>
      </c>
      <c r="J4854" s="1" t="str">
        <f aca="false">VLOOKUP(B4854,Customers!$A$2:$G$502,6,FALSE())</f>
        <v>Consumer</v>
      </c>
      <c r="K4854" s="1" t="str">
        <f aca="false">VLOOKUP(C4854,Products!$A$2:$E$62,3,FALSE())</f>
        <v>Office Supplies</v>
      </c>
      <c r="L4854" s="1" t="str">
        <f aca="false">TEXT(D4854,"yyyy-mm")</f>
        <v>2024-08</v>
      </c>
    </row>
    <row r="4855" customFormat="false" ht="15" hidden="false" customHeight="true" outlineLevel="0" collapsed="false">
      <c r="A4855" s="1" t="n">
        <v>4960</v>
      </c>
      <c r="B4855" s="1" t="n">
        <v>274</v>
      </c>
      <c r="C4855" s="1" t="n">
        <v>44</v>
      </c>
      <c r="D4855" s="1" t="s">
        <v>1027</v>
      </c>
      <c r="E4855" s="1" t="n">
        <v>7</v>
      </c>
      <c r="F4855" s="1" t="n">
        <v>508.26</v>
      </c>
      <c r="G4855" s="1" t="n">
        <v>0.15</v>
      </c>
      <c r="H4855" s="1" t="s">
        <v>1336</v>
      </c>
      <c r="I4855" s="1" t="n">
        <v>3024.15</v>
      </c>
      <c r="J4855" s="1" t="str">
        <f aca="false">VLOOKUP(B4855,Customers!$A$2:$G$502,6,FALSE())</f>
        <v>Corporate</v>
      </c>
      <c r="K4855" s="1" t="str">
        <f aca="false">VLOOKUP(C4855,Products!$A$2:$E$62,3,FALSE())</f>
        <v>Software</v>
      </c>
      <c r="L4855" s="1" t="str">
        <f aca="false">TEXT(D4855,"yyyy-mm")</f>
        <v>2024-08</v>
      </c>
    </row>
    <row r="4856" customFormat="false" ht="15" hidden="false" customHeight="true" outlineLevel="0" collapsed="false">
      <c r="A4856" s="1" t="n">
        <v>4961</v>
      </c>
      <c r="B4856" s="1" t="n">
        <v>60</v>
      </c>
      <c r="C4856" s="1" t="n">
        <v>26</v>
      </c>
      <c r="D4856" s="1" t="s">
        <v>1376</v>
      </c>
      <c r="E4856" s="1" t="n">
        <v>3</v>
      </c>
      <c r="F4856" s="1" t="n">
        <v>733.85</v>
      </c>
      <c r="G4856" s="1" t="n">
        <v>0</v>
      </c>
      <c r="H4856" s="1" t="s">
        <v>1336</v>
      </c>
      <c r="I4856" s="1" t="n">
        <v>2201.55</v>
      </c>
      <c r="J4856" s="1" t="str">
        <f aca="false">VLOOKUP(B4856,Customers!$A$2:$G$502,6,FALSE())</f>
        <v>Corporate</v>
      </c>
      <c r="K4856" s="1" t="str">
        <f aca="false">VLOOKUP(C4856,Products!$A$2:$E$62,3,FALSE())</f>
        <v>Office Supplies</v>
      </c>
      <c r="L4856" s="1" t="str">
        <f aca="false">TEXT(D4856,"yyyy-mm")</f>
        <v>2023-01</v>
      </c>
    </row>
    <row r="4857" customFormat="false" ht="15" hidden="false" customHeight="true" outlineLevel="0" collapsed="false">
      <c r="A4857" s="1" t="n">
        <v>4962</v>
      </c>
      <c r="B4857" s="1" t="n">
        <v>192</v>
      </c>
      <c r="C4857" s="1" t="n">
        <v>9</v>
      </c>
      <c r="D4857" s="1" t="s">
        <v>84</v>
      </c>
      <c r="E4857" s="1" t="n">
        <v>9</v>
      </c>
      <c r="F4857" s="1" t="n">
        <v>203.1</v>
      </c>
      <c r="G4857" s="1" t="n">
        <v>0.05</v>
      </c>
      <c r="H4857" s="1" t="s">
        <v>1336</v>
      </c>
      <c r="I4857" s="1" t="n">
        <v>1736.5</v>
      </c>
      <c r="J4857" s="1" t="str">
        <f aca="false">VLOOKUP(B4857,Customers!$A$2:$G$502,6,FALSE())</f>
        <v>Corporate</v>
      </c>
      <c r="K4857" s="1" t="str">
        <f aca="false">VLOOKUP(C4857,Products!$A$2:$E$62,3,FALSE())</f>
        <v>Electronics</v>
      </c>
      <c r="L4857" s="1" t="str">
        <f aca="false">TEXT(D4857,"yyyy-mm")</f>
        <v>2024-12</v>
      </c>
    </row>
    <row r="4858" customFormat="false" ht="15" hidden="false" customHeight="true" outlineLevel="0" collapsed="false">
      <c r="A4858" s="1" t="n">
        <v>4963</v>
      </c>
      <c r="B4858" s="1" t="n">
        <v>342</v>
      </c>
      <c r="C4858" s="1" t="n">
        <v>48</v>
      </c>
      <c r="D4858" s="1" t="s">
        <v>1677</v>
      </c>
      <c r="E4858" s="1" t="n">
        <v>6</v>
      </c>
      <c r="F4858" s="1" t="n">
        <v>493.53</v>
      </c>
      <c r="G4858" s="1" t="n">
        <v>0.05</v>
      </c>
      <c r="H4858" s="1" t="s">
        <v>1336</v>
      </c>
      <c r="I4858" s="1" t="n">
        <v>2813.12</v>
      </c>
      <c r="J4858" s="1" t="str">
        <f aca="false">VLOOKUP(B4858,Customers!$A$2:$G$502,6,FALSE())</f>
        <v>Small Business</v>
      </c>
      <c r="K4858" s="1" t="str">
        <f aca="false">VLOOKUP(C4858,Products!$A$2:$E$62,3,FALSE())</f>
        <v>Software</v>
      </c>
      <c r="L4858" s="1" t="str">
        <f aca="false">TEXT(D4858,"yyyy-mm")</f>
        <v>2023-04</v>
      </c>
    </row>
    <row r="4859" customFormat="false" ht="15" hidden="false" customHeight="true" outlineLevel="0" collapsed="false">
      <c r="A4859" s="1" t="n">
        <v>4964</v>
      </c>
      <c r="B4859" s="1" t="n">
        <v>134</v>
      </c>
      <c r="C4859" s="1" t="n">
        <v>54</v>
      </c>
      <c r="D4859" s="1" t="s">
        <v>232</v>
      </c>
      <c r="E4859" s="1" t="n">
        <v>3</v>
      </c>
      <c r="F4859" s="1" t="n">
        <v>312.01</v>
      </c>
      <c r="G4859" s="1" t="n">
        <v>0.1</v>
      </c>
      <c r="H4859" s="1" t="s">
        <v>1336</v>
      </c>
      <c r="I4859" s="1" t="n">
        <v>842.43</v>
      </c>
      <c r="J4859" s="1" t="str">
        <f aca="false">VLOOKUP(B4859,Customers!$A$2:$G$502,6,FALSE())</f>
        <v>Corporate</v>
      </c>
      <c r="K4859" s="1" t="str">
        <f aca="false">VLOOKUP(C4859,Products!$A$2:$E$62,3,FALSE())</f>
        <v>Software</v>
      </c>
      <c r="L4859" s="1" t="str">
        <f aca="false">TEXT(D4859,"yyyy-mm")</f>
        <v>2024-10</v>
      </c>
    </row>
    <row r="4860" customFormat="false" ht="15" hidden="false" customHeight="true" outlineLevel="0" collapsed="false">
      <c r="A4860" s="1" t="n">
        <v>4965</v>
      </c>
      <c r="B4860" s="1" t="n">
        <v>81</v>
      </c>
      <c r="C4860" s="1" t="n">
        <v>40</v>
      </c>
      <c r="D4860" s="1" t="s">
        <v>645</v>
      </c>
      <c r="E4860" s="1" t="n">
        <v>9</v>
      </c>
      <c r="F4860" s="1" t="n">
        <v>193.02</v>
      </c>
      <c r="G4860" s="1" t="n">
        <v>0</v>
      </c>
      <c r="H4860" s="1" t="s">
        <v>1336</v>
      </c>
      <c r="I4860" s="1" t="n">
        <v>1737.18</v>
      </c>
      <c r="J4860" s="1" t="str">
        <f aca="false">VLOOKUP(B4860,Customers!$A$2:$G$502,6,FALSE())</f>
        <v>Consumer</v>
      </c>
      <c r="K4860" s="1" t="str">
        <f aca="false">VLOOKUP(C4860,Products!$A$2:$E$62,3,FALSE())</f>
        <v>Software</v>
      </c>
      <c r="L4860" s="1" t="str">
        <f aca="false">TEXT(D4860,"yyyy-mm")</f>
        <v>2024-06</v>
      </c>
    </row>
    <row r="4861" customFormat="false" ht="15" hidden="false" customHeight="true" outlineLevel="0" collapsed="false">
      <c r="A4861" s="1" t="n">
        <v>4966</v>
      </c>
      <c r="B4861" s="1" t="n">
        <v>184</v>
      </c>
      <c r="C4861" s="1" t="n">
        <v>16</v>
      </c>
      <c r="D4861" s="1" t="s">
        <v>1359</v>
      </c>
      <c r="E4861" s="1" t="n">
        <v>1</v>
      </c>
      <c r="F4861" s="1" t="n">
        <v>330.91</v>
      </c>
      <c r="G4861" s="1" t="n">
        <v>0</v>
      </c>
      <c r="H4861" s="1" t="s">
        <v>1336</v>
      </c>
      <c r="I4861" s="1" t="n">
        <v>330.91</v>
      </c>
      <c r="J4861" s="1" t="str">
        <f aca="false">VLOOKUP(B4861,Customers!$A$2:$G$502,6,FALSE())</f>
        <v>Corporate</v>
      </c>
      <c r="K4861" s="1" t="str">
        <f aca="false">VLOOKUP(C4861,Products!$A$2:$E$62,3,FALSE())</f>
        <v>Electronics</v>
      </c>
      <c r="L4861" s="1" t="str">
        <f aca="false">TEXT(D4861,"yyyy-mm")</f>
        <v>2024-09</v>
      </c>
    </row>
    <row r="4862" customFormat="false" ht="15" hidden="false" customHeight="true" outlineLevel="0" collapsed="false">
      <c r="A4862" s="1" t="n">
        <v>4967</v>
      </c>
      <c r="B4862" s="1" t="n">
        <v>335</v>
      </c>
      <c r="C4862" s="1" t="n">
        <v>35</v>
      </c>
      <c r="D4862" s="1" t="s">
        <v>1686</v>
      </c>
      <c r="E4862" s="1" t="n">
        <v>3</v>
      </c>
      <c r="F4862" s="1" t="n">
        <v>75.78</v>
      </c>
      <c r="G4862" s="1" t="n">
        <v>0</v>
      </c>
      <c r="H4862" s="1" t="s">
        <v>1336</v>
      </c>
      <c r="I4862" s="1" t="n">
        <v>227.34</v>
      </c>
      <c r="J4862" s="1" t="str">
        <f aca="false">VLOOKUP(B4862,Customers!$A$2:$G$502,6,FALSE())</f>
        <v>Small Business</v>
      </c>
      <c r="K4862" s="1" t="str">
        <f aca="false">VLOOKUP(C4862,Products!$A$2:$E$62,3,FALSE())</f>
        <v>Software</v>
      </c>
      <c r="L4862" s="1" t="str">
        <f aca="false">TEXT(D4862,"yyyy-mm")</f>
        <v>2023-12</v>
      </c>
    </row>
    <row r="4863" customFormat="false" ht="15" hidden="false" customHeight="true" outlineLevel="0" collapsed="false">
      <c r="A4863" s="1" t="n">
        <v>4968</v>
      </c>
      <c r="B4863" s="1" t="n">
        <v>149</v>
      </c>
      <c r="C4863" s="1" t="n">
        <v>46</v>
      </c>
      <c r="D4863" s="1" t="s">
        <v>745</v>
      </c>
      <c r="E4863" s="1" t="n">
        <v>1</v>
      </c>
      <c r="F4863" s="1" t="n">
        <v>94.92</v>
      </c>
      <c r="G4863" s="1" t="n">
        <v>0</v>
      </c>
      <c r="H4863" s="1" t="s">
        <v>1336</v>
      </c>
      <c r="I4863" s="1" t="n">
        <v>94.92</v>
      </c>
      <c r="J4863" s="1" t="str">
        <f aca="false">VLOOKUP(B4863,Customers!$A$2:$G$502,6,FALSE())</f>
        <v>Consumer</v>
      </c>
      <c r="K4863" s="1" t="str">
        <f aca="false">VLOOKUP(C4863,Products!$A$2:$E$62,3,FALSE())</f>
        <v>Software</v>
      </c>
      <c r="L4863" s="1" t="str">
        <f aca="false">TEXT(D4863,"yyyy-mm")</f>
        <v>2023-01</v>
      </c>
    </row>
    <row r="4864" customFormat="false" ht="15" hidden="false" customHeight="true" outlineLevel="0" collapsed="false">
      <c r="A4864" s="1" t="n">
        <v>4969</v>
      </c>
      <c r="B4864" s="1" t="n">
        <v>156</v>
      </c>
      <c r="C4864" s="1" t="n">
        <v>30</v>
      </c>
      <c r="D4864" s="1" t="s">
        <v>325</v>
      </c>
      <c r="E4864" s="1" t="n">
        <v>2</v>
      </c>
      <c r="F4864" s="1" t="n">
        <v>33.32</v>
      </c>
      <c r="G4864" s="1" t="n">
        <v>0</v>
      </c>
      <c r="H4864" s="1" t="s">
        <v>1336</v>
      </c>
      <c r="I4864" s="1" t="n">
        <v>66.64</v>
      </c>
      <c r="J4864" s="1" t="str">
        <f aca="false">VLOOKUP(B4864,Customers!$A$2:$G$502,6,FALSE())</f>
        <v>Corporate</v>
      </c>
      <c r="K4864" s="1" t="str">
        <f aca="false">VLOOKUP(C4864,Products!$A$2:$E$62,3,FALSE())</f>
        <v>Office Supplies</v>
      </c>
      <c r="L4864" s="1" t="str">
        <f aca="false">TEXT(D4864,"yyyy-mm")</f>
        <v>2023-12</v>
      </c>
    </row>
    <row r="4865" customFormat="false" ht="15" hidden="false" customHeight="true" outlineLevel="0" collapsed="false">
      <c r="A4865" s="1" t="n">
        <v>4970</v>
      </c>
      <c r="B4865" s="1" t="n">
        <v>238</v>
      </c>
      <c r="C4865" s="1" t="n">
        <v>3</v>
      </c>
      <c r="D4865" s="1" t="s">
        <v>374</v>
      </c>
      <c r="E4865" s="1" t="n">
        <v>8</v>
      </c>
      <c r="F4865" s="1" t="n">
        <v>89.39</v>
      </c>
      <c r="G4865" s="1" t="n">
        <v>0.2</v>
      </c>
      <c r="H4865" s="1" t="s">
        <v>1336</v>
      </c>
      <c r="I4865" s="1" t="n">
        <v>572.1</v>
      </c>
      <c r="J4865" s="1" t="str">
        <f aca="false">VLOOKUP(B4865,Customers!$A$2:$G$502,6,FALSE())</f>
        <v>Corporate</v>
      </c>
      <c r="K4865" s="1" t="str">
        <f aca="false">VLOOKUP(C4865,Products!$A$2:$E$62,3,FALSE())</f>
        <v>Electronics</v>
      </c>
      <c r="L4865" s="1" t="str">
        <f aca="false">TEXT(D4865,"yyyy-mm")</f>
        <v>2023-10</v>
      </c>
    </row>
    <row r="4866" customFormat="false" ht="15" hidden="false" customHeight="true" outlineLevel="0" collapsed="false">
      <c r="A4866" s="1" t="n">
        <v>4971</v>
      </c>
      <c r="B4866" s="1" t="n">
        <v>274</v>
      </c>
      <c r="C4866" s="1" t="n">
        <v>5</v>
      </c>
      <c r="D4866" s="1" t="s">
        <v>1616</v>
      </c>
      <c r="E4866" s="1" t="n">
        <v>7</v>
      </c>
      <c r="F4866" s="1" t="n">
        <v>439.06</v>
      </c>
      <c r="G4866" s="1" t="n">
        <v>0</v>
      </c>
      <c r="H4866" s="1" t="s">
        <v>1336</v>
      </c>
      <c r="I4866" s="1" t="n">
        <v>3073.42</v>
      </c>
      <c r="J4866" s="1" t="str">
        <f aca="false">VLOOKUP(B4866,Customers!$A$2:$G$502,6,FALSE())</f>
        <v>Corporate</v>
      </c>
      <c r="K4866" s="1" t="str">
        <f aca="false">VLOOKUP(C4866,Products!$A$2:$E$62,3,FALSE())</f>
        <v>Electronics</v>
      </c>
      <c r="L4866" s="1" t="str">
        <f aca="false">TEXT(D4866,"yyyy-mm")</f>
        <v>2024-09</v>
      </c>
    </row>
    <row r="4867" customFormat="false" ht="15" hidden="false" customHeight="true" outlineLevel="0" collapsed="false">
      <c r="A4867" s="1" t="n">
        <v>4972</v>
      </c>
      <c r="B4867" s="1" t="n">
        <v>246</v>
      </c>
      <c r="C4867" s="1" t="n">
        <v>29</v>
      </c>
      <c r="D4867" s="1" t="s">
        <v>1391</v>
      </c>
      <c r="E4867" s="1" t="n">
        <v>2</v>
      </c>
      <c r="F4867" s="1" t="n">
        <v>54.62</v>
      </c>
      <c r="G4867" s="1" t="n">
        <v>0.1</v>
      </c>
      <c r="H4867" s="1" t="s">
        <v>1336</v>
      </c>
      <c r="I4867" s="1" t="n">
        <v>98.32</v>
      </c>
      <c r="J4867" s="1" t="str">
        <f aca="false">VLOOKUP(B4867,Customers!$A$2:$G$502,6,FALSE())</f>
        <v>Small Business</v>
      </c>
      <c r="K4867" s="1" t="str">
        <f aca="false">VLOOKUP(C4867,Products!$A$2:$E$62,3,FALSE())</f>
        <v>Office Supplies</v>
      </c>
      <c r="L4867" s="1" t="str">
        <f aca="false">TEXT(D4867,"yyyy-mm")</f>
        <v>2023-08</v>
      </c>
    </row>
    <row r="4868" customFormat="false" ht="15" hidden="false" customHeight="true" outlineLevel="0" collapsed="false">
      <c r="A4868" s="1" t="n">
        <v>4973</v>
      </c>
      <c r="B4868" s="1" t="n">
        <v>352</v>
      </c>
      <c r="C4868" s="1" t="n">
        <v>17</v>
      </c>
      <c r="D4868" s="1" t="s">
        <v>1540</v>
      </c>
      <c r="E4868" s="1" t="n">
        <v>2</v>
      </c>
      <c r="F4868" s="1" t="n">
        <v>65.61</v>
      </c>
      <c r="G4868" s="1" t="n">
        <v>0</v>
      </c>
      <c r="H4868" s="1" t="s">
        <v>1336</v>
      </c>
      <c r="I4868" s="1" t="n">
        <v>131.22</v>
      </c>
      <c r="J4868" s="1" t="str">
        <f aca="false">VLOOKUP(B4868,Customers!$A$2:$G$502,6,FALSE())</f>
        <v>Corporate</v>
      </c>
      <c r="K4868" s="1" t="str">
        <f aca="false">VLOOKUP(C4868,Products!$A$2:$E$62,3,FALSE())</f>
        <v>Electronics</v>
      </c>
      <c r="L4868" s="1" t="str">
        <f aca="false">TEXT(D4868,"yyyy-mm")</f>
        <v>2023-01</v>
      </c>
    </row>
    <row r="4869" customFormat="false" ht="15" hidden="false" customHeight="true" outlineLevel="0" collapsed="false">
      <c r="A4869" s="1" t="n">
        <v>4974</v>
      </c>
      <c r="B4869" s="1" t="n">
        <v>374</v>
      </c>
      <c r="C4869" s="1" t="n">
        <v>38</v>
      </c>
      <c r="D4869" s="1" t="s">
        <v>1517</v>
      </c>
      <c r="E4869" s="1" t="n">
        <v>9</v>
      </c>
      <c r="F4869" s="1" t="n">
        <v>521.63</v>
      </c>
      <c r="G4869" s="1" t="n">
        <v>0</v>
      </c>
      <c r="H4869" s="1" t="s">
        <v>1336</v>
      </c>
      <c r="I4869" s="1" t="n">
        <v>4694.67</v>
      </c>
      <c r="J4869" s="1" t="str">
        <f aca="false">VLOOKUP(B4869,Customers!$A$2:$G$502,6,FALSE())</f>
        <v>Consumer</v>
      </c>
      <c r="K4869" s="1" t="str">
        <f aca="false">VLOOKUP(C4869,Products!$A$2:$E$62,3,FALSE())</f>
        <v>Software</v>
      </c>
      <c r="L4869" s="1" t="str">
        <f aca="false">TEXT(D4869,"yyyy-mm")</f>
        <v>2023-04</v>
      </c>
    </row>
    <row r="4870" customFormat="false" ht="15" hidden="false" customHeight="true" outlineLevel="0" collapsed="false">
      <c r="A4870" s="1" t="n">
        <v>4975</v>
      </c>
      <c r="B4870" s="1" t="n">
        <v>346</v>
      </c>
      <c r="C4870" s="1" t="n">
        <v>32</v>
      </c>
      <c r="D4870" s="1" t="s">
        <v>1482</v>
      </c>
      <c r="E4870" s="1" t="n">
        <v>6</v>
      </c>
      <c r="F4870" s="1" t="n">
        <v>492.27</v>
      </c>
      <c r="G4870" s="1" t="n">
        <v>0.05</v>
      </c>
      <c r="H4870" s="1" t="s">
        <v>1336</v>
      </c>
      <c r="I4870" s="1" t="n">
        <v>2805.94</v>
      </c>
      <c r="J4870" s="1" t="str">
        <f aca="false">VLOOKUP(B4870,Customers!$A$2:$G$502,6,FALSE())</f>
        <v>Consumer</v>
      </c>
      <c r="K4870" s="1" t="str">
        <f aca="false">VLOOKUP(C4870,Products!$A$2:$E$62,3,FALSE())</f>
        <v>Office Supplies</v>
      </c>
      <c r="L4870" s="1" t="str">
        <f aca="false">TEXT(D4870,"yyyy-mm")</f>
        <v>2023-11</v>
      </c>
    </row>
    <row r="4871" customFormat="false" ht="15" hidden="false" customHeight="true" outlineLevel="0" collapsed="false">
      <c r="A4871" s="1" t="n">
        <v>4976</v>
      </c>
      <c r="B4871" s="1" t="n">
        <v>366</v>
      </c>
      <c r="C4871" s="1" t="n">
        <v>59</v>
      </c>
      <c r="D4871" s="1" t="s">
        <v>73</v>
      </c>
      <c r="E4871" s="1" t="n">
        <v>5</v>
      </c>
      <c r="F4871" s="1" t="n">
        <v>438.89</v>
      </c>
      <c r="G4871" s="1" t="n">
        <v>0.2</v>
      </c>
      <c r="H4871" s="1" t="s">
        <v>1336</v>
      </c>
      <c r="I4871" s="1" t="n">
        <v>1755.56</v>
      </c>
      <c r="J4871" s="1" t="str">
        <f aca="false">VLOOKUP(B4871,Customers!$A$2:$G$502,6,FALSE())</f>
        <v>Corporate</v>
      </c>
      <c r="K4871" s="1" t="str">
        <f aca="false">VLOOKUP(C4871,Products!$A$2:$E$62,3,FALSE())</f>
        <v>Furniture</v>
      </c>
      <c r="L4871" s="1" t="str">
        <f aca="false">TEXT(D4871,"yyyy-mm")</f>
        <v>2023-06</v>
      </c>
    </row>
    <row r="4872" customFormat="false" ht="15" hidden="false" customHeight="true" outlineLevel="0" collapsed="false">
      <c r="A4872" s="1" t="n">
        <v>4977</v>
      </c>
      <c r="B4872" s="1" t="n">
        <v>339</v>
      </c>
      <c r="C4872" s="1" t="n">
        <v>30</v>
      </c>
      <c r="D4872" s="1" t="s">
        <v>449</v>
      </c>
      <c r="E4872" s="1" t="n">
        <v>6</v>
      </c>
      <c r="F4872" s="1" t="n">
        <v>33.32</v>
      </c>
      <c r="G4872" s="1" t="n">
        <v>0.15</v>
      </c>
      <c r="H4872" s="1" t="s">
        <v>1336</v>
      </c>
      <c r="I4872" s="1" t="n">
        <v>169.93</v>
      </c>
      <c r="J4872" s="1" t="str">
        <f aca="false">VLOOKUP(B4872,Customers!$A$2:$G$502,6,FALSE())</f>
        <v>Corporate</v>
      </c>
      <c r="K4872" s="1" t="str">
        <f aca="false">VLOOKUP(C4872,Products!$A$2:$E$62,3,FALSE())</f>
        <v>Office Supplies</v>
      </c>
      <c r="L4872" s="1" t="str">
        <f aca="false">TEXT(D4872,"yyyy-mm")</f>
        <v>2023-03</v>
      </c>
    </row>
    <row r="4873" customFormat="false" ht="15" hidden="false" customHeight="true" outlineLevel="0" collapsed="false">
      <c r="A4873" s="1" t="n">
        <v>4978</v>
      </c>
      <c r="B4873" s="1" t="n">
        <v>164</v>
      </c>
      <c r="C4873" s="1" t="n">
        <v>33</v>
      </c>
      <c r="D4873" s="1" t="s">
        <v>297</v>
      </c>
      <c r="E4873" s="1" t="n">
        <v>9</v>
      </c>
      <c r="F4873" s="1" t="n">
        <v>190.1</v>
      </c>
      <c r="G4873" s="1" t="n">
        <v>0</v>
      </c>
      <c r="H4873" s="1" t="s">
        <v>1336</v>
      </c>
      <c r="I4873" s="1" t="n">
        <v>1710.9</v>
      </c>
      <c r="J4873" s="1" t="str">
        <f aca="false">VLOOKUP(B4873,Customers!$A$2:$G$502,6,FALSE())</f>
        <v>Consumer</v>
      </c>
      <c r="K4873" s="1" t="str">
        <f aca="false">VLOOKUP(C4873,Products!$A$2:$E$62,3,FALSE())</f>
        <v>Office Supplies</v>
      </c>
      <c r="L4873" s="1" t="str">
        <f aca="false">TEXT(D4873,"yyyy-mm")</f>
        <v>2024-04</v>
      </c>
    </row>
    <row r="4874" customFormat="false" ht="15" hidden="false" customHeight="true" outlineLevel="0" collapsed="false">
      <c r="A4874" s="1" t="n">
        <v>4979</v>
      </c>
      <c r="B4874" s="1" t="n">
        <v>136</v>
      </c>
      <c r="C4874" s="1" t="n">
        <v>35</v>
      </c>
      <c r="D4874" s="1" t="s">
        <v>1504</v>
      </c>
      <c r="E4874" s="1" t="n">
        <v>7</v>
      </c>
      <c r="F4874" s="1" t="n">
        <v>75.78</v>
      </c>
      <c r="G4874" s="1" t="n">
        <v>0.05</v>
      </c>
      <c r="H4874" s="1" t="s">
        <v>1370</v>
      </c>
      <c r="I4874" s="1" t="n">
        <v>503.94</v>
      </c>
      <c r="J4874" s="1" t="str">
        <f aca="false">VLOOKUP(B4874,Customers!$A$2:$G$502,6,FALSE())</f>
        <v>Corporate</v>
      </c>
      <c r="K4874" s="1" t="str">
        <f aca="false">VLOOKUP(C4874,Products!$A$2:$E$62,3,FALSE())</f>
        <v>Software</v>
      </c>
      <c r="L4874" s="1" t="str">
        <f aca="false">TEXT(D4874,"yyyy-mm")</f>
        <v>2023-12</v>
      </c>
    </row>
    <row r="4875" customFormat="false" ht="15" hidden="false" customHeight="true" outlineLevel="0" collapsed="false">
      <c r="A4875" s="1" t="n">
        <v>4980</v>
      </c>
      <c r="B4875" s="1" t="n">
        <v>57</v>
      </c>
      <c r="C4875" s="1" t="n">
        <v>10</v>
      </c>
      <c r="D4875" s="1" t="s">
        <v>756</v>
      </c>
      <c r="E4875" s="1" t="n">
        <v>9</v>
      </c>
      <c r="F4875" s="1" t="n">
        <v>251.58</v>
      </c>
      <c r="G4875" s="1" t="n">
        <v>0</v>
      </c>
      <c r="H4875" s="1" t="s">
        <v>1336</v>
      </c>
      <c r="I4875" s="1" t="n">
        <v>2264.22</v>
      </c>
      <c r="J4875" s="1" t="str">
        <f aca="false">VLOOKUP(B4875,Customers!$A$2:$G$502,6,FALSE())</f>
        <v>Consumer</v>
      </c>
      <c r="K4875" s="1" t="str">
        <f aca="false">VLOOKUP(C4875,Products!$A$2:$E$62,3,FALSE())</f>
        <v>Electronics</v>
      </c>
      <c r="L4875" s="1" t="str">
        <f aca="false">TEXT(D4875,"yyyy-mm")</f>
        <v>2024-01</v>
      </c>
    </row>
    <row r="4876" customFormat="false" ht="15" hidden="false" customHeight="true" outlineLevel="0" collapsed="false">
      <c r="A4876" s="1" t="n">
        <v>4981</v>
      </c>
      <c r="B4876" s="1" t="n">
        <v>497</v>
      </c>
      <c r="C4876" s="1" t="n">
        <v>10</v>
      </c>
      <c r="D4876" s="1" t="s">
        <v>1492</v>
      </c>
      <c r="E4876" s="1" t="n">
        <v>4</v>
      </c>
      <c r="F4876" s="1" t="n">
        <v>251.58</v>
      </c>
      <c r="G4876" s="1" t="n">
        <v>0.2</v>
      </c>
      <c r="H4876" s="1" t="s">
        <v>1336</v>
      </c>
      <c r="I4876" s="1" t="n">
        <v>805.06</v>
      </c>
      <c r="J4876" s="1" t="str">
        <f aca="false">VLOOKUP(B4876,Customers!$A$2:$G$502,6,FALSE())</f>
        <v>Consumer</v>
      </c>
      <c r="K4876" s="1" t="str">
        <f aca="false">VLOOKUP(C4876,Products!$A$2:$E$62,3,FALSE())</f>
        <v>Electronics</v>
      </c>
      <c r="L4876" s="1" t="str">
        <f aca="false">TEXT(D4876,"yyyy-mm")</f>
        <v>2024-08</v>
      </c>
    </row>
    <row r="4877" customFormat="false" ht="15" hidden="false" customHeight="true" outlineLevel="0" collapsed="false">
      <c r="A4877" s="1" t="n">
        <v>4982</v>
      </c>
      <c r="B4877" s="1" t="n">
        <v>435</v>
      </c>
      <c r="C4877" s="1" t="n">
        <v>35</v>
      </c>
      <c r="D4877" s="1" t="s">
        <v>599</v>
      </c>
      <c r="E4877" s="1" t="n">
        <v>2</v>
      </c>
      <c r="F4877" s="1" t="n">
        <v>75.78</v>
      </c>
      <c r="G4877" s="1" t="n">
        <v>0</v>
      </c>
      <c r="H4877" s="1" t="s">
        <v>1346</v>
      </c>
      <c r="I4877" s="1" t="n">
        <v>151.56</v>
      </c>
      <c r="J4877" s="1" t="str">
        <f aca="false">VLOOKUP(B4877,Customers!$A$2:$G$502,6,FALSE())</f>
        <v>Unknown</v>
      </c>
      <c r="K4877" s="1" t="str">
        <f aca="false">VLOOKUP(C4877,Products!$A$2:$E$62,3,FALSE())</f>
        <v>Software</v>
      </c>
      <c r="L4877" s="1" t="str">
        <f aca="false">TEXT(D4877,"yyyy-mm")</f>
        <v>2024-06</v>
      </c>
    </row>
    <row r="4878" customFormat="false" ht="15" hidden="false" customHeight="true" outlineLevel="0" collapsed="false">
      <c r="A4878" s="1" t="n">
        <v>4983</v>
      </c>
      <c r="B4878" s="1" t="n">
        <v>33</v>
      </c>
      <c r="C4878" s="1" t="n">
        <v>40</v>
      </c>
      <c r="D4878" s="1" t="s">
        <v>1571</v>
      </c>
      <c r="E4878" s="1" t="n">
        <v>8</v>
      </c>
      <c r="F4878" s="1" t="n">
        <v>193.02</v>
      </c>
      <c r="G4878" s="1" t="n">
        <v>0</v>
      </c>
      <c r="H4878" s="1" t="s">
        <v>1336</v>
      </c>
      <c r="I4878" s="1" t="n">
        <v>1544.16</v>
      </c>
      <c r="J4878" s="1" t="str">
        <f aca="false">VLOOKUP(B4878,Customers!$A$2:$G$502,6,FALSE())</f>
        <v>Corporate</v>
      </c>
      <c r="K4878" s="1" t="str">
        <f aca="false">VLOOKUP(C4878,Products!$A$2:$E$62,3,FALSE())</f>
        <v>Software</v>
      </c>
      <c r="L4878" s="1" t="str">
        <f aca="false">TEXT(D4878,"yyyy-mm")</f>
        <v>2024-02</v>
      </c>
    </row>
    <row r="4879" customFormat="false" ht="15" hidden="false" customHeight="true" outlineLevel="0" collapsed="false">
      <c r="A4879" s="1" t="n">
        <v>4984</v>
      </c>
      <c r="B4879" s="1" t="n">
        <v>287</v>
      </c>
      <c r="C4879" s="1" t="n">
        <v>50</v>
      </c>
      <c r="D4879" s="1" t="s">
        <v>1422</v>
      </c>
      <c r="E4879" s="1" t="n">
        <v>4</v>
      </c>
      <c r="F4879" s="1" t="n">
        <v>19.73</v>
      </c>
      <c r="G4879" s="1" t="n">
        <v>0</v>
      </c>
      <c r="H4879" s="1" t="s">
        <v>1336</v>
      </c>
      <c r="I4879" s="1" t="n">
        <v>78.92</v>
      </c>
      <c r="J4879" s="1" t="str">
        <f aca="false">VLOOKUP(B4879,Customers!$A$2:$G$502,6,FALSE())</f>
        <v>Corporate</v>
      </c>
      <c r="K4879" s="1" t="str">
        <f aca="false">VLOOKUP(C4879,Products!$A$2:$E$62,3,FALSE())</f>
        <v>Software</v>
      </c>
      <c r="L4879" s="1" t="str">
        <f aca="false">TEXT(D4879,"yyyy-mm")</f>
        <v>2023-12</v>
      </c>
    </row>
    <row r="4880" customFormat="false" ht="15" hidden="false" customHeight="true" outlineLevel="0" collapsed="false">
      <c r="A4880" s="1" t="n">
        <v>4985</v>
      </c>
      <c r="B4880" s="1" t="n">
        <v>110</v>
      </c>
      <c r="C4880" s="1" t="n">
        <v>30</v>
      </c>
      <c r="D4880" s="1" t="s">
        <v>1550</v>
      </c>
      <c r="E4880" s="1" t="n">
        <v>9</v>
      </c>
      <c r="F4880" s="1" t="n">
        <v>33.32</v>
      </c>
      <c r="G4880" s="1" t="n">
        <v>0</v>
      </c>
      <c r="H4880" s="1" t="s">
        <v>1336</v>
      </c>
      <c r="I4880" s="1" t="n">
        <v>299.88</v>
      </c>
      <c r="J4880" s="1" t="str">
        <f aca="false">VLOOKUP(B4880,Customers!$A$2:$G$502,6,FALSE())</f>
        <v>Corporate</v>
      </c>
      <c r="K4880" s="1" t="str">
        <f aca="false">VLOOKUP(C4880,Products!$A$2:$E$62,3,FALSE())</f>
        <v>Office Supplies</v>
      </c>
      <c r="L4880" s="1" t="str">
        <f aca="false">TEXT(D4880,"yyyy-mm")</f>
        <v>2024-03</v>
      </c>
    </row>
    <row r="4881" customFormat="false" ht="15" hidden="false" customHeight="true" outlineLevel="0" collapsed="false">
      <c r="A4881" s="1" t="n">
        <v>4986</v>
      </c>
      <c r="B4881" s="1" t="n">
        <v>12</v>
      </c>
      <c r="C4881" s="1" t="n">
        <v>32</v>
      </c>
      <c r="D4881" s="1" t="s">
        <v>1385</v>
      </c>
      <c r="E4881" s="1" t="n">
        <v>4</v>
      </c>
      <c r="F4881" s="1" t="n">
        <v>492.27</v>
      </c>
      <c r="G4881" s="1" t="n">
        <v>0.05</v>
      </c>
      <c r="H4881" s="1" t="s">
        <v>1336</v>
      </c>
      <c r="I4881" s="1" t="n">
        <v>1870.63</v>
      </c>
      <c r="J4881" s="1" t="str">
        <f aca="false">VLOOKUP(B4881,Customers!$A$2:$G$502,6,FALSE())</f>
        <v>Small Business</v>
      </c>
      <c r="K4881" s="1" t="str">
        <f aca="false">VLOOKUP(C4881,Products!$A$2:$E$62,3,FALSE())</f>
        <v>Office Supplies</v>
      </c>
      <c r="L4881" s="1" t="str">
        <f aca="false">TEXT(D4881,"yyyy-mm")</f>
        <v>2023-05</v>
      </c>
    </row>
    <row r="4882" customFormat="false" ht="15" hidden="false" customHeight="true" outlineLevel="0" collapsed="false">
      <c r="A4882" s="1" t="n">
        <v>4987</v>
      </c>
      <c r="B4882" s="1" t="n">
        <v>434</v>
      </c>
      <c r="C4882" s="1" t="n">
        <v>7</v>
      </c>
      <c r="D4882" s="1" t="s">
        <v>1581</v>
      </c>
      <c r="E4882" s="1" t="n">
        <v>8</v>
      </c>
      <c r="F4882" s="1" t="n">
        <v>460</v>
      </c>
      <c r="G4882" s="1" t="n">
        <v>0.15</v>
      </c>
      <c r="H4882" s="1" t="s">
        <v>1336</v>
      </c>
      <c r="I4882" s="1" t="n">
        <v>3128</v>
      </c>
      <c r="J4882" s="1" t="str">
        <f aca="false">VLOOKUP(B4882,Customers!$A$2:$G$502,6,FALSE())</f>
        <v>Consumer</v>
      </c>
      <c r="K4882" s="1" t="str">
        <f aca="false">VLOOKUP(C4882,Products!$A$2:$E$62,3,FALSE())</f>
        <v>Electronics</v>
      </c>
      <c r="L4882" s="1" t="str">
        <f aca="false">TEXT(D4882,"yyyy-mm")</f>
        <v>2023-10</v>
      </c>
    </row>
    <row r="4883" customFormat="false" ht="15" hidden="false" customHeight="true" outlineLevel="0" collapsed="false">
      <c r="A4883" s="1" t="n">
        <v>4988</v>
      </c>
      <c r="B4883" s="1" t="n">
        <v>402</v>
      </c>
      <c r="C4883" s="1" t="n">
        <v>29</v>
      </c>
      <c r="D4883" s="1" t="s">
        <v>1600</v>
      </c>
      <c r="E4883" s="1" t="n">
        <v>9</v>
      </c>
      <c r="F4883" s="1" t="n">
        <v>54.62</v>
      </c>
      <c r="G4883" s="1" t="n">
        <v>0.05</v>
      </c>
      <c r="H4883" s="1" t="s">
        <v>1336</v>
      </c>
      <c r="I4883" s="1" t="n">
        <v>467</v>
      </c>
      <c r="J4883" s="1" t="str">
        <f aca="false">VLOOKUP(B4883,Customers!$A$2:$G$502,6,FALSE())</f>
        <v>Unknown</v>
      </c>
      <c r="K4883" s="1" t="str">
        <f aca="false">VLOOKUP(C4883,Products!$A$2:$E$62,3,FALSE())</f>
        <v>Office Supplies</v>
      </c>
      <c r="L4883" s="1" t="str">
        <f aca="false">TEXT(D4883,"yyyy-mm")</f>
        <v>2024-01</v>
      </c>
    </row>
    <row r="4884" customFormat="false" ht="15" hidden="false" customHeight="true" outlineLevel="0" collapsed="false">
      <c r="A4884" s="1" t="n">
        <v>4989</v>
      </c>
      <c r="B4884" s="1" t="n">
        <v>373</v>
      </c>
      <c r="C4884" s="1" t="n">
        <v>28</v>
      </c>
      <c r="D4884" s="1" t="s">
        <v>226</v>
      </c>
      <c r="E4884" s="1" t="n">
        <v>9</v>
      </c>
      <c r="F4884" s="1" t="n">
        <v>505.23</v>
      </c>
      <c r="G4884" s="1" t="n">
        <v>0.2</v>
      </c>
      <c r="H4884" s="1" t="s">
        <v>1336</v>
      </c>
      <c r="I4884" s="1" t="n">
        <v>3637.66</v>
      </c>
      <c r="J4884" s="1" t="str">
        <f aca="false">VLOOKUP(B4884,Customers!$A$2:$G$502,6,FALSE())</f>
        <v>Corporate</v>
      </c>
      <c r="K4884" s="1" t="str">
        <f aca="false">VLOOKUP(C4884,Products!$A$2:$E$62,3,FALSE())</f>
        <v>Office Supplies</v>
      </c>
      <c r="L4884" s="1" t="str">
        <f aca="false">TEXT(D4884,"yyyy-mm")</f>
        <v>2023-11</v>
      </c>
    </row>
    <row r="4885" customFormat="false" ht="15" hidden="false" customHeight="true" outlineLevel="0" collapsed="false">
      <c r="A4885" s="1" t="n">
        <v>4990</v>
      </c>
      <c r="B4885" s="1" t="n">
        <v>211</v>
      </c>
      <c r="C4885" s="1" t="n">
        <v>34</v>
      </c>
      <c r="D4885" s="1" t="s">
        <v>73</v>
      </c>
      <c r="E4885" s="1" t="n">
        <v>4</v>
      </c>
      <c r="F4885" s="1" t="n">
        <v>116.85</v>
      </c>
      <c r="G4885" s="1" t="n">
        <v>0</v>
      </c>
      <c r="H4885" s="1" t="s">
        <v>1336</v>
      </c>
      <c r="I4885" s="1" t="n">
        <v>467.4</v>
      </c>
      <c r="J4885" s="1" t="str">
        <f aca="false">VLOOKUP(B4885,Customers!$A$2:$G$502,6,FALSE())</f>
        <v>Consumer</v>
      </c>
      <c r="K4885" s="1" t="str">
        <f aca="false">VLOOKUP(C4885,Products!$A$2:$E$62,3,FALSE())</f>
        <v>Office Supplies</v>
      </c>
      <c r="L4885" s="1" t="str">
        <f aca="false">TEXT(D4885,"yyyy-mm")</f>
        <v>2023-06</v>
      </c>
    </row>
    <row r="4886" customFormat="false" ht="15" hidden="false" customHeight="true" outlineLevel="0" collapsed="false">
      <c r="A4886" s="1" t="n">
        <v>4991</v>
      </c>
      <c r="B4886" s="1" t="n">
        <v>157</v>
      </c>
      <c r="C4886" s="1" t="n">
        <v>10</v>
      </c>
      <c r="D4886" s="1" t="s">
        <v>1618</v>
      </c>
      <c r="E4886" s="1" t="n">
        <v>1</v>
      </c>
      <c r="F4886" s="1" t="n">
        <v>251.58</v>
      </c>
      <c r="G4886" s="1" t="n">
        <v>0</v>
      </c>
      <c r="H4886" s="1" t="s">
        <v>1336</v>
      </c>
      <c r="I4886" s="1" t="n">
        <v>251.58</v>
      </c>
      <c r="J4886" s="1" t="str">
        <f aca="false">VLOOKUP(B4886,Customers!$A$2:$G$502,6,FALSE())</f>
        <v>Corporate</v>
      </c>
      <c r="K4886" s="1" t="str">
        <f aca="false">VLOOKUP(C4886,Products!$A$2:$E$62,3,FALSE())</f>
        <v>Electronics</v>
      </c>
      <c r="L4886" s="1" t="str">
        <f aca="false">TEXT(D4886,"yyyy-mm")</f>
        <v>2024-04</v>
      </c>
    </row>
    <row r="4887" customFormat="false" ht="15" hidden="false" customHeight="true" outlineLevel="0" collapsed="false">
      <c r="A4887" s="1" t="n">
        <v>4992</v>
      </c>
      <c r="B4887" s="1" t="n">
        <v>422</v>
      </c>
      <c r="C4887" s="1" t="n">
        <v>48</v>
      </c>
      <c r="D4887" s="1" t="s">
        <v>1359</v>
      </c>
      <c r="E4887" s="1" t="n">
        <v>3</v>
      </c>
      <c r="F4887" s="1" t="n">
        <v>493.53</v>
      </c>
      <c r="G4887" s="1" t="n">
        <v>0</v>
      </c>
      <c r="H4887" s="1" t="s">
        <v>1346</v>
      </c>
      <c r="I4887" s="1" t="n">
        <v>1480.59</v>
      </c>
      <c r="J4887" s="1" t="str">
        <f aca="false">VLOOKUP(B4887,Customers!$A$2:$G$502,6,FALSE())</f>
        <v>Small Business</v>
      </c>
      <c r="K4887" s="1" t="str">
        <f aca="false">VLOOKUP(C4887,Products!$A$2:$E$62,3,FALSE())</f>
        <v>Software</v>
      </c>
      <c r="L4887" s="1" t="str">
        <f aca="false">TEXT(D4887,"yyyy-mm")</f>
        <v>2024-09</v>
      </c>
    </row>
    <row r="4888" customFormat="false" ht="15" hidden="false" customHeight="true" outlineLevel="0" collapsed="false">
      <c r="A4888" s="1" t="n">
        <v>4993</v>
      </c>
      <c r="B4888" s="1" t="n">
        <v>306</v>
      </c>
      <c r="C4888" s="1" t="n">
        <v>31</v>
      </c>
      <c r="D4888" s="1" t="s">
        <v>84</v>
      </c>
      <c r="E4888" s="1" t="n">
        <v>9</v>
      </c>
      <c r="F4888" s="1" t="n">
        <v>224.86</v>
      </c>
      <c r="G4888" s="1" t="n">
        <v>0</v>
      </c>
      <c r="H4888" s="1" t="s">
        <v>1336</v>
      </c>
      <c r="I4888" s="1" t="n">
        <v>2023.74</v>
      </c>
      <c r="J4888" s="1" t="str">
        <f aca="false">VLOOKUP(B4888,Customers!$A$2:$G$502,6,FALSE())</f>
        <v>Small Business</v>
      </c>
      <c r="K4888" s="1" t="str">
        <f aca="false">VLOOKUP(C4888,Products!$A$2:$E$62,3,FALSE())</f>
        <v>Office Supplies</v>
      </c>
      <c r="L4888" s="1" t="str">
        <f aca="false">TEXT(D4888,"yyyy-mm")</f>
        <v>2024-12</v>
      </c>
    </row>
    <row r="4889" customFormat="false" ht="15" hidden="false" customHeight="true" outlineLevel="0" collapsed="false">
      <c r="A4889" s="1" t="n">
        <v>4994</v>
      </c>
      <c r="B4889" s="1" t="n">
        <v>142</v>
      </c>
      <c r="C4889" s="1" t="n">
        <v>29</v>
      </c>
      <c r="D4889" s="1" t="s">
        <v>1360</v>
      </c>
      <c r="E4889" s="1" t="n">
        <v>4</v>
      </c>
      <c r="F4889" s="1" t="n">
        <v>54.62</v>
      </c>
      <c r="G4889" s="1" t="n">
        <v>0.1</v>
      </c>
      <c r="H4889" s="1" t="s">
        <v>1346</v>
      </c>
      <c r="I4889" s="1" t="n">
        <v>196.63</v>
      </c>
      <c r="J4889" s="1" t="str">
        <f aca="false">VLOOKUP(B4889,Customers!$A$2:$G$502,6,FALSE())</f>
        <v>Small Business</v>
      </c>
      <c r="K4889" s="1" t="str">
        <f aca="false">VLOOKUP(C4889,Products!$A$2:$E$62,3,FALSE())</f>
        <v>Office Supplies</v>
      </c>
      <c r="L4889" s="1" t="str">
        <f aca="false">TEXT(D4889,"yyyy-mm")</f>
        <v>2024-01</v>
      </c>
    </row>
    <row r="4890" customFormat="false" ht="15" hidden="false" customHeight="true" outlineLevel="0" collapsed="false">
      <c r="A4890" s="1" t="n">
        <v>4995</v>
      </c>
      <c r="B4890" s="1" t="n">
        <v>342</v>
      </c>
      <c r="C4890" s="1" t="n">
        <v>47</v>
      </c>
      <c r="D4890" s="1" t="s">
        <v>726</v>
      </c>
      <c r="E4890" s="1" t="n">
        <v>5</v>
      </c>
      <c r="F4890" s="1" t="n">
        <v>506.19</v>
      </c>
      <c r="G4890" s="1" t="n">
        <v>0.15</v>
      </c>
      <c r="H4890" s="1" t="s">
        <v>1336</v>
      </c>
      <c r="I4890" s="1" t="n">
        <v>2151.31</v>
      </c>
      <c r="J4890" s="1" t="str">
        <f aca="false">VLOOKUP(B4890,Customers!$A$2:$G$502,6,FALSE())</f>
        <v>Small Business</v>
      </c>
      <c r="K4890" s="1" t="str">
        <f aca="false">VLOOKUP(C4890,Products!$A$2:$E$62,3,FALSE())</f>
        <v>Software</v>
      </c>
      <c r="L4890" s="1" t="str">
        <f aca="false">TEXT(D4890,"yyyy-mm")</f>
        <v>2023-09</v>
      </c>
    </row>
    <row r="4891" customFormat="false" ht="15" hidden="false" customHeight="true" outlineLevel="0" collapsed="false">
      <c r="A4891" s="1" t="n">
        <v>4996</v>
      </c>
      <c r="B4891" s="1" t="n">
        <v>97</v>
      </c>
      <c r="C4891" s="1" t="n">
        <v>38</v>
      </c>
      <c r="D4891" s="1" t="s">
        <v>202</v>
      </c>
      <c r="E4891" s="1" t="n">
        <v>7</v>
      </c>
      <c r="F4891" s="1" t="n">
        <v>521.63</v>
      </c>
      <c r="G4891" s="1" t="n">
        <v>0</v>
      </c>
      <c r="H4891" s="1" t="s">
        <v>1336</v>
      </c>
      <c r="I4891" s="1" t="n">
        <v>3651.41</v>
      </c>
      <c r="J4891" s="1" t="str">
        <f aca="false">VLOOKUP(B4891,Customers!$A$2:$G$502,6,FALSE())</f>
        <v>Corporate</v>
      </c>
      <c r="K4891" s="1" t="str">
        <f aca="false">VLOOKUP(C4891,Products!$A$2:$E$62,3,FALSE())</f>
        <v>Software</v>
      </c>
      <c r="L4891" s="1" t="str">
        <f aca="false">TEXT(D4891,"yyyy-mm")</f>
        <v>2024-12</v>
      </c>
    </row>
    <row r="4892" customFormat="false" ht="15" hidden="false" customHeight="true" outlineLevel="0" collapsed="false">
      <c r="A4892" s="1" t="n">
        <v>4997</v>
      </c>
      <c r="B4892" s="1" t="n">
        <v>413</v>
      </c>
      <c r="C4892" s="1" t="n">
        <v>32</v>
      </c>
      <c r="D4892" s="1" t="s">
        <v>1608</v>
      </c>
      <c r="E4892" s="1" t="n">
        <v>5</v>
      </c>
      <c r="F4892" s="1" t="n">
        <v>492.27</v>
      </c>
      <c r="G4892" s="1" t="n">
        <v>0</v>
      </c>
      <c r="H4892" s="1" t="s">
        <v>1336</v>
      </c>
      <c r="I4892" s="1" t="n">
        <v>2461.35</v>
      </c>
      <c r="J4892" s="1" t="str">
        <f aca="false">VLOOKUP(B4892,Customers!$A$2:$G$502,6,FALSE())</f>
        <v>Small Business</v>
      </c>
      <c r="K4892" s="1" t="str">
        <f aca="false">VLOOKUP(C4892,Products!$A$2:$E$62,3,FALSE())</f>
        <v>Office Supplies</v>
      </c>
      <c r="L4892" s="1" t="str">
        <f aca="false">TEXT(D4892,"yyyy-mm")</f>
        <v>2024-04</v>
      </c>
    </row>
    <row r="4893" customFormat="false" ht="15" hidden="false" customHeight="true" outlineLevel="0" collapsed="false">
      <c r="A4893" s="1" t="n">
        <v>4998</v>
      </c>
      <c r="B4893" s="1" t="n">
        <v>55</v>
      </c>
      <c r="C4893" s="1" t="n">
        <v>31</v>
      </c>
      <c r="D4893" s="1" t="s">
        <v>39</v>
      </c>
      <c r="E4893" s="1" t="n">
        <v>4</v>
      </c>
      <c r="F4893" s="1" t="n">
        <v>224.86</v>
      </c>
      <c r="G4893" s="1" t="n">
        <v>0</v>
      </c>
      <c r="H4893" s="1" t="s">
        <v>1336</v>
      </c>
      <c r="I4893" s="1" t="n">
        <v>899.44</v>
      </c>
      <c r="J4893" s="1" t="str">
        <f aca="false">VLOOKUP(B4893,Customers!$A$2:$G$502,6,FALSE())</f>
        <v>Consumer</v>
      </c>
      <c r="K4893" s="1" t="str">
        <f aca="false">VLOOKUP(C4893,Products!$A$2:$E$62,3,FALSE())</f>
        <v>Office Supplies</v>
      </c>
      <c r="L4893" s="1" t="str">
        <f aca="false">TEXT(D4893,"yyyy-mm")</f>
        <v>2023-10</v>
      </c>
    </row>
    <row r="4894" customFormat="false" ht="15" hidden="false" customHeight="true" outlineLevel="0" collapsed="false">
      <c r="A4894" s="1" t="n">
        <v>4999</v>
      </c>
      <c r="B4894" s="1" t="n">
        <v>194</v>
      </c>
      <c r="C4894" s="1" t="n">
        <v>51</v>
      </c>
      <c r="D4894" s="1" t="s">
        <v>1674</v>
      </c>
      <c r="E4894" s="1" t="n">
        <v>2</v>
      </c>
      <c r="F4894" s="1" t="n">
        <v>30.16</v>
      </c>
      <c r="G4894" s="1" t="n">
        <v>0</v>
      </c>
      <c r="H4894" s="1" t="s">
        <v>1336</v>
      </c>
      <c r="I4894" s="1" t="n">
        <v>60.32</v>
      </c>
      <c r="J4894" s="1" t="str">
        <f aca="false">VLOOKUP(B4894,Customers!$A$2:$G$502,6,FALSE())</f>
        <v>Corporate</v>
      </c>
      <c r="K4894" s="1" t="str">
        <f aca="false">VLOOKUP(C4894,Products!$A$2:$E$62,3,FALSE())</f>
        <v>Software</v>
      </c>
      <c r="L4894" s="1" t="str">
        <f aca="false">TEXT(D4894,"yyyy-mm")</f>
        <v>2023-03</v>
      </c>
    </row>
    <row r="4895" customFormat="false" ht="15" hidden="false" customHeight="true" outlineLevel="0" collapsed="false">
      <c r="A4895" s="1" t="n">
        <v>5000</v>
      </c>
      <c r="B4895" s="1" t="n">
        <v>434</v>
      </c>
      <c r="C4895" s="1" t="n">
        <v>32</v>
      </c>
      <c r="D4895" s="1" t="s">
        <v>176</v>
      </c>
      <c r="E4895" s="1" t="n">
        <v>2</v>
      </c>
      <c r="F4895" s="1" t="n">
        <v>492.27</v>
      </c>
      <c r="G4895" s="1" t="n">
        <v>0</v>
      </c>
      <c r="H4895" s="1" t="s">
        <v>1336</v>
      </c>
      <c r="I4895" s="1" t="n">
        <v>984.54</v>
      </c>
      <c r="J4895" s="1" t="str">
        <f aca="false">VLOOKUP(B4895,Customers!$A$2:$G$502,6,FALSE())</f>
        <v>Consumer</v>
      </c>
      <c r="K4895" s="1" t="str">
        <f aca="false">VLOOKUP(C4895,Products!$A$2:$E$62,3,FALSE())</f>
        <v>Office Supplies</v>
      </c>
      <c r="L4895" s="1" t="str">
        <f aca="false">TEXT(D4895,"yyyy-mm")</f>
        <v>2024-04</v>
      </c>
    </row>
    <row r="4896" customFormat="false" ht="15" hidden="false" customHeight="true" outlineLevel="0" collapsed="false">
      <c r="A4896" s="1" t="n">
        <v>5001</v>
      </c>
      <c r="B4896" s="1" t="n">
        <v>80</v>
      </c>
      <c r="C4896" s="1" t="n">
        <v>57</v>
      </c>
      <c r="D4896" s="1" t="s">
        <v>1641</v>
      </c>
      <c r="E4896" s="1" t="n">
        <v>4</v>
      </c>
      <c r="F4896" s="1" t="n">
        <v>719.76</v>
      </c>
      <c r="G4896" s="1" t="n">
        <v>0.1</v>
      </c>
      <c r="H4896" s="1" t="s">
        <v>1370</v>
      </c>
      <c r="I4896" s="1" t="n">
        <v>2591.14</v>
      </c>
      <c r="J4896" s="1" t="str">
        <f aca="false">VLOOKUP(B4896,Customers!$A$2:$G$502,6,FALSE())</f>
        <v>Consumer</v>
      </c>
      <c r="K4896" s="1" t="str">
        <f aca="false">VLOOKUP(C4896,Products!$A$2:$E$62,3,FALSE())</f>
        <v>Furniture</v>
      </c>
      <c r="L4896" s="1" t="str">
        <f aca="false">TEXT(D4896,"yyyy-mm")</f>
        <v>2024-04</v>
      </c>
    </row>
    <row r="4897" customFormat="false" ht="15" hidden="false" customHeight="true" outlineLevel="0" collapsed="false">
      <c r="A4897" s="1" t="n">
        <v>5002</v>
      </c>
      <c r="B4897" s="1" t="n">
        <v>110</v>
      </c>
      <c r="C4897" s="1" t="n">
        <v>48</v>
      </c>
      <c r="D4897" s="1" t="s">
        <v>1277</v>
      </c>
      <c r="E4897" s="1" t="n">
        <v>9</v>
      </c>
      <c r="F4897" s="1" t="n">
        <v>493.53</v>
      </c>
      <c r="G4897" s="1" t="n">
        <v>0</v>
      </c>
      <c r="H4897" s="1" t="s">
        <v>1336</v>
      </c>
      <c r="I4897" s="1" t="n">
        <v>4441.77</v>
      </c>
      <c r="J4897" s="1" t="str">
        <f aca="false">VLOOKUP(B4897,Customers!$A$2:$G$502,6,FALSE())</f>
        <v>Corporate</v>
      </c>
      <c r="K4897" s="1" t="str">
        <f aca="false">VLOOKUP(C4897,Products!$A$2:$E$62,3,FALSE())</f>
        <v>Software</v>
      </c>
      <c r="L4897" s="1" t="str">
        <f aca="false">TEXT(D4897,"yyyy-mm")</f>
        <v>2023-11</v>
      </c>
    </row>
    <row r="4898" customFormat="false" ht="15" hidden="false" customHeight="true" outlineLevel="0" collapsed="false">
      <c r="A4898" s="1" t="n">
        <v>5003</v>
      </c>
      <c r="B4898" s="1" t="n">
        <v>235</v>
      </c>
      <c r="C4898" s="1" t="n">
        <v>11</v>
      </c>
      <c r="D4898" s="1" t="s">
        <v>1445</v>
      </c>
      <c r="E4898" s="1" t="n">
        <v>8</v>
      </c>
      <c r="F4898" s="1" t="n">
        <v>328.39</v>
      </c>
      <c r="G4898" s="1" t="n">
        <v>0.15</v>
      </c>
      <c r="H4898" s="1" t="s">
        <v>1336</v>
      </c>
      <c r="I4898" s="1" t="n">
        <v>2233.05</v>
      </c>
      <c r="J4898" s="1" t="str">
        <f aca="false">VLOOKUP(B4898,Customers!$A$2:$G$502,6,FALSE())</f>
        <v>Small Business</v>
      </c>
      <c r="K4898" s="1" t="str">
        <f aca="false">VLOOKUP(C4898,Products!$A$2:$E$62,3,FALSE())</f>
        <v>Electronics</v>
      </c>
      <c r="L4898" s="1" t="str">
        <f aca="false">TEXT(D4898,"yyyy-mm")</f>
        <v>2024-08</v>
      </c>
    </row>
    <row r="4899" customFormat="false" ht="15" hidden="false" customHeight="true" outlineLevel="0" collapsed="false">
      <c r="A4899" s="1" t="n">
        <v>5004</v>
      </c>
      <c r="B4899" s="1" t="n">
        <v>323</v>
      </c>
      <c r="C4899" s="1" t="n">
        <v>7</v>
      </c>
      <c r="D4899" s="1" t="s">
        <v>1693</v>
      </c>
      <c r="E4899" s="1" t="n">
        <v>3</v>
      </c>
      <c r="F4899" s="1" t="n">
        <v>460</v>
      </c>
      <c r="G4899" s="1" t="n">
        <v>0.15</v>
      </c>
      <c r="H4899" s="1" t="s">
        <v>1336</v>
      </c>
      <c r="I4899" s="1" t="n">
        <v>1173</v>
      </c>
      <c r="J4899" s="1" t="str">
        <f aca="false">VLOOKUP(B4899,Customers!$A$2:$G$502,6,FALSE())</f>
        <v>Consumer</v>
      </c>
      <c r="K4899" s="1" t="str">
        <f aca="false">VLOOKUP(C4899,Products!$A$2:$E$62,3,FALSE())</f>
        <v>Electronics</v>
      </c>
      <c r="L4899" s="1" t="str">
        <f aca="false">TEXT(D4899,"yyyy-mm")</f>
        <v>2024-05</v>
      </c>
    </row>
    <row r="4900" customFormat="false" ht="15" hidden="false" customHeight="true" outlineLevel="0" collapsed="false">
      <c r="A4900" s="1" t="n">
        <v>5005</v>
      </c>
      <c r="B4900" s="1" t="n">
        <v>453</v>
      </c>
      <c r="C4900" s="1" t="n">
        <v>29</v>
      </c>
      <c r="D4900" s="1" t="s">
        <v>1516</v>
      </c>
      <c r="E4900" s="1" t="n">
        <v>9</v>
      </c>
      <c r="F4900" s="1" t="n">
        <v>54.62</v>
      </c>
      <c r="G4900" s="1" t="n">
        <v>0</v>
      </c>
      <c r="H4900" s="1" t="s">
        <v>1336</v>
      </c>
      <c r="I4900" s="1" t="n">
        <v>491.58</v>
      </c>
      <c r="J4900" s="1" t="str">
        <f aca="false">VLOOKUP(B4900,Customers!$A$2:$G$502,6,FALSE())</f>
        <v>Small Business</v>
      </c>
      <c r="K4900" s="1" t="str">
        <f aca="false">VLOOKUP(C4900,Products!$A$2:$E$62,3,FALSE())</f>
        <v>Office Supplies</v>
      </c>
      <c r="L4900" s="1" t="str">
        <f aca="false">TEXT(D4900,"yyyy-mm")</f>
        <v>2023-02</v>
      </c>
    </row>
    <row r="4901" customFormat="false" ht="15" hidden="false" customHeight="true" outlineLevel="0" collapsed="false">
      <c r="A4901" s="1" t="n">
        <v>5006</v>
      </c>
      <c r="B4901" s="1" t="n">
        <v>119</v>
      </c>
      <c r="C4901" s="1" t="n">
        <v>37</v>
      </c>
      <c r="D4901" s="1" t="s">
        <v>986</v>
      </c>
      <c r="E4901" s="1" t="n">
        <v>5</v>
      </c>
      <c r="F4901" s="1" t="n">
        <v>13.95</v>
      </c>
      <c r="G4901" s="1" t="n">
        <v>0</v>
      </c>
      <c r="H4901" s="1" t="s">
        <v>1336</v>
      </c>
      <c r="I4901" s="1" t="n">
        <v>69.75</v>
      </c>
      <c r="J4901" s="1" t="str">
        <f aca="false">VLOOKUP(B4901,Customers!$A$2:$G$502,6,FALSE())</f>
        <v>Small Business</v>
      </c>
      <c r="K4901" s="1" t="str">
        <f aca="false">VLOOKUP(C4901,Products!$A$2:$E$62,3,FALSE())</f>
        <v>Software</v>
      </c>
      <c r="L4901" s="1" t="str">
        <f aca="false">TEXT(D4901,"yyyy-mm")</f>
        <v>2023-03</v>
      </c>
    </row>
    <row r="4902" customFormat="false" ht="15" hidden="false" customHeight="true" outlineLevel="0" collapsed="false">
      <c r="A4902" s="1" t="n">
        <v>5007</v>
      </c>
      <c r="B4902" s="1" t="n">
        <v>172</v>
      </c>
      <c r="C4902" s="1" t="n">
        <v>27</v>
      </c>
      <c r="D4902" s="1" t="s">
        <v>1552</v>
      </c>
      <c r="E4902" s="1" t="n">
        <v>3</v>
      </c>
      <c r="F4902" s="1" t="n">
        <v>772.58</v>
      </c>
      <c r="G4902" s="1" t="n">
        <v>0.2</v>
      </c>
      <c r="H4902" s="1" t="s">
        <v>1336</v>
      </c>
      <c r="I4902" s="1" t="n">
        <v>1854.19</v>
      </c>
      <c r="J4902" s="1" t="str">
        <f aca="false">VLOOKUP(B4902,Customers!$A$2:$G$502,6,FALSE())</f>
        <v>Consumer</v>
      </c>
      <c r="K4902" s="1" t="str">
        <f aca="false">VLOOKUP(C4902,Products!$A$2:$E$62,3,FALSE())</f>
        <v>Office Supplies</v>
      </c>
      <c r="L4902" s="1" t="str">
        <f aca="false">TEXT(D4902,"yyyy-mm")</f>
        <v>2023-02</v>
      </c>
    </row>
    <row r="4903" customFormat="false" ht="15" hidden="false" customHeight="true" outlineLevel="0" collapsed="false">
      <c r="A4903" s="1" t="n">
        <v>5008</v>
      </c>
      <c r="B4903" s="1" t="n">
        <v>335</v>
      </c>
      <c r="C4903" s="1" t="n">
        <v>3</v>
      </c>
      <c r="D4903" s="1" t="s">
        <v>68</v>
      </c>
      <c r="E4903" s="1" t="n">
        <v>5</v>
      </c>
      <c r="F4903" s="1" t="n">
        <v>89.39</v>
      </c>
      <c r="G4903" s="1" t="n">
        <v>0</v>
      </c>
      <c r="H4903" s="1" t="s">
        <v>1336</v>
      </c>
      <c r="I4903" s="1" t="n">
        <v>446.95</v>
      </c>
      <c r="J4903" s="1" t="str">
        <f aca="false">VLOOKUP(B4903,Customers!$A$2:$G$502,6,FALSE())</f>
        <v>Small Business</v>
      </c>
      <c r="K4903" s="1" t="str">
        <f aca="false">VLOOKUP(C4903,Products!$A$2:$E$62,3,FALSE())</f>
        <v>Electronics</v>
      </c>
      <c r="L4903" s="1" t="str">
        <f aca="false">TEXT(D4903,"yyyy-mm")</f>
        <v>2024-11</v>
      </c>
    </row>
    <row r="4904" customFormat="false" ht="15" hidden="false" customHeight="true" outlineLevel="0" collapsed="false">
      <c r="A4904" s="1" t="n">
        <v>5009</v>
      </c>
      <c r="B4904" s="1" t="n">
        <v>364</v>
      </c>
      <c r="C4904" s="1" t="n">
        <v>51</v>
      </c>
      <c r="D4904" s="1" t="s">
        <v>1642</v>
      </c>
      <c r="E4904" s="1" t="n">
        <v>4</v>
      </c>
      <c r="F4904" s="1" t="n">
        <v>30.16</v>
      </c>
      <c r="G4904" s="1" t="n">
        <v>0</v>
      </c>
      <c r="H4904" s="1" t="s">
        <v>1336</v>
      </c>
      <c r="I4904" s="1" t="n">
        <v>120.64</v>
      </c>
      <c r="J4904" s="1" t="str">
        <f aca="false">VLOOKUP(B4904,Customers!$A$2:$G$502,6,FALSE())</f>
        <v>Small Business</v>
      </c>
      <c r="K4904" s="1" t="str">
        <f aca="false">VLOOKUP(C4904,Products!$A$2:$E$62,3,FALSE())</f>
        <v>Software</v>
      </c>
      <c r="L4904" s="1" t="str">
        <f aca="false">TEXT(D4904,"yyyy-mm")</f>
        <v>2024-12</v>
      </c>
    </row>
    <row r="4905" customFormat="false" ht="15" hidden="false" customHeight="true" outlineLevel="0" collapsed="false">
      <c r="A4905" s="1" t="n">
        <v>5010</v>
      </c>
      <c r="B4905" s="1" t="n">
        <v>132</v>
      </c>
      <c r="C4905" s="1" t="n">
        <v>2</v>
      </c>
      <c r="D4905" s="1" t="s">
        <v>783</v>
      </c>
      <c r="E4905" s="1" t="n">
        <v>8</v>
      </c>
      <c r="F4905" s="1" t="n">
        <v>498.15</v>
      </c>
      <c r="G4905" s="1" t="n">
        <v>0.1</v>
      </c>
      <c r="H4905" s="1" t="s">
        <v>1336</v>
      </c>
      <c r="I4905" s="1" t="n">
        <v>3586.68</v>
      </c>
      <c r="J4905" s="1" t="str">
        <f aca="false">VLOOKUP(B4905,Customers!$A$2:$G$502,6,FALSE())</f>
        <v>Corporate</v>
      </c>
      <c r="K4905" s="1" t="str">
        <f aca="false">VLOOKUP(C4905,Products!$A$2:$E$62,3,FALSE())</f>
        <v>Electronics</v>
      </c>
      <c r="L4905" s="1" t="str">
        <f aca="false">TEXT(D4905,"yyyy-mm")</f>
        <v>2024-12</v>
      </c>
    </row>
    <row r="4906" customFormat="false" ht="15" hidden="false" customHeight="true" outlineLevel="0" collapsed="false">
      <c r="A4906" s="1" t="n">
        <v>5011</v>
      </c>
      <c r="B4906" s="1" t="n">
        <v>406</v>
      </c>
      <c r="C4906" s="1" t="n">
        <v>50</v>
      </c>
      <c r="D4906" s="1" t="s">
        <v>1388</v>
      </c>
      <c r="E4906" s="1" t="n">
        <v>5</v>
      </c>
      <c r="F4906" s="1" t="n">
        <v>19.73</v>
      </c>
      <c r="G4906" s="1" t="n">
        <v>0</v>
      </c>
      <c r="H4906" s="1" t="s">
        <v>1336</v>
      </c>
      <c r="I4906" s="1" t="n">
        <v>98.65</v>
      </c>
      <c r="J4906" s="1" t="str">
        <f aca="false">VLOOKUP(B4906,Customers!$A$2:$G$502,6,FALSE())</f>
        <v>Small Business</v>
      </c>
      <c r="K4906" s="1" t="str">
        <f aca="false">VLOOKUP(C4906,Products!$A$2:$E$62,3,FALSE())</f>
        <v>Software</v>
      </c>
      <c r="L4906" s="1" t="str">
        <f aca="false">TEXT(D4906,"yyyy-mm")</f>
        <v>2024-11</v>
      </c>
    </row>
    <row r="4907" customFormat="false" ht="15" hidden="false" customHeight="true" outlineLevel="0" collapsed="false">
      <c r="A4907" s="1" t="n">
        <v>5012</v>
      </c>
      <c r="B4907" s="1" t="n">
        <v>497</v>
      </c>
      <c r="C4907" s="1" t="n">
        <v>21</v>
      </c>
      <c r="D4907" s="1" t="s">
        <v>1451</v>
      </c>
      <c r="E4907" s="1" t="n">
        <v>8</v>
      </c>
      <c r="F4907" s="1" t="n">
        <v>84.91</v>
      </c>
      <c r="G4907" s="1" t="n">
        <v>0.15</v>
      </c>
      <c r="H4907" s="1" t="s">
        <v>1336</v>
      </c>
      <c r="I4907" s="1" t="n">
        <v>577.39</v>
      </c>
      <c r="J4907" s="1" t="str">
        <f aca="false">VLOOKUP(B4907,Customers!$A$2:$G$502,6,FALSE())</f>
        <v>Consumer</v>
      </c>
      <c r="K4907" s="1" t="str">
        <f aca="false">VLOOKUP(C4907,Products!$A$2:$E$62,3,FALSE())</f>
        <v>Office Supplies</v>
      </c>
      <c r="L4907" s="1" t="str">
        <f aca="false">TEXT(D4907,"yyyy-mm")</f>
        <v>2023-10</v>
      </c>
    </row>
    <row r="4908" customFormat="false" ht="15" hidden="false" customHeight="true" outlineLevel="0" collapsed="false">
      <c r="A4908" s="1" t="n">
        <v>5013</v>
      </c>
      <c r="B4908" s="1" t="n">
        <v>322</v>
      </c>
      <c r="C4908" s="1" t="n">
        <v>42</v>
      </c>
      <c r="D4908" s="1" t="s">
        <v>263</v>
      </c>
      <c r="E4908" s="1" t="n">
        <v>9</v>
      </c>
      <c r="F4908" s="1" t="n">
        <v>174.48</v>
      </c>
      <c r="G4908" s="1" t="n">
        <v>0.15</v>
      </c>
      <c r="H4908" s="1" t="s">
        <v>1336</v>
      </c>
      <c r="I4908" s="1" t="n">
        <v>1334.77</v>
      </c>
      <c r="J4908" s="1" t="str">
        <f aca="false">VLOOKUP(B4908,Customers!$A$2:$G$502,6,FALSE())</f>
        <v>Consumer</v>
      </c>
      <c r="K4908" s="1" t="str">
        <f aca="false">VLOOKUP(C4908,Products!$A$2:$E$62,3,FALSE())</f>
        <v>Software</v>
      </c>
      <c r="L4908" s="1" t="str">
        <f aca="false">TEXT(D4908,"yyyy-mm")</f>
        <v>2023-04</v>
      </c>
    </row>
    <row r="4909" customFormat="false" ht="15" hidden="false" customHeight="true" outlineLevel="0" collapsed="false">
      <c r="A4909" s="1" t="n">
        <v>5015</v>
      </c>
      <c r="B4909" s="1" t="n">
        <v>284</v>
      </c>
      <c r="C4909" s="1" t="n">
        <v>57</v>
      </c>
      <c r="D4909" s="1" t="s">
        <v>449</v>
      </c>
      <c r="E4909" s="1" t="n">
        <v>7</v>
      </c>
      <c r="F4909" s="1" t="n">
        <v>719.76</v>
      </c>
      <c r="G4909" s="1" t="n">
        <v>0</v>
      </c>
      <c r="H4909" s="1" t="s">
        <v>1370</v>
      </c>
      <c r="I4909" s="1" t="n">
        <v>5038.32</v>
      </c>
      <c r="J4909" s="1" t="str">
        <f aca="false">VLOOKUP(B4909,Customers!$A$2:$G$502,6,FALSE())</f>
        <v>Consumer</v>
      </c>
      <c r="K4909" s="1" t="str">
        <f aca="false">VLOOKUP(C4909,Products!$A$2:$E$62,3,FALSE())</f>
        <v>Furniture</v>
      </c>
      <c r="L4909" s="1" t="str">
        <f aca="false">TEXT(D4909,"yyyy-mm")</f>
        <v>2023-03</v>
      </c>
    </row>
    <row r="4910" customFormat="false" ht="15" hidden="false" customHeight="true" outlineLevel="0" collapsed="false">
      <c r="A4910" s="1" t="n">
        <v>5016</v>
      </c>
      <c r="B4910" s="1" t="n">
        <v>96</v>
      </c>
      <c r="C4910" s="1" t="n">
        <v>8</v>
      </c>
      <c r="D4910" s="1" t="s">
        <v>1636</v>
      </c>
      <c r="E4910" s="1" t="n">
        <v>2</v>
      </c>
      <c r="F4910" s="1" t="n">
        <v>104.4</v>
      </c>
      <c r="G4910" s="1" t="n">
        <v>0.05</v>
      </c>
      <c r="H4910" s="1" t="s">
        <v>1336</v>
      </c>
      <c r="I4910" s="1" t="n">
        <v>198.36</v>
      </c>
      <c r="J4910" s="1" t="str">
        <f aca="false">VLOOKUP(B4910,Customers!$A$2:$G$502,6,FALSE())</f>
        <v>Corporate</v>
      </c>
      <c r="K4910" s="1" t="str">
        <f aca="false">VLOOKUP(C4910,Products!$A$2:$E$62,3,FALSE())</f>
        <v>Electronics</v>
      </c>
      <c r="L4910" s="1" t="str">
        <f aca="false">TEXT(D4910,"yyyy-mm")</f>
        <v>2023-08</v>
      </c>
    </row>
    <row r="4911" customFormat="false" ht="15" hidden="false" customHeight="true" outlineLevel="0" collapsed="false">
      <c r="A4911" s="1" t="n">
        <v>5017</v>
      </c>
      <c r="B4911" s="1" t="n">
        <v>335</v>
      </c>
      <c r="C4911" s="1" t="n">
        <v>36</v>
      </c>
      <c r="D4911" s="1" t="s">
        <v>756</v>
      </c>
      <c r="E4911" s="1" t="n">
        <v>6</v>
      </c>
      <c r="F4911" s="1" t="n">
        <v>424.45</v>
      </c>
      <c r="G4911" s="1" t="n">
        <v>0</v>
      </c>
      <c r="H4911" s="1" t="s">
        <v>1336</v>
      </c>
      <c r="I4911" s="1" t="n">
        <v>2546.7</v>
      </c>
      <c r="J4911" s="1" t="str">
        <f aca="false">VLOOKUP(B4911,Customers!$A$2:$G$502,6,FALSE())</f>
        <v>Small Business</v>
      </c>
      <c r="K4911" s="1" t="str">
        <f aca="false">VLOOKUP(C4911,Products!$A$2:$E$62,3,FALSE())</f>
        <v>Software</v>
      </c>
      <c r="L4911" s="1" t="str">
        <f aca="false">TEXT(D4911,"yyyy-mm")</f>
        <v>2024-01</v>
      </c>
    </row>
    <row r="4912" customFormat="false" ht="15" hidden="false" customHeight="true" outlineLevel="0" collapsed="false">
      <c r="A4912" s="1" t="n">
        <v>5018</v>
      </c>
      <c r="B4912" s="1" t="n">
        <v>62</v>
      </c>
      <c r="C4912" s="1" t="n">
        <v>2</v>
      </c>
      <c r="D4912" s="1" t="s">
        <v>1690</v>
      </c>
      <c r="E4912" s="1" t="n">
        <v>8</v>
      </c>
      <c r="F4912" s="1" t="n">
        <v>498.15</v>
      </c>
      <c r="G4912" s="1" t="n">
        <v>0</v>
      </c>
      <c r="H4912" s="1" t="s">
        <v>1370</v>
      </c>
      <c r="I4912" s="1" t="n">
        <v>3985.2</v>
      </c>
      <c r="J4912" s="1" t="str">
        <f aca="false">VLOOKUP(B4912,Customers!$A$2:$G$502,6,FALSE())</f>
        <v>Consumer</v>
      </c>
      <c r="K4912" s="1" t="str">
        <f aca="false">VLOOKUP(C4912,Products!$A$2:$E$62,3,FALSE())</f>
        <v>Electronics</v>
      </c>
      <c r="L4912" s="1" t="str">
        <f aca="false">TEXT(D4912,"yyyy-mm")</f>
        <v>2024-03</v>
      </c>
    </row>
    <row r="4913" customFormat="false" ht="15" hidden="false" customHeight="true" outlineLevel="0" collapsed="false">
      <c r="A4913" s="1" t="n">
        <v>5019</v>
      </c>
      <c r="B4913" s="1" t="n">
        <v>187</v>
      </c>
      <c r="C4913" s="1" t="n">
        <v>11</v>
      </c>
      <c r="D4913" s="1" t="s">
        <v>1478</v>
      </c>
      <c r="E4913" s="1" t="n">
        <v>7</v>
      </c>
      <c r="F4913" s="1" t="n">
        <v>328.39</v>
      </c>
      <c r="G4913" s="1" t="n">
        <v>0</v>
      </c>
      <c r="H4913" s="1" t="s">
        <v>1336</v>
      </c>
      <c r="I4913" s="1" t="n">
        <v>2298.73</v>
      </c>
      <c r="J4913" s="1" t="str">
        <f aca="false">VLOOKUP(B4913,Customers!$A$2:$G$502,6,FALSE())</f>
        <v>Consumer</v>
      </c>
      <c r="K4913" s="1" t="str">
        <f aca="false">VLOOKUP(C4913,Products!$A$2:$E$62,3,FALSE())</f>
        <v>Electronics</v>
      </c>
      <c r="L4913" s="1" t="str">
        <f aca="false">TEXT(D4913,"yyyy-mm")</f>
        <v>2024-09</v>
      </c>
    </row>
    <row r="4914" customFormat="false" ht="15" hidden="false" customHeight="true" outlineLevel="0" collapsed="false">
      <c r="A4914" s="1" t="n">
        <v>5020</v>
      </c>
      <c r="B4914" s="1" t="n">
        <v>149</v>
      </c>
      <c r="C4914" s="1" t="n">
        <v>6</v>
      </c>
      <c r="D4914" s="1" t="s">
        <v>320</v>
      </c>
      <c r="E4914" s="1" t="n">
        <v>7</v>
      </c>
      <c r="F4914" s="1" t="n">
        <v>28.51</v>
      </c>
      <c r="G4914" s="1" t="n">
        <v>0.2</v>
      </c>
      <c r="H4914" s="1" t="s">
        <v>1336</v>
      </c>
      <c r="I4914" s="1" t="n">
        <v>159.66</v>
      </c>
      <c r="J4914" s="1" t="str">
        <f aca="false">VLOOKUP(B4914,Customers!$A$2:$G$502,6,FALSE())</f>
        <v>Consumer</v>
      </c>
      <c r="K4914" s="1" t="str">
        <f aca="false">VLOOKUP(C4914,Products!$A$2:$E$62,3,FALSE())</f>
        <v>Electronics</v>
      </c>
      <c r="L4914" s="1" t="str">
        <f aca="false">TEXT(D4914,"yyyy-mm")</f>
        <v>2023-05</v>
      </c>
    </row>
    <row r="4915" customFormat="false" ht="15" hidden="false" customHeight="true" outlineLevel="0" collapsed="false">
      <c r="A4915" s="1" t="n">
        <v>5021</v>
      </c>
      <c r="B4915" s="1" t="n">
        <v>496</v>
      </c>
      <c r="C4915" s="1" t="n">
        <v>45</v>
      </c>
      <c r="D4915" s="1" t="s">
        <v>828</v>
      </c>
      <c r="E4915" s="1" t="n">
        <v>8</v>
      </c>
      <c r="F4915" s="1" t="n">
        <v>560.01</v>
      </c>
      <c r="G4915" s="1" t="n">
        <v>0.1</v>
      </c>
      <c r="H4915" s="1" t="s">
        <v>1336</v>
      </c>
      <c r="I4915" s="1" t="n">
        <v>4032.07</v>
      </c>
      <c r="J4915" s="1" t="str">
        <f aca="false">VLOOKUP(B4915,Customers!$A$2:$G$502,6,FALSE())</f>
        <v>Small Business</v>
      </c>
      <c r="K4915" s="1" t="str">
        <f aca="false">VLOOKUP(C4915,Products!$A$2:$E$62,3,FALSE())</f>
        <v>Software</v>
      </c>
      <c r="L4915" s="1" t="str">
        <f aca="false">TEXT(D4915,"yyyy-mm")</f>
        <v>2024-07</v>
      </c>
    </row>
    <row r="4916" customFormat="false" ht="15" hidden="false" customHeight="true" outlineLevel="0" collapsed="false">
      <c r="A4916" s="1" t="n">
        <v>5022</v>
      </c>
      <c r="B4916" s="1" t="n">
        <v>306</v>
      </c>
      <c r="C4916" s="1" t="n">
        <v>10</v>
      </c>
      <c r="D4916" s="1" t="s">
        <v>575</v>
      </c>
      <c r="E4916" s="1" t="n">
        <v>7</v>
      </c>
      <c r="F4916" s="1" t="n">
        <v>251.58</v>
      </c>
      <c r="G4916" s="1" t="n">
        <v>0</v>
      </c>
      <c r="H4916" s="1" t="s">
        <v>1336</v>
      </c>
      <c r="I4916" s="1" t="n">
        <v>1761.06</v>
      </c>
      <c r="J4916" s="1" t="str">
        <f aca="false">VLOOKUP(B4916,Customers!$A$2:$G$502,6,FALSE())</f>
        <v>Small Business</v>
      </c>
      <c r="K4916" s="1" t="str">
        <f aca="false">VLOOKUP(C4916,Products!$A$2:$E$62,3,FALSE())</f>
        <v>Electronics</v>
      </c>
      <c r="L4916" s="1" t="str">
        <f aca="false">TEXT(D4916,"yyyy-mm")</f>
        <v>2024-02</v>
      </c>
    </row>
    <row r="4917" customFormat="false" ht="15" hidden="false" customHeight="true" outlineLevel="0" collapsed="false">
      <c r="A4917" s="1" t="n">
        <v>5023</v>
      </c>
      <c r="B4917" s="1" t="n">
        <v>341</v>
      </c>
      <c r="C4917" s="1" t="n">
        <v>23</v>
      </c>
      <c r="D4917" s="1" t="s">
        <v>1635</v>
      </c>
      <c r="E4917" s="1" t="n">
        <v>5</v>
      </c>
      <c r="F4917" s="1" t="n">
        <v>188.73</v>
      </c>
      <c r="G4917" s="1" t="n">
        <v>0</v>
      </c>
      <c r="H4917" s="1" t="s">
        <v>1336</v>
      </c>
      <c r="I4917" s="1" t="n">
        <v>943.65</v>
      </c>
      <c r="J4917" s="1" t="str">
        <f aca="false">VLOOKUP(B4917,Customers!$A$2:$G$502,6,FALSE())</f>
        <v>Small Business</v>
      </c>
      <c r="K4917" s="1" t="str">
        <f aca="false">VLOOKUP(C4917,Products!$A$2:$E$62,3,FALSE())</f>
        <v>Office Supplies</v>
      </c>
      <c r="L4917" s="1" t="str">
        <f aca="false">TEXT(D4917,"yyyy-mm")</f>
        <v>2023-03</v>
      </c>
    </row>
    <row r="4918" customFormat="false" ht="15" hidden="false" customHeight="true" outlineLevel="0" collapsed="false">
      <c r="A4918" s="1" t="n">
        <v>5024</v>
      </c>
      <c r="B4918" s="1" t="n">
        <v>229</v>
      </c>
      <c r="C4918" s="1" t="n">
        <v>45</v>
      </c>
      <c r="D4918" s="1" t="s">
        <v>1675</v>
      </c>
      <c r="E4918" s="1" t="n">
        <v>7</v>
      </c>
      <c r="F4918" s="1" t="n">
        <v>560.01</v>
      </c>
      <c r="G4918" s="1" t="n">
        <v>0</v>
      </c>
      <c r="H4918" s="1" t="s">
        <v>1336</v>
      </c>
      <c r="I4918" s="1" t="n">
        <v>3920.07</v>
      </c>
      <c r="J4918" s="1" t="str">
        <f aca="false">VLOOKUP(B4918,Customers!$A$2:$G$502,6,FALSE())</f>
        <v>Consumer</v>
      </c>
      <c r="K4918" s="1" t="str">
        <f aca="false">VLOOKUP(C4918,Products!$A$2:$E$62,3,FALSE())</f>
        <v>Software</v>
      </c>
      <c r="L4918" s="1" t="str">
        <f aca="false">TEXT(D4918,"yyyy-mm")</f>
        <v>2024-01</v>
      </c>
    </row>
    <row r="4919" customFormat="false" ht="15" hidden="false" customHeight="true" outlineLevel="0" collapsed="false">
      <c r="A4919" s="1" t="n">
        <v>5025</v>
      </c>
      <c r="B4919" s="1" t="n">
        <v>172</v>
      </c>
      <c r="C4919" s="1" t="n">
        <v>14</v>
      </c>
      <c r="D4919" s="1" t="s">
        <v>986</v>
      </c>
      <c r="E4919" s="1" t="n">
        <v>3</v>
      </c>
      <c r="F4919" s="1" t="n">
        <v>135.27</v>
      </c>
      <c r="G4919" s="1" t="n">
        <v>0.2</v>
      </c>
      <c r="H4919" s="1" t="s">
        <v>1370</v>
      </c>
      <c r="I4919" s="1" t="n">
        <v>324.65</v>
      </c>
      <c r="J4919" s="1" t="str">
        <f aca="false">VLOOKUP(B4919,Customers!$A$2:$G$502,6,FALSE())</f>
        <v>Consumer</v>
      </c>
      <c r="K4919" s="1" t="str">
        <f aca="false">VLOOKUP(C4919,Products!$A$2:$E$62,3,FALSE())</f>
        <v>Electronics</v>
      </c>
      <c r="L4919" s="1" t="str">
        <f aca="false">TEXT(D4919,"yyyy-mm")</f>
        <v>2023-03</v>
      </c>
    </row>
    <row r="4920" customFormat="false" ht="15" hidden="false" customHeight="true" outlineLevel="0" collapsed="false">
      <c r="A4920" s="1" t="n">
        <v>5026</v>
      </c>
      <c r="B4920" s="1" t="n">
        <v>129</v>
      </c>
      <c r="C4920" s="1" t="n">
        <v>52</v>
      </c>
      <c r="D4920" s="1" t="s">
        <v>1422</v>
      </c>
      <c r="E4920" s="1" t="n">
        <v>5</v>
      </c>
      <c r="F4920" s="1" t="n">
        <v>207.67</v>
      </c>
      <c r="G4920" s="1" t="n">
        <v>0.1</v>
      </c>
      <c r="H4920" s="1" t="s">
        <v>1336</v>
      </c>
      <c r="I4920" s="1" t="n">
        <v>934.52</v>
      </c>
      <c r="J4920" s="1" t="str">
        <f aca="false">VLOOKUP(B4920,Customers!$A$2:$G$502,6,FALSE())</f>
        <v>Corporate</v>
      </c>
      <c r="K4920" s="1" t="str">
        <f aca="false">VLOOKUP(C4920,Products!$A$2:$E$62,3,FALSE())</f>
        <v>Software</v>
      </c>
      <c r="L4920" s="1" t="str">
        <f aca="false">TEXT(D4920,"yyyy-mm")</f>
        <v>2023-12</v>
      </c>
    </row>
    <row r="4921" customFormat="false" ht="15" hidden="false" customHeight="true" outlineLevel="0" collapsed="false">
      <c r="A4921" s="1" t="n">
        <v>5027</v>
      </c>
      <c r="B4921" s="1" t="n">
        <v>353</v>
      </c>
      <c r="C4921" s="1" t="n">
        <v>11</v>
      </c>
      <c r="D4921" s="1" t="s">
        <v>1615</v>
      </c>
      <c r="E4921" s="1" t="n">
        <v>7</v>
      </c>
      <c r="F4921" s="1" t="n">
        <v>328.39</v>
      </c>
      <c r="G4921" s="1" t="n">
        <v>0</v>
      </c>
      <c r="H4921" s="1" t="s">
        <v>1346</v>
      </c>
      <c r="I4921" s="1" t="n">
        <v>2298.73</v>
      </c>
      <c r="J4921" s="1" t="str">
        <f aca="false">VLOOKUP(B4921,Customers!$A$2:$G$502,6,FALSE())</f>
        <v>Corporate</v>
      </c>
      <c r="K4921" s="1" t="str">
        <f aca="false">VLOOKUP(C4921,Products!$A$2:$E$62,3,FALSE())</f>
        <v>Electronics</v>
      </c>
      <c r="L4921" s="1" t="str">
        <f aca="false">TEXT(D4921,"yyyy-mm")</f>
        <v>2023-04</v>
      </c>
    </row>
    <row r="4922" customFormat="false" ht="15" hidden="false" customHeight="true" outlineLevel="0" collapsed="false">
      <c r="A4922" s="1" t="n">
        <v>5028</v>
      </c>
      <c r="B4922" s="1" t="n">
        <v>193</v>
      </c>
      <c r="C4922" s="1" t="n">
        <v>5</v>
      </c>
      <c r="D4922" s="1" t="s">
        <v>1637</v>
      </c>
      <c r="E4922" s="1" t="n">
        <v>9</v>
      </c>
      <c r="F4922" s="1" t="n">
        <v>439.06</v>
      </c>
      <c r="G4922" s="1" t="n">
        <v>0</v>
      </c>
      <c r="H4922" s="1" t="s">
        <v>1346</v>
      </c>
      <c r="I4922" s="1" t="n">
        <v>3951.54</v>
      </c>
      <c r="J4922" s="1" t="str">
        <f aca="false">VLOOKUP(B4922,Customers!$A$2:$G$502,6,FALSE())</f>
        <v>Consumer</v>
      </c>
      <c r="K4922" s="1" t="str">
        <f aca="false">VLOOKUP(C4922,Products!$A$2:$E$62,3,FALSE())</f>
        <v>Electronics</v>
      </c>
      <c r="L4922" s="1" t="str">
        <f aca="false">TEXT(D4922,"yyyy-mm")</f>
        <v>2023-11</v>
      </c>
    </row>
    <row r="4923" customFormat="false" ht="15" hidden="false" customHeight="true" outlineLevel="0" collapsed="false">
      <c r="A4923" s="1" t="n">
        <v>5029</v>
      </c>
      <c r="B4923" s="1" t="n">
        <v>78</v>
      </c>
      <c r="C4923" s="1" t="n">
        <v>52</v>
      </c>
      <c r="D4923" s="1" t="s">
        <v>1523</v>
      </c>
      <c r="E4923" s="1" t="n">
        <v>2</v>
      </c>
      <c r="F4923" s="1" t="n">
        <v>207.67</v>
      </c>
      <c r="G4923" s="1" t="n">
        <v>0</v>
      </c>
      <c r="H4923" s="1" t="s">
        <v>1336</v>
      </c>
      <c r="I4923" s="1" t="n">
        <v>415.34</v>
      </c>
      <c r="J4923" s="1" t="str">
        <f aca="false">VLOOKUP(B4923,Customers!$A$2:$G$502,6,FALSE())</f>
        <v>Consumer</v>
      </c>
      <c r="K4923" s="1" t="str">
        <f aca="false">VLOOKUP(C4923,Products!$A$2:$E$62,3,FALSE())</f>
        <v>Software</v>
      </c>
      <c r="L4923" s="1" t="str">
        <f aca="false">TEXT(D4923,"yyyy-mm")</f>
        <v>2023-05</v>
      </c>
    </row>
    <row r="4924" customFormat="false" ht="15" hidden="false" customHeight="true" outlineLevel="0" collapsed="false">
      <c r="A4924" s="1" t="n">
        <v>5030</v>
      </c>
      <c r="B4924" s="1" t="n">
        <v>21</v>
      </c>
      <c r="C4924" s="1" t="n">
        <v>48</v>
      </c>
      <c r="D4924" s="1" t="s">
        <v>482</v>
      </c>
      <c r="E4924" s="1" t="n">
        <v>4</v>
      </c>
      <c r="F4924" s="1" t="n">
        <v>493.53</v>
      </c>
      <c r="G4924" s="1" t="n">
        <v>0.1</v>
      </c>
      <c r="H4924" s="1" t="s">
        <v>1336</v>
      </c>
      <c r="I4924" s="1" t="n">
        <v>1776.71</v>
      </c>
      <c r="J4924" s="1" t="str">
        <f aca="false">VLOOKUP(B4924,Customers!$A$2:$G$502,6,FALSE())</f>
        <v>Corporate</v>
      </c>
      <c r="K4924" s="1" t="str">
        <f aca="false">VLOOKUP(C4924,Products!$A$2:$E$62,3,FALSE())</f>
        <v>Software</v>
      </c>
      <c r="L4924" s="1" t="str">
        <f aca="false">TEXT(D4924,"yyyy-mm")</f>
        <v>2024-11</v>
      </c>
    </row>
    <row r="4925" customFormat="false" ht="15" hidden="false" customHeight="true" outlineLevel="0" collapsed="false">
      <c r="A4925" s="1" t="n">
        <v>5031</v>
      </c>
      <c r="B4925" s="1" t="n">
        <v>56</v>
      </c>
      <c r="C4925" s="1" t="n">
        <v>11</v>
      </c>
      <c r="D4925" s="1" t="s">
        <v>1654</v>
      </c>
      <c r="E4925" s="1" t="n">
        <v>7</v>
      </c>
      <c r="F4925" s="1" t="n">
        <v>328.39</v>
      </c>
      <c r="G4925" s="1" t="n">
        <v>0.15</v>
      </c>
      <c r="H4925" s="1" t="s">
        <v>1336</v>
      </c>
      <c r="I4925" s="1" t="n">
        <v>1953.92</v>
      </c>
      <c r="J4925" s="1" t="str">
        <f aca="false">VLOOKUP(B4925,Customers!$A$2:$G$502,6,FALSE())</f>
        <v>Corporate</v>
      </c>
      <c r="K4925" s="1" t="str">
        <f aca="false">VLOOKUP(C4925,Products!$A$2:$E$62,3,FALSE())</f>
        <v>Electronics</v>
      </c>
      <c r="L4925" s="1" t="str">
        <f aca="false">TEXT(D4925,"yyyy-mm")</f>
        <v>2024-08</v>
      </c>
    </row>
    <row r="4926" customFormat="false" ht="15" hidden="false" customHeight="true" outlineLevel="0" collapsed="false">
      <c r="A4926" s="1" t="n">
        <v>5032</v>
      </c>
      <c r="B4926" s="1" t="n">
        <v>431</v>
      </c>
      <c r="C4926" s="1" t="n">
        <v>36</v>
      </c>
      <c r="D4926" s="1" t="s">
        <v>1529</v>
      </c>
      <c r="E4926" s="1" t="n">
        <v>1</v>
      </c>
      <c r="F4926" s="1" t="n">
        <v>424.45</v>
      </c>
      <c r="G4926" s="1" t="n">
        <v>0.15</v>
      </c>
      <c r="H4926" s="1" t="s">
        <v>1336</v>
      </c>
      <c r="I4926" s="1" t="n">
        <v>360.78</v>
      </c>
      <c r="J4926" s="1" t="str">
        <f aca="false">VLOOKUP(B4926,Customers!$A$2:$G$502,6,FALSE())</f>
        <v>Consumer</v>
      </c>
      <c r="K4926" s="1" t="str">
        <f aca="false">VLOOKUP(C4926,Products!$A$2:$E$62,3,FALSE())</f>
        <v>Software</v>
      </c>
      <c r="L4926" s="1" t="str">
        <f aca="false">TEXT(D4926,"yyyy-mm")</f>
        <v>2024-09</v>
      </c>
    </row>
    <row r="4927" customFormat="false" ht="15" hidden="false" customHeight="true" outlineLevel="0" collapsed="false">
      <c r="A4927" s="1" t="n">
        <v>5033</v>
      </c>
      <c r="B4927" s="1" t="n">
        <v>342</v>
      </c>
      <c r="C4927" s="1" t="n">
        <v>49</v>
      </c>
      <c r="D4927" s="1" t="s">
        <v>232</v>
      </c>
      <c r="E4927" s="1" t="n">
        <v>2</v>
      </c>
      <c r="F4927" s="1" t="n">
        <v>325.17</v>
      </c>
      <c r="G4927" s="1" t="n">
        <v>0.15</v>
      </c>
      <c r="H4927" s="1" t="s">
        <v>1336</v>
      </c>
      <c r="I4927" s="1" t="n">
        <v>552.79</v>
      </c>
      <c r="J4927" s="1" t="str">
        <f aca="false">VLOOKUP(B4927,Customers!$A$2:$G$502,6,FALSE())</f>
        <v>Small Business</v>
      </c>
      <c r="K4927" s="1" t="str">
        <f aca="false">VLOOKUP(C4927,Products!$A$2:$E$62,3,FALSE())</f>
        <v>Software</v>
      </c>
      <c r="L4927" s="1" t="str">
        <f aca="false">TEXT(D4927,"yyyy-mm")</f>
        <v>2024-10</v>
      </c>
    </row>
    <row r="4928" customFormat="false" ht="15" hidden="false" customHeight="true" outlineLevel="0" collapsed="false">
      <c r="A4928" s="1" t="n">
        <v>5034</v>
      </c>
      <c r="B4928" s="1" t="n">
        <v>264</v>
      </c>
      <c r="C4928" s="1" t="n">
        <v>8</v>
      </c>
      <c r="D4928" s="1" t="s">
        <v>1036</v>
      </c>
      <c r="E4928" s="1" t="n">
        <v>9</v>
      </c>
      <c r="F4928" s="1" t="n">
        <v>104.4</v>
      </c>
      <c r="G4928" s="1" t="n">
        <v>0.2</v>
      </c>
      <c r="H4928" s="1" t="s">
        <v>1346</v>
      </c>
      <c r="I4928" s="1" t="n">
        <v>751.68</v>
      </c>
      <c r="J4928" s="1" t="str">
        <f aca="false">VLOOKUP(B4928,Customers!$A$2:$G$502,6,FALSE())</f>
        <v>Small Business</v>
      </c>
      <c r="K4928" s="1" t="str">
        <f aca="false">VLOOKUP(C4928,Products!$A$2:$E$62,3,FALSE())</f>
        <v>Electronics</v>
      </c>
      <c r="L4928" s="1" t="str">
        <f aca="false">TEXT(D4928,"yyyy-mm")</f>
        <v>2024-05</v>
      </c>
    </row>
    <row r="4929" customFormat="false" ht="15" hidden="false" customHeight="true" outlineLevel="0" collapsed="false">
      <c r="A4929" s="1" t="n">
        <v>5035</v>
      </c>
      <c r="B4929" s="1" t="n">
        <v>10</v>
      </c>
      <c r="C4929" s="1" t="n">
        <v>21</v>
      </c>
      <c r="D4929" s="1" t="s">
        <v>645</v>
      </c>
      <c r="E4929" s="1" t="n">
        <v>7</v>
      </c>
      <c r="F4929" s="1" t="n">
        <v>84.91</v>
      </c>
      <c r="G4929" s="1" t="n">
        <v>0</v>
      </c>
      <c r="H4929" s="1" t="s">
        <v>1336</v>
      </c>
      <c r="I4929" s="1" t="n">
        <v>594.37</v>
      </c>
      <c r="J4929" s="1" t="str">
        <f aca="false">VLOOKUP(B4929,Customers!$A$2:$G$502,6,FALSE())</f>
        <v>Small Business</v>
      </c>
      <c r="K4929" s="1" t="str">
        <f aca="false">VLOOKUP(C4929,Products!$A$2:$E$62,3,FALSE())</f>
        <v>Office Supplies</v>
      </c>
      <c r="L4929" s="1" t="str">
        <f aca="false">TEXT(D4929,"yyyy-mm")</f>
        <v>2024-06</v>
      </c>
    </row>
    <row r="4930" customFormat="false" ht="15" hidden="false" customHeight="true" outlineLevel="0" collapsed="false">
      <c r="A4930" s="1" t="n">
        <v>5036</v>
      </c>
      <c r="B4930" s="1" t="n">
        <v>466</v>
      </c>
      <c r="C4930" s="1" t="n">
        <v>33</v>
      </c>
      <c r="D4930" s="1" t="s">
        <v>1630</v>
      </c>
      <c r="E4930" s="1" t="n">
        <v>7</v>
      </c>
      <c r="F4930" s="1" t="n">
        <v>190.1</v>
      </c>
      <c r="G4930" s="1" t="n">
        <v>0.1</v>
      </c>
      <c r="H4930" s="1" t="s">
        <v>1336</v>
      </c>
      <c r="I4930" s="1" t="n">
        <v>1197.63</v>
      </c>
      <c r="J4930" s="1" t="str">
        <f aca="false">VLOOKUP(B4930,Customers!$A$2:$G$502,6,FALSE())</f>
        <v>Consumer</v>
      </c>
      <c r="K4930" s="1" t="str">
        <f aca="false">VLOOKUP(C4930,Products!$A$2:$E$62,3,FALSE())</f>
        <v>Office Supplies</v>
      </c>
      <c r="L4930" s="1" t="str">
        <f aca="false">TEXT(D4930,"yyyy-mm")</f>
        <v>2023-02</v>
      </c>
    </row>
    <row r="4931" customFormat="false" ht="15" hidden="false" customHeight="true" outlineLevel="0" collapsed="false">
      <c r="A4931" s="1" t="n">
        <v>5037</v>
      </c>
      <c r="B4931" s="1" t="n">
        <v>13</v>
      </c>
      <c r="C4931" s="1" t="n">
        <v>22</v>
      </c>
      <c r="D4931" s="1" t="s">
        <v>351</v>
      </c>
      <c r="E4931" s="1" t="n">
        <v>6</v>
      </c>
      <c r="F4931" s="1" t="n">
        <v>38.57</v>
      </c>
      <c r="G4931" s="1" t="n">
        <v>0.1</v>
      </c>
      <c r="H4931" s="1" t="s">
        <v>1336</v>
      </c>
      <c r="I4931" s="1" t="n">
        <v>208.28</v>
      </c>
      <c r="J4931" s="1" t="str">
        <f aca="false">VLOOKUP(B4931,Customers!$A$2:$G$502,6,FALSE())</f>
        <v>Corporate</v>
      </c>
      <c r="K4931" s="1" t="str">
        <f aca="false">VLOOKUP(C4931,Products!$A$2:$E$62,3,FALSE())</f>
        <v>Office Supplies</v>
      </c>
      <c r="L4931" s="1" t="str">
        <f aca="false">TEXT(D4931,"yyyy-mm")</f>
        <v>2023-02</v>
      </c>
    </row>
    <row r="4932" customFormat="false" ht="15" hidden="false" customHeight="true" outlineLevel="0" collapsed="false">
      <c r="A4932" s="1" t="n">
        <v>5038</v>
      </c>
      <c r="B4932" s="1" t="n">
        <v>193</v>
      </c>
      <c r="C4932" s="1" t="n">
        <v>46</v>
      </c>
      <c r="D4932" s="1" t="s">
        <v>1177</v>
      </c>
      <c r="E4932" s="1" t="n">
        <v>3</v>
      </c>
      <c r="F4932" s="1" t="n">
        <v>94.92</v>
      </c>
      <c r="G4932" s="1" t="n">
        <v>0</v>
      </c>
      <c r="H4932" s="1" t="s">
        <v>1370</v>
      </c>
      <c r="I4932" s="1" t="n">
        <v>284.76</v>
      </c>
      <c r="J4932" s="1" t="str">
        <f aca="false">VLOOKUP(B4932,Customers!$A$2:$G$502,6,FALSE())</f>
        <v>Consumer</v>
      </c>
      <c r="K4932" s="1" t="str">
        <f aca="false">VLOOKUP(C4932,Products!$A$2:$E$62,3,FALSE())</f>
        <v>Software</v>
      </c>
      <c r="L4932" s="1" t="str">
        <f aca="false">TEXT(D4932,"yyyy-mm")</f>
        <v>2023-08</v>
      </c>
    </row>
    <row r="4933" customFormat="false" ht="15" hidden="false" customHeight="true" outlineLevel="0" collapsed="false">
      <c r="A4933" s="1" t="n">
        <v>5039</v>
      </c>
      <c r="B4933" s="1" t="n">
        <v>411</v>
      </c>
      <c r="C4933" s="1" t="n">
        <v>38</v>
      </c>
      <c r="D4933" s="1" t="s">
        <v>1213</v>
      </c>
      <c r="E4933" s="1" t="n">
        <v>3</v>
      </c>
      <c r="F4933" s="1" t="n">
        <v>521.63</v>
      </c>
      <c r="G4933" s="1" t="n">
        <v>0</v>
      </c>
      <c r="H4933" s="1" t="s">
        <v>1336</v>
      </c>
      <c r="I4933" s="1" t="n">
        <v>1564.89</v>
      </c>
      <c r="J4933" s="1" t="str">
        <f aca="false">VLOOKUP(B4933,Customers!$A$2:$G$502,6,FALSE())</f>
        <v>Corporate</v>
      </c>
      <c r="K4933" s="1" t="str">
        <f aca="false">VLOOKUP(C4933,Products!$A$2:$E$62,3,FALSE())</f>
        <v>Software</v>
      </c>
      <c r="L4933" s="1" t="str">
        <f aca="false">TEXT(D4933,"yyyy-mm")</f>
        <v>2024-08</v>
      </c>
    </row>
    <row r="4934" customFormat="false" ht="15" hidden="false" customHeight="true" outlineLevel="0" collapsed="false">
      <c r="A4934" s="1" t="n">
        <v>5040</v>
      </c>
      <c r="B4934" s="1" t="n">
        <v>50</v>
      </c>
      <c r="C4934" s="1" t="n">
        <v>27</v>
      </c>
      <c r="D4934" s="1" t="s">
        <v>783</v>
      </c>
      <c r="E4934" s="1" t="n">
        <v>2</v>
      </c>
      <c r="F4934" s="1" t="n">
        <v>772.58</v>
      </c>
      <c r="G4934" s="1" t="n">
        <v>0.05</v>
      </c>
      <c r="H4934" s="1" t="s">
        <v>1336</v>
      </c>
      <c r="I4934" s="1" t="n">
        <v>1467.9</v>
      </c>
      <c r="J4934" s="1" t="str">
        <f aca="false">VLOOKUP(B4934,Customers!$A$2:$G$502,6,FALSE())</f>
        <v>Consumer</v>
      </c>
      <c r="K4934" s="1" t="str">
        <f aca="false">VLOOKUP(C4934,Products!$A$2:$E$62,3,FALSE())</f>
        <v>Office Supplies</v>
      </c>
      <c r="L4934" s="1" t="str">
        <f aca="false">TEXT(D4934,"yyyy-mm")</f>
        <v>2024-12</v>
      </c>
    </row>
    <row r="4935" customFormat="false" ht="15" hidden="false" customHeight="true" outlineLevel="0" collapsed="false">
      <c r="A4935" s="1" t="n">
        <v>5041</v>
      </c>
      <c r="B4935" s="1" t="n">
        <v>39</v>
      </c>
      <c r="C4935" s="1" t="n">
        <v>11</v>
      </c>
      <c r="D4935" s="1" t="s">
        <v>1196</v>
      </c>
      <c r="E4935" s="1" t="n">
        <v>6</v>
      </c>
      <c r="F4935" s="1" t="n">
        <v>328.39</v>
      </c>
      <c r="G4935" s="1" t="n">
        <v>0.05</v>
      </c>
      <c r="H4935" s="1" t="s">
        <v>1370</v>
      </c>
      <c r="I4935" s="1" t="n">
        <v>1871.82</v>
      </c>
      <c r="J4935" s="1" t="str">
        <f aca="false">VLOOKUP(B4935,Customers!$A$2:$G$502,6,FALSE())</f>
        <v>Corporate</v>
      </c>
      <c r="K4935" s="1" t="str">
        <f aca="false">VLOOKUP(C4935,Products!$A$2:$E$62,3,FALSE())</f>
        <v>Electronics</v>
      </c>
      <c r="L4935" s="1" t="str">
        <f aca="false">TEXT(D4935,"yyyy-mm")</f>
        <v>2023-10</v>
      </c>
    </row>
    <row r="4936" customFormat="false" ht="15" hidden="false" customHeight="true" outlineLevel="0" collapsed="false">
      <c r="A4936" s="1" t="n">
        <v>5042</v>
      </c>
      <c r="B4936" s="1" t="n">
        <v>59</v>
      </c>
      <c r="C4936" s="1" t="n">
        <v>10</v>
      </c>
      <c r="D4936" s="1" t="s">
        <v>1703</v>
      </c>
      <c r="E4936" s="1" t="n">
        <v>4</v>
      </c>
      <c r="F4936" s="1" t="n">
        <v>251.58</v>
      </c>
      <c r="G4936" s="1" t="n">
        <v>0.15</v>
      </c>
      <c r="H4936" s="1" t="s">
        <v>1336</v>
      </c>
      <c r="I4936" s="1" t="n">
        <v>855.37</v>
      </c>
      <c r="J4936" s="1" t="str">
        <f aca="false">VLOOKUP(B4936,Customers!$A$2:$G$502,6,FALSE())</f>
        <v>Corporate</v>
      </c>
      <c r="K4936" s="1" t="str">
        <f aca="false">VLOOKUP(C4936,Products!$A$2:$E$62,3,FALSE())</f>
        <v>Electronics</v>
      </c>
      <c r="L4936" s="1" t="str">
        <f aca="false">TEXT(D4936,"yyyy-mm")</f>
        <v>2024-12</v>
      </c>
    </row>
    <row r="4937" customFormat="false" ht="15" hidden="false" customHeight="true" outlineLevel="0" collapsed="false">
      <c r="A4937" s="1" t="n">
        <v>5043</v>
      </c>
      <c r="B4937" s="1" t="n">
        <v>398</v>
      </c>
      <c r="C4937" s="1" t="n">
        <v>11</v>
      </c>
      <c r="D4937" s="1" t="s">
        <v>408</v>
      </c>
      <c r="E4937" s="1" t="n">
        <v>5</v>
      </c>
      <c r="F4937" s="1" t="n">
        <v>328.39</v>
      </c>
      <c r="G4937" s="1" t="n">
        <v>0.05</v>
      </c>
      <c r="H4937" s="1" t="s">
        <v>1336</v>
      </c>
      <c r="I4937" s="1" t="n">
        <v>1559.85</v>
      </c>
      <c r="J4937" s="1" t="str">
        <f aca="false">VLOOKUP(B4937,Customers!$A$2:$G$502,6,FALSE())</f>
        <v>Small Business</v>
      </c>
      <c r="K4937" s="1" t="str">
        <f aca="false">VLOOKUP(C4937,Products!$A$2:$E$62,3,FALSE())</f>
        <v>Electronics</v>
      </c>
      <c r="L4937" s="1" t="str">
        <f aca="false">TEXT(D4937,"yyyy-mm")</f>
        <v>2023-02</v>
      </c>
    </row>
    <row r="4938" customFormat="false" ht="15" hidden="false" customHeight="true" outlineLevel="0" collapsed="false">
      <c r="A4938" s="1" t="n">
        <v>5044</v>
      </c>
      <c r="B4938" s="1" t="n">
        <v>430</v>
      </c>
      <c r="C4938" s="1" t="n">
        <v>17</v>
      </c>
      <c r="D4938" s="1" t="s">
        <v>937</v>
      </c>
      <c r="E4938" s="1" t="n">
        <v>3</v>
      </c>
      <c r="F4938" s="1" t="n">
        <v>65.61</v>
      </c>
      <c r="G4938" s="1" t="n">
        <v>0.15</v>
      </c>
      <c r="H4938" s="1" t="s">
        <v>1336</v>
      </c>
      <c r="I4938" s="1" t="n">
        <v>167.31</v>
      </c>
      <c r="J4938" s="1" t="str">
        <f aca="false">VLOOKUP(B4938,Customers!$A$2:$G$502,6,FALSE())</f>
        <v>Corporate</v>
      </c>
      <c r="K4938" s="1" t="str">
        <f aca="false">VLOOKUP(C4938,Products!$A$2:$E$62,3,FALSE())</f>
        <v>Electronics</v>
      </c>
      <c r="L4938" s="1" t="str">
        <f aca="false">TEXT(D4938,"yyyy-mm")</f>
        <v>2024-08</v>
      </c>
    </row>
    <row r="4939" customFormat="false" ht="15" hidden="false" customHeight="true" outlineLevel="0" collapsed="false">
      <c r="A4939" s="1" t="n">
        <v>5045</v>
      </c>
      <c r="B4939" s="1" t="n">
        <v>442</v>
      </c>
      <c r="C4939" s="1" t="n">
        <v>38</v>
      </c>
      <c r="D4939" s="1" t="s">
        <v>1651</v>
      </c>
      <c r="E4939" s="1" t="n">
        <v>6</v>
      </c>
      <c r="F4939" s="1" t="n">
        <v>521.63</v>
      </c>
      <c r="G4939" s="1" t="n">
        <v>0</v>
      </c>
      <c r="H4939" s="1" t="s">
        <v>1336</v>
      </c>
      <c r="I4939" s="1" t="n">
        <v>3129.78</v>
      </c>
      <c r="J4939" s="1" t="str">
        <f aca="false">VLOOKUP(B4939,Customers!$A$2:$G$502,6,FALSE())</f>
        <v>Small Business</v>
      </c>
      <c r="K4939" s="1" t="str">
        <f aca="false">VLOOKUP(C4939,Products!$A$2:$E$62,3,FALSE())</f>
        <v>Software</v>
      </c>
      <c r="L4939" s="1" t="str">
        <f aca="false">TEXT(D4939,"yyyy-mm")</f>
        <v>2023-06</v>
      </c>
    </row>
    <row r="4940" customFormat="false" ht="15" hidden="false" customHeight="true" outlineLevel="0" collapsed="false">
      <c r="A4940" s="1" t="n">
        <v>5046</v>
      </c>
      <c r="B4940" s="1" t="n">
        <v>190</v>
      </c>
      <c r="C4940" s="1" t="n">
        <v>27</v>
      </c>
      <c r="D4940" s="1" t="s">
        <v>1692</v>
      </c>
      <c r="E4940" s="1" t="n">
        <v>3</v>
      </c>
      <c r="F4940" s="1" t="n">
        <v>772.58</v>
      </c>
      <c r="G4940" s="1" t="n">
        <v>0</v>
      </c>
      <c r="H4940" s="1" t="s">
        <v>1336</v>
      </c>
      <c r="I4940" s="1" t="n">
        <v>2317.74</v>
      </c>
      <c r="J4940" s="1" t="str">
        <f aca="false">VLOOKUP(B4940,Customers!$A$2:$G$502,6,FALSE())</f>
        <v>Corporate</v>
      </c>
      <c r="K4940" s="1" t="str">
        <f aca="false">VLOOKUP(C4940,Products!$A$2:$E$62,3,FALSE())</f>
        <v>Office Supplies</v>
      </c>
      <c r="L4940" s="1" t="str">
        <f aca="false">TEXT(D4940,"yyyy-mm")</f>
        <v>2024-12</v>
      </c>
    </row>
    <row r="4941" customFormat="false" ht="15" hidden="false" customHeight="true" outlineLevel="0" collapsed="false">
      <c r="A4941" s="1" t="n">
        <v>5047</v>
      </c>
      <c r="B4941" s="1" t="n">
        <v>182</v>
      </c>
      <c r="C4941" s="1" t="n">
        <v>32</v>
      </c>
      <c r="D4941" s="1" t="s">
        <v>1564</v>
      </c>
      <c r="E4941" s="1" t="n">
        <v>8</v>
      </c>
      <c r="F4941" s="1" t="n">
        <v>492.27</v>
      </c>
      <c r="G4941" s="1" t="n">
        <v>0.15</v>
      </c>
      <c r="H4941" s="1" t="s">
        <v>1336</v>
      </c>
      <c r="I4941" s="1" t="n">
        <v>3347.44</v>
      </c>
      <c r="J4941" s="1" t="str">
        <f aca="false">VLOOKUP(B4941,Customers!$A$2:$G$502,6,FALSE())</f>
        <v>Unknown</v>
      </c>
      <c r="K4941" s="1" t="str">
        <f aca="false">VLOOKUP(C4941,Products!$A$2:$E$62,3,FALSE())</f>
        <v>Office Supplies</v>
      </c>
      <c r="L4941" s="1" t="str">
        <f aca="false">TEXT(D4941,"yyyy-mm")</f>
        <v>2024-06</v>
      </c>
    </row>
    <row r="4942" customFormat="false" ht="15" hidden="false" customHeight="true" outlineLevel="0" collapsed="false">
      <c r="A4942" s="1" t="n">
        <v>5048</v>
      </c>
      <c r="B4942" s="1" t="n">
        <v>435</v>
      </c>
      <c r="C4942" s="1" t="n">
        <v>4</v>
      </c>
      <c r="D4942" s="1" t="s">
        <v>1582</v>
      </c>
      <c r="E4942" s="1" t="n">
        <v>9</v>
      </c>
      <c r="F4942" s="1" t="n">
        <v>56.24</v>
      </c>
      <c r="G4942" s="1" t="n">
        <v>0</v>
      </c>
      <c r="H4942" s="1" t="s">
        <v>1346</v>
      </c>
      <c r="I4942" s="1" t="n">
        <v>506.16</v>
      </c>
      <c r="J4942" s="1" t="str">
        <f aca="false">VLOOKUP(B4942,Customers!$A$2:$G$502,6,FALSE())</f>
        <v>Unknown</v>
      </c>
      <c r="K4942" s="1" t="str">
        <f aca="false">VLOOKUP(C4942,Products!$A$2:$E$62,3,FALSE())</f>
        <v>Electronics</v>
      </c>
      <c r="L4942" s="1" t="str">
        <f aca="false">TEXT(D4942,"yyyy-mm")</f>
        <v>2023-11</v>
      </c>
    </row>
    <row r="4943" customFormat="false" ht="15" hidden="false" customHeight="true" outlineLevel="0" collapsed="false">
      <c r="A4943" s="1" t="n">
        <v>5049</v>
      </c>
      <c r="B4943" s="1" t="n">
        <v>52</v>
      </c>
      <c r="C4943" s="1" t="n">
        <v>26</v>
      </c>
      <c r="D4943" s="1" t="s">
        <v>1581</v>
      </c>
      <c r="E4943" s="1" t="n">
        <v>4</v>
      </c>
      <c r="F4943" s="1" t="n">
        <v>733.85</v>
      </c>
      <c r="G4943" s="1" t="n">
        <v>0</v>
      </c>
      <c r="H4943" s="1" t="s">
        <v>1336</v>
      </c>
      <c r="I4943" s="1" t="n">
        <v>2935.4</v>
      </c>
      <c r="J4943" s="1" t="str">
        <f aca="false">VLOOKUP(B4943,Customers!$A$2:$G$502,6,FALSE())</f>
        <v>Small Business</v>
      </c>
      <c r="K4943" s="1" t="str">
        <f aca="false">VLOOKUP(C4943,Products!$A$2:$E$62,3,FALSE())</f>
        <v>Office Supplies</v>
      </c>
      <c r="L4943" s="1" t="str">
        <f aca="false">TEXT(D4943,"yyyy-mm")</f>
        <v>2023-10</v>
      </c>
    </row>
    <row r="4944" customFormat="false" ht="15" hidden="false" customHeight="true" outlineLevel="0" collapsed="false">
      <c r="A4944" s="1" t="n">
        <v>5050</v>
      </c>
      <c r="B4944" s="1" t="n">
        <v>289</v>
      </c>
      <c r="C4944" s="1" t="n">
        <v>57</v>
      </c>
      <c r="D4944" s="1" t="s">
        <v>949</v>
      </c>
      <c r="E4944" s="1" t="n">
        <v>9</v>
      </c>
      <c r="F4944" s="1" t="n">
        <v>719.76</v>
      </c>
      <c r="G4944" s="1" t="n">
        <v>0</v>
      </c>
      <c r="H4944" s="1" t="s">
        <v>1336</v>
      </c>
      <c r="I4944" s="1" t="n">
        <v>6477.84</v>
      </c>
      <c r="J4944" s="1" t="str">
        <f aca="false">VLOOKUP(B4944,Customers!$A$2:$G$502,6,FALSE())</f>
        <v>Consumer</v>
      </c>
      <c r="K4944" s="1" t="str">
        <f aca="false">VLOOKUP(C4944,Products!$A$2:$E$62,3,FALSE())</f>
        <v>Furniture</v>
      </c>
      <c r="L4944" s="1" t="str">
        <f aca="false">TEXT(D4944,"yyyy-mm")</f>
        <v>2023-11</v>
      </c>
    </row>
    <row r="4945" customFormat="false" ht="15" hidden="false" customHeight="true" outlineLevel="0" collapsed="false">
      <c r="A4945" s="1" t="n">
        <v>5051</v>
      </c>
      <c r="B4945" s="1" t="n">
        <v>242</v>
      </c>
      <c r="C4945" s="1" t="n">
        <v>10</v>
      </c>
      <c r="D4945" s="1" t="s">
        <v>1581</v>
      </c>
      <c r="E4945" s="1" t="n">
        <v>7</v>
      </c>
      <c r="F4945" s="1" t="n">
        <v>251.58</v>
      </c>
      <c r="G4945" s="1" t="n">
        <v>0.15</v>
      </c>
      <c r="H4945" s="1" t="s">
        <v>1370</v>
      </c>
      <c r="I4945" s="1" t="n">
        <v>1496.9</v>
      </c>
      <c r="J4945" s="1" t="str">
        <f aca="false">VLOOKUP(B4945,Customers!$A$2:$G$502,6,FALSE())</f>
        <v>Corporate</v>
      </c>
      <c r="K4945" s="1" t="str">
        <f aca="false">VLOOKUP(C4945,Products!$A$2:$E$62,3,FALSE())</f>
        <v>Electronics</v>
      </c>
      <c r="L4945" s="1" t="str">
        <f aca="false">TEXT(D4945,"yyyy-mm")</f>
        <v>2023-10</v>
      </c>
    </row>
    <row r="4946" customFormat="false" ht="15" hidden="false" customHeight="true" outlineLevel="0" collapsed="false">
      <c r="A4946" s="1" t="n">
        <v>5052</v>
      </c>
      <c r="B4946" s="1" t="n">
        <v>470</v>
      </c>
      <c r="C4946" s="1" t="n">
        <v>12</v>
      </c>
      <c r="D4946" s="1" t="s">
        <v>1556</v>
      </c>
      <c r="E4946" s="1" t="n">
        <v>3</v>
      </c>
      <c r="F4946" s="1" t="n">
        <v>179.23</v>
      </c>
      <c r="G4946" s="1" t="n">
        <v>0</v>
      </c>
      <c r="H4946" s="1" t="s">
        <v>1346</v>
      </c>
      <c r="I4946" s="1" t="n">
        <v>537.69</v>
      </c>
      <c r="J4946" s="1" t="str">
        <f aca="false">VLOOKUP(B4946,Customers!$A$2:$G$502,6,FALSE())</f>
        <v>Corporate</v>
      </c>
      <c r="K4946" s="1" t="str">
        <f aca="false">VLOOKUP(C4946,Products!$A$2:$E$62,3,FALSE())</f>
        <v>Electronics</v>
      </c>
      <c r="L4946" s="1" t="str">
        <f aca="false">TEXT(D4946,"yyyy-mm")</f>
        <v>2024-02</v>
      </c>
    </row>
    <row r="4947" customFormat="false" ht="15" hidden="false" customHeight="true" outlineLevel="0" collapsed="false">
      <c r="A4947" s="1" t="n">
        <v>5053</v>
      </c>
      <c r="B4947" s="1" t="n">
        <v>478</v>
      </c>
      <c r="C4947" s="1" t="n">
        <v>50</v>
      </c>
      <c r="D4947" s="1" t="s">
        <v>1675</v>
      </c>
      <c r="E4947" s="1" t="n">
        <v>7</v>
      </c>
      <c r="F4947" s="1" t="n">
        <v>19.73</v>
      </c>
      <c r="G4947" s="1" t="n">
        <v>0.05</v>
      </c>
      <c r="H4947" s="1" t="s">
        <v>1336</v>
      </c>
      <c r="I4947" s="1" t="n">
        <v>131.2</v>
      </c>
      <c r="J4947" s="1" t="str">
        <f aca="false">VLOOKUP(B4947,Customers!$A$2:$G$502,6,FALSE())</f>
        <v>Small Business</v>
      </c>
      <c r="K4947" s="1" t="str">
        <f aca="false">VLOOKUP(C4947,Products!$A$2:$E$62,3,FALSE())</f>
        <v>Software</v>
      </c>
      <c r="L4947" s="1" t="str">
        <f aca="false">TEXT(D4947,"yyyy-mm")</f>
        <v>2024-01</v>
      </c>
    </row>
    <row r="4948" customFormat="false" ht="15" hidden="false" customHeight="true" outlineLevel="0" collapsed="false">
      <c r="A4948" s="1" t="n">
        <v>5054</v>
      </c>
      <c r="B4948" s="1" t="n">
        <v>353</v>
      </c>
      <c r="C4948" s="1" t="n">
        <v>21</v>
      </c>
      <c r="D4948" s="1" t="s">
        <v>1226</v>
      </c>
      <c r="E4948" s="1" t="n">
        <v>1</v>
      </c>
      <c r="F4948" s="1" t="n">
        <v>84.91</v>
      </c>
      <c r="G4948" s="1" t="n">
        <v>0</v>
      </c>
      <c r="H4948" s="1" t="s">
        <v>1336</v>
      </c>
      <c r="I4948" s="1" t="n">
        <v>84.91</v>
      </c>
      <c r="J4948" s="1" t="str">
        <f aca="false">VLOOKUP(B4948,Customers!$A$2:$G$502,6,FALSE())</f>
        <v>Corporate</v>
      </c>
      <c r="K4948" s="1" t="str">
        <f aca="false">VLOOKUP(C4948,Products!$A$2:$E$62,3,FALSE())</f>
        <v>Office Supplies</v>
      </c>
      <c r="L4948" s="1" t="str">
        <f aca="false">TEXT(D4948,"yyyy-mm")</f>
        <v>2024-05</v>
      </c>
    </row>
    <row r="4949" customFormat="false" ht="15" hidden="false" customHeight="true" outlineLevel="0" collapsed="false">
      <c r="A4949" s="1" t="n">
        <v>5055</v>
      </c>
      <c r="B4949" s="1" t="n">
        <v>189</v>
      </c>
      <c r="C4949" s="1" t="n">
        <v>18</v>
      </c>
      <c r="D4949" s="1" t="s">
        <v>1602</v>
      </c>
      <c r="E4949" s="1" t="n">
        <v>3</v>
      </c>
      <c r="F4949" s="1" t="n">
        <v>747.34</v>
      </c>
      <c r="G4949" s="1" t="n">
        <v>0.2</v>
      </c>
      <c r="H4949" s="1" t="s">
        <v>1346</v>
      </c>
      <c r="I4949" s="1" t="n">
        <v>1793.62</v>
      </c>
      <c r="J4949" s="1" t="str">
        <f aca="false">VLOOKUP(B4949,Customers!$A$2:$G$502,6,FALSE())</f>
        <v>Small Business</v>
      </c>
      <c r="K4949" s="1" t="str">
        <f aca="false">VLOOKUP(C4949,Products!$A$2:$E$62,3,FALSE())</f>
        <v>Electronics</v>
      </c>
      <c r="L4949" s="1" t="str">
        <f aca="false">TEXT(D4949,"yyyy-mm")</f>
        <v>2024-10</v>
      </c>
    </row>
    <row r="4950" customFormat="false" ht="15" hidden="false" customHeight="true" outlineLevel="0" collapsed="false">
      <c r="A4950" s="1" t="n">
        <v>5056</v>
      </c>
      <c r="B4950" s="1" t="n">
        <v>272</v>
      </c>
      <c r="C4950" s="1" t="n">
        <v>23</v>
      </c>
      <c r="D4950" s="1" t="s">
        <v>1083</v>
      </c>
      <c r="E4950" s="1" t="n">
        <v>6</v>
      </c>
      <c r="F4950" s="1" t="n">
        <v>188.73</v>
      </c>
      <c r="G4950" s="1" t="n">
        <v>0.1</v>
      </c>
      <c r="H4950" s="1" t="s">
        <v>1346</v>
      </c>
      <c r="I4950" s="1" t="n">
        <v>1019.14</v>
      </c>
      <c r="J4950" s="1" t="str">
        <f aca="false">VLOOKUP(B4950,Customers!$A$2:$G$502,6,FALSE())</f>
        <v>Consumer</v>
      </c>
      <c r="K4950" s="1" t="str">
        <f aca="false">VLOOKUP(C4950,Products!$A$2:$E$62,3,FALSE())</f>
        <v>Office Supplies</v>
      </c>
      <c r="L4950" s="1" t="str">
        <f aca="false">TEXT(D4950,"yyyy-mm")</f>
        <v>2024-08</v>
      </c>
    </row>
    <row r="4951" customFormat="false" ht="15" hidden="false" customHeight="true" outlineLevel="0" collapsed="false">
      <c r="A4951" s="1" t="n">
        <v>5057</v>
      </c>
      <c r="B4951" s="1" t="n">
        <v>197</v>
      </c>
      <c r="C4951" s="1" t="n">
        <v>24</v>
      </c>
      <c r="D4951" s="1" t="s">
        <v>1678</v>
      </c>
      <c r="E4951" s="1" t="n">
        <v>4</v>
      </c>
      <c r="F4951" s="1" t="n">
        <v>207.34</v>
      </c>
      <c r="G4951" s="1" t="n">
        <v>0.1</v>
      </c>
      <c r="H4951" s="1" t="s">
        <v>1336</v>
      </c>
      <c r="I4951" s="1" t="n">
        <v>746.42</v>
      </c>
      <c r="J4951" s="1" t="str">
        <f aca="false">VLOOKUP(B4951,Customers!$A$2:$G$502,6,FALSE())</f>
        <v>Small Business</v>
      </c>
      <c r="K4951" s="1" t="str">
        <f aca="false">VLOOKUP(C4951,Products!$A$2:$E$62,3,FALSE())</f>
        <v>Office Supplies</v>
      </c>
      <c r="L4951" s="1" t="str">
        <f aca="false">TEXT(D4951,"yyyy-mm")</f>
        <v>2024-01</v>
      </c>
    </row>
    <row r="4952" customFormat="false" ht="15" hidden="false" customHeight="true" outlineLevel="0" collapsed="false">
      <c r="A4952" s="1" t="n">
        <v>5058</v>
      </c>
      <c r="B4952" s="1" t="n">
        <v>73</v>
      </c>
      <c r="C4952" s="1" t="n">
        <v>30</v>
      </c>
      <c r="D4952" s="1" t="s">
        <v>1475</v>
      </c>
      <c r="E4952" s="1" t="n">
        <v>7</v>
      </c>
      <c r="F4952" s="1" t="n">
        <v>33.32</v>
      </c>
      <c r="G4952" s="1" t="n">
        <v>0.15</v>
      </c>
      <c r="H4952" s="1" t="s">
        <v>1336</v>
      </c>
      <c r="I4952" s="1" t="n">
        <v>198.25</v>
      </c>
      <c r="J4952" s="1" t="str">
        <f aca="false">VLOOKUP(B4952,Customers!$A$2:$G$502,6,FALSE())</f>
        <v>Small Business</v>
      </c>
      <c r="K4952" s="1" t="str">
        <f aca="false">VLOOKUP(C4952,Products!$A$2:$E$62,3,FALSE())</f>
        <v>Office Supplies</v>
      </c>
      <c r="L4952" s="1" t="str">
        <f aca="false">TEXT(D4952,"yyyy-mm")</f>
        <v>2024-03</v>
      </c>
    </row>
    <row r="4953" customFormat="false" ht="15" hidden="false" customHeight="true" outlineLevel="0" collapsed="false">
      <c r="A4953" s="1" t="n">
        <v>5059</v>
      </c>
      <c r="B4953" s="1" t="n">
        <v>90</v>
      </c>
      <c r="C4953" s="1" t="n">
        <v>31</v>
      </c>
      <c r="D4953" s="1" t="s">
        <v>1657</v>
      </c>
      <c r="E4953" s="1" t="n">
        <v>3</v>
      </c>
      <c r="F4953" s="1" t="n">
        <v>224.86</v>
      </c>
      <c r="G4953" s="1" t="n">
        <v>0</v>
      </c>
      <c r="H4953" s="1" t="s">
        <v>1346</v>
      </c>
      <c r="I4953" s="1" t="n">
        <v>674.58</v>
      </c>
      <c r="J4953" s="1" t="str">
        <f aca="false">VLOOKUP(B4953,Customers!$A$2:$G$502,6,FALSE())</f>
        <v>Consumer</v>
      </c>
      <c r="K4953" s="1" t="str">
        <f aca="false">VLOOKUP(C4953,Products!$A$2:$E$62,3,FALSE())</f>
        <v>Office Supplies</v>
      </c>
      <c r="L4953" s="1" t="str">
        <f aca="false">TEXT(D4953,"yyyy-mm")</f>
        <v>2023-12</v>
      </c>
    </row>
    <row r="4954" customFormat="false" ht="15" hidden="false" customHeight="true" outlineLevel="0" collapsed="false">
      <c r="A4954" s="1" t="n">
        <v>5060</v>
      </c>
      <c r="B4954" s="1" t="n">
        <v>361</v>
      </c>
      <c r="C4954" s="1" t="n">
        <v>49</v>
      </c>
      <c r="D4954" s="1" t="s">
        <v>1402</v>
      </c>
      <c r="E4954" s="1" t="n">
        <v>1</v>
      </c>
      <c r="F4954" s="1" t="n">
        <v>325.17</v>
      </c>
      <c r="G4954" s="1" t="n">
        <v>0</v>
      </c>
      <c r="H4954" s="1" t="s">
        <v>1336</v>
      </c>
      <c r="I4954" s="1" t="n">
        <v>325.17</v>
      </c>
      <c r="J4954" s="1" t="str">
        <f aca="false">VLOOKUP(B4954,Customers!$A$2:$G$502,6,FALSE())</f>
        <v>Small Business</v>
      </c>
      <c r="K4954" s="1" t="str">
        <f aca="false">VLOOKUP(C4954,Products!$A$2:$E$62,3,FALSE())</f>
        <v>Software</v>
      </c>
      <c r="L4954" s="1" t="str">
        <f aca="false">TEXT(D4954,"yyyy-mm")</f>
        <v>2023-12</v>
      </c>
    </row>
    <row r="4955" customFormat="false" ht="15" hidden="false" customHeight="true" outlineLevel="0" collapsed="false">
      <c r="A4955" s="1" t="n">
        <v>5061</v>
      </c>
      <c r="B4955" s="1" t="n">
        <v>487</v>
      </c>
      <c r="C4955" s="1" t="n">
        <v>3</v>
      </c>
      <c r="D4955" s="1" t="s">
        <v>1660</v>
      </c>
      <c r="E4955" s="1" t="n">
        <v>9</v>
      </c>
      <c r="F4955" s="1" t="n">
        <v>89.39</v>
      </c>
      <c r="G4955" s="1" t="n">
        <v>0.2</v>
      </c>
      <c r="H4955" s="1" t="s">
        <v>1346</v>
      </c>
      <c r="I4955" s="1" t="n">
        <v>643.61</v>
      </c>
      <c r="J4955" s="1" t="str">
        <f aca="false">VLOOKUP(B4955,Customers!$A$2:$G$502,6,FALSE())</f>
        <v>Small Business</v>
      </c>
      <c r="K4955" s="1" t="str">
        <f aca="false">VLOOKUP(C4955,Products!$A$2:$E$62,3,FALSE())</f>
        <v>Electronics</v>
      </c>
      <c r="L4955" s="1" t="str">
        <f aca="false">TEXT(D4955,"yyyy-mm")</f>
        <v>2023-06</v>
      </c>
    </row>
    <row r="4956" customFormat="false" ht="15" hidden="false" customHeight="true" outlineLevel="0" collapsed="false">
      <c r="A4956" s="1" t="n">
        <v>5062</v>
      </c>
      <c r="B4956" s="1" t="n">
        <v>46</v>
      </c>
      <c r="C4956" s="1" t="n">
        <v>56</v>
      </c>
      <c r="D4956" s="1" t="s">
        <v>1202</v>
      </c>
      <c r="E4956" s="1" t="n">
        <v>6</v>
      </c>
      <c r="F4956" s="1" t="n">
        <v>160.64</v>
      </c>
      <c r="G4956" s="1" t="n">
        <v>0.05</v>
      </c>
      <c r="H4956" s="1" t="s">
        <v>1336</v>
      </c>
      <c r="I4956" s="1" t="n">
        <v>915.65</v>
      </c>
      <c r="J4956" s="1" t="str">
        <f aca="false">VLOOKUP(B4956,Customers!$A$2:$G$502,6,FALSE())</f>
        <v>Consumer</v>
      </c>
      <c r="K4956" s="1" t="str">
        <f aca="false">VLOOKUP(C4956,Products!$A$2:$E$62,3,FALSE())</f>
        <v>Furniture</v>
      </c>
      <c r="L4956" s="1" t="str">
        <f aca="false">TEXT(D4956,"yyyy-mm")</f>
        <v>2024-04</v>
      </c>
    </row>
    <row r="4957" customFormat="false" ht="15" hidden="false" customHeight="true" outlineLevel="0" collapsed="false">
      <c r="A4957" s="1" t="n">
        <v>5063</v>
      </c>
      <c r="B4957" s="1" t="n">
        <v>186</v>
      </c>
      <c r="C4957" s="1" t="n">
        <v>56</v>
      </c>
      <c r="D4957" s="1" t="s">
        <v>1376</v>
      </c>
      <c r="E4957" s="1" t="n">
        <v>8</v>
      </c>
      <c r="F4957" s="1" t="n">
        <v>160.64</v>
      </c>
      <c r="G4957" s="1" t="n">
        <v>0</v>
      </c>
      <c r="H4957" s="1" t="s">
        <v>1336</v>
      </c>
      <c r="I4957" s="1" t="n">
        <v>1285.12</v>
      </c>
      <c r="J4957" s="1" t="str">
        <f aca="false">VLOOKUP(B4957,Customers!$A$2:$G$502,6,FALSE())</f>
        <v>Small Business</v>
      </c>
      <c r="K4957" s="1" t="str">
        <f aca="false">VLOOKUP(C4957,Products!$A$2:$E$62,3,FALSE())</f>
        <v>Furniture</v>
      </c>
      <c r="L4957" s="1" t="str">
        <f aca="false">TEXT(D4957,"yyyy-mm")</f>
        <v>2023-01</v>
      </c>
    </row>
    <row r="4958" customFormat="false" ht="15" hidden="false" customHeight="true" outlineLevel="0" collapsed="false">
      <c r="A4958" s="1" t="n">
        <v>5064</v>
      </c>
      <c r="B4958" s="1" t="n">
        <v>115</v>
      </c>
      <c r="C4958" s="1" t="n">
        <v>50</v>
      </c>
      <c r="D4958" s="1" t="s">
        <v>1664</v>
      </c>
      <c r="E4958" s="1" t="n">
        <v>3</v>
      </c>
      <c r="F4958" s="1" t="n">
        <v>19.73</v>
      </c>
      <c r="G4958" s="1" t="n">
        <v>0.15</v>
      </c>
      <c r="H4958" s="1" t="s">
        <v>1336</v>
      </c>
      <c r="I4958" s="1" t="n">
        <v>50.31</v>
      </c>
      <c r="J4958" s="1" t="str">
        <f aca="false">VLOOKUP(B4958,Customers!$A$2:$G$502,6,FALSE())</f>
        <v>Small Business</v>
      </c>
      <c r="K4958" s="1" t="str">
        <f aca="false">VLOOKUP(C4958,Products!$A$2:$E$62,3,FALSE())</f>
        <v>Software</v>
      </c>
      <c r="L4958" s="1" t="str">
        <f aca="false">TEXT(D4958,"yyyy-mm")</f>
        <v>2024-01</v>
      </c>
    </row>
    <row r="4959" customFormat="false" ht="15" hidden="false" customHeight="true" outlineLevel="0" collapsed="false">
      <c r="A4959" s="1" t="n">
        <v>5065</v>
      </c>
      <c r="B4959" s="1" t="n">
        <v>357</v>
      </c>
      <c r="C4959" s="1" t="n">
        <v>16</v>
      </c>
      <c r="D4959" s="1" t="s">
        <v>1507</v>
      </c>
      <c r="E4959" s="1" t="n">
        <v>8</v>
      </c>
      <c r="F4959" s="1" t="n">
        <v>330.91</v>
      </c>
      <c r="G4959" s="1" t="n">
        <v>0</v>
      </c>
      <c r="H4959" s="1" t="s">
        <v>1336</v>
      </c>
      <c r="I4959" s="1" t="n">
        <v>2647.28</v>
      </c>
      <c r="J4959" s="1" t="str">
        <f aca="false">VLOOKUP(B4959,Customers!$A$2:$G$502,6,FALSE())</f>
        <v>Consumer</v>
      </c>
      <c r="K4959" s="1" t="str">
        <f aca="false">VLOOKUP(C4959,Products!$A$2:$E$62,3,FALSE())</f>
        <v>Electronics</v>
      </c>
      <c r="L4959" s="1" t="str">
        <f aca="false">TEXT(D4959,"yyyy-mm")</f>
        <v>2024-09</v>
      </c>
    </row>
    <row r="4960" customFormat="false" ht="15" hidden="false" customHeight="true" outlineLevel="0" collapsed="false">
      <c r="A4960" s="1" t="n">
        <v>5066</v>
      </c>
      <c r="B4960" s="1" t="n">
        <v>64</v>
      </c>
      <c r="C4960" s="1" t="n">
        <v>53</v>
      </c>
      <c r="D4960" s="1" t="s">
        <v>1652</v>
      </c>
      <c r="E4960" s="1" t="n">
        <v>2</v>
      </c>
      <c r="F4960" s="1" t="n">
        <v>509.98</v>
      </c>
      <c r="G4960" s="1" t="n">
        <v>0.05</v>
      </c>
      <c r="H4960" s="1" t="s">
        <v>1336</v>
      </c>
      <c r="I4960" s="1" t="n">
        <v>968.96</v>
      </c>
      <c r="J4960" s="1" t="str">
        <f aca="false">VLOOKUP(B4960,Customers!$A$2:$G$502,6,FALSE())</f>
        <v>Consumer</v>
      </c>
      <c r="K4960" s="1" t="str">
        <f aca="false">VLOOKUP(C4960,Products!$A$2:$E$62,3,FALSE())</f>
        <v>Software</v>
      </c>
      <c r="L4960" s="1" t="str">
        <f aca="false">TEXT(D4960,"yyyy-mm")</f>
        <v>2024-06</v>
      </c>
    </row>
    <row r="4961" customFormat="false" ht="15" hidden="false" customHeight="true" outlineLevel="0" collapsed="false">
      <c r="A4961" s="1" t="n">
        <v>5067</v>
      </c>
      <c r="B4961" s="1" t="n">
        <v>327</v>
      </c>
      <c r="C4961" s="1" t="n">
        <v>4</v>
      </c>
      <c r="D4961" s="1" t="s">
        <v>1404</v>
      </c>
      <c r="E4961" s="1" t="n">
        <v>4</v>
      </c>
      <c r="F4961" s="1" t="n">
        <v>56.24</v>
      </c>
      <c r="G4961" s="1" t="n">
        <v>0.05</v>
      </c>
      <c r="H4961" s="1" t="s">
        <v>1336</v>
      </c>
      <c r="I4961" s="1" t="n">
        <v>213.71</v>
      </c>
      <c r="J4961" s="1" t="str">
        <f aca="false">VLOOKUP(B4961,Customers!$A$2:$G$502,6,FALSE())</f>
        <v>Consumer</v>
      </c>
      <c r="K4961" s="1" t="str">
        <f aca="false">VLOOKUP(C4961,Products!$A$2:$E$62,3,FALSE())</f>
        <v>Electronics</v>
      </c>
      <c r="L4961" s="1" t="str">
        <f aca="false">TEXT(D4961,"yyyy-mm")</f>
        <v>2024-03</v>
      </c>
    </row>
    <row r="4962" customFormat="false" ht="15" hidden="false" customHeight="true" outlineLevel="0" collapsed="false">
      <c r="A4962" s="1" t="n">
        <v>5068</v>
      </c>
      <c r="B4962" s="1" t="n">
        <v>325</v>
      </c>
      <c r="C4962" s="1" t="n">
        <v>9</v>
      </c>
      <c r="D4962" s="1" t="s">
        <v>408</v>
      </c>
      <c r="E4962" s="1" t="n">
        <v>3</v>
      </c>
      <c r="F4962" s="1" t="n">
        <v>203.1</v>
      </c>
      <c r="G4962" s="1" t="n">
        <v>0.15</v>
      </c>
      <c r="H4962" s="1" t="s">
        <v>1346</v>
      </c>
      <c r="I4962" s="1" t="n">
        <v>517.9</v>
      </c>
      <c r="J4962" s="1" t="str">
        <f aca="false">VLOOKUP(B4962,Customers!$A$2:$G$502,6,FALSE())</f>
        <v>Small Business</v>
      </c>
      <c r="K4962" s="1" t="str">
        <f aca="false">VLOOKUP(C4962,Products!$A$2:$E$62,3,FALSE())</f>
        <v>Electronics</v>
      </c>
      <c r="L4962" s="1" t="str">
        <f aca="false">TEXT(D4962,"yyyy-mm")</f>
        <v>2023-02</v>
      </c>
    </row>
    <row r="4963" customFormat="false" ht="15" hidden="false" customHeight="true" outlineLevel="0" collapsed="false">
      <c r="A4963" s="1" t="n">
        <v>5069</v>
      </c>
      <c r="B4963" s="1" t="n">
        <v>283</v>
      </c>
      <c r="C4963" s="1" t="n">
        <v>15</v>
      </c>
      <c r="D4963" s="1" t="s">
        <v>599</v>
      </c>
      <c r="E4963" s="1" t="n">
        <v>1</v>
      </c>
      <c r="F4963" s="1" t="n">
        <v>304.95</v>
      </c>
      <c r="G4963" s="1" t="n">
        <v>0</v>
      </c>
      <c r="H4963" s="1" t="s">
        <v>1336</v>
      </c>
      <c r="I4963" s="1" t="n">
        <v>304.95</v>
      </c>
      <c r="J4963" s="1" t="str">
        <f aca="false">VLOOKUP(B4963,Customers!$A$2:$G$502,6,FALSE())</f>
        <v>Small Business</v>
      </c>
      <c r="K4963" s="1" t="str">
        <f aca="false">VLOOKUP(C4963,Products!$A$2:$E$62,3,FALSE())</f>
        <v>Electronics</v>
      </c>
      <c r="L4963" s="1" t="str">
        <f aca="false">TEXT(D4963,"yyyy-mm")</f>
        <v>2024-06</v>
      </c>
    </row>
    <row r="4964" customFormat="false" ht="15" hidden="false" customHeight="true" outlineLevel="0" collapsed="false">
      <c r="A4964" s="1" t="n">
        <v>5070</v>
      </c>
      <c r="B4964" s="1" t="n">
        <v>406</v>
      </c>
      <c r="C4964" s="1" t="n">
        <v>6</v>
      </c>
      <c r="D4964" s="1" t="s">
        <v>713</v>
      </c>
      <c r="E4964" s="1" t="n">
        <v>7</v>
      </c>
      <c r="F4964" s="1" t="n">
        <v>28.51</v>
      </c>
      <c r="G4964" s="1" t="n">
        <v>0.1</v>
      </c>
      <c r="H4964" s="1" t="s">
        <v>1336</v>
      </c>
      <c r="I4964" s="1" t="n">
        <v>179.61</v>
      </c>
      <c r="J4964" s="1" t="str">
        <f aca="false">VLOOKUP(B4964,Customers!$A$2:$G$502,6,FALSE())</f>
        <v>Small Business</v>
      </c>
      <c r="K4964" s="1" t="str">
        <f aca="false">VLOOKUP(C4964,Products!$A$2:$E$62,3,FALSE())</f>
        <v>Electronics</v>
      </c>
      <c r="L4964" s="1" t="str">
        <f aca="false">TEXT(D4964,"yyyy-mm")</f>
        <v>2024-10</v>
      </c>
    </row>
    <row r="4965" customFormat="false" ht="15" hidden="false" customHeight="true" outlineLevel="0" collapsed="false">
      <c r="A4965" s="1" t="n">
        <v>5071</v>
      </c>
      <c r="B4965" s="1" t="n">
        <v>330</v>
      </c>
      <c r="C4965" s="1" t="n">
        <v>15</v>
      </c>
      <c r="D4965" s="1" t="s">
        <v>998</v>
      </c>
      <c r="E4965" s="1" t="n">
        <v>2</v>
      </c>
      <c r="F4965" s="1" t="n">
        <v>304.95</v>
      </c>
      <c r="G4965" s="1" t="n">
        <v>0.2</v>
      </c>
      <c r="H4965" s="1" t="s">
        <v>1346</v>
      </c>
      <c r="I4965" s="1" t="n">
        <v>487.92</v>
      </c>
      <c r="J4965" s="1" t="str">
        <f aca="false">VLOOKUP(B4965,Customers!$A$2:$G$502,6,FALSE())</f>
        <v>Corporate</v>
      </c>
      <c r="K4965" s="1" t="str">
        <f aca="false">VLOOKUP(C4965,Products!$A$2:$E$62,3,FALSE())</f>
        <v>Electronics</v>
      </c>
      <c r="L4965" s="1" t="str">
        <f aca="false">TEXT(D4965,"yyyy-mm")</f>
        <v>2023-07</v>
      </c>
    </row>
    <row r="4966" customFormat="false" ht="15" hidden="false" customHeight="true" outlineLevel="0" collapsed="false">
      <c r="A4966" s="1" t="n">
        <v>5072</v>
      </c>
      <c r="B4966" s="1" t="n">
        <v>303</v>
      </c>
      <c r="C4966" s="1" t="n">
        <v>15</v>
      </c>
      <c r="D4966" s="1" t="s">
        <v>173</v>
      </c>
      <c r="E4966" s="1" t="n">
        <v>4</v>
      </c>
      <c r="F4966" s="1" t="n">
        <v>304.95</v>
      </c>
      <c r="G4966" s="1" t="n">
        <v>0</v>
      </c>
      <c r="H4966" s="1" t="s">
        <v>1336</v>
      </c>
      <c r="I4966" s="1" t="n">
        <v>1219.8</v>
      </c>
      <c r="J4966" s="1" t="str">
        <f aca="false">VLOOKUP(B4966,Customers!$A$2:$G$502,6,FALSE())</f>
        <v>Corporate</v>
      </c>
      <c r="K4966" s="1" t="str">
        <f aca="false">VLOOKUP(C4966,Products!$A$2:$E$62,3,FALSE())</f>
        <v>Electronics</v>
      </c>
      <c r="L4966" s="1" t="str">
        <f aca="false">TEXT(D4966,"yyyy-mm")</f>
        <v>2024-09</v>
      </c>
    </row>
    <row r="4967" customFormat="false" ht="15" hidden="false" customHeight="true" outlineLevel="0" collapsed="false">
      <c r="A4967" s="1" t="n">
        <v>5073</v>
      </c>
      <c r="B4967" s="1" t="n">
        <v>231</v>
      </c>
      <c r="C4967" s="1" t="n">
        <v>50</v>
      </c>
      <c r="D4967" s="1" t="s">
        <v>1078</v>
      </c>
      <c r="E4967" s="1" t="n">
        <v>9</v>
      </c>
      <c r="F4967" s="1" t="n">
        <v>19.73</v>
      </c>
      <c r="G4967" s="1" t="n">
        <v>0.05</v>
      </c>
      <c r="H4967" s="1" t="s">
        <v>1336</v>
      </c>
      <c r="I4967" s="1" t="n">
        <v>168.69</v>
      </c>
      <c r="J4967" s="1" t="str">
        <f aca="false">VLOOKUP(B4967,Customers!$A$2:$G$502,6,FALSE())</f>
        <v>Consumer</v>
      </c>
      <c r="K4967" s="1" t="str">
        <f aca="false">VLOOKUP(C4967,Products!$A$2:$E$62,3,FALSE())</f>
        <v>Software</v>
      </c>
      <c r="L4967" s="1" t="str">
        <f aca="false">TEXT(D4967,"yyyy-mm")</f>
        <v>2023-07</v>
      </c>
    </row>
    <row r="4968" customFormat="false" ht="15" hidden="false" customHeight="true" outlineLevel="0" collapsed="false">
      <c r="A4968" s="1" t="n">
        <v>5074</v>
      </c>
      <c r="B4968" s="1" t="n">
        <v>55</v>
      </c>
      <c r="C4968" s="1" t="n">
        <v>43</v>
      </c>
      <c r="D4968" s="1" t="s">
        <v>1621</v>
      </c>
      <c r="E4968" s="1" t="n">
        <v>6</v>
      </c>
      <c r="F4968" s="1" t="n">
        <v>186.31</v>
      </c>
      <c r="G4968" s="1" t="n">
        <v>0.1</v>
      </c>
      <c r="H4968" s="1" t="s">
        <v>1336</v>
      </c>
      <c r="I4968" s="1" t="n">
        <v>1006.07</v>
      </c>
      <c r="J4968" s="1" t="str">
        <f aca="false">VLOOKUP(B4968,Customers!$A$2:$G$502,6,FALSE())</f>
        <v>Consumer</v>
      </c>
      <c r="K4968" s="1" t="str">
        <f aca="false">VLOOKUP(C4968,Products!$A$2:$E$62,3,FALSE())</f>
        <v>Software</v>
      </c>
      <c r="L4968" s="1" t="str">
        <f aca="false">TEXT(D4968,"yyyy-mm")</f>
        <v>2024-06</v>
      </c>
    </row>
    <row r="4969" customFormat="false" ht="15" hidden="false" customHeight="true" outlineLevel="0" collapsed="false">
      <c r="A4969" s="1" t="n">
        <v>5075</v>
      </c>
      <c r="B4969" s="1" t="n">
        <v>270</v>
      </c>
      <c r="C4969" s="1" t="n">
        <v>20</v>
      </c>
      <c r="D4969" s="1" t="s">
        <v>1495</v>
      </c>
      <c r="E4969" s="1" t="n">
        <v>8</v>
      </c>
      <c r="F4969" s="1" t="n">
        <v>426.15</v>
      </c>
      <c r="G4969" s="1" t="n">
        <v>0</v>
      </c>
      <c r="H4969" s="1" t="s">
        <v>1336</v>
      </c>
      <c r="I4969" s="1" t="n">
        <v>3409.2</v>
      </c>
      <c r="J4969" s="1" t="str">
        <f aca="false">VLOOKUP(B4969,Customers!$A$2:$G$502,6,FALSE())</f>
        <v>Small Business</v>
      </c>
      <c r="K4969" s="1" t="str">
        <f aca="false">VLOOKUP(C4969,Products!$A$2:$E$62,3,FALSE())</f>
        <v>Office Supplies</v>
      </c>
      <c r="L4969" s="1" t="str">
        <f aca="false">TEXT(D4969,"yyyy-mm")</f>
        <v>2024-03</v>
      </c>
    </row>
    <row r="4970" customFormat="false" ht="15" hidden="false" customHeight="true" outlineLevel="0" collapsed="false">
      <c r="A4970" s="1" t="n">
        <v>5076</v>
      </c>
      <c r="B4970" s="1" t="n">
        <v>203</v>
      </c>
      <c r="C4970" s="1" t="n">
        <v>46</v>
      </c>
      <c r="D4970" s="1" t="s">
        <v>846</v>
      </c>
      <c r="E4970" s="1" t="n">
        <v>2</v>
      </c>
      <c r="F4970" s="1" t="n">
        <v>94.92</v>
      </c>
      <c r="G4970" s="1" t="n">
        <v>0.05</v>
      </c>
      <c r="H4970" s="1" t="s">
        <v>1336</v>
      </c>
      <c r="I4970" s="1" t="n">
        <v>180.35</v>
      </c>
      <c r="J4970" s="1" t="str">
        <f aca="false">VLOOKUP(B4970,Customers!$A$2:$G$502,6,FALSE())</f>
        <v>Corporate</v>
      </c>
      <c r="K4970" s="1" t="str">
        <f aca="false">VLOOKUP(C4970,Products!$A$2:$E$62,3,FALSE())</f>
        <v>Software</v>
      </c>
      <c r="L4970" s="1" t="str">
        <f aca="false">TEXT(D4970,"yyyy-mm")</f>
        <v>2024-07</v>
      </c>
    </row>
    <row r="4971" customFormat="false" ht="15" hidden="false" customHeight="true" outlineLevel="0" collapsed="false">
      <c r="A4971" s="1" t="n">
        <v>5077</v>
      </c>
      <c r="B4971" s="1" t="n">
        <v>9</v>
      </c>
      <c r="C4971" s="1" t="n">
        <v>49</v>
      </c>
      <c r="D4971" s="1" t="s">
        <v>427</v>
      </c>
      <c r="E4971" s="1" t="n">
        <v>7</v>
      </c>
      <c r="F4971" s="1" t="n">
        <v>325.17</v>
      </c>
      <c r="G4971" s="1" t="n">
        <v>0</v>
      </c>
      <c r="H4971" s="1" t="s">
        <v>1336</v>
      </c>
      <c r="I4971" s="1" t="n">
        <v>2276.19</v>
      </c>
      <c r="J4971" s="1" t="str">
        <f aca="false">VLOOKUP(B4971,Customers!$A$2:$G$502,6,FALSE())</f>
        <v>Small Business</v>
      </c>
      <c r="K4971" s="1" t="str">
        <f aca="false">VLOOKUP(C4971,Products!$A$2:$E$62,3,FALSE())</f>
        <v>Software</v>
      </c>
      <c r="L4971" s="1" t="str">
        <f aca="false">TEXT(D4971,"yyyy-mm")</f>
        <v>2024-11</v>
      </c>
    </row>
    <row r="4972" customFormat="false" ht="15" hidden="false" customHeight="true" outlineLevel="0" collapsed="false">
      <c r="A4972" s="1" t="n">
        <v>5078</v>
      </c>
      <c r="B4972" s="1" t="n">
        <v>396</v>
      </c>
      <c r="C4972" s="1" t="n">
        <v>36</v>
      </c>
      <c r="D4972" s="1" t="s">
        <v>1526</v>
      </c>
      <c r="E4972" s="1" t="n">
        <v>6</v>
      </c>
      <c r="F4972" s="1" t="n">
        <v>424.45</v>
      </c>
      <c r="G4972" s="1" t="n">
        <v>0</v>
      </c>
      <c r="H4972" s="1" t="s">
        <v>1336</v>
      </c>
      <c r="I4972" s="1" t="n">
        <v>2546.7</v>
      </c>
      <c r="J4972" s="1" t="str">
        <f aca="false">VLOOKUP(B4972,Customers!$A$2:$G$502,6,FALSE())</f>
        <v>Small Business</v>
      </c>
      <c r="K4972" s="1" t="str">
        <f aca="false">VLOOKUP(C4972,Products!$A$2:$E$62,3,FALSE())</f>
        <v>Software</v>
      </c>
      <c r="L4972" s="1" t="str">
        <f aca="false">TEXT(D4972,"yyyy-mm")</f>
        <v>2023-09</v>
      </c>
    </row>
    <row r="4973" customFormat="false" ht="15" hidden="false" customHeight="true" outlineLevel="0" collapsed="false">
      <c r="A4973" s="1" t="n">
        <v>5079</v>
      </c>
      <c r="B4973" s="1" t="n">
        <v>29</v>
      </c>
      <c r="C4973" s="1" t="n">
        <v>57</v>
      </c>
      <c r="D4973" s="1" t="s">
        <v>648</v>
      </c>
      <c r="E4973" s="1" t="n">
        <v>9</v>
      </c>
      <c r="F4973" s="1" t="n">
        <v>719.76</v>
      </c>
      <c r="G4973" s="1" t="n">
        <v>0.1</v>
      </c>
      <c r="H4973" s="1" t="s">
        <v>1336</v>
      </c>
      <c r="I4973" s="1" t="n">
        <v>5830.06</v>
      </c>
      <c r="J4973" s="1" t="str">
        <f aca="false">VLOOKUP(B4973,Customers!$A$2:$G$502,6,FALSE())</f>
        <v>Small Business</v>
      </c>
      <c r="K4973" s="1" t="str">
        <f aca="false">VLOOKUP(C4973,Products!$A$2:$E$62,3,FALSE())</f>
        <v>Furniture</v>
      </c>
      <c r="L4973" s="1" t="str">
        <f aca="false">TEXT(D4973,"yyyy-mm")</f>
        <v>2024-01</v>
      </c>
    </row>
    <row r="4974" customFormat="false" ht="15" hidden="false" customHeight="true" outlineLevel="0" collapsed="false">
      <c r="A4974" s="1" t="n">
        <v>5080</v>
      </c>
      <c r="B4974" s="1" t="n">
        <v>270</v>
      </c>
      <c r="C4974" s="1" t="n">
        <v>22</v>
      </c>
      <c r="D4974" s="1" t="s">
        <v>1409</v>
      </c>
      <c r="E4974" s="1" t="n">
        <v>7</v>
      </c>
      <c r="F4974" s="1" t="n">
        <v>38.57</v>
      </c>
      <c r="G4974" s="1" t="n">
        <v>0</v>
      </c>
      <c r="H4974" s="1" t="s">
        <v>1336</v>
      </c>
      <c r="I4974" s="1" t="n">
        <v>269.99</v>
      </c>
      <c r="J4974" s="1" t="str">
        <f aca="false">VLOOKUP(B4974,Customers!$A$2:$G$502,6,FALSE())</f>
        <v>Small Business</v>
      </c>
      <c r="K4974" s="1" t="str">
        <f aca="false">VLOOKUP(C4974,Products!$A$2:$E$62,3,FALSE())</f>
        <v>Office Supplies</v>
      </c>
      <c r="L4974" s="1" t="str">
        <f aca="false">TEXT(D4974,"yyyy-mm")</f>
        <v>2023-09</v>
      </c>
    </row>
    <row r="4975" customFormat="false" ht="15" hidden="false" customHeight="true" outlineLevel="0" collapsed="false">
      <c r="A4975" s="1" t="n">
        <v>5081</v>
      </c>
      <c r="B4975" s="1" t="n">
        <v>159</v>
      </c>
      <c r="C4975" s="1" t="n">
        <v>27</v>
      </c>
      <c r="D4975" s="1" t="s">
        <v>1498</v>
      </c>
      <c r="E4975" s="1" t="n">
        <v>1</v>
      </c>
      <c r="F4975" s="1" t="n">
        <v>772.58</v>
      </c>
      <c r="G4975" s="1" t="n">
        <v>0.2</v>
      </c>
      <c r="H4975" s="1" t="s">
        <v>1336</v>
      </c>
      <c r="I4975" s="1" t="n">
        <v>618.06</v>
      </c>
      <c r="J4975" s="1" t="str">
        <f aca="false">VLOOKUP(B4975,Customers!$A$2:$G$502,6,FALSE())</f>
        <v>Corporate</v>
      </c>
      <c r="K4975" s="1" t="str">
        <f aca="false">VLOOKUP(C4975,Products!$A$2:$E$62,3,FALSE())</f>
        <v>Office Supplies</v>
      </c>
      <c r="L4975" s="1" t="str">
        <f aca="false">TEXT(D4975,"yyyy-mm")</f>
        <v>2023-03</v>
      </c>
    </row>
    <row r="4976" customFormat="false" ht="15" hidden="false" customHeight="true" outlineLevel="0" collapsed="false">
      <c r="A4976" s="1" t="n">
        <v>5082</v>
      </c>
      <c r="B4976" s="1" t="n">
        <v>149</v>
      </c>
      <c r="C4976" s="1" t="n">
        <v>27</v>
      </c>
      <c r="D4976" s="1" t="s">
        <v>371</v>
      </c>
      <c r="E4976" s="1" t="n">
        <v>8</v>
      </c>
      <c r="F4976" s="1" t="n">
        <v>772.58</v>
      </c>
      <c r="G4976" s="1" t="n">
        <v>0.15</v>
      </c>
      <c r="H4976" s="1" t="s">
        <v>1336</v>
      </c>
      <c r="I4976" s="1" t="n">
        <v>5253.54</v>
      </c>
      <c r="J4976" s="1" t="str">
        <f aca="false">VLOOKUP(B4976,Customers!$A$2:$G$502,6,FALSE())</f>
        <v>Consumer</v>
      </c>
      <c r="K4976" s="1" t="str">
        <f aca="false">VLOOKUP(C4976,Products!$A$2:$E$62,3,FALSE())</f>
        <v>Office Supplies</v>
      </c>
      <c r="L4976" s="1" t="str">
        <f aca="false">TEXT(D4976,"yyyy-mm")</f>
        <v>2024-03</v>
      </c>
    </row>
    <row r="4977" customFormat="false" ht="15" hidden="false" customHeight="true" outlineLevel="0" collapsed="false">
      <c r="A4977" s="1" t="n">
        <v>5083</v>
      </c>
      <c r="B4977" s="1" t="n">
        <v>292</v>
      </c>
      <c r="C4977" s="1" t="n">
        <v>34</v>
      </c>
      <c r="D4977" s="1" t="s">
        <v>1354</v>
      </c>
      <c r="E4977" s="1" t="n">
        <v>3</v>
      </c>
      <c r="F4977" s="1" t="n">
        <v>116.85</v>
      </c>
      <c r="G4977" s="1" t="n">
        <v>0</v>
      </c>
      <c r="H4977" s="1" t="s">
        <v>1336</v>
      </c>
      <c r="I4977" s="1" t="n">
        <v>350.55</v>
      </c>
      <c r="J4977" s="1" t="str">
        <f aca="false">VLOOKUP(B4977,Customers!$A$2:$G$502,6,FALSE())</f>
        <v>Small Business</v>
      </c>
      <c r="K4977" s="1" t="str">
        <f aca="false">VLOOKUP(C4977,Products!$A$2:$E$62,3,FALSE())</f>
        <v>Office Supplies</v>
      </c>
      <c r="L4977" s="1" t="str">
        <f aca="false">TEXT(D4977,"yyyy-mm")</f>
        <v>2024-03</v>
      </c>
    </row>
    <row r="4978" customFormat="false" ht="15" hidden="false" customHeight="true" outlineLevel="0" collapsed="false">
      <c r="A4978" s="1" t="n">
        <v>5084</v>
      </c>
      <c r="B4978" s="1" t="n">
        <v>294</v>
      </c>
      <c r="C4978" s="1" t="n">
        <v>21</v>
      </c>
      <c r="D4978" s="1" t="s">
        <v>1661</v>
      </c>
      <c r="E4978" s="1" t="n">
        <v>2</v>
      </c>
      <c r="F4978" s="1" t="n">
        <v>84.91</v>
      </c>
      <c r="G4978" s="1" t="n">
        <v>0.15</v>
      </c>
      <c r="H4978" s="1" t="s">
        <v>1336</v>
      </c>
      <c r="I4978" s="1" t="n">
        <v>144.35</v>
      </c>
      <c r="J4978" s="1" t="str">
        <f aca="false">VLOOKUP(B4978,Customers!$A$2:$G$502,6,FALSE())</f>
        <v>Consumer</v>
      </c>
      <c r="K4978" s="1" t="str">
        <f aca="false">VLOOKUP(C4978,Products!$A$2:$E$62,3,FALSE())</f>
        <v>Office Supplies</v>
      </c>
      <c r="L4978" s="1" t="str">
        <f aca="false">TEXT(D4978,"yyyy-mm")</f>
        <v>2024-09</v>
      </c>
    </row>
    <row r="4979" customFormat="false" ht="15" hidden="false" customHeight="true" outlineLevel="0" collapsed="false">
      <c r="A4979" s="1" t="n">
        <v>5085</v>
      </c>
      <c r="B4979" s="1" t="n">
        <v>361</v>
      </c>
      <c r="C4979" s="1" t="n">
        <v>5</v>
      </c>
      <c r="D4979" s="1" t="s">
        <v>356</v>
      </c>
      <c r="E4979" s="1" t="n">
        <v>3</v>
      </c>
      <c r="F4979" s="1" t="n">
        <v>439.06</v>
      </c>
      <c r="G4979" s="1" t="n">
        <v>0.15</v>
      </c>
      <c r="H4979" s="1" t="s">
        <v>1336</v>
      </c>
      <c r="I4979" s="1" t="n">
        <v>1119.6</v>
      </c>
      <c r="J4979" s="1" t="str">
        <f aca="false">VLOOKUP(B4979,Customers!$A$2:$G$502,6,FALSE())</f>
        <v>Small Business</v>
      </c>
      <c r="K4979" s="1" t="str">
        <f aca="false">VLOOKUP(C4979,Products!$A$2:$E$62,3,FALSE())</f>
        <v>Electronics</v>
      </c>
      <c r="L4979" s="1" t="str">
        <f aca="false">TEXT(D4979,"yyyy-mm")</f>
        <v>2023-04</v>
      </c>
    </row>
    <row r="4980" customFormat="false" ht="15" hidden="false" customHeight="true" outlineLevel="0" collapsed="false">
      <c r="A4980" s="1" t="n">
        <v>5086</v>
      </c>
      <c r="B4980" s="1" t="n">
        <v>171</v>
      </c>
      <c r="C4980" s="1" t="n">
        <v>41</v>
      </c>
      <c r="D4980" s="1" t="s">
        <v>408</v>
      </c>
      <c r="E4980" s="1" t="n">
        <v>6</v>
      </c>
      <c r="F4980" s="1" t="n">
        <v>594.54</v>
      </c>
      <c r="G4980" s="1" t="n">
        <v>0</v>
      </c>
      <c r="H4980" s="1" t="s">
        <v>1336</v>
      </c>
      <c r="I4980" s="1" t="n">
        <v>3567.24</v>
      </c>
      <c r="J4980" s="1" t="str">
        <f aca="false">VLOOKUP(B4980,Customers!$A$2:$G$502,6,FALSE())</f>
        <v>Small Business</v>
      </c>
      <c r="K4980" s="1" t="str">
        <f aca="false">VLOOKUP(C4980,Products!$A$2:$E$62,3,FALSE())</f>
        <v>Software</v>
      </c>
      <c r="L4980" s="1" t="str">
        <f aca="false">TEXT(D4980,"yyyy-mm")</f>
        <v>2023-02</v>
      </c>
    </row>
    <row r="4981" customFormat="false" ht="15" hidden="false" customHeight="true" outlineLevel="0" collapsed="false">
      <c r="A4981" s="1" t="n">
        <v>5087</v>
      </c>
      <c r="B4981" s="1" t="n">
        <v>71</v>
      </c>
      <c r="C4981" s="1" t="n">
        <v>26</v>
      </c>
      <c r="D4981" s="1" t="s">
        <v>1364</v>
      </c>
      <c r="E4981" s="1" t="n">
        <v>3</v>
      </c>
      <c r="F4981" s="1" t="n">
        <v>733.85</v>
      </c>
      <c r="G4981" s="1" t="n">
        <v>0</v>
      </c>
      <c r="H4981" s="1" t="s">
        <v>1336</v>
      </c>
      <c r="I4981" s="1" t="n">
        <v>2201.55</v>
      </c>
      <c r="J4981" s="1" t="str">
        <f aca="false">VLOOKUP(B4981,Customers!$A$2:$G$502,6,FALSE())</f>
        <v>Corporate</v>
      </c>
      <c r="K4981" s="1" t="str">
        <f aca="false">VLOOKUP(C4981,Products!$A$2:$E$62,3,FALSE())</f>
        <v>Office Supplies</v>
      </c>
      <c r="L4981" s="1" t="str">
        <f aca="false">TEXT(D4981,"yyyy-mm")</f>
        <v>2024-11</v>
      </c>
    </row>
    <row r="4982" customFormat="false" ht="15" hidden="false" customHeight="true" outlineLevel="0" collapsed="false">
      <c r="A4982" s="1" t="n">
        <v>5088</v>
      </c>
      <c r="B4982" s="1" t="n">
        <v>150</v>
      </c>
      <c r="C4982" s="1" t="n">
        <v>50</v>
      </c>
      <c r="D4982" s="1" t="s">
        <v>786</v>
      </c>
      <c r="E4982" s="1" t="n">
        <v>5</v>
      </c>
      <c r="F4982" s="1" t="n">
        <v>19.73</v>
      </c>
      <c r="G4982" s="1" t="n">
        <v>0.1</v>
      </c>
      <c r="H4982" s="1" t="s">
        <v>1336</v>
      </c>
      <c r="I4982" s="1" t="n">
        <v>88.79</v>
      </c>
      <c r="J4982" s="1" t="str">
        <f aca="false">VLOOKUP(B4982,Customers!$A$2:$G$502,6,FALSE())</f>
        <v>Corporate</v>
      </c>
      <c r="K4982" s="1" t="str">
        <f aca="false">VLOOKUP(C4982,Products!$A$2:$E$62,3,FALSE())</f>
        <v>Software</v>
      </c>
      <c r="L4982" s="1" t="str">
        <f aca="false">TEXT(D4982,"yyyy-mm")</f>
        <v>2024-07</v>
      </c>
    </row>
    <row r="4983" customFormat="false" ht="15" hidden="false" customHeight="true" outlineLevel="0" collapsed="false">
      <c r="A4983" s="1" t="n">
        <v>5089</v>
      </c>
      <c r="B4983" s="1" t="n">
        <v>284</v>
      </c>
      <c r="C4983" s="1" t="n">
        <v>41</v>
      </c>
      <c r="D4983" s="1" t="s">
        <v>1612</v>
      </c>
      <c r="E4983" s="1" t="n">
        <v>6</v>
      </c>
      <c r="F4983" s="1" t="n">
        <v>594.54</v>
      </c>
      <c r="G4983" s="1" t="n">
        <v>0</v>
      </c>
      <c r="H4983" s="1" t="s">
        <v>1336</v>
      </c>
      <c r="I4983" s="1" t="n">
        <v>3567.24</v>
      </c>
      <c r="J4983" s="1" t="str">
        <f aca="false">VLOOKUP(B4983,Customers!$A$2:$G$502,6,FALSE())</f>
        <v>Consumer</v>
      </c>
      <c r="K4983" s="1" t="str">
        <f aca="false">VLOOKUP(C4983,Products!$A$2:$E$62,3,FALSE())</f>
        <v>Software</v>
      </c>
      <c r="L4983" s="1" t="str">
        <f aca="false">TEXT(D4983,"yyyy-mm")</f>
        <v>2024-10</v>
      </c>
    </row>
    <row r="4984" customFormat="false" ht="15" hidden="false" customHeight="true" outlineLevel="0" collapsed="false">
      <c r="A4984" s="1" t="n">
        <v>5090</v>
      </c>
      <c r="B4984" s="1" t="n">
        <v>331</v>
      </c>
      <c r="C4984" s="1" t="n">
        <v>8</v>
      </c>
      <c r="D4984" s="1" t="s">
        <v>1432</v>
      </c>
      <c r="E4984" s="1" t="n">
        <v>8</v>
      </c>
      <c r="F4984" s="1" t="n">
        <v>104.4</v>
      </c>
      <c r="G4984" s="1" t="n">
        <v>0.2</v>
      </c>
      <c r="H4984" s="1" t="s">
        <v>1336</v>
      </c>
      <c r="I4984" s="1" t="n">
        <v>668.16</v>
      </c>
      <c r="J4984" s="1" t="str">
        <f aca="false">VLOOKUP(B4984,Customers!$A$2:$G$502,6,FALSE())</f>
        <v>Consumer</v>
      </c>
      <c r="K4984" s="1" t="str">
        <f aca="false">VLOOKUP(C4984,Products!$A$2:$E$62,3,FALSE())</f>
        <v>Electronics</v>
      </c>
      <c r="L4984" s="1" t="str">
        <f aca="false">TEXT(D4984,"yyyy-mm")</f>
        <v>2023-01</v>
      </c>
    </row>
    <row r="4985" customFormat="false" ht="15" hidden="false" customHeight="true" outlineLevel="0" collapsed="false">
      <c r="A4985" s="1" t="n">
        <v>5091</v>
      </c>
      <c r="B4985" s="1" t="n">
        <v>342</v>
      </c>
      <c r="C4985" s="1" t="n">
        <v>27</v>
      </c>
      <c r="D4985" s="1" t="s">
        <v>64</v>
      </c>
      <c r="E4985" s="1" t="n">
        <v>7</v>
      </c>
      <c r="F4985" s="1" t="n">
        <v>772.58</v>
      </c>
      <c r="G4985" s="1" t="n">
        <v>0</v>
      </c>
      <c r="H4985" s="1" t="s">
        <v>1336</v>
      </c>
      <c r="I4985" s="1" t="n">
        <v>5408.06</v>
      </c>
      <c r="J4985" s="1" t="str">
        <f aca="false">VLOOKUP(B4985,Customers!$A$2:$G$502,6,FALSE())</f>
        <v>Small Business</v>
      </c>
      <c r="K4985" s="1" t="str">
        <f aca="false">VLOOKUP(C4985,Products!$A$2:$E$62,3,FALSE())</f>
        <v>Office Supplies</v>
      </c>
      <c r="L4985" s="1" t="str">
        <f aca="false">TEXT(D4985,"yyyy-mm")</f>
        <v>2024-09</v>
      </c>
    </row>
    <row r="4986" customFormat="false" ht="15" hidden="false" customHeight="true" outlineLevel="0" collapsed="false">
      <c r="A4986" s="1" t="n">
        <v>5092</v>
      </c>
      <c r="B4986" s="1" t="n">
        <v>175</v>
      </c>
      <c r="C4986" s="1" t="n">
        <v>7</v>
      </c>
      <c r="D4986" s="1" t="s">
        <v>1443</v>
      </c>
      <c r="E4986" s="1" t="n">
        <v>8</v>
      </c>
      <c r="F4986" s="1" t="n">
        <v>460</v>
      </c>
      <c r="G4986" s="1" t="n">
        <v>0.2</v>
      </c>
      <c r="H4986" s="1" t="s">
        <v>1336</v>
      </c>
      <c r="I4986" s="1" t="n">
        <v>2944</v>
      </c>
      <c r="J4986" s="1" t="str">
        <f aca="false">VLOOKUP(B4986,Customers!$A$2:$G$502,6,FALSE())</f>
        <v>Consumer</v>
      </c>
      <c r="K4986" s="1" t="str">
        <f aca="false">VLOOKUP(C4986,Products!$A$2:$E$62,3,FALSE())</f>
        <v>Electronics</v>
      </c>
      <c r="L4986" s="1" t="str">
        <f aca="false">TEXT(D4986,"yyyy-mm")</f>
        <v>2023-09</v>
      </c>
    </row>
    <row r="4987" customFormat="false" ht="15" hidden="false" customHeight="true" outlineLevel="0" collapsed="false">
      <c r="A4987" s="1" t="n">
        <v>5093</v>
      </c>
      <c r="B4987" s="1" t="n">
        <v>228</v>
      </c>
      <c r="C4987" s="1" t="n">
        <v>7</v>
      </c>
      <c r="D4987" s="1" t="s">
        <v>1120</v>
      </c>
      <c r="E4987" s="1" t="n">
        <v>3</v>
      </c>
      <c r="F4987" s="1" t="n">
        <v>460</v>
      </c>
      <c r="G4987" s="1" t="n">
        <v>0</v>
      </c>
      <c r="H4987" s="1" t="s">
        <v>1336</v>
      </c>
      <c r="I4987" s="1" t="n">
        <v>1380</v>
      </c>
      <c r="J4987" s="1" t="str">
        <f aca="false">VLOOKUP(B4987,Customers!$A$2:$G$502,6,FALSE())</f>
        <v>Small Business</v>
      </c>
      <c r="K4987" s="1" t="str">
        <f aca="false">VLOOKUP(C4987,Products!$A$2:$E$62,3,FALSE())</f>
        <v>Electronics</v>
      </c>
      <c r="L4987" s="1" t="str">
        <f aca="false">TEXT(D4987,"yyyy-mm")</f>
        <v>2024-10</v>
      </c>
    </row>
    <row r="4988" customFormat="false" ht="15" hidden="false" customHeight="true" outlineLevel="0" collapsed="false">
      <c r="A4988" s="1" t="n">
        <v>5094</v>
      </c>
      <c r="B4988" s="1" t="n">
        <v>1</v>
      </c>
      <c r="C4988" s="1" t="n">
        <v>46</v>
      </c>
      <c r="D4988" s="1" t="s">
        <v>1412</v>
      </c>
      <c r="E4988" s="1" t="n">
        <v>4</v>
      </c>
      <c r="F4988" s="1" t="n">
        <v>94.92</v>
      </c>
      <c r="G4988" s="1" t="n">
        <v>0.15</v>
      </c>
      <c r="H4988" s="1" t="s">
        <v>1370</v>
      </c>
      <c r="I4988" s="1" t="n">
        <v>322.73</v>
      </c>
      <c r="J4988" s="1" t="str">
        <f aca="false">VLOOKUP(B4988,Customers!$A$2:$G$502,6,FALSE())</f>
        <v>Consumer</v>
      </c>
      <c r="K4988" s="1" t="str">
        <f aca="false">VLOOKUP(C4988,Products!$A$2:$E$62,3,FALSE())</f>
        <v>Software</v>
      </c>
      <c r="L4988" s="1" t="str">
        <f aca="false">TEXT(D4988,"yyyy-mm")</f>
        <v>2023-09</v>
      </c>
    </row>
    <row r="4989" customFormat="false" ht="15" hidden="false" customHeight="true" outlineLevel="0" collapsed="false">
      <c r="A4989" s="1" t="n">
        <v>5095</v>
      </c>
      <c r="B4989" s="1" t="n">
        <v>81</v>
      </c>
      <c r="C4989" s="1" t="n">
        <v>43</v>
      </c>
      <c r="D4989" s="1" t="s">
        <v>1407</v>
      </c>
      <c r="E4989" s="1" t="n">
        <v>6</v>
      </c>
      <c r="F4989" s="1" t="n">
        <v>186.31</v>
      </c>
      <c r="G4989" s="1" t="n">
        <v>0.05</v>
      </c>
      <c r="H4989" s="1" t="s">
        <v>1336</v>
      </c>
      <c r="I4989" s="1" t="n">
        <v>1061.97</v>
      </c>
      <c r="J4989" s="1" t="str">
        <f aca="false">VLOOKUP(B4989,Customers!$A$2:$G$502,6,FALSE())</f>
        <v>Consumer</v>
      </c>
      <c r="K4989" s="1" t="str">
        <f aca="false">VLOOKUP(C4989,Products!$A$2:$E$62,3,FALSE())</f>
        <v>Software</v>
      </c>
      <c r="L4989" s="1" t="str">
        <f aca="false">TEXT(D4989,"yyyy-mm")</f>
        <v>2023-06</v>
      </c>
    </row>
    <row r="4990" customFormat="false" ht="15" hidden="false" customHeight="true" outlineLevel="0" collapsed="false">
      <c r="A4990" s="1" t="n">
        <v>5096</v>
      </c>
      <c r="B4990" s="1" t="n">
        <v>355</v>
      </c>
      <c r="C4990" s="1" t="n">
        <v>38</v>
      </c>
      <c r="D4990" s="1" t="s">
        <v>1436</v>
      </c>
      <c r="E4990" s="1" t="n">
        <v>7</v>
      </c>
      <c r="F4990" s="1" t="n">
        <v>521.63</v>
      </c>
      <c r="G4990" s="1" t="n">
        <v>0.05</v>
      </c>
      <c r="H4990" s="1" t="s">
        <v>1336</v>
      </c>
      <c r="I4990" s="1" t="n">
        <v>3468.84</v>
      </c>
      <c r="J4990" s="1" t="str">
        <f aca="false">VLOOKUP(B4990,Customers!$A$2:$G$502,6,FALSE())</f>
        <v>Corporate</v>
      </c>
      <c r="K4990" s="1" t="str">
        <f aca="false">VLOOKUP(C4990,Products!$A$2:$E$62,3,FALSE())</f>
        <v>Software</v>
      </c>
      <c r="L4990" s="1" t="str">
        <f aca="false">TEXT(D4990,"yyyy-mm")</f>
        <v>2024-02</v>
      </c>
    </row>
    <row r="4991" customFormat="false" ht="15" hidden="false" customHeight="true" outlineLevel="0" collapsed="false">
      <c r="A4991" s="1" t="n">
        <v>5097</v>
      </c>
      <c r="B4991" s="1" t="n">
        <v>102</v>
      </c>
      <c r="C4991" s="1" t="n">
        <v>55</v>
      </c>
      <c r="D4991" s="1" t="s">
        <v>164</v>
      </c>
      <c r="E4991" s="1" t="n">
        <v>9</v>
      </c>
      <c r="F4991" s="1" t="n">
        <v>123.38</v>
      </c>
      <c r="G4991" s="1" t="n">
        <v>0</v>
      </c>
      <c r="H4991" s="1" t="s">
        <v>1336</v>
      </c>
      <c r="I4991" s="1" t="n">
        <v>1110.42</v>
      </c>
      <c r="J4991" s="1" t="str">
        <f aca="false">VLOOKUP(B4991,Customers!$A$2:$G$502,6,FALSE())</f>
        <v>Consumer</v>
      </c>
      <c r="K4991" s="1" t="str">
        <f aca="false">VLOOKUP(C4991,Products!$A$2:$E$62,3,FALSE())</f>
        <v>Furniture</v>
      </c>
      <c r="L4991" s="1" t="str">
        <f aca="false">TEXT(D4991,"yyyy-mm")</f>
        <v>2023-02</v>
      </c>
    </row>
    <row r="4992" customFormat="false" ht="15" hidden="false" customHeight="true" outlineLevel="0" collapsed="false">
      <c r="A4992" s="1" t="n">
        <v>5098</v>
      </c>
      <c r="B4992" s="1" t="n">
        <v>33</v>
      </c>
      <c r="C4992" s="1" t="n">
        <v>12</v>
      </c>
      <c r="D4992" s="1" t="s">
        <v>1479</v>
      </c>
      <c r="E4992" s="1" t="n">
        <v>1</v>
      </c>
      <c r="F4992" s="1" t="n">
        <v>179.23</v>
      </c>
      <c r="G4992" s="1" t="n">
        <v>0</v>
      </c>
      <c r="H4992" s="1" t="s">
        <v>1336</v>
      </c>
      <c r="I4992" s="1" t="n">
        <v>179.23</v>
      </c>
      <c r="J4992" s="1" t="str">
        <f aca="false">VLOOKUP(B4992,Customers!$A$2:$G$502,6,FALSE())</f>
        <v>Corporate</v>
      </c>
      <c r="K4992" s="1" t="str">
        <f aca="false">VLOOKUP(C4992,Products!$A$2:$E$62,3,FALSE())</f>
        <v>Electronics</v>
      </c>
      <c r="L4992" s="1" t="str">
        <f aca="false">TEXT(D4992,"yyyy-mm")</f>
        <v>2024-10</v>
      </c>
    </row>
    <row r="4993" customFormat="false" ht="15" hidden="false" customHeight="true" outlineLevel="0" collapsed="false">
      <c r="A4993" s="1" t="n">
        <v>5099</v>
      </c>
      <c r="B4993" s="1" t="n">
        <v>119</v>
      </c>
      <c r="C4993" s="1" t="n">
        <v>28</v>
      </c>
      <c r="D4993" s="1" t="s">
        <v>1632</v>
      </c>
      <c r="E4993" s="1" t="n">
        <v>8</v>
      </c>
      <c r="F4993" s="1" t="n">
        <v>505.23</v>
      </c>
      <c r="G4993" s="1" t="n">
        <v>0</v>
      </c>
      <c r="H4993" s="1" t="s">
        <v>1336</v>
      </c>
      <c r="I4993" s="1" t="n">
        <v>4041.84</v>
      </c>
      <c r="J4993" s="1" t="str">
        <f aca="false">VLOOKUP(B4993,Customers!$A$2:$G$502,6,FALSE())</f>
        <v>Small Business</v>
      </c>
      <c r="K4993" s="1" t="str">
        <f aca="false">VLOOKUP(C4993,Products!$A$2:$E$62,3,FALSE())</f>
        <v>Office Supplies</v>
      </c>
      <c r="L4993" s="1" t="str">
        <f aca="false">TEXT(D4993,"yyyy-mm")</f>
        <v>2024-04</v>
      </c>
    </row>
    <row r="4994" customFormat="false" ht="15" hidden="false" customHeight="true" outlineLevel="0" collapsed="false">
      <c r="A4994" s="1" t="n">
        <v>5100</v>
      </c>
      <c r="B4994" s="1" t="n">
        <v>463</v>
      </c>
      <c r="C4994" s="1" t="n">
        <v>47</v>
      </c>
      <c r="D4994" s="1" t="s">
        <v>138</v>
      </c>
      <c r="E4994" s="1" t="n">
        <v>8</v>
      </c>
      <c r="F4994" s="1" t="n">
        <v>506.19</v>
      </c>
      <c r="G4994" s="1" t="n">
        <v>0.05</v>
      </c>
      <c r="H4994" s="1" t="s">
        <v>1336</v>
      </c>
      <c r="I4994" s="1" t="n">
        <v>3847.04</v>
      </c>
      <c r="J4994" s="1" t="str">
        <f aca="false">VLOOKUP(B4994,Customers!$A$2:$G$502,6,FALSE())</f>
        <v>Consumer</v>
      </c>
      <c r="K4994" s="1" t="str">
        <f aca="false">VLOOKUP(C4994,Products!$A$2:$E$62,3,FALSE())</f>
        <v>Software</v>
      </c>
      <c r="L4994" s="1" t="str">
        <f aca="false">TEXT(D4994,"yyyy-mm")</f>
        <v>2023-05</v>
      </c>
    </row>
    <row r="4995" customFormat="false" ht="15" hidden="false" customHeight="true" outlineLevel="0" collapsed="false">
      <c r="A4995" s="1" t="n">
        <v>5101</v>
      </c>
      <c r="B4995" s="1" t="n">
        <v>25</v>
      </c>
      <c r="C4995" s="1" t="n">
        <v>14</v>
      </c>
      <c r="D4995" s="1" t="s">
        <v>402</v>
      </c>
      <c r="E4995" s="1" t="n">
        <v>6</v>
      </c>
      <c r="F4995" s="1" t="n">
        <v>135.27</v>
      </c>
      <c r="G4995" s="1" t="n">
        <v>0</v>
      </c>
      <c r="H4995" s="1" t="s">
        <v>1336</v>
      </c>
      <c r="I4995" s="1" t="n">
        <v>811.62</v>
      </c>
      <c r="J4995" s="1" t="str">
        <f aca="false">VLOOKUP(B4995,Customers!$A$2:$G$502,6,FALSE())</f>
        <v>Corporate</v>
      </c>
      <c r="K4995" s="1" t="str">
        <f aca="false">VLOOKUP(C4995,Products!$A$2:$E$62,3,FALSE())</f>
        <v>Electronics</v>
      </c>
      <c r="L4995" s="1" t="str">
        <f aca="false">TEXT(D4995,"yyyy-mm")</f>
        <v>2024-11</v>
      </c>
    </row>
    <row r="4996" customFormat="false" ht="15" hidden="false" customHeight="true" outlineLevel="0" collapsed="false">
      <c r="A4996" s="1" t="n">
        <v>5102</v>
      </c>
      <c r="B4996" s="1" t="n">
        <v>132</v>
      </c>
      <c r="C4996" s="1" t="n">
        <v>1</v>
      </c>
      <c r="D4996" s="1" t="s">
        <v>1448</v>
      </c>
      <c r="E4996" s="1" t="n">
        <v>4</v>
      </c>
      <c r="F4996" s="1" t="n">
        <v>327.32</v>
      </c>
      <c r="G4996" s="1" t="n">
        <v>0.05</v>
      </c>
      <c r="H4996" s="1" t="s">
        <v>1336</v>
      </c>
      <c r="I4996" s="1" t="n">
        <v>1243.82</v>
      </c>
      <c r="J4996" s="1" t="str">
        <f aca="false">VLOOKUP(B4996,Customers!$A$2:$G$502,6,FALSE())</f>
        <v>Corporate</v>
      </c>
      <c r="K4996" s="1" t="str">
        <f aca="false">VLOOKUP(C4996,Products!$A$2:$E$62,3,FALSE())</f>
        <v>Electronics</v>
      </c>
      <c r="L4996" s="1" t="str">
        <f aca="false">TEXT(D4996,"yyyy-mm")</f>
        <v>2024-04</v>
      </c>
    </row>
    <row r="4997" customFormat="false" ht="15" hidden="false" customHeight="true" outlineLevel="0" collapsed="false">
      <c r="A4997" s="1" t="n">
        <v>5103</v>
      </c>
      <c r="B4997" s="1" t="n">
        <v>16</v>
      </c>
      <c r="C4997" s="1" t="n">
        <v>51</v>
      </c>
      <c r="D4997" s="1" t="s">
        <v>1097</v>
      </c>
      <c r="E4997" s="1" t="n">
        <v>3</v>
      </c>
      <c r="F4997" s="1" t="n">
        <v>30.16</v>
      </c>
      <c r="G4997" s="1" t="n">
        <v>0</v>
      </c>
      <c r="H4997" s="1" t="s">
        <v>1370</v>
      </c>
      <c r="I4997" s="1" t="n">
        <v>90.48</v>
      </c>
      <c r="J4997" s="1" t="str">
        <f aca="false">VLOOKUP(B4997,Customers!$A$2:$G$502,6,FALSE())</f>
        <v>Small Business</v>
      </c>
      <c r="K4997" s="1" t="str">
        <f aca="false">VLOOKUP(C4997,Products!$A$2:$E$62,3,FALSE())</f>
        <v>Software</v>
      </c>
      <c r="L4997" s="1" t="str">
        <f aca="false">TEXT(D4997,"yyyy-mm")</f>
        <v>2024-02</v>
      </c>
    </row>
    <row r="4998" customFormat="false" ht="15" hidden="false" customHeight="true" outlineLevel="0" collapsed="false">
      <c r="A4998" s="1" t="n">
        <v>5104</v>
      </c>
      <c r="B4998" s="1" t="n">
        <v>136</v>
      </c>
      <c r="C4998" s="1" t="n">
        <v>26</v>
      </c>
      <c r="D4998" s="1" t="s">
        <v>1461</v>
      </c>
      <c r="E4998" s="1" t="n">
        <v>3</v>
      </c>
      <c r="F4998" s="1" t="n">
        <v>733.85</v>
      </c>
      <c r="G4998" s="1" t="n">
        <v>0.15</v>
      </c>
      <c r="H4998" s="1" t="s">
        <v>1370</v>
      </c>
      <c r="I4998" s="1" t="n">
        <v>1871.32</v>
      </c>
      <c r="J4998" s="1" t="str">
        <f aca="false">VLOOKUP(B4998,Customers!$A$2:$G$502,6,FALSE())</f>
        <v>Corporate</v>
      </c>
      <c r="K4998" s="1" t="str">
        <f aca="false">VLOOKUP(C4998,Products!$A$2:$E$62,3,FALSE())</f>
        <v>Office Supplies</v>
      </c>
      <c r="L4998" s="1" t="str">
        <f aca="false">TEXT(D4998,"yyyy-mm")</f>
        <v>2024-02</v>
      </c>
    </row>
    <row r="4999" customFormat="false" ht="15" hidden="false" customHeight="true" outlineLevel="0" collapsed="false">
      <c r="A4999" s="1" t="n">
        <v>5105</v>
      </c>
      <c r="B4999" s="1" t="n">
        <v>243</v>
      </c>
      <c r="C4999" s="1" t="n">
        <v>10</v>
      </c>
      <c r="D4999" s="1" t="s">
        <v>915</v>
      </c>
      <c r="E4999" s="1" t="n">
        <v>6</v>
      </c>
      <c r="F4999" s="1" t="n">
        <v>251.58</v>
      </c>
      <c r="G4999" s="1" t="n">
        <v>0.05</v>
      </c>
      <c r="H4999" s="1" t="s">
        <v>1336</v>
      </c>
      <c r="I4999" s="1" t="n">
        <v>1434.01</v>
      </c>
      <c r="J4999" s="1" t="str">
        <f aca="false">VLOOKUP(B4999,Customers!$A$2:$G$502,6,FALSE())</f>
        <v>Small Business</v>
      </c>
      <c r="K4999" s="1" t="str">
        <f aca="false">VLOOKUP(C4999,Products!$A$2:$E$62,3,FALSE())</f>
        <v>Electronics</v>
      </c>
      <c r="L4999" s="1" t="str">
        <f aca="false">TEXT(D4999,"yyyy-mm")</f>
        <v>2023-04</v>
      </c>
    </row>
    <row r="5000" customFormat="false" ht="15" hidden="false" customHeight="true" outlineLevel="0" collapsed="false">
      <c r="A5000" s="1" t="n">
        <v>5106</v>
      </c>
      <c r="B5000" s="1" t="n">
        <v>200</v>
      </c>
      <c r="C5000" s="1" t="n">
        <v>28</v>
      </c>
      <c r="D5000" s="1" t="s">
        <v>71</v>
      </c>
      <c r="E5000" s="1" t="n">
        <v>8</v>
      </c>
      <c r="F5000" s="1" t="n">
        <v>505.23</v>
      </c>
      <c r="G5000" s="1" t="n">
        <v>0.15</v>
      </c>
      <c r="H5000" s="1" t="s">
        <v>1336</v>
      </c>
      <c r="I5000" s="1" t="n">
        <v>3435.56</v>
      </c>
      <c r="J5000" s="1" t="str">
        <f aca="false">VLOOKUP(B5000,Customers!$A$2:$G$502,6,FALSE())</f>
        <v>Small Business</v>
      </c>
      <c r="K5000" s="1" t="str">
        <f aca="false">VLOOKUP(C5000,Products!$A$2:$E$62,3,FALSE())</f>
        <v>Office Supplies</v>
      </c>
      <c r="L5000" s="1" t="str">
        <f aca="false">TEXT(D5000,"yyyy-mm")</f>
        <v>2024-05</v>
      </c>
    </row>
    <row r="5001" customFormat="false" ht="15" hidden="false" customHeight="true" outlineLevel="0" collapsed="false">
      <c r="A5001" s="1" t="n">
        <v>5107</v>
      </c>
      <c r="B5001" s="1" t="n">
        <v>179</v>
      </c>
      <c r="C5001" s="1" t="n">
        <v>49</v>
      </c>
      <c r="D5001" s="1" t="s">
        <v>1574</v>
      </c>
      <c r="E5001" s="1" t="n">
        <v>7</v>
      </c>
      <c r="F5001" s="1" t="n">
        <v>325.17</v>
      </c>
      <c r="G5001" s="1" t="n">
        <v>0.05</v>
      </c>
      <c r="H5001" s="1" t="s">
        <v>1346</v>
      </c>
      <c r="I5001" s="1" t="n">
        <v>2162.38</v>
      </c>
      <c r="J5001" s="1" t="str">
        <f aca="false">VLOOKUP(B5001,Customers!$A$2:$G$502,6,FALSE())</f>
        <v>Small Business</v>
      </c>
      <c r="K5001" s="1" t="str">
        <f aca="false">VLOOKUP(C5001,Products!$A$2:$E$62,3,FALSE())</f>
        <v>Software</v>
      </c>
      <c r="L5001" s="1" t="str">
        <f aca="false">TEXT(D5001,"yyyy-mm")</f>
        <v>2023-07</v>
      </c>
    </row>
    <row r="5002" customFormat="false" ht="15" hidden="false" customHeight="true" outlineLevel="0" collapsed="false">
      <c r="A5002" s="1" t="n">
        <v>5108</v>
      </c>
      <c r="B5002" s="1" t="n">
        <v>453</v>
      </c>
      <c r="C5002" s="1" t="n">
        <v>24</v>
      </c>
      <c r="D5002" s="1" t="s">
        <v>1277</v>
      </c>
      <c r="E5002" s="1" t="n">
        <v>1</v>
      </c>
      <c r="F5002" s="1" t="n">
        <v>207.34</v>
      </c>
      <c r="G5002" s="1" t="n">
        <v>0.1</v>
      </c>
      <c r="H5002" s="1" t="s">
        <v>1336</v>
      </c>
      <c r="I5002" s="1" t="n">
        <v>186.61</v>
      </c>
      <c r="J5002" s="1" t="str">
        <f aca="false">VLOOKUP(B5002,Customers!$A$2:$G$502,6,FALSE())</f>
        <v>Small Business</v>
      </c>
      <c r="K5002" s="1" t="str">
        <f aca="false">VLOOKUP(C5002,Products!$A$2:$E$62,3,FALSE())</f>
        <v>Office Supplies</v>
      </c>
      <c r="L5002" s="1" t="str">
        <f aca="false">TEXT(D5002,"yyyy-mm")</f>
        <v>2023-11</v>
      </c>
    </row>
    <row r="5003" customFormat="false" ht="15" hidden="false" customHeight="true" outlineLevel="0" collapsed="false">
      <c r="A5003" s="1" t="n">
        <v>5109</v>
      </c>
      <c r="B5003" s="1" t="n">
        <v>374</v>
      </c>
      <c r="C5003" s="1" t="n">
        <v>1</v>
      </c>
      <c r="D5003" s="1" t="s">
        <v>1383</v>
      </c>
      <c r="E5003" s="1" t="n">
        <v>6</v>
      </c>
      <c r="F5003" s="1" t="n">
        <v>327.32</v>
      </c>
      <c r="G5003" s="1" t="n">
        <v>0.1</v>
      </c>
      <c r="H5003" s="1" t="s">
        <v>1336</v>
      </c>
      <c r="I5003" s="1" t="n">
        <v>1767.53</v>
      </c>
      <c r="J5003" s="1" t="str">
        <f aca="false">VLOOKUP(B5003,Customers!$A$2:$G$502,6,FALSE())</f>
        <v>Consumer</v>
      </c>
      <c r="K5003" s="1" t="str">
        <f aca="false">VLOOKUP(C5003,Products!$A$2:$E$62,3,FALSE())</f>
        <v>Electronics</v>
      </c>
      <c r="L5003" s="1" t="str">
        <f aca="false">TEXT(D5003,"yyyy-mm")</f>
        <v>2024-04</v>
      </c>
    </row>
    <row r="5004" customFormat="false" ht="15" hidden="false" customHeight="true" outlineLevel="0" collapsed="false">
      <c r="A5004" s="1" t="n">
        <v>5110</v>
      </c>
      <c r="B5004" s="1" t="n">
        <v>353</v>
      </c>
      <c r="C5004" s="1" t="n">
        <v>15</v>
      </c>
      <c r="D5004" s="1" t="s">
        <v>1479</v>
      </c>
      <c r="E5004" s="1" t="n">
        <v>7</v>
      </c>
      <c r="F5004" s="1" t="n">
        <v>304.95</v>
      </c>
      <c r="G5004" s="1" t="n">
        <v>0.1</v>
      </c>
      <c r="H5004" s="1" t="s">
        <v>1336</v>
      </c>
      <c r="I5004" s="1" t="n">
        <v>1921.19</v>
      </c>
      <c r="J5004" s="1" t="str">
        <f aca="false">VLOOKUP(B5004,Customers!$A$2:$G$502,6,FALSE())</f>
        <v>Corporate</v>
      </c>
      <c r="K5004" s="1" t="str">
        <f aca="false">VLOOKUP(C5004,Products!$A$2:$E$62,3,FALSE())</f>
        <v>Electronics</v>
      </c>
      <c r="L5004" s="1" t="str">
        <f aca="false">TEXT(D5004,"yyyy-mm")</f>
        <v>2024-10</v>
      </c>
    </row>
    <row r="5005" customFormat="false" ht="15" hidden="false" customHeight="true" outlineLevel="0" collapsed="false">
      <c r="A5005" s="1" t="n">
        <v>5111</v>
      </c>
      <c r="B5005" s="1" t="n">
        <v>213</v>
      </c>
      <c r="C5005" s="1" t="n">
        <v>48</v>
      </c>
      <c r="D5005" s="1" t="s">
        <v>1378</v>
      </c>
      <c r="E5005" s="1" t="n">
        <v>7</v>
      </c>
      <c r="F5005" s="1" t="n">
        <v>493.53</v>
      </c>
      <c r="G5005" s="1" t="n">
        <v>0</v>
      </c>
      <c r="H5005" s="1" t="s">
        <v>1336</v>
      </c>
      <c r="I5005" s="1" t="n">
        <v>3454.71</v>
      </c>
      <c r="J5005" s="1" t="str">
        <f aca="false">VLOOKUP(B5005,Customers!$A$2:$G$502,6,FALSE())</f>
        <v>Small Business</v>
      </c>
      <c r="K5005" s="1" t="str">
        <f aca="false">VLOOKUP(C5005,Products!$A$2:$E$62,3,FALSE())</f>
        <v>Software</v>
      </c>
      <c r="L5005" s="1" t="str">
        <f aca="false">TEXT(D5005,"yyyy-mm")</f>
        <v>2024-11</v>
      </c>
    </row>
    <row r="5006" customFormat="false" ht="15" hidden="false" customHeight="true" outlineLevel="0" collapsed="false">
      <c r="A5006" s="1" t="n">
        <v>5112</v>
      </c>
      <c r="B5006" s="1" t="n">
        <v>404</v>
      </c>
      <c r="C5006" s="1" t="n">
        <v>39</v>
      </c>
      <c r="D5006" s="1" t="s">
        <v>1639</v>
      </c>
      <c r="E5006" s="1" t="n">
        <v>9</v>
      </c>
      <c r="F5006" s="1" t="n">
        <v>400.02</v>
      </c>
      <c r="G5006" s="1" t="n">
        <v>0.15</v>
      </c>
      <c r="H5006" s="1" t="s">
        <v>1336</v>
      </c>
      <c r="I5006" s="1" t="n">
        <v>3060.15</v>
      </c>
      <c r="J5006" s="1" t="str">
        <f aca="false">VLOOKUP(B5006,Customers!$A$2:$G$502,6,FALSE())</f>
        <v>Corporate</v>
      </c>
      <c r="K5006" s="1" t="str">
        <f aca="false">VLOOKUP(C5006,Products!$A$2:$E$62,3,FALSE())</f>
        <v>Software</v>
      </c>
      <c r="L5006" s="1" t="str">
        <f aca="false">TEXT(D5006,"yyyy-mm")</f>
        <v>2023-07</v>
      </c>
    </row>
    <row r="5007" customFormat="false" ht="15" hidden="false" customHeight="true" outlineLevel="0" collapsed="false">
      <c r="A5007" s="1" t="n">
        <v>5113</v>
      </c>
      <c r="B5007" s="1" t="n">
        <v>91</v>
      </c>
      <c r="C5007" s="1" t="n">
        <v>56</v>
      </c>
      <c r="D5007" s="1" t="s">
        <v>1690</v>
      </c>
      <c r="E5007" s="1" t="n">
        <v>5</v>
      </c>
      <c r="F5007" s="1" t="n">
        <v>160.64</v>
      </c>
      <c r="G5007" s="1" t="n">
        <v>0</v>
      </c>
      <c r="H5007" s="1" t="s">
        <v>1336</v>
      </c>
      <c r="I5007" s="1" t="n">
        <v>803.2</v>
      </c>
      <c r="J5007" s="1" t="str">
        <f aca="false">VLOOKUP(B5007,Customers!$A$2:$G$502,6,FALSE())</f>
        <v>Consumer</v>
      </c>
      <c r="K5007" s="1" t="str">
        <f aca="false">VLOOKUP(C5007,Products!$A$2:$E$62,3,FALSE())</f>
        <v>Furniture</v>
      </c>
      <c r="L5007" s="1" t="str">
        <f aca="false">TEXT(D5007,"yyyy-mm")</f>
        <v>2024-03</v>
      </c>
    </row>
    <row r="5008" customFormat="false" ht="15" hidden="false" customHeight="true" outlineLevel="0" collapsed="false">
      <c r="A5008" s="1" t="n">
        <v>5114</v>
      </c>
      <c r="B5008" s="1" t="n">
        <v>20</v>
      </c>
      <c r="C5008" s="1" t="n">
        <v>38</v>
      </c>
      <c r="D5008" s="1" t="s">
        <v>1682</v>
      </c>
      <c r="E5008" s="1" t="n">
        <v>1</v>
      </c>
      <c r="F5008" s="1" t="n">
        <v>521.63</v>
      </c>
      <c r="G5008" s="1" t="n">
        <v>0</v>
      </c>
      <c r="H5008" s="1" t="s">
        <v>1336</v>
      </c>
      <c r="I5008" s="1" t="n">
        <v>521.63</v>
      </c>
      <c r="J5008" s="1" t="str">
        <f aca="false">VLOOKUP(B5008,Customers!$A$2:$G$502,6,FALSE())</f>
        <v>Consumer</v>
      </c>
      <c r="K5008" s="1" t="str">
        <f aca="false">VLOOKUP(C5008,Products!$A$2:$E$62,3,FALSE())</f>
        <v>Software</v>
      </c>
      <c r="L5008" s="1" t="str">
        <f aca="false">TEXT(D5008,"yyyy-mm")</f>
        <v>2023-11</v>
      </c>
    </row>
    <row r="5009" customFormat="false" ht="15" hidden="false" customHeight="true" outlineLevel="0" collapsed="false">
      <c r="A5009" s="1" t="n">
        <v>5115</v>
      </c>
      <c r="B5009" s="1" t="n">
        <v>112</v>
      </c>
      <c r="C5009" s="1" t="n">
        <v>2</v>
      </c>
      <c r="D5009" s="1" t="s">
        <v>609</v>
      </c>
      <c r="E5009" s="1" t="n">
        <v>2</v>
      </c>
      <c r="F5009" s="1" t="n">
        <v>498.15</v>
      </c>
      <c r="G5009" s="1" t="n">
        <v>0.15</v>
      </c>
      <c r="H5009" s="1" t="s">
        <v>1336</v>
      </c>
      <c r="I5009" s="1" t="n">
        <v>846.85</v>
      </c>
      <c r="J5009" s="1" t="str">
        <f aca="false">VLOOKUP(B5009,Customers!$A$2:$G$502,6,FALSE())</f>
        <v>Corporate</v>
      </c>
      <c r="K5009" s="1" t="str">
        <f aca="false">VLOOKUP(C5009,Products!$A$2:$E$62,3,FALSE())</f>
        <v>Electronics</v>
      </c>
      <c r="L5009" s="1" t="str">
        <f aca="false">TEXT(D5009,"yyyy-mm")</f>
        <v>2023-03</v>
      </c>
    </row>
    <row r="5010" customFormat="false" ht="15" hidden="false" customHeight="true" outlineLevel="0" collapsed="false">
      <c r="A5010" s="1" t="n">
        <v>5116</v>
      </c>
      <c r="B5010" s="1" t="n">
        <v>28</v>
      </c>
      <c r="C5010" s="1" t="n">
        <v>23</v>
      </c>
      <c r="D5010" s="1" t="s">
        <v>533</v>
      </c>
      <c r="E5010" s="1" t="n">
        <v>4</v>
      </c>
      <c r="F5010" s="1" t="n">
        <v>188.73</v>
      </c>
      <c r="G5010" s="1" t="n">
        <v>0</v>
      </c>
      <c r="H5010" s="1" t="s">
        <v>1336</v>
      </c>
      <c r="I5010" s="1" t="n">
        <v>754.92</v>
      </c>
      <c r="J5010" s="1" t="str">
        <f aca="false">VLOOKUP(B5010,Customers!$A$2:$G$502,6,FALSE())</f>
        <v>Small Business</v>
      </c>
      <c r="K5010" s="1" t="str">
        <f aca="false">VLOOKUP(C5010,Products!$A$2:$E$62,3,FALSE())</f>
        <v>Office Supplies</v>
      </c>
      <c r="L5010" s="1" t="str">
        <f aca="false">TEXT(D5010,"yyyy-mm")</f>
        <v>2024-11</v>
      </c>
    </row>
    <row r="5011" customFormat="false" ht="15" hidden="false" customHeight="true" outlineLevel="0" collapsed="false">
      <c r="A5011" s="1" t="n">
        <v>5117</v>
      </c>
      <c r="B5011" s="1" t="n">
        <v>495</v>
      </c>
      <c r="C5011" s="1" t="n">
        <v>52</v>
      </c>
      <c r="D5011" s="1" t="s">
        <v>1013</v>
      </c>
      <c r="E5011" s="1" t="n">
        <v>5</v>
      </c>
      <c r="F5011" s="1" t="n">
        <v>207.67</v>
      </c>
      <c r="G5011" s="1" t="n">
        <v>0.2</v>
      </c>
      <c r="H5011" s="1" t="s">
        <v>1336</v>
      </c>
      <c r="I5011" s="1" t="n">
        <v>830.68</v>
      </c>
      <c r="J5011" s="1" t="str">
        <f aca="false">VLOOKUP(B5011,Customers!$A$2:$G$502,6,FALSE())</f>
        <v>Small Business</v>
      </c>
      <c r="K5011" s="1" t="str">
        <f aca="false">VLOOKUP(C5011,Products!$A$2:$E$62,3,FALSE())</f>
        <v>Software</v>
      </c>
      <c r="L5011" s="1" t="str">
        <f aca="false">TEXT(D5011,"yyyy-mm")</f>
        <v>2024-12</v>
      </c>
    </row>
    <row r="5012" customFormat="false" ht="15" hidden="false" customHeight="true" outlineLevel="0" collapsed="false">
      <c r="A5012" s="1" t="n">
        <v>5118</v>
      </c>
      <c r="B5012" s="1" t="n">
        <v>47</v>
      </c>
      <c r="C5012" s="1" t="n">
        <v>14</v>
      </c>
      <c r="D5012" s="1" t="s">
        <v>1471</v>
      </c>
      <c r="E5012" s="1" t="n">
        <v>9</v>
      </c>
      <c r="F5012" s="1" t="n">
        <v>135.27</v>
      </c>
      <c r="G5012" s="1" t="n">
        <v>0</v>
      </c>
      <c r="H5012" s="1" t="s">
        <v>1336</v>
      </c>
      <c r="I5012" s="1" t="n">
        <v>1217.43</v>
      </c>
      <c r="J5012" s="1" t="str">
        <f aca="false">VLOOKUP(B5012,Customers!$A$2:$G$502,6,FALSE())</f>
        <v>Small Business</v>
      </c>
      <c r="K5012" s="1" t="str">
        <f aca="false">VLOOKUP(C5012,Products!$A$2:$E$62,3,FALSE())</f>
        <v>Electronics</v>
      </c>
      <c r="L5012" s="1" t="str">
        <f aca="false">TEXT(D5012,"yyyy-mm")</f>
        <v>2024-10</v>
      </c>
    </row>
    <row r="5013" customFormat="false" ht="15" hidden="false" customHeight="true" outlineLevel="0" collapsed="false">
      <c r="A5013" s="1" t="n">
        <v>5119</v>
      </c>
      <c r="B5013" s="1" t="n">
        <v>374</v>
      </c>
      <c r="C5013" s="1" t="n">
        <v>31</v>
      </c>
      <c r="D5013" s="1" t="s">
        <v>1612</v>
      </c>
      <c r="E5013" s="1" t="n">
        <v>1</v>
      </c>
      <c r="F5013" s="1" t="n">
        <v>224.86</v>
      </c>
      <c r="G5013" s="1" t="n">
        <v>0.15</v>
      </c>
      <c r="H5013" s="1" t="s">
        <v>1336</v>
      </c>
      <c r="I5013" s="1" t="n">
        <v>191.13</v>
      </c>
      <c r="J5013" s="1" t="str">
        <f aca="false">VLOOKUP(B5013,Customers!$A$2:$G$502,6,FALSE())</f>
        <v>Consumer</v>
      </c>
      <c r="K5013" s="1" t="str">
        <f aca="false">VLOOKUP(C5013,Products!$A$2:$E$62,3,FALSE())</f>
        <v>Office Supplies</v>
      </c>
      <c r="L5013" s="1" t="str">
        <f aca="false">TEXT(D5013,"yyyy-mm")</f>
        <v>2024-10</v>
      </c>
    </row>
    <row r="5014" customFormat="false" ht="15" hidden="false" customHeight="true" outlineLevel="0" collapsed="false">
      <c r="A5014" s="1" t="n">
        <v>5120</v>
      </c>
      <c r="B5014" s="1" t="n">
        <v>473</v>
      </c>
      <c r="C5014" s="1" t="n">
        <v>41</v>
      </c>
      <c r="D5014" s="1" t="s">
        <v>47</v>
      </c>
      <c r="E5014" s="1" t="n">
        <v>3</v>
      </c>
      <c r="F5014" s="1" t="n">
        <v>594.54</v>
      </c>
      <c r="G5014" s="1" t="n">
        <v>0.2</v>
      </c>
      <c r="H5014" s="1" t="s">
        <v>1336</v>
      </c>
      <c r="I5014" s="1" t="n">
        <v>1426.9</v>
      </c>
      <c r="J5014" s="1" t="str">
        <f aca="false">VLOOKUP(B5014,Customers!$A$2:$G$502,6,FALSE())</f>
        <v>Small Business</v>
      </c>
      <c r="K5014" s="1" t="str">
        <f aca="false">VLOOKUP(C5014,Products!$A$2:$E$62,3,FALSE())</f>
        <v>Software</v>
      </c>
      <c r="L5014" s="1" t="str">
        <f aca="false">TEXT(D5014,"yyyy-mm")</f>
        <v>2023-06</v>
      </c>
    </row>
    <row r="5015" customFormat="false" ht="15" hidden="false" customHeight="true" outlineLevel="0" collapsed="false">
      <c r="A5015" s="1" t="n">
        <v>5121</v>
      </c>
      <c r="B5015" s="1" t="n">
        <v>236</v>
      </c>
      <c r="C5015" s="1" t="n">
        <v>31</v>
      </c>
      <c r="D5015" s="1" t="s">
        <v>109</v>
      </c>
      <c r="E5015" s="1" t="n">
        <v>5</v>
      </c>
      <c r="F5015" s="1" t="n">
        <v>224.86</v>
      </c>
      <c r="G5015" s="1" t="n">
        <v>0</v>
      </c>
      <c r="H5015" s="1" t="s">
        <v>1336</v>
      </c>
      <c r="I5015" s="1" t="n">
        <v>1124.3</v>
      </c>
      <c r="J5015" s="1" t="str">
        <f aca="false">VLOOKUP(B5015,Customers!$A$2:$G$502,6,FALSE())</f>
        <v>Corporate</v>
      </c>
      <c r="K5015" s="1" t="str">
        <f aca="false">VLOOKUP(C5015,Products!$A$2:$E$62,3,FALSE())</f>
        <v>Office Supplies</v>
      </c>
      <c r="L5015" s="1" t="str">
        <f aca="false">TEXT(D5015,"yyyy-mm")</f>
        <v>2024-12</v>
      </c>
    </row>
    <row r="5016" customFormat="false" ht="15" hidden="false" customHeight="true" outlineLevel="0" collapsed="false">
      <c r="A5016" s="1" t="n">
        <v>5122</v>
      </c>
      <c r="B5016" s="1" t="n">
        <v>19</v>
      </c>
      <c r="C5016" s="1" t="n">
        <v>31</v>
      </c>
      <c r="D5016" s="1" t="s">
        <v>1419</v>
      </c>
      <c r="E5016" s="1" t="n">
        <v>3</v>
      </c>
      <c r="F5016" s="1" t="n">
        <v>224.86</v>
      </c>
      <c r="G5016" s="1" t="n">
        <v>0</v>
      </c>
      <c r="H5016" s="1" t="s">
        <v>1336</v>
      </c>
      <c r="I5016" s="1" t="n">
        <v>674.58</v>
      </c>
      <c r="J5016" s="1" t="str">
        <f aca="false">VLOOKUP(B5016,Customers!$A$2:$G$502,6,FALSE())</f>
        <v>Consumer</v>
      </c>
      <c r="K5016" s="1" t="str">
        <f aca="false">VLOOKUP(C5016,Products!$A$2:$E$62,3,FALSE())</f>
        <v>Office Supplies</v>
      </c>
      <c r="L5016" s="1" t="str">
        <f aca="false">TEXT(D5016,"yyyy-mm")</f>
        <v>2023-04</v>
      </c>
    </row>
    <row r="5017" customFormat="false" ht="15" hidden="false" customHeight="true" outlineLevel="0" collapsed="false">
      <c r="A5017" s="1" t="n">
        <v>5123</v>
      </c>
      <c r="B5017" s="1" t="n">
        <v>477</v>
      </c>
      <c r="C5017" s="1" t="n">
        <v>7</v>
      </c>
      <c r="D5017" s="1" t="s">
        <v>1277</v>
      </c>
      <c r="E5017" s="1" t="n">
        <v>4</v>
      </c>
      <c r="F5017" s="1" t="n">
        <v>460</v>
      </c>
      <c r="G5017" s="1" t="n">
        <v>0</v>
      </c>
      <c r="H5017" s="1" t="s">
        <v>1336</v>
      </c>
      <c r="I5017" s="1" t="n">
        <v>1840</v>
      </c>
      <c r="J5017" s="1" t="str">
        <f aca="false">VLOOKUP(B5017,Customers!$A$2:$G$502,6,FALSE())</f>
        <v>Corporate</v>
      </c>
      <c r="K5017" s="1" t="str">
        <f aca="false">VLOOKUP(C5017,Products!$A$2:$E$62,3,FALSE())</f>
        <v>Electronics</v>
      </c>
      <c r="L5017" s="1" t="str">
        <f aca="false">TEXT(D5017,"yyyy-mm")</f>
        <v>2023-11</v>
      </c>
    </row>
    <row r="5018" customFormat="false" ht="15" hidden="false" customHeight="true" outlineLevel="0" collapsed="false">
      <c r="A5018" s="1" t="n">
        <v>5124</v>
      </c>
      <c r="B5018" s="1" t="n">
        <v>26</v>
      </c>
      <c r="C5018" s="1" t="n">
        <v>43</v>
      </c>
      <c r="D5018" s="1" t="s">
        <v>1425</v>
      </c>
      <c r="E5018" s="1" t="n">
        <v>3</v>
      </c>
      <c r="F5018" s="1" t="n">
        <v>186.31</v>
      </c>
      <c r="G5018" s="1" t="n">
        <v>0.1</v>
      </c>
      <c r="H5018" s="1" t="s">
        <v>1336</v>
      </c>
      <c r="I5018" s="1" t="n">
        <v>503.04</v>
      </c>
      <c r="J5018" s="1" t="str">
        <f aca="false">VLOOKUP(B5018,Customers!$A$2:$G$502,6,FALSE())</f>
        <v>Consumer</v>
      </c>
      <c r="K5018" s="1" t="str">
        <f aca="false">VLOOKUP(C5018,Products!$A$2:$E$62,3,FALSE())</f>
        <v>Software</v>
      </c>
      <c r="L5018" s="1" t="str">
        <f aca="false">TEXT(D5018,"yyyy-mm")</f>
        <v>2023-05</v>
      </c>
    </row>
    <row r="5019" customFormat="false" ht="15" hidden="false" customHeight="true" outlineLevel="0" collapsed="false">
      <c r="A5019" s="1" t="n">
        <v>5125</v>
      </c>
      <c r="B5019" s="1" t="n">
        <v>66</v>
      </c>
      <c r="C5019" s="1" t="n">
        <v>26</v>
      </c>
      <c r="D5019" s="1" t="s">
        <v>599</v>
      </c>
      <c r="E5019" s="1" t="n">
        <v>4</v>
      </c>
      <c r="F5019" s="1" t="n">
        <v>733.85</v>
      </c>
      <c r="G5019" s="1" t="n">
        <v>0.1</v>
      </c>
      <c r="H5019" s="1" t="s">
        <v>1336</v>
      </c>
      <c r="I5019" s="1" t="n">
        <v>2641.86</v>
      </c>
      <c r="J5019" s="1" t="str">
        <f aca="false">VLOOKUP(B5019,Customers!$A$2:$G$502,6,FALSE())</f>
        <v>Corporate</v>
      </c>
      <c r="K5019" s="1" t="str">
        <f aca="false">VLOOKUP(C5019,Products!$A$2:$E$62,3,FALSE())</f>
        <v>Office Supplies</v>
      </c>
      <c r="L5019" s="1" t="str">
        <f aca="false">TEXT(D5019,"yyyy-mm")</f>
        <v>2024-06</v>
      </c>
    </row>
    <row r="5020" customFormat="false" ht="15" hidden="false" customHeight="true" outlineLevel="0" collapsed="false">
      <c r="A5020" s="1" t="n">
        <v>5126</v>
      </c>
      <c r="B5020" s="1" t="n">
        <v>128</v>
      </c>
      <c r="C5020" s="1" t="n">
        <v>28</v>
      </c>
      <c r="D5020" s="1" t="s">
        <v>143</v>
      </c>
      <c r="E5020" s="1" t="n">
        <v>1</v>
      </c>
      <c r="F5020" s="1" t="n">
        <v>505.23</v>
      </c>
      <c r="G5020" s="1" t="n">
        <v>0.2</v>
      </c>
      <c r="H5020" s="1" t="s">
        <v>1336</v>
      </c>
      <c r="I5020" s="1" t="n">
        <v>404.18</v>
      </c>
      <c r="J5020" s="1" t="str">
        <f aca="false">VLOOKUP(B5020,Customers!$A$2:$G$502,6,FALSE())</f>
        <v>Consumer</v>
      </c>
      <c r="K5020" s="1" t="str">
        <f aca="false">VLOOKUP(C5020,Products!$A$2:$E$62,3,FALSE())</f>
        <v>Office Supplies</v>
      </c>
      <c r="L5020" s="1" t="str">
        <f aca="false">TEXT(D5020,"yyyy-mm")</f>
        <v>2024-07</v>
      </c>
    </row>
    <row r="5021" customFormat="false" ht="15" hidden="false" customHeight="true" outlineLevel="0" collapsed="false">
      <c r="A5021" s="1" t="n">
        <v>5127</v>
      </c>
      <c r="B5021" s="1" t="n">
        <v>70</v>
      </c>
      <c r="C5021" s="1" t="n">
        <v>48</v>
      </c>
      <c r="D5021" s="1" t="s">
        <v>1384</v>
      </c>
      <c r="E5021" s="1" t="n">
        <v>8</v>
      </c>
      <c r="F5021" s="1" t="n">
        <v>493.53</v>
      </c>
      <c r="G5021" s="1" t="n">
        <v>0</v>
      </c>
      <c r="H5021" s="1" t="s">
        <v>1336</v>
      </c>
      <c r="I5021" s="1" t="n">
        <v>3948.24</v>
      </c>
      <c r="J5021" s="1" t="str">
        <f aca="false">VLOOKUP(B5021,Customers!$A$2:$G$502,6,FALSE())</f>
        <v>Corporate</v>
      </c>
      <c r="K5021" s="1" t="str">
        <f aca="false">VLOOKUP(C5021,Products!$A$2:$E$62,3,FALSE())</f>
        <v>Software</v>
      </c>
      <c r="L5021" s="1" t="str">
        <f aca="false">TEXT(D5021,"yyyy-mm")</f>
        <v>2024-09</v>
      </c>
    </row>
    <row r="5022" customFormat="false" ht="15" hidden="false" customHeight="true" outlineLevel="0" collapsed="false">
      <c r="A5022" s="1" t="n">
        <v>5128</v>
      </c>
      <c r="B5022" s="1" t="n">
        <v>370</v>
      </c>
      <c r="C5022" s="1" t="n">
        <v>38</v>
      </c>
      <c r="D5022" s="1" t="s">
        <v>1433</v>
      </c>
      <c r="E5022" s="1" t="n">
        <v>4</v>
      </c>
      <c r="F5022" s="1" t="n">
        <v>521.63</v>
      </c>
      <c r="G5022" s="1" t="n">
        <v>0.2</v>
      </c>
      <c r="H5022" s="1" t="s">
        <v>1336</v>
      </c>
      <c r="I5022" s="1" t="n">
        <v>1669.22</v>
      </c>
      <c r="J5022" s="1" t="str">
        <f aca="false">VLOOKUP(B5022,Customers!$A$2:$G$502,6,FALSE())</f>
        <v>Small Business</v>
      </c>
      <c r="K5022" s="1" t="str">
        <f aca="false">VLOOKUP(C5022,Products!$A$2:$E$62,3,FALSE())</f>
        <v>Software</v>
      </c>
      <c r="L5022" s="1" t="str">
        <f aca="false">TEXT(D5022,"yyyy-mm")</f>
        <v>2023-12</v>
      </c>
    </row>
    <row r="5023" customFormat="false" ht="15" hidden="false" customHeight="true" outlineLevel="0" collapsed="false">
      <c r="A5023" s="1" t="n">
        <v>5129</v>
      </c>
      <c r="B5023" s="1" t="n">
        <v>187</v>
      </c>
      <c r="C5023" s="1" t="n">
        <v>22</v>
      </c>
      <c r="D5023" s="1" t="s">
        <v>1357</v>
      </c>
      <c r="E5023" s="1" t="n">
        <v>7</v>
      </c>
      <c r="F5023" s="1" t="n">
        <v>38.57</v>
      </c>
      <c r="G5023" s="1" t="n">
        <v>0.1</v>
      </c>
      <c r="H5023" s="1" t="s">
        <v>1336</v>
      </c>
      <c r="I5023" s="1" t="n">
        <v>242.99</v>
      </c>
      <c r="J5023" s="1" t="str">
        <f aca="false">VLOOKUP(B5023,Customers!$A$2:$G$502,6,FALSE())</f>
        <v>Consumer</v>
      </c>
      <c r="K5023" s="1" t="str">
        <f aca="false">VLOOKUP(C5023,Products!$A$2:$E$62,3,FALSE())</f>
        <v>Office Supplies</v>
      </c>
      <c r="L5023" s="1" t="str">
        <f aca="false">TEXT(D5023,"yyyy-mm")</f>
        <v>2024-07</v>
      </c>
    </row>
    <row r="5024" customFormat="false" ht="15" hidden="false" customHeight="true" outlineLevel="0" collapsed="false">
      <c r="A5024" s="1" t="n">
        <v>5130</v>
      </c>
      <c r="B5024" s="1" t="n">
        <v>354</v>
      </c>
      <c r="C5024" s="1" t="n">
        <v>35</v>
      </c>
      <c r="D5024" s="1" t="s">
        <v>949</v>
      </c>
      <c r="E5024" s="1" t="n">
        <v>2</v>
      </c>
      <c r="F5024" s="1" t="n">
        <v>75.78</v>
      </c>
      <c r="G5024" s="1" t="n">
        <v>0.1</v>
      </c>
      <c r="H5024" s="1" t="s">
        <v>1336</v>
      </c>
      <c r="I5024" s="1" t="n">
        <v>136.4</v>
      </c>
      <c r="J5024" s="1" t="str">
        <f aca="false">VLOOKUP(B5024,Customers!$A$2:$G$502,6,FALSE())</f>
        <v>Consumer</v>
      </c>
      <c r="K5024" s="1" t="str">
        <f aca="false">VLOOKUP(C5024,Products!$A$2:$E$62,3,FALSE())</f>
        <v>Software</v>
      </c>
      <c r="L5024" s="1" t="str">
        <f aca="false">TEXT(D5024,"yyyy-mm")</f>
        <v>2023-11</v>
      </c>
    </row>
    <row r="5025" customFormat="false" ht="15" hidden="false" customHeight="true" outlineLevel="0" collapsed="false">
      <c r="A5025" s="1" t="n">
        <v>5131</v>
      </c>
      <c r="B5025" s="1" t="n">
        <v>3</v>
      </c>
      <c r="C5025" s="1" t="n">
        <v>51</v>
      </c>
      <c r="D5025" s="1" t="s">
        <v>170</v>
      </c>
      <c r="E5025" s="1" t="n">
        <v>2</v>
      </c>
      <c r="F5025" s="1" t="n">
        <v>30.16</v>
      </c>
      <c r="G5025" s="1" t="n">
        <v>0</v>
      </c>
      <c r="H5025" s="1" t="s">
        <v>1336</v>
      </c>
      <c r="I5025" s="1" t="n">
        <v>60.32</v>
      </c>
      <c r="J5025" s="1" t="str">
        <f aca="false">VLOOKUP(B5025,Customers!$A$2:$G$502,6,FALSE())</f>
        <v>Corporate</v>
      </c>
      <c r="K5025" s="1" t="str">
        <f aca="false">VLOOKUP(C5025,Products!$A$2:$E$62,3,FALSE())</f>
        <v>Software</v>
      </c>
      <c r="L5025" s="1" t="str">
        <f aca="false">TEXT(D5025,"yyyy-mm")</f>
        <v>2024-11</v>
      </c>
    </row>
    <row r="5026" customFormat="false" ht="15" hidden="false" customHeight="true" outlineLevel="0" collapsed="false">
      <c r="A5026" s="1" t="n">
        <v>5132</v>
      </c>
      <c r="B5026" s="1" t="n">
        <v>476</v>
      </c>
      <c r="C5026" s="1" t="n">
        <v>15</v>
      </c>
      <c r="D5026" s="1" t="s">
        <v>443</v>
      </c>
      <c r="E5026" s="1" t="n">
        <v>6</v>
      </c>
      <c r="F5026" s="1" t="n">
        <v>304.95</v>
      </c>
      <c r="G5026" s="1" t="n">
        <v>0</v>
      </c>
      <c r="H5026" s="1" t="s">
        <v>1370</v>
      </c>
      <c r="I5026" s="1" t="n">
        <v>1829.7</v>
      </c>
      <c r="J5026" s="1" t="str">
        <f aca="false">VLOOKUP(B5026,Customers!$A$2:$G$502,6,FALSE())</f>
        <v>Small Business</v>
      </c>
      <c r="K5026" s="1" t="str">
        <f aca="false">VLOOKUP(C5026,Products!$A$2:$E$62,3,FALSE())</f>
        <v>Electronics</v>
      </c>
      <c r="L5026" s="1" t="str">
        <f aca="false">TEXT(D5026,"yyyy-mm")</f>
        <v>2023-08</v>
      </c>
    </row>
    <row r="5027" customFormat="false" ht="15" hidden="false" customHeight="true" outlineLevel="0" collapsed="false">
      <c r="A5027" s="1" t="n">
        <v>5133</v>
      </c>
      <c r="B5027" s="1" t="n">
        <v>54</v>
      </c>
      <c r="C5027" s="1" t="n">
        <v>24</v>
      </c>
      <c r="D5027" s="1" t="s">
        <v>484</v>
      </c>
      <c r="E5027" s="1" t="n">
        <v>2</v>
      </c>
      <c r="F5027" s="1" t="n">
        <v>207.34</v>
      </c>
      <c r="G5027" s="1" t="n">
        <v>0</v>
      </c>
      <c r="H5027" s="1" t="s">
        <v>1336</v>
      </c>
      <c r="I5027" s="1" t="n">
        <v>414.68</v>
      </c>
      <c r="J5027" s="1" t="str">
        <f aca="false">VLOOKUP(B5027,Customers!$A$2:$G$502,6,FALSE())</f>
        <v>Consumer</v>
      </c>
      <c r="K5027" s="1" t="str">
        <f aca="false">VLOOKUP(C5027,Products!$A$2:$E$62,3,FALSE())</f>
        <v>Office Supplies</v>
      </c>
      <c r="L5027" s="1" t="str">
        <f aca="false">TEXT(D5027,"yyyy-mm")</f>
        <v>2023-07</v>
      </c>
    </row>
    <row r="5028" customFormat="false" ht="15" hidden="false" customHeight="true" outlineLevel="0" collapsed="false">
      <c r="A5028" s="1" t="n">
        <v>5134</v>
      </c>
      <c r="B5028" s="1" t="n">
        <v>81</v>
      </c>
      <c r="C5028" s="1" t="n">
        <v>27</v>
      </c>
      <c r="D5028" s="1" t="s">
        <v>659</v>
      </c>
      <c r="E5028" s="1" t="n">
        <v>6</v>
      </c>
      <c r="F5028" s="1" t="n">
        <v>772.58</v>
      </c>
      <c r="G5028" s="1" t="n">
        <v>0.15</v>
      </c>
      <c r="H5028" s="1" t="s">
        <v>1336</v>
      </c>
      <c r="I5028" s="1" t="n">
        <v>3940.16</v>
      </c>
      <c r="J5028" s="1" t="str">
        <f aca="false">VLOOKUP(B5028,Customers!$A$2:$G$502,6,FALSE())</f>
        <v>Consumer</v>
      </c>
      <c r="K5028" s="1" t="str">
        <f aca="false">VLOOKUP(C5028,Products!$A$2:$E$62,3,FALSE())</f>
        <v>Office Supplies</v>
      </c>
      <c r="L5028" s="1" t="str">
        <f aca="false">TEXT(D5028,"yyyy-mm")</f>
        <v>2024-06</v>
      </c>
    </row>
    <row r="5029" customFormat="false" ht="15" hidden="false" customHeight="true" outlineLevel="0" collapsed="false">
      <c r="A5029" s="1" t="n">
        <v>5135</v>
      </c>
      <c r="B5029" s="1" t="n">
        <v>185</v>
      </c>
      <c r="C5029" s="1" t="n">
        <v>21</v>
      </c>
      <c r="D5029" s="1" t="s">
        <v>351</v>
      </c>
      <c r="E5029" s="1" t="n">
        <v>2</v>
      </c>
      <c r="F5029" s="1" t="n">
        <v>84.91</v>
      </c>
      <c r="G5029" s="1" t="n">
        <v>0.05</v>
      </c>
      <c r="H5029" s="1" t="s">
        <v>1336</v>
      </c>
      <c r="I5029" s="1" t="n">
        <v>161.33</v>
      </c>
      <c r="J5029" s="1" t="str">
        <f aca="false">VLOOKUP(B5029,Customers!$A$2:$G$502,6,FALSE())</f>
        <v>Consumer</v>
      </c>
      <c r="K5029" s="1" t="str">
        <f aca="false">VLOOKUP(C5029,Products!$A$2:$E$62,3,FALSE())</f>
        <v>Office Supplies</v>
      </c>
      <c r="L5029" s="1" t="str">
        <f aca="false">TEXT(D5029,"yyyy-mm")</f>
        <v>2023-02</v>
      </c>
    </row>
    <row r="5030" customFormat="false" ht="15" hidden="false" customHeight="true" outlineLevel="0" collapsed="false">
      <c r="A5030" s="1" t="n">
        <v>5136</v>
      </c>
      <c r="B5030" s="1" t="n">
        <v>473</v>
      </c>
      <c r="C5030" s="1" t="n">
        <v>8</v>
      </c>
      <c r="D5030" s="1" t="s">
        <v>295</v>
      </c>
      <c r="E5030" s="1" t="n">
        <v>4</v>
      </c>
      <c r="F5030" s="1" t="n">
        <v>104.4</v>
      </c>
      <c r="G5030" s="1" t="n">
        <v>0</v>
      </c>
      <c r="H5030" s="1" t="s">
        <v>1336</v>
      </c>
      <c r="I5030" s="1" t="n">
        <v>417.6</v>
      </c>
      <c r="J5030" s="1" t="str">
        <f aca="false">VLOOKUP(B5030,Customers!$A$2:$G$502,6,FALSE())</f>
        <v>Small Business</v>
      </c>
      <c r="K5030" s="1" t="str">
        <f aca="false">VLOOKUP(C5030,Products!$A$2:$E$62,3,FALSE())</f>
        <v>Electronics</v>
      </c>
      <c r="L5030" s="1" t="str">
        <f aca="false">TEXT(D5030,"yyyy-mm")</f>
        <v>2024-07</v>
      </c>
    </row>
    <row r="5031" customFormat="false" ht="15" hidden="false" customHeight="true" outlineLevel="0" collapsed="false">
      <c r="A5031" s="1" t="n">
        <v>5137</v>
      </c>
      <c r="B5031" s="1" t="n">
        <v>246</v>
      </c>
      <c r="C5031" s="1" t="n">
        <v>21</v>
      </c>
      <c r="D5031" s="1" t="s">
        <v>1486</v>
      </c>
      <c r="E5031" s="1" t="n">
        <v>7</v>
      </c>
      <c r="F5031" s="1" t="n">
        <v>84.91</v>
      </c>
      <c r="G5031" s="1" t="n">
        <v>0.15</v>
      </c>
      <c r="H5031" s="1" t="s">
        <v>1336</v>
      </c>
      <c r="I5031" s="1" t="n">
        <v>505.21</v>
      </c>
      <c r="J5031" s="1" t="str">
        <f aca="false">VLOOKUP(B5031,Customers!$A$2:$G$502,6,FALSE())</f>
        <v>Small Business</v>
      </c>
      <c r="K5031" s="1" t="str">
        <f aca="false">VLOOKUP(C5031,Products!$A$2:$E$62,3,FALSE())</f>
        <v>Office Supplies</v>
      </c>
      <c r="L5031" s="1" t="str">
        <f aca="false">TEXT(D5031,"yyyy-mm")</f>
        <v>2024-02</v>
      </c>
    </row>
    <row r="5032" customFormat="false" ht="15" hidden="false" customHeight="true" outlineLevel="0" collapsed="false">
      <c r="A5032" s="1" t="n">
        <v>5139</v>
      </c>
      <c r="B5032" s="1" t="n">
        <v>464</v>
      </c>
      <c r="C5032" s="1" t="n">
        <v>42</v>
      </c>
      <c r="D5032" s="1" t="s">
        <v>243</v>
      </c>
      <c r="E5032" s="1" t="n">
        <v>3</v>
      </c>
      <c r="F5032" s="1" t="n">
        <v>174.48</v>
      </c>
      <c r="G5032" s="1" t="n">
        <v>0.15</v>
      </c>
      <c r="H5032" s="1" t="s">
        <v>1336</v>
      </c>
      <c r="I5032" s="1" t="n">
        <v>444.92</v>
      </c>
      <c r="J5032" s="1" t="str">
        <f aca="false">VLOOKUP(B5032,Customers!$A$2:$G$502,6,FALSE())</f>
        <v>Consumer</v>
      </c>
      <c r="K5032" s="1" t="str">
        <f aca="false">VLOOKUP(C5032,Products!$A$2:$E$62,3,FALSE())</f>
        <v>Software</v>
      </c>
      <c r="L5032" s="1" t="str">
        <f aca="false">TEXT(D5032,"yyyy-mm")</f>
        <v>2024-07</v>
      </c>
    </row>
    <row r="5033" customFormat="false" ht="15" hidden="false" customHeight="true" outlineLevel="0" collapsed="false">
      <c r="A5033" s="1" t="n">
        <v>5140</v>
      </c>
      <c r="B5033" s="1" t="n">
        <v>130</v>
      </c>
      <c r="C5033" s="1" t="n">
        <v>32</v>
      </c>
      <c r="D5033" s="1" t="s">
        <v>235</v>
      </c>
      <c r="E5033" s="1" t="n">
        <v>9</v>
      </c>
      <c r="F5033" s="1" t="n">
        <v>492.27</v>
      </c>
      <c r="G5033" s="1" t="n">
        <v>0</v>
      </c>
      <c r="H5033" s="1" t="s">
        <v>1336</v>
      </c>
      <c r="I5033" s="1" t="n">
        <v>4430.43</v>
      </c>
      <c r="J5033" s="1" t="str">
        <f aca="false">VLOOKUP(B5033,Customers!$A$2:$G$502,6,FALSE())</f>
        <v>Consumer</v>
      </c>
      <c r="K5033" s="1" t="str">
        <f aca="false">VLOOKUP(C5033,Products!$A$2:$E$62,3,FALSE())</f>
        <v>Office Supplies</v>
      </c>
      <c r="L5033" s="1" t="str">
        <f aca="false">TEXT(D5033,"yyyy-mm")</f>
        <v>2024-03</v>
      </c>
    </row>
    <row r="5034" customFormat="false" ht="15" hidden="false" customHeight="true" outlineLevel="0" collapsed="false">
      <c r="A5034" s="1" t="n">
        <v>5141</v>
      </c>
      <c r="B5034" s="1" t="n">
        <v>489</v>
      </c>
      <c r="C5034" s="1" t="n">
        <v>28</v>
      </c>
      <c r="D5034" s="1" t="s">
        <v>1208</v>
      </c>
      <c r="E5034" s="1" t="n">
        <v>2</v>
      </c>
      <c r="F5034" s="1" t="n">
        <v>505.23</v>
      </c>
      <c r="G5034" s="1" t="n">
        <v>0</v>
      </c>
      <c r="H5034" s="1" t="s">
        <v>1336</v>
      </c>
      <c r="I5034" s="1" t="n">
        <v>1010.46</v>
      </c>
      <c r="J5034" s="1" t="str">
        <f aca="false">VLOOKUP(B5034,Customers!$A$2:$G$502,6,FALSE())</f>
        <v>Small Business</v>
      </c>
      <c r="K5034" s="1" t="str">
        <f aca="false">VLOOKUP(C5034,Products!$A$2:$E$62,3,FALSE())</f>
        <v>Office Supplies</v>
      </c>
      <c r="L5034" s="1" t="str">
        <f aca="false">TEXT(D5034,"yyyy-mm")</f>
        <v>2024-01</v>
      </c>
    </row>
    <row r="5035" customFormat="false" ht="15" hidden="false" customHeight="true" outlineLevel="0" collapsed="false">
      <c r="A5035" s="1" t="n">
        <v>5142</v>
      </c>
      <c r="B5035" s="1" t="n">
        <v>125</v>
      </c>
      <c r="C5035" s="1" t="n">
        <v>60</v>
      </c>
      <c r="D5035" s="1" t="s">
        <v>59</v>
      </c>
      <c r="E5035" s="1" t="n">
        <v>8</v>
      </c>
      <c r="F5035" s="1" t="n">
        <v>584.98</v>
      </c>
      <c r="G5035" s="1" t="n">
        <v>0</v>
      </c>
      <c r="H5035" s="1" t="s">
        <v>1336</v>
      </c>
      <c r="I5035" s="1" t="n">
        <v>4679.84</v>
      </c>
      <c r="J5035" s="1" t="str">
        <f aca="false">VLOOKUP(B5035,Customers!$A$2:$G$502,6,FALSE())</f>
        <v>Small Business</v>
      </c>
      <c r="K5035" s="1" t="str">
        <f aca="false">VLOOKUP(C5035,Products!$A$2:$E$62,3,FALSE())</f>
        <v>Furniture</v>
      </c>
      <c r="L5035" s="1" t="str">
        <f aca="false">TEXT(D5035,"yyyy-mm")</f>
        <v>2023-08</v>
      </c>
    </row>
    <row r="5036" customFormat="false" ht="15" hidden="false" customHeight="true" outlineLevel="0" collapsed="false">
      <c r="A5036" s="1" t="n">
        <v>5143</v>
      </c>
      <c r="B5036" s="1" t="n">
        <v>499</v>
      </c>
      <c r="C5036" s="1" t="n">
        <v>15</v>
      </c>
      <c r="D5036" s="1" t="s">
        <v>1673</v>
      </c>
      <c r="E5036" s="1" t="n">
        <v>8</v>
      </c>
      <c r="F5036" s="1" t="n">
        <v>304.95</v>
      </c>
      <c r="G5036" s="1" t="n">
        <v>0.05</v>
      </c>
      <c r="H5036" s="1" t="s">
        <v>1336</v>
      </c>
      <c r="I5036" s="1" t="n">
        <v>2317.62</v>
      </c>
      <c r="J5036" s="1" t="str">
        <f aca="false">VLOOKUP(B5036,Customers!$A$2:$G$502,6,FALSE())</f>
        <v>Consumer</v>
      </c>
      <c r="K5036" s="1" t="str">
        <f aca="false">VLOOKUP(C5036,Products!$A$2:$E$62,3,FALSE())</f>
        <v>Electronics</v>
      </c>
      <c r="L5036" s="1" t="str">
        <f aca="false">TEXT(D5036,"yyyy-mm")</f>
        <v>2023-07</v>
      </c>
    </row>
    <row r="5037" customFormat="false" ht="15" hidden="false" customHeight="true" outlineLevel="0" collapsed="false">
      <c r="A5037" s="1" t="n">
        <v>5144</v>
      </c>
      <c r="B5037" s="1" t="n">
        <v>355</v>
      </c>
      <c r="C5037" s="1" t="n">
        <v>28</v>
      </c>
      <c r="D5037" s="1" t="s">
        <v>1022</v>
      </c>
      <c r="E5037" s="1" t="n">
        <v>4</v>
      </c>
      <c r="F5037" s="1" t="n">
        <v>505.23</v>
      </c>
      <c r="G5037" s="1" t="n">
        <v>0.1</v>
      </c>
      <c r="H5037" s="1" t="s">
        <v>1336</v>
      </c>
      <c r="I5037" s="1" t="n">
        <v>1818.83</v>
      </c>
      <c r="J5037" s="1" t="str">
        <f aca="false">VLOOKUP(B5037,Customers!$A$2:$G$502,6,FALSE())</f>
        <v>Corporate</v>
      </c>
      <c r="K5037" s="1" t="str">
        <f aca="false">VLOOKUP(C5037,Products!$A$2:$E$62,3,FALSE())</f>
        <v>Office Supplies</v>
      </c>
      <c r="L5037" s="1" t="str">
        <f aca="false">TEXT(D5037,"yyyy-mm")</f>
        <v>2023-06</v>
      </c>
    </row>
    <row r="5038" customFormat="false" ht="15" hidden="false" customHeight="true" outlineLevel="0" collapsed="false">
      <c r="A5038" s="1" t="n">
        <v>5145</v>
      </c>
      <c r="B5038" s="1" t="n">
        <v>249</v>
      </c>
      <c r="C5038" s="1" t="n">
        <v>19</v>
      </c>
      <c r="D5038" s="1" t="s">
        <v>1511</v>
      </c>
      <c r="E5038" s="1" t="n">
        <v>1</v>
      </c>
      <c r="F5038" s="1" t="n">
        <v>163.64</v>
      </c>
      <c r="G5038" s="1" t="n">
        <v>0.1</v>
      </c>
      <c r="H5038" s="1" t="s">
        <v>1346</v>
      </c>
      <c r="I5038" s="1" t="n">
        <v>147.28</v>
      </c>
      <c r="J5038" s="1" t="str">
        <f aca="false">VLOOKUP(B5038,Customers!$A$2:$G$502,6,FALSE())</f>
        <v>Consumer</v>
      </c>
      <c r="K5038" s="1" t="str">
        <f aca="false">VLOOKUP(C5038,Products!$A$2:$E$62,3,FALSE())</f>
        <v>Office Supplies</v>
      </c>
      <c r="L5038" s="1" t="str">
        <f aca="false">TEXT(D5038,"yyyy-mm")</f>
        <v>2023-07</v>
      </c>
    </row>
    <row r="5039" customFormat="false" ht="15" hidden="false" customHeight="true" outlineLevel="0" collapsed="false">
      <c r="A5039" s="1" t="n">
        <v>5146</v>
      </c>
      <c r="B5039" s="1" t="n">
        <v>166</v>
      </c>
      <c r="C5039" s="1" t="n">
        <v>11</v>
      </c>
      <c r="D5039" s="1" t="s">
        <v>365</v>
      </c>
      <c r="E5039" s="1" t="n">
        <v>1</v>
      </c>
      <c r="F5039" s="1" t="n">
        <v>328.39</v>
      </c>
      <c r="G5039" s="1" t="n">
        <v>0.1</v>
      </c>
      <c r="H5039" s="1" t="s">
        <v>1336</v>
      </c>
      <c r="I5039" s="1" t="n">
        <v>295.55</v>
      </c>
      <c r="J5039" s="1" t="str">
        <f aca="false">VLOOKUP(B5039,Customers!$A$2:$G$502,6,FALSE())</f>
        <v>Small Business</v>
      </c>
      <c r="K5039" s="1" t="str">
        <f aca="false">VLOOKUP(C5039,Products!$A$2:$E$62,3,FALSE())</f>
        <v>Electronics</v>
      </c>
      <c r="L5039" s="1" t="str">
        <f aca="false">TEXT(D5039,"yyyy-mm")</f>
        <v>2023-04</v>
      </c>
    </row>
    <row r="5040" customFormat="false" ht="15" hidden="false" customHeight="true" outlineLevel="0" collapsed="false">
      <c r="A5040" s="1" t="n">
        <v>5147</v>
      </c>
      <c r="B5040" s="1" t="n">
        <v>67</v>
      </c>
      <c r="C5040" s="1" t="n">
        <v>49</v>
      </c>
      <c r="D5040" s="1" t="s">
        <v>1550</v>
      </c>
      <c r="E5040" s="1" t="n">
        <v>2</v>
      </c>
      <c r="F5040" s="1" t="n">
        <v>325.17</v>
      </c>
      <c r="G5040" s="1" t="n">
        <v>0</v>
      </c>
      <c r="H5040" s="1" t="s">
        <v>1336</v>
      </c>
      <c r="I5040" s="1" t="n">
        <v>650.34</v>
      </c>
      <c r="J5040" s="1" t="str">
        <f aca="false">VLOOKUP(B5040,Customers!$A$2:$G$502,6,FALSE())</f>
        <v>Small Business</v>
      </c>
      <c r="K5040" s="1" t="str">
        <f aca="false">VLOOKUP(C5040,Products!$A$2:$E$62,3,FALSE())</f>
        <v>Software</v>
      </c>
      <c r="L5040" s="1" t="str">
        <f aca="false">TEXT(D5040,"yyyy-mm")</f>
        <v>2024-03</v>
      </c>
    </row>
    <row r="5041" customFormat="false" ht="15" hidden="false" customHeight="true" outlineLevel="0" collapsed="false">
      <c r="A5041" s="1" t="n">
        <v>5148</v>
      </c>
      <c r="B5041" s="1" t="n">
        <v>305</v>
      </c>
      <c r="C5041" s="1" t="n">
        <v>5</v>
      </c>
      <c r="D5041" s="1" t="s">
        <v>1691</v>
      </c>
      <c r="E5041" s="1" t="n">
        <v>9</v>
      </c>
      <c r="F5041" s="1" t="n">
        <v>439.06</v>
      </c>
      <c r="G5041" s="1" t="n">
        <v>0</v>
      </c>
      <c r="H5041" s="1" t="s">
        <v>1370</v>
      </c>
      <c r="I5041" s="1" t="n">
        <v>3951.54</v>
      </c>
      <c r="J5041" s="1" t="str">
        <f aca="false">VLOOKUP(B5041,Customers!$A$2:$G$502,6,FALSE())</f>
        <v>Consumer</v>
      </c>
      <c r="K5041" s="1" t="str">
        <f aca="false">VLOOKUP(C5041,Products!$A$2:$E$62,3,FALSE())</f>
        <v>Electronics</v>
      </c>
      <c r="L5041" s="1" t="str">
        <f aca="false">TEXT(D5041,"yyyy-mm")</f>
        <v>2023-10</v>
      </c>
    </row>
    <row r="5042" customFormat="false" ht="15" hidden="false" customHeight="true" outlineLevel="0" collapsed="false">
      <c r="A5042" s="1" t="n">
        <v>5149</v>
      </c>
      <c r="B5042" s="1" t="n">
        <v>194</v>
      </c>
      <c r="C5042" s="1" t="n">
        <v>2</v>
      </c>
      <c r="D5042" s="1" t="s">
        <v>969</v>
      </c>
      <c r="E5042" s="1" t="n">
        <v>2</v>
      </c>
      <c r="F5042" s="1" t="n">
        <v>498.15</v>
      </c>
      <c r="G5042" s="1" t="n">
        <v>0.1</v>
      </c>
      <c r="H5042" s="1" t="s">
        <v>1336</v>
      </c>
      <c r="I5042" s="1" t="n">
        <v>896.67</v>
      </c>
      <c r="J5042" s="1" t="str">
        <f aca="false">VLOOKUP(B5042,Customers!$A$2:$G$502,6,FALSE())</f>
        <v>Corporate</v>
      </c>
      <c r="K5042" s="1" t="str">
        <f aca="false">VLOOKUP(C5042,Products!$A$2:$E$62,3,FALSE())</f>
        <v>Electronics</v>
      </c>
      <c r="L5042" s="1" t="str">
        <f aca="false">TEXT(D5042,"yyyy-mm")</f>
        <v>2024-08</v>
      </c>
    </row>
    <row r="5043" customFormat="false" ht="15" hidden="false" customHeight="true" outlineLevel="0" collapsed="false">
      <c r="A5043" s="1" t="n">
        <v>5150</v>
      </c>
      <c r="B5043" s="1" t="n">
        <v>48</v>
      </c>
      <c r="C5043" s="1" t="n">
        <v>29</v>
      </c>
      <c r="D5043" s="1" t="s">
        <v>1016</v>
      </c>
      <c r="E5043" s="1" t="n">
        <v>2</v>
      </c>
      <c r="F5043" s="1" t="n">
        <v>54.62</v>
      </c>
      <c r="G5043" s="1" t="n">
        <v>0.05</v>
      </c>
      <c r="H5043" s="1" t="s">
        <v>1370</v>
      </c>
      <c r="I5043" s="1" t="n">
        <v>103.78</v>
      </c>
      <c r="J5043" s="1" t="str">
        <f aca="false">VLOOKUP(B5043,Customers!$A$2:$G$502,6,FALSE())</f>
        <v>Small Business</v>
      </c>
      <c r="K5043" s="1" t="str">
        <f aca="false">VLOOKUP(C5043,Products!$A$2:$E$62,3,FALSE())</f>
        <v>Office Supplies</v>
      </c>
      <c r="L5043" s="1" t="str">
        <f aca="false">TEXT(D5043,"yyyy-mm")</f>
        <v>2023-11</v>
      </c>
    </row>
    <row r="5044" customFormat="false" ht="15" hidden="false" customHeight="true" outlineLevel="0" collapsed="false">
      <c r="A5044" s="1" t="n">
        <v>5151</v>
      </c>
      <c r="B5044" s="1" t="n">
        <v>226</v>
      </c>
      <c r="C5044" s="1" t="n">
        <v>42</v>
      </c>
      <c r="D5044" s="1" t="s">
        <v>1652</v>
      </c>
      <c r="E5044" s="1" t="n">
        <v>6</v>
      </c>
      <c r="F5044" s="1" t="n">
        <v>174.48</v>
      </c>
      <c r="G5044" s="1" t="n">
        <v>0.1</v>
      </c>
      <c r="H5044" s="1" t="s">
        <v>1336</v>
      </c>
      <c r="I5044" s="1" t="n">
        <v>942.19</v>
      </c>
      <c r="J5044" s="1" t="str">
        <f aca="false">VLOOKUP(B5044,Customers!$A$2:$G$502,6,FALSE())</f>
        <v>Corporate</v>
      </c>
      <c r="K5044" s="1" t="str">
        <f aca="false">VLOOKUP(C5044,Products!$A$2:$E$62,3,FALSE())</f>
        <v>Software</v>
      </c>
      <c r="L5044" s="1" t="str">
        <f aca="false">TEXT(D5044,"yyyy-mm")</f>
        <v>2024-06</v>
      </c>
    </row>
    <row r="5045" customFormat="false" ht="15" hidden="false" customHeight="true" outlineLevel="0" collapsed="false">
      <c r="A5045" s="1" t="n">
        <v>5152</v>
      </c>
      <c r="B5045" s="1" t="n">
        <v>350</v>
      </c>
      <c r="C5045" s="1" t="n">
        <v>44</v>
      </c>
      <c r="D5045" s="1" t="s">
        <v>1686</v>
      </c>
      <c r="E5045" s="1" t="n">
        <v>7</v>
      </c>
      <c r="F5045" s="1" t="n">
        <v>508.26</v>
      </c>
      <c r="G5045" s="1" t="n">
        <v>0.15</v>
      </c>
      <c r="H5045" s="1" t="s">
        <v>1336</v>
      </c>
      <c r="I5045" s="1" t="n">
        <v>3024.15</v>
      </c>
      <c r="J5045" s="1" t="str">
        <f aca="false">VLOOKUP(B5045,Customers!$A$2:$G$502,6,FALSE())</f>
        <v>Consumer</v>
      </c>
      <c r="K5045" s="1" t="str">
        <f aca="false">VLOOKUP(C5045,Products!$A$2:$E$62,3,FALSE())</f>
        <v>Software</v>
      </c>
      <c r="L5045" s="1" t="str">
        <f aca="false">TEXT(D5045,"yyyy-mm")</f>
        <v>2023-12</v>
      </c>
    </row>
    <row r="5046" customFormat="false" ht="15" hidden="false" customHeight="true" outlineLevel="0" collapsed="false">
      <c r="A5046" s="1" t="n">
        <v>5153</v>
      </c>
      <c r="B5046" s="1" t="n">
        <v>314</v>
      </c>
      <c r="C5046" s="1" t="n">
        <v>35</v>
      </c>
      <c r="D5046" s="1" t="s">
        <v>1443</v>
      </c>
      <c r="E5046" s="1" t="n">
        <v>7</v>
      </c>
      <c r="F5046" s="1" t="n">
        <v>75.78</v>
      </c>
      <c r="G5046" s="1" t="n">
        <v>0</v>
      </c>
      <c r="H5046" s="1" t="s">
        <v>1336</v>
      </c>
      <c r="I5046" s="1" t="n">
        <v>530.46</v>
      </c>
      <c r="J5046" s="1" t="str">
        <f aca="false">VLOOKUP(B5046,Customers!$A$2:$G$502,6,FALSE())</f>
        <v>Small Business</v>
      </c>
      <c r="K5046" s="1" t="str">
        <f aca="false">VLOOKUP(C5046,Products!$A$2:$E$62,3,FALSE())</f>
        <v>Software</v>
      </c>
      <c r="L5046" s="1" t="str">
        <f aca="false">TEXT(D5046,"yyyy-mm")</f>
        <v>2023-09</v>
      </c>
    </row>
    <row r="5047" customFormat="false" ht="15" hidden="false" customHeight="true" outlineLevel="0" collapsed="false">
      <c r="A5047" s="1" t="n">
        <v>5154</v>
      </c>
      <c r="B5047" s="1" t="n">
        <v>471</v>
      </c>
      <c r="C5047" s="1" t="n">
        <v>28</v>
      </c>
      <c r="D5047" s="1" t="s">
        <v>94</v>
      </c>
      <c r="E5047" s="1" t="n">
        <v>9</v>
      </c>
      <c r="F5047" s="1" t="n">
        <v>505.23</v>
      </c>
      <c r="G5047" s="1" t="n">
        <v>0.2</v>
      </c>
      <c r="H5047" s="1" t="s">
        <v>1336</v>
      </c>
      <c r="I5047" s="1" t="n">
        <v>3637.66</v>
      </c>
      <c r="J5047" s="1" t="str">
        <f aca="false">VLOOKUP(B5047,Customers!$A$2:$G$502,6,FALSE())</f>
        <v>Small Business</v>
      </c>
      <c r="K5047" s="1" t="str">
        <f aca="false">VLOOKUP(C5047,Products!$A$2:$E$62,3,FALSE())</f>
        <v>Office Supplies</v>
      </c>
      <c r="L5047" s="1" t="str">
        <f aca="false">TEXT(D5047,"yyyy-mm")</f>
        <v>2023-09</v>
      </c>
    </row>
    <row r="5048" customFormat="false" ht="15" hidden="false" customHeight="true" outlineLevel="0" collapsed="false">
      <c r="A5048" s="1" t="n">
        <v>5155</v>
      </c>
      <c r="B5048" s="1" t="n">
        <v>248</v>
      </c>
      <c r="C5048" s="1" t="n">
        <v>18</v>
      </c>
      <c r="D5048" s="1" t="s">
        <v>1580</v>
      </c>
      <c r="E5048" s="1" t="n">
        <v>6</v>
      </c>
      <c r="F5048" s="1" t="n">
        <v>747.34</v>
      </c>
      <c r="G5048" s="1" t="n">
        <v>0.05</v>
      </c>
      <c r="H5048" s="1" t="s">
        <v>1336</v>
      </c>
      <c r="I5048" s="1" t="n">
        <v>4259.84</v>
      </c>
      <c r="J5048" s="1" t="str">
        <f aca="false">VLOOKUP(B5048,Customers!$A$2:$G$502,6,FALSE())</f>
        <v>Small Business</v>
      </c>
      <c r="K5048" s="1" t="str">
        <f aca="false">VLOOKUP(C5048,Products!$A$2:$E$62,3,FALSE())</f>
        <v>Electronics</v>
      </c>
      <c r="L5048" s="1" t="str">
        <f aca="false">TEXT(D5048,"yyyy-mm")</f>
        <v>2023-08</v>
      </c>
    </row>
    <row r="5049" customFormat="false" ht="15" hidden="false" customHeight="true" outlineLevel="0" collapsed="false">
      <c r="A5049" s="1" t="n">
        <v>5156</v>
      </c>
      <c r="B5049" s="1" t="n">
        <v>234</v>
      </c>
      <c r="C5049" s="1" t="n">
        <v>29</v>
      </c>
      <c r="D5049" s="1" t="s">
        <v>1600</v>
      </c>
      <c r="E5049" s="1" t="n">
        <v>8</v>
      </c>
      <c r="F5049" s="1" t="n">
        <v>54.62</v>
      </c>
      <c r="G5049" s="1" t="n">
        <v>0.05</v>
      </c>
      <c r="H5049" s="1" t="s">
        <v>1346</v>
      </c>
      <c r="I5049" s="1" t="n">
        <v>415.11</v>
      </c>
      <c r="J5049" s="1" t="str">
        <f aca="false">VLOOKUP(B5049,Customers!$A$2:$G$502,6,FALSE())</f>
        <v>Small Business</v>
      </c>
      <c r="K5049" s="1" t="str">
        <f aca="false">VLOOKUP(C5049,Products!$A$2:$E$62,3,FALSE())</f>
        <v>Office Supplies</v>
      </c>
      <c r="L5049" s="1" t="str">
        <f aca="false">TEXT(D5049,"yyyy-mm")</f>
        <v>2024-01</v>
      </c>
    </row>
    <row r="5050" customFormat="false" ht="15" hidden="false" customHeight="true" outlineLevel="0" collapsed="false">
      <c r="A5050" s="1" t="n">
        <v>5157</v>
      </c>
      <c r="B5050" s="1" t="n">
        <v>476</v>
      </c>
      <c r="C5050" s="1" t="n">
        <v>36</v>
      </c>
      <c r="D5050" s="1" t="s">
        <v>786</v>
      </c>
      <c r="E5050" s="1" t="n">
        <v>6</v>
      </c>
      <c r="F5050" s="1" t="n">
        <v>424.45</v>
      </c>
      <c r="G5050" s="1" t="n">
        <v>0.2</v>
      </c>
      <c r="H5050" s="1" t="s">
        <v>1336</v>
      </c>
      <c r="I5050" s="1" t="n">
        <v>2037.36</v>
      </c>
      <c r="J5050" s="1" t="str">
        <f aca="false">VLOOKUP(B5050,Customers!$A$2:$G$502,6,FALSE())</f>
        <v>Small Business</v>
      </c>
      <c r="K5050" s="1" t="str">
        <f aca="false">VLOOKUP(C5050,Products!$A$2:$E$62,3,FALSE())</f>
        <v>Software</v>
      </c>
      <c r="L5050" s="1" t="str">
        <f aca="false">TEXT(D5050,"yyyy-mm")</f>
        <v>2024-07</v>
      </c>
    </row>
    <row r="5051" customFormat="false" ht="15" hidden="false" customHeight="true" outlineLevel="0" collapsed="false">
      <c r="A5051" s="1" t="n">
        <v>5158</v>
      </c>
      <c r="B5051" s="1" t="n">
        <v>276</v>
      </c>
      <c r="C5051" s="1" t="n">
        <v>55</v>
      </c>
      <c r="D5051" s="1" t="s">
        <v>1177</v>
      </c>
      <c r="E5051" s="1" t="n">
        <v>2</v>
      </c>
      <c r="F5051" s="1" t="n">
        <v>123.38</v>
      </c>
      <c r="G5051" s="1" t="n">
        <v>0</v>
      </c>
      <c r="H5051" s="1" t="s">
        <v>1336</v>
      </c>
      <c r="I5051" s="1" t="n">
        <v>246.76</v>
      </c>
      <c r="J5051" s="1" t="str">
        <f aca="false">VLOOKUP(B5051,Customers!$A$2:$G$502,6,FALSE())</f>
        <v>Corporate</v>
      </c>
      <c r="K5051" s="1" t="str">
        <f aca="false">VLOOKUP(C5051,Products!$A$2:$E$62,3,FALSE())</f>
        <v>Furniture</v>
      </c>
      <c r="L5051" s="1" t="str">
        <f aca="false">TEXT(D5051,"yyyy-mm")</f>
        <v>2023-08</v>
      </c>
    </row>
    <row r="5052" customFormat="false" ht="15" hidden="false" customHeight="true" outlineLevel="0" collapsed="false">
      <c r="A5052" s="1" t="n">
        <v>5159</v>
      </c>
      <c r="B5052" s="1" t="n">
        <v>471</v>
      </c>
      <c r="C5052" s="1" t="n">
        <v>4</v>
      </c>
      <c r="D5052" s="1" t="s">
        <v>1469</v>
      </c>
      <c r="E5052" s="1" t="n">
        <v>1</v>
      </c>
      <c r="F5052" s="1" t="n">
        <v>56.24</v>
      </c>
      <c r="G5052" s="1" t="n">
        <v>0.1</v>
      </c>
      <c r="H5052" s="1" t="s">
        <v>1336</v>
      </c>
      <c r="I5052" s="1" t="n">
        <v>50.62</v>
      </c>
      <c r="J5052" s="1" t="str">
        <f aca="false">VLOOKUP(B5052,Customers!$A$2:$G$502,6,FALSE())</f>
        <v>Small Business</v>
      </c>
      <c r="K5052" s="1" t="str">
        <f aca="false">VLOOKUP(C5052,Products!$A$2:$E$62,3,FALSE())</f>
        <v>Electronics</v>
      </c>
      <c r="L5052" s="1" t="str">
        <f aca="false">TEXT(D5052,"yyyy-mm")</f>
        <v>2023-11</v>
      </c>
    </row>
    <row r="5053" customFormat="false" ht="15" hidden="false" customHeight="true" outlineLevel="0" collapsed="false">
      <c r="A5053" s="1" t="n">
        <v>5160</v>
      </c>
      <c r="B5053" s="1" t="n">
        <v>195</v>
      </c>
      <c r="C5053" s="1" t="n">
        <v>21</v>
      </c>
      <c r="D5053" s="1" t="s">
        <v>295</v>
      </c>
      <c r="E5053" s="1" t="n">
        <v>5</v>
      </c>
      <c r="F5053" s="1" t="n">
        <v>84.91</v>
      </c>
      <c r="G5053" s="1" t="n">
        <v>0</v>
      </c>
      <c r="H5053" s="1" t="s">
        <v>1336</v>
      </c>
      <c r="I5053" s="1" t="n">
        <v>424.55</v>
      </c>
      <c r="J5053" s="1" t="str">
        <f aca="false">VLOOKUP(B5053,Customers!$A$2:$G$502,6,FALSE())</f>
        <v>Corporate</v>
      </c>
      <c r="K5053" s="1" t="str">
        <f aca="false">VLOOKUP(C5053,Products!$A$2:$E$62,3,FALSE())</f>
        <v>Office Supplies</v>
      </c>
      <c r="L5053" s="1" t="str">
        <f aca="false">TEXT(D5053,"yyyy-mm")</f>
        <v>2024-07</v>
      </c>
    </row>
    <row r="5054" customFormat="false" ht="15" hidden="false" customHeight="true" outlineLevel="0" collapsed="false">
      <c r="A5054" s="1" t="n">
        <v>5161</v>
      </c>
      <c r="B5054" s="1" t="n">
        <v>142</v>
      </c>
      <c r="C5054" s="1" t="n">
        <v>20</v>
      </c>
      <c r="D5054" s="1" t="s">
        <v>1572</v>
      </c>
      <c r="E5054" s="1" t="n">
        <v>9</v>
      </c>
      <c r="F5054" s="1" t="n">
        <v>426.15</v>
      </c>
      <c r="G5054" s="1" t="n">
        <v>0</v>
      </c>
      <c r="H5054" s="1" t="s">
        <v>1336</v>
      </c>
      <c r="I5054" s="1" t="n">
        <v>3835.35</v>
      </c>
      <c r="J5054" s="1" t="str">
        <f aca="false">VLOOKUP(B5054,Customers!$A$2:$G$502,6,FALSE())</f>
        <v>Small Business</v>
      </c>
      <c r="K5054" s="1" t="str">
        <f aca="false">VLOOKUP(C5054,Products!$A$2:$E$62,3,FALSE())</f>
        <v>Office Supplies</v>
      </c>
      <c r="L5054" s="1" t="str">
        <f aca="false">TEXT(D5054,"yyyy-mm")</f>
        <v>2023-07</v>
      </c>
    </row>
    <row r="5055" customFormat="false" ht="15" hidden="false" customHeight="true" outlineLevel="0" collapsed="false">
      <c r="A5055" s="1" t="n">
        <v>5162</v>
      </c>
      <c r="B5055" s="1" t="n">
        <v>69</v>
      </c>
      <c r="C5055" s="1" t="n">
        <v>13</v>
      </c>
      <c r="D5055" s="1" t="s">
        <v>1524</v>
      </c>
      <c r="E5055" s="1" t="n">
        <v>8</v>
      </c>
      <c r="F5055" s="1" t="n">
        <v>352.54</v>
      </c>
      <c r="G5055" s="1" t="n">
        <v>0</v>
      </c>
      <c r="H5055" s="1" t="s">
        <v>1336</v>
      </c>
      <c r="I5055" s="1" t="n">
        <v>2820.32</v>
      </c>
      <c r="J5055" s="1" t="str">
        <f aca="false">VLOOKUP(B5055,Customers!$A$2:$G$502,6,FALSE())</f>
        <v>Corporate</v>
      </c>
      <c r="K5055" s="1" t="str">
        <f aca="false">VLOOKUP(C5055,Products!$A$2:$E$62,3,FALSE())</f>
        <v>Electronics</v>
      </c>
      <c r="L5055" s="1" t="str">
        <f aca="false">TEXT(D5055,"yyyy-mm")</f>
        <v>2024-09</v>
      </c>
    </row>
    <row r="5056" customFormat="false" ht="15" hidden="false" customHeight="true" outlineLevel="0" collapsed="false">
      <c r="A5056" s="1" t="n">
        <v>5163</v>
      </c>
      <c r="B5056" s="1" t="n">
        <v>209</v>
      </c>
      <c r="C5056" s="1" t="n">
        <v>22</v>
      </c>
      <c r="D5056" s="1" t="s">
        <v>1580</v>
      </c>
      <c r="E5056" s="1" t="n">
        <v>4</v>
      </c>
      <c r="F5056" s="1" t="n">
        <v>38.57</v>
      </c>
      <c r="G5056" s="1" t="n">
        <v>0</v>
      </c>
      <c r="H5056" s="1" t="s">
        <v>1336</v>
      </c>
      <c r="I5056" s="1" t="n">
        <v>154.28</v>
      </c>
      <c r="J5056" s="1" t="str">
        <f aca="false">VLOOKUP(B5056,Customers!$A$2:$G$502,6,FALSE())</f>
        <v>Small Business</v>
      </c>
      <c r="K5056" s="1" t="str">
        <f aca="false">VLOOKUP(C5056,Products!$A$2:$E$62,3,FALSE())</f>
        <v>Office Supplies</v>
      </c>
      <c r="L5056" s="1" t="str">
        <f aca="false">TEXT(D5056,"yyyy-mm")</f>
        <v>2023-08</v>
      </c>
    </row>
    <row r="5057" customFormat="false" ht="15" hidden="false" customHeight="true" outlineLevel="0" collapsed="false">
      <c r="A5057" s="1" t="n">
        <v>5164</v>
      </c>
      <c r="B5057" s="1" t="n">
        <v>484</v>
      </c>
      <c r="C5057" s="1" t="n">
        <v>31</v>
      </c>
      <c r="D5057" s="1" t="s">
        <v>1482</v>
      </c>
      <c r="E5057" s="1" t="n">
        <v>5</v>
      </c>
      <c r="F5057" s="1" t="n">
        <v>224.86</v>
      </c>
      <c r="G5057" s="1" t="n">
        <v>0.2</v>
      </c>
      <c r="H5057" s="1" t="s">
        <v>1336</v>
      </c>
      <c r="I5057" s="1" t="n">
        <v>899.44</v>
      </c>
      <c r="J5057" s="1" t="str">
        <f aca="false">VLOOKUP(B5057,Customers!$A$2:$G$502,6,FALSE())</f>
        <v>Corporate</v>
      </c>
      <c r="K5057" s="1" t="str">
        <f aca="false">VLOOKUP(C5057,Products!$A$2:$E$62,3,FALSE())</f>
        <v>Office Supplies</v>
      </c>
      <c r="L5057" s="1" t="str">
        <f aca="false">TEXT(D5057,"yyyy-mm")</f>
        <v>2023-11</v>
      </c>
    </row>
    <row r="5058" customFormat="false" ht="15" hidden="false" customHeight="true" outlineLevel="0" collapsed="false">
      <c r="A5058" s="1" t="n">
        <v>5165</v>
      </c>
      <c r="B5058" s="1" t="n">
        <v>81</v>
      </c>
      <c r="C5058" s="1" t="n">
        <v>33</v>
      </c>
      <c r="D5058" s="1" t="s">
        <v>1472</v>
      </c>
      <c r="E5058" s="1" t="n">
        <v>5</v>
      </c>
      <c r="F5058" s="1" t="n">
        <v>190.1</v>
      </c>
      <c r="G5058" s="1" t="n">
        <v>0.15</v>
      </c>
      <c r="H5058" s="1" t="s">
        <v>1336</v>
      </c>
      <c r="I5058" s="1" t="n">
        <v>807.92</v>
      </c>
      <c r="J5058" s="1" t="str">
        <f aca="false">VLOOKUP(B5058,Customers!$A$2:$G$502,6,FALSE())</f>
        <v>Consumer</v>
      </c>
      <c r="K5058" s="1" t="str">
        <f aca="false">VLOOKUP(C5058,Products!$A$2:$E$62,3,FALSE())</f>
        <v>Office Supplies</v>
      </c>
      <c r="L5058" s="1" t="str">
        <f aca="false">TEXT(D5058,"yyyy-mm")</f>
        <v>2023-07</v>
      </c>
    </row>
    <row r="5059" customFormat="false" ht="15" hidden="false" customHeight="true" outlineLevel="0" collapsed="false">
      <c r="A5059" s="1" t="n">
        <v>5166</v>
      </c>
      <c r="B5059" s="1" t="n">
        <v>287</v>
      </c>
      <c r="C5059" s="1" t="n">
        <v>32</v>
      </c>
      <c r="D5059" s="1" t="s">
        <v>1216</v>
      </c>
      <c r="E5059" s="1" t="n">
        <v>6</v>
      </c>
      <c r="F5059" s="1" t="n">
        <v>492.27</v>
      </c>
      <c r="G5059" s="1" t="n">
        <v>0</v>
      </c>
      <c r="H5059" s="1" t="s">
        <v>1336</v>
      </c>
      <c r="I5059" s="1" t="n">
        <v>2953.62</v>
      </c>
      <c r="J5059" s="1" t="str">
        <f aca="false">VLOOKUP(B5059,Customers!$A$2:$G$502,6,FALSE())</f>
        <v>Corporate</v>
      </c>
      <c r="K5059" s="1" t="str">
        <f aca="false">VLOOKUP(C5059,Products!$A$2:$E$62,3,FALSE())</f>
        <v>Office Supplies</v>
      </c>
      <c r="L5059" s="1" t="str">
        <f aca="false">TEXT(D5059,"yyyy-mm")</f>
        <v>2024-10</v>
      </c>
    </row>
    <row r="5060" customFormat="false" ht="15" hidden="false" customHeight="true" outlineLevel="0" collapsed="false">
      <c r="A5060" s="1" t="n">
        <v>5167</v>
      </c>
      <c r="B5060" s="1" t="n">
        <v>360</v>
      </c>
      <c r="C5060" s="1" t="n">
        <v>51</v>
      </c>
      <c r="D5060" s="1" t="s">
        <v>1446</v>
      </c>
      <c r="E5060" s="1" t="n">
        <v>3</v>
      </c>
      <c r="F5060" s="1" t="n">
        <v>30.16</v>
      </c>
      <c r="G5060" s="1" t="n">
        <v>0</v>
      </c>
      <c r="H5060" s="1" t="s">
        <v>1336</v>
      </c>
      <c r="I5060" s="1" t="n">
        <v>90.48</v>
      </c>
      <c r="J5060" s="1" t="str">
        <f aca="false">VLOOKUP(B5060,Customers!$A$2:$G$502,6,FALSE())</f>
        <v>Corporate</v>
      </c>
      <c r="K5060" s="1" t="str">
        <f aca="false">VLOOKUP(C5060,Products!$A$2:$E$62,3,FALSE())</f>
        <v>Software</v>
      </c>
      <c r="L5060" s="1" t="str">
        <f aca="false">TEXT(D5060,"yyyy-mm")</f>
        <v>2024-05</v>
      </c>
    </row>
    <row r="5061" customFormat="false" ht="15" hidden="false" customHeight="true" outlineLevel="0" collapsed="false">
      <c r="A5061" s="1" t="n">
        <v>5168</v>
      </c>
      <c r="B5061" s="1" t="n">
        <v>241</v>
      </c>
      <c r="C5061" s="1" t="n">
        <v>30</v>
      </c>
      <c r="D5061" s="1" t="s">
        <v>59</v>
      </c>
      <c r="E5061" s="1" t="n">
        <v>5</v>
      </c>
      <c r="F5061" s="1" t="n">
        <v>33.32</v>
      </c>
      <c r="G5061" s="1" t="n">
        <v>0.1</v>
      </c>
      <c r="H5061" s="1" t="s">
        <v>1336</v>
      </c>
      <c r="I5061" s="1" t="n">
        <v>149.94</v>
      </c>
      <c r="J5061" s="1" t="str">
        <f aca="false">VLOOKUP(B5061,Customers!$A$2:$G$502,6,FALSE())</f>
        <v>Small Business</v>
      </c>
      <c r="K5061" s="1" t="str">
        <f aca="false">VLOOKUP(C5061,Products!$A$2:$E$62,3,FALSE())</f>
        <v>Office Supplies</v>
      </c>
      <c r="L5061" s="1" t="str">
        <f aca="false">TEXT(D5061,"yyyy-mm")</f>
        <v>2023-08</v>
      </c>
    </row>
    <row r="5062" customFormat="false" ht="15" hidden="false" customHeight="true" outlineLevel="0" collapsed="false">
      <c r="A5062" s="1" t="n">
        <v>5169</v>
      </c>
      <c r="B5062" s="1" t="n">
        <v>198</v>
      </c>
      <c r="C5062" s="1" t="n">
        <v>27</v>
      </c>
      <c r="D5062" s="1" t="s">
        <v>775</v>
      </c>
      <c r="E5062" s="1" t="n">
        <v>2</v>
      </c>
      <c r="F5062" s="1" t="n">
        <v>772.58</v>
      </c>
      <c r="G5062" s="1" t="n">
        <v>0.1</v>
      </c>
      <c r="H5062" s="1" t="s">
        <v>1336</v>
      </c>
      <c r="I5062" s="1" t="n">
        <v>1390.64</v>
      </c>
      <c r="J5062" s="1" t="str">
        <f aca="false">VLOOKUP(B5062,Customers!$A$2:$G$502,6,FALSE())</f>
        <v>Corporate</v>
      </c>
      <c r="K5062" s="1" t="str">
        <f aca="false">VLOOKUP(C5062,Products!$A$2:$E$62,3,FALSE())</f>
        <v>Office Supplies</v>
      </c>
      <c r="L5062" s="1" t="str">
        <f aca="false">TEXT(D5062,"yyyy-mm")</f>
        <v>2023-01</v>
      </c>
    </row>
    <row r="5063" customFormat="false" ht="15" hidden="false" customHeight="true" outlineLevel="0" collapsed="false">
      <c r="A5063" s="1" t="n">
        <v>5170</v>
      </c>
      <c r="B5063" s="1" t="n">
        <v>477</v>
      </c>
      <c r="C5063" s="1" t="n">
        <v>22</v>
      </c>
      <c r="D5063" s="1" t="s">
        <v>1173</v>
      </c>
      <c r="E5063" s="1" t="n">
        <v>1</v>
      </c>
      <c r="F5063" s="1" t="n">
        <v>38.57</v>
      </c>
      <c r="G5063" s="1" t="n">
        <v>0.2</v>
      </c>
      <c r="H5063" s="1" t="s">
        <v>1336</v>
      </c>
      <c r="I5063" s="1" t="n">
        <v>30.86</v>
      </c>
      <c r="J5063" s="1" t="str">
        <f aca="false">VLOOKUP(B5063,Customers!$A$2:$G$502,6,FALSE())</f>
        <v>Corporate</v>
      </c>
      <c r="K5063" s="1" t="str">
        <f aca="false">VLOOKUP(C5063,Products!$A$2:$E$62,3,FALSE())</f>
        <v>Office Supplies</v>
      </c>
      <c r="L5063" s="1" t="str">
        <f aca="false">TEXT(D5063,"yyyy-mm")</f>
        <v>2023-01</v>
      </c>
    </row>
    <row r="5064" customFormat="false" ht="15" hidden="false" customHeight="true" outlineLevel="0" collapsed="false">
      <c r="A5064" s="1" t="n">
        <v>5171</v>
      </c>
      <c r="B5064" s="1" t="n">
        <v>187</v>
      </c>
      <c r="C5064" s="1" t="n">
        <v>43</v>
      </c>
      <c r="D5064" s="1" t="s">
        <v>183</v>
      </c>
      <c r="E5064" s="1" t="n">
        <v>1</v>
      </c>
      <c r="F5064" s="1" t="n">
        <v>186.31</v>
      </c>
      <c r="G5064" s="1" t="n">
        <v>0.05</v>
      </c>
      <c r="H5064" s="1" t="s">
        <v>1336</v>
      </c>
      <c r="I5064" s="1" t="n">
        <v>176.99</v>
      </c>
      <c r="J5064" s="1" t="str">
        <f aca="false">VLOOKUP(B5064,Customers!$A$2:$G$502,6,FALSE())</f>
        <v>Consumer</v>
      </c>
      <c r="K5064" s="1" t="str">
        <f aca="false">VLOOKUP(C5064,Products!$A$2:$E$62,3,FALSE())</f>
        <v>Software</v>
      </c>
      <c r="L5064" s="1" t="str">
        <f aca="false">TEXT(D5064,"yyyy-mm")</f>
        <v>2023-02</v>
      </c>
    </row>
    <row r="5065" customFormat="false" ht="15" hidden="false" customHeight="true" outlineLevel="0" collapsed="false">
      <c r="A5065" s="1" t="n">
        <v>5172</v>
      </c>
      <c r="B5065" s="1" t="n">
        <v>499</v>
      </c>
      <c r="C5065" s="1" t="n">
        <v>47</v>
      </c>
      <c r="D5065" s="1" t="s">
        <v>775</v>
      </c>
      <c r="E5065" s="1" t="n">
        <v>7</v>
      </c>
      <c r="F5065" s="1" t="n">
        <v>506.19</v>
      </c>
      <c r="G5065" s="1" t="n">
        <v>0.15</v>
      </c>
      <c r="H5065" s="1" t="s">
        <v>1336</v>
      </c>
      <c r="I5065" s="1" t="n">
        <v>3011.83</v>
      </c>
      <c r="J5065" s="1" t="str">
        <f aca="false">VLOOKUP(B5065,Customers!$A$2:$G$502,6,FALSE())</f>
        <v>Consumer</v>
      </c>
      <c r="K5065" s="1" t="str">
        <f aca="false">VLOOKUP(C5065,Products!$A$2:$E$62,3,FALSE())</f>
        <v>Software</v>
      </c>
      <c r="L5065" s="1" t="str">
        <f aca="false">TEXT(D5065,"yyyy-mm")</f>
        <v>2023-01</v>
      </c>
    </row>
    <row r="5066" customFormat="false" ht="15" hidden="false" customHeight="true" outlineLevel="0" collapsed="false">
      <c r="A5066" s="1" t="n">
        <v>5173</v>
      </c>
      <c r="B5066" s="1" t="n">
        <v>354</v>
      </c>
      <c r="C5066" s="1" t="n">
        <v>10</v>
      </c>
      <c r="D5066" s="1" t="s">
        <v>1571</v>
      </c>
      <c r="E5066" s="1" t="n">
        <v>2</v>
      </c>
      <c r="F5066" s="1" t="n">
        <v>251.58</v>
      </c>
      <c r="G5066" s="1" t="n">
        <v>0</v>
      </c>
      <c r="H5066" s="1" t="s">
        <v>1336</v>
      </c>
      <c r="I5066" s="1" t="n">
        <v>503.16</v>
      </c>
      <c r="J5066" s="1" t="str">
        <f aca="false">VLOOKUP(B5066,Customers!$A$2:$G$502,6,FALSE())</f>
        <v>Consumer</v>
      </c>
      <c r="K5066" s="1" t="str">
        <f aca="false">VLOOKUP(C5066,Products!$A$2:$E$62,3,FALSE())</f>
        <v>Electronics</v>
      </c>
      <c r="L5066" s="1" t="str">
        <f aca="false">TEXT(D5066,"yyyy-mm")</f>
        <v>2024-02</v>
      </c>
    </row>
    <row r="5067" customFormat="false" ht="15" hidden="false" customHeight="true" outlineLevel="0" collapsed="false">
      <c r="A5067" s="1" t="n">
        <v>5174</v>
      </c>
      <c r="B5067" s="1" t="n">
        <v>9</v>
      </c>
      <c r="C5067" s="1" t="n">
        <v>22</v>
      </c>
      <c r="D5067" s="1" t="s">
        <v>1507</v>
      </c>
      <c r="E5067" s="1" t="n">
        <v>4</v>
      </c>
      <c r="F5067" s="1" t="n">
        <v>38.57</v>
      </c>
      <c r="G5067" s="1" t="n">
        <v>0</v>
      </c>
      <c r="H5067" s="1" t="s">
        <v>1336</v>
      </c>
      <c r="I5067" s="1" t="n">
        <v>154.28</v>
      </c>
      <c r="J5067" s="1" t="str">
        <f aca="false">VLOOKUP(B5067,Customers!$A$2:$G$502,6,FALSE())</f>
        <v>Small Business</v>
      </c>
      <c r="K5067" s="1" t="str">
        <f aca="false">VLOOKUP(C5067,Products!$A$2:$E$62,3,FALSE())</f>
        <v>Office Supplies</v>
      </c>
      <c r="L5067" s="1" t="str">
        <f aca="false">TEXT(D5067,"yyyy-mm")</f>
        <v>2024-09</v>
      </c>
    </row>
    <row r="5068" customFormat="false" ht="15" hidden="false" customHeight="true" outlineLevel="0" collapsed="false">
      <c r="A5068" s="1" t="n">
        <v>5175</v>
      </c>
      <c r="B5068" s="1" t="n">
        <v>235</v>
      </c>
      <c r="C5068" s="1" t="n">
        <v>29</v>
      </c>
      <c r="D5068" s="1" t="s">
        <v>1637</v>
      </c>
      <c r="E5068" s="1" t="n">
        <v>5</v>
      </c>
      <c r="F5068" s="1" t="n">
        <v>54.62</v>
      </c>
      <c r="G5068" s="1" t="n">
        <v>0</v>
      </c>
      <c r="H5068" s="1" t="s">
        <v>1336</v>
      </c>
      <c r="I5068" s="1" t="n">
        <v>273.1</v>
      </c>
      <c r="J5068" s="1" t="str">
        <f aca="false">VLOOKUP(B5068,Customers!$A$2:$G$502,6,FALSE())</f>
        <v>Small Business</v>
      </c>
      <c r="K5068" s="1" t="str">
        <f aca="false">VLOOKUP(C5068,Products!$A$2:$E$62,3,FALSE())</f>
        <v>Office Supplies</v>
      </c>
      <c r="L5068" s="1" t="str">
        <f aca="false">TEXT(D5068,"yyyy-mm")</f>
        <v>2023-11</v>
      </c>
    </row>
    <row r="5069" customFormat="false" ht="15" hidden="false" customHeight="true" outlineLevel="0" collapsed="false">
      <c r="A5069" s="1" t="n">
        <v>5176</v>
      </c>
      <c r="B5069" s="1" t="n">
        <v>227</v>
      </c>
      <c r="C5069" s="1" t="n">
        <v>11</v>
      </c>
      <c r="D5069" s="1" t="s">
        <v>24</v>
      </c>
      <c r="E5069" s="1" t="n">
        <v>7</v>
      </c>
      <c r="F5069" s="1" t="n">
        <v>328.39</v>
      </c>
      <c r="G5069" s="1" t="n">
        <v>0.2</v>
      </c>
      <c r="H5069" s="1" t="s">
        <v>1336</v>
      </c>
      <c r="I5069" s="1" t="n">
        <v>1838.98</v>
      </c>
      <c r="J5069" s="1" t="str">
        <f aca="false">VLOOKUP(B5069,Customers!$A$2:$G$502,6,FALSE())</f>
        <v>Consumer</v>
      </c>
      <c r="K5069" s="1" t="str">
        <f aca="false">VLOOKUP(C5069,Products!$A$2:$E$62,3,FALSE())</f>
        <v>Electronics</v>
      </c>
      <c r="L5069" s="1" t="str">
        <f aca="false">TEXT(D5069,"yyyy-mm")</f>
        <v>2023-10</v>
      </c>
    </row>
    <row r="5070" customFormat="false" ht="15" hidden="false" customHeight="true" outlineLevel="0" collapsed="false">
      <c r="A5070" s="1" t="n">
        <v>5177</v>
      </c>
      <c r="B5070" s="1" t="n">
        <v>434</v>
      </c>
      <c r="C5070" s="1" t="n">
        <v>55</v>
      </c>
      <c r="D5070" s="1" t="s">
        <v>897</v>
      </c>
      <c r="E5070" s="1" t="n">
        <v>2</v>
      </c>
      <c r="F5070" s="1" t="n">
        <v>123.38</v>
      </c>
      <c r="G5070" s="1" t="n">
        <v>0.05</v>
      </c>
      <c r="H5070" s="1" t="s">
        <v>1336</v>
      </c>
      <c r="I5070" s="1" t="n">
        <v>234.42</v>
      </c>
      <c r="J5070" s="1" t="str">
        <f aca="false">VLOOKUP(B5070,Customers!$A$2:$G$502,6,FALSE())</f>
        <v>Consumer</v>
      </c>
      <c r="K5070" s="1" t="str">
        <f aca="false">VLOOKUP(C5070,Products!$A$2:$E$62,3,FALSE())</f>
        <v>Furniture</v>
      </c>
      <c r="L5070" s="1" t="str">
        <f aca="false">TEXT(D5070,"yyyy-mm")</f>
        <v>2024-07</v>
      </c>
    </row>
    <row r="5071" customFormat="false" ht="15" hidden="false" customHeight="true" outlineLevel="0" collapsed="false">
      <c r="A5071" s="1" t="n">
        <v>5178</v>
      </c>
      <c r="B5071" s="1" t="n">
        <v>254</v>
      </c>
      <c r="C5071" s="1" t="n">
        <v>22</v>
      </c>
      <c r="D5071" s="1" t="s">
        <v>489</v>
      </c>
      <c r="E5071" s="1" t="n">
        <v>6</v>
      </c>
      <c r="F5071" s="1" t="n">
        <v>38.57</v>
      </c>
      <c r="G5071" s="1" t="n">
        <v>0</v>
      </c>
      <c r="H5071" s="1" t="s">
        <v>1336</v>
      </c>
      <c r="I5071" s="1" t="n">
        <v>231.42</v>
      </c>
      <c r="J5071" s="1" t="str">
        <f aca="false">VLOOKUP(B5071,Customers!$A$2:$G$502,6,FALSE())</f>
        <v>Small Business</v>
      </c>
      <c r="K5071" s="1" t="str">
        <f aca="false">VLOOKUP(C5071,Products!$A$2:$E$62,3,FALSE())</f>
        <v>Office Supplies</v>
      </c>
      <c r="L5071" s="1" t="str">
        <f aca="false">TEXT(D5071,"yyyy-mm")</f>
        <v>2024-12</v>
      </c>
    </row>
    <row r="5072" customFormat="false" ht="15" hidden="false" customHeight="true" outlineLevel="0" collapsed="false">
      <c r="A5072" s="1" t="n">
        <v>5179</v>
      </c>
      <c r="B5072" s="1" t="n">
        <v>380</v>
      </c>
      <c r="C5072" s="1" t="n">
        <v>26</v>
      </c>
      <c r="D5072" s="1" t="s">
        <v>464</v>
      </c>
      <c r="E5072" s="1" t="n">
        <v>1</v>
      </c>
      <c r="F5072" s="1" t="n">
        <v>733.85</v>
      </c>
      <c r="G5072" s="1" t="n">
        <v>0.1</v>
      </c>
      <c r="H5072" s="1" t="s">
        <v>1336</v>
      </c>
      <c r="I5072" s="1" t="n">
        <v>660.46</v>
      </c>
      <c r="J5072" s="1" t="str">
        <f aca="false">VLOOKUP(B5072,Customers!$A$2:$G$502,6,FALSE())</f>
        <v>Small Business</v>
      </c>
      <c r="K5072" s="1" t="str">
        <f aca="false">VLOOKUP(C5072,Products!$A$2:$E$62,3,FALSE())</f>
        <v>Office Supplies</v>
      </c>
      <c r="L5072" s="1" t="str">
        <f aca="false">TEXT(D5072,"yyyy-mm")</f>
        <v>2023-12</v>
      </c>
    </row>
    <row r="5073" customFormat="false" ht="15" hidden="false" customHeight="true" outlineLevel="0" collapsed="false">
      <c r="A5073" s="1" t="n">
        <v>5180</v>
      </c>
      <c r="B5073" s="1" t="n">
        <v>485</v>
      </c>
      <c r="C5073" s="1" t="n">
        <v>24</v>
      </c>
      <c r="D5073" s="1" t="s">
        <v>351</v>
      </c>
      <c r="E5073" s="1" t="n">
        <v>7</v>
      </c>
      <c r="F5073" s="1" t="n">
        <v>207.34</v>
      </c>
      <c r="G5073" s="1" t="n">
        <v>0</v>
      </c>
      <c r="H5073" s="1" t="s">
        <v>1336</v>
      </c>
      <c r="I5073" s="1" t="n">
        <v>1451.38</v>
      </c>
      <c r="J5073" s="1" t="str">
        <f aca="false">VLOOKUP(B5073,Customers!$A$2:$G$502,6,FALSE())</f>
        <v>Corporate</v>
      </c>
      <c r="K5073" s="1" t="str">
        <f aca="false">VLOOKUP(C5073,Products!$A$2:$E$62,3,FALSE())</f>
        <v>Office Supplies</v>
      </c>
      <c r="L5073" s="1" t="str">
        <f aca="false">TEXT(D5073,"yyyy-mm")</f>
        <v>2023-02</v>
      </c>
    </row>
    <row r="5074" customFormat="false" ht="15" hidden="false" customHeight="true" outlineLevel="0" collapsed="false">
      <c r="A5074" s="1" t="n">
        <v>5181</v>
      </c>
      <c r="B5074" s="1" t="n">
        <v>98</v>
      </c>
      <c r="C5074" s="1" t="n">
        <v>55</v>
      </c>
      <c r="D5074" s="1" t="s">
        <v>707</v>
      </c>
      <c r="E5074" s="1" t="n">
        <v>9</v>
      </c>
      <c r="F5074" s="1" t="n">
        <v>123.38</v>
      </c>
      <c r="G5074" s="1" t="n">
        <v>0.05</v>
      </c>
      <c r="H5074" s="1" t="s">
        <v>1336</v>
      </c>
      <c r="I5074" s="1" t="n">
        <v>1054.9</v>
      </c>
      <c r="J5074" s="1" t="str">
        <f aca="false">VLOOKUP(B5074,Customers!$A$2:$G$502,6,FALSE())</f>
        <v>Corporate</v>
      </c>
      <c r="K5074" s="1" t="str">
        <f aca="false">VLOOKUP(C5074,Products!$A$2:$E$62,3,FALSE())</f>
        <v>Furniture</v>
      </c>
      <c r="L5074" s="1" t="str">
        <f aca="false">TEXT(D5074,"yyyy-mm")</f>
        <v>2023-02</v>
      </c>
    </row>
    <row r="5075" customFormat="false" ht="15" hidden="false" customHeight="true" outlineLevel="0" collapsed="false">
      <c r="A5075" s="1" t="n">
        <v>5182</v>
      </c>
      <c r="B5075" s="1" t="n">
        <v>55</v>
      </c>
      <c r="C5075" s="1" t="n">
        <v>21</v>
      </c>
      <c r="D5075" s="1" t="s">
        <v>935</v>
      </c>
      <c r="E5075" s="1" t="n">
        <v>5</v>
      </c>
      <c r="F5075" s="1" t="n">
        <v>84.91</v>
      </c>
      <c r="G5075" s="1" t="n">
        <v>0</v>
      </c>
      <c r="H5075" s="1" t="s">
        <v>1336</v>
      </c>
      <c r="I5075" s="1" t="n">
        <v>424.55</v>
      </c>
      <c r="J5075" s="1" t="str">
        <f aca="false">VLOOKUP(B5075,Customers!$A$2:$G$502,6,FALSE())</f>
        <v>Consumer</v>
      </c>
      <c r="K5075" s="1" t="str">
        <f aca="false">VLOOKUP(C5075,Products!$A$2:$E$62,3,FALSE())</f>
        <v>Office Supplies</v>
      </c>
      <c r="L5075" s="1" t="str">
        <f aca="false">TEXT(D5075,"yyyy-mm")</f>
        <v>2024-02</v>
      </c>
    </row>
    <row r="5076" customFormat="false" ht="15" hidden="false" customHeight="true" outlineLevel="0" collapsed="false">
      <c r="A5076" s="1" t="n">
        <v>5183</v>
      </c>
      <c r="B5076" s="1" t="n">
        <v>248</v>
      </c>
      <c r="C5076" s="1" t="n">
        <v>56</v>
      </c>
      <c r="D5076" s="1" t="s">
        <v>1621</v>
      </c>
      <c r="E5076" s="1" t="n">
        <v>5</v>
      </c>
      <c r="F5076" s="1" t="n">
        <v>160.64</v>
      </c>
      <c r="G5076" s="1" t="n">
        <v>0</v>
      </c>
      <c r="H5076" s="1" t="s">
        <v>1336</v>
      </c>
      <c r="I5076" s="1" t="n">
        <v>803.2</v>
      </c>
      <c r="J5076" s="1" t="str">
        <f aca="false">VLOOKUP(B5076,Customers!$A$2:$G$502,6,FALSE())</f>
        <v>Small Business</v>
      </c>
      <c r="K5076" s="1" t="str">
        <f aca="false">VLOOKUP(C5076,Products!$A$2:$E$62,3,FALSE())</f>
        <v>Furniture</v>
      </c>
      <c r="L5076" s="1" t="str">
        <f aca="false">TEXT(D5076,"yyyy-mm")</f>
        <v>2024-06</v>
      </c>
    </row>
    <row r="5077" customFormat="false" ht="15" hidden="false" customHeight="true" outlineLevel="0" collapsed="false">
      <c r="A5077" s="1" t="n">
        <v>5184</v>
      </c>
      <c r="B5077" s="1" t="n">
        <v>58</v>
      </c>
      <c r="C5077" s="1" t="n">
        <v>19</v>
      </c>
      <c r="D5077" s="1" t="s">
        <v>1435</v>
      </c>
      <c r="E5077" s="1" t="n">
        <v>4</v>
      </c>
      <c r="F5077" s="1" t="n">
        <v>163.64</v>
      </c>
      <c r="G5077" s="1" t="n">
        <v>0</v>
      </c>
      <c r="H5077" s="1" t="s">
        <v>1336</v>
      </c>
      <c r="I5077" s="1" t="n">
        <v>654.56</v>
      </c>
      <c r="J5077" s="1" t="str">
        <f aca="false">VLOOKUP(B5077,Customers!$A$2:$G$502,6,FALSE())</f>
        <v>Consumer</v>
      </c>
      <c r="K5077" s="1" t="str">
        <f aca="false">VLOOKUP(C5077,Products!$A$2:$E$62,3,FALSE())</f>
        <v>Office Supplies</v>
      </c>
      <c r="L5077" s="1" t="str">
        <f aca="false">TEXT(D5077,"yyyy-mm")</f>
        <v>2024-08</v>
      </c>
    </row>
    <row r="5078" customFormat="false" ht="15" hidden="false" customHeight="true" outlineLevel="0" collapsed="false">
      <c r="A5078" s="1" t="n">
        <v>5185</v>
      </c>
      <c r="B5078" s="1" t="n">
        <v>446</v>
      </c>
      <c r="C5078" s="1" t="n">
        <v>57</v>
      </c>
      <c r="D5078" s="1" t="s">
        <v>1557</v>
      </c>
      <c r="E5078" s="1" t="n">
        <v>3</v>
      </c>
      <c r="F5078" s="1" t="n">
        <v>719.76</v>
      </c>
      <c r="G5078" s="1" t="n">
        <v>0.15</v>
      </c>
      <c r="H5078" s="1" t="s">
        <v>1336</v>
      </c>
      <c r="I5078" s="1" t="n">
        <v>1835.39</v>
      </c>
      <c r="J5078" s="1" t="str">
        <f aca="false">VLOOKUP(B5078,Customers!$A$2:$G$502,6,FALSE())</f>
        <v>Small Business</v>
      </c>
      <c r="K5078" s="1" t="str">
        <f aca="false">VLOOKUP(C5078,Products!$A$2:$E$62,3,FALSE())</f>
        <v>Furniture</v>
      </c>
      <c r="L5078" s="1" t="str">
        <f aca="false">TEXT(D5078,"yyyy-mm")</f>
        <v>2024-03</v>
      </c>
    </row>
    <row r="5079" customFormat="false" ht="15" hidden="false" customHeight="true" outlineLevel="0" collapsed="false">
      <c r="A5079" s="1" t="n">
        <v>5186</v>
      </c>
      <c r="B5079" s="1" t="n">
        <v>111</v>
      </c>
      <c r="C5079" s="1" t="n">
        <v>3</v>
      </c>
      <c r="D5079" s="1" t="s">
        <v>1662</v>
      </c>
      <c r="E5079" s="1" t="n">
        <v>9</v>
      </c>
      <c r="F5079" s="1" t="n">
        <v>89.39</v>
      </c>
      <c r="G5079" s="1" t="n">
        <v>0.1</v>
      </c>
      <c r="H5079" s="1" t="s">
        <v>1336</v>
      </c>
      <c r="I5079" s="1" t="n">
        <v>724.06</v>
      </c>
      <c r="J5079" s="1" t="str">
        <f aca="false">VLOOKUP(B5079,Customers!$A$2:$G$502,6,FALSE())</f>
        <v>Small Business</v>
      </c>
      <c r="K5079" s="1" t="str">
        <f aca="false">VLOOKUP(C5079,Products!$A$2:$E$62,3,FALSE())</f>
        <v>Electronics</v>
      </c>
      <c r="L5079" s="1" t="str">
        <f aca="false">TEXT(D5079,"yyyy-mm")</f>
        <v>2024-02</v>
      </c>
    </row>
    <row r="5080" customFormat="false" ht="15" hidden="false" customHeight="true" outlineLevel="0" collapsed="false">
      <c r="A5080" s="1" t="n">
        <v>5187</v>
      </c>
      <c r="B5080" s="1" t="n">
        <v>399</v>
      </c>
      <c r="C5080" s="1" t="n">
        <v>60</v>
      </c>
      <c r="D5080" s="1" t="s">
        <v>799</v>
      </c>
      <c r="E5080" s="1" t="n">
        <v>5</v>
      </c>
      <c r="F5080" s="1" t="n">
        <v>584.98</v>
      </c>
      <c r="G5080" s="1" t="n">
        <v>0</v>
      </c>
      <c r="H5080" s="1" t="s">
        <v>1336</v>
      </c>
      <c r="I5080" s="1" t="n">
        <v>2924.9</v>
      </c>
      <c r="J5080" s="1" t="str">
        <f aca="false">VLOOKUP(B5080,Customers!$A$2:$G$502,6,FALSE())</f>
        <v>Corporate</v>
      </c>
      <c r="K5080" s="1" t="str">
        <f aca="false">VLOOKUP(C5080,Products!$A$2:$E$62,3,FALSE())</f>
        <v>Furniture</v>
      </c>
      <c r="L5080" s="1" t="str">
        <f aca="false">TEXT(D5080,"yyyy-mm")</f>
        <v>2024-06</v>
      </c>
    </row>
    <row r="5081" customFormat="false" ht="15" hidden="false" customHeight="true" outlineLevel="0" collapsed="false">
      <c r="A5081" s="1" t="n">
        <v>5188</v>
      </c>
      <c r="B5081" s="1" t="n">
        <v>342</v>
      </c>
      <c r="C5081" s="1" t="n">
        <v>27</v>
      </c>
      <c r="D5081" s="1" t="s">
        <v>183</v>
      </c>
      <c r="E5081" s="1" t="n">
        <v>8</v>
      </c>
      <c r="F5081" s="1" t="n">
        <v>772.58</v>
      </c>
      <c r="G5081" s="1" t="n">
        <v>0.05</v>
      </c>
      <c r="H5081" s="1" t="s">
        <v>1336</v>
      </c>
      <c r="I5081" s="1" t="n">
        <v>5871.61</v>
      </c>
      <c r="J5081" s="1" t="str">
        <f aca="false">VLOOKUP(B5081,Customers!$A$2:$G$502,6,FALSE())</f>
        <v>Small Business</v>
      </c>
      <c r="K5081" s="1" t="str">
        <f aca="false">VLOOKUP(C5081,Products!$A$2:$E$62,3,FALSE())</f>
        <v>Office Supplies</v>
      </c>
      <c r="L5081" s="1" t="str">
        <f aca="false">TEXT(D5081,"yyyy-mm")</f>
        <v>2023-02</v>
      </c>
    </row>
    <row r="5082" customFormat="false" ht="15" hidden="false" customHeight="true" outlineLevel="0" collapsed="false">
      <c r="A5082" s="1" t="n">
        <v>5189</v>
      </c>
      <c r="B5082" s="1" t="n">
        <v>230</v>
      </c>
      <c r="C5082" s="1" t="n">
        <v>51</v>
      </c>
      <c r="D5082" s="1" t="s">
        <v>726</v>
      </c>
      <c r="E5082" s="1" t="n">
        <v>9</v>
      </c>
      <c r="F5082" s="1" t="n">
        <v>30.16</v>
      </c>
      <c r="G5082" s="1" t="n">
        <v>0.15</v>
      </c>
      <c r="H5082" s="1" t="s">
        <v>1346</v>
      </c>
      <c r="I5082" s="1" t="n">
        <v>230.72</v>
      </c>
      <c r="J5082" s="1" t="str">
        <f aca="false">VLOOKUP(B5082,Customers!$A$2:$G$502,6,FALSE())</f>
        <v>Corporate</v>
      </c>
      <c r="K5082" s="1" t="str">
        <f aca="false">VLOOKUP(C5082,Products!$A$2:$E$62,3,FALSE())</f>
        <v>Software</v>
      </c>
      <c r="L5082" s="1" t="str">
        <f aca="false">TEXT(D5082,"yyyy-mm")</f>
        <v>2023-09</v>
      </c>
    </row>
    <row r="5083" customFormat="false" ht="15" hidden="false" customHeight="true" outlineLevel="0" collapsed="false">
      <c r="A5083" s="1" t="n">
        <v>5190</v>
      </c>
      <c r="B5083" s="1" t="n">
        <v>164</v>
      </c>
      <c r="C5083" s="1" t="n">
        <v>48</v>
      </c>
      <c r="D5083" s="1" t="s">
        <v>653</v>
      </c>
      <c r="E5083" s="1" t="n">
        <v>5</v>
      </c>
      <c r="F5083" s="1" t="n">
        <v>493.53</v>
      </c>
      <c r="G5083" s="1" t="n">
        <v>0.15</v>
      </c>
      <c r="H5083" s="1" t="s">
        <v>1346</v>
      </c>
      <c r="I5083" s="1" t="n">
        <v>2097.5</v>
      </c>
      <c r="J5083" s="1" t="str">
        <f aca="false">VLOOKUP(B5083,Customers!$A$2:$G$502,6,FALSE())</f>
        <v>Consumer</v>
      </c>
      <c r="K5083" s="1" t="str">
        <f aca="false">VLOOKUP(C5083,Products!$A$2:$E$62,3,FALSE())</f>
        <v>Software</v>
      </c>
      <c r="L5083" s="1" t="str">
        <f aca="false">TEXT(D5083,"yyyy-mm")</f>
        <v>2024-10</v>
      </c>
    </row>
    <row r="5084" customFormat="false" ht="15" hidden="false" customHeight="true" outlineLevel="0" collapsed="false">
      <c r="A5084" s="1" t="n">
        <v>5191</v>
      </c>
      <c r="B5084" s="1" t="n">
        <v>7</v>
      </c>
      <c r="C5084" s="1" t="n">
        <v>19</v>
      </c>
      <c r="D5084" s="1" t="s">
        <v>461</v>
      </c>
      <c r="E5084" s="1" t="n">
        <v>9</v>
      </c>
      <c r="F5084" s="1" t="n">
        <v>163.64</v>
      </c>
      <c r="G5084" s="1" t="n">
        <v>0</v>
      </c>
      <c r="H5084" s="1" t="s">
        <v>1336</v>
      </c>
      <c r="I5084" s="1" t="n">
        <v>1472.76</v>
      </c>
      <c r="J5084" s="1" t="str">
        <f aca="false">VLOOKUP(B5084,Customers!$A$2:$G$502,6,FALSE())</f>
        <v>Small Business</v>
      </c>
      <c r="K5084" s="1" t="str">
        <f aca="false">VLOOKUP(C5084,Products!$A$2:$E$62,3,FALSE())</f>
        <v>Office Supplies</v>
      </c>
      <c r="L5084" s="1" t="str">
        <f aca="false">TEXT(D5084,"yyyy-mm")</f>
        <v>2023-02</v>
      </c>
    </row>
    <row r="5085" customFormat="false" ht="15" hidden="false" customHeight="true" outlineLevel="0" collapsed="false">
      <c r="A5085" s="1" t="n">
        <v>5192</v>
      </c>
      <c r="B5085" s="1" t="n">
        <v>378</v>
      </c>
      <c r="C5085" s="1" t="n">
        <v>33</v>
      </c>
      <c r="D5085" s="1" t="s">
        <v>1340</v>
      </c>
      <c r="E5085" s="1" t="n">
        <v>2</v>
      </c>
      <c r="F5085" s="1" t="n">
        <v>190.1</v>
      </c>
      <c r="G5085" s="1" t="n">
        <v>0</v>
      </c>
      <c r="H5085" s="1" t="s">
        <v>1336</v>
      </c>
      <c r="I5085" s="1" t="n">
        <v>380.2</v>
      </c>
      <c r="J5085" s="1" t="str">
        <f aca="false">VLOOKUP(B5085,Customers!$A$2:$G$502,6,FALSE())</f>
        <v>Small Business</v>
      </c>
      <c r="K5085" s="1" t="str">
        <f aca="false">VLOOKUP(C5085,Products!$A$2:$E$62,3,FALSE())</f>
        <v>Office Supplies</v>
      </c>
      <c r="L5085" s="1" t="str">
        <f aca="false">TEXT(D5085,"yyyy-mm")</f>
        <v>2024-07</v>
      </c>
    </row>
    <row r="5086" customFormat="false" ht="15" hidden="false" customHeight="true" outlineLevel="0" collapsed="false">
      <c r="A5086" s="1" t="n">
        <v>5193</v>
      </c>
      <c r="B5086" s="1" t="n">
        <v>230</v>
      </c>
      <c r="C5086" s="1" t="n">
        <v>10</v>
      </c>
      <c r="D5086" s="1" t="s">
        <v>214</v>
      </c>
      <c r="E5086" s="1" t="n">
        <v>9</v>
      </c>
      <c r="F5086" s="1" t="n">
        <v>251.58</v>
      </c>
      <c r="G5086" s="1" t="n">
        <v>0</v>
      </c>
      <c r="H5086" s="1" t="s">
        <v>1336</v>
      </c>
      <c r="I5086" s="1" t="n">
        <v>2264.22</v>
      </c>
      <c r="J5086" s="1" t="str">
        <f aca="false">VLOOKUP(B5086,Customers!$A$2:$G$502,6,FALSE())</f>
        <v>Corporate</v>
      </c>
      <c r="K5086" s="1" t="str">
        <f aca="false">VLOOKUP(C5086,Products!$A$2:$E$62,3,FALSE())</f>
        <v>Electronics</v>
      </c>
      <c r="L5086" s="1" t="str">
        <f aca="false">TEXT(D5086,"yyyy-mm")</f>
        <v>2023-08</v>
      </c>
    </row>
    <row r="5087" customFormat="false" ht="15" hidden="false" customHeight="true" outlineLevel="0" collapsed="false">
      <c r="A5087" s="1" t="n">
        <v>5194</v>
      </c>
      <c r="B5087" s="1" t="n">
        <v>77</v>
      </c>
      <c r="C5087" s="1" t="n">
        <v>3</v>
      </c>
      <c r="D5087" s="1" t="s">
        <v>1626</v>
      </c>
      <c r="E5087" s="1" t="n">
        <v>4</v>
      </c>
      <c r="F5087" s="1" t="n">
        <v>89.39</v>
      </c>
      <c r="G5087" s="1" t="n">
        <v>0</v>
      </c>
      <c r="H5087" s="1" t="s">
        <v>1336</v>
      </c>
      <c r="I5087" s="1" t="n">
        <v>357.56</v>
      </c>
      <c r="J5087" s="1" t="str">
        <f aca="false">VLOOKUP(B5087,Customers!$A$2:$G$502,6,FALSE())</f>
        <v>Consumer</v>
      </c>
      <c r="K5087" s="1" t="str">
        <f aca="false">VLOOKUP(C5087,Products!$A$2:$E$62,3,FALSE())</f>
        <v>Electronics</v>
      </c>
      <c r="L5087" s="1" t="str">
        <f aca="false">TEXT(D5087,"yyyy-mm")</f>
        <v>2024-06</v>
      </c>
    </row>
    <row r="5088" customFormat="false" ht="15" hidden="false" customHeight="true" outlineLevel="0" collapsed="false">
      <c r="A5088" s="1" t="n">
        <v>5195</v>
      </c>
      <c r="B5088" s="1" t="n">
        <v>190</v>
      </c>
      <c r="C5088" s="1" t="n">
        <v>4</v>
      </c>
      <c r="D5088" s="1" t="s">
        <v>552</v>
      </c>
      <c r="E5088" s="1" t="n">
        <v>6</v>
      </c>
      <c r="F5088" s="1" t="n">
        <v>56.24</v>
      </c>
      <c r="G5088" s="1" t="n">
        <v>0.15</v>
      </c>
      <c r="H5088" s="1" t="s">
        <v>1370</v>
      </c>
      <c r="I5088" s="1" t="n">
        <v>286.82</v>
      </c>
      <c r="J5088" s="1" t="str">
        <f aca="false">VLOOKUP(B5088,Customers!$A$2:$G$502,6,FALSE())</f>
        <v>Corporate</v>
      </c>
      <c r="K5088" s="1" t="str">
        <f aca="false">VLOOKUP(C5088,Products!$A$2:$E$62,3,FALSE())</f>
        <v>Electronics</v>
      </c>
      <c r="L5088" s="1" t="str">
        <f aca="false">TEXT(D5088,"yyyy-mm")</f>
        <v>2024-04</v>
      </c>
    </row>
    <row r="5089" customFormat="false" ht="15" hidden="false" customHeight="true" outlineLevel="0" collapsed="false">
      <c r="A5089" s="1" t="n">
        <v>5196</v>
      </c>
      <c r="B5089" s="1" t="n">
        <v>195</v>
      </c>
      <c r="C5089" s="1" t="n">
        <v>1</v>
      </c>
      <c r="D5089" s="1" t="s">
        <v>989</v>
      </c>
      <c r="E5089" s="1" t="n">
        <v>6</v>
      </c>
      <c r="F5089" s="1" t="n">
        <v>327.32</v>
      </c>
      <c r="G5089" s="1" t="n">
        <v>0.15</v>
      </c>
      <c r="H5089" s="1" t="s">
        <v>1336</v>
      </c>
      <c r="I5089" s="1" t="n">
        <v>1669.33</v>
      </c>
      <c r="J5089" s="1" t="str">
        <f aca="false">VLOOKUP(B5089,Customers!$A$2:$G$502,6,FALSE())</f>
        <v>Corporate</v>
      </c>
      <c r="K5089" s="1" t="str">
        <f aca="false">VLOOKUP(C5089,Products!$A$2:$E$62,3,FALSE())</f>
        <v>Electronics</v>
      </c>
      <c r="L5089" s="1" t="str">
        <f aca="false">TEXT(D5089,"yyyy-mm")</f>
        <v>2024-06</v>
      </c>
    </row>
    <row r="5090" customFormat="false" ht="15" hidden="false" customHeight="true" outlineLevel="0" collapsed="false">
      <c r="A5090" s="1" t="n">
        <v>5198</v>
      </c>
      <c r="B5090" s="1" t="n">
        <v>142</v>
      </c>
      <c r="C5090" s="1" t="n">
        <v>29</v>
      </c>
      <c r="D5090" s="1" t="s">
        <v>179</v>
      </c>
      <c r="E5090" s="1" t="n">
        <v>2</v>
      </c>
      <c r="F5090" s="1" t="n">
        <v>54.62</v>
      </c>
      <c r="G5090" s="1" t="n">
        <v>0.15</v>
      </c>
      <c r="H5090" s="1" t="s">
        <v>1336</v>
      </c>
      <c r="I5090" s="1" t="n">
        <v>92.85</v>
      </c>
      <c r="J5090" s="1" t="str">
        <f aca="false">VLOOKUP(B5090,Customers!$A$2:$G$502,6,FALSE())</f>
        <v>Small Business</v>
      </c>
      <c r="K5090" s="1" t="str">
        <f aca="false">VLOOKUP(C5090,Products!$A$2:$E$62,3,FALSE())</f>
        <v>Office Supplies</v>
      </c>
      <c r="L5090" s="1" t="str">
        <f aca="false">TEXT(D5090,"yyyy-mm")</f>
        <v>2024-11</v>
      </c>
    </row>
    <row r="5091" customFormat="false" ht="15" hidden="false" customHeight="true" outlineLevel="0" collapsed="false">
      <c r="A5091" s="1" t="n">
        <v>5199</v>
      </c>
      <c r="B5091" s="1" t="n">
        <v>283</v>
      </c>
      <c r="C5091" s="1" t="n">
        <v>20</v>
      </c>
      <c r="D5091" s="1" t="s">
        <v>351</v>
      </c>
      <c r="E5091" s="1" t="n">
        <v>7</v>
      </c>
      <c r="F5091" s="1" t="n">
        <v>426.15</v>
      </c>
      <c r="G5091" s="1" t="n">
        <v>0.15</v>
      </c>
      <c r="H5091" s="1" t="s">
        <v>1336</v>
      </c>
      <c r="I5091" s="1" t="n">
        <v>2535.59</v>
      </c>
      <c r="J5091" s="1" t="str">
        <f aca="false">VLOOKUP(B5091,Customers!$A$2:$G$502,6,FALSE())</f>
        <v>Small Business</v>
      </c>
      <c r="K5091" s="1" t="str">
        <f aca="false">VLOOKUP(C5091,Products!$A$2:$E$62,3,FALSE())</f>
        <v>Office Supplies</v>
      </c>
      <c r="L5091" s="1" t="str">
        <f aca="false">TEXT(D5091,"yyyy-mm")</f>
        <v>2023-02</v>
      </c>
    </row>
    <row r="5092" customFormat="false" ht="15" hidden="false" customHeight="true" outlineLevel="0" collapsed="false">
      <c r="A5092" s="1" t="n">
        <v>5200</v>
      </c>
      <c r="B5092" s="1" t="n">
        <v>448</v>
      </c>
      <c r="C5092" s="1" t="n">
        <v>58</v>
      </c>
      <c r="D5092" s="1" t="s">
        <v>1367</v>
      </c>
      <c r="E5092" s="1" t="n">
        <v>6</v>
      </c>
      <c r="F5092" s="1" t="n">
        <v>515.55</v>
      </c>
      <c r="G5092" s="1" t="n">
        <v>0.1</v>
      </c>
      <c r="H5092" s="1" t="s">
        <v>1336</v>
      </c>
      <c r="I5092" s="1" t="n">
        <v>2783.97</v>
      </c>
      <c r="J5092" s="1" t="str">
        <f aca="false">VLOOKUP(B5092,Customers!$A$2:$G$502,6,FALSE())</f>
        <v>Corporate</v>
      </c>
      <c r="K5092" s="1" t="str">
        <f aca="false">VLOOKUP(C5092,Products!$A$2:$E$62,3,FALSE())</f>
        <v>Furniture</v>
      </c>
      <c r="L5092" s="1" t="str">
        <f aca="false">TEXT(D5092,"yyyy-mm")</f>
        <v>2024-08</v>
      </c>
    </row>
    <row r="5093" customFormat="false" ht="15" hidden="false" customHeight="true" outlineLevel="0" collapsed="false">
      <c r="A5093" s="1" t="n">
        <v>5201</v>
      </c>
      <c r="B5093" s="1" t="n">
        <v>158</v>
      </c>
      <c r="C5093" s="1" t="n">
        <v>40</v>
      </c>
      <c r="D5093" s="1" t="s">
        <v>1409</v>
      </c>
      <c r="E5093" s="1" t="n">
        <v>1</v>
      </c>
      <c r="F5093" s="1" t="n">
        <v>193.02</v>
      </c>
      <c r="G5093" s="1" t="n">
        <v>0</v>
      </c>
      <c r="H5093" s="1" t="s">
        <v>1336</v>
      </c>
      <c r="I5093" s="1" t="n">
        <v>193.02</v>
      </c>
      <c r="J5093" s="1" t="str">
        <f aca="false">VLOOKUP(B5093,Customers!$A$2:$G$502,6,FALSE())</f>
        <v>Small Business</v>
      </c>
      <c r="K5093" s="1" t="str">
        <f aca="false">VLOOKUP(C5093,Products!$A$2:$E$62,3,FALSE())</f>
        <v>Software</v>
      </c>
      <c r="L5093" s="1" t="str">
        <f aca="false">TEXT(D5093,"yyyy-mm")</f>
        <v>2023-09</v>
      </c>
    </row>
    <row r="5094" customFormat="false" ht="15" hidden="false" customHeight="true" outlineLevel="0" collapsed="false">
      <c r="A5094" s="1" t="n">
        <v>5202</v>
      </c>
      <c r="B5094" s="1" t="n">
        <v>423</v>
      </c>
      <c r="C5094" s="1" t="n">
        <v>33</v>
      </c>
      <c r="D5094" s="1" t="s">
        <v>1658</v>
      </c>
      <c r="E5094" s="1" t="n">
        <v>2</v>
      </c>
      <c r="F5094" s="1" t="n">
        <v>190.1</v>
      </c>
      <c r="G5094" s="1" t="n">
        <v>0.15</v>
      </c>
      <c r="H5094" s="1" t="s">
        <v>1336</v>
      </c>
      <c r="I5094" s="1" t="n">
        <v>323.17</v>
      </c>
      <c r="J5094" s="1" t="str">
        <f aca="false">VLOOKUP(B5094,Customers!$A$2:$G$502,6,FALSE())</f>
        <v>Small Business</v>
      </c>
      <c r="K5094" s="1" t="str">
        <f aca="false">VLOOKUP(C5094,Products!$A$2:$E$62,3,FALSE())</f>
        <v>Office Supplies</v>
      </c>
      <c r="L5094" s="1" t="str">
        <f aca="false">TEXT(D5094,"yyyy-mm")</f>
        <v>2023-02</v>
      </c>
    </row>
    <row r="5095" customFormat="false" ht="15" hidden="false" customHeight="true" outlineLevel="0" collapsed="false">
      <c r="A5095" s="1" t="n">
        <v>5203</v>
      </c>
      <c r="B5095" s="1" t="n">
        <v>150</v>
      </c>
      <c r="C5095" s="1" t="n">
        <v>32</v>
      </c>
      <c r="D5095" s="1" t="s">
        <v>100</v>
      </c>
      <c r="E5095" s="1" t="n">
        <v>7</v>
      </c>
      <c r="F5095" s="1" t="n">
        <v>492.27</v>
      </c>
      <c r="G5095" s="1" t="n">
        <v>0.2</v>
      </c>
      <c r="H5095" s="1" t="s">
        <v>1336</v>
      </c>
      <c r="I5095" s="1" t="n">
        <v>2756.71</v>
      </c>
      <c r="J5095" s="1" t="str">
        <f aca="false">VLOOKUP(B5095,Customers!$A$2:$G$502,6,FALSE())</f>
        <v>Corporate</v>
      </c>
      <c r="K5095" s="1" t="str">
        <f aca="false">VLOOKUP(C5095,Products!$A$2:$E$62,3,FALSE())</f>
        <v>Office Supplies</v>
      </c>
      <c r="L5095" s="1" t="str">
        <f aca="false">TEXT(D5095,"yyyy-mm")</f>
        <v>2023-05</v>
      </c>
    </row>
    <row r="5096" customFormat="false" ht="15" hidden="false" customHeight="true" outlineLevel="0" collapsed="false">
      <c r="A5096" s="1" t="n">
        <v>5204</v>
      </c>
      <c r="B5096" s="1" t="n">
        <v>50</v>
      </c>
      <c r="C5096" s="1" t="n">
        <v>32</v>
      </c>
      <c r="D5096" s="1" t="s">
        <v>1697</v>
      </c>
      <c r="E5096" s="1" t="n">
        <v>1</v>
      </c>
      <c r="F5096" s="1" t="n">
        <v>492.27</v>
      </c>
      <c r="G5096" s="1" t="n">
        <v>0.1</v>
      </c>
      <c r="H5096" s="1" t="s">
        <v>1336</v>
      </c>
      <c r="I5096" s="1" t="n">
        <v>443.04</v>
      </c>
      <c r="J5096" s="1" t="str">
        <f aca="false">VLOOKUP(B5096,Customers!$A$2:$G$502,6,FALSE())</f>
        <v>Consumer</v>
      </c>
      <c r="K5096" s="1" t="str">
        <f aca="false">VLOOKUP(C5096,Products!$A$2:$E$62,3,FALSE())</f>
        <v>Office Supplies</v>
      </c>
      <c r="L5096" s="1" t="str">
        <f aca="false">TEXT(D5096,"yyyy-mm")</f>
        <v>2023-02</v>
      </c>
    </row>
    <row r="5097" customFormat="false" ht="15" hidden="false" customHeight="true" outlineLevel="0" collapsed="false">
      <c r="A5097" s="1" t="n">
        <v>5205</v>
      </c>
      <c r="B5097" s="1" t="n">
        <v>152</v>
      </c>
      <c r="C5097" s="1" t="n">
        <v>56</v>
      </c>
      <c r="D5097" s="1" t="s">
        <v>1089</v>
      </c>
      <c r="E5097" s="1" t="n">
        <v>1</v>
      </c>
      <c r="F5097" s="1" t="n">
        <v>160.64</v>
      </c>
      <c r="G5097" s="1" t="n">
        <v>0.15</v>
      </c>
      <c r="H5097" s="1" t="s">
        <v>1336</v>
      </c>
      <c r="I5097" s="1" t="n">
        <v>136.54</v>
      </c>
      <c r="J5097" s="1" t="str">
        <f aca="false">VLOOKUP(B5097,Customers!$A$2:$G$502,6,FALSE())</f>
        <v>Corporate</v>
      </c>
      <c r="K5097" s="1" t="str">
        <f aca="false">VLOOKUP(C5097,Products!$A$2:$E$62,3,FALSE())</f>
        <v>Furniture</v>
      </c>
      <c r="L5097" s="1" t="str">
        <f aca="false">TEXT(D5097,"yyyy-mm")</f>
        <v>2024-10</v>
      </c>
    </row>
    <row r="5098" customFormat="false" ht="15" hidden="false" customHeight="true" outlineLevel="0" collapsed="false">
      <c r="A5098" s="1" t="n">
        <v>5206</v>
      </c>
      <c r="B5098" s="1" t="n">
        <v>323</v>
      </c>
      <c r="C5098" s="1" t="n">
        <v>54</v>
      </c>
      <c r="D5098" s="1" t="s">
        <v>832</v>
      </c>
      <c r="E5098" s="1" t="n">
        <v>1</v>
      </c>
      <c r="F5098" s="1" t="n">
        <v>312.01</v>
      </c>
      <c r="G5098" s="1" t="n">
        <v>0.05</v>
      </c>
      <c r="H5098" s="1" t="s">
        <v>1336</v>
      </c>
      <c r="I5098" s="1" t="n">
        <v>296.41</v>
      </c>
      <c r="J5098" s="1" t="str">
        <f aca="false">VLOOKUP(B5098,Customers!$A$2:$G$502,6,FALSE())</f>
        <v>Consumer</v>
      </c>
      <c r="K5098" s="1" t="str">
        <f aca="false">VLOOKUP(C5098,Products!$A$2:$E$62,3,FALSE())</f>
        <v>Software</v>
      </c>
      <c r="L5098" s="1" t="str">
        <f aca="false">TEXT(D5098,"yyyy-mm")</f>
        <v>2024-12</v>
      </c>
    </row>
    <row r="5099" customFormat="false" ht="15" hidden="false" customHeight="true" outlineLevel="0" collapsed="false">
      <c r="A5099" s="1" t="n">
        <v>5208</v>
      </c>
      <c r="B5099" s="1" t="n">
        <v>360</v>
      </c>
      <c r="C5099" s="1" t="n">
        <v>56</v>
      </c>
      <c r="D5099" s="1" t="s">
        <v>295</v>
      </c>
      <c r="E5099" s="1" t="n">
        <v>4</v>
      </c>
      <c r="F5099" s="1" t="n">
        <v>160.64</v>
      </c>
      <c r="G5099" s="1" t="n">
        <v>0.2</v>
      </c>
      <c r="H5099" s="1" t="s">
        <v>1336</v>
      </c>
      <c r="I5099" s="1" t="n">
        <v>514.05</v>
      </c>
      <c r="J5099" s="1" t="str">
        <f aca="false">VLOOKUP(B5099,Customers!$A$2:$G$502,6,FALSE())</f>
        <v>Corporate</v>
      </c>
      <c r="K5099" s="1" t="str">
        <f aca="false">VLOOKUP(C5099,Products!$A$2:$E$62,3,FALSE())</f>
        <v>Furniture</v>
      </c>
      <c r="L5099" s="1" t="str">
        <f aca="false">TEXT(D5099,"yyyy-mm")</f>
        <v>2024-07</v>
      </c>
    </row>
    <row r="5100" customFormat="false" ht="15" hidden="false" customHeight="true" outlineLevel="0" collapsed="false">
      <c r="A5100" s="1" t="n">
        <v>5209</v>
      </c>
      <c r="B5100" s="1" t="n">
        <v>432</v>
      </c>
      <c r="C5100" s="1" t="n">
        <v>21</v>
      </c>
      <c r="D5100" s="1" t="s">
        <v>904</v>
      </c>
      <c r="E5100" s="1" t="n">
        <v>4</v>
      </c>
      <c r="F5100" s="1" t="n">
        <v>84.91</v>
      </c>
      <c r="G5100" s="1" t="n">
        <v>0</v>
      </c>
      <c r="H5100" s="1" t="s">
        <v>1336</v>
      </c>
      <c r="I5100" s="1" t="n">
        <v>339.64</v>
      </c>
      <c r="J5100" s="1" t="str">
        <f aca="false">VLOOKUP(B5100,Customers!$A$2:$G$502,6,FALSE())</f>
        <v>Consumer</v>
      </c>
      <c r="K5100" s="1" t="str">
        <f aca="false">VLOOKUP(C5100,Products!$A$2:$E$62,3,FALSE())</f>
        <v>Office Supplies</v>
      </c>
      <c r="L5100" s="1" t="str">
        <f aca="false">TEXT(D5100,"yyyy-mm")</f>
        <v>2023-04</v>
      </c>
    </row>
    <row r="5101" customFormat="false" ht="15" hidden="false" customHeight="true" outlineLevel="0" collapsed="false">
      <c r="A5101" s="1" t="n">
        <v>5210</v>
      </c>
      <c r="B5101" s="1" t="n">
        <v>290</v>
      </c>
      <c r="C5101" s="1" t="n">
        <v>38</v>
      </c>
      <c r="D5101" s="1" t="s">
        <v>722</v>
      </c>
      <c r="E5101" s="1" t="n">
        <v>2</v>
      </c>
      <c r="F5101" s="1" t="n">
        <v>521.63</v>
      </c>
      <c r="G5101" s="1" t="n">
        <v>0</v>
      </c>
      <c r="H5101" s="1" t="s">
        <v>1336</v>
      </c>
      <c r="I5101" s="1" t="n">
        <v>1043.26</v>
      </c>
      <c r="J5101" s="1" t="str">
        <f aca="false">VLOOKUP(B5101,Customers!$A$2:$G$502,6,FALSE())</f>
        <v>Consumer</v>
      </c>
      <c r="K5101" s="1" t="str">
        <f aca="false">VLOOKUP(C5101,Products!$A$2:$E$62,3,FALSE())</f>
        <v>Software</v>
      </c>
      <c r="L5101" s="1" t="str">
        <f aca="false">TEXT(D5101,"yyyy-mm")</f>
        <v>2024-05</v>
      </c>
    </row>
    <row r="5102" customFormat="false" ht="15" hidden="false" customHeight="true" outlineLevel="0" collapsed="false">
      <c r="A5102" s="1" t="n">
        <v>5211</v>
      </c>
      <c r="B5102" s="1" t="n">
        <v>496</v>
      </c>
      <c r="C5102" s="1" t="n">
        <v>8</v>
      </c>
      <c r="D5102" s="1" t="s">
        <v>1509</v>
      </c>
      <c r="E5102" s="1" t="n">
        <v>1</v>
      </c>
      <c r="F5102" s="1" t="n">
        <v>104.4</v>
      </c>
      <c r="G5102" s="1" t="n">
        <v>0.05</v>
      </c>
      <c r="H5102" s="1" t="s">
        <v>1370</v>
      </c>
      <c r="I5102" s="1" t="n">
        <v>99.18</v>
      </c>
      <c r="J5102" s="1" t="str">
        <f aca="false">VLOOKUP(B5102,Customers!$A$2:$G$502,6,FALSE())</f>
        <v>Small Business</v>
      </c>
      <c r="K5102" s="1" t="str">
        <f aca="false">VLOOKUP(C5102,Products!$A$2:$E$62,3,FALSE())</f>
        <v>Electronics</v>
      </c>
      <c r="L5102" s="1" t="str">
        <f aca="false">TEXT(D5102,"yyyy-mm")</f>
        <v>2024-02</v>
      </c>
    </row>
    <row r="5103" customFormat="false" ht="15" hidden="false" customHeight="true" outlineLevel="0" collapsed="false">
      <c r="A5103" s="1" t="n">
        <v>5212</v>
      </c>
      <c r="B5103" s="1" t="n">
        <v>118</v>
      </c>
      <c r="C5103" s="1" t="n">
        <v>55</v>
      </c>
      <c r="D5103" s="1" t="s">
        <v>1160</v>
      </c>
      <c r="E5103" s="1" t="n">
        <v>9</v>
      </c>
      <c r="F5103" s="1" t="n">
        <v>123.38</v>
      </c>
      <c r="G5103" s="1" t="n">
        <v>0.1</v>
      </c>
      <c r="H5103" s="1" t="s">
        <v>1336</v>
      </c>
      <c r="I5103" s="1" t="n">
        <v>999.38</v>
      </c>
      <c r="J5103" s="1" t="str">
        <f aca="false">VLOOKUP(B5103,Customers!$A$2:$G$502,6,FALSE())</f>
        <v>Small Business</v>
      </c>
      <c r="K5103" s="1" t="str">
        <f aca="false">VLOOKUP(C5103,Products!$A$2:$E$62,3,FALSE())</f>
        <v>Furniture</v>
      </c>
      <c r="L5103" s="1" t="str">
        <f aca="false">TEXT(D5103,"yyyy-mm")</f>
        <v>2024-10</v>
      </c>
    </row>
    <row r="5104" customFormat="false" ht="15" hidden="false" customHeight="true" outlineLevel="0" collapsed="false">
      <c r="A5104" s="1" t="n">
        <v>5213</v>
      </c>
      <c r="B5104" s="1" t="n">
        <v>187</v>
      </c>
      <c r="C5104" s="1" t="n">
        <v>4</v>
      </c>
      <c r="D5104" s="1" t="s">
        <v>1505</v>
      </c>
      <c r="E5104" s="1" t="n">
        <v>7</v>
      </c>
      <c r="F5104" s="1" t="n">
        <v>56.24</v>
      </c>
      <c r="G5104" s="1" t="n">
        <v>0.05</v>
      </c>
      <c r="H5104" s="1" t="s">
        <v>1336</v>
      </c>
      <c r="I5104" s="1" t="n">
        <v>374</v>
      </c>
      <c r="J5104" s="1" t="str">
        <f aca="false">VLOOKUP(B5104,Customers!$A$2:$G$502,6,FALSE())</f>
        <v>Consumer</v>
      </c>
      <c r="K5104" s="1" t="str">
        <f aca="false">VLOOKUP(C5104,Products!$A$2:$E$62,3,FALSE())</f>
        <v>Electronics</v>
      </c>
      <c r="L5104" s="1" t="str">
        <f aca="false">TEXT(D5104,"yyyy-mm")</f>
        <v>2023-04</v>
      </c>
    </row>
    <row r="5105" customFormat="false" ht="15" hidden="false" customHeight="true" outlineLevel="0" collapsed="false">
      <c r="A5105" s="1" t="n">
        <v>5214</v>
      </c>
      <c r="B5105" s="1" t="n">
        <v>190</v>
      </c>
      <c r="C5105" s="1" t="n">
        <v>29</v>
      </c>
      <c r="D5105" s="1" t="s">
        <v>1579</v>
      </c>
      <c r="E5105" s="1" t="n">
        <v>4</v>
      </c>
      <c r="F5105" s="1" t="n">
        <v>54.62</v>
      </c>
      <c r="G5105" s="1" t="n">
        <v>0</v>
      </c>
      <c r="H5105" s="1" t="s">
        <v>1336</v>
      </c>
      <c r="I5105" s="1" t="n">
        <v>218.48</v>
      </c>
      <c r="J5105" s="1" t="str">
        <f aca="false">VLOOKUP(B5105,Customers!$A$2:$G$502,6,FALSE())</f>
        <v>Corporate</v>
      </c>
      <c r="K5105" s="1" t="str">
        <f aca="false">VLOOKUP(C5105,Products!$A$2:$E$62,3,FALSE())</f>
        <v>Office Supplies</v>
      </c>
      <c r="L5105" s="1" t="str">
        <f aca="false">TEXT(D5105,"yyyy-mm")</f>
        <v>2023-08</v>
      </c>
    </row>
    <row r="5106" customFormat="false" ht="15" hidden="false" customHeight="true" outlineLevel="0" collapsed="false">
      <c r="A5106" s="1" t="n">
        <v>5215</v>
      </c>
      <c r="B5106" s="1" t="n">
        <v>207</v>
      </c>
      <c r="C5106" s="1" t="n">
        <v>38</v>
      </c>
      <c r="D5106" s="1" t="s">
        <v>71</v>
      </c>
      <c r="E5106" s="1" t="n">
        <v>6</v>
      </c>
      <c r="F5106" s="1" t="n">
        <v>521.63</v>
      </c>
      <c r="G5106" s="1" t="n">
        <v>0.05</v>
      </c>
      <c r="H5106" s="1" t="s">
        <v>1336</v>
      </c>
      <c r="I5106" s="1" t="n">
        <v>2973.29</v>
      </c>
      <c r="J5106" s="1" t="str">
        <f aca="false">VLOOKUP(B5106,Customers!$A$2:$G$502,6,FALSE())</f>
        <v>Corporate</v>
      </c>
      <c r="K5106" s="1" t="str">
        <f aca="false">VLOOKUP(C5106,Products!$A$2:$E$62,3,FALSE())</f>
        <v>Software</v>
      </c>
      <c r="L5106" s="1" t="str">
        <f aca="false">TEXT(D5106,"yyyy-mm")</f>
        <v>2024-05</v>
      </c>
    </row>
    <row r="5107" customFormat="false" ht="15" hidden="false" customHeight="true" outlineLevel="0" collapsed="false">
      <c r="A5107" s="1" t="n">
        <v>5216</v>
      </c>
      <c r="B5107" s="1" t="n">
        <v>454</v>
      </c>
      <c r="C5107" s="1" t="n">
        <v>38</v>
      </c>
      <c r="D5107" s="1" t="s">
        <v>44</v>
      </c>
      <c r="E5107" s="1" t="n">
        <v>2</v>
      </c>
      <c r="F5107" s="1" t="n">
        <v>521.63</v>
      </c>
      <c r="G5107" s="1" t="n">
        <v>0.05</v>
      </c>
      <c r="H5107" s="1" t="s">
        <v>1336</v>
      </c>
      <c r="I5107" s="1" t="n">
        <v>991.1</v>
      </c>
      <c r="J5107" s="1" t="str">
        <f aca="false">VLOOKUP(B5107,Customers!$A$2:$G$502,6,FALSE())</f>
        <v>Consumer</v>
      </c>
      <c r="K5107" s="1" t="str">
        <f aca="false">VLOOKUP(C5107,Products!$A$2:$E$62,3,FALSE())</f>
        <v>Software</v>
      </c>
      <c r="L5107" s="1" t="str">
        <f aca="false">TEXT(D5107,"yyyy-mm")</f>
        <v>2023-12</v>
      </c>
    </row>
    <row r="5108" customFormat="false" ht="15" hidden="false" customHeight="true" outlineLevel="0" collapsed="false">
      <c r="A5108" s="1" t="n">
        <v>5217</v>
      </c>
      <c r="B5108" s="1" t="n">
        <v>187</v>
      </c>
      <c r="C5108" s="1" t="n">
        <v>3</v>
      </c>
      <c r="D5108" s="1" t="s">
        <v>1670</v>
      </c>
      <c r="E5108" s="1" t="n">
        <v>7</v>
      </c>
      <c r="F5108" s="1" t="n">
        <v>89.39</v>
      </c>
      <c r="G5108" s="1" t="n">
        <v>0</v>
      </c>
      <c r="H5108" s="1" t="s">
        <v>1336</v>
      </c>
      <c r="I5108" s="1" t="n">
        <v>625.73</v>
      </c>
      <c r="J5108" s="1" t="str">
        <f aca="false">VLOOKUP(B5108,Customers!$A$2:$G$502,6,FALSE())</f>
        <v>Consumer</v>
      </c>
      <c r="K5108" s="1" t="str">
        <f aca="false">VLOOKUP(C5108,Products!$A$2:$E$62,3,FALSE())</f>
        <v>Electronics</v>
      </c>
      <c r="L5108" s="1" t="str">
        <f aca="false">TEXT(D5108,"yyyy-mm")</f>
        <v>2024-07</v>
      </c>
    </row>
    <row r="5109" customFormat="false" ht="15" hidden="false" customHeight="true" outlineLevel="0" collapsed="false">
      <c r="A5109" s="1" t="n">
        <v>5218</v>
      </c>
      <c r="B5109" s="1" t="n">
        <v>239</v>
      </c>
      <c r="C5109" s="1" t="n">
        <v>58</v>
      </c>
      <c r="D5109" s="1" t="s">
        <v>1579</v>
      </c>
      <c r="E5109" s="1" t="n">
        <v>2</v>
      </c>
      <c r="F5109" s="1" t="n">
        <v>515.55</v>
      </c>
      <c r="G5109" s="1" t="n">
        <v>0.15</v>
      </c>
      <c r="H5109" s="1" t="s">
        <v>1336</v>
      </c>
      <c r="I5109" s="1" t="n">
        <v>876.44</v>
      </c>
      <c r="J5109" s="1" t="str">
        <f aca="false">VLOOKUP(B5109,Customers!$A$2:$G$502,6,FALSE())</f>
        <v>Corporate</v>
      </c>
      <c r="K5109" s="1" t="str">
        <f aca="false">VLOOKUP(C5109,Products!$A$2:$E$62,3,FALSE())</f>
        <v>Furniture</v>
      </c>
      <c r="L5109" s="1" t="str">
        <f aca="false">TEXT(D5109,"yyyy-mm")</f>
        <v>2023-08</v>
      </c>
    </row>
    <row r="5110" customFormat="false" ht="15" hidden="false" customHeight="true" outlineLevel="0" collapsed="false">
      <c r="A5110" s="1" t="n">
        <v>5219</v>
      </c>
      <c r="B5110" s="1" t="n">
        <v>218</v>
      </c>
      <c r="C5110" s="1" t="n">
        <v>3</v>
      </c>
      <c r="D5110" s="1" t="s">
        <v>24</v>
      </c>
      <c r="E5110" s="1" t="n">
        <v>8</v>
      </c>
      <c r="F5110" s="1" t="n">
        <v>89.39</v>
      </c>
      <c r="G5110" s="1" t="n">
        <v>0</v>
      </c>
      <c r="H5110" s="1" t="s">
        <v>1336</v>
      </c>
      <c r="I5110" s="1" t="n">
        <v>715.12</v>
      </c>
      <c r="J5110" s="1" t="str">
        <f aca="false">VLOOKUP(B5110,Customers!$A$2:$G$502,6,FALSE())</f>
        <v>Corporate</v>
      </c>
      <c r="K5110" s="1" t="str">
        <f aca="false">VLOOKUP(C5110,Products!$A$2:$E$62,3,FALSE())</f>
        <v>Electronics</v>
      </c>
      <c r="L5110" s="1" t="str">
        <f aca="false">TEXT(D5110,"yyyy-mm")</f>
        <v>2023-10</v>
      </c>
    </row>
    <row r="5111" customFormat="false" ht="15" hidden="false" customHeight="true" outlineLevel="0" collapsed="false">
      <c r="A5111" s="1" t="n">
        <v>5220</v>
      </c>
      <c r="B5111" s="1" t="n">
        <v>395</v>
      </c>
      <c r="C5111" s="1" t="n">
        <v>17</v>
      </c>
      <c r="D5111" s="1" t="s">
        <v>1641</v>
      </c>
      <c r="E5111" s="1" t="n">
        <v>8</v>
      </c>
      <c r="F5111" s="1" t="n">
        <v>65.61</v>
      </c>
      <c r="G5111" s="1" t="n">
        <v>0</v>
      </c>
      <c r="H5111" s="1" t="s">
        <v>1346</v>
      </c>
      <c r="I5111" s="1" t="n">
        <v>524.88</v>
      </c>
      <c r="J5111" s="1" t="str">
        <f aca="false">VLOOKUP(B5111,Customers!$A$2:$G$502,6,FALSE())</f>
        <v>Consumer</v>
      </c>
      <c r="K5111" s="1" t="str">
        <f aca="false">VLOOKUP(C5111,Products!$A$2:$E$62,3,FALSE())</f>
        <v>Electronics</v>
      </c>
      <c r="L5111" s="1" t="str">
        <f aca="false">TEXT(D5111,"yyyy-mm")</f>
        <v>2024-04</v>
      </c>
    </row>
    <row r="5112" customFormat="false" ht="15" hidden="false" customHeight="true" outlineLevel="0" collapsed="false">
      <c r="A5112" s="1" t="n">
        <v>5221</v>
      </c>
      <c r="B5112" s="1" t="n">
        <v>54</v>
      </c>
      <c r="C5112" s="1" t="n">
        <v>24</v>
      </c>
      <c r="D5112" s="1" t="s">
        <v>1572</v>
      </c>
      <c r="E5112" s="1" t="n">
        <v>1</v>
      </c>
      <c r="F5112" s="1" t="n">
        <v>207.34</v>
      </c>
      <c r="G5112" s="1" t="n">
        <v>0.05</v>
      </c>
      <c r="H5112" s="1" t="s">
        <v>1336</v>
      </c>
      <c r="I5112" s="1" t="n">
        <v>196.97</v>
      </c>
      <c r="J5112" s="1" t="str">
        <f aca="false">VLOOKUP(B5112,Customers!$A$2:$G$502,6,FALSE())</f>
        <v>Consumer</v>
      </c>
      <c r="K5112" s="1" t="str">
        <f aca="false">VLOOKUP(C5112,Products!$A$2:$E$62,3,FALSE())</f>
        <v>Office Supplies</v>
      </c>
      <c r="L5112" s="1" t="str">
        <f aca="false">TEXT(D5112,"yyyy-mm")</f>
        <v>2023-07</v>
      </c>
    </row>
    <row r="5113" customFormat="false" ht="15" hidden="false" customHeight="true" outlineLevel="0" collapsed="false">
      <c r="A5113" s="1" t="n">
        <v>5222</v>
      </c>
      <c r="B5113" s="1" t="n">
        <v>325</v>
      </c>
      <c r="C5113" s="1" t="n">
        <v>10</v>
      </c>
      <c r="D5113" s="1" t="s">
        <v>1359</v>
      </c>
      <c r="E5113" s="1" t="n">
        <v>8</v>
      </c>
      <c r="F5113" s="1" t="n">
        <v>251.58</v>
      </c>
      <c r="G5113" s="1" t="n">
        <v>0.2</v>
      </c>
      <c r="H5113" s="1" t="s">
        <v>1336</v>
      </c>
      <c r="I5113" s="1" t="n">
        <v>1610.11</v>
      </c>
      <c r="J5113" s="1" t="str">
        <f aca="false">VLOOKUP(B5113,Customers!$A$2:$G$502,6,FALSE())</f>
        <v>Small Business</v>
      </c>
      <c r="K5113" s="1" t="str">
        <f aca="false">VLOOKUP(C5113,Products!$A$2:$E$62,3,FALSE())</f>
        <v>Electronics</v>
      </c>
      <c r="L5113" s="1" t="str">
        <f aca="false">TEXT(D5113,"yyyy-mm")</f>
        <v>2024-09</v>
      </c>
    </row>
    <row r="5114" customFormat="false" ht="15" hidden="false" customHeight="true" outlineLevel="0" collapsed="false">
      <c r="A5114" s="1" t="n">
        <v>5223</v>
      </c>
      <c r="B5114" s="1" t="n">
        <v>45</v>
      </c>
      <c r="C5114" s="1" t="n">
        <v>43</v>
      </c>
      <c r="D5114" s="1" t="s">
        <v>97</v>
      </c>
      <c r="E5114" s="1" t="n">
        <v>2</v>
      </c>
      <c r="F5114" s="1" t="n">
        <v>186.31</v>
      </c>
      <c r="G5114" s="1" t="n">
        <v>0.2</v>
      </c>
      <c r="H5114" s="1" t="s">
        <v>1336</v>
      </c>
      <c r="I5114" s="1" t="n">
        <v>298.1</v>
      </c>
      <c r="J5114" s="1" t="str">
        <f aca="false">VLOOKUP(B5114,Customers!$A$2:$G$502,6,FALSE())</f>
        <v>Corporate</v>
      </c>
      <c r="K5114" s="1" t="str">
        <f aca="false">VLOOKUP(C5114,Products!$A$2:$E$62,3,FALSE())</f>
        <v>Software</v>
      </c>
      <c r="L5114" s="1" t="str">
        <f aca="false">TEXT(D5114,"yyyy-mm")</f>
        <v>2024-11</v>
      </c>
    </row>
    <row r="5115" customFormat="false" ht="15" hidden="false" customHeight="true" outlineLevel="0" collapsed="false">
      <c r="A5115" s="1" t="n">
        <v>5224</v>
      </c>
      <c r="B5115" s="1" t="n">
        <v>419</v>
      </c>
      <c r="C5115" s="1" t="n">
        <v>30</v>
      </c>
      <c r="D5115" s="1" t="s">
        <v>1357</v>
      </c>
      <c r="E5115" s="1" t="n">
        <v>6</v>
      </c>
      <c r="F5115" s="1" t="n">
        <v>33.32</v>
      </c>
      <c r="G5115" s="1" t="n">
        <v>0</v>
      </c>
      <c r="H5115" s="1" t="s">
        <v>1336</v>
      </c>
      <c r="I5115" s="1" t="n">
        <v>199.92</v>
      </c>
      <c r="J5115" s="1" t="str">
        <f aca="false">VLOOKUP(B5115,Customers!$A$2:$G$502,6,FALSE())</f>
        <v>Small Business</v>
      </c>
      <c r="K5115" s="1" t="str">
        <f aca="false">VLOOKUP(C5115,Products!$A$2:$E$62,3,FALSE())</f>
        <v>Office Supplies</v>
      </c>
      <c r="L5115" s="1" t="str">
        <f aca="false">TEXT(D5115,"yyyy-mm")</f>
        <v>2024-07</v>
      </c>
    </row>
    <row r="5116" customFormat="false" ht="15" hidden="false" customHeight="true" outlineLevel="0" collapsed="false">
      <c r="A5116" s="1" t="n">
        <v>5225</v>
      </c>
      <c r="B5116" s="1" t="n">
        <v>309</v>
      </c>
      <c r="C5116" s="1" t="n">
        <v>13</v>
      </c>
      <c r="D5116" s="1" t="s">
        <v>1410</v>
      </c>
      <c r="E5116" s="1" t="n">
        <v>1</v>
      </c>
      <c r="F5116" s="1" t="n">
        <v>352.54</v>
      </c>
      <c r="G5116" s="1" t="n">
        <v>0.2</v>
      </c>
      <c r="H5116" s="1" t="s">
        <v>1336</v>
      </c>
      <c r="I5116" s="1" t="n">
        <v>282.03</v>
      </c>
      <c r="J5116" s="1" t="str">
        <f aca="false">VLOOKUP(B5116,Customers!$A$2:$G$502,6,FALSE())</f>
        <v>Unknown</v>
      </c>
      <c r="K5116" s="1" t="str">
        <f aca="false">VLOOKUP(C5116,Products!$A$2:$E$62,3,FALSE())</f>
        <v>Electronics</v>
      </c>
      <c r="L5116" s="1" t="str">
        <f aca="false">TEXT(D5116,"yyyy-mm")</f>
        <v>2024-07</v>
      </c>
    </row>
    <row r="5117" customFormat="false" ht="15" hidden="false" customHeight="true" outlineLevel="0" collapsed="false">
      <c r="A5117" s="1" t="n">
        <v>5226</v>
      </c>
      <c r="B5117" s="1" t="n">
        <v>85</v>
      </c>
      <c r="C5117" s="1" t="n">
        <v>20</v>
      </c>
      <c r="D5117" s="1" t="s">
        <v>1460</v>
      </c>
      <c r="E5117" s="1" t="n">
        <v>5</v>
      </c>
      <c r="F5117" s="1" t="n">
        <v>426.15</v>
      </c>
      <c r="G5117" s="1" t="n">
        <v>0.2</v>
      </c>
      <c r="H5117" s="1" t="s">
        <v>1336</v>
      </c>
      <c r="I5117" s="1" t="n">
        <v>1704.6</v>
      </c>
      <c r="J5117" s="1" t="str">
        <f aca="false">VLOOKUP(B5117,Customers!$A$2:$G$502,6,FALSE())</f>
        <v>Consumer</v>
      </c>
      <c r="K5117" s="1" t="str">
        <f aca="false">VLOOKUP(C5117,Products!$A$2:$E$62,3,FALSE())</f>
        <v>Office Supplies</v>
      </c>
      <c r="L5117" s="1" t="str">
        <f aca="false">TEXT(D5117,"yyyy-mm")</f>
        <v>2023-06</v>
      </c>
    </row>
    <row r="5118" customFormat="false" ht="15" hidden="false" customHeight="true" outlineLevel="0" collapsed="false">
      <c r="A5118" s="1" t="n">
        <v>5228</v>
      </c>
      <c r="B5118" s="1" t="n">
        <v>88</v>
      </c>
      <c r="C5118" s="1" t="n">
        <v>28</v>
      </c>
      <c r="D5118" s="1" t="s">
        <v>952</v>
      </c>
      <c r="E5118" s="1" t="n">
        <v>1</v>
      </c>
      <c r="F5118" s="1" t="n">
        <v>505.23</v>
      </c>
      <c r="G5118" s="1" t="n">
        <v>0</v>
      </c>
      <c r="H5118" s="1" t="s">
        <v>1336</v>
      </c>
      <c r="I5118" s="1" t="n">
        <v>505.23</v>
      </c>
      <c r="J5118" s="1" t="str">
        <f aca="false">VLOOKUP(B5118,Customers!$A$2:$G$502,6,FALSE())</f>
        <v>Corporate</v>
      </c>
      <c r="K5118" s="1" t="str">
        <f aca="false">VLOOKUP(C5118,Products!$A$2:$E$62,3,FALSE())</f>
        <v>Office Supplies</v>
      </c>
      <c r="L5118" s="1" t="str">
        <f aca="false">TEXT(D5118,"yyyy-mm")</f>
        <v>2024-12</v>
      </c>
    </row>
    <row r="5119" customFormat="false" ht="15" hidden="false" customHeight="true" outlineLevel="0" collapsed="false">
      <c r="A5119" s="1" t="n">
        <v>5229</v>
      </c>
      <c r="B5119" s="1" t="n">
        <v>198</v>
      </c>
      <c r="C5119" s="1" t="n">
        <v>6</v>
      </c>
      <c r="D5119" s="1" t="s">
        <v>1640</v>
      </c>
      <c r="E5119" s="1" t="n">
        <v>2</v>
      </c>
      <c r="F5119" s="1" t="n">
        <v>28.51</v>
      </c>
      <c r="G5119" s="1" t="n">
        <v>0</v>
      </c>
      <c r="H5119" s="1" t="s">
        <v>1336</v>
      </c>
      <c r="I5119" s="1" t="n">
        <v>57.02</v>
      </c>
      <c r="J5119" s="1" t="str">
        <f aca="false">VLOOKUP(B5119,Customers!$A$2:$G$502,6,FALSE())</f>
        <v>Corporate</v>
      </c>
      <c r="K5119" s="1" t="str">
        <f aca="false">VLOOKUP(C5119,Products!$A$2:$E$62,3,FALSE())</f>
        <v>Electronics</v>
      </c>
      <c r="L5119" s="1" t="str">
        <f aca="false">TEXT(D5119,"yyyy-mm")</f>
        <v>2024-07</v>
      </c>
    </row>
    <row r="5120" customFormat="false" ht="15" hidden="false" customHeight="true" outlineLevel="0" collapsed="false">
      <c r="A5120" s="1" t="n">
        <v>5231</v>
      </c>
      <c r="B5120" s="1" t="n">
        <v>342</v>
      </c>
      <c r="C5120" s="1" t="n">
        <v>23</v>
      </c>
      <c r="D5120" s="1" t="s">
        <v>1397</v>
      </c>
      <c r="E5120" s="1" t="n">
        <v>6</v>
      </c>
      <c r="F5120" s="1" t="n">
        <v>188.73</v>
      </c>
      <c r="G5120" s="1" t="n">
        <v>0</v>
      </c>
      <c r="H5120" s="1" t="s">
        <v>1336</v>
      </c>
      <c r="I5120" s="1" t="n">
        <v>1132.38</v>
      </c>
      <c r="J5120" s="1" t="str">
        <f aca="false">VLOOKUP(B5120,Customers!$A$2:$G$502,6,FALSE())</f>
        <v>Small Business</v>
      </c>
      <c r="K5120" s="1" t="str">
        <f aca="false">VLOOKUP(C5120,Products!$A$2:$E$62,3,FALSE())</f>
        <v>Office Supplies</v>
      </c>
      <c r="L5120" s="1" t="str">
        <f aca="false">TEXT(D5120,"yyyy-mm")</f>
        <v>2023-10</v>
      </c>
    </row>
    <row r="5121" customFormat="false" ht="15" hidden="false" customHeight="true" outlineLevel="0" collapsed="false">
      <c r="A5121" s="1" t="n">
        <v>5232</v>
      </c>
      <c r="B5121" s="1" t="n">
        <v>174</v>
      </c>
      <c r="C5121" s="1" t="n">
        <v>1</v>
      </c>
      <c r="D5121" s="1" t="s">
        <v>1643</v>
      </c>
      <c r="E5121" s="1" t="n">
        <v>3</v>
      </c>
      <c r="F5121" s="1" t="n">
        <v>327.32</v>
      </c>
      <c r="G5121" s="1" t="n">
        <v>0.05</v>
      </c>
      <c r="H5121" s="1" t="s">
        <v>1346</v>
      </c>
      <c r="I5121" s="1" t="n">
        <v>932.86</v>
      </c>
      <c r="J5121" s="1" t="str">
        <f aca="false">VLOOKUP(B5121,Customers!$A$2:$G$502,6,FALSE())</f>
        <v>Small Business</v>
      </c>
      <c r="K5121" s="1" t="str">
        <f aca="false">VLOOKUP(C5121,Products!$A$2:$E$62,3,FALSE())</f>
        <v>Electronics</v>
      </c>
      <c r="L5121" s="1" t="str">
        <f aca="false">TEXT(D5121,"yyyy-mm")</f>
        <v>2024-01</v>
      </c>
    </row>
    <row r="5122" customFormat="false" ht="15" hidden="false" customHeight="true" outlineLevel="0" collapsed="false">
      <c r="A5122" s="1" t="n">
        <v>5233</v>
      </c>
      <c r="B5122" s="1" t="n">
        <v>332</v>
      </c>
      <c r="C5122" s="1" t="n">
        <v>57</v>
      </c>
      <c r="D5122" s="1" t="s">
        <v>659</v>
      </c>
      <c r="E5122" s="1" t="n">
        <v>2</v>
      </c>
      <c r="F5122" s="1" t="n">
        <v>719.76</v>
      </c>
      <c r="G5122" s="1" t="n">
        <v>0</v>
      </c>
      <c r="H5122" s="1" t="s">
        <v>1336</v>
      </c>
      <c r="I5122" s="1" t="n">
        <v>1439.52</v>
      </c>
      <c r="J5122" s="1" t="str">
        <f aca="false">VLOOKUP(B5122,Customers!$A$2:$G$502,6,FALSE())</f>
        <v>Consumer</v>
      </c>
      <c r="K5122" s="1" t="str">
        <f aca="false">VLOOKUP(C5122,Products!$A$2:$E$62,3,FALSE())</f>
        <v>Furniture</v>
      </c>
      <c r="L5122" s="1" t="str">
        <f aca="false">TEXT(D5122,"yyyy-mm")</f>
        <v>2024-06</v>
      </c>
    </row>
    <row r="5123" customFormat="false" ht="15" hidden="false" customHeight="true" outlineLevel="0" collapsed="false">
      <c r="A5123" s="1" t="n">
        <v>5234</v>
      </c>
      <c r="B5123" s="1" t="n">
        <v>97</v>
      </c>
      <c r="C5123" s="1" t="n">
        <v>14</v>
      </c>
      <c r="D5123" s="1" t="s">
        <v>76</v>
      </c>
      <c r="E5123" s="1" t="n">
        <v>4</v>
      </c>
      <c r="F5123" s="1" t="n">
        <v>135.27</v>
      </c>
      <c r="G5123" s="1" t="n">
        <v>0</v>
      </c>
      <c r="H5123" s="1" t="s">
        <v>1336</v>
      </c>
      <c r="I5123" s="1" t="n">
        <v>541.08</v>
      </c>
      <c r="J5123" s="1" t="str">
        <f aca="false">VLOOKUP(B5123,Customers!$A$2:$G$502,6,FALSE())</f>
        <v>Corporate</v>
      </c>
      <c r="K5123" s="1" t="str">
        <f aca="false">VLOOKUP(C5123,Products!$A$2:$E$62,3,FALSE())</f>
        <v>Electronics</v>
      </c>
      <c r="L5123" s="1" t="str">
        <f aca="false">TEXT(D5123,"yyyy-mm")</f>
        <v>2023-11</v>
      </c>
    </row>
    <row r="5124" customFormat="false" ht="15" hidden="false" customHeight="true" outlineLevel="0" collapsed="false">
      <c r="A5124" s="1" t="n">
        <v>5235</v>
      </c>
      <c r="B5124" s="1" t="n">
        <v>480</v>
      </c>
      <c r="C5124" s="1" t="n">
        <v>7</v>
      </c>
      <c r="D5124" s="1" t="s">
        <v>266</v>
      </c>
      <c r="E5124" s="1" t="n">
        <v>3</v>
      </c>
      <c r="F5124" s="1" t="n">
        <v>460</v>
      </c>
      <c r="G5124" s="1" t="n">
        <v>0</v>
      </c>
      <c r="H5124" s="1" t="s">
        <v>1336</v>
      </c>
      <c r="I5124" s="1" t="n">
        <v>1380</v>
      </c>
      <c r="J5124" s="1" t="str">
        <f aca="false">VLOOKUP(B5124,Customers!$A$2:$G$502,6,FALSE())</f>
        <v>Unknown</v>
      </c>
      <c r="K5124" s="1" t="str">
        <f aca="false">VLOOKUP(C5124,Products!$A$2:$E$62,3,FALSE())</f>
        <v>Electronics</v>
      </c>
      <c r="L5124" s="1" t="str">
        <f aca="false">TEXT(D5124,"yyyy-mm")</f>
        <v>2023-09</v>
      </c>
    </row>
    <row r="5125" customFormat="false" ht="15" hidden="false" customHeight="true" outlineLevel="0" collapsed="false">
      <c r="A5125" s="1" t="n">
        <v>5236</v>
      </c>
      <c r="B5125" s="1" t="n">
        <v>210</v>
      </c>
      <c r="C5125" s="1" t="n">
        <v>9</v>
      </c>
      <c r="D5125" s="1" t="s">
        <v>671</v>
      </c>
      <c r="E5125" s="1" t="n">
        <v>7</v>
      </c>
      <c r="F5125" s="1" t="n">
        <v>203.1</v>
      </c>
      <c r="G5125" s="1" t="n">
        <v>0.05</v>
      </c>
      <c r="H5125" s="1" t="s">
        <v>1346</v>
      </c>
      <c r="I5125" s="1" t="n">
        <v>1350.62</v>
      </c>
      <c r="J5125" s="1" t="str">
        <f aca="false">VLOOKUP(B5125,Customers!$A$2:$G$502,6,FALSE())</f>
        <v>Corporate</v>
      </c>
      <c r="K5125" s="1" t="str">
        <f aca="false">VLOOKUP(C5125,Products!$A$2:$E$62,3,FALSE())</f>
        <v>Electronics</v>
      </c>
      <c r="L5125" s="1" t="str">
        <f aca="false">TEXT(D5125,"yyyy-mm")</f>
        <v>2024-04</v>
      </c>
    </row>
    <row r="5126" customFormat="false" ht="15" hidden="false" customHeight="true" outlineLevel="0" collapsed="false">
      <c r="A5126" s="1" t="n">
        <v>5237</v>
      </c>
      <c r="B5126" s="1" t="n">
        <v>172</v>
      </c>
      <c r="C5126" s="1" t="n">
        <v>59</v>
      </c>
      <c r="D5126" s="1" t="s">
        <v>1700</v>
      </c>
      <c r="E5126" s="1" t="n">
        <v>8</v>
      </c>
      <c r="F5126" s="1" t="n">
        <v>438.89</v>
      </c>
      <c r="G5126" s="1" t="n">
        <v>0.2</v>
      </c>
      <c r="H5126" s="1" t="s">
        <v>1336</v>
      </c>
      <c r="I5126" s="1" t="n">
        <v>2808.9</v>
      </c>
      <c r="J5126" s="1" t="str">
        <f aca="false">VLOOKUP(B5126,Customers!$A$2:$G$502,6,FALSE())</f>
        <v>Consumer</v>
      </c>
      <c r="K5126" s="1" t="str">
        <f aca="false">VLOOKUP(C5126,Products!$A$2:$E$62,3,FALSE())</f>
        <v>Furniture</v>
      </c>
      <c r="L5126" s="1" t="str">
        <f aca="false">TEXT(D5126,"yyyy-mm")</f>
        <v>2024-06</v>
      </c>
    </row>
    <row r="5127" customFormat="false" ht="15" hidden="false" customHeight="true" outlineLevel="0" collapsed="false">
      <c r="A5127" s="1" t="n">
        <v>5238</v>
      </c>
      <c r="B5127" s="1" t="n">
        <v>198</v>
      </c>
      <c r="C5127" s="1" t="n">
        <v>35</v>
      </c>
      <c r="D5127" s="1" t="s">
        <v>680</v>
      </c>
      <c r="E5127" s="1" t="n">
        <v>2</v>
      </c>
      <c r="F5127" s="1" t="n">
        <v>75.78</v>
      </c>
      <c r="G5127" s="1" t="n">
        <v>0.15</v>
      </c>
      <c r="H5127" s="1" t="s">
        <v>1336</v>
      </c>
      <c r="I5127" s="1" t="n">
        <v>128.83</v>
      </c>
      <c r="J5127" s="1" t="str">
        <f aca="false">VLOOKUP(B5127,Customers!$A$2:$G$502,6,FALSE())</f>
        <v>Corporate</v>
      </c>
      <c r="K5127" s="1" t="str">
        <f aca="false">VLOOKUP(C5127,Products!$A$2:$E$62,3,FALSE())</f>
        <v>Software</v>
      </c>
      <c r="L5127" s="1" t="str">
        <f aca="false">TEXT(D5127,"yyyy-mm")</f>
        <v>2024-04</v>
      </c>
    </row>
    <row r="5128" customFormat="false" ht="15" hidden="false" customHeight="true" outlineLevel="0" collapsed="false">
      <c r="A5128" s="1" t="n">
        <v>5239</v>
      </c>
      <c r="B5128" s="1" t="n">
        <v>295</v>
      </c>
      <c r="C5128" s="1" t="n">
        <v>19</v>
      </c>
      <c r="D5128" s="1" t="s">
        <v>238</v>
      </c>
      <c r="E5128" s="1" t="n">
        <v>7</v>
      </c>
      <c r="F5128" s="1" t="n">
        <v>163.64</v>
      </c>
      <c r="G5128" s="1" t="n">
        <v>0.1</v>
      </c>
      <c r="H5128" s="1" t="s">
        <v>1336</v>
      </c>
      <c r="I5128" s="1" t="n">
        <v>1030.93</v>
      </c>
      <c r="J5128" s="1" t="str">
        <f aca="false">VLOOKUP(B5128,Customers!$A$2:$G$502,6,FALSE())</f>
        <v>Small Business</v>
      </c>
      <c r="K5128" s="1" t="str">
        <f aca="false">VLOOKUP(C5128,Products!$A$2:$E$62,3,FALSE())</f>
        <v>Office Supplies</v>
      </c>
      <c r="L5128" s="1" t="str">
        <f aca="false">TEXT(D5128,"yyyy-mm")</f>
        <v>2023-10</v>
      </c>
    </row>
    <row r="5129" customFormat="false" ht="15" hidden="false" customHeight="true" outlineLevel="0" collapsed="false">
      <c r="A5129" s="1" t="n">
        <v>5240</v>
      </c>
      <c r="B5129" s="1" t="n">
        <v>327</v>
      </c>
      <c r="C5129" s="1" t="n">
        <v>57</v>
      </c>
      <c r="D5129" s="1" t="s">
        <v>185</v>
      </c>
      <c r="E5129" s="1" t="n">
        <v>8</v>
      </c>
      <c r="F5129" s="1" t="n">
        <v>719.76</v>
      </c>
      <c r="G5129" s="1" t="n">
        <v>0</v>
      </c>
      <c r="H5129" s="1" t="s">
        <v>1370</v>
      </c>
      <c r="I5129" s="1" t="n">
        <v>5758.08</v>
      </c>
      <c r="J5129" s="1" t="str">
        <f aca="false">VLOOKUP(B5129,Customers!$A$2:$G$502,6,FALSE())</f>
        <v>Consumer</v>
      </c>
      <c r="K5129" s="1" t="str">
        <f aca="false">VLOOKUP(C5129,Products!$A$2:$E$62,3,FALSE())</f>
        <v>Furniture</v>
      </c>
      <c r="L5129" s="1" t="str">
        <f aca="false">TEXT(D5129,"yyyy-mm")</f>
        <v>2024-05</v>
      </c>
    </row>
    <row r="5130" customFormat="false" ht="15" hidden="false" customHeight="true" outlineLevel="0" collapsed="false">
      <c r="A5130" s="1" t="n">
        <v>5241</v>
      </c>
      <c r="B5130" s="1" t="n">
        <v>259</v>
      </c>
      <c r="C5130" s="1" t="n">
        <v>17</v>
      </c>
      <c r="D5130" s="1" t="s">
        <v>303</v>
      </c>
      <c r="E5130" s="1" t="n">
        <v>6</v>
      </c>
      <c r="F5130" s="1" t="n">
        <v>65.61</v>
      </c>
      <c r="G5130" s="1" t="n">
        <v>0.2</v>
      </c>
      <c r="H5130" s="1" t="s">
        <v>1336</v>
      </c>
      <c r="I5130" s="1" t="n">
        <v>314.93</v>
      </c>
      <c r="J5130" s="1" t="str">
        <f aca="false">VLOOKUP(B5130,Customers!$A$2:$G$502,6,FALSE())</f>
        <v>Consumer</v>
      </c>
      <c r="K5130" s="1" t="str">
        <f aca="false">VLOOKUP(C5130,Products!$A$2:$E$62,3,FALSE())</f>
        <v>Electronics</v>
      </c>
      <c r="L5130" s="1" t="str">
        <f aca="false">TEXT(D5130,"yyyy-mm")</f>
        <v>2024-12</v>
      </c>
    </row>
    <row r="5131" customFormat="false" ht="15" hidden="false" customHeight="true" outlineLevel="0" collapsed="false">
      <c r="A5131" s="1" t="n">
        <v>5242</v>
      </c>
      <c r="B5131" s="1" t="n">
        <v>208</v>
      </c>
      <c r="C5131" s="1" t="n">
        <v>42</v>
      </c>
      <c r="D5131" s="1" t="s">
        <v>1459</v>
      </c>
      <c r="E5131" s="1" t="n">
        <v>6</v>
      </c>
      <c r="F5131" s="1" t="n">
        <v>174.48</v>
      </c>
      <c r="G5131" s="1" t="n">
        <v>0.05</v>
      </c>
      <c r="H5131" s="1" t="s">
        <v>1336</v>
      </c>
      <c r="I5131" s="1" t="n">
        <v>994.54</v>
      </c>
      <c r="J5131" s="1" t="str">
        <f aca="false">VLOOKUP(B5131,Customers!$A$2:$G$502,6,FALSE())</f>
        <v>Corporate</v>
      </c>
      <c r="K5131" s="1" t="str">
        <f aca="false">VLOOKUP(C5131,Products!$A$2:$E$62,3,FALSE())</f>
        <v>Software</v>
      </c>
      <c r="L5131" s="1" t="str">
        <f aca="false">TEXT(D5131,"yyyy-mm")</f>
        <v>2024-03</v>
      </c>
    </row>
    <row r="5132" customFormat="false" ht="15" hidden="false" customHeight="true" outlineLevel="0" collapsed="false">
      <c r="A5132" s="1" t="n">
        <v>5243</v>
      </c>
      <c r="B5132" s="1" t="n">
        <v>204</v>
      </c>
      <c r="C5132" s="1" t="n">
        <v>8</v>
      </c>
      <c r="D5132" s="1" t="s">
        <v>1400</v>
      </c>
      <c r="E5132" s="1" t="n">
        <v>1</v>
      </c>
      <c r="F5132" s="1" t="n">
        <v>104.4</v>
      </c>
      <c r="G5132" s="1" t="n">
        <v>0.15</v>
      </c>
      <c r="H5132" s="1" t="s">
        <v>1336</v>
      </c>
      <c r="I5132" s="1" t="n">
        <v>88.74</v>
      </c>
      <c r="J5132" s="1" t="str">
        <f aca="false">VLOOKUP(B5132,Customers!$A$2:$G$502,6,FALSE())</f>
        <v>Small Business</v>
      </c>
      <c r="K5132" s="1" t="str">
        <f aca="false">VLOOKUP(C5132,Products!$A$2:$E$62,3,FALSE())</f>
        <v>Electronics</v>
      </c>
      <c r="L5132" s="1" t="str">
        <f aca="false">TEXT(D5132,"yyyy-mm")</f>
        <v>2024-12</v>
      </c>
    </row>
    <row r="5133" customFormat="false" ht="15" hidden="false" customHeight="true" outlineLevel="0" collapsed="false">
      <c r="A5133" s="1" t="n">
        <v>5244</v>
      </c>
      <c r="B5133" s="1" t="n">
        <v>175</v>
      </c>
      <c r="C5133" s="1" t="n">
        <v>16</v>
      </c>
      <c r="D5133" s="1" t="s">
        <v>1366</v>
      </c>
      <c r="E5133" s="1" t="n">
        <v>4</v>
      </c>
      <c r="F5133" s="1" t="n">
        <v>330.91</v>
      </c>
      <c r="G5133" s="1" t="n">
        <v>0</v>
      </c>
      <c r="H5133" s="1" t="s">
        <v>1346</v>
      </c>
      <c r="I5133" s="1" t="n">
        <v>1323.64</v>
      </c>
      <c r="J5133" s="1" t="str">
        <f aca="false">VLOOKUP(B5133,Customers!$A$2:$G$502,6,FALSE())</f>
        <v>Consumer</v>
      </c>
      <c r="K5133" s="1" t="str">
        <f aca="false">VLOOKUP(C5133,Products!$A$2:$E$62,3,FALSE())</f>
        <v>Electronics</v>
      </c>
      <c r="L5133" s="1" t="str">
        <f aca="false">TEXT(D5133,"yyyy-mm")</f>
        <v>2023-11</v>
      </c>
    </row>
    <row r="5134" customFormat="false" ht="15" hidden="false" customHeight="true" outlineLevel="0" collapsed="false">
      <c r="A5134" s="1" t="n">
        <v>5245</v>
      </c>
      <c r="B5134" s="1" t="n">
        <v>53</v>
      </c>
      <c r="C5134" s="1" t="n">
        <v>42</v>
      </c>
      <c r="D5134" s="1" t="s">
        <v>1682</v>
      </c>
      <c r="E5134" s="1" t="n">
        <v>1</v>
      </c>
      <c r="F5134" s="1" t="n">
        <v>174.48</v>
      </c>
      <c r="G5134" s="1" t="n">
        <v>0.2</v>
      </c>
      <c r="H5134" s="1" t="s">
        <v>1370</v>
      </c>
      <c r="I5134" s="1" t="n">
        <v>139.58</v>
      </c>
      <c r="J5134" s="1" t="str">
        <f aca="false">VLOOKUP(B5134,Customers!$A$2:$G$502,6,FALSE())</f>
        <v>Small Business</v>
      </c>
      <c r="K5134" s="1" t="str">
        <f aca="false">VLOOKUP(C5134,Products!$A$2:$E$62,3,FALSE())</f>
        <v>Software</v>
      </c>
      <c r="L5134" s="1" t="str">
        <f aca="false">TEXT(D5134,"yyyy-mm")</f>
        <v>2023-11</v>
      </c>
    </row>
    <row r="5135" customFormat="false" ht="15" hidden="false" customHeight="true" outlineLevel="0" collapsed="false">
      <c r="A5135" s="1" t="n">
        <v>5246</v>
      </c>
      <c r="B5135" s="1" t="n">
        <v>54</v>
      </c>
      <c r="C5135" s="1" t="n">
        <v>26</v>
      </c>
      <c r="D5135" s="1" t="s">
        <v>1486</v>
      </c>
      <c r="E5135" s="1" t="n">
        <v>4</v>
      </c>
      <c r="F5135" s="1" t="n">
        <v>733.85</v>
      </c>
      <c r="G5135" s="1" t="n">
        <v>0</v>
      </c>
      <c r="H5135" s="1" t="s">
        <v>1336</v>
      </c>
      <c r="I5135" s="1" t="n">
        <v>2935.4</v>
      </c>
      <c r="J5135" s="1" t="str">
        <f aca="false">VLOOKUP(B5135,Customers!$A$2:$G$502,6,FALSE())</f>
        <v>Consumer</v>
      </c>
      <c r="K5135" s="1" t="str">
        <f aca="false">VLOOKUP(C5135,Products!$A$2:$E$62,3,FALSE())</f>
        <v>Office Supplies</v>
      </c>
      <c r="L5135" s="1" t="str">
        <f aca="false">TEXT(D5135,"yyyy-mm")</f>
        <v>2024-02</v>
      </c>
    </row>
    <row r="5136" customFormat="false" ht="15" hidden="false" customHeight="true" outlineLevel="0" collapsed="false">
      <c r="A5136" s="1" t="n">
        <v>5247</v>
      </c>
      <c r="B5136" s="1" t="n">
        <v>30</v>
      </c>
      <c r="C5136" s="1" t="n">
        <v>56</v>
      </c>
      <c r="D5136" s="1" t="s">
        <v>1269</v>
      </c>
      <c r="E5136" s="1" t="n">
        <v>2</v>
      </c>
      <c r="F5136" s="1" t="n">
        <v>160.64</v>
      </c>
      <c r="G5136" s="1" t="n">
        <v>0.2</v>
      </c>
      <c r="H5136" s="1" t="s">
        <v>1336</v>
      </c>
      <c r="I5136" s="1" t="n">
        <v>257.02</v>
      </c>
      <c r="J5136" s="1" t="str">
        <f aca="false">VLOOKUP(B5136,Customers!$A$2:$G$502,6,FALSE())</f>
        <v>Unknown</v>
      </c>
      <c r="K5136" s="1" t="str">
        <f aca="false">VLOOKUP(C5136,Products!$A$2:$E$62,3,FALSE())</f>
        <v>Furniture</v>
      </c>
      <c r="L5136" s="1" t="str">
        <f aca="false">TEXT(D5136,"yyyy-mm")</f>
        <v>2023-05</v>
      </c>
    </row>
    <row r="5137" customFormat="false" ht="15" hidden="false" customHeight="true" outlineLevel="0" collapsed="false">
      <c r="A5137" s="1" t="n">
        <v>5248</v>
      </c>
      <c r="B5137" s="1" t="n">
        <v>315</v>
      </c>
      <c r="C5137" s="1" t="n">
        <v>42</v>
      </c>
      <c r="D5137" s="1" t="s">
        <v>353</v>
      </c>
      <c r="E5137" s="1" t="n">
        <v>5</v>
      </c>
      <c r="F5137" s="1" t="n">
        <v>174.48</v>
      </c>
      <c r="G5137" s="1" t="n">
        <v>0</v>
      </c>
      <c r="H5137" s="1" t="s">
        <v>1336</v>
      </c>
      <c r="I5137" s="1" t="n">
        <v>872.4</v>
      </c>
      <c r="J5137" s="1" t="str">
        <f aca="false">VLOOKUP(B5137,Customers!$A$2:$G$502,6,FALSE())</f>
        <v>Consumer</v>
      </c>
      <c r="K5137" s="1" t="str">
        <f aca="false">VLOOKUP(C5137,Products!$A$2:$E$62,3,FALSE())</f>
        <v>Software</v>
      </c>
      <c r="L5137" s="1" t="str">
        <f aca="false">TEXT(D5137,"yyyy-mm")</f>
        <v>2024-01</v>
      </c>
    </row>
    <row r="5138" customFormat="false" ht="15" hidden="false" customHeight="true" outlineLevel="0" collapsed="false">
      <c r="A5138" s="1" t="n">
        <v>5249</v>
      </c>
      <c r="B5138" s="1" t="n">
        <v>124</v>
      </c>
      <c r="C5138" s="1" t="n">
        <v>37</v>
      </c>
      <c r="D5138" s="1" t="s">
        <v>314</v>
      </c>
      <c r="E5138" s="1" t="n">
        <v>9</v>
      </c>
      <c r="F5138" s="1" t="n">
        <v>13.95</v>
      </c>
      <c r="G5138" s="1" t="n">
        <v>0.1</v>
      </c>
      <c r="H5138" s="1" t="s">
        <v>1346</v>
      </c>
      <c r="I5138" s="1" t="n">
        <v>113</v>
      </c>
      <c r="J5138" s="1" t="str">
        <f aca="false">VLOOKUP(B5138,Customers!$A$2:$G$502,6,FALSE())</f>
        <v>Small Business</v>
      </c>
      <c r="K5138" s="1" t="str">
        <f aca="false">VLOOKUP(C5138,Products!$A$2:$E$62,3,FALSE())</f>
        <v>Software</v>
      </c>
      <c r="L5138" s="1" t="str">
        <f aca="false">TEXT(D5138,"yyyy-mm")</f>
        <v>2024-05</v>
      </c>
    </row>
    <row r="5139" customFormat="false" ht="15" hidden="false" customHeight="true" outlineLevel="0" collapsed="false">
      <c r="A5139" s="1" t="n">
        <v>5251</v>
      </c>
      <c r="B5139" s="1" t="n">
        <v>216</v>
      </c>
      <c r="C5139" s="1" t="n">
        <v>55</v>
      </c>
      <c r="D5139" s="1" t="s">
        <v>1491</v>
      </c>
      <c r="E5139" s="1" t="n">
        <v>8</v>
      </c>
      <c r="F5139" s="1" t="n">
        <v>123.38</v>
      </c>
      <c r="G5139" s="1" t="n">
        <v>0</v>
      </c>
      <c r="H5139" s="1" t="s">
        <v>1336</v>
      </c>
      <c r="I5139" s="1" t="n">
        <v>987.04</v>
      </c>
      <c r="J5139" s="1" t="str">
        <f aca="false">VLOOKUP(B5139,Customers!$A$2:$G$502,6,FALSE())</f>
        <v>Consumer</v>
      </c>
      <c r="K5139" s="1" t="str">
        <f aca="false">VLOOKUP(C5139,Products!$A$2:$E$62,3,FALSE())</f>
        <v>Furniture</v>
      </c>
      <c r="L5139" s="1" t="str">
        <f aca="false">TEXT(D5139,"yyyy-mm")</f>
        <v>2023-07</v>
      </c>
    </row>
    <row r="5140" customFormat="false" ht="15" hidden="false" customHeight="true" outlineLevel="0" collapsed="false">
      <c r="A5140" s="1" t="n">
        <v>5252</v>
      </c>
      <c r="B5140" s="1" t="n">
        <v>73</v>
      </c>
      <c r="C5140" s="1" t="n">
        <v>27</v>
      </c>
      <c r="D5140" s="1" t="s">
        <v>1479</v>
      </c>
      <c r="E5140" s="1" t="n">
        <v>3</v>
      </c>
      <c r="F5140" s="1" t="n">
        <v>772.58</v>
      </c>
      <c r="G5140" s="1" t="n">
        <v>0</v>
      </c>
      <c r="H5140" s="1" t="s">
        <v>1336</v>
      </c>
      <c r="I5140" s="1" t="n">
        <v>2317.74</v>
      </c>
      <c r="J5140" s="1" t="str">
        <f aca="false">VLOOKUP(B5140,Customers!$A$2:$G$502,6,FALSE())</f>
        <v>Small Business</v>
      </c>
      <c r="K5140" s="1" t="str">
        <f aca="false">VLOOKUP(C5140,Products!$A$2:$E$62,3,FALSE())</f>
        <v>Office Supplies</v>
      </c>
      <c r="L5140" s="1" t="str">
        <f aca="false">TEXT(D5140,"yyyy-mm")</f>
        <v>2024-10</v>
      </c>
    </row>
    <row r="5141" customFormat="false" ht="15" hidden="false" customHeight="true" outlineLevel="0" collapsed="false">
      <c r="A5141" s="1" t="n">
        <v>5253</v>
      </c>
      <c r="B5141" s="1" t="n">
        <v>310</v>
      </c>
      <c r="C5141" s="1" t="n">
        <v>9</v>
      </c>
      <c r="D5141" s="1" t="s">
        <v>309</v>
      </c>
      <c r="E5141" s="1" t="n">
        <v>6</v>
      </c>
      <c r="F5141" s="1" t="n">
        <v>203.1</v>
      </c>
      <c r="G5141" s="1" t="n">
        <v>0</v>
      </c>
      <c r="H5141" s="1" t="s">
        <v>1336</v>
      </c>
      <c r="I5141" s="1" t="n">
        <v>1218.6</v>
      </c>
      <c r="J5141" s="1" t="str">
        <f aca="false">VLOOKUP(B5141,Customers!$A$2:$G$502,6,FALSE())</f>
        <v>Small Business</v>
      </c>
      <c r="K5141" s="1" t="str">
        <f aca="false">VLOOKUP(C5141,Products!$A$2:$E$62,3,FALSE())</f>
        <v>Electronics</v>
      </c>
      <c r="L5141" s="1" t="str">
        <f aca="false">TEXT(D5141,"yyyy-mm")</f>
        <v>2023-05</v>
      </c>
    </row>
    <row r="5142" customFormat="false" ht="15" hidden="false" customHeight="true" outlineLevel="0" collapsed="false">
      <c r="A5142" s="1" t="n">
        <v>5254</v>
      </c>
      <c r="B5142" s="1" t="n">
        <v>491</v>
      </c>
      <c r="C5142" s="1" t="n">
        <v>58</v>
      </c>
      <c r="D5142" s="1" t="s">
        <v>1557</v>
      </c>
      <c r="E5142" s="1" t="n">
        <v>4</v>
      </c>
      <c r="F5142" s="1" t="n">
        <v>515.55</v>
      </c>
      <c r="G5142" s="1" t="n">
        <v>0.15</v>
      </c>
      <c r="H5142" s="1" t="s">
        <v>1336</v>
      </c>
      <c r="I5142" s="1" t="n">
        <v>1752.87</v>
      </c>
      <c r="J5142" s="1" t="str">
        <f aca="false">VLOOKUP(B5142,Customers!$A$2:$G$502,6,FALSE())</f>
        <v>Small Business</v>
      </c>
      <c r="K5142" s="1" t="str">
        <f aca="false">VLOOKUP(C5142,Products!$A$2:$E$62,3,FALSE())</f>
        <v>Furniture</v>
      </c>
      <c r="L5142" s="1" t="str">
        <f aca="false">TEXT(D5142,"yyyy-mm")</f>
        <v>2024-03</v>
      </c>
    </row>
    <row r="5143" customFormat="false" ht="15" hidden="false" customHeight="true" outlineLevel="0" collapsed="false">
      <c r="A5143" s="1" t="n">
        <v>5255</v>
      </c>
      <c r="B5143" s="1" t="n">
        <v>213</v>
      </c>
      <c r="C5143" s="1" t="n">
        <v>9</v>
      </c>
      <c r="D5143" s="1" t="s">
        <v>1631</v>
      </c>
      <c r="E5143" s="1" t="n">
        <v>8</v>
      </c>
      <c r="F5143" s="1" t="n">
        <v>203.1</v>
      </c>
      <c r="G5143" s="1" t="n">
        <v>0</v>
      </c>
      <c r="H5143" s="1" t="s">
        <v>1336</v>
      </c>
      <c r="I5143" s="1" t="n">
        <v>1624.8</v>
      </c>
      <c r="J5143" s="1" t="str">
        <f aca="false">VLOOKUP(B5143,Customers!$A$2:$G$502,6,FALSE())</f>
        <v>Small Business</v>
      </c>
      <c r="K5143" s="1" t="str">
        <f aca="false">VLOOKUP(C5143,Products!$A$2:$E$62,3,FALSE())</f>
        <v>Electronics</v>
      </c>
      <c r="L5143" s="1" t="str">
        <f aca="false">TEXT(D5143,"yyyy-mm")</f>
        <v>2023-03</v>
      </c>
    </row>
    <row r="5144" customFormat="false" ht="15" hidden="false" customHeight="true" outlineLevel="0" collapsed="false">
      <c r="A5144" s="1" t="n">
        <v>5256</v>
      </c>
      <c r="B5144" s="1" t="n">
        <v>315</v>
      </c>
      <c r="C5144" s="1" t="n">
        <v>57</v>
      </c>
      <c r="D5144" s="1" t="s">
        <v>1685</v>
      </c>
      <c r="E5144" s="1" t="n">
        <v>6</v>
      </c>
      <c r="F5144" s="1" t="n">
        <v>719.76</v>
      </c>
      <c r="G5144" s="1" t="n">
        <v>0.05</v>
      </c>
      <c r="H5144" s="1" t="s">
        <v>1346</v>
      </c>
      <c r="I5144" s="1" t="n">
        <v>4102.63</v>
      </c>
      <c r="J5144" s="1" t="str">
        <f aca="false">VLOOKUP(B5144,Customers!$A$2:$G$502,6,FALSE())</f>
        <v>Consumer</v>
      </c>
      <c r="K5144" s="1" t="str">
        <f aca="false">VLOOKUP(C5144,Products!$A$2:$E$62,3,FALSE())</f>
        <v>Furniture</v>
      </c>
      <c r="L5144" s="1" t="str">
        <f aca="false">TEXT(D5144,"yyyy-mm")</f>
        <v>2024-08</v>
      </c>
    </row>
    <row r="5145" customFormat="false" ht="15" hidden="false" customHeight="true" outlineLevel="0" collapsed="false">
      <c r="A5145" s="1" t="n">
        <v>5257</v>
      </c>
      <c r="B5145" s="1" t="n">
        <v>269</v>
      </c>
      <c r="C5145" s="1" t="n">
        <v>5</v>
      </c>
      <c r="D5145" s="1" t="s">
        <v>452</v>
      </c>
      <c r="E5145" s="1" t="n">
        <v>8</v>
      </c>
      <c r="F5145" s="1" t="n">
        <v>439.06</v>
      </c>
      <c r="G5145" s="1" t="n">
        <v>0.1</v>
      </c>
      <c r="H5145" s="1" t="s">
        <v>1370</v>
      </c>
      <c r="I5145" s="1" t="n">
        <v>3161.23</v>
      </c>
      <c r="J5145" s="1" t="str">
        <f aca="false">VLOOKUP(B5145,Customers!$A$2:$G$502,6,FALSE())</f>
        <v>Corporate</v>
      </c>
      <c r="K5145" s="1" t="str">
        <f aca="false">VLOOKUP(C5145,Products!$A$2:$E$62,3,FALSE())</f>
        <v>Electronics</v>
      </c>
      <c r="L5145" s="1" t="str">
        <f aca="false">TEXT(D5145,"yyyy-mm")</f>
        <v>2023-02</v>
      </c>
    </row>
    <row r="5146" customFormat="false" ht="15" hidden="false" customHeight="true" outlineLevel="0" collapsed="false">
      <c r="A5146" s="1" t="n">
        <v>5258</v>
      </c>
      <c r="B5146" s="1" t="n">
        <v>217</v>
      </c>
      <c r="C5146" s="1" t="n">
        <v>34</v>
      </c>
      <c r="D5146" s="1" t="s">
        <v>667</v>
      </c>
      <c r="E5146" s="1" t="n">
        <v>1</v>
      </c>
      <c r="F5146" s="1" t="n">
        <v>116.85</v>
      </c>
      <c r="G5146" s="1" t="n">
        <v>0.05</v>
      </c>
      <c r="H5146" s="1" t="s">
        <v>1346</v>
      </c>
      <c r="I5146" s="1" t="n">
        <v>111.01</v>
      </c>
      <c r="J5146" s="1" t="str">
        <f aca="false">VLOOKUP(B5146,Customers!$A$2:$G$502,6,FALSE())</f>
        <v>Consumer</v>
      </c>
      <c r="K5146" s="1" t="str">
        <f aca="false">VLOOKUP(C5146,Products!$A$2:$E$62,3,FALSE())</f>
        <v>Office Supplies</v>
      </c>
      <c r="L5146" s="1" t="str">
        <f aca="false">TEXT(D5146,"yyyy-mm")</f>
        <v>2024-02</v>
      </c>
    </row>
    <row r="5147" customFormat="false" ht="15" hidden="false" customHeight="true" outlineLevel="0" collapsed="false">
      <c r="A5147" s="1" t="n">
        <v>5259</v>
      </c>
      <c r="B5147" s="1" t="n">
        <v>48</v>
      </c>
      <c r="C5147" s="1" t="n">
        <v>49</v>
      </c>
      <c r="D5147" s="1" t="s">
        <v>1510</v>
      </c>
      <c r="E5147" s="1" t="n">
        <v>6</v>
      </c>
      <c r="F5147" s="1" t="n">
        <v>325.17</v>
      </c>
      <c r="G5147" s="1" t="n">
        <v>0.1</v>
      </c>
      <c r="H5147" s="1" t="s">
        <v>1346</v>
      </c>
      <c r="I5147" s="1" t="n">
        <v>1755.92</v>
      </c>
      <c r="J5147" s="1" t="str">
        <f aca="false">VLOOKUP(B5147,Customers!$A$2:$G$502,6,FALSE())</f>
        <v>Small Business</v>
      </c>
      <c r="K5147" s="1" t="str">
        <f aca="false">VLOOKUP(C5147,Products!$A$2:$E$62,3,FALSE())</f>
        <v>Software</v>
      </c>
      <c r="L5147" s="1" t="str">
        <f aca="false">TEXT(D5147,"yyyy-mm")</f>
        <v>2024-02</v>
      </c>
    </row>
    <row r="5148" customFormat="false" ht="15" hidden="false" customHeight="true" outlineLevel="0" collapsed="false">
      <c r="A5148" s="1" t="n">
        <v>5260</v>
      </c>
      <c r="B5148" s="1" t="n">
        <v>227</v>
      </c>
      <c r="C5148" s="1" t="n">
        <v>15</v>
      </c>
      <c r="D5148" s="1" t="s">
        <v>1423</v>
      </c>
      <c r="E5148" s="1" t="n">
        <v>1</v>
      </c>
      <c r="F5148" s="1" t="n">
        <v>304.95</v>
      </c>
      <c r="G5148" s="1" t="n">
        <v>0</v>
      </c>
      <c r="H5148" s="1" t="s">
        <v>1336</v>
      </c>
      <c r="I5148" s="1" t="n">
        <v>304.95</v>
      </c>
      <c r="J5148" s="1" t="str">
        <f aca="false">VLOOKUP(B5148,Customers!$A$2:$G$502,6,FALSE())</f>
        <v>Consumer</v>
      </c>
      <c r="K5148" s="1" t="str">
        <f aca="false">VLOOKUP(C5148,Products!$A$2:$E$62,3,FALSE())</f>
        <v>Electronics</v>
      </c>
      <c r="L5148" s="1" t="str">
        <f aca="false">TEXT(D5148,"yyyy-mm")</f>
        <v>2024-04</v>
      </c>
    </row>
    <row r="5149" customFormat="false" ht="15" hidden="false" customHeight="true" outlineLevel="0" collapsed="false">
      <c r="A5149" s="1" t="n">
        <v>5261</v>
      </c>
      <c r="B5149" s="1" t="n">
        <v>387</v>
      </c>
      <c r="C5149" s="1" t="n">
        <v>13</v>
      </c>
      <c r="D5149" s="1" t="s">
        <v>1205</v>
      </c>
      <c r="E5149" s="1" t="n">
        <v>1</v>
      </c>
      <c r="F5149" s="1" t="n">
        <v>352.54</v>
      </c>
      <c r="G5149" s="1" t="n">
        <v>0</v>
      </c>
      <c r="H5149" s="1" t="s">
        <v>1336</v>
      </c>
      <c r="I5149" s="1" t="n">
        <v>352.54</v>
      </c>
      <c r="J5149" s="1" t="str">
        <f aca="false">VLOOKUP(B5149,Customers!$A$2:$G$502,6,FALSE())</f>
        <v>Corporate</v>
      </c>
      <c r="K5149" s="1" t="str">
        <f aca="false">VLOOKUP(C5149,Products!$A$2:$E$62,3,FALSE())</f>
        <v>Electronics</v>
      </c>
      <c r="L5149" s="1" t="str">
        <f aca="false">TEXT(D5149,"yyyy-mm")</f>
        <v>2024-08</v>
      </c>
    </row>
    <row r="5150" customFormat="false" ht="15" hidden="false" customHeight="true" outlineLevel="0" collapsed="false">
      <c r="A5150" s="1" t="n">
        <v>5262</v>
      </c>
      <c r="B5150" s="1" t="n">
        <v>468</v>
      </c>
      <c r="C5150" s="1" t="n">
        <v>4</v>
      </c>
      <c r="D5150" s="1" t="s">
        <v>1622</v>
      </c>
      <c r="E5150" s="1" t="n">
        <v>8</v>
      </c>
      <c r="F5150" s="1" t="n">
        <v>56.24</v>
      </c>
      <c r="G5150" s="1" t="n">
        <v>0.2</v>
      </c>
      <c r="H5150" s="1" t="s">
        <v>1336</v>
      </c>
      <c r="I5150" s="1" t="n">
        <v>359.94</v>
      </c>
      <c r="J5150" s="1" t="str">
        <f aca="false">VLOOKUP(B5150,Customers!$A$2:$G$502,6,FALSE())</f>
        <v>Small Business</v>
      </c>
      <c r="K5150" s="1" t="str">
        <f aca="false">VLOOKUP(C5150,Products!$A$2:$E$62,3,FALSE())</f>
        <v>Electronics</v>
      </c>
      <c r="L5150" s="1" t="str">
        <f aca="false">TEXT(D5150,"yyyy-mm")</f>
        <v>2023-12</v>
      </c>
    </row>
    <row r="5151" customFormat="false" ht="15" hidden="false" customHeight="true" outlineLevel="0" collapsed="false">
      <c r="A5151" s="1" t="n">
        <v>5263</v>
      </c>
      <c r="B5151" s="1" t="n">
        <v>247</v>
      </c>
      <c r="C5151" s="1" t="n">
        <v>1</v>
      </c>
      <c r="D5151" s="1" t="s">
        <v>1120</v>
      </c>
      <c r="E5151" s="1" t="n">
        <v>7</v>
      </c>
      <c r="F5151" s="1" t="n">
        <v>327.32</v>
      </c>
      <c r="G5151" s="1" t="n">
        <v>0</v>
      </c>
      <c r="H5151" s="1" t="s">
        <v>1370</v>
      </c>
      <c r="I5151" s="1" t="n">
        <v>2291.24</v>
      </c>
      <c r="J5151" s="1" t="str">
        <f aca="false">VLOOKUP(B5151,Customers!$A$2:$G$502,6,FALSE())</f>
        <v>Small Business</v>
      </c>
      <c r="K5151" s="1" t="str">
        <f aca="false">VLOOKUP(C5151,Products!$A$2:$E$62,3,FALSE())</f>
        <v>Electronics</v>
      </c>
      <c r="L5151" s="1" t="str">
        <f aca="false">TEXT(D5151,"yyyy-mm")</f>
        <v>2024-10</v>
      </c>
    </row>
    <row r="5152" customFormat="false" ht="15" hidden="false" customHeight="true" outlineLevel="0" collapsed="false">
      <c r="A5152" s="1" t="n">
        <v>5264</v>
      </c>
      <c r="B5152" s="1" t="n">
        <v>168</v>
      </c>
      <c r="C5152" s="1" t="n">
        <v>58</v>
      </c>
      <c r="D5152" s="1" t="s">
        <v>1479</v>
      </c>
      <c r="E5152" s="1" t="n">
        <v>3</v>
      </c>
      <c r="F5152" s="1" t="n">
        <v>515.55</v>
      </c>
      <c r="G5152" s="1" t="n">
        <v>0.05</v>
      </c>
      <c r="H5152" s="1" t="s">
        <v>1336</v>
      </c>
      <c r="I5152" s="1" t="n">
        <v>1469.32</v>
      </c>
      <c r="J5152" s="1" t="str">
        <f aca="false">VLOOKUP(B5152,Customers!$A$2:$G$502,6,FALSE())</f>
        <v>Consumer</v>
      </c>
      <c r="K5152" s="1" t="str">
        <f aca="false">VLOOKUP(C5152,Products!$A$2:$E$62,3,FALSE())</f>
        <v>Furniture</v>
      </c>
      <c r="L5152" s="1" t="str">
        <f aca="false">TEXT(D5152,"yyyy-mm")</f>
        <v>2024-10</v>
      </c>
    </row>
    <row r="5153" customFormat="false" ht="15" hidden="false" customHeight="true" outlineLevel="0" collapsed="false">
      <c r="A5153" s="1" t="n">
        <v>5265</v>
      </c>
      <c r="B5153" s="1" t="n">
        <v>33</v>
      </c>
      <c r="C5153" s="1" t="n">
        <v>15</v>
      </c>
      <c r="D5153" s="1" t="s">
        <v>1418</v>
      </c>
      <c r="E5153" s="1" t="n">
        <v>6</v>
      </c>
      <c r="F5153" s="1" t="n">
        <v>304.95</v>
      </c>
      <c r="G5153" s="1" t="n">
        <v>0.05</v>
      </c>
      <c r="H5153" s="1" t="s">
        <v>1336</v>
      </c>
      <c r="I5153" s="1" t="n">
        <v>1738.21</v>
      </c>
      <c r="J5153" s="1" t="str">
        <f aca="false">VLOOKUP(B5153,Customers!$A$2:$G$502,6,FALSE())</f>
        <v>Corporate</v>
      </c>
      <c r="K5153" s="1" t="str">
        <f aca="false">VLOOKUP(C5153,Products!$A$2:$E$62,3,FALSE())</f>
        <v>Electronics</v>
      </c>
      <c r="L5153" s="1" t="str">
        <f aca="false">TEXT(D5153,"yyyy-mm")</f>
        <v>2023-06</v>
      </c>
    </row>
    <row r="5154" customFormat="false" ht="15" hidden="false" customHeight="true" outlineLevel="0" collapsed="false">
      <c r="A5154" s="1" t="n">
        <v>5266</v>
      </c>
      <c r="B5154" s="1" t="n">
        <v>306</v>
      </c>
      <c r="C5154" s="1" t="n">
        <v>51</v>
      </c>
      <c r="D5154" s="1" t="s">
        <v>1386</v>
      </c>
      <c r="E5154" s="1" t="n">
        <v>9</v>
      </c>
      <c r="F5154" s="1" t="n">
        <v>30.16</v>
      </c>
      <c r="G5154" s="1" t="n">
        <v>0</v>
      </c>
      <c r="H5154" s="1" t="s">
        <v>1336</v>
      </c>
      <c r="I5154" s="1" t="n">
        <v>271.44</v>
      </c>
      <c r="J5154" s="1" t="str">
        <f aca="false">VLOOKUP(B5154,Customers!$A$2:$G$502,6,FALSE())</f>
        <v>Small Business</v>
      </c>
      <c r="K5154" s="1" t="str">
        <f aca="false">VLOOKUP(C5154,Products!$A$2:$E$62,3,FALSE())</f>
        <v>Software</v>
      </c>
      <c r="L5154" s="1" t="str">
        <f aca="false">TEXT(D5154,"yyyy-mm")</f>
        <v>2023-08</v>
      </c>
    </row>
    <row r="5155" customFormat="false" ht="15" hidden="false" customHeight="true" outlineLevel="0" collapsed="false">
      <c r="A5155" s="1" t="n">
        <v>5267</v>
      </c>
      <c r="B5155" s="1" t="n">
        <v>168</v>
      </c>
      <c r="C5155" s="1" t="n">
        <v>17</v>
      </c>
      <c r="D5155" s="1" t="s">
        <v>452</v>
      </c>
      <c r="E5155" s="1" t="n">
        <v>7</v>
      </c>
      <c r="F5155" s="1" t="n">
        <v>65.61</v>
      </c>
      <c r="G5155" s="1" t="n">
        <v>0</v>
      </c>
      <c r="H5155" s="1" t="s">
        <v>1336</v>
      </c>
      <c r="I5155" s="1" t="n">
        <v>459.27</v>
      </c>
      <c r="J5155" s="1" t="str">
        <f aca="false">VLOOKUP(B5155,Customers!$A$2:$G$502,6,FALSE())</f>
        <v>Consumer</v>
      </c>
      <c r="K5155" s="1" t="str">
        <f aca="false">VLOOKUP(C5155,Products!$A$2:$E$62,3,FALSE())</f>
        <v>Electronics</v>
      </c>
      <c r="L5155" s="1" t="str">
        <f aca="false">TEXT(D5155,"yyyy-mm")</f>
        <v>2023-02</v>
      </c>
    </row>
    <row r="5156" customFormat="false" ht="15" hidden="false" customHeight="true" outlineLevel="0" collapsed="false">
      <c r="A5156" s="1" t="n">
        <v>5268</v>
      </c>
      <c r="B5156" s="1" t="n">
        <v>487</v>
      </c>
      <c r="C5156" s="1" t="n">
        <v>55</v>
      </c>
      <c r="D5156" s="1" t="s">
        <v>476</v>
      </c>
      <c r="E5156" s="1" t="n">
        <v>3</v>
      </c>
      <c r="F5156" s="1" t="n">
        <v>123.38</v>
      </c>
      <c r="G5156" s="1" t="n">
        <v>0.05</v>
      </c>
      <c r="H5156" s="1" t="s">
        <v>1336</v>
      </c>
      <c r="I5156" s="1" t="n">
        <v>351.63</v>
      </c>
      <c r="J5156" s="1" t="str">
        <f aca="false">VLOOKUP(B5156,Customers!$A$2:$G$502,6,FALSE())</f>
        <v>Small Business</v>
      </c>
      <c r="K5156" s="1" t="str">
        <f aca="false">VLOOKUP(C5156,Products!$A$2:$E$62,3,FALSE())</f>
        <v>Furniture</v>
      </c>
      <c r="L5156" s="1" t="str">
        <f aca="false">TEXT(D5156,"yyyy-mm")</f>
        <v>2023-10</v>
      </c>
    </row>
    <row r="5157" customFormat="false" ht="15" hidden="false" customHeight="true" outlineLevel="0" collapsed="false">
      <c r="A5157" s="1" t="n">
        <v>5269</v>
      </c>
      <c r="B5157" s="1" t="n">
        <v>275</v>
      </c>
      <c r="C5157" s="1" t="n">
        <v>26</v>
      </c>
      <c r="D5157" s="1" t="s">
        <v>1679</v>
      </c>
      <c r="E5157" s="1" t="n">
        <v>6</v>
      </c>
      <c r="F5157" s="1" t="n">
        <v>733.85</v>
      </c>
      <c r="G5157" s="1" t="n">
        <v>0</v>
      </c>
      <c r="H5157" s="1" t="s">
        <v>1336</v>
      </c>
      <c r="I5157" s="1" t="n">
        <v>4403.1</v>
      </c>
      <c r="J5157" s="1" t="str">
        <f aca="false">VLOOKUP(B5157,Customers!$A$2:$G$502,6,FALSE())</f>
        <v>Consumer</v>
      </c>
      <c r="K5157" s="1" t="str">
        <f aca="false">VLOOKUP(C5157,Products!$A$2:$E$62,3,FALSE())</f>
        <v>Office Supplies</v>
      </c>
      <c r="L5157" s="1" t="str">
        <f aca="false">TEXT(D5157,"yyyy-mm")</f>
        <v>2023-11</v>
      </c>
    </row>
    <row r="5158" customFormat="false" ht="15" hidden="false" customHeight="true" outlineLevel="0" collapsed="false">
      <c r="A5158" s="1" t="n">
        <v>5270</v>
      </c>
      <c r="B5158" s="1" t="n">
        <v>323</v>
      </c>
      <c r="C5158" s="1" t="n">
        <v>54</v>
      </c>
      <c r="D5158" s="1" t="s">
        <v>1435</v>
      </c>
      <c r="E5158" s="1" t="n">
        <v>4</v>
      </c>
      <c r="F5158" s="1" t="n">
        <v>312.01</v>
      </c>
      <c r="G5158" s="1" t="n">
        <v>0</v>
      </c>
      <c r="H5158" s="1" t="s">
        <v>1336</v>
      </c>
      <c r="I5158" s="1" t="n">
        <v>1248.04</v>
      </c>
      <c r="J5158" s="1" t="str">
        <f aca="false">VLOOKUP(B5158,Customers!$A$2:$G$502,6,FALSE())</f>
        <v>Consumer</v>
      </c>
      <c r="K5158" s="1" t="str">
        <f aca="false">VLOOKUP(C5158,Products!$A$2:$E$62,3,FALSE())</f>
        <v>Software</v>
      </c>
      <c r="L5158" s="1" t="str">
        <f aca="false">TEXT(D5158,"yyyy-mm")</f>
        <v>2024-08</v>
      </c>
    </row>
    <row r="5159" customFormat="false" ht="15" hidden="false" customHeight="true" outlineLevel="0" collapsed="false">
      <c r="A5159" s="1" t="n">
        <v>5271</v>
      </c>
      <c r="B5159" s="1" t="n">
        <v>307</v>
      </c>
      <c r="C5159" s="1" t="n">
        <v>54</v>
      </c>
      <c r="D5159" s="1" t="s">
        <v>989</v>
      </c>
      <c r="E5159" s="1" t="n">
        <v>3</v>
      </c>
      <c r="F5159" s="1" t="n">
        <v>312.01</v>
      </c>
      <c r="G5159" s="1" t="n">
        <v>0</v>
      </c>
      <c r="H5159" s="1" t="s">
        <v>1336</v>
      </c>
      <c r="I5159" s="1" t="n">
        <v>936.03</v>
      </c>
      <c r="J5159" s="1" t="str">
        <f aca="false">VLOOKUP(B5159,Customers!$A$2:$G$502,6,FALSE())</f>
        <v>Corporate</v>
      </c>
      <c r="K5159" s="1" t="str">
        <f aca="false">VLOOKUP(C5159,Products!$A$2:$E$62,3,FALSE())</f>
        <v>Software</v>
      </c>
      <c r="L5159" s="1" t="str">
        <f aca="false">TEXT(D5159,"yyyy-mm")</f>
        <v>2024-06</v>
      </c>
    </row>
    <row r="5160" customFormat="false" ht="15" hidden="false" customHeight="true" outlineLevel="0" collapsed="false">
      <c r="A5160" s="1" t="n">
        <v>5272</v>
      </c>
      <c r="B5160" s="1" t="n">
        <v>332</v>
      </c>
      <c r="C5160" s="1" t="n">
        <v>2</v>
      </c>
      <c r="D5160" s="1" t="s">
        <v>1377</v>
      </c>
      <c r="E5160" s="1" t="n">
        <v>9</v>
      </c>
      <c r="F5160" s="1" t="n">
        <v>498.15</v>
      </c>
      <c r="G5160" s="1" t="n">
        <v>0.2</v>
      </c>
      <c r="H5160" s="1" t="s">
        <v>1346</v>
      </c>
      <c r="I5160" s="1" t="n">
        <v>3586.68</v>
      </c>
      <c r="J5160" s="1" t="str">
        <f aca="false">VLOOKUP(B5160,Customers!$A$2:$G$502,6,FALSE())</f>
        <v>Consumer</v>
      </c>
      <c r="K5160" s="1" t="str">
        <f aca="false">VLOOKUP(C5160,Products!$A$2:$E$62,3,FALSE())</f>
        <v>Electronics</v>
      </c>
      <c r="L5160" s="1" t="str">
        <f aca="false">TEXT(D5160,"yyyy-mm")</f>
        <v>2023-10</v>
      </c>
    </row>
    <row r="5161" customFormat="false" ht="15" hidden="false" customHeight="true" outlineLevel="0" collapsed="false">
      <c r="A5161" s="1" t="n">
        <v>5273</v>
      </c>
      <c r="B5161" s="1" t="n">
        <v>7</v>
      </c>
      <c r="C5161" s="1" t="n">
        <v>56</v>
      </c>
      <c r="D5161" s="1" t="s">
        <v>1466</v>
      </c>
      <c r="E5161" s="1" t="n">
        <v>2</v>
      </c>
      <c r="F5161" s="1" t="n">
        <v>160.64</v>
      </c>
      <c r="G5161" s="1" t="n">
        <v>0.15</v>
      </c>
      <c r="H5161" s="1" t="s">
        <v>1336</v>
      </c>
      <c r="I5161" s="1" t="n">
        <v>273.09</v>
      </c>
      <c r="J5161" s="1" t="str">
        <f aca="false">VLOOKUP(B5161,Customers!$A$2:$G$502,6,FALSE())</f>
        <v>Small Business</v>
      </c>
      <c r="K5161" s="1" t="str">
        <f aca="false">VLOOKUP(C5161,Products!$A$2:$E$62,3,FALSE())</f>
        <v>Furniture</v>
      </c>
      <c r="L5161" s="1" t="str">
        <f aca="false">TEXT(D5161,"yyyy-mm")</f>
        <v>2024-05</v>
      </c>
    </row>
    <row r="5162" customFormat="false" ht="15" hidden="false" customHeight="true" outlineLevel="0" collapsed="false">
      <c r="A5162" s="1" t="n">
        <v>5274</v>
      </c>
      <c r="B5162" s="1" t="n">
        <v>60</v>
      </c>
      <c r="C5162" s="1" t="n">
        <v>29</v>
      </c>
      <c r="D5162" s="1" t="s">
        <v>309</v>
      </c>
      <c r="E5162" s="1" t="n">
        <v>1</v>
      </c>
      <c r="F5162" s="1" t="n">
        <v>54.62</v>
      </c>
      <c r="G5162" s="1" t="n">
        <v>0</v>
      </c>
      <c r="H5162" s="1" t="s">
        <v>1336</v>
      </c>
      <c r="I5162" s="1" t="n">
        <v>54.62</v>
      </c>
      <c r="J5162" s="1" t="str">
        <f aca="false">VLOOKUP(B5162,Customers!$A$2:$G$502,6,FALSE())</f>
        <v>Corporate</v>
      </c>
      <c r="K5162" s="1" t="str">
        <f aca="false">VLOOKUP(C5162,Products!$A$2:$E$62,3,FALSE())</f>
        <v>Office Supplies</v>
      </c>
      <c r="L5162" s="1" t="str">
        <f aca="false">TEXT(D5162,"yyyy-mm")</f>
        <v>2023-05</v>
      </c>
    </row>
    <row r="5163" customFormat="false" ht="15" hidden="false" customHeight="true" outlineLevel="0" collapsed="false">
      <c r="A5163" s="1" t="n">
        <v>5275</v>
      </c>
      <c r="B5163" s="1" t="n">
        <v>301</v>
      </c>
      <c r="C5163" s="1" t="n">
        <v>46</v>
      </c>
      <c r="D5163" s="1" t="s">
        <v>71</v>
      </c>
      <c r="E5163" s="1" t="n">
        <v>2</v>
      </c>
      <c r="F5163" s="1" t="n">
        <v>94.92</v>
      </c>
      <c r="G5163" s="1" t="n">
        <v>0</v>
      </c>
      <c r="H5163" s="1" t="s">
        <v>1336</v>
      </c>
      <c r="I5163" s="1" t="n">
        <v>189.84</v>
      </c>
      <c r="J5163" s="1" t="str">
        <f aca="false">VLOOKUP(B5163,Customers!$A$2:$G$502,6,FALSE())</f>
        <v>Corporate</v>
      </c>
      <c r="K5163" s="1" t="str">
        <f aca="false">VLOOKUP(C5163,Products!$A$2:$E$62,3,FALSE())</f>
        <v>Software</v>
      </c>
      <c r="L5163" s="1" t="str">
        <f aca="false">TEXT(D5163,"yyyy-mm")</f>
        <v>2024-05</v>
      </c>
    </row>
    <row r="5164" customFormat="false" ht="15" hidden="false" customHeight="true" outlineLevel="0" collapsed="false">
      <c r="A5164" s="1" t="n">
        <v>5276</v>
      </c>
      <c r="B5164" s="1" t="n">
        <v>345</v>
      </c>
      <c r="C5164" s="1" t="n">
        <v>27</v>
      </c>
      <c r="D5164" s="1" t="s">
        <v>455</v>
      </c>
      <c r="E5164" s="1" t="n">
        <v>7</v>
      </c>
      <c r="F5164" s="1" t="n">
        <v>772.58</v>
      </c>
      <c r="G5164" s="1" t="n">
        <v>0.05</v>
      </c>
      <c r="H5164" s="1" t="s">
        <v>1336</v>
      </c>
      <c r="I5164" s="1" t="n">
        <v>5137.66</v>
      </c>
      <c r="J5164" s="1" t="str">
        <f aca="false">VLOOKUP(B5164,Customers!$A$2:$G$502,6,FALSE())</f>
        <v>Corporate</v>
      </c>
      <c r="K5164" s="1" t="str">
        <f aca="false">VLOOKUP(C5164,Products!$A$2:$E$62,3,FALSE())</f>
        <v>Office Supplies</v>
      </c>
      <c r="L5164" s="1" t="str">
        <f aca="false">TEXT(D5164,"yyyy-mm")</f>
        <v>2024-08</v>
      </c>
    </row>
    <row r="5165" customFormat="false" ht="15" hidden="false" customHeight="true" outlineLevel="0" collapsed="false">
      <c r="A5165" s="1" t="n">
        <v>5277</v>
      </c>
      <c r="B5165" s="1" t="n">
        <v>47</v>
      </c>
      <c r="C5165" s="1" t="n">
        <v>57</v>
      </c>
      <c r="D5165" s="1" t="s">
        <v>1463</v>
      </c>
      <c r="E5165" s="1" t="n">
        <v>1</v>
      </c>
      <c r="F5165" s="1" t="n">
        <v>719.76</v>
      </c>
      <c r="G5165" s="1" t="n">
        <v>0.15</v>
      </c>
      <c r="H5165" s="1" t="s">
        <v>1336</v>
      </c>
      <c r="I5165" s="1" t="n">
        <v>611.8</v>
      </c>
      <c r="J5165" s="1" t="str">
        <f aca="false">VLOOKUP(B5165,Customers!$A$2:$G$502,6,FALSE())</f>
        <v>Small Business</v>
      </c>
      <c r="K5165" s="1" t="str">
        <f aca="false">VLOOKUP(C5165,Products!$A$2:$E$62,3,FALSE())</f>
        <v>Furniture</v>
      </c>
      <c r="L5165" s="1" t="str">
        <f aca="false">TEXT(D5165,"yyyy-mm")</f>
        <v>2024-09</v>
      </c>
    </row>
    <row r="5166" customFormat="false" ht="15" hidden="false" customHeight="true" outlineLevel="0" collapsed="false">
      <c r="A5166" s="1" t="n">
        <v>5278</v>
      </c>
      <c r="B5166" s="1" t="n">
        <v>435</v>
      </c>
      <c r="C5166" s="1" t="n">
        <v>60</v>
      </c>
      <c r="D5166" s="1" t="s">
        <v>235</v>
      </c>
      <c r="E5166" s="1" t="n">
        <v>6</v>
      </c>
      <c r="F5166" s="1" t="n">
        <v>584.98</v>
      </c>
      <c r="G5166" s="1" t="n">
        <v>0</v>
      </c>
      <c r="H5166" s="1" t="s">
        <v>1370</v>
      </c>
      <c r="I5166" s="1" t="n">
        <v>3509.88</v>
      </c>
      <c r="J5166" s="1" t="str">
        <f aca="false">VLOOKUP(B5166,Customers!$A$2:$G$502,6,FALSE())</f>
        <v>Unknown</v>
      </c>
      <c r="K5166" s="1" t="str">
        <f aca="false">VLOOKUP(C5166,Products!$A$2:$E$62,3,FALSE())</f>
        <v>Furniture</v>
      </c>
      <c r="L5166" s="1" t="str">
        <f aca="false">TEXT(D5166,"yyyy-mm")</f>
        <v>2024-03</v>
      </c>
    </row>
    <row r="5167" customFormat="false" ht="15" hidden="false" customHeight="true" outlineLevel="0" collapsed="false">
      <c r="A5167" s="1" t="n">
        <v>5279</v>
      </c>
      <c r="B5167" s="1" t="n">
        <v>107</v>
      </c>
      <c r="C5167" s="1" t="n">
        <v>5</v>
      </c>
      <c r="D5167" s="1" t="s">
        <v>935</v>
      </c>
      <c r="E5167" s="1" t="n">
        <v>7</v>
      </c>
      <c r="F5167" s="1" t="n">
        <v>439.06</v>
      </c>
      <c r="G5167" s="1" t="n">
        <v>0.15</v>
      </c>
      <c r="H5167" s="1" t="s">
        <v>1336</v>
      </c>
      <c r="I5167" s="1" t="n">
        <v>2612.41</v>
      </c>
      <c r="J5167" s="1" t="str">
        <f aca="false">VLOOKUP(B5167,Customers!$A$2:$G$502,6,FALSE())</f>
        <v>Consumer</v>
      </c>
      <c r="K5167" s="1" t="str">
        <f aca="false">VLOOKUP(C5167,Products!$A$2:$E$62,3,FALSE())</f>
        <v>Electronics</v>
      </c>
      <c r="L5167" s="1" t="str">
        <f aca="false">TEXT(D5167,"yyyy-mm")</f>
        <v>2024-02</v>
      </c>
    </row>
    <row r="5168" customFormat="false" ht="15" hidden="false" customHeight="true" outlineLevel="0" collapsed="false">
      <c r="A5168" s="1" t="n">
        <v>5280</v>
      </c>
      <c r="B5168" s="1" t="n">
        <v>119</v>
      </c>
      <c r="C5168" s="1" t="n">
        <v>8</v>
      </c>
      <c r="D5168" s="1" t="s">
        <v>729</v>
      </c>
      <c r="E5168" s="1" t="n">
        <v>9</v>
      </c>
      <c r="F5168" s="1" t="n">
        <v>104.4</v>
      </c>
      <c r="G5168" s="1" t="n">
        <v>0</v>
      </c>
      <c r="H5168" s="1" t="s">
        <v>1336</v>
      </c>
      <c r="I5168" s="1" t="n">
        <v>939.6</v>
      </c>
      <c r="J5168" s="1" t="str">
        <f aca="false">VLOOKUP(B5168,Customers!$A$2:$G$502,6,FALSE())</f>
        <v>Small Business</v>
      </c>
      <c r="K5168" s="1" t="str">
        <f aca="false">VLOOKUP(C5168,Products!$A$2:$E$62,3,FALSE())</f>
        <v>Electronics</v>
      </c>
      <c r="L5168" s="1" t="str">
        <f aca="false">TEXT(D5168,"yyyy-mm")</f>
        <v>2024-01</v>
      </c>
    </row>
    <row r="5169" customFormat="false" ht="15" hidden="false" customHeight="true" outlineLevel="0" collapsed="false">
      <c r="A5169" s="1" t="n">
        <v>5281</v>
      </c>
      <c r="B5169" s="1" t="n">
        <v>4</v>
      </c>
      <c r="C5169" s="1" t="n">
        <v>5</v>
      </c>
      <c r="D5169" s="1" t="s">
        <v>1672</v>
      </c>
      <c r="E5169" s="1" t="n">
        <v>8</v>
      </c>
      <c r="F5169" s="1" t="n">
        <v>439.06</v>
      </c>
      <c r="G5169" s="1" t="n">
        <v>0</v>
      </c>
      <c r="H5169" s="1" t="s">
        <v>1336</v>
      </c>
      <c r="I5169" s="1" t="n">
        <v>3512.48</v>
      </c>
      <c r="J5169" s="1" t="str">
        <f aca="false">VLOOKUP(B5169,Customers!$A$2:$G$502,6,FALSE())</f>
        <v>Consumer</v>
      </c>
      <c r="K5169" s="1" t="str">
        <f aca="false">VLOOKUP(C5169,Products!$A$2:$E$62,3,FALSE())</f>
        <v>Electronics</v>
      </c>
      <c r="L5169" s="1" t="str">
        <f aca="false">TEXT(D5169,"yyyy-mm")</f>
        <v>2024-05</v>
      </c>
    </row>
    <row r="5170" customFormat="false" ht="15" hidden="false" customHeight="true" outlineLevel="0" collapsed="false">
      <c r="A5170" s="1" t="n">
        <v>5282</v>
      </c>
      <c r="B5170" s="1" t="n">
        <v>239</v>
      </c>
      <c r="C5170" s="1" t="n">
        <v>59</v>
      </c>
      <c r="D5170" s="1" t="s">
        <v>1694</v>
      </c>
      <c r="E5170" s="1" t="n">
        <v>6</v>
      </c>
      <c r="F5170" s="1" t="n">
        <v>438.89</v>
      </c>
      <c r="G5170" s="1" t="n">
        <v>0</v>
      </c>
      <c r="H5170" s="1" t="s">
        <v>1336</v>
      </c>
      <c r="I5170" s="1" t="n">
        <v>2633.34</v>
      </c>
      <c r="J5170" s="1" t="str">
        <f aca="false">VLOOKUP(B5170,Customers!$A$2:$G$502,6,FALSE())</f>
        <v>Corporate</v>
      </c>
      <c r="K5170" s="1" t="str">
        <f aca="false">VLOOKUP(C5170,Products!$A$2:$E$62,3,FALSE())</f>
        <v>Furniture</v>
      </c>
      <c r="L5170" s="1" t="str">
        <f aca="false">TEXT(D5170,"yyyy-mm")</f>
        <v>2023-09</v>
      </c>
    </row>
    <row r="5171" customFormat="false" ht="15" hidden="false" customHeight="true" outlineLevel="0" collapsed="false">
      <c r="A5171" s="1" t="n">
        <v>5283</v>
      </c>
      <c r="B5171" s="1" t="n">
        <v>15</v>
      </c>
      <c r="C5171" s="1" t="n">
        <v>36</v>
      </c>
      <c r="D5171" s="1" t="s">
        <v>127</v>
      </c>
      <c r="E5171" s="1" t="n">
        <v>3</v>
      </c>
      <c r="F5171" s="1" t="n">
        <v>424.45</v>
      </c>
      <c r="G5171" s="1" t="n">
        <v>0.1</v>
      </c>
      <c r="H5171" s="1" t="s">
        <v>1346</v>
      </c>
      <c r="I5171" s="1" t="n">
        <v>1146.01</v>
      </c>
      <c r="J5171" s="1" t="str">
        <f aca="false">VLOOKUP(B5171,Customers!$A$2:$G$502,6,FALSE())</f>
        <v>Corporate</v>
      </c>
      <c r="K5171" s="1" t="str">
        <f aca="false">VLOOKUP(C5171,Products!$A$2:$E$62,3,FALSE())</f>
        <v>Software</v>
      </c>
      <c r="L5171" s="1" t="str">
        <f aca="false">TEXT(D5171,"yyyy-mm")</f>
        <v>2023-03</v>
      </c>
    </row>
    <row r="5172" customFormat="false" ht="15" hidden="false" customHeight="true" outlineLevel="0" collapsed="false">
      <c r="A5172" s="1" t="n">
        <v>5284</v>
      </c>
      <c r="B5172" s="1" t="n">
        <v>171</v>
      </c>
      <c r="C5172" s="1" t="n">
        <v>27</v>
      </c>
      <c r="D5172" s="1" t="s">
        <v>1690</v>
      </c>
      <c r="E5172" s="1" t="n">
        <v>8</v>
      </c>
      <c r="F5172" s="1" t="n">
        <v>772.58</v>
      </c>
      <c r="G5172" s="1" t="n">
        <v>0.2</v>
      </c>
      <c r="H5172" s="1" t="s">
        <v>1336</v>
      </c>
      <c r="I5172" s="1" t="n">
        <v>4944.51</v>
      </c>
      <c r="J5172" s="1" t="str">
        <f aca="false">VLOOKUP(B5172,Customers!$A$2:$G$502,6,FALSE())</f>
        <v>Small Business</v>
      </c>
      <c r="K5172" s="1" t="str">
        <f aca="false">VLOOKUP(C5172,Products!$A$2:$E$62,3,FALSE())</f>
        <v>Office Supplies</v>
      </c>
      <c r="L5172" s="1" t="str">
        <f aca="false">TEXT(D5172,"yyyy-mm")</f>
        <v>2024-03</v>
      </c>
    </row>
    <row r="5173" customFormat="false" ht="15" hidden="false" customHeight="true" outlineLevel="0" collapsed="false">
      <c r="A5173" s="1" t="n">
        <v>5285</v>
      </c>
      <c r="B5173" s="1" t="n">
        <v>116</v>
      </c>
      <c r="C5173" s="1" t="n">
        <v>24</v>
      </c>
      <c r="D5173" s="1" t="s">
        <v>780</v>
      </c>
      <c r="E5173" s="1" t="n">
        <v>7</v>
      </c>
      <c r="F5173" s="1" t="n">
        <v>207.34</v>
      </c>
      <c r="G5173" s="1" t="n">
        <v>0</v>
      </c>
      <c r="H5173" s="1" t="s">
        <v>1336</v>
      </c>
      <c r="I5173" s="1" t="n">
        <v>1451.38</v>
      </c>
      <c r="J5173" s="1" t="str">
        <f aca="false">VLOOKUP(B5173,Customers!$A$2:$G$502,6,FALSE())</f>
        <v>Corporate</v>
      </c>
      <c r="K5173" s="1" t="str">
        <f aca="false">VLOOKUP(C5173,Products!$A$2:$E$62,3,FALSE())</f>
        <v>Office Supplies</v>
      </c>
      <c r="L5173" s="1" t="str">
        <f aca="false">TEXT(D5173,"yyyy-mm")</f>
        <v>2024-09</v>
      </c>
    </row>
    <row r="5174" customFormat="false" ht="15" hidden="false" customHeight="true" outlineLevel="0" collapsed="false">
      <c r="A5174" s="1" t="n">
        <v>5286</v>
      </c>
      <c r="B5174" s="1" t="n">
        <v>57</v>
      </c>
      <c r="C5174" s="1" t="n">
        <v>16</v>
      </c>
      <c r="D5174" s="1" t="s">
        <v>103</v>
      </c>
      <c r="E5174" s="1" t="n">
        <v>3</v>
      </c>
      <c r="F5174" s="1" t="n">
        <v>330.91</v>
      </c>
      <c r="G5174" s="1" t="n">
        <v>0</v>
      </c>
      <c r="H5174" s="1" t="s">
        <v>1336</v>
      </c>
      <c r="I5174" s="1" t="n">
        <v>992.73</v>
      </c>
      <c r="J5174" s="1" t="str">
        <f aca="false">VLOOKUP(B5174,Customers!$A$2:$G$502,6,FALSE())</f>
        <v>Consumer</v>
      </c>
      <c r="K5174" s="1" t="str">
        <f aca="false">VLOOKUP(C5174,Products!$A$2:$E$62,3,FALSE())</f>
        <v>Electronics</v>
      </c>
      <c r="L5174" s="1" t="str">
        <f aca="false">TEXT(D5174,"yyyy-mm")</f>
        <v>2024-10</v>
      </c>
    </row>
    <row r="5175" customFormat="false" ht="15" hidden="false" customHeight="true" outlineLevel="0" collapsed="false">
      <c r="A5175" s="1" t="n">
        <v>5287</v>
      </c>
      <c r="B5175" s="1" t="n">
        <v>388</v>
      </c>
      <c r="C5175" s="1" t="n">
        <v>25</v>
      </c>
      <c r="D5175" s="1" t="s">
        <v>623</v>
      </c>
      <c r="E5175" s="1" t="n">
        <v>9</v>
      </c>
      <c r="F5175" s="1" t="n">
        <v>300.49</v>
      </c>
      <c r="G5175" s="1" t="n">
        <v>0</v>
      </c>
      <c r="H5175" s="1" t="s">
        <v>1336</v>
      </c>
      <c r="I5175" s="1" t="n">
        <v>2704.41</v>
      </c>
      <c r="J5175" s="1" t="str">
        <f aca="false">VLOOKUP(B5175,Customers!$A$2:$G$502,6,FALSE())</f>
        <v>Corporate</v>
      </c>
      <c r="K5175" s="1" t="str">
        <f aca="false">VLOOKUP(C5175,Products!$A$2:$E$62,3,FALSE())</f>
        <v>Office Supplies</v>
      </c>
      <c r="L5175" s="1" t="str">
        <f aca="false">TEXT(D5175,"yyyy-mm")</f>
        <v>2024-05</v>
      </c>
    </row>
    <row r="5176" customFormat="false" ht="15" hidden="false" customHeight="true" outlineLevel="0" collapsed="false">
      <c r="A5176" s="1" t="n">
        <v>5288</v>
      </c>
      <c r="B5176" s="1" t="n">
        <v>151</v>
      </c>
      <c r="C5176" s="1" t="n">
        <v>38</v>
      </c>
      <c r="D5176" s="1" t="s">
        <v>223</v>
      </c>
      <c r="E5176" s="1" t="n">
        <v>2</v>
      </c>
      <c r="F5176" s="1" t="n">
        <v>521.63</v>
      </c>
      <c r="G5176" s="1" t="n">
        <v>0</v>
      </c>
      <c r="H5176" s="1" t="s">
        <v>1336</v>
      </c>
      <c r="I5176" s="1" t="n">
        <v>1043.26</v>
      </c>
      <c r="J5176" s="1" t="str">
        <f aca="false">VLOOKUP(B5176,Customers!$A$2:$G$502,6,FALSE())</f>
        <v>Small Business</v>
      </c>
      <c r="K5176" s="1" t="str">
        <f aca="false">VLOOKUP(C5176,Products!$A$2:$E$62,3,FALSE())</f>
        <v>Software</v>
      </c>
      <c r="L5176" s="1" t="str">
        <f aca="false">TEXT(D5176,"yyyy-mm")</f>
        <v>2023-06</v>
      </c>
    </row>
    <row r="5177" customFormat="false" ht="15" hidden="false" customHeight="true" outlineLevel="0" collapsed="false">
      <c r="A5177" s="1" t="n">
        <v>5289</v>
      </c>
      <c r="B5177" s="1" t="n">
        <v>155</v>
      </c>
      <c r="C5177" s="1" t="n">
        <v>38</v>
      </c>
      <c r="D5177" s="1" t="s">
        <v>1230</v>
      </c>
      <c r="E5177" s="1" t="n">
        <v>3</v>
      </c>
      <c r="F5177" s="1" t="n">
        <v>521.63</v>
      </c>
      <c r="G5177" s="1" t="n">
        <v>0</v>
      </c>
      <c r="H5177" s="1" t="s">
        <v>1336</v>
      </c>
      <c r="I5177" s="1" t="n">
        <v>1564.89</v>
      </c>
      <c r="J5177" s="1" t="str">
        <f aca="false">VLOOKUP(B5177,Customers!$A$2:$G$502,6,FALSE())</f>
        <v>Consumer</v>
      </c>
      <c r="K5177" s="1" t="str">
        <f aca="false">VLOOKUP(C5177,Products!$A$2:$E$62,3,FALSE())</f>
        <v>Software</v>
      </c>
      <c r="L5177" s="1" t="str">
        <f aca="false">TEXT(D5177,"yyyy-mm")</f>
        <v>2023-02</v>
      </c>
    </row>
    <row r="5178" customFormat="false" ht="15" hidden="false" customHeight="true" outlineLevel="0" collapsed="false">
      <c r="A5178" s="1" t="n">
        <v>5290</v>
      </c>
      <c r="B5178" s="1" t="n">
        <v>254</v>
      </c>
      <c r="C5178" s="1" t="n">
        <v>56</v>
      </c>
      <c r="D5178" s="1" t="s">
        <v>68</v>
      </c>
      <c r="E5178" s="1" t="n">
        <v>2</v>
      </c>
      <c r="F5178" s="1" t="n">
        <v>160.64</v>
      </c>
      <c r="G5178" s="1" t="n">
        <v>0.1</v>
      </c>
      <c r="H5178" s="1" t="s">
        <v>1346</v>
      </c>
      <c r="I5178" s="1" t="n">
        <v>289.15</v>
      </c>
      <c r="J5178" s="1" t="str">
        <f aca="false">VLOOKUP(B5178,Customers!$A$2:$G$502,6,FALSE())</f>
        <v>Small Business</v>
      </c>
      <c r="K5178" s="1" t="str">
        <f aca="false">VLOOKUP(C5178,Products!$A$2:$E$62,3,FALSE())</f>
        <v>Furniture</v>
      </c>
      <c r="L5178" s="1" t="str">
        <f aca="false">TEXT(D5178,"yyyy-mm")</f>
        <v>2024-11</v>
      </c>
    </row>
    <row r="5179" customFormat="false" ht="15" hidden="false" customHeight="true" outlineLevel="0" collapsed="false">
      <c r="A5179" s="1" t="n">
        <v>5291</v>
      </c>
      <c r="B5179" s="1" t="n">
        <v>394</v>
      </c>
      <c r="C5179" s="1" t="n">
        <v>23</v>
      </c>
      <c r="D5179" s="1" t="s">
        <v>47</v>
      </c>
      <c r="E5179" s="1" t="n">
        <v>1</v>
      </c>
      <c r="F5179" s="1" t="n">
        <v>188.73</v>
      </c>
      <c r="G5179" s="1" t="n">
        <v>0.05</v>
      </c>
      <c r="H5179" s="1" t="s">
        <v>1370</v>
      </c>
      <c r="I5179" s="1" t="n">
        <v>179.29</v>
      </c>
      <c r="J5179" s="1" t="str">
        <f aca="false">VLOOKUP(B5179,Customers!$A$2:$G$502,6,FALSE())</f>
        <v>Corporate</v>
      </c>
      <c r="K5179" s="1" t="str">
        <f aca="false">VLOOKUP(C5179,Products!$A$2:$E$62,3,FALSE())</f>
        <v>Office Supplies</v>
      </c>
      <c r="L5179" s="1" t="str">
        <f aca="false">TEXT(D5179,"yyyy-mm")</f>
        <v>2023-06</v>
      </c>
    </row>
    <row r="5180" customFormat="false" ht="15" hidden="false" customHeight="true" outlineLevel="0" collapsed="false">
      <c r="A5180" s="1" t="n">
        <v>5292</v>
      </c>
      <c r="B5180" s="1" t="n">
        <v>320</v>
      </c>
      <c r="C5180" s="1" t="n">
        <v>46</v>
      </c>
      <c r="D5180" s="1" t="s">
        <v>1343</v>
      </c>
      <c r="E5180" s="1" t="n">
        <v>4</v>
      </c>
      <c r="F5180" s="1" t="n">
        <v>94.92</v>
      </c>
      <c r="G5180" s="1" t="n">
        <v>0.1</v>
      </c>
      <c r="H5180" s="1" t="s">
        <v>1336</v>
      </c>
      <c r="I5180" s="1" t="n">
        <v>341.71</v>
      </c>
      <c r="J5180" s="1" t="str">
        <f aca="false">VLOOKUP(B5180,Customers!$A$2:$G$502,6,FALSE())</f>
        <v>Corporate</v>
      </c>
      <c r="K5180" s="1" t="str">
        <f aca="false">VLOOKUP(C5180,Products!$A$2:$E$62,3,FALSE())</f>
        <v>Software</v>
      </c>
      <c r="L5180" s="1" t="str">
        <f aca="false">TEXT(D5180,"yyyy-mm")</f>
        <v>2024-06</v>
      </c>
    </row>
    <row r="5181" customFormat="false" ht="15" hidden="false" customHeight="true" outlineLevel="0" collapsed="false">
      <c r="A5181" s="1" t="n">
        <v>5293</v>
      </c>
      <c r="B5181" s="1" t="n">
        <v>128</v>
      </c>
      <c r="C5181" s="1" t="n">
        <v>7</v>
      </c>
      <c r="D5181" s="1" t="s">
        <v>1663</v>
      </c>
      <c r="E5181" s="1" t="n">
        <v>5</v>
      </c>
      <c r="F5181" s="1" t="n">
        <v>460</v>
      </c>
      <c r="G5181" s="1" t="n">
        <v>0</v>
      </c>
      <c r="H5181" s="1" t="s">
        <v>1336</v>
      </c>
      <c r="I5181" s="1" t="n">
        <v>2300</v>
      </c>
      <c r="J5181" s="1" t="str">
        <f aca="false">VLOOKUP(B5181,Customers!$A$2:$G$502,6,FALSE())</f>
        <v>Consumer</v>
      </c>
      <c r="K5181" s="1" t="str">
        <f aca="false">VLOOKUP(C5181,Products!$A$2:$E$62,3,FALSE())</f>
        <v>Electronics</v>
      </c>
      <c r="L5181" s="1" t="str">
        <f aca="false">TEXT(D5181,"yyyy-mm")</f>
        <v>2024-05</v>
      </c>
    </row>
    <row r="5182" customFormat="false" ht="15" hidden="false" customHeight="true" outlineLevel="0" collapsed="false">
      <c r="A5182" s="1" t="n">
        <v>5294</v>
      </c>
      <c r="B5182" s="1" t="n">
        <v>371</v>
      </c>
      <c r="C5182" s="1" t="n">
        <v>17</v>
      </c>
      <c r="D5182" s="1" t="s">
        <v>365</v>
      </c>
      <c r="E5182" s="1" t="n">
        <v>6</v>
      </c>
      <c r="F5182" s="1" t="n">
        <v>65.61</v>
      </c>
      <c r="G5182" s="1" t="n">
        <v>0</v>
      </c>
      <c r="H5182" s="1" t="s">
        <v>1336</v>
      </c>
      <c r="I5182" s="1" t="n">
        <v>393.66</v>
      </c>
      <c r="J5182" s="1" t="str">
        <f aca="false">VLOOKUP(B5182,Customers!$A$2:$G$502,6,FALSE())</f>
        <v>Unknown</v>
      </c>
      <c r="K5182" s="1" t="str">
        <f aca="false">VLOOKUP(C5182,Products!$A$2:$E$62,3,FALSE())</f>
        <v>Electronics</v>
      </c>
      <c r="L5182" s="1" t="str">
        <f aca="false">TEXT(D5182,"yyyy-mm")</f>
        <v>2023-04</v>
      </c>
    </row>
    <row r="5183" customFormat="false" ht="15" hidden="false" customHeight="true" outlineLevel="0" collapsed="false">
      <c r="A5183" s="1" t="n">
        <v>5295</v>
      </c>
      <c r="B5183" s="1" t="n">
        <v>157</v>
      </c>
      <c r="C5183" s="1" t="n">
        <v>27</v>
      </c>
      <c r="D5183" s="1" t="s">
        <v>975</v>
      </c>
      <c r="E5183" s="1" t="n">
        <v>5</v>
      </c>
      <c r="F5183" s="1" t="n">
        <v>772.58</v>
      </c>
      <c r="G5183" s="1" t="n">
        <v>0</v>
      </c>
      <c r="H5183" s="1" t="s">
        <v>1336</v>
      </c>
      <c r="I5183" s="1" t="n">
        <v>3862.9</v>
      </c>
      <c r="J5183" s="1" t="str">
        <f aca="false">VLOOKUP(B5183,Customers!$A$2:$G$502,6,FALSE())</f>
        <v>Corporate</v>
      </c>
      <c r="K5183" s="1" t="str">
        <f aca="false">VLOOKUP(C5183,Products!$A$2:$E$62,3,FALSE())</f>
        <v>Office Supplies</v>
      </c>
      <c r="L5183" s="1" t="str">
        <f aca="false">TEXT(D5183,"yyyy-mm")</f>
        <v>2024-03</v>
      </c>
    </row>
    <row r="5184" customFormat="false" ht="15" hidden="false" customHeight="true" outlineLevel="0" collapsed="false">
      <c r="A5184" s="1" t="n">
        <v>5296</v>
      </c>
      <c r="B5184" s="1" t="n">
        <v>380</v>
      </c>
      <c r="C5184" s="1" t="n">
        <v>31</v>
      </c>
      <c r="D5184" s="1" t="s">
        <v>1593</v>
      </c>
      <c r="E5184" s="1" t="n">
        <v>1</v>
      </c>
      <c r="F5184" s="1" t="n">
        <v>224.86</v>
      </c>
      <c r="G5184" s="1" t="n">
        <v>0</v>
      </c>
      <c r="H5184" s="1" t="s">
        <v>1336</v>
      </c>
      <c r="I5184" s="1" t="n">
        <v>224.86</v>
      </c>
      <c r="J5184" s="1" t="str">
        <f aca="false">VLOOKUP(B5184,Customers!$A$2:$G$502,6,FALSE())</f>
        <v>Small Business</v>
      </c>
      <c r="K5184" s="1" t="str">
        <f aca="false">VLOOKUP(C5184,Products!$A$2:$E$62,3,FALSE())</f>
        <v>Office Supplies</v>
      </c>
      <c r="L5184" s="1" t="str">
        <f aca="false">TEXT(D5184,"yyyy-mm")</f>
        <v>2023-09</v>
      </c>
    </row>
    <row r="5185" customFormat="false" ht="15" hidden="false" customHeight="true" outlineLevel="0" collapsed="false">
      <c r="A5185" s="1" t="n">
        <v>5298</v>
      </c>
      <c r="B5185" s="1" t="n">
        <v>131</v>
      </c>
      <c r="C5185" s="1" t="n">
        <v>1</v>
      </c>
      <c r="D5185" s="1" t="s">
        <v>1688</v>
      </c>
      <c r="E5185" s="1" t="n">
        <v>1</v>
      </c>
      <c r="F5185" s="1" t="n">
        <v>327.32</v>
      </c>
      <c r="G5185" s="1" t="n">
        <v>0.15</v>
      </c>
      <c r="H5185" s="1" t="s">
        <v>1370</v>
      </c>
      <c r="I5185" s="1" t="n">
        <v>278.22</v>
      </c>
      <c r="J5185" s="1" t="str">
        <f aca="false">VLOOKUP(B5185,Customers!$A$2:$G$502,6,FALSE())</f>
        <v>Corporate</v>
      </c>
      <c r="K5185" s="1" t="str">
        <f aca="false">VLOOKUP(C5185,Products!$A$2:$E$62,3,FALSE())</f>
        <v>Electronics</v>
      </c>
      <c r="L5185" s="1" t="str">
        <f aca="false">TEXT(D5185,"yyyy-mm")</f>
        <v>2023-05</v>
      </c>
    </row>
    <row r="5186" customFormat="false" ht="15" hidden="false" customHeight="true" outlineLevel="0" collapsed="false">
      <c r="A5186" s="1" t="n">
        <v>5299</v>
      </c>
      <c r="B5186" s="1" t="n">
        <v>46</v>
      </c>
      <c r="C5186" s="1" t="n">
        <v>30</v>
      </c>
      <c r="D5186" s="1" t="s">
        <v>1393</v>
      </c>
      <c r="E5186" s="1" t="n">
        <v>5</v>
      </c>
      <c r="F5186" s="1" t="n">
        <v>33.32</v>
      </c>
      <c r="G5186" s="1" t="n">
        <v>0.05</v>
      </c>
      <c r="H5186" s="1" t="s">
        <v>1336</v>
      </c>
      <c r="I5186" s="1" t="n">
        <v>158.27</v>
      </c>
      <c r="J5186" s="1" t="str">
        <f aca="false">VLOOKUP(B5186,Customers!$A$2:$G$502,6,FALSE())</f>
        <v>Consumer</v>
      </c>
      <c r="K5186" s="1" t="str">
        <f aca="false">VLOOKUP(C5186,Products!$A$2:$E$62,3,FALSE())</f>
        <v>Office Supplies</v>
      </c>
      <c r="L5186" s="1" t="str">
        <f aca="false">TEXT(D5186,"yyyy-mm")</f>
        <v>2023-01</v>
      </c>
    </row>
    <row r="5187" customFormat="false" ht="15" hidden="false" customHeight="true" outlineLevel="0" collapsed="false">
      <c r="A5187" s="1" t="n">
        <v>5300</v>
      </c>
      <c r="B5187" s="1" t="n">
        <v>65</v>
      </c>
      <c r="C5187" s="1" t="n">
        <v>29</v>
      </c>
      <c r="D5187" s="1" t="s">
        <v>1417</v>
      </c>
      <c r="E5187" s="1" t="n">
        <v>5</v>
      </c>
      <c r="F5187" s="1" t="n">
        <v>54.62</v>
      </c>
      <c r="G5187" s="1" t="n">
        <v>0.1</v>
      </c>
      <c r="H5187" s="1" t="s">
        <v>1336</v>
      </c>
      <c r="I5187" s="1" t="n">
        <v>245.79</v>
      </c>
      <c r="J5187" s="1" t="str">
        <f aca="false">VLOOKUP(B5187,Customers!$A$2:$G$502,6,FALSE())</f>
        <v>Corporate</v>
      </c>
      <c r="K5187" s="1" t="str">
        <f aca="false">VLOOKUP(C5187,Products!$A$2:$E$62,3,FALSE())</f>
        <v>Office Supplies</v>
      </c>
      <c r="L5187" s="1" t="str">
        <f aca="false">TEXT(D5187,"yyyy-mm")</f>
        <v>2023-08</v>
      </c>
    </row>
    <row r="5188" customFormat="false" ht="15" hidden="false" customHeight="true" outlineLevel="0" collapsed="false">
      <c r="A5188" s="1" t="n">
        <v>5301</v>
      </c>
      <c r="B5188" s="1" t="n">
        <v>333</v>
      </c>
      <c r="C5188" s="1" t="n">
        <v>6</v>
      </c>
      <c r="D5188" s="1" t="s">
        <v>1202</v>
      </c>
      <c r="E5188" s="1" t="n">
        <v>6</v>
      </c>
      <c r="F5188" s="1" t="n">
        <v>28.51</v>
      </c>
      <c r="G5188" s="1" t="n">
        <v>0</v>
      </c>
      <c r="H5188" s="1" t="s">
        <v>1336</v>
      </c>
      <c r="I5188" s="1" t="n">
        <v>171.06</v>
      </c>
      <c r="J5188" s="1" t="str">
        <f aca="false">VLOOKUP(B5188,Customers!$A$2:$G$502,6,FALSE())</f>
        <v>Consumer</v>
      </c>
      <c r="K5188" s="1" t="str">
        <f aca="false">VLOOKUP(C5188,Products!$A$2:$E$62,3,FALSE())</f>
        <v>Electronics</v>
      </c>
      <c r="L5188" s="1" t="str">
        <f aca="false">TEXT(D5188,"yyyy-mm")</f>
        <v>2024-04</v>
      </c>
    </row>
    <row r="5189" customFormat="false" ht="15" hidden="false" customHeight="true" outlineLevel="0" collapsed="false">
      <c r="A5189" s="1" t="n">
        <v>5302</v>
      </c>
      <c r="B5189" s="1" t="n">
        <v>184</v>
      </c>
      <c r="C5189" s="1" t="n">
        <v>54</v>
      </c>
      <c r="D5189" s="1" t="s">
        <v>1459</v>
      </c>
      <c r="E5189" s="1" t="n">
        <v>8</v>
      </c>
      <c r="F5189" s="1" t="n">
        <v>312.01</v>
      </c>
      <c r="G5189" s="1" t="n">
        <v>0</v>
      </c>
      <c r="H5189" s="1" t="s">
        <v>1336</v>
      </c>
      <c r="I5189" s="1" t="n">
        <v>2496.08</v>
      </c>
      <c r="J5189" s="1" t="str">
        <f aca="false">VLOOKUP(B5189,Customers!$A$2:$G$502,6,FALSE())</f>
        <v>Corporate</v>
      </c>
      <c r="K5189" s="1" t="str">
        <f aca="false">VLOOKUP(C5189,Products!$A$2:$E$62,3,FALSE())</f>
        <v>Software</v>
      </c>
      <c r="L5189" s="1" t="str">
        <f aca="false">TEXT(D5189,"yyyy-mm")</f>
        <v>2024-03</v>
      </c>
    </row>
    <row r="5190" customFormat="false" ht="15" hidden="false" customHeight="true" outlineLevel="0" collapsed="false">
      <c r="A5190" s="1" t="n">
        <v>5303</v>
      </c>
      <c r="B5190" s="1" t="n">
        <v>333</v>
      </c>
      <c r="C5190" s="1" t="n">
        <v>60</v>
      </c>
      <c r="D5190" s="1" t="s">
        <v>617</v>
      </c>
      <c r="E5190" s="1" t="n">
        <v>1</v>
      </c>
      <c r="F5190" s="1" t="n">
        <v>584.98</v>
      </c>
      <c r="G5190" s="1" t="n">
        <v>0</v>
      </c>
      <c r="H5190" s="1" t="s">
        <v>1336</v>
      </c>
      <c r="I5190" s="1" t="n">
        <v>584.98</v>
      </c>
      <c r="J5190" s="1" t="str">
        <f aca="false">VLOOKUP(B5190,Customers!$A$2:$G$502,6,FALSE())</f>
        <v>Consumer</v>
      </c>
      <c r="K5190" s="1" t="str">
        <f aca="false">VLOOKUP(C5190,Products!$A$2:$E$62,3,FALSE())</f>
        <v>Furniture</v>
      </c>
      <c r="L5190" s="1" t="str">
        <f aca="false">TEXT(D5190,"yyyy-mm")</f>
        <v>2023-11</v>
      </c>
    </row>
    <row r="5191" customFormat="false" ht="15" hidden="false" customHeight="true" outlineLevel="0" collapsed="false">
      <c r="A5191" s="1" t="n">
        <v>5304</v>
      </c>
      <c r="B5191" s="1" t="n">
        <v>448</v>
      </c>
      <c r="C5191" s="1" t="n">
        <v>29</v>
      </c>
      <c r="D5191" s="1" t="s">
        <v>897</v>
      </c>
      <c r="E5191" s="1" t="n">
        <v>4</v>
      </c>
      <c r="F5191" s="1" t="n">
        <v>54.62</v>
      </c>
      <c r="G5191" s="1" t="n">
        <v>0.2</v>
      </c>
      <c r="H5191" s="1" t="s">
        <v>1370</v>
      </c>
      <c r="I5191" s="1" t="n">
        <v>174.78</v>
      </c>
      <c r="J5191" s="1" t="str">
        <f aca="false">VLOOKUP(B5191,Customers!$A$2:$G$502,6,FALSE())</f>
        <v>Corporate</v>
      </c>
      <c r="K5191" s="1" t="str">
        <f aca="false">VLOOKUP(C5191,Products!$A$2:$E$62,3,FALSE())</f>
        <v>Office Supplies</v>
      </c>
      <c r="L5191" s="1" t="str">
        <f aca="false">TEXT(D5191,"yyyy-mm")</f>
        <v>2024-07</v>
      </c>
    </row>
    <row r="5192" customFormat="false" ht="15" hidden="false" customHeight="true" outlineLevel="0" collapsed="false">
      <c r="A5192" s="1" t="n">
        <v>5305</v>
      </c>
      <c r="B5192" s="1" t="n">
        <v>144</v>
      </c>
      <c r="C5192" s="1" t="n">
        <v>14</v>
      </c>
      <c r="D5192" s="1" t="s">
        <v>1581</v>
      </c>
      <c r="E5192" s="1" t="n">
        <v>1</v>
      </c>
      <c r="F5192" s="1" t="n">
        <v>135.27</v>
      </c>
      <c r="G5192" s="1" t="n">
        <v>0.2</v>
      </c>
      <c r="H5192" s="1" t="s">
        <v>1336</v>
      </c>
      <c r="I5192" s="1" t="n">
        <v>108.22</v>
      </c>
      <c r="J5192" s="1" t="str">
        <f aca="false">VLOOKUP(B5192,Customers!$A$2:$G$502,6,FALSE())</f>
        <v>Small Business</v>
      </c>
      <c r="K5192" s="1" t="str">
        <f aca="false">VLOOKUP(C5192,Products!$A$2:$E$62,3,FALSE())</f>
        <v>Electronics</v>
      </c>
      <c r="L5192" s="1" t="str">
        <f aca="false">TEXT(D5192,"yyyy-mm")</f>
        <v>2023-10</v>
      </c>
    </row>
    <row r="5193" customFormat="false" ht="15" hidden="false" customHeight="true" outlineLevel="0" collapsed="false">
      <c r="A5193" s="1" t="n">
        <v>5306</v>
      </c>
      <c r="B5193" s="1" t="n">
        <v>36</v>
      </c>
      <c r="C5193" s="1" t="n">
        <v>54</v>
      </c>
      <c r="D5193" s="1" t="s">
        <v>1688</v>
      </c>
      <c r="E5193" s="1" t="n">
        <v>9</v>
      </c>
      <c r="F5193" s="1" t="n">
        <v>312.01</v>
      </c>
      <c r="G5193" s="1" t="n">
        <v>0</v>
      </c>
      <c r="H5193" s="1" t="s">
        <v>1336</v>
      </c>
      <c r="I5193" s="1" t="n">
        <v>2808.09</v>
      </c>
      <c r="J5193" s="1" t="str">
        <f aca="false">VLOOKUP(B5193,Customers!$A$2:$G$502,6,FALSE())</f>
        <v>Consumer</v>
      </c>
      <c r="K5193" s="1" t="str">
        <f aca="false">VLOOKUP(C5193,Products!$A$2:$E$62,3,FALSE())</f>
        <v>Software</v>
      </c>
      <c r="L5193" s="1" t="str">
        <f aca="false">TEXT(D5193,"yyyy-mm")</f>
        <v>2023-05</v>
      </c>
    </row>
    <row r="5194" customFormat="false" ht="15" hidden="false" customHeight="true" outlineLevel="0" collapsed="false">
      <c r="A5194" s="1" t="n">
        <v>5307</v>
      </c>
      <c r="B5194" s="1" t="n">
        <v>483</v>
      </c>
      <c r="C5194" s="1" t="n">
        <v>28</v>
      </c>
      <c r="D5194" s="1" t="s">
        <v>1638</v>
      </c>
      <c r="E5194" s="1" t="n">
        <v>7</v>
      </c>
      <c r="F5194" s="1" t="n">
        <v>505.23</v>
      </c>
      <c r="G5194" s="1" t="n">
        <v>0</v>
      </c>
      <c r="H5194" s="1" t="s">
        <v>1346</v>
      </c>
      <c r="I5194" s="1" t="n">
        <v>3536.61</v>
      </c>
      <c r="J5194" s="1" t="str">
        <f aca="false">VLOOKUP(B5194,Customers!$A$2:$G$502,6,FALSE())</f>
        <v>Small Business</v>
      </c>
      <c r="K5194" s="1" t="str">
        <f aca="false">VLOOKUP(C5194,Products!$A$2:$E$62,3,FALSE())</f>
        <v>Office Supplies</v>
      </c>
      <c r="L5194" s="1" t="str">
        <f aca="false">TEXT(D5194,"yyyy-mm")</f>
        <v>2023-05</v>
      </c>
    </row>
    <row r="5195" customFormat="false" ht="15" hidden="false" customHeight="true" outlineLevel="0" collapsed="false">
      <c r="A5195" s="1" t="n">
        <v>5308</v>
      </c>
      <c r="B5195" s="1" t="n">
        <v>32</v>
      </c>
      <c r="C5195" s="1" t="n">
        <v>42</v>
      </c>
      <c r="D5195" s="1" t="s">
        <v>1592</v>
      </c>
      <c r="E5195" s="1" t="n">
        <v>7</v>
      </c>
      <c r="F5195" s="1" t="n">
        <v>174.48</v>
      </c>
      <c r="G5195" s="1" t="n">
        <v>0</v>
      </c>
      <c r="H5195" s="1" t="s">
        <v>1336</v>
      </c>
      <c r="I5195" s="1" t="n">
        <v>1221.36</v>
      </c>
      <c r="J5195" s="1" t="str">
        <f aca="false">VLOOKUP(B5195,Customers!$A$2:$G$502,6,FALSE())</f>
        <v>Small Business</v>
      </c>
      <c r="K5195" s="1" t="str">
        <f aca="false">VLOOKUP(C5195,Products!$A$2:$E$62,3,FALSE())</f>
        <v>Software</v>
      </c>
      <c r="L5195" s="1" t="str">
        <f aca="false">TEXT(D5195,"yyyy-mm")</f>
        <v>2024-03</v>
      </c>
    </row>
    <row r="5196" customFormat="false" ht="15" hidden="false" customHeight="true" outlineLevel="0" collapsed="false">
      <c r="A5196" s="1" t="n">
        <v>5309</v>
      </c>
      <c r="B5196" s="1" t="n">
        <v>134</v>
      </c>
      <c r="C5196" s="1" t="n">
        <v>26</v>
      </c>
      <c r="D5196" s="1" t="s">
        <v>1576</v>
      </c>
      <c r="E5196" s="1" t="n">
        <v>5</v>
      </c>
      <c r="F5196" s="1" t="n">
        <v>733.85</v>
      </c>
      <c r="G5196" s="1" t="n">
        <v>0</v>
      </c>
      <c r="H5196" s="1" t="s">
        <v>1336</v>
      </c>
      <c r="I5196" s="1" t="n">
        <v>3669.25</v>
      </c>
      <c r="J5196" s="1" t="str">
        <f aca="false">VLOOKUP(B5196,Customers!$A$2:$G$502,6,FALSE())</f>
        <v>Corporate</v>
      </c>
      <c r="K5196" s="1" t="str">
        <f aca="false">VLOOKUP(C5196,Products!$A$2:$E$62,3,FALSE())</f>
        <v>Office Supplies</v>
      </c>
      <c r="L5196" s="1" t="str">
        <f aca="false">TEXT(D5196,"yyyy-mm")</f>
        <v>2023-02</v>
      </c>
    </row>
    <row r="5197" customFormat="false" ht="15" hidden="false" customHeight="true" outlineLevel="0" collapsed="false">
      <c r="A5197" s="1" t="n">
        <v>5310</v>
      </c>
      <c r="B5197" s="1" t="n">
        <v>322</v>
      </c>
      <c r="C5197" s="1" t="n">
        <v>45</v>
      </c>
      <c r="D5197" s="1" t="s">
        <v>464</v>
      </c>
      <c r="E5197" s="1" t="n">
        <v>7</v>
      </c>
      <c r="F5197" s="1" t="n">
        <v>560.01</v>
      </c>
      <c r="G5197" s="1" t="n">
        <v>0.1</v>
      </c>
      <c r="H5197" s="1" t="s">
        <v>1336</v>
      </c>
      <c r="I5197" s="1" t="n">
        <v>3528.06</v>
      </c>
      <c r="J5197" s="1" t="str">
        <f aca="false">VLOOKUP(B5197,Customers!$A$2:$G$502,6,FALSE())</f>
        <v>Consumer</v>
      </c>
      <c r="K5197" s="1" t="str">
        <f aca="false">VLOOKUP(C5197,Products!$A$2:$E$62,3,FALSE())</f>
        <v>Software</v>
      </c>
      <c r="L5197" s="1" t="str">
        <f aca="false">TEXT(D5197,"yyyy-mm")</f>
        <v>2023-12</v>
      </c>
    </row>
    <row r="5198" customFormat="false" ht="15" hidden="false" customHeight="true" outlineLevel="0" collapsed="false">
      <c r="A5198" s="1" t="n">
        <v>5311</v>
      </c>
      <c r="B5198" s="1" t="n">
        <v>76</v>
      </c>
      <c r="C5198" s="1" t="n">
        <v>5</v>
      </c>
      <c r="D5198" s="1" t="s">
        <v>1575</v>
      </c>
      <c r="E5198" s="1" t="n">
        <v>2</v>
      </c>
      <c r="F5198" s="1" t="n">
        <v>439.06</v>
      </c>
      <c r="G5198" s="1" t="n">
        <v>0</v>
      </c>
      <c r="H5198" s="1" t="s">
        <v>1336</v>
      </c>
      <c r="I5198" s="1" t="n">
        <v>878.12</v>
      </c>
      <c r="J5198" s="1" t="str">
        <f aca="false">VLOOKUP(B5198,Customers!$A$2:$G$502,6,FALSE())</f>
        <v>Consumer</v>
      </c>
      <c r="K5198" s="1" t="str">
        <f aca="false">VLOOKUP(C5198,Products!$A$2:$E$62,3,FALSE())</f>
        <v>Electronics</v>
      </c>
      <c r="L5198" s="1" t="str">
        <f aca="false">TEXT(D5198,"yyyy-mm")</f>
        <v>2024-05</v>
      </c>
    </row>
    <row r="5199" customFormat="false" ht="15" hidden="false" customHeight="true" outlineLevel="0" collapsed="false">
      <c r="A5199" s="1" t="n">
        <v>5312</v>
      </c>
      <c r="B5199" s="1" t="n">
        <v>485</v>
      </c>
      <c r="C5199" s="1" t="n">
        <v>28</v>
      </c>
      <c r="D5199" s="1" t="s">
        <v>1691</v>
      </c>
      <c r="E5199" s="1" t="n">
        <v>4</v>
      </c>
      <c r="F5199" s="1" t="n">
        <v>505.23</v>
      </c>
      <c r="G5199" s="1" t="n">
        <v>0.1</v>
      </c>
      <c r="H5199" s="1" t="s">
        <v>1336</v>
      </c>
      <c r="I5199" s="1" t="n">
        <v>1818.83</v>
      </c>
      <c r="J5199" s="1" t="str">
        <f aca="false">VLOOKUP(B5199,Customers!$A$2:$G$502,6,FALSE())</f>
        <v>Corporate</v>
      </c>
      <c r="K5199" s="1" t="str">
        <f aca="false">VLOOKUP(C5199,Products!$A$2:$E$62,3,FALSE())</f>
        <v>Office Supplies</v>
      </c>
      <c r="L5199" s="1" t="str">
        <f aca="false">TEXT(D5199,"yyyy-mm")</f>
        <v>2023-10</v>
      </c>
    </row>
    <row r="5200" customFormat="false" ht="15" hidden="false" customHeight="true" outlineLevel="0" collapsed="false">
      <c r="A5200" s="1" t="n">
        <v>5313</v>
      </c>
      <c r="B5200" s="1" t="n">
        <v>421</v>
      </c>
      <c r="C5200" s="1" t="n">
        <v>19</v>
      </c>
      <c r="D5200" s="1" t="s">
        <v>260</v>
      </c>
      <c r="E5200" s="1" t="n">
        <v>7</v>
      </c>
      <c r="F5200" s="1" t="n">
        <v>163.64</v>
      </c>
      <c r="G5200" s="1" t="n">
        <v>0</v>
      </c>
      <c r="H5200" s="1" t="s">
        <v>1336</v>
      </c>
      <c r="I5200" s="1" t="n">
        <v>1145.48</v>
      </c>
      <c r="J5200" s="1" t="str">
        <f aca="false">VLOOKUP(B5200,Customers!$A$2:$G$502,6,FALSE())</f>
        <v>Corporate</v>
      </c>
      <c r="K5200" s="1" t="str">
        <f aca="false">VLOOKUP(C5200,Products!$A$2:$E$62,3,FALSE())</f>
        <v>Office Supplies</v>
      </c>
      <c r="L5200" s="1" t="str">
        <f aca="false">TEXT(D5200,"yyyy-mm")</f>
        <v>2023-04</v>
      </c>
    </row>
    <row r="5201" customFormat="false" ht="15" hidden="false" customHeight="true" outlineLevel="0" collapsed="false">
      <c r="A5201" s="1" t="n">
        <v>5314</v>
      </c>
      <c r="B5201" s="1" t="n">
        <v>54</v>
      </c>
      <c r="C5201" s="1" t="n">
        <v>60</v>
      </c>
      <c r="D5201" s="1" t="s">
        <v>1437</v>
      </c>
      <c r="E5201" s="1" t="n">
        <v>3</v>
      </c>
      <c r="F5201" s="1" t="n">
        <v>584.98</v>
      </c>
      <c r="G5201" s="1" t="n">
        <v>0.15</v>
      </c>
      <c r="H5201" s="1" t="s">
        <v>1336</v>
      </c>
      <c r="I5201" s="1" t="n">
        <v>1491.7</v>
      </c>
      <c r="J5201" s="1" t="str">
        <f aca="false">VLOOKUP(B5201,Customers!$A$2:$G$502,6,FALSE())</f>
        <v>Consumer</v>
      </c>
      <c r="K5201" s="1" t="str">
        <f aca="false">VLOOKUP(C5201,Products!$A$2:$E$62,3,FALSE())</f>
        <v>Furniture</v>
      </c>
      <c r="L5201" s="1" t="str">
        <f aca="false">TEXT(D5201,"yyyy-mm")</f>
        <v>2023-08</v>
      </c>
    </row>
    <row r="5202" customFormat="false" ht="15" hidden="false" customHeight="true" outlineLevel="0" collapsed="false">
      <c r="A5202" s="1" t="n">
        <v>5315</v>
      </c>
      <c r="B5202" s="1" t="n">
        <v>324</v>
      </c>
      <c r="C5202" s="1" t="n">
        <v>7</v>
      </c>
      <c r="D5202" s="1" t="s">
        <v>229</v>
      </c>
      <c r="E5202" s="1" t="n">
        <v>2</v>
      </c>
      <c r="F5202" s="1" t="n">
        <v>460</v>
      </c>
      <c r="G5202" s="1" t="n">
        <v>0</v>
      </c>
      <c r="H5202" s="1" t="s">
        <v>1370</v>
      </c>
      <c r="I5202" s="1" t="n">
        <v>920</v>
      </c>
      <c r="J5202" s="1" t="str">
        <f aca="false">VLOOKUP(B5202,Customers!$A$2:$G$502,6,FALSE())</f>
        <v>Consumer</v>
      </c>
      <c r="K5202" s="1" t="str">
        <f aca="false">VLOOKUP(C5202,Products!$A$2:$E$62,3,FALSE())</f>
        <v>Electronics</v>
      </c>
      <c r="L5202" s="1" t="str">
        <f aca="false">TEXT(D5202,"yyyy-mm")</f>
        <v>2024-12</v>
      </c>
    </row>
    <row r="5203" customFormat="false" ht="15" hidden="false" customHeight="true" outlineLevel="0" collapsed="false">
      <c r="A5203" s="1" t="n">
        <v>5316</v>
      </c>
      <c r="B5203" s="1" t="n">
        <v>248</v>
      </c>
      <c r="C5203" s="1" t="n">
        <v>35</v>
      </c>
      <c r="D5203" s="1" t="s">
        <v>1449</v>
      </c>
      <c r="E5203" s="1" t="n">
        <v>2</v>
      </c>
      <c r="F5203" s="1" t="n">
        <v>75.78</v>
      </c>
      <c r="G5203" s="1" t="n">
        <v>0.1</v>
      </c>
      <c r="H5203" s="1" t="s">
        <v>1336</v>
      </c>
      <c r="I5203" s="1" t="n">
        <v>136.4</v>
      </c>
      <c r="J5203" s="1" t="str">
        <f aca="false">VLOOKUP(B5203,Customers!$A$2:$G$502,6,FALSE())</f>
        <v>Small Business</v>
      </c>
      <c r="K5203" s="1" t="str">
        <f aca="false">VLOOKUP(C5203,Products!$A$2:$E$62,3,FALSE())</f>
        <v>Software</v>
      </c>
      <c r="L5203" s="1" t="str">
        <f aca="false">TEXT(D5203,"yyyy-mm")</f>
        <v>2024-03</v>
      </c>
    </row>
    <row r="5204" customFormat="false" ht="15" hidden="false" customHeight="true" outlineLevel="0" collapsed="false">
      <c r="A5204" s="1" t="n">
        <v>5317</v>
      </c>
      <c r="B5204" s="1" t="n">
        <v>58</v>
      </c>
      <c r="C5204" s="1" t="n">
        <v>36</v>
      </c>
      <c r="D5204" s="1" t="s">
        <v>1626</v>
      </c>
      <c r="E5204" s="1" t="n">
        <v>1</v>
      </c>
      <c r="F5204" s="1" t="n">
        <v>424.45</v>
      </c>
      <c r="G5204" s="1" t="n">
        <v>0</v>
      </c>
      <c r="H5204" s="1" t="s">
        <v>1370</v>
      </c>
      <c r="I5204" s="1" t="n">
        <v>424.45</v>
      </c>
      <c r="J5204" s="1" t="str">
        <f aca="false">VLOOKUP(B5204,Customers!$A$2:$G$502,6,FALSE())</f>
        <v>Consumer</v>
      </c>
      <c r="K5204" s="1" t="str">
        <f aca="false">VLOOKUP(C5204,Products!$A$2:$E$62,3,FALSE())</f>
        <v>Software</v>
      </c>
      <c r="L5204" s="1" t="str">
        <f aca="false">TEXT(D5204,"yyyy-mm")</f>
        <v>2024-06</v>
      </c>
    </row>
    <row r="5205" customFormat="false" ht="15" hidden="false" customHeight="true" outlineLevel="0" collapsed="false">
      <c r="A5205" s="1" t="n">
        <v>5318</v>
      </c>
      <c r="B5205" s="1" t="n">
        <v>440</v>
      </c>
      <c r="C5205" s="1" t="n">
        <v>18</v>
      </c>
      <c r="D5205" s="1" t="s">
        <v>653</v>
      </c>
      <c r="E5205" s="1" t="n">
        <v>5</v>
      </c>
      <c r="F5205" s="1" t="n">
        <v>747.34</v>
      </c>
      <c r="G5205" s="1" t="n">
        <v>0</v>
      </c>
      <c r="H5205" s="1" t="s">
        <v>1336</v>
      </c>
      <c r="I5205" s="1" t="n">
        <v>3736.7</v>
      </c>
      <c r="J5205" s="1" t="str">
        <f aca="false">VLOOKUP(B5205,Customers!$A$2:$G$502,6,FALSE())</f>
        <v>Small Business</v>
      </c>
      <c r="K5205" s="1" t="str">
        <f aca="false">VLOOKUP(C5205,Products!$A$2:$E$62,3,FALSE())</f>
        <v>Electronics</v>
      </c>
      <c r="L5205" s="1" t="str">
        <f aca="false">TEXT(D5205,"yyyy-mm")</f>
        <v>2024-10</v>
      </c>
    </row>
    <row r="5206" customFormat="false" ht="15" hidden="false" customHeight="true" outlineLevel="0" collapsed="false">
      <c r="A5206" s="1" t="n">
        <v>5319</v>
      </c>
      <c r="B5206" s="1" t="n">
        <v>115</v>
      </c>
      <c r="C5206" s="1" t="n">
        <v>24</v>
      </c>
      <c r="D5206" s="1" t="s">
        <v>1099</v>
      </c>
      <c r="E5206" s="1" t="n">
        <v>6</v>
      </c>
      <c r="F5206" s="1" t="n">
        <v>207.34</v>
      </c>
      <c r="G5206" s="1" t="n">
        <v>0.2</v>
      </c>
      <c r="H5206" s="1" t="s">
        <v>1336</v>
      </c>
      <c r="I5206" s="1" t="n">
        <v>995.23</v>
      </c>
      <c r="J5206" s="1" t="str">
        <f aca="false">VLOOKUP(B5206,Customers!$A$2:$G$502,6,FALSE())</f>
        <v>Small Business</v>
      </c>
      <c r="K5206" s="1" t="str">
        <f aca="false">VLOOKUP(C5206,Products!$A$2:$E$62,3,FALSE())</f>
        <v>Office Supplies</v>
      </c>
      <c r="L5206" s="1" t="str">
        <f aca="false">TEXT(D5206,"yyyy-mm")</f>
        <v>2024-11</v>
      </c>
    </row>
    <row r="5207" customFormat="false" ht="15" hidden="false" customHeight="true" outlineLevel="0" collapsed="false">
      <c r="A5207" s="1" t="n">
        <v>5320</v>
      </c>
      <c r="B5207" s="1" t="n">
        <v>245</v>
      </c>
      <c r="C5207" s="1" t="n">
        <v>3</v>
      </c>
      <c r="D5207" s="1" t="s">
        <v>1352</v>
      </c>
      <c r="E5207" s="1" t="n">
        <v>6</v>
      </c>
      <c r="F5207" s="1" t="n">
        <v>89.39</v>
      </c>
      <c r="G5207" s="1" t="n">
        <v>0.15</v>
      </c>
      <c r="H5207" s="1" t="s">
        <v>1336</v>
      </c>
      <c r="I5207" s="1" t="n">
        <v>455.89</v>
      </c>
      <c r="J5207" s="1" t="str">
        <f aca="false">VLOOKUP(B5207,Customers!$A$2:$G$502,6,FALSE())</f>
        <v>Consumer</v>
      </c>
      <c r="K5207" s="1" t="str">
        <f aca="false">VLOOKUP(C5207,Products!$A$2:$E$62,3,FALSE())</f>
        <v>Electronics</v>
      </c>
      <c r="L5207" s="1" t="str">
        <f aca="false">TEXT(D5207,"yyyy-mm")</f>
        <v>2023-04</v>
      </c>
    </row>
    <row r="5208" customFormat="false" ht="15" hidden="false" customHeight="true" outlineLevel="0" collapsed="false">
      <c r="A5208" s="1" t="n">
        <v>5321</v>
      </c>
      <c r="B5208" s="1" t="n">
        <v>429</v>
      </c>
      <c r="C5208" s="1" t="n">
        <v>16</v>
      </c>
      <c r="D5208" s="1" t="s">
        <v>1441</v>
      </c>
      <c r="E5208" s="1" t="n">
        <v>9</v>
      </c>
      <c r="F5208" s="1" t="n">
        <v>330.91</v>
      </c>
      <c r="G5208" s="1" t="n">
        <v>0.15</v>
      </c>
      <c r="H5208" s="1" t="s">
        <v>1336</v>
      </c>
      <c r="I5208" s="1" t="n">
        <v>2531.46</v>
      </c>
      <c r="J5208" s="1" t="str">
        <f aca="false">VLOOKUP(B5208,Customers!$A$2:$G$502,6,FALSE())</f>
        <v>Corporate</v>
      </c>
      <c r="K5208" s="1" t="str">
        <f aca="false">VLOOKUP(C5208,Products!$A$2:$E$62,3,FALSE())</f>
        <v>Electronics</v>
      </c>
      <c r="L5208" s="1" t="str">
        <f aca="false">TEXT(D5208,"yyyy-mm")</f>
        <v>2023-03</v>
      </c>
    </row>
    <row r="5209" customFormat="false" ht="15" hidden="false" customHeight="true" outlineLevel="0" collapsed="false">
      <c r="A5209" s="1" t="n">
        <v>5322</v>
      </c>
      <c r="B5209" s="1" t="n">
        <v>131</v>
      </c>
      <c r="C5209" s="1" t="n">
        <v>1</v>
      </c>
      <c r="D5209" s="1" t="s">
        <v>1666</v>
      </c>
      <c r="E5209" s="1" t="n">
        <v>4</v>
      </c>
      <c r="F5209" s="1" t="n">
        <v>327.32</v>
      </c>
      <c r="G5209" s="1" t="n">
        <v>0</v>
      </c>
      <c r="H5209" s="1" t="s">
        <v>1336</v>
      </c>
      <c r="I5209" s="1" t="n">
        <v>1309.28</v>
      </c>
      <c r="J5209" s="1" t="str">
        <f aca="false">VLOOKUP(B5209,Customers!$A$2:$G$502,6,FALSE())</f>
        <v>Corporate</v>
      </c>
      <c r="K5209" s="1" t="str">
        <f aca="false">VLOOKUP(C5209,Products!$A$2:$E$62,3,FALSE())</f>
        <v>Electronics</v>
      </c>
      <c r="L5209" s="1" t="str">
        <f aca="false">TEXT(D5209,"yyyy-mm")</f>
        <v>2024-07</v>
      </c>
    </row>
    <row r="5210" customFormat="false" ht="15" hidden="false" customHeight="true" outlineLevel="0" collapsed="false">
      <c r="A5210" s="1" t="n">
        <v>5323</v>
      </c>
      <c r="B5210" s="1" t="n">
        <v>319</v>
      </c>
      <c r="C5210" s="1" t="n">
        <v>26</v>
      </c>
      <c r="D5210" s="1" t="s">
        <v>1640</v>
      </c>
      <c r="E5210" s="1" t="n">
        <v>1</v>
      </c>
      <c r="F5210" s="1" t="n">
        <v>733.85</v>
      </c>
      <c r="G5210" s="1" t="n">
        <v>0</v>
      </c>
      <c r="H5210" s="1" t="s">
        <v>1336</v>
      </c>
      <c r="I5210" s="1" t="n">
        <v>733.85</v>
      </c>
      <c r="J5210" s="1" t="str">
        <f aca="false">VLOOKUP(B5210,Customers!$A$2:$G$502,6,FALSE())</f>
        <v>Corporate</v>
      </c>
      <c r="K5210" s="1" t="str">
        <f aca="false">VLOOKUP(C5210,Products!$A$2:$E$62,3,FALSE())</f>
        <v>Office Supplies</v>
      </c>
      <c r="L5210" s="1" t="str">
        <f aca="false">TEXT(D5210,"yyyy-mm")</f>
        <v>2024-07</v>
      </c>
    </row>
    <row r="5211" customFormat="false" ht="15" hidden="false" customHeight="true" outlineLevel="0" collapsed="false">
      <c r="A5211" s="1" t="n">
        <v>5324</v>
      </c>
      <c r="B5211" s="1" t="n">
        <v>87</v>
      </c>
      <c r="C5211" s="1" t="n">
        <v>37</v>
      </c>
      <c r="D5211" s="1" t="s">
        <v>1540</v>
      </c>
      <c r="E5211" s="1" t="n">
        <v>6</v>
      </c>
      <c r="F5211" s="1" t="n">
        <v>13.95</v>
      </c>
      <c r="G5211" s="1" t="n">
        <v>0</v>
      </c>
      <c r="H5211" s="1" t="s">
        <v>1336</v>
      </c>
      <c r="I5211" s="1" t="n">
        <v>83.7</v>
      </c>
      <c r="J5211" s="1" t="str">
        <f aca="false">VLOOKUP(B5211,Customers!$A$2:$G$502,6,FALSE())</f>
        <v>Corporate</v>
      </c>
      <c r="K5211" s="1" t="str">
        <f aca="false">VLOOKUP(C5211,Products!$A$2:$E$62,3,FALSE())</f>
        <v>Software</v>
      </c>
      <c r="L5211" s="1" t="str">
        <f aca="false">TEXT(D5211,"yyyy-mm")</f>
        <v>2023-01</v>
      </c>
    </row>
    <row r="5212" customFormat="false" ht="15" hidden="false" customHeight="true" outlineLevel="0" collapsed="false">
      <c r="A5212" s="1" t="n">
        <v>5325</v>
      </c>
      <c r="B5212" s="1" t="n">
        <v>248</v>
      </c>
      <c r="C5212" s="1" t="n">
        <v>59</v>
      </c>
      <c r="D5212" s="1" t="s">
        <v>1367</v>
      </c>
      <c r="E5212" s="1" t="n">
        <v>5</v>
      </c>
      <c r="F5212" s="1" t="n">
        <v>438.89</v>
      </c>
      <c r="G5212" s="1" t="n">
        <v>0</v>
      </c>
      <c r="H5212" s="1" t="s">
        <v>1336</v>
      </c>
      <c r="I5212" s="1" t="n">
        <v>2194.45</v>
      </c>
      <c r="J5212" s="1" t="str">
        <f aca="false">VLOOKUP(B5212,Customers!$A$2:$G$502,6,FALSE())</f>
        <v>Small Business</v>
      </c>
      <c r="K5212" s="1" t="str">
        <f aca="false">VLOOKUP(C5212,Products!$A$2:$E$62,3,FALSE())</f>
        <v>Furniture</v>
      </c>
      <c r="L5212" s="1" t="str">
        <f aca="false">TEXT(D5212,"yyyy-mm")</f>
        <v>2024-08</v>
      </c>
    </row>
    <row r="5213" customFormat="false" ht="15" hidden="false" customHeight="true" outlineLevel="0" collapsed="false">
      <c r="A5213" s="1" t="n">
        <v>5326</v>
      </c>
      <c r="B5213" s="1" t="n">
        <v>204</v>
      </c>
      <c r="C5213" s="1" t="n">
        <v>33</v>
      </c>
      <c r="D5213" s="1" t="s">
        <v>994</v>
      </c>
      <c r="E5213" s="1" t="n">
        <v>6</v>
      </c>
      <c r="F5213" s="1" t="n">
        <v>190.1</v>
      </c>
      <c r="G5213" s="1" t="n">
        <v>0.05</v>
      </c>
      <c r="H5213" s="1" t="s">
        <v>1370</v>
      </c>
      <c r="I5213" s="1" t="n">
        <v>1083.57</v>
      </c>
      <c r="J5213" s="1" t="str">
        <f aca="false">VLOOKUP(B5213,Customers!$A$2:$G$502,6,FALSE())</f>
        <v>Small Business</v>
      </c>
      <c r="K5213" s="1" t="str">
        <f aca="false">VLOOKUP(C5213,Products!$A$2:$E$62,3,FALSE())</f>
        <v>Office Supplies</v>
      </c>
      <c r="L5213" s="1" t="str">
        <f aca="false">TEXT(D5213,"yyyy-mm")</f>
        <v>2023-02</v>
      </c>
    </row>
    <row r="5214" customFormat="false" ht="15" hidden="false" customHeight="true" outlineLevel="0" collapsed="false">
      <c r="A5214" s="1" t="n">
        <v>5327</v>
      </c>
      <c r="B5214" s="1" t="n">
        <v>89</v>
      </c>
      <c r="C5214" s="1" t="n">
        <v>19</v>
      </c>
      <c r="D5214" s="1" t="s">
        <v>1441</v>
      </c>
      <c r="E5214" s="1" t="n">
        <v>3</v>
      </c>
      <c r="F5214" s="1" t="n">
        <v>163.64</v>
      </c>
      <c r="G5214" s="1" t="n">
        <v>0.05</v>
      </c>
      <c r="H5214" s="1" t="s">
        <v>1346</v>
      </c>
      <c r="I5214" s="1" t="n">
        <v>466.37</v>
      </c>
      <c r="J5214" s="1" t="str">
        <f aca="false">VLOOKUP(B5214,Customers!$A$2:$G$502,6,FALSE())</f>
        <v>Small Business</v>
      </c>
      <c r="K5214" s="1" t="str">
        <f aca="false">VLOOKUP(C5214,Products!$A$2:$E$62,3,FALSE())</f>
        <v>Office Supplies</v>
      </c>
      <c r="L5214" s="1" t="str">
        <f aca="false">TEXT(D5214,"yyyy-mm")</f>
        <v>2023-03</v>
      </c>
    </row>
    <row r="5215" customFormat="false" ht="15" hidden="false" customHeight="true" outlineLevel="0" collapsed="false">
      <c r="A5215" s="1" t="n">
        <v>5328</v>
      </c>
      <c r="B5215" s="1" t="n">
        <v>19</v>
      </c>
      <c r="C5215" s="1" t="n">
        <v>52</v>
      </c>
      <c r="D5215" s="1" t="s">
        <v>84</v>
      </c>
      <c r="E5215" s="1" t="n">
        <v>2</v>
      </c>
      <c r="F5215" s="1" t="n">
        <v>207.67</v>
      </c>
      <c r="G5215" s="1" t="n">
        <v>0.15</v>
      </c>
      <c r="H5215" s="1" t="s">
        <v>1336</v>
      </c>
      <c r="I5215" s="1" t="n">
        <v>353.04</v>
      </c>
      <c r="J5215" s="1" t="str">
        <f aca="false">VLOOKUP(B5215,Customers!$A$2:$G$502,6,FALSE())</f>
        <v>Consumer</v>
      </c>
      <c r="K5215" s="1" t="str">
        <f aca="false">VLOOKUP(C5215,Products!$A$2:$E$62,3,FALSE())</f>
        <v>Software</v>
      </c>
      <c r="L5215" s="1" t="str">
        <f aca="false">TEXT(D5215,"yyyy-mm")</f>
        <v>2024-12</v>
      </c>
    </row>
    <row r="5216" customFormat="false" ht="15" hidden="false" customHeight="true" outlineLevel="0" collapsed="false">
      <c r="A5216" s="1" t="n">
        <v>5329</v>
      </c>
      <c r="B5216" s="1" t="n">
        <v>91</v>
      </c>
      <c r="C5216" s="1" t="n">
        <v>48</v>
      </c>
      <c r="D5216" s="1" t="s">
        <v>1036</v>
      </c>
      <c r="E5216" s="1" t="n">
        <v>6</v>
      </c>
      <c r="F5216" s="1" t="n">
        <v>493.53</v>
      </c>
      <c r="G5216" s="1" t="n">
        <v>0</v>
      </c>
      <c r="H5216" s="1" t="s">
        <v>1336</v>
      </c>
      <c r="I5216" s="1" t="n">
        <v>2961.18</v>
      </c>
      <c r="J5216" s="1" t="str">
        <f aca="false">VLOOKUP(B5216,Customers!$A$2:$G$502,6,FALSE())</f>
        <v>Consumer</v>
      </c>
      <c r="K5216" s="1" t="str">
        <f aca="false">VLOOKUP(C5216,Products!$A$2:$E$62,3,FALSE())</f>
        <v>Software</v>
      </c>
      <c r="L5216" s="1" t="str">
        <f aca="false">TEXT(D5216,"yyyy-mm")</f>
        <v>2024-05</v>
      </c>
    </row>
    <row r="5217" customFormat="false" ht="15" hidden="false" customHeight="true" outlineLevel="0" collapsed="false">
      <c r="A5217" s="1" t="n">
        <v>5330</v>
      </c>
      <c r="B5217" s="1" t="n">
        <v>377</v>
      </c>
      <c r="C5217" s="1" t="n">
        <v>48</v>
      </c>
      <c r="D5217" s="1" t="s">
        <v>1547</v>
      </c>
      <c r="E5217" s="1" t="n">
        <v>1</v>
      </c>
      <c r="F5217" s="1" t="n">
        <v>493.53</v>
      </c>
      <c r="G5217" s="1" t="n">
        <v>0</v>
      </c>
      <c r="H5217" s="1" t="s">
        <v>1336</v>
      </c>
      <c r="I5217" s="1" t="n">
        <v>493.53</v>
      </c>
      <c r="J5217" s="1" t="str">
        <f aca="false">VLOOKUP(B5217,Customers!$A$2:$G$502,6,FALSE())</f>
        <v>Corporate</v>
      </c>
      <c r="K5217" s="1" t="str">
        <f aca="false">VLOOKUP(C5217,Products!$A$2:$E$62,3,FALSE())</f>
        <v>Software</v>
      </c>
      <c r="L5217" s="1" t="str">
        <f aca="false">TEXT(D5217,"yyyy-mm")</f>
        <v>2024-11</v>
      </c>
    </row>
    <row r="5218" customFormat="false" ht="15" hidden="false" customHeight="true" outlineLevel="0" collapsed="false">
      <c r="A5218" s="1" t="n">
        <v>5331</v>
      </c>
      <c r="B5218" s="1" t="n">
        <v>492</v>
      </c>
      <c r="C5218" s="1" t="n">
        <v>43</v>
      </c>
      <c r="D5218" s="1" t="s">
        <v>1532</v>
      </c>
      <c r="E5218" s="1" t="n">
        <v>7</v>
      </c>
      <c r="F5218" s="1" t="n">
        <v>186.31</v>
      </c>
      <c r="G5218" s="1" t="n">
        <v>0.05</v>
      </c>
      <c r="H5218" s="1" t="s">
        <v>1346</v>
      </c>
      <c r="I5218" s="1" t="n">
        <v>1238.96</v>
      </c>
      <c r="J5218" s="1" t="str">
        <f aca="false">VLOOKUP(B5218,Customers!$A$2:$G$502,6,FALSE())</f>
        <v>Consumer</v>
      </c>
      <c r="K5218" s="1" t="str">
        <f aca="false">VLOOKUP(C5218,Products!$A$2:$E$62,3,FALSE())</f>
        <v>Software</v>
      </c>
      <c r="L5218" s="1" t="str">
        <f aca="false">TEXT(D5218,"yyyy-mm")</f>
        <v>2023-05</v>
      </c>
    </row>
    <row r="5219" customFormat="false" ht="15" hidden="false" customHeight="true" outlineLevel="0" collapsed="false">
      <c r="A5219" s="1" t="n">
        <v>5332</v>
      </c>
      <c r="B5219" s="1" t="n">
        <v>399</v>
      </c>
      <c r="C5219" s="1" t="n">
        <v>53</v>
      </c>
      <c r="D5219" s="1" t="s">
        <v>1660</v>
      </c>
      <c r="E5219" s="1" t="n">
        <v>7</v>
      </c>
      <c r="F5219" s="1" t="n">
        <v>509.98</v>
      </c>
      <c r="G5219" s="1" t="n">
        <v>0</v>
      </c>
      <c r="H5219" s="1" t="s">
        <v>1336</v>
      </c>
      <c r="I5219" s="1" t="n">
        <v>3569.86</v>
      </c>
      <c r="J5219" s="1" t="str">
        <f aca="false">VLOOKUP(B5219,Customers!$A$2:$G$502,6,FALSE())</f>
        <v>Corporate</v>
      </c>
      <c r="K5219" s="1" t="str">
        <f aca="false">VLOOKUP(C5219,Products!$A$2:$E$62,3,FALSE())</f>
        <v>Software</v>
      </c>
      <c r="L5219" s="1" t="str">
        <f aca="false">TEXT(D5219,"yyyy-mm")</f>
        <v>2023-06</v>
      </c>
    </row>
    <row r="5220" customFormat="false" ht="15" hidden="false" customHeight="true" outlineLevel="0" collapsed="false">
      <c r="A5220" s="1" t="n">
        <v>5333</v>
      </c>
      <c r="B5220" s="1" t="n">
        <v>71</v>
      </c>
      <c r="C5220" s="1" t="n">
        <v>23</v>
      </c>
      <c r="D5220" s="1" t="s">
        <v>1659</v>
      </c>
      <c r="E5220" s="1" t="n">
        <v>7</v>
      </c>
      <c r="F5220" s="1" t="n">
        <v>188.73</v>
      </c>
      <c r="G5220" s="1" t="n">
        <v>0.2</v>
      </c>
      <c r="H5220" s="1" t="s">
        <v>1336</v>
      </c>
      <c r="I5220" s="1" t="n">
        <v>1056.89</v>
      </c>
      <c r="J5220" s="1" t="str">
        <f aca="false">VLOOKUP(B5220,Customers!$A$2:$G$502,6,FALSE())</f>
        <v>Corporate</v>
      </c>
      <c r="K5220" s="1" t="str">
        <f aca="false">VLOOKUP(C5220,Products!$A$2:$E$62,3,FALSE())</f>
        <v>Office Supplies</v>
      </c>
      <c r="L5220" s="1" t="str">
        <f aca="false">TEXT(D5220,"yyyy-mm")</f>
        <v>2023-01</v>
      </c>
    </row>
    <row r="5221" customFormat="false" ht="15" hidden="false" customHeight="true" outlineLevel="0" collapsed="false">
      <c r="A5221" s="1" t="n">
        <v>5334</v>
      </c>
      <c r="B5221" s="1" t="n">
        <v>388</v>
      </c>
      <c r="C5221" s="1" t="n">
        <v>58</v>
      </c>
      <c r="D5221" s="1" t="s">
        <v>853</v>
      </c>
      <c r="E5221" s="1" t="n">
        <v>1</v>
      </c>
      <c r="F5221" s="1" t="n">
        <v>515.55</v>
      </c>
      <c r="G5221" s="1" t="n">
        <v>0</v>
      </c>
      <c r="H5221" s="1" t="s">
        <v>1336</v>
      </c>
      <c r="I5221" s="1" t="n">
        <v>515.55</v>
      </c>
      <c r="J5221" s="1" t="str">
        <f aca="false">VLOOKUP(B5221,Customers!$A$2:$G$502,6,FALSE())</f>
        <v>Corporate</v>
      </c>
      <c r="K5221" s="1" t="str">
        <f aca="false">VLOOKUP(C5221,Products!$A$2:$E$62,3,FALSE())</f>
        <v>Furniture</v>
      </c>
      <c r="L5221" s="1" t="str">
        <f aca="false">TEXT(D5221,"yyyy-mm")</f>
        <v>2024-03</v>
      </c>
    </row>
    <row r="5222" customFormat="false" ht="15" hidden="false" customHeight="true" outlineLevel="0" collapsed="false">
      <c r="A5222" s="1" t="n">
        <v>5335</v>
      </c>
      <c r="B5222" s="1" t="n">
        <v>134</v>
      </c>
      <c r="C5222" s="1" t="n">
        <v>6</v>
      </c>
      <c r="D5222" s="1" t="s">
        <v>581</v>
      </c>
      <c r="E5222" s="1" t="n">
        <v>4</v>
      </c>
      <c r="F5222" s="1" t="n">
        <v>28.51</v>
      </c>
      <c r="G5222" s="1" t="n">
        <v>0</v>
      </c>
      <c r="H5222" s="1" t="s">
        <v>1336</v>
      </c>
      <c r="I5222" s="1" t="n">
        <v>114.04</v>
      </c>
      <c r="J5222" s="1" t="str">
        <f aca="false">VLOOKUP(B5222,Customers!$A$2:$G$502,6,FALSE())</f>
        <v>Corporate</v>
      </c>
      <c r="K5222" s="1" t="str">
        <f aca="false">VLOOKUP(C5222,Products!$A$2:$E$62,3,FALSE())</f>
        <v>Electronics</v>
      </c>
      <c r="L5222" s="1" t="str">
        <f aca="false">TEXT(D5222,"yyyy-mm")</f>
        <v>2023-07</v>
      </c>
    </row>
    <row r="5223" customFormat="false" ht="15" hidden="false" customHeight="true" outlineLevel="0" collapsed="false">
      <c r="A5223" s="1" t="n">
        <v>5336</v>
      </c>
      <c r="B5223" s="1" t="n">
        <v>104</v>
      </c>
      <c r="C5223" s="1" t="n">
        <v>21</v>
      </c>
      <c r="D5223" s="1" t="s">
        <v>1610</v>
      </c>
      <c r="E5223" s="1" t="n">
        <v>7</v>
      </c>
      <c r="F5223" s="1" t="n">
        <v>84.91</v>
      </c>
      <c r="G5223" s="1" t="n">
        <v>0.05</v>
      </c>
      <c r="H5223" s="1" t="s">
        <v>1336</v>
      </c>
      <c r="I5223" s="1" t="n">
        <v>564.65</v>
      </c>
      <c r="J5223" s="1" t="str">
        <f aca="false">VLOOKUP(B5223,Customers!$A$2:$G$502,6,FALSE())</f>
        <v>Corporate</v>
      </c>
      <c r="K5223" s="1" t="str">
        <f aca="false">VLOOKUP(C5223,Products!$A$2:$E$62,3,FALSE())</f>
        <v>Office Supplies</v>
      </c>
      <c r="L5223" s="1" t="str">
        <f aca="false">TEXT(D5223,"yyyy-mm")</f>
        <v>2024-10</v>
      </c>
    </row>
    <row r="5224" customFormat="false" ht="15" hidden="false" customHeight="true" outlineLevel="0" collapsed="false">
      <c r="A5224" s="1" t="n">
        <v>5337</v>
      </c>
      <c r="B5224" s="1" t="n">
        <v>52</v>
      </c>
      <c r="C5224" s="1" t="n">
        <v>44</v>
      </c>
      <c r="D5224" s="1" t="s">
        <v>1520</v>
      </c>
      <c r="E5224" s="1" t="n">
        <v>9</v>
      </c>
      <c r="F5224" s="1" t="n">
        <v>508.26</v>
      </c>
      <c r="G5224" s="1" t="n">
        <v>0.15</v>
      </c>
      <c r="H5224" s="1" t="s">
        <v>1336</v>
      </c>
      <c r="I5224" s="1" t="n">
        <v>3888.19</v>
      </c>
      <c r="J5224" s="1" t="str">
        <f aca="false">VLOOKUP(B5224,Customers!$A$2:$G$502,6,FALSE())</f>
        <v>Small Business</v>
      </c>
      <c r="K5224" s="1" t="str">
        <f aca="false">VLOOKUP(C5224,Products!$A$2:$E$62,3,FALSE())</f>
        <v>Software</v>
      </c>
      <c r="L5224" s="1" t="str">
        <f aca="false">TEXT(D5224,"yyyy-mm")</f>
        <v>2023-11</v>
      </c>
    </row>
    <row r="5225" customFormat="false" ht="15" hidden="false" customHeight="true" outlineLevel="0" collapsed="false">
      <c r="A5225" s="1" t="n">
        <v>5338</v>
      </c>
      <c r="B5225" s="1" t="n">
        <v>123</v>
      </c>
      <c r="C5225" s="1" t="n">
        <v>58</v>
      </c>
      <c r="D5225" s="1" t="s">
        <v>1439</v>
      </c>
      <c r="E5225" s="1" t="n">
        <v>5</v>
      </c>
      <c r="F5225" s="1" t="n">
        <v>515.55</v>
      </c>
      <c r="G5225" s="1" t="n">
        <v>0</v>
      </c>
      <c r="H5225" s="1" t="s">
        <v>1336</v>
      </c>
      <c r="I5225" s="1" t="n">
        <v>2577.75</v>
      </c>
      <c r="J5225" s="1" t="str">
        <f aca="false">VLOOKUP(B5225,Customers!$A$2:$G$502,6,FALSE())</f>
        <v>Small Business</v>
      </c>
      <c r="K5225" s="1" t="str">
        <f aca="false">VLOOKUP(C5225,Products!$A$2:$E$62,3,FALSE())</f>
        <v>Furniture</v>
      </c>
      <c r="L5225" s="1" t="str">
        <f aca="false">TEXT(D5225,"yyyy-mm")</f>
        <v>2024-05</v>
      </c>
    </row>
    <row r="5226" customFormat="false" ht="15" hidden="false" customHeight="true" outlineLevel="0" collapsed="false">
      <c r="A5226" s="1" t="n">
        <v>5339</v>
      </c>
      <c r="B5226" s="1" t="n">
        <v>316</v>
      </c>
      <c r="C5226" s="1" t="n">
        <v>19</v>
      </c>
      <c r="D5226" s="1" t="s">
        <v>56</v>
      </c>
      <c r="E5226" s="1" t="n">
        <v>2</v>
      </c>
      <c r="F5226" s="1" t="n">
        <v>163.64</v>
      </c>
      <c r="G5226" s="1" t="n">
        <v>0</v>
      </c>
      <c r="H5226" s="1" t="s">
        <v>1336</v>
      </c>
      <c r="I5226" s="1" t="n">
        <v>327.28</v>
      </c>
      <c r="J5226" s="1" t="str">
        <f aca="false">VLOOKUP(B5226,Customers!$A$2:$G$502,6,FALSE())</f>
        <v>Small Business</v>
      </c>
      <c r="K5226" s="1" t="str">
        <f aca="false">VLOOKUP(C5226,Products!$A$2:$E$62,3,FALSE())</f>
        <v>Office Supplies</v>
      </c>
      <c r="L5226" s="1" t="str">
        <f aca="false">TEXT(D5226,"yyyy-mm")</f>
        <v>2023-05</v>
      </c>
    </row>
    <row r="5227" customFormat="false" ht="15" hidden="false" customHeight="true" outlineLevel="0" collapsed="false">
      <c r="A5227" s="1" t="n">
        <v>5341</v>
      </c>
      <c r="B5227" s="1" t="n">
        <v>393</v>
      </c>
      <c r="C5227" s="1" t="n">
        <v>37</v>
      </c>
      <c r="D5227" s="1" t="s">
        <v>1361</v>
      </c>
      <c r="E5227" s="1" t="n">
        <v>1</v>
      </c>
      <c r="F5227" s="1" t="n">
        <v>13.95</v>
      </c>
      <c r="G5227" s="1" t="n">
        <v>0</v>
      </c>
      <c r="H5227" s="1" t="s">
        <v>1336</v>
      </c>
      <c r="I5227" s="1" t="n">
        <v>13.95</v>
      </c>
      <c r="J5227" s="1" t="str">
        <f aca="false">VLOOKUP(B5227,Customers!$A$2:$G$502,6,FALSE())</f>
        <v>Consumer</v>
      </c>
      <c r="K5227" s="1" t="str">
        <f aca="false">VLOOKUP(C5227,Products!$A$2:$E$62,3,FALSE())</f>
        <v>Software</v>
      </c>
      <c r="L5227" s="1" t="str">
        <f aca="false">TEXT(D5227,"yyyy-mm")</f>
        <v>2024-01</v>
      </c>
    </row>
    <row r="5228" customFormat="false" ht="15" hidden="false" customHeight="true" outlineLevel="0" collapsed="false">
      <c r="A5228" s="1" t="n">
        <v>5342</v>
      </c>
      <c r="B5228" s="1" t="n">
        <v>410</v>
      </c>
      <c r="C5228" s="1" t="n">
        <v>46</v>
      </c>
      <c r="D5228" s="1" t="s">
        <v>1565</v>
      </c>
      <c r="E5228" s="1" t="n">
        <v>7</v>
      </c>
      <c r="F5228" s="1" t="n">
        <v>94.92</v>
      </c>
      <c r="G5228" s="1" t="n">
        <v>0</v>
      </c>
      <c r="H5228" s="1" t="s">
        <v>1336</v>
      </c>
      <c r="I5228" s="1" t="n">
        <v>664.44</v>
      </c>
      <c r="J5228" s="1" t="str">
        <f aca="false">VLOOKUP(B5228,Customers!$A$2:$G$502,6,FALSE())</f>
        <v>Consumer</v>
      </c>
      <c r="K5228" s="1" t="str">
        <f aca="false">VLOOKUP(C5228,Products!$A$2:$E$62,3,FALSE())</f>
        <v>Software</v>
      </c>
      <c r="L5228" s="1" t="str">
        <f aca="false">TEXT(D5228,"yyyy-mm")</f>
        <v>2024-09</v>
      </c>
    </row>
    <row r="5229" customFormat="false" ht="15" hidden="false" customHeight="true" outlineLevel="0" collapsed="false">
      <c r="A5229" s="1" t="n">
        <v>5343</v>
      </c>
      <c r="B5229" s="1" t="n">
        <v>300</v>
      </c>
      <c r="C5229" s="1" t="n">
        <v>23</v>
      </c>
      <c r="D5229" s="1" t="s">
        <v>1618</v>
      </c>
      <c r="E5229" s="1" t="n">
        <v>6</v>
      </c>
      <c r="F5229" s="1" t="n">
        <v>188.73</v>
      </c>
      <c r="G5229" s="1" t="n">
        <v>0</v>
      </c>
      <c r="H5229" s="1" t="s">
        <v>1336</v>
      </c>
      <c r="I5229" s="1" t="n">
        <v>1132.38</v>
      </c>
      <c r="J5229" s="1" t="str">
        <f aca="false">VLOOKUP(B5229,Customers!$A$2:$G$502,6,FALSE())</f>
        <v>Consumer</v>
      </c>
      <c r="K5229" s="1" t="str">
        <f aca="false">VLOOKUP(C5229,Products!$A$2:$E$62,3,FALSE())</f>
        <v>Office Supplies</v>
      </c>
      <c r="L5229" s="1" t="str">
        <f aca="false">TEXT(D5229,"yyyy-mm")</f>
        <v>2024-04</v>
      </c>
    </row>
    <row r="5230" customFormat="false" ht="15" hidden="false" customHeight="true" outlineLevel="0" collapsed="false">
      <c r="A5230" s="1" t="n">
        <v>5344</v>
      </c>
      <c r="B5230" s="1" t="n">
        <v>402</v>
      </c>
      <c r="C5230" s="1" t="n">
        <v>58</v>
      </c>
      <c r="D5230" s="1" t="s">
        <v>1337</v>
      </c>
      <c r="E5230" s="1" t="n">
        <v>7</v>
      </c>
      <c r="F5230" s="1" t="n">
        <v>515.55</v>
      </c>
      <c r="G5230" s="1" t="n">
        <v>0</v>
      </c>
      <c r="H5230" s="1" t="s">
        <v>1336</v>
      </c>
      <c r="I5230" s="1" t="n">
        <v>3608.85</v>
      </c>
      <c r="J5230" s="1" t="str">
        <f aca="false">VLOOKUP(B5230,Customers!$A$2:$G$502,6,FALSE())</f>
        <v>Unknown</v>
      </c>
      <c r="K5230" s="1" t="str">
        <f aca="false">VLOOKUP(C5230,Products!$A$2:$E$62,3,FALSE())</f>
        <v>Furniture</v>
      </c>
      <c r="L5230" s="1" t="str">
        <f aca="false">TEXT(D5230,"yyyy-mm")</f>
        <v>2023-03</v>
      </c>
    </row>
    <row r="5231" customFormat="false" ht="15" hidden="false" customHeight="true" outlineLevel="0" collapsed="false">
      <c r="A5231" s="1" t="n">
        <v>5345</v>
      </c>
      <c r="B5231" s="1" t="n">
        <v>455</v>
      </c>
      <c r="C5231" s="1" t="n">
        <v>41</v>
      </c>
      <c r="D5231" s="1" t="s">
        <v>127</v>
      </c>
      <c r="E5231" s="1" t="n">
        <v>3</v>
      </c>
      <c r="F5231" s="1" t="n">
        <v>594.54</v>
      </c>
      <c r="G5231" s="1" t="n">
        <v>0</v>
      </c>
      <c r="H5231" s="1" t="s">
        <v>1336</v>
      </c>
      <c r="I5231" s="1" t="n">
        <v>1783.62</v>
      </c>
      <c r="J5231" s="1" t="str">
        <f aca="false">VLOOKUP(B5231,Customers!$A$2:$G$502,6,FALSE())</f>
        <v>Consumer</v>
      </c>
      <c r="K5231" s="1" t="str">
        <f aca="false">VLOOKUP(C5231,Products!$A$2:$E$62,3,FALSE())</f>
        <v>Software</v>
      </c>
      <c r="L5231" s="1" t="str">
        <f aca="false">TEXT(D5231,"yyyy-mm")</f>
        <v>2023-03</v>
      </c>
    </row>
    <row r="5232" customFormat="false" ht="15" hidden="false" customHeight="true" outlineLevel="0" collapsed="false">
      <c r="A5232" s="1" t="n">
        <v>5346</v>
      </c>
      <c r="B5232" s="1" t="n">
        <v>191</v>
      </c>
      <c r="C5232" s="1" t="n">
        <v>49</v>
      </c>
      <c r="D5232" s="1" t="s">
        <v>482</v>
      </c>
      <c r="E5232" s="1" t="n">
        <v>3</v>
      </c>
      <c r="F5232" s="1" t="n">
        <v>325.17</v>
      </c>
      <c r="G5232" s="1" t="n">
        <v>0</v>
      </c>
      <c r="H5232" s="1" t="s">
        <v>1336</v>
      </c>
      <c r="I5232" s="1" t="n">
        <v>975.51</v>
      </c>
      <c r="J5232" s="1" t="str">
        <f aca="false">VLOOKUP(B5232,Customers!$A$2:$G$502,6,FALSE())</f>
        <v>Corporate</v>
      </c>
      <c r="K5232" s="1" t="str">
        <f aca="false">VLOOKUP(C5232,Products!$A$2:$E$62,3,FALSE())</f>
        <v>Software</v>
      </c>
      <c r="L5232" s="1" t="str">
        <f aca="false">TEXT(D5232,"yyyy-mm")</f>
        <v>2024-11</v>
      </c>
    </row>
    <row r="5233" customFormat="false" ht="15" hidden="false" customHeight="true" outlineLevel="0" collapsed="false">
      <c r="A5233" s="1" t="n">
        <v>5347</v>
      </c>
      <c r="B5233" s="1" t="n">
        <v>269</v>
      </c>
      <c r="C5233" s="1" t="n">
        <v>54</v>
      </c>
      <c r="D5233" s="1" t="s">
        <v>1521</v>
      </c>
      <c r="E5233" s="1" t="n">
        <v>7</v>
      </c>
      <c r="F5233" s="1" t="n">
        <v>312.01</v>
      </c>
      <c r="G5233" s="1" t="n">
        <v>0.15</v>
      </c>
      <c r="H5233" s="1" t="s">
        <v>1336</v>
      </c>
      <c r="I5233" s="1" t="n">
        <v>1856.46</v>
      </c>
      <c r="J5233" s="1" t="str">
        <f aca="false">VLOOKUP(B5233,Customers!$A$2:$G$502,6,FALSE())</f>
        <v>Corporate</v>
      </c>
      <c r="K5233" s="1" t="str">
        <f aca="false">VLOOKUP(C5233,Products!$A$2:$E$62,3,FALSE())</f>
        <v>Software</v>
      </c>
      <c r="L5233" s="1" t="str">
        <f aca="false">TEXT(D5233,"yyyy-mm")</f>
        <v>2023-10</v>
      </c>
    </row>
    <row r="5234" customFormat="false" ht="15" hidden="false" customHeight="true" outlineLevel="0" collapsed="false">
      <c r="A5234" s="1" t="n">
        <v>5348</v>
      </c>
      <c r="B5234" s="1" t="n">
        <v>65</v>
      </c>
      <c r="C5234" s="1" t="n">
        <v>12</v>
      </c>
      <c r="D5234" s="1" t="s">
        <v>155</v>
      </c>
      <c r="E5234" s="1" t="n">
        <v>2</v>
      </c>
      <c r="F5234" s="1" t="n">
        <v>179.23</v>
      </c>
      <c r="G5234" s="1" t="n">
        <v>0.2</v>
      </c>
      <c r="H5234" s="1" t="s">
        <v>1336</v>
      </c>
      <c r="I5234" s="1" t="n">
        <v>286.77</v>
      </c>
      <c r="J5234" s="1" t="str">
        <f aca="false">VLOOKUP(B5234,Customers!$A$2:$G$502,6,FALSE())</f>
        <v>Corporate</v>
      </c>
      <c r="K5234" s="1" t="str">
        <f aca="false">VLOOKUP(C5234,Products!$A$2:$E$62,3,FALSE())</f>
        <v>Electronics</v>
      </c>
      <c r="L5234" s="1" t="str">
        <f aca="false">TEXT(D5234,"yyyy-mm")</f>
        <v>2023-08</v>
      </c>
    </row>
    <row r="5235" customFormat="false" ht="15" hidden="false" customHeight="true" outlineLevel="0" collapsed="false">
      <c r="A5235" s="1" t="n">
        <v>5349</v>
      </c>
      <c r="B5235" s="1" t="n">
        <v>386</v>
      </c>
      <c r="C5235" s="1" t="n">
        <v>21</v>
      </c>
      <c r="D5235" s="1" t="s">
        <v>804</v>
      </c>
      <c r="E5235" s="1" t="n">
        <v>1</v>
      </c>
      <c r="F5235" s="1" t="n">
        <v>84.91</v>
      </c>
      <c r="G5235" s="1" t="n">
        <v>0.2</v>
      </c>
      <c r="H5235" s="1" t="s">
        <v>1336</v>
      </c>
      <c r="I5235" s="1" t="n">
        <v>67.93</v>
      </c>
      <c r="J5235" s="1" t="str">
        <f aca="false">VLOOKUP(B5235,Customers!$A$2:$G$502,6,FALSE())</f>
        <v>Consumer</v>
      </c>
      <c r="K5235" s="1" t="str">
        <f aca="false">VLOOKUP(C5235,Products!$A$2:$E$62,3,FALSE())</f>
        <v>Office Supplies</v>
      </c>
      <c r="L5235" s="1" t="str">
        <f aca="false">TEXT(D5235,"yyyy-mm")</f>
        <v>2024-12</v>
      </c>
    </row>
    <row r="5236" customFormat="false" ht="15" hidden="false" customHeight="true" outlineLevel="0" collapsed="false">
      <c r="A5236" s="1" t="n">
        <v>5350</v>
      </c>
      <c r="B5236" s="1" t="n">
        <v>295</v>
      </c>
      <c r="C5236" s="1" t="n">
        <v>20</v>
      </c>
      <c r="D5236" s="1" t="s">
        <v>1386</v>
      </c>
      <c r="E5236" s="1" t="n">
        <v>9</v>
      </c>
      <c r="F5236" s="1" t="n">
        <v>426.15</v>
      </c>
      <c r="G5236" s="1" t="n">
        <v>0.1</v>
      </c>
      <c r="H5236" s="1" t="s">
        <v>1336</v>
      </c>
      <c r="I5236" s="1" t="n">
        <v>3451.82</v>
      </c>
      <c r="J5236" s="1" t="str">
        <f aca="false">VLOOKUP(B5236,Customers!$A$2:$G$502,6,FALSE())</f>
        <v>Small Business</v>
      </c>
      <c r="K5236" s="1" t="str">
        <f aca="false">VLOOKUP(C5236,Products!$A$2:$E$62,3,FALSE())</f>
        <v>Office Supplies</v>
      </c>
      <c r="L5236" s="1" t="str">
        <f aca="false">TEXT(D5236,"yyyy-mm")</f>
        <v>2023-08</v>
      </c>
    </row>
    <row r="5237" customFormat="false" ht="15" hidden="false" customHeight="true" outlineLevel="0" collapsed="false">
      <c r="A5237" s="1" t="n">
        <v>5351</v>
      </c>
      <c r="B5237" s="1" t="n">
        <v>500</v>
      </c>
      <c r="C5237" s="1" t="n">
        <v>23</v>
      </c>
      <c r="D5237" s="1" t="s">
        <v>542</v>
      </c>
      <c r="E5237" s="1" t="n">
        <v>9</v>
      </c>
      <c r="F5237" s="1" t="n">
        <v>188.73</v>
      </c>
      <c r="G5237" s="1" t="n">
        <v>0.05</v>
      </c>
      <c r="H5237" s="1" t="s">
        <v>1370</v>
      </c>
      <c r="I5237" s="1" t="n">
        <v>1613.64</v>
      </c>
      <c r="J5237" s="1" t="str">
        <f aca="false">VLOOKUP(B5237,Customers!$A$2:$G$502,6,FALSE())</f>
        <v>Small Business</v>
      </c>
      <c r="K5237" s="1" t="str">
        <f aca="false">VLOOKUP(C5237,Products!$A$2:$E$62,3,FALSE())</f>
        <v>Office Supplies</v>
      </c>
      <c r="L5237" s="1" t="str">
        <f aca="false">TEXT(D5237,"yyyy-mm")</f>
        <v>2024-07</v>
      </c>
    </row>
    <row r="5238" customFormat="false" ht="15" hidden="false" customHeight="true" outlineLevel="0" collapsed="false">
      <c r="A5238" s="1" t="n">
        <v>5352</v>
      </c>
      <c r="B5238" s="1" t="n">
        <v>487</v>
      </c>
      <c r="C5238" s="1" t="n">
        <v>8</v>
      </c>
      <c r="D5238" s="1" t="s">
        <v>1404</v>
      </c>
      <c r="E5238" s="1" t="n">
        <v>7</v>
      </c>
      <c r="F5238" s="1" t="n">
        <v>104.4</v>
      </c>
      <c r="G5238" s="1" t="n">
        <v>0.2</v>
      </c>
      <c r="H5238" s="1" t="s">
        <v>1370</v>
      </c>
      <c r="I5238" s="1" t="n">
        <v>584.64</v>
      </c>
      <c r="J5238" s="1" t="str">
        <f aca="false">VLOOKUP(B5238,Customers!$A$2:$G$502,6,FALSE())</f>
        <v>Small Business</v>
      </c>
      <c r="K5238" s="1" t="str">
        <f aca="false">VLOOKUP(C5238,Products!$A$2:$E$62,3,FALSE())</f>
        <v>Electronics</v>
      </c>
      <c r="L5238" s="1" t="str">
        <f aca="false">TEXT(D5238,"yyyy-mm")</f>
        <v>2024-03</v>
      </c>
    </row>
    <row r="5239" customFormat="false" ht="15" hidden="false" customHeight="true" outlineLevel="0" collapsed="false">
      <c r="A5239" s="1" t="n">
        <v>5353</v>
      </c>
      <c r="B5239" s="1" t="n">
        <v>265</v>
      </c>
      <c r="C5239" s="1" t="n">
        <v>1</v>
      </c>
      <c r="D5239" s="1" t="s">
        <v>1463</v>
      </c>
      <c r="E5239" s="1" t="n">
        <v>7</v>
      </c>
      <c r="F5239" s="1" t="n">
        <v>327.32</v>
      </c>
      <c r="G5239" s="1" t="n">
        <v>0.2</v>
      </c>
      <c r="H5239" s="1" t="s">
        <v>1336</v>
      </c>
      <c r="I5239" s="1" t="n">
        <v>1832.99</v>
      </c>
      <c r="J5239" s="1" t="str">
        <f aca="false">VLOOKUP(B5239,Customers!$A$2:$G$502,6,FALSE())</f>
        <v>Corporate</v>
      </c>
      <c r="K5239" s="1" t="str">
        <f aca="false">VLOOKUP(C5239,Products!$A$2:$E$62,3,FALSE())</f>
        <v>Electronics</v>
      </c>
      <c r="L5239" s="1" t="str">
        <f aca="false">TEXT(D5239,"yyyy-mm")</f>
        <v>2024-09</v>
      </c>
    </row>
    <row r="5240" customFormat="false" ht="15" hidden="false" customHeight="true" outlineLevel="0" collapsed="false">
      <c r="A5240" s="1" t="n">
        <v>5354</v>
      </c>
      <c r="B5240" s="1" t="n">
        <v>39</v>
      </c>
      <c r="C5240" s="1" t="n">
        <v>60</v>
      </c>
      <c r="D5240" s="1" t="s">
        <v>671</v>
      </c>
      <c r="E5240" s="1" t="n">
        <v>3</v>
      </c>
      <c r="F5240" s="1" t="n">
        <v>584.98</v>
      </c>
      <c r="G5240" s="1" t="n">
        <v>0.2</v>
      </c>
      <c r="H5240" s="1" t="s">
        <v>1336</v>
      </c>
      <c r="I5240" s="1" t="n">
        <v>1403.95</v>
      </c>
      <c r="J5240" s="1" t="str">
        <f aca="false">VLOOKUP(B5240,Customers!$A$2:$G$502,6,FALSE())</f>
        <v>Corporate</v>
      </c>
      <c r="K5240" s="1" t="str">
        <f aca="false">VLOOKUP(C5240,Products!$A$2:$E$62,3,FALSE())</f>
        <v>Furniture</v>
      </c>
      <c r="L5240" s="1" t="str">
        <f aca="false">TEXT(D5240,"yyyy-mm")</f>
        <v>2024-04</v>
      </c>
    </row>
    <row r="5241" customFormat="false" ht="15" hidden="false" customHeight="true" outlineLevel="0" collapsed="false">
      <c r="A5241" s="1" t="n">
        <v>5355</v>
      </c>
      <c r="B5241" s="1" t="n">
        <v>396</v>
      </c>
      <c r="C5241" s="1" t="n">
        <v>52</v>
      </c>
      <c r="D5241" s="1" t="s">
        <v>1526</v>
      </c>
      <c r="E5241" s="1" t="n">
        <v>2</v>
      </c>
      <c r="F5241" s="1" t="n">
        <v>207.67</v>
      </c>
      <c r="G5241" s="1" t="n">
        <v>0.1</v>
      </c>
      <c r="H5241" s="1" t="s">
        <v>1336</v>
      </c>
      <c r="I5241" s="1" t="n">
        <v>373.81</v>
      </c>
      <c r="J5241" s="1" t="str">
        <f aca="false">VLOOKUP(B5241,Customers!$A$2:$G$502,6,FALSE())</f>
        <v>Small Business</v>
      </c>
      <c r="K5241" s="1" t="str">
        <f aca="false">VLOOKUP(C5241,Products!$A$2:$E$62,3,FALSE())</f>
        <v>Software</v>
      </c>
      <c r="L5241" s="1" t="str">
        <f aca="false">TEXT(D5241,"yyyy-mm")</f>
        <v>2023-09</v>
      </c>
    </row>
    <row r="5242" customFormat="false" ht="15" hidden="false" customHeight="true" outlineLevel="0" collapsed="false">
      <c r="A5242" s="1" t="n">
        <v>5356</v>
      </c>
      <c r="B5242" s="1" t="n">
        <v>455</v>
      </c>
      <c r="C5242" s="1" t="n">
        <v>48</v>
      </c>
      <c r="D5242" s="1" t="s">
        <v>1650</v>
      </c>
      <c r="E5242" s="1" t="n">
        <v>7</v>
      </c>
      <c r="F5242" s="1" t="n">
        <v>493.53</v>
      </c>
      <c r="G5242" s="1" t="n">
        <v>0.1</v>
      </c>
      <c r="H5242" s="1" t="s">
        <v>1336</v>
      </c>
      <c r="I5242" s="1" t="n">
        <v>3109.24</v>
      </c>
      <c r="J5242" s="1" t="str">
        <f aca="false">VLOOKUP(B5242,Customers!$A$2:$G$502,6,FALSE())</f>
        <v>Consumer</v>
      </c>
      <c r="K5242" s="1" t="str">
        <f aca="false">VLOOKUP(C5242,Products!$A$2:$E$62,3,FALSE())</f>
        <v>Software</v>
      </c>
      <c r="L5242" s="1" t="str">
        <f aca="false">TEXT(D5242,"yyyy-mm")</f>
        <v>2023-08</v>
      </c>
    </row>
    <row r="5243" customFormat="false" ht="15" hidden="false" customHeight="true" outlineLevel="0" collapsed="false">
      <c r="A5243" s="1" t="n">
        <v>5357</v>
      </c>
      <c r="B5243" s="1" t="n">
        <v>129</v>
      </c>
      <c r="C5243" s="1" t="n">
        <v>37</v>
      </c>
      <c r="D5243" s="1" t="s">
        <v>1539</v>
      </c>
      <c r="E5243" s="1" t="n">
        <v>9</v>
      </c>
      <c r="F5243" s="1" t="n">
        <v>13.95</v>
      </c>
      <c r="G5243" s="1" t="n">
        <v>0.05</v>
      </c>
      <c r="H5243" s="1" t="s">
        <v>1336</v>
      </c>
      <c r="I5243" s="1" t="n">
        <v>119.27</v>
      </c>
      <c r="J5243" s="1" t="str">
        <f aca="false">VLOOKUP(B5243,Customers!$A$2:$G$502,6,FALSE())</f>
        <v>Corporate</v>
      </c>
      <c r="K5243" s="1" t="str">
        <f aca="false">VLOOKUP(C5243,Products!$A$2:$E$62,3,FALSE())</f>
        <v>Software</v>
      </c>
      <c r="L5243" s="1" t="str">
        <f aca="false">TEXT(D5243,"yyyy-mm")</f>
        <v>2023-09</v>
      </c>
    </row>
    <row r="5244" customFormat="false" ht="15" hidden="false" customHeight="true" outlineLevel="0" collapsed="false">
      <c r="A5244" s="1" t="n">
        <v>5358</v>
      </c>
      <c r="B5244" s="1" t="n">
        <v>439</v>
      </c>
      <c r="C5244" s="1" t="n">
        <v>32</v>
      </c>
      <c r="D5244" s="1" t="s">
        <v>1573</v>
      </c>
      <c r="E5244" s="1" t="n">
        <v>1</v>
      </c>
      <c r="F5244" s="1" t="n">
        <v>492.27</v>
      </c>
      <c r="G5244" s="1" t="n">
        <v>0</v>
      </c>
      <c r="H5244" s="1" t="s">
        <v>1336</v>
      </c>
      <c r="I5244" s="1" t="n">
        <v>492.27</v>
      </c>
      <c r="J5244" s="1" t="str">
        <f aca="false">VLOOKUP(B5244,Customers!$A$2:$G$502,6,FALSE())</f>
        <v>Corporate</v>
      </c>
      <c r="K5244" s="1" t="str">
        <f aca="false">VLOOKUP(C5244,Products!$A$2:$E$62,3,FALSE())</f>
        <v>Office Supplies</v>
      </c>
      <c r="L5244" s="1" t="str">
        <f aca="false">TEXT(D5244,"yyyy-mm")</f>
        <v>2023-01</v>
      </c>
    </row>
    <row r="5245" customFormat="false" ht="15" hidden="false" customHeight="true" outlineLevel="0" collapsed="false">
      <c r="A5245" s="1" t="n">
        <v>5359</v>
      </c>
      <c r="B5245" s="1" t="n">
        <v>260</v>
      </c>
      <c r="C5245" s="1" t="n">
        <v>34</v>
      </c>
      <c r="D5245" s="1" t="s">
        <v>138</v>
      </c>
      <c r="E5245" s="1" t="n">
        <v>4</v>
      </c>
      <c r="F5245" s="1" t="n">
        <v>116.85</v>
      </c>
      <c r="G5245" s="1" t="n">
        <v>0.2</v>
      </c>
      <c r="H5245" s="1" t="s">
        <v>1336</v>
      </c>
      <c r="I5245" s="1" t="n">
        <v>373.92</v>
      </c>
      <c r="J5245" s="1" t="str">
        <f aca="false">VLOOKUP(B5245,Customers!$A$2:$G$502,6,FALSE())</f>
        <v>Corporate</v>
      </c>
      <c r="K5245" s="1" t="str">
        <f aca="false">VLOOKUP(C5245,Products!$A$2:$E$62,3,FALSE())</f>
        <v>Office Supplies</v>
      </c>
      <c r="L5245" s="1" t="str">
        <f aca="false">TEXT(D5245,"yyyy-mm")</f>
        <v>2023-05</v>
      </c>
    </row>
    <row r="5246" customFormat="false" ht="15" hidden="false" customHeight="true" outlineLevel="0" collapsed="false">
      <c r="A5246" s="1" t="n">
        <v>5360</v>
      </c>
      <c r="B5246" s="1" t="n">
        <v>399</v>
      </c>
      <c r="C5246" s="1" t="n">
        <v>33</v>
      </c>
      <c r="D5246" s="1" t="s">
        <v>1452</v>
      </c>
      <c r="E5246" s="1" t="n">
        <v>6</v>
      </c>
      <c r="F5246" s="1" t="n">
        <v>190.1</v>
      </c>
      <c r="G5246" s="1" t="n">
        <v>0.15</v>
      </c>
      <c r="H5246" s="1" t="s">
        <v>1336</v>
      </c>
      <c r="I5246" s="1" t="n">
        <v>969.51</v>
      </c>
      <c r="J5246" s="1" t="str">
        <f aca="false">VLOOKUP(B5246,Customers!$A$2:$G$502,6,FALSE())</f>
        <v>Corporate</v>
      </c>
      <c r="K5246" s="1" t="str">
        <f aca="false">VLOOKUP(C5246,Products!$A$2:$E$62,3,FALSE())</f>
        <v>Office Supplies</v>
      </c>
      <c r="L5246" s="1" t="str">
        <f aca="false">TEXT(D5246,"yyyy-mm")</f>
        <v>2023-01</v>
      </c>
    </row>
    <row r="5247" customFormat="false" ht="15" hidden="false" customHeight="true" outlineLevel="0" collapsed="false">
      <c r="A5247" s="1" t="n">
        <v>5361</v>
      </c>
      <c r="B5247" s="1" t="n">
        <v>165</v>
      </c>
      <c r="C5247" s="1" t="n">
        <v>4</v>
      </c>
      <c r="D5247" s="1" t="s">
        <v>1344</v>
      </c>
      <c r="E5247" s="1" t="n">
        <v>7</v>
      </c>
      <c r="F5247" s="1" t="n">
        <v>56.24</v>
      </c>
      <c r="G5247" s="1" t="n">
        <v>0.15</v>
      </c>
      <c r="H5247" s="1" t="s">
        <v>1346</v>
      </c>
      <c r="I5247" s="1" t="n">
        <v>334.63</v>
      </c>
      <c r="J5247" s="1" t="str">
        <f aca="false">VLOOKUP(B5247,Customers!$A$2:$G$502,6,FALSE())</f>
        <v>Consumer</v>
      </c>
      <c r="K5247" s="1" t="str">
        <f aca="false">VLOOKUP(C5247,Products!$A$2:$E$62,3,FALSE())</f>
        <v>Electronics</v>
      </c>
      <c r="L5247" s="1" t="str">
        <f aca="false">TEXT(D5247,"yyyy-mm")</f>
        <v>2023-05</v>
      </c>
    </row>
    <row r="5248" customFormat="false" ht="15" hidden="false" customHeight="true" outlineLevel="0" collapsed="false">
      <c r="A5248" s="1" t="n">
        <v>5362</v>
      </c>
      <c r="B5248" s="1" t="n">
        <v>392</v>
      </c>
      <c r="C5248" s="1" t="n">
        <v>11</v>
      </c>
      <c r="D5248" s="1" t="s">
        <v>1657</v>
      </c>
      <c r="E5248" s="1" t="n">
        <v>7</v>
      </c>
      <c r="F5248" s="1" t="n">
        <v>328.39</v>
      </c>
      <c r="G5248" s="1" t="n">
        <v>0.1</v>
      </c>
      <c r="H5248" s="1" t="s">
        <v>1336</v>
      </c>
      <c r="I5248" s="1" t="n">
        <v>2068.86</v>
      </c>
      <c r="J5248" s="1" t="str">
        <f aca="false">VLOOKUP(B5248,Customers!$A$2:$G$502,6,FALSE())</f>
        <v>Corporate</v>
      </c>
      <c r="K5248" s="1" t="str">
        <f aca="false">VLOOKUP(C5248,Products!$A$2:$E$62,3,FALSE())</f>
        <v>Electronics</v>
      </c>
      <c r="L5248" s="1" t="str">
        <f aca="false">TEXT(D5248,"yyyy-mm")</f>
        <v>2023-12</v>
      </c>
    </row>
    <row r="5249" customFormat="false" ht="15" hidden="false" customHeight="true" outlineLevel="0" collapsed="false">
      <c r="A5249" s="1" t="n">
        <v>5363</v>
      </c>
      <c r="B5249" s="1" t="n">
        <v>219</v>
      </c>
      <c r="C5249" s="1" t="n">
        <v>50</v>
      </c>
      <c r="D5249" s="1" t="s">
        <v>396</v>
      </c>
      <c r="E5249" s="1" t="n">
        <v>2</v>
      </c>
      <c r="F5249" s="1" t="n">
        <v>19.73</v>
      </c>
      <c r="G5249" s="1" t="n">
        <v>0</v>
      </c>
      <c r="H5249" s="1" t="s">
        <v>1336</v>
      </c>
      <c r="I5249" s="1" t="n">
        <v>39.46</v>
      </c>
      <c r="J5249" s="1" t="str">
        <f aca="false">VLOOKUP(B5249,Customers!$A$2:$G$502,6,FALSE())</f>
        <v>Small Business</v>
      </c>
      <c r="K5249" s="1" t="str">
        <f aca="false">VLOOKUP(C5249,Products!$A$2:$E$62,3,FALSE())</f>
        <v>Software</v>
      </c>
      <c r="L5249" s="1" t="str">
        <f aca="false">TEXT(D5249,"yyyy-mm")</f>
        <v>2023-10</v>
      </c>
    </row>
    <row r="5250" customFormat="false" ht="15" hidden="false" customHeight="true" outlineLevel="0" collapsed="false">
      <c r="A5250" s="1" t="n">
        <v>5364</v>
      </c>
      <c r="B5250" s="1" t="n">
        <v>18</v>
      </c>
      <c r="C5250" s="1" t="n">
        <v>29</v>
      </c>
      <c r="D5250" s="1" t="s">
        <v>503</v>
      </c>
      <c r="E5250" s="1" t="n">
        <v>4</v>
      </c>
      <c r="F5250" s="1" t="n">
        <v>54.62</v>
      </c>
      <c r="G5250" s="1" t="n">
        <v>0.05</v>
      </c>
      <c r="H5250" s="1" t="s">
        <v>1336</v>
      </c>
      <c r="I5250" s="1" t="n">
        <v>207.56</v>
      </c>
      <c r="J5250" s="1" t="str">
        <f aca="false">VLOOKUP(B5250,Customers!$A$2:$G$502,6,FALSE())</f>
        <v>Corporate</v>
      </c>
      <c r="K5250" s="1" t="str">
        <f aca="false">VLOOKUP(C5250,Products!$A$2:$E$62,3,FALSE())</f>
        <v>Office Supplies</v>
      </c>
      <c r="L5250" s="1" t="str">
        <f aca="false">TEXT(D5250,"yyyy-mm")</f>
        <v>2023-01</v>
      </c>
    </row>
    <row r="5251" customFormat="false" ht="15" hidden="false" customHeight="true" outlineLevel="0" collapsed="false">
      <c r="A5251" s="1" t="n">
        <v>5365</v>
      </c>
      <c r="B5251" s="1" t="n">
        <v>340</v>
      </c>
      <c r="C5251" s="1" t="n">
        <v>45</v>
      </c>
      <c r="D5251" s="1" t="s">
        <v>594</v>
      </c>
      <c r="E5251" s="1" t="n">
        <v>5</v>
      </c>
      <c r="F5251" s="1" t="n">
        <v>560.01</v>
      </c>
      <c r="G5251" s="1" t="n">
        <v>0</v>
      </c>
      <c r="H5251" s="1" t="s">
        <v>1336</v>
      </c>
      <c r="I5251" s="1" t="n">
        <v>2800.05</v>
      </c>
      <c r="J5251" s="1" t="str">
        <f aca="false">VLOOKUP(B5251,Customers!$A$2:$G$502,6,FALSE())</f>
        <v>Consumer</v>
      </c>
      <c r="K5251" s="1" t="str">
        <f aca="false">VLOOKUP(C5251,Products!$A$2:$E$62,3,FALSE())</f>
        <v>Software</v>
      </c>
      <c r="L5251" s="1" t="str">
        <f aca="false">TEXT(D5251,"yyyy-mm")</f>
        <v>2024-02</v>
      </c>
    </row>
    <row r="5252" customFormat="false" ht="15" hidden="false" customHeight="true" outlineLevel="0" collapsed="false">
      <c r="A5252" s="1" t="n">
        <v>5366</v>
      </c>
      <c r="B5252" s="1" t="n">
        <v>36</v>
      </c>
      <c r="C5252" s="1" t="n">
        <v>46</v>
      </c>
      <c r="D5252" s="1" t="s">
        <v>333</v>
      </c>
      <c r="E5252" s="1" t="n">
        <v>1</v>
      </c>
      <c r="F5252" s="1" t="n">
        <v>94.92</v>
      </c>
      <c r="G5252" s="1" t="n">
        <v>0.15</v>
      </c>
      <c r="H5252" s="1" t="s">
        <v>1336</v>
      </c>
      <c r="I5252" s="1" t="n">
        <v>80.68</v>
      </c>
      <c r="J5252" s="1" t="str">
        <f aca="false">VLOOKUP(B5252,Customers!$A$2:$G$502,6,FALSE())</f>
        <v>Consumer</v>
      </c>
      <c r="K5252" s="1" t="str">
        <f aca="false">VLOOKUP(C5252,Products!$A$2:$E$62,3,FALSE())</f>
        <v>Software</v>
      </c>
      <c r="L5252" s="1" t="str">
        <f aca="false">TEXT(D5252,"yyyy-mm")</f>
        <v>2024-03</v>
      </c>
    </row>
    <row r="5253" customFormat="false" ht="15" hidden="false" customHeight="true" outlineLevel="0" collapsed="false">
      <c r="A5253" s="1" t="n">
        <v>5367</v>
      </c>
      <c r="B5253" s="1" t="n">
        <v>381</v>
      </c>
      <c r="C5253" s="1" t="n">
        <v>15</v>
      </c>
      <c r="D5253" s="1" t="s">
        <v>413</v>
      </c>
      <c r="E5253" s="1" t="n">
        <v>1</v>
      </c>
      <c r="F5253" s="1" t="n">
        <v>304.95</v>
      </c>
      <c r="G5253" s="1" t="n">
        <v>0.1</v>
      </c>
      <c r="H5253" s="1" t="s">
        <v>1336</v>
      </c>
      <c r="I5253" s="1" t="n">
        <v>274.46</v>
      </c>
      <c r="J5253" s="1" t="str">
        <f aca="false">VLOOKUP(B5253,Customers!$A$2:$G$502,6,FALSE())</f>
        <v>Corporate</v>
      </c>
      <c r="K5253" s="1" t="str">
        <f aca="false">VLOOKUP(C5253,Products!$A$2:$E$62,3,FALSE())</f>
        <v>Electronics</v>
      </c>
      <c r="L5253" s="1" t="str">
        <f aca="false">TEXT(D5253,"yyyy-mm")</f>
        <v>2023-01</v>
      </c>
    </row>
    <row r="5254" customFormat="false" ht="15" hidden="false" customHeight="true" outlineLevel="0" collapsed="false">
      <c r="A5254" s="1" t="n">
        <v>5368</v>
      </c>
      <c r="B5254" s="1" t="n">
        <v>351</v>
      </c>
      <c r="C5254" s="1" t="n">
        <v>4</v>
      </c>
      <c r="D5254" s="1" t="s">
        <v>1671</v>
      </c>
      <c r="E5254" s="1" t="n">
        <v>3</v>
      </c>
      <c r="F5254" s="1" t="n">
        <v>56.24</v>
      </c>
      <c r="G5254" s="1" t="n">
        <v>0.05</v>
      </c>
      <c r="H5254" s="1" t="s">
        <v>1336</v>
      </c>
      <c r="I5254" s="1" t="n">
        <v>160.28</v>
      </c>
      <c r="J5254" s="1" t="str">
        <f aca="false">VLOOKUP(B5254,Customers!$A$2:$G$502,6,FALSE())</f>
        <v>Small Business</v>
      </c>
      <c r="K5254" s="1" t="str">
        <f aca="false">VLOOKUP(C5254,Products!$A$2:$E$62,3,FALSE())</f>
        <v>Electronics</v>
      </c>
      <c r="L5254" s="1" t="str">
        <f aca="false">TEXT(D5254,"yyyy-mm")</f>
        <v>2023-08</v>
      </c>
    </row>
    <row r="5255" customFormat="false" ht="15" hidden="false" customHeight="true" outlineLevel="0" collapsed="false">
      <c r="A5255" s="1" t="n">
        <v>5369</v>
      </c>
      <c r="B5255" s="1" t="n">
        <v>111</v>
      </c>
      <c r="C5255" s="1" t="n">
        <v>32</v>
      </c>
      <c r="D5255" s="1" t="s">
        <v>969</v>
      </c>
      <c r="E5255" s="1" t="n">
        <v>3</v>
      </c>
      <c r="F5255" s="1" t="n">
        <v>492.27</v>
      </c>
      <c r="G5255" s="1" t="n">
        <v>0.15</v>
      </c>
      <c r="H5255" s="1" t="s">
        <v>1336</v>
      </c>
      <c r="I5255" s="1" t="n">
        <v>1255.29</v>
      </c>
      <c r="J5255" s="1" t="str">
        <f aca="false">VLOOKUP(B5255,Customers!$A$2:$G$502,6,FALSE())</f>
        <v>Small Business</v>
      </c>
      <c r="K5255" s="1" t="str">
        <f aca="false">VLOOKUP(C5255,Products!$A$2:$E$62,3,FALSE())</f>
        <v>Office Supplies</v>
      </c>
      <c r="L5255" s="1" t="str">
        <f aca="false">TEXT(D5255,"yyyy-mm")</f>
        <v>2024-08</v>
      </c>
    </row>
    <row r="5256" customFormat="false" ht="15" hidden="false" customHeight="true" outlineLevel="0" collapsed="false">
      <c r="A5256" s="1" t="n">
        <v>5370</v>
      </c>
      <c r="B5256" s="1" t="n">
        <v>71</v>
      </c>
      <c r="C5256" s="1" t="n">
        <v>57</v>
      </c>
      <c r="D5256" s="1" t="s">
        <v>408</v>
      </c>
      <c r="E5256" s="1" t="n">
        <v>8</v>
      </c>
      <c r="F5256" s="1" t="n">
        <v>719.76</v>
      </c>
      <c r="G5256" s="1" t="n">
        <v>0</v>
      </c>
      <c r="H5256" s="1" t="s">
        <v>1336</v>
      </c>
      <c r="I5256" s="1" t="n">
        <v>5758.08</v>
      </c>
      <c r="J5256" s="1" t="str">
        <f aca="false">VLOOKUP(B5256,Customers!$A$2:$G$502,6,FALSE())</f>
        <v>Corporate</v>
      </c>
      <c r="K5256" s="1" t="str">
        <f aca="false">VLOOKUP(C5256,Products!$A$2:$E$62,3,FALSE())</f>
        <v>Furniture</v>
      </c>
      <c r="L5256" s="1" t="str">
        <f aca="false">TEXT(D5256,"yyyy-mm")</f>
        <v>2023-02</v>
      </c>
    </row>
    <row r="5257" customFormat="false" ht="15" hidden="false" customHeight="true" outlineLevel="0" collapsed="false">
      <c r="A5257" s="1" t="n">
        <v>5371</v>
      </c>
      <c r="B5257" s="1" t="n">
        <v>74</v>
      </c>
      <c r="C5257" s="1" t="n">
        <v>52</v>
      </c>
      <c r="D5257" s="1" t="s">
        <v>1517</v>
      </c>
      <c r="E5257" s="1" t="n">
        <v>9</v>
      </c>
      <c r="F5257" s="1" t="n">
        <v>207.67</v>
      </c>
      <c r="G5257" s="1" t="n">
        <v>0.05</v>
      </c>
      <c r="H5257" s="1" t="s">
        <v>1336</v>
      </c>
      <c r="I5257" s="1" t="n">
        <v>1775.58</v>
      </c>
      <c r="J5257" s="1" t="str">
        <f aca="false">VLOOKUP(B5257,Customers!$A$2:$G$502,6,FALSE())</f>
        <v>Consumer</v>
      </c>
      <c r="K5257" s="1" t="str">
        <f aca="false">VLOOKUP(C5257,Products!$A$2:$E$62,3,FALSE())</f>
        <v>Software</v>
      </c>
      <c r="L5257" s="1" t="str">
        <f aca="false">TEXT(D5257,"yyyy-mm")</f>
        <v>2023-04</v>
      </c>
    </row>
    <row r="5258" customFormat="false" ht="15" hidden="false" customHeight="true" outlineLevel="0" collapsed="false">
      <c r="A5258" s="1" t="n">
        <v>5372</v>
      </c>
      <c r="B5258" s="1" t="n">
        <v>153</v>
      </c>
      <c r="C5258" s="1" t="n">
        <v>28</v>
      </c>
      <c r="D5258" s="1" t="s">
        <v>1255</v>
      </c>
      <c r="E5258" s="1" t="n">
        <v>1</v>
      </c>
      <c r="F5258" s="1" t="n">
        <v>505.23</v>
      </c>
      <c r="G5258" s="1" t="n">
        <v>0</v>
      </c>
      <c r="H5258" s="1" t="s">
        <v>1346</v>
      </c>
      <c r="I5258" s="1" t="n">
        <v>505.23</v>
      </c>
      <c r="J5258" s="1" t="str">
        <f aca="false">VLOOKUP(B5258,Customers!$A$2:$G$502,6,FALSE())</f>
        <v>Corporate</v>
      </c>
      <c r="K5258" s="1" t="str">
        <f aca="false">VLOOKUP(C5258,Products!$A$2:$E$62,3,FALSE())</f>
        <v>Office Supplies</v>
      </c>
      <c r="L5258" s="1" t="str">
        <f aca="false">TEXT(D5258,"yyyy-mm")</f>
        <v>2024-07</v>
      </c>
    </row>
    <row r="5259" customFormat="false" ht="15" hidden="false" customHeight="true" outlineLevel="0" collapsed="false">
      <c r="A5259" s="1" t="n">
        <v>5373</v>
      </c>
      <c r="B5259" s="1" t="n">
        <v>165</v>
      </c>
      <c r="C5259" s="1" t="n">
        <v>4</v>
      </c>
      <c r="D5259" s="1" t="s">
        <v>1404</v>
      </c>
      <c r="E5259" s="1" t="n">
        <v>2</v>
      </c>
      <c r="F5259" s="1" t="n">
        <v>56.24</v>
      </c>
      <c r="G5259" s="1" t="n">
        <v>0</v>
      </c>
      <c r="H5259" s="1" t="s">
        <v>1336</v>
      </c>
      <c r="I5259" s="1" t="n">
        <v>112.48</v>
      </c>
      <c r="J5259" s="1" t="str">
        <f aca="false">VLOOKUP(B5259,Customers!$A$2:$G$502,6,FALSE())</f>
        <v>Consumer</v>
      </c>
      <c r="K5259" s="1" t="str">
        <f aca="false">VLOOKUP(C5259,Products!$A$2:$E$62,3,FALSE())</f>
        <v>Electronics</v>
      </c>
      <c r="L5259" s="1" t="str">
        <f aca="false">TEXT(D5259,"yyyy-mm")</f>
        <v>2024-03</v>
      </c>
    </row>
    <row r="5260" customFormat="false" ht="15" hidden="false" customHeight="true" outlineLevel="0" collapsed="false">
      <c r="A5260" s="1" t="n">
        <v>5374</v>
      </c>
      <c r="B5260" s="1" t="n">
        <v>457</v>
      </c>
      <c r="C5260" s="1" t="n">
        <v>15</v>
      </c>
      <c r="D5260" s="1" t="s">
        <v>1584</v>
      </c>
      <c r="E5260" s="1" t="n">
        <v>2</v>
      </c>
      <c r="F5260" s="1" t="n">
        <v>304.95</v>
      </c>
      <c r="G5260" s="1" t="n">
        <v>0.2</v>
      </c>
      <c r="H5260" s="1" t="s">
        <v>1346</v>
      </c>
      <c r="I5260" s="1" t="n">
        <v>487.92</v>
      </c>
      <c r="J5260" s="1" t="str">
        <f aca="false">VLOOKUP(B5260,Customers!$A$2:$G$502,6,FALSE())</f>
        <v>Small Business</v>
      </c>
      <c r="K5260" s="1" t="str">
        <f aca="false">VLOOKUP(C5260,Products!$A$2:$E$62,3,FALSE())</f>
        <v>Electronics</v>
      </c>
      <c r="L5260" s="1" t="str">
        <f aca="false">TEXT(D5260,"yyyy-mm")</f>
        <v>2024-01</v>
      </c>
    </row>
    <row r="5261" customFormat="false" ht="15" hidden="false" customHeight="true" outlineLevel="0" collapsed="false">
      <c r="A5261" s="1" t="n">
        <v>5375</v>
      </c>
      <c r="B5261" s="1" t="n">
        <v>417</v>
      </c>
      <c r="C5261" s="1" t="n">
        <v>29</v>
      </c>
      <c r="D5261" s="1" t="s">
        <v>1353</v>
      </c>
      <c r="E5261" s="1" t="n">
        <v>4</v>
      </c>
      <c r="F5261" s="1" t="n">
        <v>54.62</v>
      </c>
      <c r="G5261" s="1" t="n">
        <v>0.15</v>
      </c>
      <c r="H5261" s="1" t="s">
        <v>1336</v>
      </c>
      <c r="I5261" s="1" t="n">
        <v>185.71</v>
      </c>
      <c r="J5261" s="1" t="str">
        <f aca="false">VLOOKUP(B5261,Customers!$A$2:$G$502,6,FALSE())</f>
        <v>Consumer</v>
      </c>
      <c r="K5261" s="1" t="str">
        <f aca="false">VLOOKUP(C5261,Products!$A$2:$E$62,3,FALSE())</f>
        <v>Office Supplies</v>
      </c>
      <c r="L5261" s="1" t="str">
        <f aca="false">TEXT(D5261,"yyyy-mm")</f>
        <v>2023-06</v>
      </c>
    </row>
    <row r="5262" customFormat="false" ht="15" hidden="false" customHeight="true" outlineLevel="0" collapsed="false">
      <c r="A5262" s="1" t="n">
        <v>5377</v>
      </c>
      <c r="B5262" s="1" t="n">
        <v>276</v>
      </c>
      <c r="C5262" s="1" t="n">
        <v>7</v>
      </c>
      <c r="D5262" s="1" t="s">
        <v>870</v>
      </c>
      <c r="E5262" s="1" t="n">
        <v>7</v>
      </c>
      <c r="F5262" s="1" t="n">
        <v>460</v>
      </c>
      <c r="G5262" s="1" t="n">
        <v>0.1</v>
      </c>
      <c r="H5262" s="1" t="s">
        <v>1336</v>
      </c>
      <c r="I5262" s="1" t="n">
        <v>2898</v>
      </c>
      <c r="J5262" s="1" t="str">
        <f aca="false">VLOOKUP(B5262,Customers!$A$2:$G$502,6,FALSE())</f>
        <v>Corporate</v>
      </c>
      <c r="K5262" s="1" t="str">
        <f aca="false">VLOOKUP(C5262,Products!$A$2:$E$62,3,FALSE())</f>
        <v>Electronics</v>
      </c>
      <c r="L5262" s="1" t="str">
        <f aca="false">TEXT(D5262,"yyyy-mm")</f>
        <v>2024-08</v>
      </c>
    </row>
    <row r="5263" customFormat="false" ht="15" hidden="false" customHeight="true" outlineLevel="0" collapsed="false">
      <c r="A5263" s="1" t="n">
        <v>5378</v>
      </c>
      <c r="B5263" s="1" t="n">
        <v>410</v>
      </c>
      <c r="C5263" s="1" t="n">
        <v>60</v>
      </c>
      <c r="D5263" s="1" t="s">
        <v>1467</v>
      </c>
      <c r="E5263" s="1" t="n">
        <v>9</v>
      </c>
      <c r="F5263" s="1" t="n">
        <v>584.98</v>
      </c>
      <c r="G5263" s="1" t="n">
        <v>0</v>
      </c>
      <c r="H5263" s="1" t="s">
        <v>1336</v>
      </c>
      <c r="I5263" s="1" t="n">
        <v>5264.82</v>
      </c>
      <c r="J5263" s="1" t="str">
        <f aca="false">VLOOKUP(B5263,Customers!$A$2:$G$502,6,FALSE())</f>
        <v>Consumer</v>
      </c>
      <c r="K5263" s="1" t="str">
        <f aca="false">VLOOKUP(C5263,Products!$A$2:$E$62,3,FALSE())</f>
        <v>Furniture</v>
      </c>
      <c r="L5263" s="1" t="str">
        <f aca="false">TEXT(D5263,"yyyy-mm")</f>
        <v>2023-09</v>
      </c>
    </row>
    <row r="5264" customFormat="false" ht="15" hidden="false" customHeight="true" outlineLevel="0" collapsed="false">
      <c r="A5264" s="1" t="n">
        <v>5379</v>
      </c>
      <c r="B5264" s="1" t="n">
        <v>381</v>
      </c>
      <c r="C5264" s="1" t="n">
        <v>45</v>
      </c>
      <c r="D5264" s="1" t="s">
        <v>205</v>
      </c>
      <c r="E5264" s="1" t="n">
        <v>7</v>
      </c>
      <c r="F5264" s="1" t="n">
        <v>560.01</v>
      </c>
      <c r="G5264" s="1" t="n">
        <v>0.2</v>
      </c>
      <c r="H5264" s="1" t="s">
        <v>1336</v>
      </c>
      <c r="I5264" s="1" t="n">
        <v>3136.06</v>
      </c>
      <c r="J5264" s="1" t="str">
        <f aca="false">VLOOKUP(B5264,Customers!$A$2:$G$502,6,FALSE())</f>
        <v>Corporate</v>
      </c>
      <c r="K5264" s="1" t="str">
        <f aca="false">VLOOKUP(C5264,Products!$A$2:$E$62,3,FALSE())</f>
        <v>Software</v>
      </c>
      <c r="L5264" s="1" t="str">
        <f aca="false">TEXT(D5264,"yyyy-mm")</f>
        <v>2024-07</v>
      </c>
    </row>
    <row r="5265" customFormat="false" ht="15" hidden="false" customHeight="true" outlineLevel="0" collapsed="false">
      <c r="A5265" s="1" t="n">
        <v>5380</v>
      </c>
      <c r="B5265" s="1" t="n">
        <v>18</v>
      </c>
      <c r="C5265" s="1" t="n">
        <v>21</v>
      </c>
      <c r="D5265" s="1" t="s">
        <v>1577</v>
      </c>
      <c r="E5265" s="1" t="n">
        <v>6</v>
      </c>
      <c r="F5265" s="1" t="n">
        <v>84.91</v>
      </c>
      <c r="G5265" s="1" t="n">
        <v>0</v>
      </c>
      <c r="H5265" s="1" t="s">
        <v>1346</v>
      </c>
      <c r="I5265" s="1" t="n">
        <v>509.46</v>
      </c>
      <c r="J5265" s="1" t="str">
        <f aca="false">VLOOKUP(B5265,Customers!$A$2:$G$502,6,FALSE())</f>
        <v>Corporate</v>
      </c>
      <c r="K5265" s="1" t="str">
        <f aca="false">VLOOKUP(C5265,Products!$A$2:$E$62,3,FALSE())</f>
        <v>Office Supplies</v>
      </c>
      <c r="L5265" s="1" t="str">
        <f aca="false">TEXT(D5265,"yyyy-mm")</f>
        <v>2023-09</v>
      </c>
    </row>
    <row r="5266" customFormat="false" ht="15" hidden="false" customHeight="true" outlineLevel="0" collapsed="false">
      <c r="A5266" s="1" t="n">
        <v>5382</v>
      </c>
      <c r="B5266" s="1" t="n">
        <v>403</v>
      </c>
      <c r="C5266" s="1" t="n">
        <v>12</v>
      </c>
      <c r="D5266" s="1" t="s">
        <v>1440</v>
      </c>
      <c r="E5266" s="1" t="n">
        <v>9</v>
      </c>
      <c r="F5266" s="1" t="n">
        <v>179.23</v>
      </c>
      <c r="G5266" s="1" t="n">
        <v>0</v>
      </c>
      <c r="H5266" s="1" t="s">
        <v>1336</v>
      </c>
      <c r="I5266" s="1" t="n">
        <v>1613.07</v>
      </c>
      <c r="J5266" s="1" t="str">
        <f aca="false">VLOOKUP(B5266,Customers!$A$2:$G$502,6,FALSE())</f>
        <v>Consumer</v>
      </c>
      <c r="K5266" s="1" t="str">
        <f aca="false">VLOOKUP(C5266,Products!$A$2:$E$62,3,FALSE())</f>
        <v>Electronics</v>
      </c>
      <c r="L5266" s="1" t="str">
        <f aca="false">TEXT(D5266,"yyyy-mm")</f>
        <v>2023-02</v>
      </c>
    </row>
    <row r="5267" customFormat="false" ht="15" hidden="false" customHeight="true" outlineLevel="0" collapsed="false">
      <c r="A5267" s="1" t="n">
        <v>5383</v>
      </c>
      <c r="B5267" s="1" t="n">
        <v>306</v>
      </c>
      <c r="C5267" s="1" t="n">
        <v>44</v>
      </c>
      <c r="D5267" s="1" t="s">
        <v>94</v>
      </c>
      <c r="E5267" s="1" t="n">
        <v>5</v>
      </c>
      <c r="F5267" s="1" t="n">
        <v>508.26</v>
      </c>
      <c r="G5267" s="1" t="n">
        <v>0</v>
      </c>
      <c r="H5267" s="1" t="s">
        <v>1346</v>
      </c>
      <c r="I5267" s="1" t="n">
        <v>2541.3</v>
      </c>
      <c r="J5267" s="1" t="str">
        <f aca="false">VLOOKUP(B5267,Customers!$A$2:$G$502,6,FALSE())</f>
        <v>Small Business</v>
      </c>
      <c r="K5267" s="1" t="str">
        <f aca="false">VLOOKUP(C5267,Products!$A$2:$E$62,3,FALSE())</f>
        <v>Software</v>
      </c>
      <c r="L5267" s="1" t="str">
        <f aca="false">TEXT(D5267,"yyyy-mm")</f>
        <v>2023-09</v>
      </c>
    </row>
    <row r="5268" customFormat="false" ht="15" hidden="false" customHeight="true" outlineLevel="0" collapsed="false">
      <c r="A5268" s="1" t="n">
        <v>5384</v>
      </c>
      <c r="B5268" s="1" t="n">
        <v>322</v>
      </c>
      <c r="C5268" s="1" t="n">
        <v>6</v>
      </c>
      <c r="D5268" s="1" t="s">
        <v>1582</v>
      </c>
      <c r="E5268" s="1" t="n">
        <v>5</v>
      </c>
      <c r="F5268" s="1" t="n">
        <v>28.51</v>
      </c>
      <c r="G5268" s="1" t="n">
        <v>0.2</v>
      </c>
      <c r="H5268" s="1" t="s">
        <v>1336</v>
      </c>
      <c r="I5268" s="1" t="n">
        <v>114.04</v>
      </c>
      <c r="J5268" s="1" t="str">
        <f aca="false">VLOOKUP(B5268,Customers!$A$2:$G$502,6,FALSE())</f>
        <v>Consumer</v>
      </c>
      <c r="K5268" s="1" t="str">
        <f aca="false">VLOOKUP(C5268,Products!$A$2:$E$62,3,FALSE())</f>
        <v>Electronics</v>
      </c>
      <c r="L5268" s="1" t="str">
        <f aca="false">TEXT(D5268,"yyyy-mm")</f>
        <v>2023-11</v>
      </c>
    </row>
    <row r="5269" customFormat="false" ht="15" hidden="false" customHeight="true" outlineLevel="0" collapsed="false">
      <c r="A5269" s="1" t="n">
        <v>5385</v>
      </c>
      <c r="B5269" s="1" t="n">
        <v>246</v>
      </c>
      <c r="C5269" s="1" t="n">
        <v>2</v>
      </c>
      <c r="D5269" s="1" t="s">
        <v>1367</v>
      </c>
      <c r="E5269" s="1" t="n">
        <v>6</v>
      </c>
      <c r="F5269" s="1" t="n">
        <v>498.15</v>
      </c>
      <c r="G5269" s="1" t="n">
        <v>0</v>
      </c>
      <c r="H5269" s="1" t="s">
        <v>1336</v>
      </c>
      <c r="I5269" s="1" t="n">
        <v>2988.9</v>
      </c>
      <c r="J5269" s="1" t="str">
        <f aca="false">VLOOKUP(B5269,Customers!$A$2:$G$502,6,FALSE())</f>
        <v>Small Business</v>
      </c>
      <c r="K5269" s="1" t="str">
        <f aca="false">VLOOKUP(C5269,Products!$A$2:$E$62,3,FALSE())</f>
        <v>Electronics</v>
      </c>
      <c r="L5269" s="1" t="str">
        <f aca="false">TEXT(D5269,"yyyy-mm")</f>
        <v>2024-08</v>
      </c>
    </row>
    <row r="5270" customFormat="false" ht="15" hidden="false" customHeight="true" outlineLevel="0" collapsed="false">
      <c r="A5270" s="1" t="n">
        <v>5386</v>
      </c>
      <c r="B5270" s="1" t="n">
        <v>159</v>
      </c>
      <c r="C5270" s="1" t="n">
        <v>34</v>
      </c>
      <c r="D5270" s="1" t="s">
        <v>1259</v>
      </c>
      <c r="E5270" s="1" t="n">
        <v>9</v>
      </c>
      <c r="F5270" s="1" t="n">
        <v>116.85</v>
      </c>
      <c r="G5270" s="1" t="n">
        <v>0</v>
      </c>
      <c r="H5270" s="1" t="s">
        <v>1370</v>
      </c>
      <c r="I5270" s="1" t="n">
        <v>1051.65</v>
      </c>
      <c r="J5270" s="1" t="str">
        <f aca="false">VLOOKUP(B5270,Customers!$A$2:$G$502,6,FALSE())</f>
        <v>Corporate</v>
      </c>
      <c r="K5270" s="1" t="str">
        <f aca="false">VLOOKUP(C5270,Products!$A$2:$E$62,3,FALSE())</f>
        <v>Office Supplies</v>
      </c>
      <c r="L5270" s="1" t="str">
        <f aca="false">TEXT(D5270,"yyyy-mm")</f>
        <v>2023-09</v>
      </c>
    </row>
    <row r="5271" customFormat="false" ht="15" hidden="false" customHeight="true" outlineLevel="0" collapsed="false">
      <c r="A5271" s="1" t="n">
        <v>5387</v>
      </c>
      <c r="B5271" s="1" t="n">
        <v>150</v>
      </c>
      <c r="C5271" s="1" t="n">
        <v>46</v>
      </c>
      <c r="D5271" s="1" t="s">
        <v>1097</v>
      </c>
      <c r="E5271" s="1" t="n">
        <v>8</v>
      </c>
      <c r="F5271" s="1" t="n">
        <v>94.92</v>
      </c>
      <c r="G5271" s="1" t="n">
        <v>0</v>
      </c>
      <c r="H5271" s="1" t="s">
        <v>1336</v>
      </c>
      <c r="I5271" s="1" t="n">
        <v>759.36</v>
      </c>
      <c r="J5271" s="1" t="str">
        <f aca="false">VLOOKUP(B5271,Customers!$A$2:$G$502,6,FALSE())</f>
        <v>Corporate</v>
      </c>
      <c r="K5271" s="1" t="str">
        <f aca="false">VLOOKUP(C5271,Products!$A$2:$E$62,3,FALSE())</f>
        <v>Software</v>
      </c>
      <c r="L5271" s="1" t="str">
        <f aca="false">TEXT(D5271,"yyyy-mm")</f>
        <v>2024-02</v>
      </c>
    </row>
    <row r="5272" customFormat="false" ht="15" hidden="false" customHeight="true" outlineLevel="0" collapsed="false">
      <c r="A5272" s="1" t="n">
        <v>5388</v>
      </c>
      <c r="B5272" s="1" t="n">
        <v>109</v>
      </c>
      <c r="C5272" s="1" t="n">
        <v>19</v>
      </c>
      <c r="D5272" s="1" t="s">
        <v>1416</v>
      </c>
      <c r="E5272" s="1" t="n">
        <v>8</v>
      </c>
      <c r="F5272" s="1" t="n">
        <v>163.64</v>
      </c>
      <c r="G5272" s="1" t="n">
        <v>0.2</v>
      </c>
      <c r="H5272" s="1" t="s">
        <v>1336</v>
      </c>
      <c r="I5272" s="1" t="n">
        <v>1047.3</v>
      </c>
      <c r="J5272" s="1" t="str">
        <f aca="false">VLOOKUP(B5272,Customers!$A$2:$G$502,6,FALSE())</f>
        <v>Small Business</v>
      </c>
      <c r="K5272" s="1" t="str">
        <f aca="false">VLOOKUP(C5272,Products!$A$2:$E$62,3,FALSE())</f>
        <v>Office Supplies</v>
      </c>
      <c r="L5272" s="1" t="str">
        <f aca="false">TEXT(D5272,"yyyy-mm")</f>
        <v>2024-07</v>
      </c>
    </row>
    <row r="5273" customFormat="false" ht="15" hidden="false" customHeight="true" outlineLevel="0" collapsed="false">
      <c r="A5273" s="1" t="n">
        <v>5389</v>
      </c>
      <c r="B5273" s="1" t="n">
        <v>459</v>
      </c>
      <c r="C5273" s="1" t="n">
        <v>36</v>
      </c>
      <c r="D5273" s="1" t="s">
        <v>455</v>
      </c>
      <c r="E5273" s="1" t="n">
        <v>8</v>
      </c>
      <c r="F5273" s="1" t="n">
        <v>424.45</v>
      </c>
      <c r="G5273" s="1" t="n">
        <v>0.1</v>
      </c>
      <c r="H5273" s="1" t="s">
        <v>1336</v>
      </c>
      <c r="I5273" s="1" t="n">
        <v>3056.04</v>
      </c>
      <c r="J5273" s="1" t="str">
        <f aca="false">VLOOKUP(B5273,Customers!$A$2:$G$502,6,FALSE())</f>
        <v>Small Business</v>
      </c>
      <c r="K5273" s="1" t="str">
        <f aca="false">VLOOKUP(C5273,Products!$A$2:$E$62,3,FALSE())</f>
        <v>Software</v>
      </c>
      <c r="L5273" s="1" t="str">
        <f aca="false">TEXT(D5273,"yyyy-mm")</f>
        <v>2024-08</v>
      </c>
    </row>
    <row r="5274" customFormat="false" ht="15" hidden="false" customHeight="true" outlineLevel="0" collapsed="false">
      <c r="A5274" s="1" t="n">
        <v>5390</v>
      </c>
      <c r="B5274" s="1" t="n">
        <v>217</v>
      </c>
      <c r="C5274" s="1" t="n">
        <v>4</v>
      </c>
      <c r="D5274" s="1" t="s">
        <v>1453</v>
      </c>
      <c r="E5274" s="1" t="n">
        <v>1</v>
      </c>
      <c r="F5274" s="1" t="n">
        <v>56.24</v>
      </c>
      <c r="G5274" s="1" t="n">
        <v>0</v>
      </c>
      <c r="H5274" s="1" t="s">
        <v>1336</v>
      </c>
      <c r="I5274" s="1" t="n">
        <v>56.24</v>
      </c>
      <c r="J5274" s="1" t="str">
        <f aca="false">VLOOKUP(B5274,Customers!$A$2:$G$502,6,FALSE())</f>
        <v>Consumer</v>
      </c>
      <c r="K5274" s="1" t="str">
        <f aca="false">VLOOKUP(C5274,Products!$A$2:$E$62,3,FALSE())</f>
        <v>Electronics</v>
      </c>
      <c r="L5274" s="1" t="str">
        <f aca="false">TEXT(D5274,"yyyy-mm")</f>
        <v>2023-03</v>
      </c>
    </row>
    <row r="5275" customFormat="false" ht="15" hidden="false" customHeight="true" outlineLevel="0" collapsed="false">
      <c r="A5275" s="1" t="n">
        <v>5391</v>
      </c>
      <c r="B5275" s="1" t="n">
        <v>46</v>
      </c>
      <c r="C5275" s="1" t="n">
        <v>33</v>
      </c>
      <c r="D5275" s="1" t="s">
        <v>1615</v>
      </c>
      <c r="E5275" s="1" t="n">
        <v>1</v>
      </c>
      <c r="F5275" s="1" t="n">
        <v>190.1</v>
      </c>
      <c r="G5275" s="1" t="n">
        <v>0</v>
      </c>
      <c r="H5275" s="1" t="s">
        <v>1336</v>
      </c>
      <c r="I5275" s="1" t="n">
        <v>190.1</v>
      </c>
      <c r="J5275" s="1" t="str">
        <f aca="false">VLOOKUP(B5275,Customers!$A$2:$G$502,6,FALSE())</f>
        <v>Consumer</v>
      </c>
      <c r="K5275" s="1" t="str">
        <f aca="false">VLOOKUP(C5275,Products!$A$2:$E$62,3,FALSE())</f>
        <v>Office Supplies</v>
      </c>
      <c r="L5275" s="1" t="str">
        <f aca="false">TEXT(D5275,"yyyy-mm")</f>
        <v>2023-04</v>
      </c>
    </row>
    <row r="5276" customFormat="false" ht="15" hidden="false" customHeight="true" outlineLevel="0" collapsed="false">
      <c r="A5276" s="1" t="n">
        <v>5392</v>
      </c>
      <c r="B5276" s="1" t="n">
        <v>349</v>
      </c>
      <c r="C5276" s="1" t="n">
        <v>43</v>
      </c>
      <c r="D5276" s="1" t="s">
        <v>405</v>
      </c>
      <c r="E5276" s="1" t="n">
        <v>8</v>
      </c>
      <c r="F5276" s="1" t="n">
        <v>186.31</v>
      </c>
      <c r="G5276" s="1" t="n">
        <v>0</v>
      </c>
      <c r="H5276" s="1" t="s">
        <v>1336</v>
      </c>
      <c r="I5276" s="1" t="n">
        <v>1490.48</v>
      </c>
      <c r="J5276" s="1" t="str">
        <f aca="false">VLOOKUP(B5276,Customers!$A$2:$G$502,6,FALSE())</f>
        <v>Consumer</v>
      </c>
      <c r="K5276" s="1" t="str">
        <f aca="false">VLOOKUP(C5276,Products!$A$2:$E$62,3,FALSE())</f>
        <v>Software</v>
      </c>
      <c r="L5276" s="1" t="str">
        <f aca="false">TEXT(D5276,"yyyy-mm")</f>
        <v>2024-01</v>
      </c>
    </row>
    <row r="5277" customFormat="false" ht="15" hidden="false" customHeight="true" outlineLevel="0" collapsed="false">
      <c r="A5277" s="1" t="n">
        <v>5393</v>
      </c>
      <c r="B5277" s="1" t="n">
        <v>158</v>
      </c>
      <c r="C5277" s="1" t="n">
        <v>16</v>
      </c>
      <c r="D5277" s="1" t="s">
        <v>1188</v>
      </c>
      <c r="E5277" s="1" t="n">
        <v>5</v>
      </c>
      <c r="F5277" s="1" t="n">
        <v>330.91</v>
      </c>
      <c r="G5277" s="1" t="n">
        <v>0</v>
      </c>
      <c r="H5277" s="1" t="s">
        <v>1370</v>
      </c>
      <c r="I5277" s="1" t="n">
        <v>1654.55</v>
      </c>
      <c r="J5277" s="1" t="str">
        <f aca="false">VLOOKUP(B5277,Customers!$A$2:$G$502,6,FALSE())</f>
        <v>Small Business</v>
      </c>
      <c r="K5277" s="1" t="str">
        <f aca="false">VLOOKUP(C5277,Products!$A$2:$E$62,3,FALSE())</f>
        <v>Electronics</v>
      </c>
      <c r="L5277" s="1" t="str">
        <f aca="false">TEXT(D5277,"yyyy-mm")</f>
        <v>2023-04</v>
      </c>
    </row>
    <row r="5278" customFormat="false" ht="15" hidden="false" customHeight="true" outlineLevel="0" collapsed="false">
      <c r="A5278" s="1" t="n">
        <v>5394</v>
      </c>
      <c r="B5278" s="1" t="n">
        <v>398</v>
      </c>
      <c r="C5278" s="1" t="n">
        <v>32</v>
      </c>
      <c r="D5278" s="1" t="s">
        <v>1676</v>
      </c>
      <c r="E5278" s="1" t="n">
        <v>9</v>
      </c>
      <c r="F5278" s="1" t="n">
        <v>492.27</v>
      </c>
      <c r="G5278" s="1" t="n">
        <v>0</v>
      </c>
      <c r="H5278" s="1" t="s">
        <v>1336</v>
      </c>
      <c r="I5278" s="1" t="n">
        <v>4430.43</v>
      </c>
      <c r="J5278" s="1" t="str">
        <f aca="false">VLOOKUP(B5278,Customers!$A$2:$G$502,6,FALSE())</f>
        <v>Small Business</v>
      </c>
      <c r="K5278" s="1" t="str">
        <f aca="false">VLOOKUP(C5278,Products!$A$2:$E$62,3,FALSE())</f>
        <v>Office Supplies</v>
      </c>
      <c r="L5278" s="1" t="str">
        <f aca="false">TEXT(D5278,"yyyy-mm")</f>
        <v>2023-09</v>
      </c>
    </row>
    <row r="5279" customFormat="false" ht="15" hidden="false" customHeight="true" outlineLevel="0" collapsed="false">
      <c r="A5279" s="1" t="n">
        <v>5395</v>
      </c>
      <c r="B5279" s="1" t="n">
        <v>439</v>
      </c>
      <c r="C5279" s="1" t="n">
        <v>50</v>
      </c>
      <c r="D5279" s="1" t="s">
        <v>277</v>
      </c>
      <c r="E5279" s="1" t="n">
        <v>2</v>
      </c>
      <c r="F5279" s="1" t="n">
        <v>19.73</v>
      </c>
      <c r="G5279" s="1" t="n">
        <v>0.05</v>
      </c>
      <c r="H5279" s="1" t="s">
        <v>1336</v>
      </c>
      <c r="I5279" s="1" t="n">
        <v>37.49</v>
      </c>
      <c r="J5279" s="1" t="str">
        <f aca="false">VLOOKUP(B5279,Customers!$A$2:$G$502,6,FALSE())</f>
        <v>Corporate</v>
      </c>
      <c r="K5279" s="1" t="str">
        <f aca="false">VLOOKUP(C5279,Products!$A$2:$E$62,3,FALSE())</f>
        <v>Software</v>
      </c>
      <c r="L5279" s="1" t="str">
        <f aca="false">TEXT(D5279,"yyyy-mm")</f>
        <v>2024-11</v>
      </c>
    </row>
    <row r="5280" customFormat="false" ht="15" hidden="false" customHeight="true" outlineLevel="0" collapsed="false">
      <c r="A5280" s="1" t="n">
        <v>5396</v>
      </c>
      <c r="B5280" s="1" t="n">
        <v>21</v>
      </c>
      <c r="C5280" s="1" t="n">
        <v>45</v>
      </c>
      <c r="D5280" s="1" t="s">
        <v>1537</v>
      </c>
      <c r="E5280" s="1" t="n">
        <v>9</v>
      </c>
      <c r="F5280" s="1" t="n">
        <v>560.01</v>
      </c>
      <c r="G5280" s="1" t="n">
        <v>0.2</v>
      </c>
      <c r="H5280" s="1" t="s">
        <v>1336</v>
      </c>
      <c r="I5280" s="1" t="n">
        <v>4032.07</v>
      </c>
      <c r="J5280" s="1" t="str">
        <f aca="false">VLOOKUP(B5280,Customers!$A$2:$G$502,6,FALSE())</f>
        <v>Corporate</v>
      </c>
      <c r="K5280" s="1" t="str">
        <f aca="false">VLOOKUP(C5280,Products!$A$2:$E$62,3,FALSE())</f>
        <v>Software</v>
      </c>
      <c r="L5280" s="1" t="str">
        <f aca="false">TEXT(D5280,"yyyy-mm")</f>
        <v>2023-08</v>
      </c>
    </row>
    <row r="5281" customFormat="false" ht="15" hidden="false" customHeight="true" outlineLevel="0" collapsed="false">
      <c r="A5281" s="1" t="n">
        <v>5397</v>
      </c>
      <c r="B5281" s="1" t="n">
        <v>242</v>
      </c>
      <c r="C5281" s="1" t="n">
        <v>4</v>
      </c>
      <c r="D5281" s="1" t="s">
        <v>148</v>
      </c>
      <c r="E5281" s="1" t="n">
        <v>8</v>
      </c>
      <c r="F5281" s="1" t="n">
        <v>56.24</v>
      </c>
      <c r="G5281" s="1" t="n">
        <v>0</v>
      </c>
      <c r="H5281" s="1" t="s">
        <v>1336</v>
      </c>
      <c r="I5281" s="1" t="n">
        <v>449.92</v>
      </c>
      <c r="J5281" s="1" t="str">
        <f aca="false">VLOOKUP(B5281,Customers!$A$2:$G$502,6,FALSE())</f>
        <v>Corporate</v>
      </c>
      <c r="K5281" s="1" t="str">
        <f aca="false">VLOOKUP(C5281,Products!$A$2:$E$62,3,FALSE())</f>
        <v>Electronics</v>
      </c>
      <c r="L5281" s="1" t="str">
        <f aca="false">TEXT(D5281,"yyyy-mm")</f>
        <v>2023-06</v>
      </c>
    </row>
    <row r="5282" customFormat="false" ht="15" hidden="false" customHeight="true" outlineLevel="0" collapsed="false">
      <c r="A5282" s="1" t="n">
        <v>5398</v>
      </c>
      <c r="B5282" s="1" t="n">
        <v>150</v>
      </c>
      <c r="C5282" s="1" t="n">
        <v>18</v>
      </c>
      <c r="D5282" s="1" t="s">
        <v>729</v>
      </c>
      <c r="E5282" s="1" t="n">
        <v>9</v>
      </c>
      <c r="F5282" s="1" t="n">
        <v>747.34</v>
      </c>
      <c r="G5282" s="1" t="n">
        <v>0.1</v>
      </c>
      <c r="H5282" s="1" t="s">
        <v>1336</v>
      </c>
      <c r="I5282" s="1" t="n">
        <v>6053.45</v>
      </c>
      <c r="J5282" s="1" t="str">
        <f aca="false">VLOOKUP(B5282,Customers!$A$2:$G$502,6,FALSE())</f>
        <v>Corporate</v>
      </c>
      <c r="K5282" s="1" t="str">
        <f aca="false">VLOOKUP(C5282,Products!$A$2:$E$62,3,FALSE())</f>
        <v>Electronics</v>
      </c>
      <c r="L5282" s="1" t="str">
        <f aca="false">TEXT(D5282,"yyyy-mm")</f>
        <v>2024-01</v>
      </c>
    </row>
    <row r="5283" customFormat="false" ht="15" hidden="false" customHeight="true" outlineLevel="0" collapsed="false">
      <c r="A5283" s="1" t="n">
        <v>5399</v>
      </c>
      <c r="B5283" s="1" t="n">
        <v>463</v>
      </c>
      <c r="C5283" s="1" t="n">
        <v>49</v>
      </c>
      <c r="D5283" s="1" t="s">
        <v>1562</v>
      </c>
      <c r="E5283" s="1" t="n">
        <v>4</v>
      </c>
      <c r="F5283" s="1" t="n">
        <v>325.17</v>
      </c>
      <c r="G5283" s="1" t="n">
        <v>0</v>
      </c>
      <c r="H5283" s="1" t="s">
        <v>1336</v>
      </c>
      <c r="I5283" s="1" t="n">
        <v>1300.68</v>
      </c>
      <c r="J5283" s="1" t="str">
        <f aca="false">VLOOKUP(B5283,Customers!$A$2:$G$502,6,FALSE())</f>
        <v>Consumer</v>
      </c>
      <c r="K5283" s="1" t="str">
        <f aca="false">VLOOKUP(C5283,Products!$A$2:$E$62,3,FALSE())</f>
        <v>Software</v>
      </c>
      <c r="L5283" s="1" t="str">
        <f aca="false">TEXT(D5283,"yyyy-mm")</f>
        <v>2023-07</v>
      </c>
    </row>
    <row r="5284" customFormat="false" ht="15" hidden="false" customHeight="true" outlineLevel="0" collapsed="false">
      <c r="A5284" s="1" t="n">
        <v>5400</v>
      </c>
      <c r="B5284" s="1" t="n">
        <v>261</v>
      </c>
      <c r="C5284" s="1" t="n">
        <v>58</v>
      </c>
      <c r="D5284" s="1" t="s">
        <v>986</v>
      </c>
      <c r="E5284" s="1" t="n">
        <v>1</v>
      </c>
      <c r="F5284" s="1" t="n">
        <v>515.55</v>
      </c>
      <c r="G5284" s="1" t="n">
        <v>0.2</v>
      </c>
      <c r="H5284" s="1" t="s">
        <v>1336</v>
      </c>
      <c r="I5284" s="1" t="n">
        <v>412.44</v>
      </c>
      <c r="J5284" s="1" t="str">
        <f aca="false">VLOOKUP(B5284,Customers!$A$2:$G$502,6,FALSE())</f>
        <v>Consumer</v>
      </c>
      <c r="K5284" s="1" t="str">
        <f aca="false">VLOOKUP(C5284,Products!$A$2:$E$62,3,FALSE())</f>
        <v>Furniture</v>
      </c>
      <c r="L5284" s="1" t="str">
        <f aca="false">TEXT(D5284,"yyyy-mm")</f>
        <v>2023-03</v>
      </c>
    </row>
    <row r="5285" customFormat="false" ht="15" hidden="false" customHeight="true" outlineLevel="0" collapsed="false">
      <c r="A5285" s="1" t="n">
        <v>5401</v>
      </c>
      <c r="B5285" s="1" t="n">
        <v>66</v>
      </c>
      <c r="C5285" s="1" t="n">
        <v>18</v>
      </c>
      <c r="D5285" s="1" t="s">
        <v>1455</v>
      </c>
      <c r="E5285" s="1" t="n">
        <v>1</v>
      </c>
      <c r="F5285" s="1" t="n">
        <v>747.34</v>
      </c>
      <c r="G5285" s="1" t="n">
        <v>0.15</v>
      </c>
      <c r="H5285" s="1" t="s">
        <v>1336</v>
      </c>
      <c r="I5285" s="1" t="n">
        <v>635.24</v>
      </c>
      <c r="J5285" s="1" t="str">
        <f aca="false">VLOOKUP(B5285,Customers!$A$2:$G$502,6,FALSE())</f>
        <v>Corporate</v>
      </c>
      <c r="K5285" s="1" t="str">
        <f aca="false">VLOOKUP(C5285,Products!$A$2:$E$62,3,FALSE())</f>
        <v>Electronics</v>
      </c>
      <c r="L5285" s="1" t="str">
        <f aca="false">TEXT(D5285,"yyyy-mm")</f>
        <v>2024-11</v>
      </c>
    </row>
    <row r="5286" customFormat="false" ht="15" hidden="false" customHeight="true" outlineLevel="0" collapsed="false">
      <c r="A5286" s="1" t="n">
        <v>5402</v>
      </c>
      <c r="B5286" s="1" t="n">
        <v>81</v>
      </c>
      <c r="C5286" s="1" t="n">
        <v>50</v>
      </c>
      <c r="D5286" s="1" t="s">
        <v>1205</v>
      </c>
      <c r="E5286" s="1" t="n">
        <v>5</v>
      </c>
      <c r="F5286" s="1" t="n">
        <v>19.73</v>
      </c>
      <c r="G5286" s="1" t="n">
        <v>0.05</v>
      </c>
      <c r="H5286" s="1" t="s">
        <v>1336</v>
      </c>
      <c r="I5286" s="1" t="n">
        <v>93.72</v>
      </c>
      <c r="J5286" s="1" t="str">
        <f aca="false">VLOOKUP(B5286,Customers!$A$2:$G$502,6,FALSE())</f>
        <v>Consumer</v>
      </c>
      <c r="K5286" s="1" t="str">
        <f aca="false">VLOOKUP(C5286,Products!$A$2:$E$62,3,FALSE())</f>
        <v>Software</v>
      </c>
      <c r="L5286" s="1" t="str">
        <f aca="false">TEXT(D5286,"yyyy-mm")</f>
        <v>2024-08</v>
      </c>
    </row>
    <row r="5287" customFormat="false" ht="15" hidden="false" customHeight="true" outlineLevel="0" collapsed="false">
      <c r="A5287" s="1" t="n">
        <v>5403</v>
      </c>
      <c r="B5287" s="1" t="n">
        <v>137</v>
      </c>
      <c r="C5287" s="1" t="n">
        <v>59</v>
      </c>
      <c r="D5287" s="1" t="s">
        <v>761</v>
      </c>
      <c r="E5287" s="1" t="n">
        <v>2</v>
      </c>
      <c r="F5287" s="1" t="n">
        <v>438.89</v>
      </c>
      <c r="G5287" s="1" t="n">
        <v>0.1</v>
      </c>
      <c r="H5287" s="1" t="s">
        <v>1346</v>
      </c>
      <c r="I5287" s="1" t="n">
        <v>790</v>
      </c>
      <c r="J5287" s="1" t="str">
        <f aca="false">VLOOKUP(B5287,Customers!$A$2:$G$502,6,FALSE())</f>
        <v>Consumer</v>
      </c>
      <c r="K5287" s="1" t="str">
        <f aca="false">VLOOKUP(C5287,Products!$A$2:$E$62,3,FALSE())</f>
        <v>Furniture</v>
      </c>
      <c r="L5287" s="1" t="str">
        <f aca="false">TEXT(D5287,"yyyy-mm")</f>
        <v>2023-11</v>
      </c>
    </row>
    <row r="5288" customFormat="false" ht="15" hidden="false" customHeight="true" outlineLevel="0" collapsed="false">
      <c r="A5288" s="1" t="n">
        <v>5404</v>
      </c>
      <c r="B5288" s="1" t="n">
        <v>295</v>
      </c>
      <c r="C5288" s="1" t="n">
        <v>43</v>
      </c>
      <c r="D5288" s="1" t="s">
        <v>1520</v>
      </c>
      <c r="E5288" s="1" t="n">
        <v>8</v>
      </c>
      <c r="F5288" s="1" t="n">
        <v>186.31</v>
      </c>
      <c r="G5288" s="1" t="n">
        <v>0.05</v>
      </c>
      <c r="H5288" s="1" t="s">
        <v>1336</v>
      </c>
      <c r="I5288" s="1" t="n">
        <v>1415.96</v>
      </c>
      <c r="J5288" s="1" t="str">
        <f aca="false">VLOOKUP(B5288,Customers!$A$2:$G$502,6,FALSE())</f>
        <v>Small Business</v>
      </c>
      <c r="K5288" s="1" t="str">
        <f aca="false">VLOOKUP(C5288,Products!$A$2:$E$62,3,FALSE())</f>
        <v>Software</v>
      </c>
      <c r="L5288" s="1" t="str">
        <f aca="false">TEXT(D5288,"yyyy-mm")</f>
        <v>2023-11</v>
      </c>
    </row>
    <row r="5289" customFormat="false" ht="15" hidden="false" customHeight="true" outlineLevel="0" collapsed="false">
      <c r="A5289" s="1" t="n">
        <v>5405</v>
      </c>
      <c r="B5289" s="1" t="n">
        <v>121</v>
      </c>
      <c r="C5289" s="1" t="n">
        <v>57</v>
      </c>
      <c r="D5289" s="1" t="s">
        <v>446</v>
      </c>
      <c r="E5289" s="1" t="n">
        <v>5</v>
      </c>
      <c r="F5289" s="1" t="n">
        <v>719.76</v>
      </c>
      <c r="G5289" s="1" t="n">
        <v>0</v>
      </c>
      <c r="H5289" s="1" t="s">
        <v>1336</v>
      </c>
      <c r="I5289" s="1" t="n">
        <v>3598.8</v>
      </c>
      <c r="J5289" s="1" t="str">
        <f aca="false">VLOOKUP(B5289,Customers!$A$2:$G$502,6,FALSE())</f>
        <v>Consumer</v>
      </c>
      <c r="K5289" s="1" t="str">
        <f aca="false">VLOOKUP(C5289,Products!$A$2:$E$62,3,FALSE())</f>
        <v>Furniture</v>
      </c>
      <c r="L5289" s="1" t="str">
        <f aca="false">TEXT(D5289,"yyyy-mm")</f>
        <v>2024-08</v>
      </c>
    </row>
    <row r="5290" customFormat="false" ht="15" hidden="false" customHeight="true" outlineLevel="0" collapsed="false">
      <c r="A5290" s="1" t="n">
        <v>5406</v>
      </c>
      <c r="B5290" s="1" t="n">
        <v>254</v>
      </c>
      <c r="C5290" s="1" t="n">
        <v>36</v>
      </c>
      <c r="D5290" s="1" t="s">
        <v>1376</v>
      </c>
      <c r="E5290" s="1" t="n">
        <v>5</v>
      </c>
      <c r="F5290" s="1" t="n">
        <v>424.45</v>
      </c>
      <c r="G5290" s="1" t="n">
        <v>0.15</v>
      </c>
      <c r="H5290" s="1" t="s">
        <v>1370</v>
      </c>
      <c r="I5290" s="1" t="n">
        <v>1803.91</v>
      </c>
      <c r="J5290" s="1" t="str">
        <f aca="false">VLOOKUP(B5290,Customers!$A$2:$G$502,6,FALSE())</f>
        <v>Small Business</v>
      </c>
      <c r="K5290" s="1" t="str">
        <f aca="false">VLOOKUP(C5290,Products!$A$2:$E$62,3,FALSE())</f>
        <v>Software</v>
      </c>
      <c r="L5290" s="1" t="str">
        <f aca="false">TEXT(D5290,"yyyy-mm")</f>
        <v>2023-01</v>
      </c>
    </row>
    <row r="5291" customFormat="false" ht="15" hidden="false" customHeight="true" outlineLevel="0" collapsed="false">
      <c r="A5291" s="1" t="n">
        <v>5407</v>
      </c>
      <c r="B5291" s="1" t="n">
        <v>345</v>
      </c>
      <c r="C5291" s="1" t="n">
        <v>52</v>
      </c>
      <c r="D5291" s="1" t="s">
        <v>1663</v>
      </c>
      <c r="E5291" s="1" t="n">
        <v>2</v>
      </c>
      <c r="F5291" s="1" t="n">
        <v>207.67</v>
      </c>
      <c r="G5291" s="1" t="n">
        <v>0.05</v>
      </c>
      <c r="H5291" s="1" t="s">
        <v>1336</v>
      </c>
      <c r="I5291" s="1" t="n">
        <v>394.57</v>
      </c>
      <c r="J5291" s="1" t="str">
        <f aca="false">VLOOKUP(B5291,Customers!$A$2:$G$502,6,FALSE())</f>
        <v>Corporate</v>
      </c>
      <c r="K5291" s="1" t="str">
        <f aca="false">VLOOKUP(C5291,Products!$A$2:$E$62,3,FALSE())</f>
        <v>Software</v>
      </c>
      <c r="L5291" s="1" t="str">
        <f aca="false">TEXT(D5291,"yyyy-mm")</f>
        <v>2024-05</v>
      </c>
    </row>
    <row r="5292" customFormat="false" ht="15" hidden="false" customHeight="true" outlineLevel="0" collapsed="false">
      <c r="A5292" s="1" t="n">
        <v>5408</v>
      </c>
      <c r="B5292" s="1" t="n">
        <v>272</v>
      </c>
      <c r="C5292" s="1" t="n">
        <v>3</v>
      </c>
      <c r="D5292" s="1" t="s">
        <v>393</v>
      </c>
      <c r="E5292" s="1" t="n">
        <v>7</v>
      </c>
      <c r="F5292" s="1" t="n">
        <v>89.39</v>
      </c>
      <c r="G5292" s="1" t="n">
        <v>0</v>
      </c>
      <c r="H5292" s="1" t="s">
        <v>1336</v>
      </c>
      <c r="I5292" s="1" t="n">
        <v>625.73</v>
      </c>
      <c r="J5292" s="1" t="str">
        <f aca="false">VLOOKUP(B5292,Customers!$A$2:$G$502,6,FALSE())</f>
        <v>Consumer</v>
      </c>
      <c r="K5292" s="1" t="str">
        <f aca="false">VLOOKUP(C5292,Products!$A$2:$E$62,3,FALSE())</f>
        <v>Electronics</v>
      </c>
      <c r="L5292" s="1" t="str">
        <f aca="false">TEXT(D5292,"yyyy-mm")</f>
        <v>2023-11</v>
      </c>
    </row>
    <row r="5293" customFormat="false" ht="15" hidden="false" customHeight="true" outlineLevel="0" collapsed="false">
      <c r="A5293" s="1" t="n">
        <v>5409</v>
      </c>
      <c r="B5293" s="1" t="n">
        <v>276</v>
      </c>
      <c r="C5293" s="1" t="n">
        <v>30</v>
      </c>
      <c r="D5293" s="1" t="s">
        <v>1688</v>
      </c>
      <c r="E5293" s="1" t="n">
        <v>8</v>
      </c>
      <c r="F5293" s="1" t="n">
        <v>33.32</v>
      </c>
      <c r="G5293" s="1" t="n">
        <v>0.05</v>
      </c>
      <c r="H5293" s="1" t="s">
        <v>1336</v>
      </c>
      <c r="I5293" s="1" t="n">
        <v>253.23</v>
      </c>
      <c r="J5293" s="1" t="str">
        <f aca="false">VLOOKUP(B5293,Customers!$A$2:$G$502,6,FALSE())</f>
        <v>Corporate</v>
      </c>
      <c r="K5293" s="1" t="str">
        <f aca="false">VLOOKUP(C5293,Products!$A$2:$E$62,3,FALSE())</f>
        <v>Office Supplies</v>
      </c>
      <c r="L5293" s="1" t="str">
        <f aca="false">TEXT(D5293,"yyyy-mm")</f>
        <v>2023-05</v>
      </c>
    </row>
    <row r="5294" customFormat="false" ht="15" hidden="false" customHeight="true" outlineLevel="0" collapsed="false">
      <c r="A5294" s="1" t="n">
        <v>5410</v>
      </c>
      <c r="B5294" s="1" t="n">
        <v>414</v>
      </c>
      <c r="C5294" s="1" t="n">
        <v>30</v>
      </c>
      <c r="D5294" s="1" t="s">
        <v>1495</v>
      </c>
      <c r="E5294" s="1" t="n">
        <v>1</v>
      </c>
      <c r="F5294" s="1" t="n">
        <v>33.32</v>
      </c>
      <c r="G5294" s="1" t="n">
        <v>0.05</v>
      </c>
      <c r="H5294" s="1" t="s">
        <v>1336</v>
      </c>
      <c r="I5294" s="1" t="n">
        <v>31.65</v>
      </c>
      <c r="J5294" s="1" t="str">
        <f aca="false">VLOOKUP(B5294,Customers!$A$2:$G$502,6,FALSE())</f>
        <v>Consumer</v>
      </c>
      <c r="K5294" s="1" t="str">
        <f aca="false">VLOOKUP(C5294,Products!$A$2:$E$62,3,FALSE())</f>
        <v>Office Supplies</v>
      </c>
      <c r="L5294" s="1" t="str">
        <f aca="false">TEXT(D5294,"yyyy-mm")</f>
        <v>2024-03</v>
      </c>
    </row>
    <row r="5295" customFormat="false" ht="15" hidden="false" customHeight="true" outlineLevel="0" collapsed="false">
      <c r="A5295" s="1" t="n">
        <v>5411</v>
      </c>
      <c r="B5295" s="1" t="n">
        <v>302</v>
      </c>
      <c r="C5295" s="1" t="n">
        <v>8</v>
      </c>
      <c r="D5295" s="1" t="s">
        <v>1529</v>
      </c>
      <c r="E5295" s="1" t="n">
        <v>2</v>
      </c>
      <c r="F5295" s="1" t="n">
        <v>104.4</v>
      </c>
      <c r="G5295" s="1" t="n">
        <v>0</v>
      </c>
      <c r="H5295" s="1" t="s">
        <v>1346</v>
      </c>
      <c r="I5295" s="1" t="n">
        <v>208.8</v>
      </c>
      <c r="J5295" s="1" t="str">
        <f aca="false">VLOOKUP(B5295,Customers!$A$2:$G$502,6,FALSE())</f>
        <v>Corporate</v>
      </c>
      <c r="K5295" s="1" t="str">
        <f aca="false">VLOOKUP(C5295,Products!$A$2:$E$62,3,FALSE())</f>
        <v>Electronics</v>
      </c>
      <c r="L5295" s="1" t="str">
        <f aca="false">TEXT(D5295,"yyyy-mm")</f>
        <v>2024-09</v>
      </c>
    </row>
    <row r="5296" customFormat="false" ht="15" hidden="false" customHeight="true" outlineLevel="0" collapsed="false">
      <c r="A5296" s="1" t="n">
        <v>5412</v>
      </c>
      <c r="B5296" s="1" t="n">
        <v>296</v>
      </c>
      <c r="C5296" s="1" t="n">
        <v>43</v>
      </c>
      <c r="D5296" s="1" t="s">
        <v>1483</v>
      </c>
      <c r="E5296" s="1" t="n">
        <v>4</v>
      </c>
      <c r="F5296" s="1" t="n">
        <v>186.31</v>
      </c>
      <c r="G5296" s="1" t="n">
        <v>0.1</v>
      </c>
      <c r="H5296" s="1" t="s">
        <v>1336</v>
      </c>
      <c r="I5296" s="1" t="n">
        <v>670.72</v>
      </c>
      <c r="J5296" s="1" t="str">
        <f aca="false">VLOOKUP(B5296,Customers!$A$2:$G$502,6,FALSE())</f>
        <v>Corporate</v>
      </c>
      <c r="K5296" s="1" t="str">
        <f aca="false">VLOOKUP(C5296,Products!$A$2:$E$62,3,FALSE())</f>
        <v>Software</v>
      </c>
      <c r="L5296" s="1" t="str">
        <f aca="false">TEXT(D5296,"yyyy-mm")</f>
        <v>2024-10</v>
      </c>
    </row>
    <row r="5297" customFormat="false" ht="15" hidden="false" customHeight="true" outlineLevel="0" collapsed="false">
      <c r="A5297" s="1" t="n">
        <v>5413</v>
      </c>
      <c r="B5297" s="1" t="n">
        <v>476</v>
      </c>
      <c r="C5297" s="1" t="n">
        <v>55</v>
      </c>
      <c r="D5297" s="1" t="s">
        <v>1573</v>
      </c>
      <c r="E5297" s="1" t="n">
        <v>5</v>
      </c>
      <c r="F5297" s="1" t="n">
        <v>123.38</v>
      </c>
      <c r="G5297" s="1" t="n">
        <v>0.1</v>
      </c>
      <c r="H5297" s="1" t="s">
        <v>1336</v>
      </c>
      <c r="I5297" s="1" t="n">
        <v>555.21</v>
      </c>
      <c r="J5297" s="1" t="str">
        <f aca="false">VLOOKUP(B5297,Customers!$A$2:$G$502,6,FALSE())</f>
        <v>Small Business</v>
      </c>
      <c r="K5297" s="1" t="str">
        <f aca="false">VLOOKUP(C5297,Products!$A$2:$E$62,3,FALSE())</f>
        <v>Furniture</v>
      </c>
      <c r="L5297" s="1" t="str">
        <f aca="false">TEXT(D5297,"yyyy-mm")</f>
        <v>2023-01</v>
      </c>
    </row>
    <row r="5298" customFormat="false" ht="15" hidden="false" customHeight="true" outlineLevel="0" collapsed="false">
      <c r="A5298" s="1" t="n">
        <v>5414</v>
      </c>
      <c r="B5298" s="1" t="n">
        <v>60</v>
      </c>
      <c r="C5298" s="1" t="n">
        <v>2</v>
      </c>
      <c r="D5298" s="1" t="s">
        <v>1514</v>
      </c>
      <c r="E5298" s="1" t="n">
        <v>2</v>
      </c>
      <c r="F5298" s="1" t="n">
        <v>498.15</v>
      </c>
      <c r="G5298" s="1" t="n">
        <v>0</v>
      </c>
      <c r="H5298" s="1" t="s">
        <v>1336</v>
      </c>
      <c r="I5298" s="1" t="n">
        <v>996.3</v>
      </c>
      <c r="J5298" s="1" t="str">
        <f aca="false">VLOOKUP(B5298,Customers!$A$2:$G$502,6,FALSE())</f>
        <v>Corporate</v>
      </c>
      <c r="K5298" s="1" t="str">
        <f aca="false">VLOOKUP(C5298,Products!$A$2:$E$62,3,FALSE())</f>
        <v>Electronics</v>
      </c>
      <c r="L5298" s="1" t="str">
        <f aca="false">TEXT(D5298,"yyyy-mm")</f>
        <v>2024-10</v>
      </c>
    </row>
    <row r="5299" customFormat="false" ht="15" hidden="false" customHeight="true" outlineLevel="0" collapsed="false">
      <c r="A5299" s="1" t="n">
        <v>5415</v>
      </c>
      <c r="B5299" s="1" t="n">
        <v>376</v>
      </c>
      <c r="C5299" s="1" t="n">
        <v>38</v>
      </c>
      <c r="D5299" s="1" t="s">
        <v>103</v>
      </c>
      <c r="E5299" s="1" t="n">
        <v>1</v>
      </c>
      <c r="F5299" s="1" t="n">
        <v>521.63</v>
      </c>
      <c r="G5299" s="1" t="n">
        <v>0.15</v>
      </c>
      <c r="H5299" s="1" t="s">
        <v>1336</v>
      </c>
      <c r="I5299" s="1" t="n">
        <v>443.39</v>
      </c>
      <c r="J5299" s="1" t="str">
        <f aca="false">VLOOKUP(B5299,Customers!$A$2:$G$502,6,FALSE())</f>
        <v>Consumer</v>
      </c>
      <c r="K5299" s="1" t="str">
        <f aca="false">VLOOKUP(C5299,Products!$A$2:$E$62,3,FALSE())</f>
        <v>Software</v>
      </c>
      <c r="L5299" s="1" t="str">
        <f aca="false">TEXT(D5299,"yyyy-mm")</f>
        <v>2024-10</v>
      </c>
    </row>
    <row r="5300" customFormat="false" ht="15" hidden="false" customHeight="true" outlineLevel="0" collapsed="false">
      <c r="A5300" s="1" t="n">
        <v>5416</v>
      </c>
      <c r="B5300" s="1" t="n">
        <v>143</v>
      </c>
      <c r="C5300" s="1" t="n">
        <v>51</v>
      </c>
      <c r="D5300" s="1" t="s">
        <v>664</v>
      </c>
      <c r="E5300" s="1" t="n">
        <v>9</v>
      </c>
      <c r="F5300" s="1" t="n">
        <v>30.16</v>
      </c>
      <c r="G5300" s="1" t="n">
        <v>0.05</v>
      </c>
      <c r="H5300" s="1" t="s">
        <v>1370</v>
      </c>
      <c r="I5300" s="1" t="n">
        <v>257.87</v>
      </c>
      <c r="J5300" s="1" t="str">
        <f aca="false">VLOOKUP(B5300,Customers!$A$2:$G$502,6,FALSE())</f>
        <v>Small Business</v>
      </c>
      <c r="K5300" s="1" t="str">
        <f aca="false">VLOOKUP(C5300,Products!$A$2:$E$62,3,FALSE())</f>
        <v>Software</v>
      </c>
      <c r="L5300" s="1" t="str">
        <f aca="false">TEXT(D5300,"yyyy-mm")</f>
        <v>2024-04</v>
      </c>
    </row>
    <row r="5301" customFormat="false" ht="15" hidden="false" customHeight="true" outlineLevel="0" collapsed="false">
      <c r="A5301" s="1" t="n">
        <v>5417</v>
      </c>
      <c r="B5301" s="1" t="n">
        <v>182</v>
      </c>
      <c r="C5301" s="1" t="n">
        <v>52</v>
      </c>
      <c r="D5301" s="1" t="s">
        <v>1339</v>
      </c>
      <c r="E5301" s="1" t="n">
        <v>1</v>
      </c>
      <c r="F5301" s="1" t="n">
        <v>207.67</v>
      </c>
      <c r="G5301" s="1" t="n">
        <v>0.2</v>
      </c>
      <c r="H5301" s="1" t="s">
        <v>1336</v>
      </c>
      <c r="I5301" s="1" t="n">
        <v>166.14</v>
      </c>
      <c r="J5301" s="1" t="str">
        <f aca="false">VLOOKUP(B5301,Customers!$A$2:$G$502,6,FALSE())</f>
        <v>Unknown</v>
      </c>
      <c r="K5301" s="1" t="str">
        <f aca="false">VLOOKUP(C5301,Products!$A$2:$E$62,3,FALSE())</f>
        <v>Software</v>
      </c>
      <c r="L5301" s="1" t="str">
        <f aca="false">TEXT(D5301,"yyyy-mm")</f>
        <v>2024-04</v>
      </c>
    </row>
    <row r="5302" customFormat="false" ht="15" hidden="false" customHeight="true" outlineLevel="0" collapsed="false">
      <c r="A5302" s="1" t="n">
        <v>5418</v>
      </c>
      <c r="B5302" s="1" t="n">
        <v>488</v>
      </c>
      <c r="C5302" s="1" t="n">
        <v>48</v>
      </c>
      <c r="D5302" s="1" t="s">
        <v>1376</v>
      </c>
      <c r="E5302" s="1" t="n">
        <v>4</v>
      </c>
      <c r="F5302" s="1" t="n">
        <v>493.53</v>
      </c>
      <c r="G5302" s="1" t="n">
        <v>0.15</v>
      </c>
      <c r="H5302" s="1" t="s">
        <v>1336</v>
      </c>
      <c r="I5302" s="1" t="n">
        <v>1678</v>
      </c>
      <c r="J5302" s="1" t="str">
        <f aca="false">VLOOKUP(B5302,Customers!$A$2:$G$502,6,FALSE())</f>
        <v>Consumer</v>
      </c>
      <c r="K5302" s="1" t="str">
        <f aca="false">VLOOKUP(C5302,Products!$A$2:$E$62,3,FALSE())</f>
        <v>Software</v>
      </c>
      <c r="L5302" s="1" t="str">
        <f aca="false">TEXT(D5302,"yyyy-mm")</f>
        <v>2023-01</v>
      </c>
    </row>
    <row r="5303" customFormat="false" ht="15" hidden="false" customHeight="true" outlineLevel="0" collapsed="false">
      <c r="A5303" s="1" t="n">
        <v>5419</v>
      </c>
      <c r="B5303" s="1" t="n">
        <v>19</v>
      </c>
      <c r="C5303" s="1" t="n">
        <v>41</v>
      </c>
      <c r="D5303" s="1" t="s">
        <v>348</v>
      </c>
      <c r="E5303" s="1" t="n">
        <v>2</v>
      </c>
      <c r="F5303" s="1" t="n">
        <v>594.54</v>
      </c>
      <c r="G5303" s="1" t="n">
        <v>0.15</v>
      </c>
      <c r="H5303" s="1" t="s">
        <v>1336</v>
      </c>
      <c r="I5303" s="1" t="n">
        <v>1010.72</v>
      </c>
      <c r="J5303" s="1" t="str">
        <f aca="false">VLOOKUP(B5303,Customers!$A$2:$G$502,6,FALSE())</f>
        <v>Consumer</v>
      </c>
      <c r="K5303" s="1" t="str">
        <f aca="false">VLOOKUP(C5303,Products!$A$2:$E$62,3,FALSE())</f>
        <v>Software</v>
      </c>
      <c r="L5303" s="1" t="str">
        <f aca="false">TEXT(D5303,"yyyy-mm")</f>
        <v>2024-09</v>
      </c>
    </row>
    <row r="5304" customFormat="false" ht="15" hidden="false" customHeight="true" outlineLevel="0" collapsed="false">
      <c r="A5304" s="1" t="n">
        <v>5420</v>
      </c>
      <c r="B5304" s="1" t="n">
        <v>190</v>
      </c>
      <c r="C5304" s="1" t="n">
        <v>25</v>
      </c>
      <c r="D5304" s="1" t="s">
        <v>717</v>
      </c>
      <c r="E5304" s="1" t="n">
        <v>4</v>
      </c>
      <c r="F5304" s="1" t="n">
        <v>300.49</v>
      </c>
      <c r="G5304" s="1" t="n">
        <v>0</v>
      </c>
      <c r="H5304" s="1" t="s">
        <v>1336</v>
      </c>
      <c r="I5304" s="1" t="n">
        <v>1201.96</v>
      </c>
      <c r="J5304" s="1" t="str">
        <f aca="false">VLOOKUP(B5304,Customers!$A$2:$G$502,6,FALSE())</f>
        <v>Corporate</v>
      </c>
      <c r="K5304" s="1" t="str">
        <f aca="false">VLOOKUP(C5304,Products!$A$2:$E$62,3,FALSE())</f>
        <v>Office Supplies</v>
      </c>
      <c r="L5304" s="1" t="str">
        <f aca="false">TEXT(D5304,"yyyy-mm")</f>
        <v>2024-10</v>
      </c>
    </row>
    <row r="5305" customFormat="false" ht="15" hidden="false" customHeight="true" outlineLevel="0" collapsed="false">
      <c r="A5305" s="1" t="n">
        <v>5421</v>
      </c>
      <c r="B5305" s="1" t="n">
        <v>138</v>
      </c>
      <c r="C5305" s="1" t="n">
        <v>23</v>
      </c>
      <c r="D5305" s="1" t="s">
        <v>208</v>
      </c>
      <c r="E5305" s="1" t="n">
        <v>8</v>
      </c>
      <c r="F5305" s="1" t="n">
        <v>188.73</v>
      </c>
      <c r="G5305" s="1" t="n">
        <v>0.15</v>
      </c>
      <c r="H5305" s="1" t="s">
        <v>1336</v>
      </c>
      <c r="I5305" s="1" t="n">
        <v>1283.36</v>
      </c>
      <c r="J5305" s="1" t="str">
        <f aca="false">VLOOKUP(B5305,Customers!$A$2:$G$502,6,FALSE())</f>
        <v>Consumer</v>
      </c>
      <c r="K5305" s="1" t="str">
        <f aca="false">VLOOKUP(C5305,Products!$A$2:$E$62,3,FALSE())</f>
        <v>Office Supplies</v>
      </c>
      <c r="L5305" s="1" t="str">
        <f aca="false">TEXT(D5305,"yyyy-mm")</f>
        <v>2023-12</v>
      </c>
    </row>
    <row r="5306" customFormat="false" ht="15" hidden="false" customHeight="true" outlineLevel="0" collapsed="false">
      <c r="A5306" s="1" t="n">
        <v>5422</v>
      </c>
      <c r="B5306" s="1" t="n">
        <v>482</v>
      </c>
      <c r="C5306" s="1" t="n">
        <v>49</v>
      </c>
      <c r="D5306" s="1" t="s">
        <v>97</v>
      </c>
      <c r="E5306" s="1" t="n">
        <v>8</v>
      </c>
      <c r="F5306" s="1" t="n">
        <v>325.17</v>
      </c>
      <c r="G5306" s="1" t="n">
        <v>0.05</v>
      </c>
      <c r="H5306" s="1" t="s">
        <v>1336</v>
      </c>
      <c r="I5306" s="1" t="n">
        <v>2471.29</v>
      </c>
      <c r="J5306" s="1" t="str">
        <f aca="false">VLOOKUP(B5306,Customers!$A$2:$G$502,6,FALSE())</f>
        <v>Small Business</v>
      </c>
      <c r="K5306" s="1" t="str">
        <f aca="false">VLOOKUP(C5306,Products!$A$2:$E$62,3,FALSE())</f>
        <v>Software</v>
      </c>
      <c r="L5306" s="1" t="str">
        <f aca="false">TEXT(D5306,"yyyy-mm")</f>
        <v>2024-11</v>
      </c>
    </row>
    <row r="5307" customFormat="false" ht="15" hidden="false" customHeight="true" outlineLevel="0" collapsed="false">
      <c r="A5307" s="1" t="n">
        <v>5423</v>
      </c>
      <c r="B5307" s="1" t="n">
        <v>2</v>
      </c>
      <c r="C5307" s="1" t="n">
        <v>46</v>
      </c>
      <c r="D5307" s="1" t="s">
        <v>377</v>
      </c>
      <c r="E5307" s="1" t="n">
        <v>9</v>
      </c>
      <c r="F5307" s="1" t="n">
        <v>94.92</v>
      </c>
      <c r="G5307" s="1" t="n">
        <v>0</v>
      </c>
      <c r="H5307" s="1" t="s">
        <v>1370</v>
      </c>
      <c r="I5307" s="1" t="n">
        <v>854.28</v>
      </c>
      <c r="J5307" s="1" t="str">
        <f aca="false">VLOOKUP(B5307,Customers!$A$2:$G$502,6,FALSE())</f>
        <v>Small Business</v>
      </c>
      <c r="K5307" s="1" t="str">
        <f aca="false">VLOOKUP(C5307,Products!$A$2:$E$62,3,FALSE())</f>
        <v>Software</v>
      </c>
      <c r="L5307" s="1" t="str">
        <f aca="false">TEXT(D5307,"yyyy-mm")</f>
        <v>2023-12</v>
      </c>
    </row>
    <row r="5308" customFormat="false" ht="15" hidden="false" customHeight="true" outlineLevel="0" collapsed="false">
      <c r="A5308" s="1" t="n">
        <v>5424</v>
      </c>
      <c r="B5308" s="1" t="n">
        <v>352</v>
      </c>
      <c r="C5308" s="1" t="n">
        <v>29</v>
      </c>
      <c r="D5308" s="1" t="s">
        <v>1660</v>
      </c>
      <c r="E5308" s="1" t="n">
        <v>5</v>
      </c>
      <c r="F5308" s="1" t="n">
        <v>54.62</v>
      </c>
      <c r="G5308" s="1" t="n">
        <v>0.05</v>
      </c>
      <c r="H5308" s="1" t="s">
        <v>1346</v>
      </c>
      <c r="I5308" s="1" t="n">
        <v>259.44</v>
      </c>
      <c r="J5308" s="1" t="str">
        <f aca="false">VLOOKUP(B5308,Customers!$A$2:$G$502,6,FALSE())</f>
        <v>Corporate</v>
      </c>
      <c r="K5308" s="1" t="str">
        <f aca="false">VLOOKUP(C5308,Products!$A$2:$E$62,3,FALSE())</f>
        <v>Office Supplies</v>
      </c>
      <c r="L5308" s="1" t="str">
        <f aca="false">TEXT(D5308,"yyyy-mm")</f>
        <v>2023-06</v>
      </c>
    </row>
    <row r="5309" customFormat="false" ht="15" hidden="false" customHeight="true" outlineLevel="0" collapsed="false">
      <c r="A5309" s="1" t="n">
        <v>5425</v>
      </c>
      <c r="B5309" s="1" t="n">
        <v>397</v>
      </c>
      <c r="C5309" s="1" t="n">
        <v>10</v>
      </c>
      <c r="D5309" s="1" t="s">
        <v>1672</v>
      </c>
      <c r="E5309" s="1" t="n">
        <v>7</v>
      </c>
      <c r="F5309" s="1" t="n">
        <v>251.58</v>
      </c>
      <c r="G5309" s="1" t="n">
        <v>0.05</v>
      </c>
      <c r="H5309" s="1" t="s">
        <v>1336</v>
      </c>
      <c r="I5309" s="1" t="n">
        <v>1673.01</v>
      </c>
      <c r="J5309" s="1" t="str">
        <f aca="false">VLOOKUP(B5309,Customers!$A$2:$G$502,6,FALSE())</f>
        <v>Consumer</v>
      </c>
      <c r="K5309" s="1" t="str">
        <f aca="false">VLOOKUP(C5309,Products!$A$2:$E$62,3,FALSE())</f>
        <v>Electronics</v>
      </c>
      <c r="L5309" s="1" t="str">
        <f aca="false">TEXT(D5309,"yyyy-mm")</f>
        <v>2024-05</v>
      </c>
    </row>
    <row r="5310" customFormat="false" ht="15" hidden="false" customHeight="true" outlineLevel="0" collapsed="false">
      <c r="A5310" s="1" t="n">
        <v>5426</v>
      </c>
      <c r="B5310" s="1" t="n">
        <v>485</v>
      </c>
      <c r="C5310" s="1" t="n">
        <v>46</v>
      </c>
      <c r="D5310" s="1" t="s">
        <v>1670</v>
      </c>
      <c r="E5310" s="1" t="n">
        <v>3</v>
      </c>
      <c r="F5310" s="1" t="n">
        <v>94.92</v>
      </c>
      <c r="G5310" s="1" t="n">
        <v>0.1</v>
      </c>
      <c r="H5310" s="1" t="s">
        <v>1370</v>
      </c>
      <c r="I5310" s="1" t="n">
        <v>256.28</v>
      </c>
      <c r="J5310" s="1" t="str">
        <f aca="false">VLOOKUP(B5310,Customers!$A$2:$G$502,6,FALSE())</f>
        <v>Corporate</v>
      </c>
      <c r="K5310" s="1" t="str">
        <f aca="false">VLOOKUP(C5310,Products!$A$2:$E$62,3,FALSE())</f>
        <v>Software</v>
      </c>
      <c r="L5310" s="1" t="str">
        <f aca="false">TEXT(D5310,"yyyy-mm")</f>
        <v>2024-07</v>
      </c>
    </row>
    <row r="5311" customFormat="false" ht="15" hidden="false" customHeight="true" outlineLevel="0" collapsed="false">
      <c r="A5311" s="1" t="n">
        <v>5427</v>
      </c>
      <c r="B5311" s="1" t="n">
        <v>331</v>
      </c>
      <c r="C5311" s="1" t="n">
        <v>28</v>
      </c>
      <c r="D5311" s="1" t="s">
        <v>1486</v>
      </c>
      <c r="E5311" s="1" t="n">
        <v>4</v>
      </c>
      <c r="F5311" s="1" t="n">
        <v>505.23</v>
      </c>
      <c r="G5311" s="1" t="n">
        <v>0</v>
      </c>
      <c r="H5311" s="1" t="s">
        <v>1336</v>
      </c>
      <c r="I5311" s="1" t="n">
        <v>2020.92</v>
      </c>
      <c r="J5311" s="1" t="str">
        <f aca="false">VLOOKUP(B5311,Customers!$A$2:$G$502,6,FALSE())</f>
        <v>Consumer</v>
      </c>
      <c r="K5311" s="1" t="str">
        <f aca="false">VLOOKUP(C5311,Products!$A$2:$E$62,3,FALSE())</f>
        <v>Office Supplies</v>
      </c>
      <c r="L5311" s="1" t="str">
        <f aca="false">TEXT(D5311,"yyyy-mm")</f>
        <v>2024-02</v>
      </c>
    </row>
    <row r="5312" customFormat="false" ht="15" hidden="false" customHeight="true" outlineLevel="0" collapsed="false">
      <c r="A5312" s="1" t="n">
        <v>5428</v>
      </c>
      <c r="B5312" s="1" t="n">
        <v>404</v>
      </c>
      <c r="C5312" s="1" t="n">
        <v>41</v>
      </c>
      <c r="D5312" s="1" t="s">
        <v>505</v>
      </c>
      <c r="E5312" s="1" t="n">
        <v>9</v>
      </c>
      <c r="F5312" s="1" t="n">
        <v>594.54</v>
      </c>
      <c r="G5312" s="1" t="n">
        <v>0.2</v>
      </c>
      <c r="H5312" s="1" t="s">
        <v>1336</v>
      </c>
      <c r="I5312" s="1" t="n">
        <v>4280.69</v>
      </c>
      <c r="J5312" s="1" t="str">
        <f aca="false">VLOOKUP(B5312,Customers!$A$2:$G$502,6,FALSE())</f>
        <v>Corporate</v>
      </c>
      <c r="K5312" s="1" t="str">
        <f aca="false">VLOOKUP(C5312,Products!$A$2:$E$62,3,FALSE())</f>
        <v>Software</v>
      </c>
      <c r="L5312" s="1" t="str">
        <f aca="false">TEXT(D5312,"yyyy-mm")</f>
        <v>2023-07</v>
      </c>
    </row>
    <row r="5313" customFormat="false" ht="15" hidden="false" customHeight="true" outlineLevel="0" collapsed="false">
      <c r="A5313" s="1" t="n">
        <v>5429</v>
      </c>
      <c r="B5313" s="1" t="n">
        <v>329</v>
      </c>
      <c r="C5313" s="1" t="n">
        <v>58</v>
      </c>
      <c r="D5313" s="1" t="s">
        <v>1563</v>
      </c>
      <c r="E5313" s="1" t="n">
        <v>1</v>
      </c>
      <c r="F5313" s="1" t="n">
        <v>515.55</v>
      </c>
      <c r="G5313" s="1" t="n">
        <v>0.2</v>
      </c>
      <c r="H5313" s="1" t="s">
        <v>1336</v>
      </c>
      <c r="I5313" s="1" t="n">
        <v>412.44</v>
      </c>
      <c r="J5313" s="1" t="str">
        <f aca="false">VLOOKUP(B5313,Customers!$A$2:$G$502,6,FALSE())</f>
        <v>Consumer</v>
      </c>
      <c r="K5313" s="1" t="str">
        <f aca="false">VLOOKUP(C5313,Products!$A$2:$E$62,3,FALSE())</f>
        <v>Furniture</v>
      </c>
      <c r="L5313" s="1" t="str">
        <f aca="false">TEXT(D5313,"yyyy-mm")</f>
        <v>2024-09</v>
      </c>
    </row>
    <row r="5314" customFormat="false" ht="15" hidden="false" customHeight="true" outlineLevel="0" collapsed="false">
      <c r="A5314" s="1" t="n">
        <v>5430</v>
      </c>
      <c r="B5314" s="1" t="n">
        <v>492</v>
      </c>
      <c r="C5314" s="1" t="n">
        <v>31</v>
      </c>
      <c r="D5314" s="1" t="s">
        <v>1616</v>
      </c>
      <c r="E5314" s="1" t="n">
        <v>2</v>
      </c>
      <c r="F5314" s="1" t="n">
        <v>224.86</v>
      </c>
      <c r="G5314" s="1" t="n">
        <v>0.2</v>
      </c>
      <c r="H5314" s="1" t="s">
        <v>1336</v>
      </c>
      <c r="I5314" s="1" t="n">
        <v>359.78</v>
      </c>
      <c r="J5314" s="1" t="str">
        <f aca="false">VLOOKUP(B5314,Customers!$A$2:$G$502,6,FALSE())</f>
        <v>Consumer</v>
      </c>
      <c r="K5314" s="1" t="str">
        <f aca="false">VLOOKUP(C5314,Products!$A$2:$E$62,3,FALSE())</f>
        <v>Office Supplies</v>
      </c>
      <c r="L5314" s="1" t="str">
        <f aca="false">TEXT(D5314,"yyyy-mm")</f>
        <v>2024-09</v>
      </c>
    </row>
    <row r="5315" customFormat="false" ht="15" hidden="false" customHeight="true" outlineLevel="0" collapsed="false">
      <c r="A5315" s="1" t="n">
        <v>5431</v>
      </c>
      <c r="B5315" s="1" t="n">
        <v>446</v>
      </c>
      <c r="C5315" s="1" t="n">
        <v>50</v>
      </c>
      <c r="D5315" s="1" t="s">
        <v>552</v>
      </c>
      <c r="E5315" s="1" t="n">
        <v>5</v>
      </c>
      <c r="F5315" s="1" t="n">
        <v>19.73</v>
      </c>
      <c r="G5315" s="1" t="n">
        <v>0.15</v>
      </c>
      <c r="H5315" s="1" t="s">
        <v>1336</v>
      </c>
      <c r="I5315" s="1" t="n">
        <v>83.85</v>
      </c>
      <c r="J5315" s="1" t="str">
        <f aca="false">VLOOKUP(B5315,Customers!$A$2:$G$502,6,FALSE())</f>
        <v>Small Business</v>
      </c>
      <c r="K5315" s="1" t="str">
        <f aca="false">VLOOKUP(C5315,Products!$A$2:$E$62,3,FALSE())</f>
        <v>Software</v>
      </c>
      <c r="L5315" s="1" t="str">
        <f aca="false">TEXT(D5315,"yyyy-mm")</f>
        <v>2024-04</v>
      </c>
    </row>
    <row r="5316" customFormat="false" ht="15" hidden="false" customHeight="true" outlineLevel="0" collapsed="false">
      <c r="A5316" s="1" t="n">
        <v>5432</v>
      </c>
      <c r="B5316" s="1" t="n">
        <v>148</v>
      </c>
      <c r="C5316" s="1" t="n">
        <v>37</v>
      </c>
      <c r="D5316" s="1" t="s">
        <v>1631</v>
      </c>
      <c r="E5316" s="1" t="n">
        <v>3</v>
      </c>
      <c r="F5316" s="1" t="n">
        <v>13.95</v>
      </c>
      <c r="G5316" s="1" t="n">
        <v>0.1</v>
      </c>
      <c r="H5316" s="1" t="s">
        <v>1336</v>
      </c>
      <c r="I5316" s="1" t="n">
        <v>37.66</v>
      </c>
      <c r="J5316" s="1" t="str">
        <f aca="false">VLOOKUP(B5316,Customers!$A$2:$G$502,6,FALSE())</f>
        <v>Corporate</v>
      </c>
      <c r="K5316" s="1" t="str">
        <f aca="false">VLOOKUP(C5316,Products!$A$2:$E$62,3,FALSE())</f>
        <v>Software</v>
      </c>
      <c r="L5316" s="1" t="str">
        <f aca="false">TEXT(D5316,"yyyy-mm")</f>
        <v>2023-03</v>
      </c>
    </row>
    <row r="5317" customFormat="false" ht="15" hidden="false" customHeight="true" outlineLevel="0" collapsed="false">
      <c r="A5317" s="1" t="n">
        <v>5433</v>
      </c>
      <c r="B5317" s="1" t="n">
        <v>12</v>
      </c>
      <c r="C5317" s="1" t="n">
        <v>55</v>
      </c>
      <c r="D5317" s="1" t="s">
        <v>1692</v>
      </c>
      <c r="E5317" s="1" t="n">
        <v>2</v>
      </c>
      <c r="F5317" s="1" t="n">
        <v>123.38</v>
      </c>
      <c r="G5317" s="1" t="n">
        <v>0.05</v>
      </c>
      <c r="H5317" s="1" t="s">
        <v>1336</v>
      </c>
      <c r="I5317" s="1" t="n">
        <v>234.42</v>
      </c>
      <c r="J5317" s="1" t="str">
        <f aca="false">VLOOKUP(B5317,Customers!$A$2:$G$502,6,FALSE())</f>
        <v>Small Business</v>
      </c>
      <c r="K5317" s="1" t="str">
        <f aca="false">VLOOKUP(C5317,Products!$A$2:$E$62,3,FALSE())</f>
        <v>Furniture</v>
      </c>
      <c r="L5317" s="1" t="str">
        <f aca="false">TEXT(D5317,"yyyy-mm")</f>
        <v>2024-12</v>
      </c>
    </row>
    <row r="5318" customFormat="false" ht="15" hidden="false" customHeight="true" outlineLevel="0" collapsed="false">
      <c r="A5318" s="1" t="n">
        <v>5434</v>
      </c>
      <c r="B5318" s="1" t="n">
        <v>199</v>
      </c>
      <c r="C5318" s="1" t="n">
        <v>39</v>
      </c>
      <c r="D5318" s="1" t="s">
        <v>127</v>
      </c>
      <c r="E5318" s="1" t="n">
        <v>1</v>
      </c>
      <c r="F5318" s="1" t="n">
        <v>400.02</v>
      </c>
      <c r="G5318" s="1" t="n">
        <v>0</v>
      </c>
      <c r="H5318" s="1" t="s">
        <v>1336</v>
      </c>
      <c r="I5318" s="1" t="n">
        <v>400.02</v>
      </c>
      <c r="J5318" s="1" t="str">
        <f aca="false">VLOOKUP(B5318,Customers!$A$2:$G$502,6,FALSE())</f>
        <v>Corporate</v>
      </c>
      <c r="K5318" s="1" t="str">
        <f aca="false">VLOOKUP(C5318,Products!$A$2:$E$62,3,FALSE())</f>
        <v>Software</v>
      </c>
      <c r="L5318" s="1" t="str">
        <f aca="false">TEXT(D5318,"yyyy-mm")</f>
        <v>2023-03</v>
      </c>
    </row>
    <row r="5319" customFormat="false" ht="15" hidden="false" customHeight="true" outlineLevel="0" collapsed="false">
      <c r="A5319" s="1" t="n">
        <v>5435</v>
      </c>
      <c r="B5319" s="1" t="n">
        <v>73</v>
      </c>
      <c r="C5319" s="1" t="n">
        <v>14</v>
      </c>
      <c r="D5319" s="1" t="s">
        <v>742</v>
      </c>
      <c r="E5319" s="1" t="n">
        <v>3</v>
      </c>
      <c r="F5319" s="1" t="n">
        <v>135.27</v>
      </c>
      <c r="G5319" s="1" t="n">
        <v>0.05</v>
      </c>
      <c r="H5319" s="1" t="s">
        <v>1336</v>
      </c>
      <c r="I5319" s="1" t="n">
        <v>385.52</v>
      </c>
      <c r="J5319" s="1" t="str">
        <f aca="false">VLOOKUP(B5319,Customers!$A$2:$G$502,6,FALSE())</f>
        <v>Small Business</v>
      </c>
      <c r="K5319" s="1" t="str">
        <f aca="false">VLOOKUP(C5319,Products!$A$2:$E$62,3,FALSE())</f>
        <v>Electronics</v>
      </c>
      <c r="L5319" s="1" t="str">
        <f aca="false">TEXT(D5319,"yyyy-mm")</f>
        <v>2023-02</v>
      </c>
    </row>
    <row r="5320" customFormat="false" ht="15" hidden="false" customHeight="true" outlineLevel="0" collapsed="false">
      <c r="A5320" s="1" t="n">
        <v>5436</v>
      </c>
      <c r="B5320" s="1" t="n">
        <v>436</v>
      </c>
      <c r="C5320" s="1" t="n">
        <v>48</v>
      </c>
      <c r="D5320" s="1" t="s">
        <v>601</v>
      </c>
      <c r="E5320" s="1" t="n">
        <v>1</v>
      </c>
      <c r="F5320" s="1" t="n">
        <v>493.53</v>
      </c>
      <c r="G5320" s="1" t="n">
        <v>0.2</v>
      </c>
      <c r="H5320" s="1" t="s">
        <v>1336</v>
      </c>
      <c r="I5320" s="1" t="n">
        <v>394.82</v>
      </c>
      <c r="J5320" s="1" t="str">
        <f aca="false">VLOOKUP(B5320,Customers!$A$2:$G$502,6,FALSE())</f>
        <v>Corporate</v>
      </c>
      <c r="K5320" s="1" t="str">
        <f aca="false">VLOOKUP(C5320,Products!$A$2:$E$62,3,FALSE())</f>
        <v>Software</v>
      </c>
      <c r="L5320" s="1" t="str">
        <f aca="false">TEXT(D5320,"yyyy-mm")</f>
        <v>2023-11</v>
      </c>
    </row>
    <row r="5321" customFormat="false" ht="15" hidden="false" customHeight="true" outlineLevel="0" collapsed="false">
      <c r="A5321" s="1" t="n">
        <v>5437</v>
      </c>
      <c r="B5321" s="1" t="n">
        <v>154</v>
      </c>
      <c r="C5321" s="1" t="n">
        <v>15</v>
      </c>
      <c r="D5321" s="1" t="s">
        <v>1165</v>
      </c>
      <c r="E5321" s="1" t="n">
        <v>1</v>
      </c>
      <c r="F5321" s="1" t="n">
        <v>304.95</v>
      </c>
      <c r="G5321" s="1" t="n">
        <v>0.2</v>
      </c>
      <c r="H5321" s="1" t="s">
        <v>1370</v>
      </c>
      <c r="I5321" s="1" t="n">
        <v>243.96</v>
      </c>
      <c r="J5321" s="1" t="str">
        <f aca="false">VLOOKUP(B5321,Customers!$A$2:$G$502,6,FALSE())</f>
        <v>Small Business</v>
      </c>
      <c r="K5321" s="1" t="str">
        <f aca="false">VLOOKUP(C5321,Products!$A$2:$E$62,3,FALSE())</f>
        <v>Electronics</v>
      </c>
      <c r="L5321" s="1" t="str">
        <f aca="false">TEXT(D5321,"yyyy-mm")</f>
        <v>2023-07</v>
      </c>
    </row>
    <row r="5322" customFormat="false" ht="15" hidden="false" customHeight="true" outlineLevel="0" collapsed="false">
      <c r="A5322" s="1" t="n">
        <v>5438</v>
      </c>
      <c r="B5322" s="1" t="n">
        <v>143</v>
      </c>
      <c r="C5322" s="1" t="n">
        <v>40</v>
      </c>
      <c r="D5322" s="1" t="s">
        <v>1349</v>
      </c>
      <c r="E5322" s="1" t="n">
        <v>1</v>
      </c>
      <c r="F5322" s="1" t="n">
        <v>193.02</v>
      </c>
      <c r="G5322" s="1" t="n">
        <v>0</v>
      </c>
      <c r="H5322" s="1" t="s">
        <v>1336</v>
      </c>
      <c r="I5322" s="1" t="n">
        <v>193.02</v>
      </c>
      <c r="J5322" s="1" t="str">
        <f aca="false">VLOOKUP(B5322,Customers!$A$2:$G$502,6,FALSE())</f>
        <v>Small Business</v>
      </c>
      <c r="K5322" s="1" t="str">
        <f aca="false">VLOOKUP(C5322,Products!$A$2:$E$62,3,FALSE())</f>
        <v>Software</v>
      </c>
      <c r="L5322" s="1" t="str">
        <f aca="false">TEXT(D5322,"yyyy-mm")</f>
        <v>2023-10</v>
      </c>
    </row>
    <row r="5323" customFormat="false" ht="15" hidden="false" customHeight="true" outlineLevel="0" collapsed="false">
      <c r="A5323" s="1" t="n">
        <v>5439</v>
      </c>
      <c r="B5323" s="1" t="n">
        <v>181</v>
      </c>
      <c r="C5323" s="1" t="n">
        <v>59</v>
      </c>
      <c r="D5323" s="1" t="s">
        <v>1106</v>
      </c>
      <c r="E5323" s="1" t="n">
        <v>8</v>
      </c>
      <c r="F5323" s="1" t="n">
        <v>438.89</v>
      </c>
      <c r="G5323" s="1" t="n">
        <v>0.1</v>
      </c>
      <c r="H5323" s="1" t="s">
        <v>1336</v>
      </c>
      <c r="I5323" s="1" t="n">
        <v>3160.01</v>
      </c>
      <c r="J5323" s="1" t="str">
        <f aca="false">VLOOKUP(B5323,Customers!$A$2:$G$502,6,FALSE())</f>
        <v>Small Business</v>
      </c>
      <c r="K5323" s="1" t="str">
        <f aca="false">VLOOKUP(C5323,Products!$A$2:$E$62,3,FALSE())</f>
        <v>Furniture</v>
      </c>
      <c r="L5323" s="1" t="str">
        <f aca="false">TEXT(D5323,"yyyy-mm")</f>
        <v>2024-09</v>
      </c>
    </row>
    <row r="5324" customFormat="false" ht="15" hidden="false" customHeight="true" outlineLevel="0" collapsed="false">
      <c r="A5324" s="1" t="n">
        <v>5440</v>
      </c>
      <c r="B5324" s="1" t="n">
        <v>216</v>
      </c>
      <c r="C5324" s="1" t="n">
        <v>58</v>
      </c>
      <c r="D5324" s="1" t="s">
        <v>1467</v>
      </c>
      <c r="E5324" s="1" t="n">
        <v>3</v>
      </c>
      <c r="F5324" s="1" t="n">
        <v>515.55</v>
      </c>
      <c r="G5324" s="1" t="n">
        <v>0</v>
      </c>
      <c r="H5324" s="1" t="s">
        <v>1336</v>
      </c>
      <c r="I5324" s="1" t="n">
        <v>1546.65</v>
      </c>
      <c r="J5324" s="1" t="str">
        <f aca="false">VLOOKUP(B5324,Customers!$A$2:$G$502,6,FALSE())</f>
        <v>Consumer</v>
      </c>
      <c r="K5324" s="1" t="str">
        <f aca="false">VLOOKUP(C5324,Products!$A$2:$E$62,3,FALSE())</f>
        <v>Furniture</v>
      </c>
      <c r="L5324" s="1" t="str">
        <f aca="false">TEXT(D5324,"yyyy-mm")</f>
        <v>2023-09</v>
      </c>
    </row>
    <row r="5325" customFormat="false" ht="15" hidden="false" customHeight="true" outlineLevel="0" collapsed="false">
      <c r="A5325" s="1" t="n">
        <v>5441</v>
      </c>
      <c r="B5325" s="1" t="n">
        <v>307</v>
      </c>
      <c r="C5325" s="1" t="n">
        <v>58</v>
      </c>
      <c r="D5325" s="1" t="s">
        <v>1352</v>
      </c>
      <c r="E5325" s="1" t="n">
        <v>1</v>
      </c>
      <c r="F5325" s="1" t="n">
        <v>515.55</v>
      </c>
      <c r="G5325" s="1" t="n">
        <v>0</v>
      </c>
      <c r="H5325" s="1" t="s">
        <v>1336</v>
      </c>
      <c r="I5325" s="1" t="n">
        <v>515.55</v>
      </c>
      <c r="J5325" s="1" t="str">
        <f aca="false">VLOOKUP(B5325,Customers!$A$2:$G$502,6,FALSE())</f>
        <v>Corporate</v>
      </c>
      <c r="K5325" s="1" t="str">
        <f aca="false">VLOOKUP(C5325,Products!$A$2:$E$62,3,FALSE())</f>
        <v>Furniture</v>
      </c>
      <c r="L5325" s="1" t="str">
        <f aca="false">TEXT(D5325,"yyyy-mm")</f>
        <v>2023-04</v>
      </c>
    </row>
    <row r="5326" customFormat="false" ht="15" hidden="false" customHeight="true" outlineLevel="0" collapsed="false">
      <c r="A5326" s="1" t="n">
        <v>5442</v>
      </c>
      <c r="B5326" s="1" t="n">
        <v>335</v>
      </c>
      <c r="C5326" s="1" t="n">
        <v>10</v>
      </c>
      <c r="D5326" s="1" t="s">
        <v>1452</v>
      </c>
      <c r="E5326" s="1" t="n">
        <v>7</v>
      </c>
      <c r="F5326" s="1" t="n">
        <v>251.58</v>
      </c>
      <c r="G5326" s="1" t="n">
        <v>0.2</v>
      </c>
      <c r="H5326" s="1" t="s">
        <v>1336</v>
      </c>
      <c r="I5326" s="1" t="n">
        <v>1408.85</v>
      </c>
      <c r="J5326" s="1" t="str">
        <f aca="false">VLOOKUP(B5326,Customers!$A$2:$G$502,6,FALSE())</f>
        <v>Small Business</v>
      </c>
      <c r="K5326" s="1" t="str">
        <f aca="false">VLOOKUP(C5326,Products!$A$2:$E$62,3,FALSE())</f>
        <v>Electronics</v>
      </c>
      <c r="L5326" s="1" t="str">
        <f aca="false">TEXT(D5326,"yyyy-mm")</f>
        <v>2023-01</v>
      </c>
    </row>
    <row r="5327" customFormat="false" ht="15" hidden="false" customHeight="true" outlineLevel="0" collapsed="false">
      <c r="A5327" s="1" t="n">
        <v>5443</v>
      </c>
      <c r="B5327" s="1" t="n">
        <v>31</v>
      </c>
      <c r="C5327" s="1" t="n">
        <v>24</v>
      </c>
      <c r="D5327" s="1" t="s">
        <v>1616</v>
      </c>
      <c r="E5327" s="1" t="n">
        <v>3</v>
      </c>
      <c r="F5327" s="1" t="n">
        <v>207.34</v>
      </c>
      <c r="G5327" s="1" t="n">
        <v>0.05</v>
      </c>
      <c r="H5327" s="1" t="s">
        <v>1370</v>
      </c>
      <c r="I5327" s="1" t="n">
        <v>590.92</v>
      </c>
      <c r="J5327" s="1" t="str">
        <f aca="false">VLOOKUP(B5327,Customers!$A$2:$G$502,6,FALSE())</f>
        <v>Consumer</v>
      </c>
      <c r="K5327" s="1" t="str">
        <f aca="false">VLOOKUP(C5327,Products!$A$2:$E$62,3,FALSE())</f>
        <v>Office Supplies</v>
      </c>
      <c r="L5327" s="1" t="str">
        <f aca="false">TEXT(D5327,"yyyy-mm")</f>
        <v>2024-09</v>
      </c>
    </row>
    <row r="5328" customFormat="false" ht="15" hidden="false" customHeight="true" outlineLevel="0" collapsed="false">
      <c r="A5328" s="1" t="n">
        <v>5444</v>
      </c>
      <c r="B5328" s="1" t="n">
        <v>112</v>
      </c>
      <c r="C5328" s="1" t="n">
        <v>37</v>
      </c>
      <c r="D5328" s="1" t="s">
        <v>1196</v>
      </c>
      <c r="E5328" s="1" t="n">
        <v>8</v>
      </c>
      <c r="F5328" s="1" t="n">
        <v>13.95</v>
      </c>
      <c r="G5328" s="1" t="n">
        <v>0.2</v>
      </c>
      <c r="H5328" s="1" t="s">
        <v>1336</v>
      </c>
      <c r="I5328" s="1" t="n">
        <v>89.28</v>
      </c>
      <c r="J5328" s="1" t="str">
        <f aca="false">VLOOKUP(B5328,Customers!$A$2:$G$502,6,FALSE())</f>
        <v>Corporate</v>
      </c>
      <c r="K5328" s="1" t="str">
        <f aca="false">VLOOKUP(C5328,Products!$A$2:$E$62,3,FALSE())</f>
        <v>Software</v>
      </c>
      <c r="L5328" s="1" t="str">
        <f aca="false">TEXT(D5328,"yyyy-mm")</f>
        <v>2023-10</v>
      </c>
    </row>
    <row r="5329" customFormat="false" ht="15" hidden="false" customHeight="true" outlineLevel="0" collapsed="false">
      <c r="A5329" s="1" t="n">
        <v>5445</v>
      </c>
      <c r="B5329" s="1" t="n">
        <v>442</v>
      </c>
      <c r="C5329" s="1" t="n">
        <v>44</v>
      </c>
      <c r="D5329" s="1" t="s">
        <v>1451</v>
      </c>
      <c r="E5329" s="1" t="n">
        <v>4</v>
      </c>
      <c r="F5329" s="1" t="n">
        <v>508.26</v>
      </c>
      <c r="G5329" s="1" t="n">
        <v>0</v>
      </c>
      <c r="H5329" s="1" t="s">
        <v>1336</v>
      </c>
      <c r="I5329" s="1" t="n">
        <v>2033.04</v>
      </c>
      <c r="J5329" s="1" t="str">
        <f aca="false">VLOOKUP(B5329,Customers!$A$2:$G$502,6,FALSE())</f>
        <v>Small Business</v>
      </c>
      <c r="K5329" s="1" t="str">
        <f aca="false">VLOOKUP(C5329,Products!$A$2:$E$62,3,FALSE())</f>
        <v>Software</v>
      </c>
      <c r="L5329" s="1" t="str">
        <f aca="false">TEXT(D5329,"yyyy-mm")</f>
        <v>2023-10</v>
      </c>
    </row>
    <row r="5330" customFormat="false" ht="15" hidden="false" customHeight="true" outlineLevel="0" collapsed="false">
      <c r="A5330" s="1" t="n">
        <v>5447</v>
      </c>
      <c r="B5330" s="1" t="n">
        <v>375</v>
      </c>
      <c r="C5330" s="1" t="n">
        <v>12</v>
      </c>
      <c r="D5330" s="1" t="s">
        <v>671</v>
      </c>
      <c r="E5330" s="1" t="n">
        <v>5</v>
      </c>
      <c r="F5330" s="1" t="n">
        <v>179.23</v>
      </c>
      <c r="G5330" s="1" t="n">
        <v>0.05</v>
      </c>
      <c r="H5330" s="1" t="s">
        <v>1336</v>
      </c>
      <c r="I5330" s="1" t="n">
        <v>851.34</v>
      </c>
      <c r="J5330" s="1" t="str">
        <f aca="false">VLOOKUP(B5330,Customers!$A$2:$G$502,6,FALSE())</f>
        <v>Consumer</v>
      </c>
      <c r="K5330" s="1" t="str">
        <f aca="false">VLOOKUP(C5330,Products!$A$2:$E$62,3,FALSE())</f>
        <v>Electronics</v>
      </c>
      <c r="L5330" s="1" t="str">
        <f aca="false">TEXT(D5330,"yyyy-mm")</f>
        <v>2024-04</v>
      </c>
    </row>
    <row r="5331" customFormat="false" ht="15" hidden="false" customHeight="true" outlineLevel="0" collapsed="false">
      <c r="A5331" s="1" t="n">
        <v>5448</v>
      </c>
      <c r="B5331" s="1" t="n">
        <v>105</v>
      </c>
      <c r="C5331" s="1" t="n">
        <v>53</v>
      </c>
      <c r="D5331" s="1" t="s">
        <v>909</v>
      </c>
      <c r="E5331" s="1" t="n">
        <v>6</v>
      </c>
      <c r="F5331" s="1" t="n">
        <v>509.98</v>
      </c>
      <c r="G5331" s="1" t="n">
        <v>0.05</v>
      </c>
      <c r="H5331" s="1" t="s">
        <v>1336</v>
      </c>
      <c r="I5331" s="1" t="n">
        <v>2906.89</v>
      </c>
      <c r="J5331" s="1" t="str">
        <f aca="false">VLOOKUP(B5331,Customers!$A$2:$G$502,6,FALSE())</f>
        <v>Corporate</v>
      </c>
      <c r="K5331" s="1" t="str">
        <f aca="false">VLOOKUP(C5331,Products!$A$2:$E$62,3,FALSE())</f>
        <v>Software</v>
      </c>
      <c r="L5331" s="1" t="str">
        <f aca="false">TEXT(D5331,"yyyy-mm")</f>
        <v>2023-03</v>
      </c>
    </row>
    <row r="5332" customFormat="false" ht="15" hidden="false" customHeight="true" outlineLevel="0" collapsed="false">
      <c r="A5332" s="1" t="n">
        <v>5449</v>
      </c>
      <c r="B5332" s="1" t="n">
        <v>81</v>
      </c>
      <c r="C5332" s="1" t="n">
        <v>28</v>
      </c>
      <c r="D5332" s="1" t="s">
        <v>330</v>
      </c>
      <c r="E5332" s="1" t="n">
        <v>7</v>
      </c>
      <c r="F5332" s="1" t="n">
        <v>505.23</v>
      </c>
      <c r="G5332" s="1" t="n">
        <v>0.1</v>
      </c>
      <c r="H5332" s="1" t="s">
        <v>1336</v>
      </c>
      <c r="I5332" s="1" t="n">
        <v>3182.95</v>
      </c>
      <c r="J5332" s="1" t="str">
        <f aca="false">VLOOKUP(B5332,Customers!$A$2:$G$502,6,FALSE())</f>
        <v>Consumer</v>
      </c>
      <c r="K5332" s="1" t="str">
        <f aca="false">VLOOKUP(C5332,Products!$A$2:$E$62,3,FALSE())</f>
        <v>Office Supplies</v>
      </c>
      <c r="L5332" s="1" t="str">
        <f aca="false">TEXT(D5332,"yyyy-mm")</f>
        <v>2024-03</v>
      </c>
    </row>
    <row r="5333" customFormat="false" ht="15" hidden="false" customHeight="true" outlineLevel="0" collapsed="false">
      <c r="A5333" s="1" t="n">
        <v>5450</v>
      </c>
      <c r="B5333" s="1" t="n">
        <v>346</v>
      </c>
      <c r="C5333" s="1" t="n">
        <v>50</v>
      </c>
      <c r="D5333" s="1" t="s">
        <v>1642</v>
      </c>
      <c r="E5333" s="1" t="n">
        <v>4</v>
      </c>
      <c r="F5333" s="1" t="n">
        <v>19.73</v>
      </c>
      <c r="G5333" s="1" t="n">
        <v>0.1</v>
      </c>
      <c r="H5333" s="1" t="s">
        <v>1336</v>
      </c>
      <c r="I5333" s="1" t="n">
        <v>71.03</v>
      </c>
      <c r="J5333" s="1" t="str">
        <f aca="false">VLOOKUP(B5333,Customers!$A$2:$G$502,6,FALSE())</f>
        <v>Consumer</v>
      </c>
      <c r="K5333" s="1" t="str">
        <f aca="false">VLOOKUP(C5333,Products!$A$2:$E$62,3,FALSE())</f>
        <v>Software</v>
      </c>
      <c r="L5333" s="1" t="str">
        <f aca="false">TEXT(D5333,"yyyy-mm")</f>
        <v>2024-12</v>
      </c>
    </row>
    <row r="5334" customFormat="false" ht="15" hidden="false" customHeight="true" outlineLevel="0" collapsed="false">
      <c r="A5334" s="1" t="n">
        <v>5451</v>
      </c>
      <c r="B5334" s="1" t="n">
        <v>237</v>
      </c>
      <c r="C5334" s="1" t="n">
        <v>49</v>
      </c>
      <c r="D5334" s="1" t="s">
        <v>881</v>
      </c>
      <c r="E5334" s="1" t="n">
        <v>8</v>
      </c>
      <c r="F5334" s="1" t="n">
        <v>325.17</v>
      </c>
      <c r="G5334" s="1" t="n">
        <v>0.05</v>
      </c>
      <c r="H5334" s="1" t="s">
        <v>1336</v>
      </c>
      <c r="I5334" s="1" t="n">
        <v>2471.29</v>
      </c>
      <c r="J5334" s="1" t="str">
        <f aca="false">VLOOKUP(B5334,Customers!$A$2:$G$502,6,FALSE())</f>
        <v>Consumer</v>
      </c>
      <c r="K5334" s="1" t="str">
        <f aca="false">VLOOKUP(C5334,Products!$A$2:$E$62,3,FALSE())</f>
        <v>Software</v>
      </c>
      <c r="L5334" s="1" t="str">
        <f aca="false">TEXT(D5334,"yyyy-mm")</f>
        <v>2024-12</v>
      </c>
    </row>
    <row r="5335" customFormat="false" ht="15" hidden="false" customHeight="true" outlineLevel="0" collapsed="false">
      <c r="A5335" s="1" t="n">
        <v>5452</v>
      </c>
      <c r="B5335" s="1" t="n">
        <v>292</v>
      </c>
      <c r="C5335" s="1" t="n">
        <v>54</v>
      </c>
      <c r="D5335" s="1" t="s">
        <v>238</v>
      </c>
      <c r="E5335" s="1" t="n">
        <v>6</v>
      </c>
      <c r="F5335" s="1" t="n">
        <v>312.01</v>
      </c>
      <c r="G5335" s="1" t="n">
        <v>0.2</v>
      </c>
      <c r="H5335" s="1" t="s">
        <v>1336</v>
      </c>
      <c r="I5335" s="1" t="n">
        <v>1497.65</v>
      </c>
      <c r="J5335" s="1" t="str">
        <f aca="false">VLOOKUP(B5335,Customers!$A$2:$G$502,6,FALSE())</f>
        <v>Small Business</v>
      </c>
      <c r="K5335" s="1" t="str">
        <f aca="false">VLOOKUP(C5335,Products!$A$2:$E$62,3,FALSE())</f>
        <v>Software</v>
      </c>
      <c r="L5335" s="1" t="str">
        <f aca="false">TEXT(D5335,"yyyy-mm")</f>
        <v>2023-10</v>
      </c>
    </row>
    <row r="5336" customFormat="false" ht="15" hidden="false" customHeight="true" outlineLevel="0" collapsed="false">
      <c r="A5336" s="1" t="n">
        <v>5453</v>
      </c>
      <c r="B5336" s="1" t="n">
        <v>227</v>
      </c>
      <c r="C5336" s="1" t="n">
        <v>11</v>
      </c>
      <c r="D5336" s="1" t="s">
        <v>1700</v>
      </c>
      <c r="E5336" s="1" t="n">
        <v>1</v>
      </c>
      <c r="F5336" s="1" t="n">
        <v>328.39</v>
      </c>
      <c r="G5336" s="1" t="n">
        <v>0.05</v>
      </c>
      <c r="H5336" s="1" t="s">
        <v>1336</v>
      </c>
      <c r="I5336" s="1" t="n">
        <v>311.97</v>
      </c>
      <c r="J5336" s="1" t="str">
        <f aca="false">VLOOKUP(B5336,Customers!$A$2:$G$502,6,FALSE())</f>
        <v>Consumer</v>
      </c>
      <c r="K5336" s="1" t="str">
        <f aca="false">VLOOKUP(C5336,Products!$A$2:$E$62,3,FALSE())</f>
        <v>Electronics</v>
      </c>
      <c r="L5336" s="1" t="str">
        <f aca="false">TEXT(D5336,"yyyy-mm")</f>
        <v>2024-06</v>
      </c>
    </row>
    <row r="5337" customFormat="false" ht="15" hidden="false" customHeight="true" outlineLevel="0" collapsed="false">
      <c r="A5337" s="1" t="n">
        <v>5454</v>
      </c>
      <c r="B5337" s="1" t="n">
        <v>43</v>
      </c>
      <c r="C5337" s="1" t="n">
        <v>4</v>
      </c>
      <c r="D5337" s="1" t="s">
        <v>396</v>
      </c>
      <c r="E5337" s="1" t="n">
        <v>1</v>
      </c>
      <c r="F5337" s="1" t="n">
        <v>56.24</v>
      </c>
      <c r="G5337" s="1" t="n">
        <v>0</v>
      </c>
      <c r="H5337" s="1" t="s">
        <v>1336</v>
      </c>
      <c r="I5337" s="1" t="n">
        <v>56.24</v>
      </c>
      <c r="J5337" s="1" t="str">
        <f aca="false">VLOOKUP(B5337,Customers!$A$2:$G$502,6,FALSE())</f>
        <v>Small Business</v>
      </c>
      <c r="K5337" s="1" t="str">
        <f aca="false">VLOOKUP(C5337,Products!$A$2:$E$62,3,FALSE())</f>
        <v>Electronics</v>
      </c>
      <c r="L5337" s="1" t="str">
        <f aca="false">TEXT(D5337,"yyyy-mm")</f>
        <v>2023-10</v>
      </c>
    </row>
    <row r="5338" customFormat="false" ht="15" hidden="false" customHeight="true" outlineLevel="0" collapsed="false">
      <c r="A5338" s="1" t="n">
        <v>5455</v>
      </c>
      <c r="B5338" s="1" t="n">
        <v>194</v>
      </c>
      <c r="C5338" s="1" t="n">
        <v>56</v>
      </c>
      <c r="D5338" s="1" t="s">
        <v>348</v>
      </c>
      <c r="E5338" s="1" t="n">
        <v>9</v>
      </c>
      <c r="F5338" s="1" t="n">
        <v>160.64</v>
      </c>
      <c r="G5338" s="1" t="n">
        <v>0.2</v>
      </c>
      <c r="H5338" s="1" t="s">
        <v>1336</v>
      </c>
      <c r="I5338" s="1" t="n">
        <v>1156.61</v>
      </c>
      <c r="J5338" s="1" t="str">
        <f aca="false">VLOOKUP(B5338,Customers!$A$2:$G$502,6,FALSE())</f>
        <v>Corporate</v>
      </c>
      <c r="K5338" s="1" t="str">
        <f aca="false">VLOOKUP(C5338,Products!$A$2:$E$62,3,FALSE())</f>
        <v>Furniture</v>
      </c>
      <c r="L5338" s="1" t="str">
        <f aca="false">TEXT(D5338,"yyyy-mm")</f>
        <v>2024-09</v>
      </c>
    </row>
    <row r="5339" customFormat="false" ht="15" hidden="false" customHeight="true" outlineLevel="0" collapsed="false">
      <c r="A5339" s="1" t="n">
        <v>5456</v>
      </c>
      <c r="B5339" s="1" t="n">
        <v>163</v>
      </c>
      <c r="C5339" s="1" t="n">
        <v>32</v>
      </c>
      <c r="D5339" s="1" t="s">
        <v>822</v>
      </c>
      <c r="E5339" s="1" t="n">
        <v>6</v>
      </c>
      <c r="F5339" s="1" t="n">
        <v>492.27</v>
      </c>
      <c r="G5339" s="1" t="n">
        <v>0</v>
      </c>
      <c r="H5339" s="1" t="s">
        <v>1336</v>
      </c>
      <c r="I5339" s="1" t="n">
        <v>2953.62</v>
      </c>
      <c r="J5339" s="1" t="str">
        <f aca="false">VLOOKUP(B5339,Customers!$A$2:$G$502,6,FALSE())</f>
        <v>Small Business</v>
      </c>
      <c r="K5339" s="1" t="str">
        <f aca="false">VLOOKUP(C5339,Products!$A$2:$E$62,3,FALSE())</f>
        <v>Office Supplies</v>
      </c>
      <c r="L5339" s="1" t="str">
        <f aca="false">TEXT(D5339,"yyyy-mm")</f>
        <v>2023-08</v>
      </c>
    </row>
    <row r="5340" customFormat="false" ht="15" hidden="false" customHeight="true" outlineLevel="0" collapsed="false">
      <c r="A5340" s="1" t="n">
        <v>5457</v>
      </c>
      <c r="B5340" s="1" t="n">
        <v>40</v>
      </c>
      <c r="C5340" s="1" t="n">
        <v>46</v>
      </c>
      <c r="D5340" s="1" t="s">
        <v>586</v>
      </c>
      <c r="E5340" s="1" t="n">
        <v>8</v>
      </c>
      <c r="F5340" s="1" t="n">
        <v>94.92</v>
      </c>
      <c r="G5340" s="1" t="n">
        <v>0.05</v>
      </c>
      <c r="H5340" s="1" t="s">
        <v>1336</v>
      </c>
      <c r="I5340" s="1" t="n">
        <v>721.39</v>
      </c>
      <c r="J5340" s="1" t="str">
        <f aca="false">VLOOKUP(B5340,Customers!$A$2:$G$502,6,FALSE())</f>
        <v>Consumer</v>
      </c>
      <c r="K5340" s="1" t="str">
        <f aca="false">VLOOKUP(C5340,Products!$A$2:$E$62,3,FALSE())</f>
        <v>Software</v>
      </c>
      <c r="L5340" s="1" t="str">
        <f aca="false">TEXT(D5340,"yyyy-mm")</f>
        <v>2023-01</v>
      </c>
    </row>
    <row r="5341" customFormat="false" ht="15" hidden="false" customHeight="true" outlineLevel="0" collapsed="false">
      <c r="A5341" s="1" t="n">
        <v>5458</v>
      </c>
      <c r="B5341" s="1" t="n">
        <v>144</v>
      </c>
      <c r="C5341" s="1" t="n">
        <v>16</v>
      </c>
      <c r="D5341" s="1" t="s">
        <v>1566</v>
      </c>
      <c r="E5341" s="1" t="n">
        <v>7</v>
      </c>
      <c r="F5341" s="1" t="n">
        <v>330.91</v>
      </c>
      <c r="G5341" s="1" t="n">
        <v>0</v>
      </c>
      <c r="H5341" s="1" t="s">
        <v>1336</v>
      </c>
      <c r="I5341" s="1" t="n">
        <v>2316.37</v>
      </c>
      <c r="J5341" s="1" t="str">
        <f aca="false">VLOOKUP(B5341,Customers!$A$2:$G$502,6,FALSE())</f>
        <v>Small Business</v>
      </c>
      <c r="K5341" s="1" t="str">
        <f aca="false">VLOOKUP(C5341,Products!$A$2:$E$62,3,FALSE())</f>
        <v>Electronics</v>
      </c>
      <c r="L5341" s="1" t="str">
        <f aca="false">TEXT(D5341,"yyyy-mm")</f>
        <v>2024-12</v>
      </c>
    </row>
    <row r="5342" customFormat="false" ht="15" hidden="false" customHeight="true" outlineLevel="0" collapsed="false">
      <c r="A5342" s="1" t="n">
        <v>5459</v>
      </c>
      <c r="B5342" s="1" t="n">
        <v>271</v>
      </c>
      <c r="C5342" s="1" t="n">
        <v>60</v>
      </c>
      <c r="D5342" s="1" t="s">
        <v>629</v>
      </c>
      <c r="E5342" s="1" t="n">
        <v>6</v>
      </c>
      <c r="F5342" s="1" t="n">
        <v>584.98</v>
      </c>
      <c r="G5342" s="1" t="n">
        <v>0</v>
      </c>
      <c r="H5342" s="1" t="s">
        <v>1336</v>
      </c>
      <c r="I5342" s="1" t="n">
        <v>3509.88</v>
      </c>
      <c r="J5342" s="1" t="str">
        <f aca="false">VLOOKUP(B5342,Customers!$A$2:$G$502,6,FALSE())</f>
        <v>Small Business</v>
      </c>
      <c r="K5342" s="1" t="str">
        <f aca="false">VLOOKUP(C5342,Products!$A$2:$E$62,3,FALSE())</f>
        <v>Furniture</v>
      </c>
      <c r="L5342" s="1" t="str">
        <f aca="false">TEXT(D5342,"yyyy-mm")</f>
        <v>2023-04</v>
      </c>
    </row>
    <row r="5343" customFormat="false" ht="15" hidden="false" customHeight="true" outlineLevel="0" collapsed="false">
      <c r="A5343" s="1" t="n">
        <v>5460</v>
      </c>
      <c r="B5343" s="1" t="n">
        <v>299</v>
      </c>
      <c r="C5343" s="1" t="n">
        <v>14</v>
      </c>
      <c r="D5343" s="1" t="s">
        <v>1600</v>
      </c>
      <c r="E5343" s="1" t="n">
        <v>4</v>
      </c>
      <c r="F5343" s="1" t="n">
        <v>135.27</v>
      </c>
      <c r="G5343" s="1" t="n">
        <v>0</v>
      </c>
      <c r="H5343" s="1" t="s">
        <v>1346</v>
      </c>
      <c r="I5343" s="1" t="n">
        <v>541.08</v>
      </c>
      <c r="J5343" s="1" t="str">
        <f aca="false">VLOOKUP(B5343,Customers!$A$2:$G$502,6,FALSE())</f>
        <v>Small Business</v>
      </c>
      <c r="K5343" s="1" t="str">
        <f aca="false">VLOOKUP(C5343,Products!$A$2:$E$62,3,FALSE())</f>
        <v>Electronics</v>
      </c>
      <c r="L5343" s="1" t="str">
        <f aca="false">TEXT(D5343,"yyyy-mm")</f>
        <v>2024-01</v>
      </c>
    </row>
    <row r="5344" customFormat="false" ht="15" hidden="false" customHeight="true" outlineLevel="0" collapsed="false">
      <c r="A5344" s="1" t="n">
        <v>5461</v>
      </c>
      <c r="B5344" s="1" t="n">
        <v>166</v>
      </c>
      <c r="C5344" s="1" t="n">
        <v>33</v>
      </c>
      <c r="D5344" s="1" t="s">
        <v>1366</v>
      </c>
      <c r="E5344" s="1" t="n">
        <v>7</v>
      </c>
      <c r="F5344" s="1" t="n">
        <v>190.1</v>
      </c>
      <c r="G5344" s="1" t="n">
        <v>0</v>
      </c>
      <c r="H5344" s="1" t="s">
        <v>1336</v>
      </c>
      <c r="I5344" s="1" t="n">
        <v>1330.7</v>
      </c>
      <c r="J5344" s="1" t="str">
        <f aca="false">VLOOKUP(B5344,Customers!$A$2:$G$502,6,FALSE())</f>
        <v>Small Business</v>
      </c>
      <c r="K5344" s="1" t="str">
        <f aca="false">VLOOKUP(C5344,Products!$A$2:$E$62,3,FALSE())</f>
        <v>Office Supplies</v>
      </c>
      <c r="L5344" s="1" t="str">
        <f aca="false">TEXT(D5344,"yyyy-mm")</f>
        <v>2023-11</v>
      </c>
    </row>
    <row r="5345" customFormat="false" ht="15" hidden="false" customHeight="true" outlineLevel="0" collapsed="false">
      <c r="A5345" s="1" t="n">
        <v>5462</v>
      </c>
      <c r="B5345" s="1" t="n">
        <v>113</v>
      </c>
      <c r="C5345" s="1" t="n">
        <v>31</v>
      </c>
      <c r="D5345" s="1" t="s">
        <v>1527</v>
      </c>
      <c r="E5345" s="1" t="n">
        <v>9</v>
      </c>
      <c r="F5345" s="1" t="n">
        <v>224.86</v>
      </c>
      <c r="G5345" s="1" t="n">
        <v>0.15</v>
      </c>
      <c r="H5345" s="1" t="s">
        <v>1336</v>
      </c>
      <c r="I5345" s="1" t="n">
        <v>1720.18</v>
      </c>
      <c r="J5345" s="1" t="str">
        <f aca="false">VLOOKUP(B5345,Customers!$A$2:$G$502,6,FALSE())</f>
        <v>Small Business</v>
      </c>
      <c r="K5345" s="1" t="str">
        <f aca="false">VLOOKUP(C5345,Products!$A$2:$E$62,3,FALSE())</f>
        <v>Office Supplies</v>
      </c>
      <c r="L5345" s="1" t="str">
        <f aca="false">TEXT(D5345,"yyyy-mm")</f>
        <v>2023-02</v>
      </c>
    </row>
    <row r="5346" customFormat="false" ht="15" hidden="false" customHeight="true" outlineLevel="0" collapsed="false">
      <c r="A5346" s="1" t="n">
        <v>5463</v>
      </c>
      <c r="B5346" s="1" t="n">
        <v>237</v>
      </c>
      <c r="C5346" s="1" t="n">
        <v>18</v>
      </c>
      <c r="D5346" s="1" t="s">
        <v>1462</v>
      </c>
      <c r="E5346" s="1" t="n">
        <v>7</v>
      </c>
      <c r="F5346" s="1" t="n">
        <v>747.34</v>
      </c>
      <c r="G5346" s="1" t="n">
        <v>0</v>
      </c>
      <c r="H5346" s="1" t="s">
        <v>1336</v>
      </c>
      <c r="I5346" s="1" t="n">
        <v>5231.38</v>
      </c>
      <c r="J5346" s="1" t="str">
        <f aca="false">VLOOKUP(B5346,Customers!$A$2:$G$502,6,FALSE())</f>
        <v>Consumer</v>
      </c>
      <c r="K5346" s="1" t="str">
        <f aca="false">VLOOKUP(C5346,Products!$A$2:$E$62,3,FALSE())</f>
        <v>Electronics</v>
      </c>
      <c r="L5346" s="1" t="str">
        <f aca="false">TEXT(D5346,"yyyy-mm")</f>
        <v>2024-08</v>
      </c>
    </row>
    <row r="5347" customFormat="false" ht="15" hidden="false" customHeight="true" outlineLevel="0" collapsed="false">
      <c r="A5347" s="1" t="n">
        <v>5464</v>
      </c>
      <c r="B5347" s="1" t="n">
        <v>411</v>
      </c>
      <c r="C5347" s="1" t="n">
        <v>32</v>
      </c>
      <c r="D5347" s="1" t="s">
        <v>1391</v>
      </c>
      <c r="E5347" s="1" t="n">
        <v>1</v>
      </c>
      <c r="F5347" s="1" t="n">
        <v>492.27</v>
      </c>
      <c r="G5347" s="1" t="n">
        <v>0</v>
      </c>
      <c r="H5347" s="1" t="s">
        <v>1336</v>
      </c>
      <c r="I5347" s="1" t="n">
        <v>492.27</v>
      </c>
      <c r="J5347" s="1" t="str">
        <f aca="false">VLOOKUP(B5347,Customers!$A$2:$G$502,6,FALSE())</f>
        <v>Corporate</v>
      </c>
      <c r="K5347" s="1" t="str">
        <f aca="false">VLOOKUP(C5347,Products!$A$2:$E$62,3,FALSE())</f>
        <v>Office Supplies</v>
      </c>
      <c r="L5347" s="1" t="str">
        <f aca="false">TEXT(D5347,"yyyy-mm")</f>
        <v>2023-08</v>
      </c>
    </row>
    <row r="5348" customFormat="false" ht="15" hidden="false" customHeight="true" outlineLevel="0" collapsed="false">
      <c r="A5348" s="1" t="n">
        <v>5465</v>
      </c>
      <c r="B5348" s="1" t="n">
        <v>436</v>
      </c>
      <c r="C5348" s="1" t="n">
        <v>29</v>
      </c>
      <c r="D5348" s="1" t="s">
        <v>1417</v>
      </c>
      <c r="E5348" s="1" t="n">
        <v>9</v>
      </c>
      <c r="F5348" s="1" t="n">
        <v>54.62</v>
      </c>
      <c r="G5348" s="1" t="n">
        <v>0.05</v>
      </c>
      <c r="H5348" s="1" t="s">
        <v>1336</v>
      </c>
      <c r="I5348" s="1" t="n">
        <v>467</v>
      </c>
      <c r="J5348" s="1" t="str">
        <f aca="false">VLOOKUP(B5348,Customers!$A$2:$G$502,6,FALSE())</f>
        <v>Corporate</v>
      </c>
      <c r="K5348" s="1" t="str">
        <f aca="false">VLOOKUP(C5348,Products!$A$2:$E$62,3,FALSE())</f>
        <v>Office Supplies</v>
      </c>
      <c r="L5348" s="1" t="str">
        <f aca="false">TEXT(D5348,"yyyy-mm")</f>
        <v>2023-08</v>
      </c>
    </row>
    <row r="5349" customFormat="false" ht="15" hidden="false" customHeight="true" outlineLevel="0" collapsed="false">
      <c r="A5349" s="1" t="n">
        <v>5466</v>
      </c>
      <c r="B5349" s="1" t="n">
        <v>23</v>
      </c>
      <c r="C5349" s="1" t="n">
        <v>6</v>
      </c>
      <c r="D5349" s="1" t="s">
        <v>1235</v>
      </c>
      <c r="E5349" s="1" t="n">
        <v>4</v>
      </c>
      <c r="F5349" s="1" t="n">
        <v>28.51</v>
      </c>
      <c r="G5349" s="1" t="n">
        <v>0</v>
      </c>
      <c r="H5349" s="1" t="s">
        <v>1336</v>
      </c>
      <c r="I5349" s="1" t="n">
        <v>114.04</v>
      </c>
      <c r="J5349" s="1" t="str">
        <f aca="false">VLOOKUP(B5349,Customers!$A$2:$G$502,6,FALSE())</f>
        <v>Corporate</v>
      </c>
      <c r="K5349" s="1" t="str">
        <f aca="false">VLOOKUP(C5349,Products!$A$2:$E$62,3,FALSE())</f>
        <v>Electronics</v>
      </c>
      <c r="L5349" s="1" t="str">
        <f aca="false">TEXT(D5349,"yyyy-mm")</f>
        <v>2023-01</v>
      </c>
    </row>
    <row r="5350" customFormat="false" ht="15" hidden="false" customHeight="true" outlineLevel="0" collapsed="false">
      <c r="A5350" s="1" t="n">
        <v>5467</v>
      </c>
      <c r="B5350" s="1" t="n">
        <v>40</v>
      </c>
      <c r="C5350" s="1" t="n">
        <v>53</v>
      </c>
      <c r="D5350" s="1" t="s">
        <v>557</v>
      </c>
      <c r="E5350" s="1" t="n">
        <v>3</v>
      </c>
      <c r="F5350" s="1" t="n">
        <v>509.98</v>
      </c>
      <c r="G5350" s="1" t="n">
        <v>0.1</v>
      </c>
      <c r="H5350" s="1" t="s">
        <v>1336</v>
      </c>
      <c r="I5350" s="1" t="n">
        <v>1376.95</v>
      </c>
      <c r="J5350" s="1" t="str">
        <f aca="false">VLOOKUP(B5350,Customers!$A$2:$G$502,6,FALSE())</f>
        <v>Consumer</v>
      </c>
      <c r="K5350" s="1" t="str">
        <f aca="false">VLOOKUP(C5350,Products!$A$2:$E$62,3,FALSE())</f>
        <v>Software</v>
      </c>
      <c r="L5350" s="1" t="str">
        <f aca="false">TEXT(D5350,"yyyy-mm")</f>
        <v>2024-07</v>
      </c>
    </row>
    <row r="5351" customFormat="false" ht="15" hidden="false" customHeight="true" outlineLevel="0" collapsed="false">
      <c r="A5351" s="1" t="n">
        <v>5468</v>
      </c>
      <c r="B5351" s="1" t="n">
        <v>459</v>
      </c>
      <c r="C5351" s="1" t="n">
        <v>17</v>
      </c>
      <c r="D5351" s="1" t="s">
        <v>1573</v>
      </c>
      <c r="E5351" s="1" t="n">
        <v>4</v>
      </c>
      <c r="F5351" s="1" t="n">
        <v>65.61</v>
      </c>
      <c r="G5351" s="1" t="n">
        <v>0</v>
      </c>
      <c r="H5351" s="1" t="s">
        <v>1336</v>
      </c>
      <c r="I5351" s="1" t="n">
        <v>262.44</v>
      </c>
      <c r="J5351" s="1" t="str">
        <f aca="false">VLOOKUP(B5351,Customers!$A$2:$G$502,6,FALSE())</f>
        <v>Small Business</v>
      </c>
      <c r="K5351" s="1" t="str">
        <f aca="false">VLOOKUP(C5351,Products!$A$2:$E$62,3,FALSE())</f>
        <v>Electronics</v>
      </c>
      <c r="L5351" s="1" t="str">
        <f aca="false">TEXT(D5351,"yyyy-mm")</f>
        <v>2023-01</v>
      </c>
    </row>
    <row r="5352" customFormat="false" ht="15" hidden="false" customHeight="true" outlineLevel="0" collapsed="false">
      <c r="A5352" s="1" t="n">
        <v>5469</v>
      </c>
      <c r="B5352" s="1" t="n">
        <v>355</v>
      </c>
      <c r="C5352" s="1" t="n">
        <v>38</v>
      </c>
      <c r="D5352" s="1" t="s">
        <v>1557</v>
      </c>
      <c r="E5352" s="1" t="n">
        <v>4</v>
      </c>
      <c r="F5352" s="1" t="n">
        <v>521.63</v>
      </c>
      <c r="G5352" s="1" t="n">
        <v>0.05</v>
      </c>
      <c r="H5352" s="1" t="s">
        <v>1336</v>
      </c>
      <c r="I5352" s="1" t="n">
        <v>1982.19</v>
      </c>
      <c r="J5352" s="1" t="str">
        <f aca="false">VLOOKUP(B5352,Customers!$A$2:$G$502,6,FALSE())</f>
        <v>Corporate</v>
      </c>
      <c r="K5352" s="1" t="str">
        <f aca="false">VLOOKUP(C5352,Products!$A$2:$E$62,3,FALSE())</f>
        <v>Software</v>
      </c>
      <c r="L5352" s="1" t="str">
        <f aca="false">TEXT(D5352,"yyyy-mm")</f>
        <v>2024-03</v>
      </c>
    </row>
    <row r="5353" customFormat="false" ht="15" hidden="false" customHeight="true" outlineLevel="0" collapsed="false">
      <c r="A5353" s="1" t="n">
        <v>5470</v>
      </c>
      <c r="B5353" s="1" t="n">
        <v>487</v>
      </c>
      <c r="C5353" s="1" t="n">
        <v>18</v>
      </c>
      <c r="D5353" s="1" t="s">
        <v>1646</v>
      </c>
      <c r="E5353" s="1" t="n">
        <v>2</v>
      </c>
      <c r="F5353" s="1" t="n">
        <v>747.34</v>
      </c>
      <c r="G5353" s="1" t="n">
        <v>0</v>
      </c>
      <c r="H5353" s="1" t="s">
        <v>1336</v>
      </c>
      <c r="I5353" s="1" t="n">
        <v>1494.68</v>
      </c>
      <c r="J5353" s="1" t="str">
        <f aca="false">VLOOKUP(B5353,Customers!$A$2:$G$502,6,FALSE())</f>
        <v>Small Business</v>
      </c>
      <c r="K5353" s="1" t="str">
        <f aca="false">VLOOKUP(C5353,Products!$A$2:$E$62,3,FALSE())</f>
        <v>Electronics</v>
      </c>
      <c r="L5353" s="1" t="str">
        <f aca="false">TEXT(D5353,"yyyy-mm")</f>
        <v>2023-09</v>
      </c>
    </row>
    <row r="5354" customFormat="false" ht="15" hidden="false" customHeight="true" outlineLevel="0" collapsed="false">
      <c r="A5354" s="1" t="n">
        <v>5471</v>
      </c>
      <c r="B5354" s="1" t="n">
        <v>33</v>
      </c>
      <c r="C5354" s="1" t="n">
        <v>54</v>
      </c>
      <c r="D5354" s="1" t="s">
        <v>1640</v>
      </c>
      <c r="E5354" s="1" t="n">
        <v>1</v>
      </c>
      <c r="F5354" s="1" t="n">
        <v>312.01</v>
      </c>
      <c r="G5354" s="1" t="n">
        <v>0.15</v>
      </c>
      <c r="H5354" s="1" t="s">
        <v>1336</v>
      </c>
      <c r="I5354" s="1" t="n">
        <v>265.21</v>
      </c>
      <c r="J5354" s="1" t="str">
        <f aca="false">VLOOKUP(B5354,Customers!$A$2:$G$502,6,FALSE())</f>
        <v>Corporate</v>
      </c>
      <c r="K5354" s="1" t="str">
        <f aca="false">VLOOKUP(C5354,Products!$A$2:$E$62,3,FALSE())</f>
        <v>Software</v>
      </c>
      <c r="L5354" s="1" t="str">
        <f aca="false">TEXT(D5354,"yyyy-mm")</f>
        <v>2024-07</v>
      </c>
    </row>
    <row r="5355" customFormat="false" ht="15" hidden="false" customHeight="true" outlineLevel="0" collapsed="false">
      <c r="A5355" s="1" t="n">
        <v>5472</v>
      </c>
      <c r="B5355" s="1" t="n">
        <v>27</v>
      </c>
      <c r="C5355" s="1" t="n">
        <v>6</v>
      </c>
      <c r="D5355" s="1" t="s">
        <v>51</v>
      </c>
      <c r="E5355" s="1" t="n">
        <v>1</v>
      </c>
      <c r="F5355" s="1" t="n">
        <v>28.51</v>
      </c>
      <c r="G5355" s="1" t="n">
        <v>0.15</v>
      </c>
      <c r="H5355" s="1" t="s">
        <v>1336</v>
      </c>
      <c r="I5355" s="1" t="n">
        <v>24.23</v>
      </c>
      <c r="J5355" s="1" t="str">
        <f aca="false">VLOOKUP(B5355,Customers!$A$2:$G$502,6,FALSE())</f>
        <v>Small Business</v>
      </c>
      <c r="K5355" s="1" t="str">
        <f aca="false">VLOOKUP(C5355,Products!$A$2:$E$62,3,FALSE())</f>
        <v>Electronics</v>
      </c>
      <c r="L5355" s="1" t="str">
        <f aca="false">TEXT(D5355,"yyyy-mm")</f>
        <v>2023-11</v>
      </c>
    </row>
    <row r="5356" customFormat="false" ht="15" hidden="false" customHeight="true" outlineLevel="0" collapsed="false">
      <c r="A5356" s="1" t="n">
        <v>5473</v>
      </c>
      <c r="B5356" s="1" t="n">
        <v>313</v>
      </c>
      <c r="C5356" s="1" t="n">
        <v>59</v>
      </c>
      <c r="D5356" s="1" t="s">
        <v>1484</v>
      </c>
      <c r="E5356" s="1" t="n">
        <v>8</v>
      </c>
      <c r="F5356" s="1" t="n">
        <v>438.89</v>
      </c>
      <c r="G5356" s="1" t="n">
        <v>0.05</v>
      </c>
      <c r="H5356" s="1" t="s">
        <v>1336</v>
      </c>
      <c r="I5356" s="1" t="n">
        <v>3335.56</v>
      </c>
      <c r="J5356" s="1" t="str">
        <f aca="false">VLOOKUP(B5356,Customers!$A$2:$G$502,6,FALSE())</f>
        <v>Consumer</v>
      </c>
      <c r="K5356" s="1" t="str">
        <f aca="false">VLOOKUP(C5356,Products!$A$2:$E$62,3,FALSE())</f>
        <v>Furniture</v>
      </c>
      <c r="L5356" s="1" t="str">
        <f aca="false">TEXT(D5356,"yyyy-mm")</f>
        <v>2024-10</v>
      </c>
    </row>
    <row r="5357" customFormat="false" ht="15" hidden="false" customHeight="true" outlineLevel="0" collapsed="false">
      <c r="A5357" s="1" t="n">
        <v>5474</v>
      </c>
      <c r="B5357" s="1" t="n">
        <v>98</v>
      </c>
      <c r="C5357" s="1" t="n">
        <v>52</v>
      </c>
      <c r="D5357" s="1" t="s">
        <v>1642</v>
      </c>
      <c r="E5357" s="1" t="n">
        <v>2</v>
      </c>
      <c r="F5357" s="1" t="n">
        <v>207.67</v>
      </c>
      <c r="G5357" s="1" t="n">
        <v>0.2</v>
      </c>
      <c r="H5357" s="1" t="s">
        <v>1336</v>
      </c>
      <c r="I5357" s="1" t="n">
        <v>332.27</v>
      </c>
      <c r="J5357" s="1" t="str">
        <f aca="false">VLOOKUP(B5357,Customers!$A$2:$G$502,6,FALSE())</f>
        <v>Corporate</v>
      </c>
      <c r="K5357" s="1" t="str">
        <f aca="false">VLOOKUP(C5357,Products!$A$2:$E$62,3,FALSE())</f>
        <v>Software</v>
      </c>
      <c r="L5357" s="1" t="str">
        <f aca="false">TEXT(D5357,"yyyy-mm")</f>
        <v>2024-12</v>
      </c>
    </row>
    <row r="5358" customFormat="false" ht="15" hidden="false" customHeight="true" outlineLevel="0" collapsed="false">
      <c r="A5358" s="1" t="n">
        <v>5475</v>
      </c>
      <c r="B5358" s="1" t="n">
        <v>311</v>
      </c>
      <c r="C5358" s="1" t="n">
        <v>28</v>
      </c>
      <c r="D5358" s="1" t="s">
        <v>635</v>
      </c>
      <c r="E5358" s="1" t="n">
        <v>5</v>
      </c>
      <c r="F5358" s="1" t="n">
        <v>505.23</v>
      </c>
      <c r="G5358" s="1" t="n">
        <v>0</v>
      </c>
      <c r="H5358" s="1" t="s">
        <v>1336</v>
      </c>
      <c r="I5358" s="1" t="n">
        <v>2526.15</v>
      </c>
      <c r="J5358" s="1" t="str">
        <f aca="false">VLOOKUP(B5358,Customers!$A$2:$G$502,6,FALSE())</f>
        <v>Consumer</v>
      </c>
      <c r="K5358" s="1" t="str">
        <f aca="false">VLOOKUP(C5358,Products!$A$2:$E$62,3,FALSE())</f>
        <v>Office Supplies</v>
      </c>
      <c r="L5358" s="1" t="str">
        <f aca="false">TEXT(D5358,"yyyy-mm")</f>
        <v>2024-03</v>
      </c>
    </row>
    <row r="5359" customFormat="false" ht="15" hidden="false" customHeight="true" outlineLevel="0" collapsed="false">
      <c r="A5359" s="1" t="n">
        <v>5476</v>
      </c>
      <c r="B5359" s="1" t="n">
        <v>193</v>
      </c>
      <c r="C5359" s="1" t="n">
        <v>10</v>
      </c>
      <c r="D5359" s="1" t="s">
        <v>617</v>
      </c>
      <c r="E5359" s="1" t="n">
        <v>4</v>
      </c>
      <c r="F5359" s="1" t="n">
        <v>251.58</v>
      </c>
      <c r="G5359" s="1" t="n">
        <v>0.05</v>
      </c>
      <c r="H5359" s="1" t="s">
        <v>1336</v>
      </c>
      <c r="I5359" s="1" t="n">
        <v>956</v>
      </c>
      <c r="J5359" s="1" t="str">
        <f aca="false">VLOOKUP(B5359,Customers!$A$2:$G$502,6,FALSE())</f>
        <v>Consumer</v>
      </c>
      <c r="K5359" s="1" t="str">
        <f aca="false">VLOOKUP(C5359,Products!$A$2:$E$62,3,FALSE())</f>
        <v>Electronics</v>
      </c>
      <c r="L5359" s="1" t="str">
        <f aca="false">TEXT(D5359,"yyyy-mm")</f>
        <v>2023-11</v>
      </c>
    </row>
    <row r="5360" customFormat="false" ht="15" hidden="false" customHeight="true" outlineLevel="0" collapsed="false">
      <c r="A5360" s="1" t="n">
        <v>5477</v>
      </c>
      <c r="B5360" s="1" t="n">
        <v>443</v>
      </c>
      <c r="C5360" s="1" t="n">
        <v>17</v>
      </c>
      <c r="D5360" s="1" t="s">
        <v>1527</v>
      </c>
      <c r="E5360" s="1" t="n">
        <v>8</v>
      </c>
      <c r="F5360" s="1" t="n">
        <v>65.61</v>
      </c>
      <c r="G5360" s="1" t="n">
        <v>0.05</v>
      </c>
      <c r="H5360" s="1" t="s">
        <v>1336</v>
      </c>
      <c r="I5360" s="1" t="n">
        <v>498.64</v>
      </c>
      <c r="J5360" s="1" t="str">
        <f aca="false">VLOOKUP(B5360,Customers!$A$2:$G$502,6,FALSE())</f>
        <v>Consumer</v>
      </c>
      <c r="K5360" s="1" t="str">
        <f aca="false">VLOOKUP(C5360,Products!$A$2:$E$62,3,FALSE())</f>
        <v>Electronics</v>
      </c>
      <c r="L5360" s="1" t="str">
        <f aca="false">TEXT(D5360,"yyyy-mm")</f>
        <v>2023-02</v>
      </c>
    </row>
    <row r="5361" customFormat="false" ht="15" hidden="false" customHeight="true" outlineLevel="0" collapsed="false">
      <c r="A5361" s="1" t="n">
        <v>5478</v>
      </c>
      <c r="B5361" s="1" t="n">
        <v>388</v>
      </c>
      <c r="C5361" s="1" t="n">
        <v>8</v>
      </c>
      <c r="D5361" s="1" t="s">
        <v>1348</v>
      </c>
      <c r="E5361" s="1" t="n">
        <v>2</v>
      </c>
      <c r="F5361" s="1" t="n">
        <v>104.4</v>
      </c>
      <c r="G5361" s="1" t="n">
        <v>0</v>
      </c>
      <c r="H5361" s="1" t="s">
        <v>1336</v>
      </c>
      <c r="I5361" s="1" t="n">
        <v>208.8</v>
      </c>
      <c r="J5361" s="1" t="str">
        <f aca="false">VLOOKUP(B5361,Customers!$A$2:$G$502,6,FALSE())</f>
        <v>Corporate</v>
      </c>
      <c r="K5361" s="1" t="str">
        <f aca="false">VLOOKUP(C5361,Products!$A$2:$E$62,3,FALSE())</f>
        <v>Electronics</v>
      </c>
      <c r="L5361" s="1" t="str">
        <f aca="false">TEXT(D5361,"yyyy-mm")</f>
        <v>2024-05</v>
      </c>
    </row>
    <row r="5362" customFormat="false" ht="15" hidden="false" customHeight="true" outlineLevel="0" collapsed="false">
      <c r="A5362" s="1" t="n">
        <v>5479</v>
      </c>
      <c r="B5362" s="1" t="n">
        <v>398</v>
      </c>
      <c r="C5362" s="1" t="n">
        <v>32</v>
      </c>
      <c r="D5362" s="1" t="s">
        <v>1188</v>
      </c>
      <c r="E5362" s="1" t="n">
        <v>9</v>
      </c>
      <c r="F5362" s="1" t="n">
        <v>492.27</v>
      </c>
      <c r="G5362" s="1" t="n">
        <v>0.2</v>
      </c>
      <c r="H5362" s="1" t="s">
        <v>1336</v>
      </c>
      <c r="I5362" s="1" t="n">
        <v>3544.34</v>
      </c>
      <c r="J5362" s="1" t="str">
        <f aca="false">VLOOKUP(B5362,Customers!$A$2:$G$502,6,FALSE())</f>
        <v>Small Business</v>
      </c>
      <c r="K5362" s="1" t="str">
        <f aca="false">VLOOKUP(C5362,Products!$A$2:$E$62,3,FALSE())</f>
        <v>Office Supplies</v>
      </c>
      <c r="L5362" s="1" t="str">
        <f aca="false">TEXT(D5362,"yyyy-mm")</f>
        <v>2023-04</v>
      </c>
    </row>
    <row r="5363" customFormat="false" ht="15" hidden="false" customHeight="true" outlineLevel="0" collapsed="false">
      <c r="A5363" s="1" t="n">
        <v>5480</v>
      </c>
      <c r="B5363" s="1" t="n">
        <v>29</v>
      </c>
      <c r="C5363" s="1" t="n">
        <v>24</v>
      </c>
      <c r="D5363" s="1" t="s">
        <v>243</v>
      </c>
      <c r="E5363" s="1" t="n">
        <v>7</v>
      </c>
      <c r="F5363" s="1" t="n">
        <v>207.34</v>
      </c>
      <c r="G5363" s="1" t="n">
        <v>0</v>
      </c>
      <c r="H5363" s="1" t="s">
        <v>1370</v>
      </c>
      <c r="I5363" s="1" t="n">
        <v>1451.38</v>
      </c>
      <c r="J5363" s="1" t="str">
        <f aca="false">VLOOKUP(B5363,Customers!$A$2:$G$502,6,FALSE())</f>
        <v>Small Business</v>
      </c>
      <c r="K5363" s="1" t="str">
        <f aca="false">VLOOKUP(C5363,Products!$A$2:$E$62,3,FALSE())</f>
        <v>Office Supplies</v>
      </c>
      <c r="L5363" s="1" t="str">
        <f aca="false">TEXT(D5363,"yyyy-mm")</f>
        <v>2024-07</v>
      </c>
    </row>
    <row r="5364" customFormat="false" ht="15" hidden="false" customHeight="true" outlineLevel="0" collapsed="false">
      <c r="A5364" s="1" t="n">
        <v>5481</v>
      </c>
      <c r="B5364" s="1" t="n">
        <v>182</v>
      </c>
      <c r="C5364" s="1" t="n">
        <v>59</v>
      </c>
      <c r="D5364" s="1" t="s">
        <v>1038</v>
      </c>
      <c r="E5364" s="1" t="n">
        <v>7</v>
      </c>
      <c r="F5364" s="1" t="n">
        <v>438.89</v>
      </c>
      <c r="G5364" s="1" t="n">
        <v>0</v>
      </c>
      <c r="H5364" s="1" t="s">
        <v>1336</v>
      </c>
      <c r="I5364" s="1" t="n">
        <v>3072.23</v>
      </c>
      <c r="J5364" s="1" t="str">
        <f aca="false">VLOOKUP(B5364,Customers!$A$2:$G$502,6,FALSE())</f>
        <v>Unknown</v>
      </c>
      <c r="K5364" s="1" t="str">
        <f aca="false">VLOOKUP(C5364,Products!$A$2:$E$62,3,FALSE())</f>
        <v>Furniture</v>
      </c>
      <c r="L5364" s="1" t="str">
        <f aca="false">TEXT(D5364,"yyyy-mm")</f>
        <v>2024-05</v>
      </c>
    </row>
    <row r="5365" customFormat="false" ht="15" hidden="false" customHeight="true" outlineLevel="0" collapsed="false">
      <c r="A5365" s="1" t="n">
        <v>5482</v>
      </c>
      <c r="B5365" s="1" t="n">
        <v>491</v>
      </c>
      <c r="C5365" s="1" t="n">
        <v>21</v>
      </c>
      <c r="D5365" s="1" t="s">
        <v>183</v>
      </c>
      <c r="E5365" s="1" t="n">
        <v>1</v>
      </c>
      <c r="F5365" s="1" t="n">
        <v>84.91</v>
      </c>
      <c r="G5365" s="1" t="n">
        <v>0</v>
      </c>
      <c r="H5365" s="1" t="s">
        <v>1336</v>
      </c>
      <c r="I5365" s="1" t="n">
        <v>84.91</v>
      </c>
      <c r="J5365" s="1" t="str">
        <f aca="false">VLOOKUP(B5365,Customers!$A$2:$G$502,6,FALSE())</f>
        <v>Small Business</v>
      </c>
      <c r="K5365" s="1" t="str">
        <f aca="false">VLOOKUP(C5365,Products!$A$2:$E$62,3,FALSE())</f>
        <v>Office Supplies</v>
      </c>
      <c r="L5365" s="1" t="str">
        <f aca="false">TEXT(D5365,"yyyy-mm")</f>
        <v>2023-02</v>
      </c>
    </row>
    <row r="5366" customFormat="false" ht="15" hidden="false" customHeight="true" outlineLevel="0" collapsed="false">
      <c r="A5366" s="1" t="n">
        <v>5483</v>
      </c>
      <c r="B5366" s="1" t="n">
        <v>143</v>
      </c>
      <c r="C5366" s="1" t="n">
        <v>48</v>
      </c>
      <c r="D5366" s="1" t="s">
        <v>496</v>
      </c>
      <c r="E5366" s="1" t="n">
        <v>2</v>
      </c>
      <c r="F5366" s="1" t="n">
        <v>493.53</v>
      </c>
      <c r="G5366" s="1" t="n">
        <v>0.1</v>
      </c>
      <c r="H5366" s="1" t="s">
        <v>1370</v>
      </c>
      <c r="I5366" s="1" t="n">
        <v>888.35</v>
      </c>
      <c r="J5366" s="1" t="str">
        <f aca="false">VLOOKUP(B5366,Customers!$A$2:$G$502,6,FALSE())</f>
        <v>Small Business</v>
      </c>
      <c r="K5366" s="1" t="str">
        <f aca="false">VLOOKUP(C5366,Products!$A$2:$E$62,3,FALSE())</f>
        <v>Software</v>
      </c>
      <c r="L5366" s="1" t="str">
        <f aca="false">TEXT(D5366,"yyyy-mm")</f>
        <v>2023-05</v>
      </c>
    </row>
    <row r="5367" customFormat="false" ht="15" hidden="false" customHeight="true" outlineLevel="0" collapsed="false">
      <c r="A5367" s="1" t="n">
        <v>5484</v>
      </c>
      <c r="B5367" s="1" t="n">
        <v>405</v>
      </c>
      <c r="C5367" s="1" t="n">
        <v>41</v>
      </c>
      <c r="D5367" s="1" t="s">
        <v>499</v>
      </c>
      <c r="E5367" s="1" t="n">
        <v>4</v>
      </c>
      <c r="F5367" s="1" t="n">
        <v>594.54</v>
      </c>
      <c r="G5367" s="1" t="n">
        <v>0.1</v>
      </c>
      <c r="H5367" s="1" t="s">
        <v>1336</v>
      </c>
      <c r="I5367" s="1" t="n">
        <v>2140.34</v>
      </c>
      <c r="J5367" s="1" t="str">
        <f aca="false">VLOOKUP(B5367,Customers!$A$2:$G$502,6,FALSE())</f>
        <v>Small Business</v>
      </c>
      <c r="K5367" s="1" t="str">
        <f aca="false">VLOOKUP(C5367,Products!$A$2:$E$62,3,FALSE())</f>
        <v>Software</v>
      </c>
      <c r="L5367" s="1" t="str">
        <f aca="false">TEXT(D5367,"yyyy-mm")</f>
        <v>2023-01</v>
      </c>
    </row>
    <row r="5368" customFormat="false" ht="15" hidden="false" customHeight="true" outlineLevel="0" collapsed="false">
      <c r="A5368" s="1" t="n">
        <v>5485</v>
      </c>
      <c r="B5368" s="1" t="n">
        <v>420</v>
      </c>
      <c r="C5368" s="1" t="n">
        <v>8</v>
      </c>
      <c r="D5368" s="1" t="s">
        <v>1644</v>
      </c>
      <c r="E5368" s="1" t="n">
        <v>4</v>
      </c>
      <c r="F5368" s="1" t="n">
        <v>104.4</v>
      </c>
      <c r="G5368" s="1" t="n">
        <v>0.05</v>
      </c>
      <c r="H5368" s="1" t="s">
        <v>1336</v>
      </c>
      <c r="I5368" s="1" t="n">
        <v>396.72</v>
      </c>
      <c r="J5368" s="1" t="str">
        <f aca="false">VLOOKUP(B5368,Customers!$A$2:$G$502,6,FALSE())</f>
        <v>Small Business</v>
      </c>
      <c r="K5368" s="1" t="str">
        <f aca="false">VLOOKUP(C5368,Products!$A$2:$E$62,3,FALSE())</f>
        <v>Electronics</v>
      </c>
      <c r="L5368" s="1" t="str">
        <f aca="false">TEXT(D5368,"yyyy-mm")</f>
        <v>2023-08</v>
      </c>
    </row>
    <row r="5369" customFormat="false" ht="15" hidden="false" customHeight="true" outlineLevel="0" collapsed="false">
      <c r="A5369" s="1" t="n">
        <v>5486</v>
      </c>
      <c r="B5369" s="1" t="n">
        <v>211</v>
      </c>
      <c r="C5369" s="1" t="n">
        <v>33</v>
      </c>
      <c r="D5369" s="1" t="s">
        <v>1542</v>
      </c>
      <c r="E5369" s="1" t="n">
        <v>3</v>
      </c>
      <c r="F5369" s="1" t="n">
        <v>190.1</v>
      </c>
      <c r="G5369" s="1" t="n">
        <v>0.1</v>
      </c>
      <c r="H5369" s="1" t="s">
        <v>1370</v>
      </c>
      <c r="I5369" s="1" t="n">
        <v>513.27</v>
      </c>
      <c r="J5369" s="1" t="str">
        <f aca="false">VLOOKUP(B5369,Customers!$A$2:$G$502,6,FALSE())</f>
        <v>Consumer</v>
      </c>
      <c r="K5369" s="1" t="str">
        <f aca="false">VLOOKUP(C5369,Products!$A$2:$E$62,3,FALSE())</f>
        <v>Office Supplies</v>
      </c>
      <c r="L5369" s="1" t="str">
        <f aca="false">TEXT(D5369,"yyyy-mm")</f>
        <v>2023-09</v>
      </c>
    </row>
    <row r="5370" customFormat="false" ht="15" hidden="false" customHeight="true" outlineLevel="0" collapsed="false">
      <c r="A5370" s="1" t="n">
        <v>5487</v>
      </c>
      <c r="B5370" s="1" t="n">
        <v>211</v>
      </c>
      <c r="C5370" s="1" t="n">
        <v>47</v>
      </c>
      <c r="D5370" s="1" t="s">
        <v>786</v>
      </c>
      <c r="E5370" s="1" t="n">
        <v>7</v>
      </c>
      <c r="F5370" s="1" t="n">
        <v>506.19</v>
      </c>
      <c r="G5370" s="1" t="n">
        <v>0.15</v>
      </c>
      <c r="H5370" s="1" t="s">
        <v>1336</v>
      </c>
      <c r="I5370" s="1" t="n">
        <v>3011.83</v>
      </c>
      <c r="J5370" s="1" t="str">
        <f aca="false">VLOOKUP(B5370,Customers!$A$2:$G$502,6,FALSE())</f>
        <v>Consumer</v>
      </c>
      <c r="K5370" s="1" t="str">
        <f aca="false">VLOOKUP(C5370,Products!$A$2:$E$62,3,FALSE())</f>
        <v>Software</v>
      </c>
      <c r="L5370" s="1" t="str">
        <f aca="false">TEXT(D5370,"yyyy-mm")</f>
        <v>2024-07</v>
      </c>
    </row>
    <row r="5371" customFormat="false" ht="15" hidden="false" customHeight="true" outlineLevel="0" collapsed="false">
      <c r="A5371" s="1" t="n">
        <v>5488</v>
      </c>
      <c r="B5371" s="1" t="n">
        <v>228</v>
      </c>
      <c r="C5371" s="1" t="n">
        <v>25</v>
      </c>
      <c r="D5371" s="1" t="s">
        <v>719</v>
      </c>
      <c r="E5371" s="1" t="n">
        <v>8</v>
      </c>
      <c r="F5371" s="1" t="n">
        <v>300.49</v>
      </c>
      <c r="G5371" s="1" t="n">
        <v>0.1</v>
      </c>
      <c r="H5371" s="1" t="s">
        <v>1336</v>
      </c>
      <c r="I5371" s="1" t="n">
        <v>2163.53</v>
      </c>
      <c r="J5371" s="1" t="str">
        <f aca="false">VLOOKUP(B5371,Customers!$A$2:$G$502,6,FALSE())</f>
        <v>Small Business</v>
      </c>
      <c r="K5371" s="1" t="str">
        <f aca="false">VLOOKUP(C5371,Products!$A$2:$E$62,3,FALSE())</f>
        <v>Office Supplies</v>
      </c>
      <c r="L5371" s="1" t="str">
        <f aca="false">TEXT(D5371,"yyyy-mm")</f>
        <v>2024-11</v>
      </c>
    </row>
    <row r="5372" customFormat="false" ht="15" hidden="false" customHeight="true" outlineLevel="0" collapsed="false">
      <c r="A5372" s="1" t="n">
        <v>5489</v>
      </c>
      <c r="B5372" s="1" t="n">
        <v>462</v>
      </c>
      <c r="C5372" s="1" t="n">
        <v>17</v>
      </c>
      <c r="D5372" s="1" t="s">
        <v>822</v>
      </c>
      <c r="E5372" s="1" t="n">
        <v>2</v>
      </c>
      <c r="F5372" s="1" t="n">
        <v>65.61</v>
      </c>
      <c r="G5372" s="1" t="n">
        <v>0.05</v>
      </c>
      <c r="H5372" s="1" t="s">
        <v>1336</v>
      </c>
      <c r="I5372" s="1" t="n">
        <v>124.66</v>
      </c>
      <c r="J5372" s="1" t="str">
        <f aca="false">VLOOKUP(B5372,Customers!$A$2:$G$502,6,FALSE())</f>
        <v>Small Business</v>
      </c>
      <c r="K5372" s="1" t="str">
        <f aca="false">VLOOKUP(C5372,Products!$A$2:$E$62,3,FALSE())</f>
        <v>Electronics</v>
      </c>
      <c r="L5372" s="1" t="str">
        <f aca="false">TEXT(D5372,"yyyy-mm")</f>
        <v>2023-08</v>
      </c>
    </row>
    <row r="5373" customFormat="false" ht="15" hidden="false" customHeight="true" outlineLevel="0" collapsed="false">
      <c r="A5373" s="1" t="n">
        <v>5490</v>
      </c>
      <c r="B5373" s="1" t="n">
        <v>384</v>
      </c>
      <c r="C5373" s="1" t="n">
        <v>42</v>
      </c>
      <c r="D5373" s="1" t="s">
        <v>552</v>
      </c>
      <c r="E5373" s="1" t="n">
        <v>4</v>
      </c>
      <c r="F5373" s="1" t="n">
        <v>174.48</v>
      </c>
      <c r="G5373" s="1" t="n">
        <v>0.05</v>
      </c>
      <c r="H5373" s="1" t="s">
        <v>1336</v>
      </c>
      <c r="I5373" s="1" t="n">
        <v>663.02</v>
      </c>
      <c r="J5373" s="1" t="str">
        <f aca="false">VLOOKUP(B5373,Customers!$A$2:$G$502,6,FALSE())</f>
        <v>Corporate</v>
      </c>
      <c r="K5373" s="1" t="str">
        <f aca="false">VLOOKUP(C5373,Products!$A$2:$E$62,3,FALSE())</f>
        <v>Software</v>
      </c>
      <c r="L5373" s="1" t="str">
        <f aca="false">TEXT(D5373,"yyyy-mm")</f>
        <v>2024-04</v>
      </c>
    </row>
    <row r="5374" customFormat="false" ht="15" hidden="false" customHeight="true" outlineLevel="0" collapsed="false">
      <c r="A5374" s="1" t="n">
        <v>5491</v>
      </c>
      <c r="B5374" s="1" t="n">
        <v>444</v>
      </c>
      <c r="C5374" s="1" t="n">
        <v>30</v>
      </c>
      <c r="D5374" s="1" t="s">
        <v>1453</v>
      </c>
      <c r="E5374" s="1" t="n">
        <v>3</v>
      </c>
      <c r="F5374" s="1" t="n">
        <v>33.32</v>
      </c>
      <c r="G5374" s="1" t="n">
        <v>0</v>
      </c>
      <c r="H5374" s="1" t="s">
        <v>1336</v>
      </c>
      <c r="I5374" s="1" t="n">
        <v>99.96</v>
      </c>
      <c r="J5374" s="1" t="str">
        <f aca="false">VLOOKUP(B5374,Customers!$A$2:$G$502,6,FALSE())</f>
        <v>Small Business</v>
      </c>
      <c r="K5374" s="1" t="str">
        <f aca="false">VLOOKUP(C5374,Products!$A$2:$E$62,3,FALSE())</f>
        <v>Office Supplies</v>
      </c>
      <c r="L5374" s="1" t="str">
        <f aca="false">TEXT(D5374,"yyyy-mm")</f>
        <v>2023-03</v>
      </c>
    </row>
    <row r="5375" customFormat="false" ht="15" hidden="false" customHeight="true" outlineLevel="0" collapsed="false">
      <c r="A5375" s="1" t="n">
        <v>5492</v>
      </c>
      <c r="B5375" s="1" t="n">
        <v>426</v>
      </c>
      <c r="C5375" s="1" t="n">
        <v>56</v>
      </c>
      <c r="D5375" s="1" t="s">
        <v>583</v>
      </c>
      <c r="E5375" s="1" t="n">
        <v>2</v>
      </c>
      <c r="F5375" s="1" t="n">
        <v>160.64</v>
      </c>
      <c r="G5375" s="1" t="n">
        <v>0</v>
      </c>
      <c r="H5375" s="1" t="s">
        <v>1336</v>
      </c>
      <c r="I5375" s="1" t="n">
        <v>321.28</v>
      </c>
      <c r="J5375" s="1" t="str">
        <f aca="false">VLOOKUP(B5375,Customers!$A$2:$G$502,6,FALSE())</f>
        <v>Consumer</v>
      </c>
      <c r="K5375" s="1" t="str">
        <f aca="false">VLOOKUP(C5375,Products!$A$2:$E$62,3,FALSE())</f>
        <v>Furniture</v>
      </c>
      <c r="L5375" s="1" t="str">
        <f aca="false">TEXT(D5375,"yyyy-mm")</f>
        <v>2024-04</v>
      </c>
    </row>
    <row r="5376" customFormat="false" ht="15" hidden="false" customHeight="true" outlineLevel="0" collapsed="false">
      <c r="A5376" s="1" t="n">
        <v>5493</v>
      </c>
      <c r="B5376" s="1" t="n">
        <v>3</v>
      </c>
      <c r="C5376" s="1" t="n">
        <v>58</v>
      </c>
      <c r="D5376" s="1" t="s">
        <v>671</v>
      </c>
      <c r="E5376" s="1" t="n">
        <v>6</v>
      </c>
      <c r="F5376" s="1" t="n">
        <v>515.55</v>
      </c>
      <c r="G5376" s="1" t="n">
        <v>0.05</v>
      </c>
      <c r="H5376" s="1" t="s">
        <v>1336</v>
      </c>
      <c r="I5376" s="1" t="n">
        <v>2938.64</v>
      </c>
      <c r="J5376" s="1" t="str">
        <f aca="false">VLOOKUP(B5376,Customers!$A$2:$G$502,6,FALSE())</f>
        <v>Corporate</v>
      </c>
      <c r="K5376" s="1" t="str">
        <f aca="false">VLOOKUP(C5376,Products!$A$2:$E$62,3,FALSE())</f>
        <v>Furniture</v>
      </c>
      <c r="L5376" s="1" t="str">
        <f aca="false">TEXT(D5376,"yyyy-mm")</f>
        <v>2024-04</v>
      </c>
    </row>
    <row r="5377" customFormat="false" ht="15" hidden="false" customHeight="true" outlineLevel="0" collapsed="false">
      <c r="A5377" s="1" t="n">
        <v>5494</v>
      </c>
      <c r="B5377" s="1" t="n">
        <v>234</v>
      </c>
      <c r="C5377" s="1" t="n">
        <v>28</v>
      </c>
      <c r="D5377" s="1" t="s">
        <v>260</v>
      </c>
      <c r="E5377" s="1" t="n">
        <v>4</v>
      </c>
      <c r="F5377" s="1" t="n">
        <v>505.23</v>
      </c>
      <c r="G5377" s="1" t="n">
        <v>0.1</v>
      </c>
      <c r="H5377" s="1" t="s">
        <v>1336</v>
      </c>
      <c r="I5377" s="1" t="n">
        <v>1818.83</v>
      </c>
      <c r="J5377" s="1" t="str">
        <f aca="false">VLOOKUP(B5377,Customers!$A$2:$G$502,6,FALSE())</f>
        <v>Small Business</v>
      </c>
      <c r="K5377" s="1" t="str">
        <f aca="false">VLOOKUP(C5377,Products!$A$2:$E$62,3,FALSE())</f>
        <v>Office Supplies</v>
      </c>
      <c r="L5377" s="1" t="str">
        <f aca="false">TEXT(D5377,"yyyy-mm")</f>
        <v>2023-04</v>
      </c>
    </row>
    <row r="5378" customFormat="false" ht="15" hidden="false" customHeight="true" outlineLevel="0" collapsed="false">
      <c r="A5378" s="1" t="n">
        <v>5495</v>
      </c>
      <c r="B5378" s="1" t="n">
        <v>220</v>
      </c>
      <c r="C5378" s="1" t="n">
        <v>32</v>
      </c>
      <c r="D5378" s="1" t="s">
        <v>124</v>
      </c>
      <c r="E5378" s="1" t="n">
        <v>6</v>
      </c>
      <c r="F5378" s="1" t="n">
        <v>492.27</v>
      </c>
      <c r="G5378" s="1" t="n">
        <v>0.15</v>
      </c>
      <c r="H5378" s="1" t="s">
        <v>1336</v>
      </c>
      <c r="I5378" s="1" t="n">
        <v>2510.58</v>
      </c>
      <c r="J5378" s="1" t="str">
        <f aca="false">VLOOKUP(B5378,Customers!$A$2:$G$502,6,FALSE())</f>
        <v>Small Business</v>
      </c>
      <c r="K5378" s="1" t="str">
        <f aca="false">VLOOKUP(C5378,Products!$A$2:$E$62,3,FALSE())</f>
        <v>Office Supplies</v>
      </c>
      <c r="L5378" s="1" t="str">
        <f aca="false">TEXT(D5378,"yyyy-mm")</f>
        <v>2023-05</v>
      </c>
    </row>
    <row r="5379" customFormat="false" ht="15" hidden="false" customHeight="true" outlineLevel="0" collapsed="false">
      <c r="A5379" s="1" t="n">
        <v>5496</v>
      </c>
      <c r="B5379" s="1" t="n">
        <v>389</v>
      </c>
      <c r="C5379" s="1" t="n">
        <v>15</v>
      </c>
      <c r="D5379" s="1" t="s">
        <v>761</v>
      </c>
      <c r="E5379" s="1" t="n">
        <v>2</v>
      </c>
      <c r="F5379" s="1" t="n">
        <v>304.95</v>
      </c>
      <c r="G5379" s="1" t="n">
        <v>0</v>
      </c>
      <c r="H5379" s="1" t="s">
        <v>1336</v>
      </c>
      <c r="I5379" s="1" t="n">
        <v>609.9</v>
      </c>
      <c r="J5379" s="1" t="str">
        <f aca="false">VLOOKUP(B5379,Customers!$A$2:$G$502,6,FALSE())</f>
        <v>Corporate</v>
      </c>
      <c r="K5379" s="1" t="str">
        <f aca="false">VLOOKUP(C5379,Products!$A$2:$E$62,3,FALSE())</f>
        <v>Electronics</v>
      </c>
      <c r="L5379" s="1" t="str">
        <f aca="false">TEXT(D5379,"yyyy-mm")</f>
        <v>2023-11</v>
      </c>
    </row>
    <row r="5380" customFormat="false" ht="15" hidden="false" customHeight="true" outlineLevel="0" collapsed="false">
      <c r="A5380" s="1" t="n">
        <v>5497</v>
      </c>
      <c r="B5380" s="1" t="n">
        <v>408</v>
      </c>
      <c r="C5380" s="1" t="n">
        <v>10</v>
      </c>
      <c r="D5380" s="1" t="s">
        <v>946</v>
      </c>
      <c r="E5380" s="1" t="n">
        <v>4</v>
      </c>
      <c r="F5380" s="1" t="n">
        <v>251.58</v>
      </c>
      <c r="G5380" s="1" t="n">
        <v>0</v>
      </c>
      <c r="H5380" s="1" t="s">
        <v>1336</v>
      </c>
      <c r="I5380" s="1" t="n">
        <v>1006.32</v>
      </c>
      <c r="J5380" s="1" t="str">
        <f aca="false">VLOOKUP(B5380,Customers!$A$2:$G$502,6,FALSE())</f>
        <v>Small Business</v>
      </c>
      <c r="K5380" s="1" t="str">
        <f aca="false">VLOOKUP(C5380,Products!$A$2:$E$62,3,FALSE())</f>
        <v>Electronics</v>
      </c>
      <c r="L5380" s="1" t="str">
        <f aca="false">TEXT(D5380,"yyyy-mm")</f>
        <v>2023-04</v>
      </c>
    </row>
    <row r="5381" customFormat="false" ht="15" hidden="false" customHeight="true" outlineLevel="0" collapsed="false">
      <c r="A5381" s="1" t="n">
        <v>5498</v>
      </c>
      <c r="B5381" s="1" t="n">
        <v>274</v>
      </c>
      <c r="C5381" s="1" t="n">
        <v>15</v>
      </c>
      <c r="D5381" s="1" t="s">
        <v>710</v>
      </c>
      <c r="E5381" s="1" t="n">
        <v>6</v>
      </c>
      <c r="F5381" s="1" t="n">
        <v>304.95</v>
      </c>
      <c r="G5381" s="1" t="n">
        <v>0.05</v>
      </c>
      <c r="H5381" s="1" t="s">
        <v>1370</v>
      </c>
      <c r="I5381" s="1" t="n">
        <v>1738.21</v>
      </c>
      <c r="J5381" s="1" t="str">
        <f aca="false">VLOOKUP(B5381,Customers!$A$2:$G$502,6,FALSE())</f>
        <v>Corporate</v>
      </c>
      <c r="K5381" s="1" t="str">
        <f aca="false">VLOOKUP(C5381,Products!$A$2:$E$62,3,FALSE())</f>
        <v>Electronics</v>
      </c>
      <c r="L5381" s="1" t="str">
        <f aca="false">TEXT(D5381,"yyyy-mm")</f>
        <v>2023-07</v>
      </c>
    </row>
    <row r="5382" customFormat="false" ht="15" hidden="false" customHeight="true" outlineLevel="0" collapsed="false">
      <c r="A5382" s="1" t="n">
        <v>5499</v>
      </c>
      <c r="B5382" s="1" t="n">
        <v>28</v>
      </c>
      <c r="C5382" s="1" t="n">
        <v>58</v>
      </c>
      <c r="D5382" s="1" t="s">
        <v>1343</v>
      </c>
      <c r="E5382" s="1" t="n">
        <v>5</v>
      </c>
      <c r="F5382" s="1" t="n">
        <v>515.55</v>
      </c>
      <c r="G5382" s="1" t="n">
        <v>0.15</v>
      </c>
      <c r="H5382" s="1" t="s">
        <v>1336</v>
      </c>
      <c r="I5382" s="1" t="n">
        <v>2191.09</v>
      </c>
      <c r="J5382" s="1" t="str">
        <f aca="false">VLOOKUP(B5382,Customers!$A$2:$G$502,6,FALSE())</f>
        <v>Small Business</v>
      </c>
      <c r="K5382" s="1" t="str">
        <f aca="false">VLOOKUP(C5382,Products!$A$2:$E$62,3,FALSE())</f>
        <v>Furniture</v>
      </c>
      <c r="L5382" s="1" t="str">
        <f aca="false">TEXT(D5382,"yyyy-mm")</f>
        <v>2024-06</v>
      </c>
    </row>
    <row r="5383" customFormat="false" ht="15" hidden="false" customHeight="true" outlineLevel="0" collapsed="false">
      <c r="A5383" s="1" t="n">
        <v>5500</v>
      </c>
      <c r="B5383" s="1" t="n">
        <v>300</v>
      </c>
      <c r="C5383" s="1" t="n">
        <v>52</v>
      </c>
      <c r="D5383" s="1" t="s">
        <v>238</v>
      </c>
      <c r="E5383" s="1" t="n">
        <v>3</v>
      </c>
      <c r="F5383" s="1" t="n">
        <v>207.67</v>
      </c>
      <c r="G5383" s="1" t="n">
        <v>0.2</v>
      </c>
      <c r="H5383" s="1" t="s">
        <v>1336</v>
      </c>
      <c r="I5383" s="1" t="n">
        <v>498.41</v>
      </c>
      <c r="J5383" s="1" t="str">
        <f aca="false">VLOOKUP(B5383,Customers!$A$2:$G$502,6,FALSE())</f>
        <v>Consumer</v>
      </c>
      <c r="K5383" s="1" t="str">
        <f aca="false">VLOOKUP(C5383,Products!$A$2:$E$62,3,FALSE())</f>
        <v>Software</v>
      </c>
      <c r="L5383" s="1" t="str">
        <f aca="false">TEXT(D5383,"yyyy-mm")</f>
        <v>2023-10</v>
      </c>
    </row>
    <row r="5384" customFormat="false" ht="15" hidden="false" customHeight="true" outlineLevel="0" collapsed="false">
      <c r="A5384" s="1" t="n">
        <v>5501</v>
      </c>
      <c r="B5384" s="1" t="n">
        <v>377</v>
      </c>
      <c r="C5384" s="1" t="n">
        <v>55</v>
      </c>
      <c r="D5384" s="1" t="s">
        <v>1548</v>
      </c>
      <c r="E5384" s="1" t="n">
        <v>8</v>
      </c>
      <c r="F5384" s="1" t="n">
        <v>123.38</v>
      </c>
      <c r="G5384" s="1" t="n">
        <v>0.2</v>
      </c>
      <c r="H5384" s="1" t="s">
        <v>1336</v>
      </c>
      <c r="I5384" s="1" t="n">
        <v>789.63</v>
      </c>
      <c r="J5384" s="1" t="str">
        <f aca="false">VLOOKUP(B5384,Customers!$A$2:$G$502,6,FALSE())</f>
        <v>Corporate</v>
      </c>
      <c r="K5384" s="1" t="str">
        <f aca="false">VLOOKUP(C5384,Products!$A$2:$E$62,3,FALSE())</f>
        <v>Furniture</v>
      </c>
      <c r="L5384" s="1" t="str">
        <f aca="false">TEXT(D5384,"yyyy-mm")</f>
        <v>2024-06</v>
      </c>
    </row>
    <row r="5385" customFormat="false" ht="15" hidden="false" customHeight="true" outlineLevel="0" collapsed="false">
      <c r="A5385" s="1" t="n">
        <v>5502</v>
      </c>
      <c r="B5385" s="1" t="n">
        <v>387</v>
      </c>
      <c r="C5385" s="1" t="n">
        <v>26</v>
      </c>
      <c r="D5385" s="1" t="s">
        <v>470</v>
      </c>
      <c r="E5385" s="1" t="n">
        <v>7</v>
      </c>
      <c r="F5385" s="1" t="n">
        <v>733.85</v>
      </c>
      <c r="G5385" s="1" t="n">
        <v>0</v>
      </c>
      <c r="H5385" s="1" t="s">
        <v>1336</v>
      </c>
      <c r="I5385" s="1" t="n">
        <v>5136.95</v>
      </c>
      <c r="J5385" s="1" t="str">
        <f aca="false">VLOOKUP(B5385,Customers!$A$2:$G$502,6,FALSE())</f>
        <v>Corporate</v>
      </c>
      <c r="K5385" s="1" t="str">
        <f aca="false">VLOOKUP(C5385,Products!$A$2:$E$62,3,FALSE())</f>
        <v>Office Supplies</v>
      </c>
      <c r="L5385" s="1" t="str">
        <f aca="false">TEXT(D5385,"yyyy-mm")</f>
        <v>2023-05</v>
      </c>
    </row>
    <row r="5386" customFormat="false" ht="15" hidden="false" customHeight="true" outlineLevel="0" collapsed="false">
      <c r="A5386" s="1" t="n">
        <v>5503</v>
      </c>
      <c r="B5386" s="1" t="n">
        <v>277</v>
      </c>
      <c r="C5386" s="1" t="n">
        <v>3</v>
      </c>
      <c r="D5386" s="1" t="s">
        <v>1651</v>
      </c>
      <c r="E5386" s="1" t="n">
        <v>3</v>
      </c>
      <c r="F5386" s="1" t="n">
        <v>89.39</v>
      </c>
      <c r="G5386" s="1" t="n">
        <v>0</v>
      </c>
      <c r="H5386" s="1" t="s">
        <v>1336</v>
      </c>
      <c r="I5386" s="1" t="n">
        <v>268.17</v>
      </c>
      <c r="J5386" s="1" t="str">
        <f aca="false">VLOOKUP(B5386,Customers!$A$2:$G$502,6,FALSE())</f>
        <v>Corporate</v>
      </c>
      <c r="K5386" s="1" t="str">
        <f aca="false">VLOOKUP(C5386,Products!$A$2:$E$62,3,FALSE())</f>
        <v>Electronics</v>
      </c>
      <c r="L5386" s="1" t="str">
        <f aca="false">TEXT(D5386,"yyyy-mm")</f>
        <v>2023-06</v>
      </c>
    </row>
    <row r="5387" customFormat="false" ht="15" hidden="false" customHeight="true" outlineLevel="0" collapsed="false">
      <c r="A5387" s="1" t="n">
        <v>5504</v>
      </c>
      <c r="B5387" s="1" t="n">
        <v>448</v>
      </c>
      <c r="C5387" s="1" t="n">
        <v>42</v>
      </c>
      <c r="D5387" s="1" t="s">
        <v>1418</v>
      </c>
      <c r="E5387" s="1" t="n">
        <v>6</v>
      </c>
      <c r="F5387" s="1" t="n">
        <v>174.48</v>
      </c>
      <c r="G5387" s="1" t="n">
        <v>0.15</v>
      </c>
      <c r="H5387" s="1" t="s">
        <v>1336</v>
      </c>
      <c r="I5387" s="1" t="n">
        <v>889.85</v>
      </c>
      <c r="J5387" s="1" t="str">
        <f aca="false">VLOOKUP(B5387,Customers!$A$2:$G$502,6,FALSE())</f>
        <v>Corporate</v>
      </c>
      <c r="K5387" s="1" t="str">
        <f aca="false">VLOOKUP(C5387,Products!$A$2:$E$62,3,FALSE())</f>
        <v>Software</v>
      </c>
      <c r="L5387" s="1" t="str">
        <f aca="false">TEXT(D5387,"yyyy-mm")</f>
        <v>2023-06</v>
      </c>
    </row>
    <row r="5388" customFormat="false" ht="15" hidden="false" customHeight="true" outlineLevel="0" collapsed="false">
      <c r="A5388" s="1" t="n">
        <v>5505</v>
      </c>
      <c r="B5388" s="1" t="n">
        <v>116</v>
      </c>
      <c r="C5388" s="1" t="n">
        <v>58</v>
      </c>
      <c r="D5388" s="1" t="s">
        <v>1487</v>
      </c>
      <c r="E5388" s="1" t="n">
        <v>4</v>
      </c>
      <c r="F5388" s="1" t="n">
        <v>515.55</v>
      </c>
      <c r="G5388" s="1" t="n">
        <v>0</v>
      </c>
      <c r="H5388" s="1" t="s">
        <v>1336</v>
      </c>
      <c r="I5388" s="1" t="n">
        <v>2062.2</v>
      </c>
      <c r="J5388" s="1" t="str">
        <f aca="false">VLOOKUP(B5388,Customers!$A$2:$G$502,6,FALSE())</f>
        <v>Corporate</v>
      </c>
      <c r="K5388" s="1" t="str">
        <f aca="false">VLOOKUP(C5388,Products!$A$2:$E$62,3,FALSE())</f>
        <v>Furniture</v>
      </c>
      <c r="L5388" s="1" t="str">
        <f aca="false">TEXT(D5388,"yyyy-mm")</f>
        <v>2024-01</v>
      </c>
    </row>
    <row r="5389" customFormat="false" ht="15" hidden="false" customHeight="true" outlineLevel="0" collapsed="false">
      <c r="A5389" s="1" t="n">
        <v>5506</v>
      </c>
      <c r="B5389" s="1" t="n">
        <v>201</v>
      </c>
      <c r="C5389" s="1" t="n">
        <v>29</v>
      </c>
      <c r="D5389" s="1" t="s">
        <v>1347</v>
      </c>
      <c r="E5389" s="1" t="n">
        <v>5</v>
      </c>
      <c r="F5389" s="1" t="n">
        <v>54.62</v>
      </c>
      <c r="G5389" s="1" t="n">
        <v>0.2</v>
      </c>
      <c r="H5389" s="1" t="s">
        <v>1336</v>
      </c>
      <c r="I5389" s="1" t="n">
        <v>218.48</v>
      </c>
      <c r="J5389" s="1" t="str">
        <f aca="false">VLOOKUP(B5389,Customers!$A$2:$G$502,6,FALSE())</f>
        <v>Corporate</v>
      </c>
      <c r="K5389" s="1" t="str">
        <f aca="false">VLOOKUP(C5389,Products!$A$2:$E$62,3,FALSE())</f>
        <v>Office Supplies</v>
      </c>
      <c r="L5389" s="1" t="str">
        <f aca="false">TEXT(D5389,"yyyy-mm")</f>
        <v>2024-01</v>
      </c>
    </row>
    <row r="5390" customFormat="false" ht="15" hidden="false" customHeight="true" outlineLevel="0" collapsed="false">
      <c r="A5390" s="1" t="n">
        <v>5507</v>
      </c>
      <c r="B5390" s="1" t="n">
        <v>449</v>
      </c>
      <c r="C5390" s="1" t="n">
        <v>52</v>
      </c>
      <c r="D5390" s="1" t="s">
        <v>1512</v>
      </c>
      <c r="E5390" s="1" t="n">
        <v>5</v>
      </c>
      <c r="F5390" s="1" t="n">
        <v>207.67</v>
      </c>
      <c r="G5390" s="1" t="n">
        <v>0.1</v>
      </c>
      <c r="H5390" s="1" t="s">
        <v>1336</v>
      </c>
      <c r="I5390" s="1" t="n">
        <v>934.52</v>
      </c>
      <c r="J5390" s="1" t="str">
        <f aca="false">VLOOKUP(B5390,Customers!$A$2:$G$502,6,FALSE())</f>
        <v>Corporate</v>
      </c>
      <c r="K5390" s="1" t="str">
        <f aca="false">VLOOKUP(C5390,Products!$A$2:$E$62,3,FALSE())</f>
        <v>Software</v>
      </c>
      <c r="L5390" s="1" t="str">
        <f aca="false">TEXT(D5390,"yyyy-mm")</f>
        <v>2023-12</v>
      </c>
    </row>
    <row r="5391" customFormat="false" ht="15" hidden="false" customHeight="true" outlineLevel="0" collapsed="false">
      <c r="A5391" s="1" t="n">
        <v>5508</v>
      </c>
      <c r="B5391" s="1" t="n">
        <v>28</v>
      </c>
      <c r="C5391" s="1" t="n">
        <v>9</v>
      </c>
      <c r="D5391" s="1" t="s">
        <v>1069</v>
      </c>
      <c r="E5391" s="1" t="n">
        <v>7</v>
      </c>
      <c r="F5391" s="1" t="n">
        <v>203.1</v>
      </c>
      <c r="G5391" s="1" t="n">
        <v>0</v>
      </c>
      <c r="H5391" s="1" t="s">
        <v>1370</v>
      </c>
      <c r="I5391" s="1" t="n">
        <v>1421.7</v>
      </c>
      <c r="J5391" s="1" t="str">
        <f aca="false">VLOOKUP(B5391,Customers!$A$2:$G$502,6,FALSE())</f>
        <v>Small Business</v>
      </c>
      <c r="K5391" s="1" t="str">
        <f aca="false">VLOOKUP(C5391,Products!$A$2:$E$62,3,FALSE())</f>
        <v>Electronics</v>
      </c>
      <c r="L5391" s="1" t="str">
        <f aca="false">TEXT(D5391,"yyyy-mm")</f>
        <v>2024-01</v>
      </c>
    </row>
    <row r="5392" customFormat="false" ht="15" hidden="false" customHeight="true" outlineLevel="0" collapsed="false">
      <c r="A5392" s="1" t="n">
        <v>5509</v>
      </c>
      <c r="B5392" s="1" t="n">
        <v>415</v>
      </c>
      <c r="C5392" s="1" t="n">
        <v>4</v>
      </c>
      <c r="D5392" s="1" t="s">
        <v>1661</v>
      </c>
      <c r="E5392" s="1" t="n">
        <v>5</v>
      </c>
      <c r="F5392" s="1" t="n">
        <v>56.24</v>
      </c>
      <c r="G5392" s="1" t="n">
        <v>0</v>
      </c>
      <c r="H5392" s="1" t="s">
        <v>1336</v>
      </c>
      <c r="I5392" s="1" t="n">
        <v>281.2</v>
      </c>
      <c r="J5392" s="1" t="str">
        <f aca="false">VLOOKUP(B5392,Customers!$A$2:$G$502,6,FALSE())</f>
        <v>Consumer</v>
      </c>
      <c r="K5392" s="1" t="str">
        <f aca="false">VLOOKUP(C5392,Products!$A$2:$E$62,3,FALSE())</f>
        <v>Electronics</v>
      </c>
      <c r="L5392" s="1" t="str">
        <f aca="false">TEXT(D5392,"yyyy-mm")</f>
        <v>2024-09</v>
      </c>
    </row>
    <row r="5393" customFormat="false" ht="15" hidden="false" customHeight="true" outlineLevel="0" collapsed="false">
      <c r="A5393" s="1" t="n">
        <v>5510</v>
      </c>
      <c r="B5393" s="1" t="n">
        <v>484</v>
      </c>
      <c r="C5393" s="1" t="n">
        <v>59</v>
      </c>
      <c r="D5393" s="1" t="s">
        <v>220</v>
      </c>
      <c r="E5393" s="1" t="n">
        <v>3</v>
      </c>
      <c r="F5393" s="1" t="n">
        <v>438.89</v>
      </c>
      <c r="G5393" s="1" t="n">
        <v>0.05</v>
      </c>
      <c r="H5393" s="1" t="s">
        <v>1336</v>
      </c>
      <c r="I5393" s="1" t="n">
        <v>1250.84</v>
      </c>
      <c r="J5393" s="1" t="str">
        <f aca="false">VLOOKUP(B5393,Customers!$A$2:$G$502,6,FALSE())</f>
        <v>Corporate</v>
      </c>
      <c r="K5393" s="1" t="str">
        <f aca="false">VLOOKUP(C5393,Products!$A$2:$E$62,3,FALSE())</f>
        <v>Furniture</v>
      </c>
      <c r="L5393" s="1" t="str">
        <f aca="false">TEXT(D5393,"yyyy-mm")</f>
        <v>2023-01</v>
      </c>
    </row>
    <row r="5394" customFormat="false" ht="15" hidden="false" customHeight="true" outlineLevel="0" collapsed="false">
      <c r="A5394" s="1" t="n">
        <v>5511</v>
      </c>
      <c r="B5394" s="1" t="n">
        <v>238</v>
      </c>
      <c r="C5394" s="1" t="n">
        <v>53</v>
      </c>
      <c r="D5394" s="1" t="s">
        <v>1639</v>
      </c>
      <c r="E5394" s="1" t="n">
        <v>5</v>
      </c>
      <c r="F5394" s="1" t="n">
        <v>509.98</v>
      </c>
      <c r="G5394" s="1" t="n">
        <v>0.2</v>
      </c>
      <c r="H5394" s="1" t="s">
        <v>1370</v>
      </c>
      <c r="I5394" s="1" t="n">
        <v>2039.92</v>
      </c>
      <c r="J5394" s="1" t="str">
        <f aca="false">VLOOKUP(B5394,Customers!$A$2:$G$502,6,FALSE())</f>
        <v>Corporate</v>
      </c>
      <c r="K5394" s="1" t="str">
        <f aca="false">VLOOKUP(C5394,Products!$A$2:$E$62,3,FALSE())</f>
        <v>Software</v>
      </c>
      <c r="L5394" s="1" t="str">
        <f aca="false">TEXT(D5394,"yyyy-mm")</f>
        <v>2023-07</v>
      </c>
    </row>
    <row r="5395" customFormat="false" ht="15" hidden="false" customHeight="true" outlineLevel="0" collapsed="false">
      <c r="A5395" s="1" t="n">
        <v>5512</v>
      </c>
      <c r="B5395" s="1" t="n">
        <v>419</v>
      </c>
      <c r="C5395" s="1" t="n">
        <v>54</v>
      </c>
      <c r="D5395" s="1" t="s">
        <v>1416</v>
      </c>
      <c r="E5395" s="1" t="n">
        <v>7</v>
      </c>
      <c r="F5395" s="1" t="n">
        <v>312.01</v>
      </c>
      <c r="G5395" s="1" t="n">
        <v>0</v>
      </c>
      <c r="H5395" s="1" t="s">
        <v>1336</v>
      </c>
      <c r="I5395" s="1" t="n">
        <v>2184.07</v>
      </c>
      <c r="J5395" s="1" t="str">
        <f aca="false">VLOOKUP(B5395,Customers!$A$2:$G$502,6,FALSE())</f>
        <v>Small Business</v>
      </c>
      <c r="K5395" s="1" t="str">
        <f aca="false">VLOOKUP(C5395,Products!$A$2:$E$62,3,FALSE())</f>
        <v>Software</v>
      </c>
      <c r="L5395" s="1" t="str">
        <f aca="false">TEXT(D5395,"yyyy-mm")</f>
        <v>2024-07</v>
      </c>
    </row>
    <row r="5396" customFormat="false" ht="15" hidden="false" customHeight="true" outlineLevel="0" collapsed="false">
      <c r="A5396" s="1" t="n">
        <v>5513</v>
      </c>
      <c r="B5396" s="1" t="n">
        <v>27</v>
      </c>
      <c r="C5396" s="1" t="n">
        <v>41</v>
      </c>
      <c r="D5396" s="1" t="s">
        <v>1696</v>
      </c>
      <c r="E5396" s="1" t="n">
        <v>5</v>
      </c>
      <c r="F5396" s="1" t="n">
        <v>594.54</v>
      </c>
      <c r="G5396" s="1" t="n">
        <v>0.05</v>
      </c>
      <c r="H5396" s="1" t="s">
        <v>1336</v>
      </c>
      <c r="I5396" s="1" t="n">
        <v>2824.06</v>
      </c>
      <c r="J5396" s="1" t="str">
        <f aca="false">VLOOKUP(B5396,Customers!$A$2:$G$502,6,FALSE())</f>
        <v>Small Business</v>
      </c>
      <c r="K5396" s="1" t="str">
        <f aca="false">VLOOKUP(C5396,Products!$A$2:$E$62,3,FALSE())</f>
        <v>Software</v>
      </c>
      <c r="L5396" s="1" t="str">
        <f aca="false">TEXT(D5396,"yyyy-mm")</f>
        <v>2023-01</v>
      </c>
    </row>
    <row r="5397" customFormat="false" ht="15" hidden="false" customHeight="true" outlineLevel="0" collapsed="false">
      <c r="A5397" s="1" t="n">
        <v>5514</v>
      </c>
      <c r="B5397" s="1" t="n">
        <v>496</v>
      </c>
      <c r="C5397" s="1" t="n">
        <v>16</v>
      </c>
      <c r="D5397" s="1" t="s">
        <v>489</v>
      </c>
      <c r="E5397" s="1" t="n">
        <v>5</v>
      </c>
      <c r="F5397" s="1" t="n">
        <v>330.91</v>
      </c>
      <c r="G5397" s="1" t="n">
        <v>0.2</v>
      </c>
      <c r="H5397" s="1" t="s">
        <v>1336</v>
      </c>
      <c r="I5397" s="1" t="n">
        <v>1323.64</v>
      </c>
      <c r="J5397" s="1" t="str">
        <f aca="false">VLOOKUP(B5397,Customers!$A$2:$G$502,6,FALSE())</f>
        <v>Small Business</v>
      </c>
      <c r="K5397" s="1" t="str">
        <f aca="false">VLOOKUP(C5397,Products!$A$2:$E$62,3,FALSE())</f>
        <v>Electronics</v>
      </c>
      <c r="L5397" s="1" t="str">
        <f aca="false">TEXT(D5397,"yyyy-mm")</f>
        <v>2024-12</v>
      </c>
    </row>
    <row r="5398" customFormat="false" ht="15" hidden="false" customHeight="true" outlineLevel="0" collapsed="false">
      <c r="A5398" s="1" t="n">
        <v>5515</v>
      </c>
      <c r="B5398" s="1" t="n">
        <v>142</v>
      </c>
      <c r="C5398" s="1" t="n">
        <v>28</v>
      </c>
      <c r="D5398" s="1" t="s">
        <v>609</v>
      </c>
      <c r="E5398" s="1" t="n">
        <v>9</v>
      </c>
      <c r="F5398" s="1" t="n">
        <v>505.23</v>
      </c>
      <c r="G5398" s="1" t="n">
        <v>0</v>
      </c>
      <c r="H5398" s="1" t="s">
        <v>1336</v>
      </c>
      <c r="I5398" s="1" t="n">
        <v>4547.07</v>
      </c>
      <c r="J5398" s="1" t="str">
        <f aca="false">VLOOKUP(B5398,Customers!$A$2:$G$502,6,FALSE())</f>
        <v>Small Business</v>
      </c>
      <c r="K5398" s="1" t="str">
        <f aca="false">VLOOKUP(C5398,Products!$A$2:$E$62,3,FALSE())</f>
        <v>Office Supplies</v>
      </c>
      <c r="L5398" s="1" t="str">
        <f aca="false">TEXT(D5398,"yyyy-mm")</f>
        <v>2023-03</v>
      </c>
    </row>
    <row r="5399" customFormat="false" ht="15" hidden="false" customHeight="true" outlineLevel="0" collapsed="false">
      <c r="A5399" s="1" t="n">
        <v>5516</v>
      </c>
      <c r="B5399" s="1" t="n">
        <v>363</v>
      </c>
      <c r="C5399" s="1" t="n">
        <v>35</v>
      </c>
      <c r="D5399" s="1" t="s">
        <v>1665</v>
      </c>
      <c r="E5399" s="1" t="n">
        <v>3</v>
      </c>
      <c r="F5399" s="1" t="n">
        <v>75.78</v>
      </c>
      <c r="G5399" s="1" t="n">
        <v>0.15</v>
      </c>
      <c r="H5399" s="1" t="s">
        <v>1336</v>
      </c>
      <c r="I5399" s="1" t="n">
        <v>193.24</v>
      </c>
      <c r="J5399" s="1" t="str">
        <f aca="false">VLOOKUP(B5399,Customers!$A$2:$G$502,6,FALSE())</f>
        <v>Small Business</v>
      </c>
      <c r="K5399" s="1" t="str">
        <f aca="false">VLOOKUP(C5399,Products!$A$2:$E$62,3,FALSE())</f>
        <v>Software</v>
      </c>
      <c r="L5399" s="1" t="str">
        <f aca="false">TEXT(D5399,"yyyy-mm")</f>
        <v>2024-09</v>
      </c>
    </row>
    <row r="5400" customFormat="false" ht="15" hidden="false" customHeight="true" outlineLevel="0" collapsed="false">
      <c r="A5400" s="1" t="n">
        <v>5517</v>
      </c>
      <c r="B5400" s="1" t="n">
        <v>290</v>
      </c>
      <c r="C5400" s="1" t="n">
        <v>56</v>
      </c>
      <c r="D5400" s="1" t="s">
        <v>1455</v>
      </c>
      <c r="E5400" s="1" t="n">
        <v>6</v>
      </c>
      <c r="F5400" s="1" t="n">
        <v>160.64</v>
      </c>
      <c r="G5400" s="1" t="n">
        <v>0</v>
      </c>
      <c r="H5400" s="1" t="s">
        <v>1336</v>
      </c>
      <c r="I5400" s="1" t="n">
        <v>963.84</v>
      </c>
      <c r="J5400" s="1" t="str">
        <f aca="false">VLOOKUP(B5400,Customers!$A$2:$G$502,6,FALSE())</f>
        <v>Consumer</v>
      </c>
      <c r="K5400" s="1" t="str">
        <f aca="false">VLOOKUP(C5400,Products!$A$2:$E$62,3,FALSE())</f>
        <v>Furniture</v>
      </c>
      <c r="L5400" s="1" t="str">
        <f aca="false">TEXT(D5400,"yyyy-mm")</f>
        <v>2024-11</v>
      </c>
    </row>
    <row r="5401" customFormat="false" ht="15" hidden="false" customHeight="true" outlineLevel="0" collapsed="false">
      <c r="A5401" s="1" t="n">
        <v>5518</v>
      </c>
      <c r="B5401" s="1" t="n">
        <v>453</v>
      </c>
      <c r="C5401" s="1" t="n">
        <v>40</v>
      </c>
      <c r="D5401" s="1" t="s">
        <v>408</v>
      </c>
      <c r="E5401" s="1" t="n">
        <v>1</v>
      </c>
      <c r="F5401" s="1" t="n">
        <v>193.02</v>
      </c>
      <c r="G5401" s="1" t="n">
        <v>0.15</v>
      </c>
      <c r="H5401" s="1" t="s">
        <v>1336</v>
      </c>
      <c r="I5401" s="1" t="n">
        <v>164.07</v>
      </c>
      <c r="J5401" s="1" t="str">
        <f aca="false">VLOOKUP(B5401,Customers!$A$2:$G$502,6,FALSE())</f>
        <v>Small Business</v>
      </c>
      <c r="K5401" s="1" t="str">
        <f aca="false">VLOOKUP(C5401,Products!$A$2:$E$62,3,FALSE())</f>
        <v>Software</v>
      </c>
      <c r="L5401" s="1" t="str">
        <f aca="false">TEXT(D5401,"yyyy-mm")</f>
        <v>2023-02</v>
      </c>
    </row>
    <row r="5402" customFormat="false" ht="15" hidden="false" customHeight="true" outlineLevel="0" collapsed="false">
      <c r="A5402" s="1" t="n">
        <v>5519</v>
      </c>
      <c r="B5402" s="1" t="n">
        <v>135</v>
      </c>
      <c r="C5402" s="1" t="n">
        <v>31</v>
      </c>
      <c r="D5402" s="1" t="s">
        <v>1573</v>
      </c>
      <c r="E5402" s="1" t="n">
        <v>5</v>
      </c>
      <c r="F5402" s="1" t="n">
        <v>224.86</v>
      </c>
      <c r="G5402" s="1" t="n">
        <v>0</v>
      </c>
      <c r="H5402" s="1" t="s">
        <v>1336</v>
      </c>
      <c r="I5402" s="1" t="n">
        <v>1124.3</v>
      </c>
      <c r="J5402" s="1" t="str">
        <f aca="false">VLOOKUP(B5402,Customers!$A$2:$G$502,6,FALSE())</f>
        <v>Corporate</v>
      </c>
      <c r="K5402" s="1" t="str">
        <f aca="false">VLOOKUP(C5402,Products!$A$2:$E$62,3,FALSE())</f>
        <v>Office Supplies</v>
      </c>
      <c r="L5402" s="1" t="str">
        <f aca="false">TEXT(D5402,"yyyy-mm")</f>
        <v>2023-01</v>
      </c>
    </row>
    <row r="5403" customFormat="false" ht="15" hidden="false" customHeight="true" outlineLevel="0" collapsed="false">
      <c r="A5403" s="1" t="n">
        <v>5520</v>
      </c>
      <c r="B5403" s="1" t="n">
        <v>218</v>
      </c>
      <c r="C5403" s="1" t="n">
        <v>17</v>
      </c>
      <c r="D5403" s="1" t="s">
        <v>248</v>
      </c>
      <c r="E5403" s="1" t="n">
        <v>8</v>
      </c>
      <c r="F5403" s="1" t="n">
        <v>65.61</v>
      </c>
      <c r="G5403" s="1" t="n">
        <v>0</v>
      </c>
      <c r="H5403" s="1" t="s">
        <v>1370</v>
      </c>
      <c r="I5403" s="1" t="n">
        <v>524.88</v>
      </c>
      <c r="J5403" s="1" t="str">
        <f aca="false">VLOOKUP(B5403,Customers!$A$2:$G$502,6,FALSE())</f>
        <v>Corporate</v>
      </c>
      <c r="K5403" s="1" t="str">
        <f aca="false">VLOOKUP(C5403,Products!$A$2:$E$62,3,FALSE())</f>
        <v>Electronics</v>
      </c>
      <c r="L5403" s="1" t="str">
        <f aca="false">TEXT(D5403,"yyyy-mm")</f>
        <v>2024-01</v>
      </c>
    </row>
    <row r="5404" customFormat="false" ht="15" hidden="false" customHeight="true" outlineLevel="0" collapsed="false">
      <c r="A5404" s="1" t="n">
        <v>5521</v>
      </c>
      <c r="B5404" s="1" t="n">
        <v>472</v>
      </c>
      <c r="C5404" s="1" t="n">
        <v>41</v>
      </c>
      <c r="D5404" s="1" t="s">
        <v>1634</v>
      </c>
      <c r="E5404" s="1" t="n">
        <v>5</v>
      </c>
      <c r="F5404" s="1" t="n">
        <v>594.54</v>
      </c>
      <c r="G5404" s="1" t="n">
        <v>0.2</v>
      </c>
      <c r="H5404" s="1" t="s">
        <v>1336</v>
      </c>
      <c r="I5404" s="1" t="n">
        <v>2378.16</v>
      </c>
      <c r="J5404" s="1" t="str">
        <f aca="false">VLOOKUP(B5404,Customers!$A$2:$G$502,6,FALSE())</f>
        <v>Consumer</v>
      </c>
      <c r="K5404" s="1" t="str">
        <f aca="false">VLOOKUP(C5404,Products!$A$2:$E$62,3,FALSE())</f>
        <v>Software</v>
      </c>
      <c r="L5404" s="1" t="str">
        <f aca="false">TEXT(D5404,"yyyy-mm")</f>
        <v>2023-02</v>
      </c>
    </row>
    <row r="5405" customFormat="false" ht="15" hidden="false" customHeight="true" outlineLevel="0" collapsed="false">
      <c r="A5405" s="1" t="n">
        <v>5522</v>
      </c>
      <c r="B5405" s="1" t="n">
        <v>252</v>
      </c>
      <c r="C5405" s="1" t="n">
        <v>22</v>
      </c>
      <c r="D5405" s="1" t="s">
        <v>1016</v>
      </c>
      <c r="E5405" s="1" t="n">
        <v>9</v>
      </c>
      <c r="F5405" s="1" t="n">
        <v>38.57</v>
      </c>
      <c r="G5405" s="1" t="n">
        <v>0.05</v>
      </c>
      <c r="H5405" s="1" t="s">
        <v>1336</v>
      </c>
      <c r="I5405" s="1" t="n">
        <v>329.77</v>
      </c>
      <c r="J5405" s="1" t="str">
        <f aca="false">VLOOKUP(B5405,Customers!$A$2:$G$502,6,FALSE())</f>
        <v>Consumer</v>
      </c>
      <c r="K5405" s="1" t="str">
        <f aca="false">VLOOKUP(C5405,Products!$A$2:$E$62,3,FALSE())</f>
        <v>Office Supplies</v>
      </c>
      <c r="L5405" s="1" t="str">
        <f aca="false">TEXT(D5405,"yyyy-mm")</f>
        <v>2023-11</v>
      </c>
    </row>
    <row r="5406" customFormat="false" ht="15" hidden="false" customHeight="true" outlineLevel="0" collapsed="false">
      <c r="A5406" s="1" t="n">
        <v>5523</v>
      </c>
      <c r="B5406" s="1" t="n">
        <v>93</v>
      </c>
      <c r="C5406" s="1" t="n">
        <v>32</v>
      </c>
      <c r="D5406" s="1" t="s">
        <v>76</v>
      </c>
      <c r="E5406" s="1" t="n">
        <v>6</v>
      </c>
      <c r="F5406" s="1" t="n">
        <v>492.27</v>
      </c>
      <c r="G5406" s="1" t="n">
        <v>0</v>
      </c>
      <c r="H5406" s="1" t="s">
        <v>1336</v>
      </c>
      <c r="I5406" s="1" t="n">
        <v>2953.62</v>
      </c>
      <c r="J5406" s="1" t="str">
        <f aca="false">VLOOKUP(B5406,Customers!$A$2:$G$502,6,FALSE())</f>
        <v>Consumer</v>
      </c>
      <c r="K5406" s="1" t="str">
        <f aca="false">VLOOKUP(C5406,Products!$A$2:$E$62,3,FALSE())</f>
        <v>Office Supplies</v>
      </c>
      <c r="L5406" s="1" t="str">
        <f aca="false">TEXT(D5406,"yyyy-mm")</f>
        <v>2023-11</v>
      </c>
    </row>
    <row r="5407" customFormat="false" ht="15" hidden="false" customHeight="true" outlineLevel="0" collapsed="false">
      <c r="A5407" s="1" t="n">
        <v>5524</v>
      </c>
      <c r="B5407" s="1" t="n">
        <v>228</v>
      </c>
      <c r="C5407" s="1" t="n">
        <v>11</v>
      </c>
      <c r="D5407" s="1" t="s">
        <v>1402</v>
      </c>
      <c r="E5407" s="1" t="n">
        <v>8</v>
      </c>
      <c r="F5407" s="1" t="n">
        <v>328.39</v>
      </c>
      <c r="G5407" s="1" t="n">
        <v>0</v>
      </c>
      <c r="H5407" s="1" t="s">
        <v>1336</v>
      </c>
      <c r="I5407" s="1" t="n">
        <v>2627.12</v>
      </c>
      <c r="J5407" s="1" t="str">
        <f aca="false">VLOOKUP(B5407,Customers!$A$2:$G$502,6,FALSE())</f>
        <v>Small Business</v>
      </c>
      <c r="K5407" s="1" t="str">
        <f aca="false">VLOOKUP(C5407,Products!$A$2:$E$62,3,FALSE())</f>
        <v>Electronics</v>
      </c>
      <c r="L5407" s="1" t="str">
        <f aca="false">TEXT(D5407,"yyyy-mm")</f>
        <v>2023-12</v>
      </c>
    </row>
    <row r="5408" customFormat="false" ht="15" hidden="false" customHeight="true" outlineLevel="0" collapsed="false">
      <c r="A5408" s="1" t="n">
        <v>5525</v>
      </c>
      <c r="B5408" s="1" t="n">
        <v>185</v>
      </c>
      <c r="C5408" s="1" t="n">
        <v>5</v>
      </c>
      <c r="D5408" s="1" t="s">
        <v>1637</v>
      </c>
      <c r="E5408" s="1" t="n">
        <v>8</v>
      </c>
      <c r="F5408" s="1" t="n">
        <v>439.06</v>
      </c>
      <c r="G5408" s="1" t="n">
        <v>0.2</v>
      </c>
      <c r="H5408" s="1" t="s">
        <v>1336</v>
      </c>
      <c r="I5408" s="1" t="n">
        <v>2809.98</v>
      </c>
      <c r="J5408" s="1" t="str">
        <f aca="false">VLOOKUP(B5408,Customers!$A$2:$G$502,6,FALSE())</f>
        <v>Consumer</v>
      </c>
      <c r="K5408" s="1" t="str">
        <f aca="false">VLOOKUP(C5408,Products!$A$2:$E$62,3,FALSE())</f>
        <v>Electronics</v>
      </c>
      <c r="L5408" s="1" t="str">
        <f aca="false">TEXT(D5408,"yyyy-mm")</f>
        <v>2023-11</v>
      </c>
    </row>
    <row r="5409" customFormat="false" ht="15" hidden="false" customHeight="true" outlineLevel="0" collapsed="false">
      <c r="A5409" s="1" t="n">
        <v>5526</v>
      </c>
      <c r="B5409" s="1" t="n">
        <v>240</v>
      </c>
      <c r="C5409" s="1" t="n">
        <v>6</v>
      </c>
      <c r="D5409" s="1" t="s">
        <v>1395</v>
      </c>
      <c r="E5409" s="1" t="n">
        <v>3</v>
      </c>
      <c r="F5409" s="1" t="n">
        <v>28.51</v>
      </c>
      <c r="G5409" s="1" t="n">
        <v>0.2</v>
      </c>
      <c r="H5409" s="1" t="s">
        <v>1336</v>
      </c>
      <c r="I5409" s="1" t="n">
        <v>68.42</v>
      </c>
      <c r="J5409" s="1" t="str">
        <f aca="false">VLOOKUP(B5409,Customers!$A$2:$G$502,6,FALSE())</f>
        <v>Corporate</v>
      </c>
      <c r="K5409" s="1" t="str">
        <f aca="false">VLOOKUP(C5409,Products!$A$2:$E$62,3,FALSE())</f>
        <v>Electronics</v>
      </c>
      <c r="L5409" s="1" t="str">
        <f aca="false">TEXT(D5409,"yyyy-mm")</f>
        <v>2023-04</v>
      </c>
    </row>
    <row r="5410" customFormat="false" ht="15" hidden="false" customHeight="true" outlineLevel="0" collapsed="false">
      <c r="A5410" s="1" t="n">
        <v>5527</v>
      </c>
      <c r="B5410" s="1" t="n">
        <v>177</v>
      </c>
      <c r="C5410" s="1" t="n">
        <v>1</v>
      </c>
      <c r="D5410" s="1" t="s">
        <v>536</v>
      </c>
      <c r="E5410" s="1" t="n">
        <v>7</v>
      </c>
      <c r="F5410" s="1" t="n">
        <v>327.32</v>
      </c>
      <c r="G5410" s="1" t="n">
        <v>0</v>
      </c>
      <c r="H5410" s="1" t="s">
        <v>1336</v>
      </c>
      <c r="I5410" s="1" t="n">
        <v>2291.24</v>
      </c>
      <c r="J5410" s="1" t="str">
        <f aca="false">VLOOKUP(B5410,Customers!$A$2:$G$502,6,FALSE())</f>
        <v>Corporate</v>
      </c>
      <c r="K5410" s="1" t="str">
        <f aca="false">VLOOKUP(C5410,Products!$A$2:$E$62,3,FALSE())</f>
        <v>Electronics</v>
      </c>
      <c r="L5410" s="1" t="str">
        <f aca="false">TEXT(D5410,"yyyy-mm")</f>
        <v>2024-01</v>
      </c>
    </row>
    <row r="5411" customFormat="false" ht="15" hidden="false" customHeight="true" outlineLevel="0" collapsed="false">
      <c r="A5411" s="1" t="n">
        <v>5528</v>
      </c>
      <c r="B5411" s="1" t="n">
        <v>272</v>
      </c>
      <c r="C5411" s="1" t="n">
        <v>41</v>
      </c>
      <c r="D5411" s="1" t="s">
        <v>151</v>
      </c>
      <c r="E5411" s="1" t="n">
        <v>7</v>
      </c>
      <c r="F5411" s="1" t="n">
        <v>594.54</v>
      </c>
      <c r="G5411" s="1" t="n">
        <v>0</v>
      </c>
      <c r="H5411" s="1" t="s">
        <v>1336</v>
      </c>
      <c r="I5411" s="1" t="n">
        <v>4161.78</v>
      </c>
      <c r="J5411" s="1" t="str">
        <f aca="false">VLOOKUP(B5411,Customers!$A$2:$G$502,6,FALSE())</f>
        <v>Consumer</v>
      </c>
      <c r="K5411" s="1" t="str">
        <f aca="false">VLOOKUP(C5411,Products!$A$2:$E$62,3,FALSE())</f>
        <v>Software</v>
      </c>
      <c r="L5411" s="1" t="str">
        <f aca="false">TEXT(D5411,"yyyy-mm")</f>
        <v>2023-10</v>
      </c>
    </row>
    <row r="5412" customFormat="false" ht="15" hidden="false" customHeight="true" outlineLevel="0" collapsed="false">
      <c r="A5412" s="1" t="n">
        <v>5529</v>
      </c>
      <c r="B5412" s="1" t="n">
        <v>66</v>
      </c>
      <c r="C5412" s="1" t="n">
        <v>2</v>
      </c>
      <c r="D5412" s="1" t="s">
        <v>1400</v>
      </c>
      <c r="E5412" s="1" t="n">
        <v>6</v>
      </c>
      <c r="F5412" s="1" t="n">
        <v>498.15</v>
      </c>
      <c r="G5412" s="1" t="n">
        <v>0.2</v>
      </c>
      <c r="H5412" s="1" t="s">
        <v>1336</v>
      </c>
      <c r="I5412" s="1" t="n">
        <v>2391.12</v>
      </c>
      <c r="J5412" s="1" t="str">
        <f aca="false">VLOOKUP(B5412,Customers!$A$2:$G$502,6,FALSE())</f>
        <v>Corporate</v>
      </c>
      <c r="K5412" s="1" t="str">
        <f aca="false">VLOOKUP(C5412,Products!$A$2:$E$62,3,FALSE())</f>
        <v>Electronics</v>
      </c>
      <c r="L5412" s="1" t="str">
        <f aca="false">TEXT(D5412,"yyyy-mm")</f>
        <v>2024-12</v>
      </c>
    </row>
    <row r="5413" customFormat="false" ht="15" hidden="false" customHeight="true" outlineLevel="0" collapsed="false">
      <c r="A5413" s="1" t="n">
        <v>5530</v>
      </c>
      <c r="B5413" s="1" t="n">
        <v>377</v>
      </c>
      <c r="C5413" s="1" t="n">
        <v>24</v>
      </c>
      <c r="D5413" s="1" t="s">
        <v>449</v>
      </c>
      <c r="E5413" s="1" t="n">
        <v>7</v>
      </c>
      <c r="F5413" s="1" t="n">
        <v>207.34</v>
      </c>
      <c r="G5413" s="1" t="n">
        <v>0</v>
      </c>
      <c r="H5413" s="1" t="s">
        <v>1336</v>
      </c>
      <c r="I5413" s="1" t="n">
        <v>1451.38</v>
      </c>
      <c r="J5413" s="1" t="str">
        <f aca="false">VLOOKUP(B5413,Customers!$A$2:$G$502,6,FALSE())</f>
        <v>Corporate</v>
      </c>
      <c r="K5413" s="1" t="str">
        <f aca="false">VLOOKUP(C5413,Products!$A$2:$E$62,3,FALSE())</f>
        <v>Office Supplies</v>
      </c>
      <c r="L5413" s="1" t="str">
        <f aca="false">TEXT(D5413,"yyyy-mm")</f>
        <v>2023-03</v>
      </c>
    </row>
    <row r="5414" customFormat="false" ht="15" hidden="false" customHeight="true" outlineLevel="0" collapsed="false">
      <c r="A5414" s="1" t="n">
        <v>5531</v>
      </c>
      <c r="B5414" s="1" t="n">
        <v>396</v>
      </c>
      <c r="C5414" s="1" t="n">
        <v>10</v>
      </c>
      <c r="D5414" s="1" t="s">
        <v>1681</v>
      </c>
      <c r="E5414" s="1" t="n">
        <v>2</v>
      </c>
      <c r="F5414" s="1" t="n">
        <v>251.58</v>
      </c>
      <c r="G5414" s="1" t="n">
        <v>0.05</v>
      </c>
      <c r="H5414" s="1" t="s">
        <v>1336</v>
      </c>
      <c r="I5414" s="1" t="n">
        <v>478</v>
      </c>
      <c r="J5414" s="1" t="str">
        <f aca="false">VLOOKUP(B5414,Customers!$A$2:$G$502,6,FALSE())</f>
        <v>Small Business</v>
      </c>
      <c r="K5414" s="1" t="str">
        <f aca="false">VLOOKUP(C5414,Products!$A$2:$E$62,3,FALSE())</f>
        <v>Electronics</v>
      </c>
      <c r="L5414" s="1" t="str">
        <f aca="false">TEXT(D5414,"yyyy-mm")</f>
        <v>2024-04</v>
      </c>
    </row>
    <row r="5415" customFormat="false" ht="15" hidden="false" customHeight="true" outlineLevel="0" collapsed="false">
      <c r="A5415" s="1" t="n">
        <v>5532</v>
      </c>
      <c r="B5415" s="1" t="n">
        <v>458</v>
      </c>
      <c r="C5415" s="1" t="n">
        <v>59</v>
      </c>
      <c r="D5415" s="1" t="s">
        <v>1429</v>
      </c>
      <c r="E5415" s="1" t="n">
        <v>9</v>
      </c>
      <c r="F5415" s="1" t="n">
        <v>438.89</v>
      </c>
      <c r="G5415" s="1" t="n">
        <v>0</v>
      </c>
      <c r="H5415" s="1" t="s">
        <v>1336</v>
      </c>
      <c r="I5415" s="1" t="n">
        <v>3950.01</v>
      </c>
      <c r="J5415" s="1" t="str">
        <f aca="false">VLOOKUP(B5415,Customers!$A$2:$G$502,6,FALSE())</f>
        <v>Small Business</v>
      </c>
      <c r="K5415" s="1" t="str">
        <f aca="false">VLOOKUP(C5415,Products!$A$2:$E$62,3,FALSE())</f>
        <v>Furniture</v>
      </c>
      <c r="L5415" s="1" t="str">
        <f aca="false">TEXT(D5415,"yyyy-mm")</f>
        <v>2024-08</v>
      </c>
    </row>
    <row r="5416" customFormat="false" ht="15" hidden="false" customHeight="true" outlineLevel="0" collapsed="false">
      <c r="A5416" s="1" t="n">
        <v>5533</v>
      </c>
      <c r="B5416" s="1" t="n">
        <v>291</v>
      </c>
      <c r="C5416" s="1" t="n">
        <v>60</v>
      </c>
      <c r="D5416" s="1" t="s">
        <v>792</v>
      </c>
      <c r="E5416" s="1" t="n">
        <v>1</v>
      </c>
      <c r="F5416" s="1" t="n">
        <v>584.98</v>
      </c>
      <c r="G5416" s="1" t="n">
        <v>0.15</v>
      </c>
      <c r="H5416" s="1" t="s">
        <v>1336</v>
      </c>
      <c r="I5416" s="1" t="n">
        <v>497.23</v>
      </c>
      <c r="J5416" s="1" t="str">
        <f aca="false">VLOOKUP(B5416,Customers!$A$2:$G$502,6,FALSE())</f>
        <v>Consumer</v>
      </c>
      <c r="K5416" s="1" t="str">
        <f aca="false">VLOOKUP(C5416,Products!$A$2:$E$62,3,FALSE())</f>
        <v>Furniture</v>
      </c>
      <c r="L5416" s="1" t="str">
        <f aca="false">TEXT(D5416,"yyyy-mm")</f>
        <v>2023-06</v>
      </c>
    </row>
    <row r="5417" customFormat="false" ht="15" hidden="false" customHeight="true" outlineLevel="0" collapsed="false">
      <c r="A5417" s="1" t="n">
        <v>5534</v>
      </c>
      <c r="B5417" s="1" t="n">
        <v>27</v>
      </c>
      <c r="C5417" s="1" t="n">
        <v>24</v>
      </c>
      <c r="D5417" s="1" t="s">
        <v>1097</v>
      </c>
      <c r="E5417" s="1" t="n">
        <v>1</v>
      </c>
      <c r="F5417" s="1" t="n">
        <v>207.34</v>
      </c>
      <c r="G5417" s="1" t="n">
        <v>0</v>
      </c>
      <c r="H5417" s="1" t="s">
        <v>1336</v>
      </c>
      <c r="I5417" s="1" t="n">
        <v>207.34</v>
      </c>
      <c r="J5417" s="1" t="str">
        <f aca="false">VLOOKUP(B5417,Customers!$A$2:$G$502,6,FALSE())</f>
        <v>Small Business</v>
      </c>
      <c r="K5417" s="1" t="str">
        <f aca="false">VLOOKUP(C5417,Products!$A$2:$E$62,3,FALSE())</f>
        <v>Office Supplies</v>
      </c>
      <c r="L5417" s="1" t="str">
        <f aca="false">TEXT(D5417,"yyyy-mm")</f>
        <v>2024-02</v>
      </c>
    </row>
    <row r="5418" customFormat="false" ht="15" hidden="false" customHeight="true" outlineLevel="0" collapsed="false">
      <c r="A5418" s="1" t="n">
        <v>5535</v>
      </c>
      <c r="B5418" s="1" t="n">
        <v>417</v>
      </c>
      <c r="C5418" s="1" t="n">
        <v>55</v>
      </c>
      <c r="D5418" s="1" t="s">
        <v>1385</v>
      </c>
      <c r="E5418" s="1" t="n">
        <v>3</v>
      </c>
      <c r="F5418" s="1" t="n">
        <v>123.38</v>
      </c>
      <c r="G5418" s="1" t="n">
        <v>0</v>
      </c>
      <c r="H5418" s="1" t="s">
        <v>1336</v>
      </c>
      <c r="I5418" s="1" t="n">
        <v>370.14</v>
      </c>
      <c r="J5418" s="1" t="str">
        <f aca="false">VLOOKUP(B5418,Customers!$A$2:$G$502,6,FALSE())</f>
        <v>Consumer</v>
      </c>
      <c r="K5418" s="1" t="str">
        <f aca="false">VLOOKUP(C5418,Products!$A$2:$E$62,3,FALSE())</f>
        <v>Furniture</v>
      </c>
      <c r="L5418" s="1" t="str">
        <f aca="false">TEXT(D5418,"yyyy-mm")</f>
        <v>2023-05</v>
      </c>
    </row>
    <row r="5419" customFormat="false" ht="15" hidden="false" customHeight="true" outlineLevel="0" collapsed="false">
      <c r="A5419" s="1" t="n">
        <v>5536</v>
      </c>
      <c r="B5419" s="1" t="n">
        <v>331</v>
      </c>
      <c r="C5419" s="1" t="n">
        <v>21</v>
      </c>
      <c r="D5419" s="1" t="s">
        <v>1416</v>
      </c>
      <c r="E5419" s="1" t="n">
        <v>3</v>
      </c>
      <c r="F5419" s="1" t="n">
        <v>84.91</v>
      </c>
      <c r="G5419" s="1" t="n">
        <v>0.2</v>
      </c>
      <c r="H5419" s="1" t="s">
        <v>1336</v>
      </c>
      <c r="I5419" s="1" t="n">
        <v>203.78</v>
      </c>
      <c r="J5419" s="1" t="str">
        <f aca="false">VLOOKUP(B5419,Customers!$A$2:$G$502,6,FALSE())</f>
        <v>Consumer</v>
      </c>
      <c r="K5419" s="1" t="str">
        <f aca="false">VLOOKUP(C5419,Products!$A$2:$E$62,3,FALSE())</f>
        <v>Office Supplies</v>
      </c>
      <c r="L5419" s="1" t="str">
        <f aca="false">TEXT(D5419,"yyyy-mm")</f>
        <v>2024-07</v>
      </c>
    </row>
    <row r="5420" customFormat="false" ht="15" hidden="false" customHeight="true" outlineLevel="0" collapsed="false">
      <c r="A5420" s="1" t="n">
        <v>5537</v>
      </c>
      <c r="B5420" s="1" t="n">
        <v>446</v>
      </c>
      <c r="C5420" s="1" t="n">
        <v>13</v>
      </c>
      <c r="D5420" s="1" t="s">
        <v>333</v>
      </c>
      <c r="E5420" s="1" t="n">
        <v>1</v>
      </c>
      <c r="F5420" s="1" t="n">
        <v>352.54</v>
      </c>
      <c r="G5420" s="1" t="n">
        <v>0</v>
      </c>
      <c r="H5420" s="1" t="s">
        <v>1336</v>
      </c>
      <c r="I5420" s="1" t="n">
        <v>352.54</v>
      </c>
      <c r="J5420" s="1" t="str">
        <f aca="false">VLOOKUP(B5420,Customers!$A$2:$G$502,6,FALSE())</f>
        <v>Small Business</v>
      </c>
      <c r="K5420" s="1" t="str">
        <f aca="false">VLOOKUP(C5420,Products!$A$2:$E$62,3,FALSE())</f>
        <v>Electronics</v>
      </c>
      <c r="L5420" s="1" t="str">
        <f aca="false">TEXT(D5420,"yyyy-mm")</f>
        <v>2024-03</v>
      </c>
    </row>
    <row r="5421" customFormat="false" ht="15" hidden="false" customHeight="true" outlineLevel="0" collapsed="false">
      <c r="A5421" s="1" t="n">
        <v>5538</v>
      </c>
      <c r="B5421" s="1" t="n">
        <v>337</v>
      </c>
      <c r="C5421" s="1" t="n">
        <v>20</v>
      </c>
      <c r="D5421" s="1" t="s">
        <v>863</v>
      </c>
      <c r="E5421" s="1" t="n">
        <v>7</v>
      </c>
      <c r="F5421" s="1" t="n">
        <v>426.15</v>
      </c>
      <c r="G5421" s="1" t="n">
        <v>0.15</v>
      </c>
      <c r="H5421" s="1" t="s">
        <v>1370</v>
      </c>
      <c r="I5421" s="1" t="n">
        <v>2535.59</v>
      </c>
      <c r="J5421" s="1" t="str">
        <f aca="false">VLOOKUP(B5421,Customers!$A$2:$G$502,6,FALSE())</f>
        <v>Corporate</v>
      </c>
      <c r="K5421" s="1" t="str">
        <f aca="false">VLOOKUP(C5421,Products!$A$2:$E$62,3,FALSE())</f>
        <v>Office Supplies</v>
      </c>
      <c r="L5421" s="1" t="str">
        <f aca="false">TEXT(D5421,"yyyy-mm")</f>
        <v>2023-11</v>
      </c>
    </row>
    <row r="5422" customFormat="false" ht="15" hidden="false" customHeight="true" outlineLevel="0" collapsed="false">
      <c r="A5422" s="1" t="n">
        <v>5539</v>
      </c>
      <c r="B5422" s="1" t="n">
        <v>283</v>
      </c>
      <c r="C5422" s="1" t="n">
        <v>49</v>
      </c>
      <c r="D5422" s="1" t="s">
        <v>1532</v>
      </c>
      <c r="E5422" s="1" t="n">
        <v>4</v>
      </c>
      <c r="F5422" s="1" t="n">
        <v>325.17</v>
      </c>
      <c r="G5422" s="1" t="n">
        <v>0</v>
      </c>
      <c r="H5422" s="1" t="s">
        <v>1336</v>
      </c>
      <c r="I5422" s="1" t="n">
        <v>1300.68</v>
      </c>
      <c r="J5422" s="1" t="str">
        <f aca="false">VLOOKUP(B5422,Customers!$A$2:$G$502,6,FALSE())</f>
        <v>Small Business</v>
      </c>
      <c r="K5422" s="1" t="str">
        <f aca="false">VLOOKUP(C5422,Products!$A$2:$E$62,3,FALSE())</f>
        <v>Software</v>
      </c>
      <c r="L5422" s="1" t="str">
        <f aca="false">TEXT(D5422,"yyyy-mm")</f>
        <v>2023-05</v>
      </c>
    </row>
    <row r="5423" customFormat="false" ht="15" hidden="false" customHeight="true" outlineLevel="0" collapsed="false">
      <c r="A5423" s="1" t="n">
        <v>5540</v>
      </c>
      <c r="B5423" s="1" t="n">
        <v>151</v>
      </c>
      <c r="C5423" s="1" t="n">
        <v>25</v>
      </c>
      <c r="D5423" s="1" t="s">
        <v>783</v>
      </c>
      <c r="E5423" s="1" t="n">
        <v>2</v>
      </c>
      <c r="F5423" s="1" t="n">
        <v>300.49</v>
      </c>
      <c r="G5423" s="1" t="n">
        <v>0</v>
      </c>
      <c r="H5423" s="1" t="s">
        <v>1336</v>
      </c>
      <c r="I5423" s="1" t="n">
        <v>600.98</v>
      </c>
      <c r="J5423" s="1" t="str">
        <f aca="false">VLOOKUP(B5423,Customers!$A$2:$G$502,6,FALSE())</f>
        <v>Small Business</v>
      </c>
      <c r="K5423" s="1" t="str">
        <f aca="false">VLOOKUP(C5423,Products!$A$2:$E$62,3,FALSE())</f>
        <v>Office Supplies</v>
      </c>
      <c r="L5423" s="1" t="str">
        <f aca="false">TEXT(D5423,"yyyy-mm")</f>
        <v>2024-12</v>
      </c>
    </row>
    <row r="5424" customFormat="false" ht="15" hidden="false" customHeight="true" outlineLevel="0" collapsed="false">
      <c r="A5424" s="1" t="n">
        <v>5541</v>
      </c>
      <c r="B5424" s="1" t="n">
        <v>282</v>
      </c>
      <c r="C5424" s="1" t="n">
        <v>38</v>
      </c>
      <c r="D5424" s="1" t="s">
        <v>623</v>
      </c>
      <c r="E5424" s="1" t="n">
        <v>5</v>
      </c>
      <c r="F5424" s="1" t="n">
        <v>521.63</v>
      </c>
      <c r="G5424" s="1" t="n">
        <v>0.05</v>
      </c>
      <c r="H5424" s="1" t="s">
        <v>1336</v>
      </c>
      <c r="I5424" s="1" t="n">
        <v>2477.74</v>
      </c>
      <c r="J5424" s="1" t="str">
        <f aca="false">VLOOKUP(B5424,Customers!$A$2:$G$502,6,FALSE())</f>
        <v>Corporate</v>
      </c>
      <c r="K5424" s="1" t="str">
        <f aca="false">VLOOKUP(C5424,Products!$A$2:$E$62,3,FALSE())</f>
        <v>Software</v>
      </c>
      <c r="L5424" s="1" t="str">
        <f aca="false">TEXT(D5424,"yyyy-mm")</f>
        <v>2024-05</v>
      </c>
    </row>
    <row r="5425" customFormat="false" ht="15" hidden="false" customHeight="true" outlineLevel="0" collapsed="false">
      <c r="A5425" s="1" t="n">
        <v>5542</v>
      </c>
      <c r="B5425" s="1" t="n">
        <v>102</v>
      </c>
      <c r="C5425" s="1" t="n">
        <v>1</v>
      </c>
      <c r="D5425" s="1" t="s">
        <v>772</v>
      </c>
      <c r="E5425" s="1" t="n">
        <v>6</v>
      </c>
      <c r="F5425" s="1" t="n">
        <v>327.32</v>
      </c>
      <c r="G5425" s="1" t="n">
        <v>0</v>
      </c>
      <c r="H5425" s="1" t="s">
        <v>1336</v>
      </c>
      <c r="I5425" s="1" t="n">
        <v>1963.92</v>
      </c>
      <c r="J5425" s="1" t="str">
        <f aca="false">VLOOKUP(B5425,Customers!$A$2:$G$502,6,FALSE())</f>
        <v>Consumer</v>
      </c>
      <c r="K5425" s="1" t="str">
        <f aca="false">VLOOKUP(C5425,Products!$A$2:$E$62,3,FALSE())</f>
        <v>Electronics</v>
      </c>
      <c r="L5425" s="1" t="str">
        <f aca="false">TEXT(D5425,"yyyy-mm")</f>
        <v>2023-10</v>
      </c>
    </row>
    <row r="5426" customFormat="false" ht="15" hidden="false" customHeight="true" outlineLevel="0" collapsed="false">
      <c r="A5426" s="1" t="n">
        <v>5543</v>
      </c>
      <c r="B5426" s="1" t="n">
        <v>269</v>
      </c>
      <c r="C5426" s="1" t="n">
        <v>41</v>
      </c>
      <c r="D5426" s="1" t="s">
        <v>626</v>
      </c>
      <c r="E5426" s="1" t="n">
        <v>9</v>
      </c>
      <c r="F5426" s="1" t="n">
        <v>594.54</v>
      </c>
      <c r="G5426" s="1" t="n">
        <v>0</v>
      </c>
      <c r="H5426" s="1" t="s">
        <v>1336</v>
      </c>
      <c r="I5426" s="1" t="n">
        <v>5350.86</v>
      </c>
      <c r="J5426" s="1" t="str">
        <f aca="false">VLOOKUP(B5426,Customers!$A$2:$G$502,6,FALSE())</f>
        <v>Corporate</v>
      </c>
      <c r="K5426" s="1" t="str">
        <f aca="false">VLOOKUP(C5426,Products!$A$2:$E$62,3,FALSE())</f>
        <v>Software</v>
      </c>
      <c r="L5426" s="1" t="str">
        <f aca="false">TEXT(D5426,"yyyy-mm")</f>
        <v>2023-09</v>
      </c>
    </row>
    <row r="5427" customFormat="false" ht="15" hidden="false" customHeight="true" outlineLevel="0" collapsed="false">
      <c r="A5427" s="1" t="n">
        <v>5544</v>
      </c>
      <c r="B5427" s="1" t="n">
        <v>313</v>
      </c>
      <c r="C5427" s="1" t="n">
        <v>47</v>
      </c>
      <c r="D5427" s="1" t="s">
        <v>1400</v>
      </c>
      <c r="E5427" s="1" t="n">
        <v>4</v>
      </c>
      <c r="F5427" s="1" t="n">
        <v>506.19</v>
      </c>
      <c r="G5427" s="1" t="n">
        <v>0</v>
      </c>
      <c r="H5427" s="1" t="s">
        <v>1336</v>
      </c>
      <c r="I5427" s="1" t="n">
        <v>2024.76</v>
      </c>
      <c r="J5427" s="1" t="str">
        <f aca="false">VLOOKUP(B5427,Customers!$A$2:$G$502,6,FALSE())</f>
        <v>Consumer</v>
      </c>
      <c r="K5427" s="1" t="str">
        <f aca="false">VLOOKUP(C5427,Products!$A$2:$E$62,3,FALSE())</f>
        <v>Software</v>
      </c>
      <c r="L5427" s="1" t="str">
        <f aca="false">TEXT(D5427,"yyyy-mm")</f>
        <v>2024-12</v>
      </c>
    </row>
    <row r="5428" customFormat="false" ht="15" hidden="false" customHeight="true" outlineLevel="0" collapsed="false">
      <c r="A5428" s="1" t="n">
        <v>5545</v>
      </c>
      <c r="B5428" s="1" t="n">
        <v>126</v>
      </c>
      <c r="C5428" s="1" t="n">
        <v>50</v>
      </c>
      <c r="D5428" s="1" t="s">
        <v>828</v>
      </c>
      <c r="E5428" s="1" t="n">
        <v>2</v>
      </c>
      <c r="F5428" s="1" t="n">
        <v>19.73</v>
      </c>
      <c r="G5428" s="1" t="n">
        <v>0.05</v>
      </c>
      <c r="H5428" s="1" t="s">
        <v>1346</v>
      </c>
      <c r="I5428" s="1" t="n">
        <v>37.49</v>
      </c>
      <c r="J5428" s="1" t="str">
        <f aca="false">VLOOKUP(B5428,Customers!$A$2:$G$502,6,FALSE())</f>
        <v>Small Business</v>
      </c>
      <c r="K5428" s="1" t="str">
        <f aca="false">VLOOKUP(C5428,Products!$A$2:$E$62,3,FALSE())</f>
        <v>Software</v>
      </c>
      <c r="L5428" s="1" t="str">
        <f aca="false">TEXT(D5428,"yyyy-mm")</f>
        <v>2024-07</v>
      </c>
    </row>
    <row r="5429" customFormat="false" ht="15" hidden="false" customHeight="true" outlineLevel="0" collapsed="false">
      <c r="A5429" s="1" t="n">
        <v>5546</v>
      </c>
      <c r="B5429" s="1" t="n">
        <v>256</v>
      </c>
      <c r="C5429" s="1" t="n">
        <v>42</v>
      </c>
      <c r="D5429" s="1" t="s">
        <v>1183</v>
      </c>
      <c r="E5429" s="1" t="n">
        <v>5</v>
      </c>
      <c r="F5429" s="1" t="n">
        <v>174.48</v>
      </c>
      <c r="G5429" s="1" t="n">
        <v>0.05</v>
      </c>
      <c r="H5429" s="1" t="s">
        <v>1336</v>
      </c>
      <c r="I5429" s="1" t="n">
        <v>828.78</v>
      </c>
      <c r="J5429" s="1" t="str">
        <f aca="false">VLOOKUP(B5429,Customers!$A$2:$G$502,6,FALSE())</f>
        <v>Small Business</v>
      </c>
      <c r="K5429" s="1" t="str">
        <f aca="false">VLOOKUP(C5429,Products!$A$2:$E$62,3,FALSE())</f>
        <v>Software</v>
      </c>
      <c r="L5429" s="1" t="str">
        <f aca="false">TEXT(D5429,"yyyy-mm")</f>
        <v>2023-06</v>
      </c>
    </row>
    <row r="5430" customFormat="false" ht="15" hidden="false" customHeight="true" outlineLevel="0" collapsed="false">
      <c r="A5430" s="1" t="n">
        <v>5547</v>
      </c>
      <c r="B5430" s="1" t="n">
        <v>311</v>
      </c>
      <c r="C5430" s="1" t="n">
        <v>27</v>
      </c>
      <c r="D5430" s="1" t="s">
        <v>1557</v>
      </c>
      <c r="E5430" s="1" t="n">
        <v>3</v>
      </c>
      <c r="F5430" s="1" t="n">
        <v>772.58</v>
      </c>
      <c r="G5430" s="1" t="n">
        <v>0</v>
      </c>
      <c r="H5430" s="1" t="s">
        <v>1336</v>
      </c>
      <c r="I5430" s="1" t="n">
        <v>2317.74</v>
      </c>
      <c r="J5430" s="1" t="str">
        <f aca="false">VLOOKUP(B5430,Customers!$A$2:$G$502,6,FALSE())</f>
        <v>Consumer</v>
      </c>
      <c r="K5430" s="1" t="str">
        <f aca="false">VLOOKUP(C5430,Products!$A$2:$E$62,3,FALSE())</f>
        <v>Office Supplies</v>
      </c>
      <c r="L5430" s="1" t="str">
        <f aca="false">TEXT(D5430,"yyyy-mm")</f>
        <v>2024-03</v>
      </c>
    </row>
    <row r="5431" customFormat="false" ht="15" hidden="false" customHeight="true" outlineLevel="0" collapsed="false">
      <c r="A5431" s="1" t="n">
        <v>5548</v>
      </c>
      <c r="B5431" s="1" t="n">
        <v>100</v>
      </c>
      <c r="C5431" s="1" t="n">
        <v>34</v>
      </c>
      <c r="D5431" s="1" t="s">
        <v>692</v>
      </c>
      <c r="E5431" s="1" t="n">
        <v>2</v>
      </c>
      <c r="F5431" s="1" t="n">
        <v>116.85</v>
      </c>
      <c r="G5431" s="1" t="n">
        <v>0.2</v>
      </c>
      <c r="H5431" s="1" t="s">
        <v>1336</v>
      </c>
      <c r="I5431" s="1" t="n">
        <v>186.96</v>
      </c>
      <c r="J5431" s="1" t="str">
        <f aca="false">VLOOKUP(B5431,Customers!$A$2:$G$502,6,FALSE())</f>
        <v>Consumer</v>
      </c>
      <c r="K5431" s="1" t="str">
        <f aca="false">VLOOKUP(C5431,Products!$A$2:$E$62,3,FALSE())</f>
        <v>Office Supplies</v>
      </c>
      <c r="L5431" s="1" t="str">
        <f aca="false">TEXT(D5431,"yyyy-mm")</f>
        <v>2023-03</v>
      </c>
    </row>
    <row r="5432" customFormat="false" ht="15" hidden="false" customHeight="true" outlineLevel="0" collapsed="false">
      <c r="A5432" s="1" t="n">
        <v>5549</v>
      </c>
      <c r="B5432" s="1" t="n">
        <v>453</v>
      </c>
      <c r="C5432" s="1" t="n">
        <v>55</v>
      </c>
      <c r="D5432" s="1" t="s">
        <v>1230</v>
      </c>
      <c r="E5432" s="1" t="n">
        <v>1</v>
      </c>
      <c r="F5432" s="1" t="n">
        <v>123.38</v>
      </c>
      <c r="G5432" s="1" t="n">
        <v>0.1</v>
      </c>
      <c r="H5432" s="1" t="s">
        <v>1336</v>
      </c>
      <c r="I5432" s="1" t="n">
        <v>111.04</v>
      </c>
      <c r="J5432" s="1" t="str">
        <f aca="false">VLOOKUP(B5432,Customers!$A$2:$G$502,6,FALSE())</f>
        <v>Small Business</v>
      </c>
      <c r="K5432" s="1" t="str">
        <f aca="false">VLOOKUP(C5432,Products!$A$2:$E$62,3,FALSE())</f>
        <v>Furniture</v>
      </c>
      <c r="L5432" s="1" t="str">
        <f aca="false">TEXT(D5432,"yyyy-mm")</f>
        <v>2023-02</v>
      </c>
    </row>
    <row r="5433" customFormat="false" ht="15" hidden="false" customHeight="true" outlineLevel="0" collapsed="false">
      <c r="A5433" s="1" t="n">
        <v>5550</v>
      </c>
      <c r="B5433" s="1" t="n">
        <v>87</v>
      </c>
      <c r="C5433" s="1" t="n">
        <v>19</v>
      </c>
      <c r="D5433" s="1" t="s">
        <v>188</v>
      </c>
      <c r="E5433" s="1" t="n">
        <v>2</v>
      </c>
      <c r="F5433" s="1" t="n">
        <v>163.64</v>
      </c>
      <c r="G5433" s="1" t="n">
        <v>0.05</v>
      </c>
      <c r="H5433" s="1" t="s">
        <v>1336</v>
      </c>
      <c r="I5433" s="1" t="n">
        <v>310.92</v>
      </c>
      <c r="J5433" s="1" t="str">
        <f aca="false">VLOOKUP(B5433,Customers!$A$2:$G$502,6,FALSE())</f>
        <v>Corporate</v>
      </c>
      <c r="K5433" s="1" t="str">
        <f aca="false">VLOOKUP(C5433,Products!$A$2:$E$62,3,FALSE())</f>
        <v>Office Supplies</v>
      </c>
      <c r="L5433" s="1" t="str">
        <f aca="false">TEXT(D5433,"yyyy-mm")</f>
        <v>2024-04</v>
      </c>
    </row>
    <row r="5434" customFormat="false" ht="15" hidden="false" customHeight="true" outlineLevel="0" collapsed="false">
      <c r="A5434" s="1" t="n">
        <v>5551</v>
      </c>
      <c r="B5434" s="1" t="n">
        <v>473</v>
      </c>
      <c r="C5434" s="1" t="n">
        <v>26</v>
      </c>
      <c r="D5434" s="1" t="s">
        <v>1117</v>
      </c>
      <c r="E5434" s="1" t="n">
        <v>6</v>
      </c>
      <c r="F5434" s="1" t="n">
        <v>733.85</v>
      </c>
      <c r="G5434" s="1" t="n">
        <v>0</v>
      </c>
      <c r="H5434" s="1" t="s">
        <v>1336</v>
      </c>
      <c r="I5434" s="1" t="n">
        <v>4403.1</v>
      </c>
      <c r="J5434" s="1" t="str">
        <f aca="false">VLOOKUP(B5434,Customers!$A$2:$G$502,6,FALSE())</f>
        <v>Small Business</v>
      </c>
      <c r="K5434" s="1" t="str">
        <f aca="false">VLOOKUP(C5434,Products!$A$2:$E$62,3,FALSE())</f>
        <v>Office Supplies</v>
      </c>
      <c r="L5434" s="1" t="str">
        <f aca="false">TEXT(D5434,"yyyy-mm")</f>
        <v>2023-05</v>
      </c>
    </row>
    <row r="5435" customFormat="false" ht="15" hidden="false" customHeight="true" outlineLevel="0" collapsed="false">
      <c r="A5435" s="1" t="n">
        <v>5552</v>
      </c>
      <c r="B5435" s="1" t="n">
        <v>425</v>
      </c>
      <c r="C5435" s="1" t="n">
        <v>58</v>
      </c>
      <c r="D5435" s="1" t="s">
        <v>1556</v>
      </c>
      <c r="E5435" s="1" t="n">
        <v>8</v>
      </c>
      <c r="F5435" s="1" t="n">
        <v>515.55</v>
      </c>
      <c r="G5435" s="1" t="n">
        <v>0.2</v>
      </c>
      <c r="H5435" s="1" t="s">
        <v>1336</v>
      </c>
      <c r="I5435" s="1" t="n">
        <v>3299.52</v>
      </c>
      <c r="J5435" s="1" t="str">
        <f aca="false">VLOOKUP(B5435,Customers!$A$2:$G$502,6,FALSE())</f>
        <v>Unknown</v>
      </c>
      <c r="K5435" s="1" t="str">
        <f aca="false">VLOOKUP(C5435,Products!$A$2:$E$62,3,FALSE())</f>
        <v>Furniture</v>
      </c>
      <c r="L5435" s="1" t="str">
        <f aca="false">TEXT(D5435,"yyyy-mm")</f>
        <v>2024-02</v>
      </c>
    </row>
    <row r="5436" customFormat="false" ht="15" hidden="false" customHeight="true" outlineLevel="0" collapsed="false">
      <c r="A5436" s="1" t="n">
        <v>5554</v>
      </c>
      <c r="B5436" s="1" t="n">
        <v>194</v>
      </c>
      <c r="C5436" s="1" t="n">
        <v>50</v>
      </c>
      <c r="D5436" s="1" t="s">
        <v>575</v>
      </c>
      <c r="E5436" s="1" t="n">
        <v>9</v>
      </c>
      <c r="F5436" s="1" t="n">
        <v>19.73</v>
      </c>
      <c r="G5436" s="1" t="n">
        <v>0.2</v>
      </c>
      <c r="H5436" s="1" t="s">
        <v>1336</v>
      </c>
      <c r="I5436" s="1" t="n">
        <v>142.06</v>
      </c>
      <c r="J5436" s="1" t="str">
        <f aca="false">VLOOKUP(B5436,Customers!$A$2:$G$502,6,FALSE())</f>
        <v>Corporate</v>
      </c>
      <c r="K5436" s="1" t="str">
        <f aca="false">VLOOKUP(C5436,Products!$A$2:$E$62,3,FALSE())</f>
        <v>Software</v>
      </c>
      <c r="L5436" s="1" t="str">
        <f aca="false">TEXT(D5436,"yyyy-mm")</f>
        <v>2024-02</v>
      </c>
    </row>
    <row r="5437" customFormat="false" ht="15" hidden="false" customHeight="true" outlineLevel="0" collapsed="false">
      <c r="A5437" s="1" t="n">
        <v>5555</v>
      </c>
      <c r="B5437" s="1" t="n">
        <v>82</v>
      </c>
      <c r="C5437" s="1" t="n">
        <v>32</v>
      </c>
      <c r="D5437" s="1" t="s">
        <v>1588</v>
      </c>
      <c r="E5437" s="1" t="n">
        <v>9</v>
      </c>
      <c r="F5437" s="1" t="n">
        <v>492.27</v>
      </c>
      <c r="G5437" s="1" t="n">
        <v>0</v>
      </c>
      <c r="H5437" s="1" t="s">
        <v>1336</v>
      </c>
      <c r="I5437" s="1" t="n">
        <v>4430.43</v>
      </c>
      <c r="J5437" s="1" t="str">
        <f aca="false">VLOOKUP(B5437,Customers!$A$2:$G$502,6,FALSE())</f>
        <v>Consumer</v>
      </c>
      <c r="K5437" s="1" t="str">
        <f aca="false">VLOOKUP(C5437,Products!$A$2:$E$62,3,FALSE())</f>
        <v>Office Supplies</v>
      </c>
      <c r="L5437" s="1" t="str">
        <f aca="false">TEXT(D5437,"yyyy-mm")</f>
        <v>2024-08</v>
      </c>
    </row>
    <row r="5438" customFormat="false" ht="15" hidden="false" customHeight="true" outlineLevel="0" collapsed="false">
      <c r="A5438" s="1" t="n">
        <v>5556</v>
      </c>
      <c r="B5438" s="1" t="n">
        <v>137</v>
      </c>
      <c r="C5438" s="1" t="n">
        <v>25</v>
      </c>
      <c r="D5438" s="1" t="s">
        <v>949</v>
      </c>
      <c r="E5438" s="1" t="n">
        <v>2</v>
      </c>
      <c r="F5438" s="1" t="n">
        <v>300.49</v>
      </c>
      <c r="G5438" s="1" t="n">
        <v>0.1</v>
      </c>
      <c r="H5438" s="1" t="s">
        <v>1346</v>
      </c>
      <c r="I5438" s="1" t="n">
        <v>540.88</v>
      </c>
      <c r="J5438" s="1" t="str">
        <f aca="false">VLOOKUP(B5438,Customers!$A$2:$G$502,6,FALSE())</f>
        <v>Consumer</v>
      </c>
      <c r="K5438" s="1" t="str">
        <f aca="false">VLOOKUP(C5438,Products!$A$2:$E$62,3,FALSE())</f>
        <v>Office Supplies</v>
      </c>
      <c r="L5438" s="1" t="str">
        <f aca="false">TEXT(D5438,"yyyy-mm")</f>
        <v>2023-11</v>
      </c>
    </row>
    <row r="5439" customFormat="false" ht="15" hidden="false" customHeight="true" outlineLevel="0" collapsed="false">
      <c r="A5439" s="1" t="n">
        <v>5557</v>
      </c>
      <c r="B5439" s="1" t="n">
        <v>306</v>
      </c>
      <c r="C5439" s="1" t="n">
        <v>9</v>
      </c>
      <c r="D5439" s="1" t="s">
        <v>1590</v>
      </c>
      <c r="E5439" s="1" t="n">
        <v>8</v>
      </c>
      <c r="F5439" s="1" t="n">
        <v>203.1</v>
      </c>
      <c r="G5439" s="1" t="n">
        <v>0.15</v>
      </c>
      <c r="H5439" s="1" t="s">
        <v>1336</v>
      </c>
      <c r="I5439" s="1" t="n">
        <v>1381.08</v>
      </c>
      <c r="J5439" s="1" t="str">
        <f aca="false">VLOOKUP(B5439,Customers!$A$2:$G$502,6,FALSE())</f>
        <v>Small Business</v>
      </c>
      <c r="K5439" s="1" t="str">
        <f aca="false">VLOOKUP(C5439,Products!$A$2:$E$62,3,FALSE())</f>
        <v>Electronics</v>
      </c>
      <c r="L5439" s="1" t="str">
        <f aca="false">TEXT(D5439,"yyyy-mm")</f>
        <v>2023-06</v>
      </c>
    </row>
    <row r="5440" customFormat="false" ht="15" hidden="false" customHeight="true" outlineLevel="0" collapsed="false">
      <c r="A5440" s="1" t="n">
        <v>5558</v>
      </c>
      <c r="B5440" s="1" t="n">
        <v>310</v>
      </c>
      <c r="C5440" s="1" t="n">
        <v>29</v>
      </c>
      <c r="D5440" s="1" t="s">
        <v>586</v>
      </c>
      <c r="E5440" s="1" t="n">
        <v>5</v>
      </c>
      <c r="F5440" s="1" t="n">
        <v>54.62</v>
      </c>
      <c r="G5440" s="1" t="n">
        <v>0</v>
      </c>
      <c r="H5440" s="1" t="s">
        <v>1336</v>
      </c>
      <c r="I5440" s="1" t="n">
        <v>273.1</v>
      </c>
      <c r="J5440" s="1" t="str">
        <f aca="false">VLOOKUP(B5440,Customers!$A$2:$G$502,6,FALSE())</f>
        <v>Small Business</v>
      </c>
      <c r="K5440" s="1" t="str">
        <f aca="false">VLOOKUP(C5440,Products!$A$2:$E$62,3,FALSE())</f>
        <v>Office Supplies</v>
      </c>
      <c r="L5440" s="1" t="str">
        <f aca="false">TEXT(D5440,"yyyy-mm")</f>
        <v>2023-01</v>
      </c>
    </row>
    <row r="5441" customFormat="false" ht="15" hidden="false" customHeight="true" outlineLevel="0" collapsed="false">
      <c r="A5441" s="1" t="n">
        <v>5559</v>
      </c>
      <c r="B5441" s="1" t="n">
        <v>372</v>
      </c>
      <c r="C5441" s="1" t="n">
        <v>1</v>
      </c>
      <c r="D5441" s="1" t="s">
        <v>1463</v>
      </c>
      <c r="E5441" s="1" t="n">
        <v>4</v>
      </c>
      <c r="F5441" s="1" t="n">
        <v>327.32</v>
      </c>
      <c r="G5441" s="1" t="n">
        <v>0.1</v>
      </c>
      <c r="H5441" s="1" t="s">
        <v>1346</v>
      </c>
      <c r="I5441" s="1" t="n">
        <v>1178.35</v>
      </c>
      <c r="J5441" s="1" t="str">
        <f aca="false">VLOOKUP(B5441,Customers!$A$2:$G$502,6,FALSE())</f>
        <v>Corporate</v>
      </c>
      <c r="K5441" s="1" t="str">
        <f aca="false">VLOOKUP(C5441,Products!$A$2:$E$62,3,FALSE())</f>
        <v>Electronics</v>
      </c>
      <c r="L5441" s="1" t="str">
        <f aca="false">TEXT(D5441,"yyyy-mm")</f>
        <v>2024-09</v>
      </c>
    </row>
    <row r="5442" customFormat="false" ht="15" hidden="false" customHeight="true" outlineLevel="0" collapsed="false">
      <c r="A5442" s="1" t="n">
        <v>5560</v>
      </c>
      <c r="B5442" s="1" t="n">
        <v>272</v>
      </c>
      <c r="C5442" s="1" t="n">
        <v>30</v>
      </c>
      <c r="D5442" s="1" t="s">
        <v>557</v>
      </c>
      <c r="E5442" s="1" t="n">
        <v>5</v>
      </c>
      <c r="F5442" s="1" t="n">
        <v>33.32</v>
      </c>
      <c r="G5442" s="1" t="n">
        <v>0.1</v>
      </c>
      <c r="H5442" s="1" t="s">
        <v>1336</v>
      </c>
      <c r="I5442" s="1" t="n">
        <v>149.94</v>
      </c>
      <c r="J5442" s="1" t="str">
        <f aca="false">VLOOKUP(B5442,Customers!$A$2:$G$502,6,FALSE())</f>
        <v>Consumer</v>
      </c>
      <c r="K5442" s="1" t="str">
        <f aca="false">VLOOKUP(C5442,Products!$A$2:$E$62,3,FALSE())</f>
        <v>Office Supplies</v>
      </c>
      <c r="L5442" s="1" t="str">
        <f aca="false">TEXT(D5442,"yyyy-mm")</f>
        <v>2024-07</v>
      </c>
    </row>
    <row r="5443" customFormat="false" ht="15" hidden="false" customHeight="true" outlineLevel="0" collapsed="false">
      <c r="A5443" s="1" t="n">
        <v>5561</v>
      </c>
      <c r="B5443" s="1" t="n">
        <v>274</v>
      </c>
      <c r="C5443" s="1" t="n">
        <v>16</v>
      </c>
      <c r="D5443" s="1" t="s">
        <v>1485</v>
      </c>
      <c r="E5443" s="1" t="n">
        <v>4</v>
      </c>
      <c r="F5443" s="1" t="n">
        <v>330.91</v>
      </c>
      <c r="G5443" s="1" t="n">
        <v>0</v>
      </c>
      <c r="H5443" s="1" t="s">
        <v>1336</v>
      </c>
      <c r="I5443" s="1" t="n">
        <v>1323.64</v>
      </c>
      <c r="J5443" s="1" t="str">
        <f aca="false">VLOOKUP(B5443,Customers!$A$2:$G$502,6,FALSE())</f>
        <v>Corporate</v>
      </c>
      <c r="K5443" s="1" t="str">
        <f aca="false">VLOOKUP(C5443,Products!$A$2:$E$62,3,FALSE())</f>
        <v>Electronics</v>
      </c>
      <c r="L5443" s="1" t="str">
        <f aca="false">TEXT(D5443,"yyyy-mm")</f>
        <v>2023-07</v>
      </c>
    </row>
    <row r="5444" customFormat="false" ht="15" hidden="false" customHeight="true" outlineLevel="0" collapsed="false">
      <c r="A5444" s="1" t="n">
        <v>5562</v>
      </c>
      <c r="B5444" s="1" t="n">
        <v>235</v>
      </c>
      <c r="C5444" s="1" t="n">
        <v>59</v>
      </c>
      <c r="D5444" s="1" t="s">
        <v>1538</v>
      </c>
      <c r="E5444" s="1" t="n">
        <v>8</v>
      </c>
      <c r="F5444" s="1" t="n">
        <v>438.89</v>
      </c>
      <c r="G5444" s="1" t="n">
        <v>0</v>
      </c>
      <c r="H5444" s="1" t="s">
        <v>1336</v>
      </c>
      <c r="I5444" s="1" t="n">
        <v>3511.12</v>
      </c>
      <c r="J5444" s="1" t="str">
        <f aca="false">VLOOKUP(B5444,Customers!$A$2:$G$502,6,FALSE())</f>
        <v>Small Business</v>
      </c>
      <c r="K5444" s="1" t="str">
        <f aca="false">VLOOKUP(C5444,Products!$A$2:$E$62,3,FALSE())</f>
        <v>Furniture</v>
      </c>
      <c r="L5444" s="1" t="str">
        <f aca="false">TEXT(D5444,"yyyy-mm")</f>
        <v>2024-10</v>
      </c>
    </row>
    <row r="5445" customFormat="false" ht="15" hidden="false" customHeight="true" outlineLevel="0" collapsed="false">
      <c r="A5445" s="1" t="n">
        <v>5563</v>
      </c>
      <c r="B5445" s="1" t="n">
        <v>259</v>
      </c>
      <c r="C5445" s="1" t="n">
        <v>45</v>
      </c>
      <c r="D5445" s="1" t="s">
        <v>745</v>
      </c>
      <c r="E5445" s="1" t="n">
        <v>4</v>
      </c>
      <c r="F5445" s="1" t="n">
        <v>560.01</v>
      </c>
      <c r="G5445" s="1" t="n">
        <v>0.05</v>
      </c>
      <c r="H5445" s="1" t="s">
        <v>1336</v>
      </c>
      <c r="I5445" s="1" t="n">
        <v>2128.04</v>
      </c>
      <c r="J5445" s="1" t="str">
        <f aca="false">VLOOKUP(B5445,Customers!$A$2:$G$502,6,FALSE())</f>
        <v>Consumer</v>
      </c>
      <c r="K5445" s="1" t="str">
        <f aca="false">VLOOKUP(C5445,Products!$A$2:$E$62,3,FALSE())</f>
        <v>Software</v>
      </c>
      <c r="L5445" s="1" t="str">
        <f aca="false">TEXT(D5445,"yyyy-mm")</f>
        <v>2023-01</v>
      </c>
    </row>
    <row r="5446" customFormat="false" ht="15" hidden="false" customHeight="true" outlineLevel="0" collapsed="false">
      <c r="A5446" s="1" t="n">
        <v>5564</v>
      </c>
      <c r="B5446" s="1" t="n">
        <v>473</v>
      </c>
      <c r="C5446" s="1" t="n">
        <v>41</v>
      </c>
      <c r="D5446" s="1" t="s">
        <v>345</v>
      </c>
      <c r="E5446" s="1" t="n">
        <v>6</v>
      </c>
      <c r="F5446" s="1" t="n">
        <v>594.54</v>
      </c>
      <c r="G5446" s="1" t="n">
        <v>0.1</v>
      </c>
      <c r="H5446" s="1" t="s">
        <v>1336</v>
      </c>
      <c r="I5446" s="1" t="n">
        <v>3210.52</v>
      </c>
      <c r="J5446" s="1" t="str">
        <f aca="false">VLOOKUP(B5446,Customers!$A$2:$G$502,6,FALSE())</f>
        <v>Small Business</v>
      </c>
      <c r="K5446" s="1" t="str">
        <f aca="false">VLOOKUP(C5446,Products!$A$2:$E$62,3,FALSE())</f>
        <v>Software</v>
      </c>
      <c r="L5446" s="1" t="str">
        <f aca="false">TEXT(D5446,"yyyy-mm")</f>
        <v>2024-09</v>
      </c>
    </row>
    <row r="5447" customFormat="false" ht="15" hidden="false" customHeight="true" outlineLevel="0" collapsed="false">
      <c r="A5447" s="1" t="n">
        <v>5565</v>
      </c>
      <c r="B5447" s="1" t="n">
        <v>256</v>
      </c>
      <c r="C5447" s="1" t="n">
        <v>47</v>
      </c>
      <c r="D5447" s="1" t="s">
        <v>243</v>
      </c>
      <c r="E5447" s="1" t="n">
        <v>2</v>
      </c>
      <c r="F5447" s="1" t="n">
        <v>506.19</v>
      </c>
      <c r="G5447" s="1" t="n">
        <v>0</v>
      </c>
      <c r="H5447" s="1" t="s">
        <v>1336</v>
      </c>
      <c r="I5447" s="1" t="n">
        <v>1012.38</v>
      </c>
      <c r="J5447" s="1" t="str">
        <f aca="false">VLOOKUP(B5447,Customers!$A$2:$G$502,6,FALSE())</f>
        <v>Small Business</v>
      </c>
      <c r="K5447" s="1" t="str">
        <f aca="false">VLOOKUP(C5447,Products!$A$2:$E$62,3,FALSE())</f>
        <v>Software</v>
      </c>
      <c r="L5447" s="1" t="str">
        <f aca="false">TEXT(D5447,"yyyy-mm")</f>
        <v>2024-07</v>
      </c>
    </row>
    <row r="5448" customFormat="false" ht="15" hidden="false" customHeight="true" outlineLevel="0" collapsed="false">
      <c r="A5448" s="1" t="n">
        <v>5566</v>
      </c>
      <c r="B5448" s="1" t="n">
        <v>329</v>
      </c>
      <c r="C5448" s="1" t="n">
        <v>50</v>
      </c>
      <c r="D5448" s="1" t="s">
        <v>1422</v>
      </c>
      <c r="E5448" s="1" t="n">
        <v>5</v>
      </c>
      <c r="F5448" s="1" t="n">
        <v>19.73</v>
      </c>
      <c r="G5448" s="1" t="n">
        <v>0.15</v>
      </c>
      <c r="H5448" s="1" t="s">
        <v>1346</v>
      </c>
      <c r="I5448" s="1" t="n">
        <v>83.85</v>
      </c>
      <c r="J5448" s="1" t="str">
        <f aca="false">VLOOKUP(B5448,Customers!$A$2:$G$502,6,FALSE())</f>
        <v>Consumer</v>
      </c>
      <c r="K5448" s="1" t="str">
        <f aca="false">VLOOKUP(C5448,Products!$A$2:$E$62,3,FALSE())</f>
        <v>Software</v>
      </c>
      <c r="L5448" s="1" t="str">
        <f aca="false">TEXT(D5448,"yyyy-mm")</f>
        <v>2023-12</v>
      </c>
    </row>
    <row r="5449" customFormat="false" ht="15" hidden="false" customHeight="true" outlineLevel="0" collapsed="false">
      <c r="A5449" s="1" t="n">
        <v>5567</v>
      </c>
      <c r="B5449" s="1" t="n">
        <v>449</v>
      </c>
      <c r="C5449" s="1" t="n">
        <v>56</v>
      </c>
      <c r="D5449" s="1" t="s">
        <v>659</v>
      </c>
      <c r="E5449" s="1" t="n">
        <v>6</v>
      </c>
      <c r="F5449" s="1" t="n">
        <v>160.64</v>
      </c>
      <c r="G5449" s="1" t="n">
        <v>0.1</v>
      </c>
      <c r="H5449" s="1" t="s">
        <v>1336</v>
      </c>
      <c r="I5449" s="1" t="n">
        <v>867.46</v>
      </c>
      <c r="J5449" s="1" t="str">
        <f aca="false">VLOOKUP(B5449,Customers!$A$2:$G$502,6,FALSE())</f>
        <v>Corporate</v>
      </c>
      <c r="K5449" s="1" t="str">
        <f aca="false">VLOOKUP(C5449,Products!$A$2:$E$62,3,FALSE())</f>
        <v>Furniture</v>
      </c>
      <c r="L5449" s="1" t="str">
        <f aca="false">TEXT(D5449,"yyyy-mm")</f>
        <v>2024-06</v>
      </c>
    </row>
    <row r="5450" customFormat="false" ht="15" hidden="false" customHeight="true" outlineLevel="0" collapsed="false">
      <c r="A5450" s="1" t="n">
        <v>5568</v>
      </c>
      <c r="B5450" s="1" t="n">
        <v>489</v>
      </c>
      <c r="C5450" s="1" t="n">
        <v>21</v>
      </c>
      <c r="D5450" s="1" t="s">
        <v>1693</v>
      </c>
      <c r="E5450" s="1" t="n">
        <v>5</v>
      </c>
      <c r="F5450" s="1" t="n">
        <v>84.91</v>
      </c>
      <c r="G5450" s="1" t="n">
        <v>0.1</v>
      </c>
      <c r="H5450" s="1" t="s">
        <v>1370</v>
      </c>
      <c r="I5450" s="1" t="n">
        <v>382.1</v>
      </c>
      <c r="J5450" s="1" t="str">
        <f aca="false">VLOOKUP(B5450,Customers!$A$2:$G$502,6,FALSE())</f>
        <v>Small Business</v>
      </c>
      <c r="K5450" s="1" t="str">
        <f aca="false">VLOOKUP(C5450,Products!$A$2:$E$62,3,FALSE())</f>
        <v>Office Supplies</v>
      </c>
      <c r="L5450" s="1" t="str">
        <f aca="false">TEXT(D5450,"yyyy-mm")</f>
        <v>2024-05</v>
      </c>
    </row>
    <row r="5451" customFormat="false" ht="15" hidden="false" customHeight="true" outlineLevel="0" collapsed="false">
      <c r="A5451" s="1" t="n">
        <v>5569</v>
      </c>
      <c r="B5451" s="1" t="n">
        <v>366</v>
      </c>
      <c r="C5451" s="1" t="n">
        <v>5</v>
      </c>
      <c r="D5451" s="1" t="s">
        <v>1530</v>
      </c>
      <c r="E5451" s="1" t="n">
        <v>2</v>
      </c>
      <c r="F5451" s="1" t="n">
        <v>439.06</v>
      </c>
      <c r="G5451" s="1" t="n">
        <v>0.2</v>
      </c>
      <c r="H5451" s="1" t="s">
        <v>1336</v>
      </c>
      <c r="I5451" s="1" t="n">
        <v>702.5</v>
      </c>
      <c r="J5451" s="1" t="str">
        <f aca="false">VLOOKUP(B5451,Customers!$A$2:$G$502,6,FALSE())</f>
        <v>Corporate</v>
      </c>
      <c r="K5451" s="1" t="str">
        <f aca="false">VLOOKUP(C5451,Products!$A$2:$E$62,3,FALSE())</f>
        <v>Electronics</v>
      </c>
      <c r="L5451" s="1" t="str">
        <f aca="false">TEXT(D5451,"yyyy-mm")</f>
        <v>2023-10</v>
      </c>
    </row>
    <row r="5452" customFormat="false" ht="15" hidden="false" customHeight="true" outlineLevel="0" collapsed="false">
      <c r="A5452" s="1" t="n">
        <v>5570</v>
      </c>
      <c r="B5452" s="1" t="n">
        <v>199</v>
      </c>
      <c r="C5452" s="1" t="n">
        <v>9</v>
      </c>
      <c r="D5452" s="1" t="s">
        <v>1691</v>
      </c>
      <c r="E5452" s="1" t="n">
        <v>7</v>
      </c>
      <c r="F5452" s="1" t="n">
        <v>203.1</v>
      </c>
      <c r="G5452" s="1" t="n">
        <v>0.05</v>
      </c>
      <c r="H5452" s="1" t="s">
        <v>1336</v>
      </c>
      <c r="I5452" s="1" t="n">
        <v>1350.62</v>
      </c>
      <c r="J5452" s="1" t="str">
        <f aca="false">VLOOKUP(B5452,Customers!$A$2:$G$502,6,FALSE())</f>
        <v>Corporate</v>
      </c>
      <c r="K5452" s="1" t="str">
        <f aca="false">VLOOKUP(C5452,Products!$A$2:$E$62,3,FALSE())</f>
        <v>Electronics</v>
      </c>
      <c r="L5452" s="1" t="str">
        <f aca="false">TEXT(D5452,"yyyy-mm")</f>
        <v>2023-10</v>
      </c>
    </row>
    <row r="5453" customFormat="false" ht="15" hidden="false" customHeight="true" outlineLevel="0" collapsed="false">
      <c r="A5453" s="1" t="n">
        <v>5571</v>
      </c>
      <c r="B5453" s="1" t="n">
        <v>428</v>
      </c>
      <c r="C5453" s="1" t="n">
        <v>8</v>
      </c>
      <c r="D5453" s="1" t="s">
        <v>1647</v>
      </c>
      <c r="E5453" s="1" t="n">
        <v>4</v>
      </c>
      <c r="F5453" s="1" t="n">
        <v>104.4</v>
      </c>
      <c r="G5453" s="1" t="n">
        <v>0.1</v>
      </c>
      <c r="H5453" s="1" t="s">
        <v>1336</v>
      </c>
      <c r="I5453" s="1" t="n">
        <v>375.84</v>
      </c>
      <c r="J5453" s="1" t="str">
        <f aca="false">VLOOKUP(B5453,Customers!$A$2:$G$502,6,FALSE())</f>
        <v>Corporate</v>
      </c>
      <c r="K5453" s="1" t="str">
        <f aca="false">VLOOKUP(C5453,Products!$A$2:$E$62,3,FALSE())</f>
        <v>Electronics</v>
      </c>
      <c r="L5453" s="1" t="str">
        <f aca="false">TEXT(D5453,"yyyy-mm")</f>
        <v>2024-05</v>
      </c>
    </row>
    <row r="5454" customFormat="false" ht="15" hidden="false" customHeight="true" outlineLevel="0" collapsed="false">
      <c r="A5454" s="1" t="n">
        <v>5573</v>
      </c>
      <c r="B5454" s="1" t="n">
        <v>467</v>
      </c>
      <c r="C5454" s="1" t="n">
        <v>29</v>
      </c>
      <c r="D5454" s="1" t="s">
        <v>1621</v>
      </c>
      <c r="E5454" s="1" t="n">
        <v>7</v>
      </c>
      <c r="F5454" s="1" t="n">
        <v>54.62</v>
      </c>
      <c r="G5454" s="1" t="n">
        <v>0</v>
      </c>
      <c r="H5454" s="1" t="s">
        <v>1336</v>
      </c>
      <c r="I5454" s="1" t="n">
        <v>382.34</v>
      </c>
      <c r="J5454" s="1" t="str">
        <f aca="false">VLOOKUP(B5454,Customers!$A$2:$G$502,6,FALSE())</f>
        <v>Corporate</v>
      </c>
      <c r="K5454" s="1" t="str">
        <f aca="false">VLOOKUP(C5454,Products!$A$2:$E$62,3,FALSE())</f>
        <v>Office Supplies</v>
      </c>
      <c r="L5454" s="1" t="str">
        <f aca="false">TEXT(D5454,"yyyy-mm")</f>
        <v>2024-06</v>
      </c>
    </row>
    <row r="5455" customFormat="false" ht="15" hidden="false" customHeight="true" outlineLevel="0" collapsed="false">
      <c r="A5455" s="1" t="n">
        <v>5574</v>
      </c>
      <c r="B5455" s="1" t="n">
        <v>171</v>
      </c>
      <c r="C5455" s="1" t="n">
        <v>29</v>
      </c>
      <c r="D5455" s="1" t="s">
        <v>671</v>
      </c>
      <c r="E5455" s="1" t="n">
        <v>7</v>
      </c>
      <c r="F5455" s="1" t="n">
        <v>54.62</v>
      </c>
      <c r="G5455" s="1" t="n">
        <v>0</v>
      </c>
      <c r="H5455" s="1" t="s">
        <v>1336</v>
      </c>
      <c r="I5455" s="1" t="n">
        <v>382.34</v>
      </c>
      <c r="J5455" s="1" t="str">
        <f aca="false">VLOOKUP(B5455,Customers!$A$2:$G$502,6,FALSE())</f>
        <v>Small Business</v>
      </c>
      <c r="K5455" s="1" t="str">
        <f aca="false">VLOOKUP(C5455,Products!$A$2:$E$62,3,FALSE())</f>
        <v>Office Supplies</v>
      </c>
      <c r="L5455" s="1" t="str">
        <f aca="false">TEXT(D5455,"yyyy-mm")</f>
        <v>2024-04</v>
      </c>
    </row>
    <row r="5456" customFormat="false" ht="15" hidden="false" customHeight="true" outlineLevel="0" collapsed="false">
      <c r="A5456" s="1" t="n">
        <v>5575</v>
      </c>
      <c r="B5456" s="1" t="n">
        <v>249</v>
      </c>
      <c r="C5456" s="1" t="n">
        <v>33</v>
      </c>
      <c r="D5456" s="1" t="s">
        <v>1057</v>
      </c>
      <c r="E5456" s="1" t="n">
        <v>9</v>
      </c>
      <c r="F5456" s="1" t="n">
        <v>190.1</v>
      </c>
      <c r="G5456" s="1" t="n">
        <v>0</v>
      </c>
      <c r="H5456" s="1" t="s">
        <v>1336</v>
      </c>
      <c r="I5456" s="1" t="n">
        <v>1710.9</v>
      </c>
      <c r="J5456" s="1" t="str">
        <f aca="false">VLOOKUP(B5456,Customers!$A$2:$G$502,6,FALSE())</f>
        <v>Consumer</v>
      </c>
      <c r="K5456" s="1" t="str">
        <f aca="false">VLOOKUP(C5456,Products!$A$2:$E$62,3,FALSE())</f>
        <v>Office Supplies</v>
      </c>
      <c r="L5456" s="1" t="str">
        <f aca="false">TEXT(D5456,"yyyy-mm")</f>
        <v>2024-11</v>
      </c>
    </row>
    <row r="5457" customFormat="false" ht="15" hidden="false" customHeight="true" outlineLevel="0" collapsed="false">
      <c r="A5457" s="1" t="n">
        <v>5576</v>
      </c>
      <c r="B5457" s="1" t="n">
        <v>340</v>
      </c>
      <c r="C5457" s="1" t="n">
        <v>55</v>
      </c>
      <c r="D5457" s="1" t="s">
        <v>689</v>
      </c>
      <c r="E5457" s="1" t="n">
        <v>1</v>
      </c>
      <c r="F5457" s="1" t="n">
        <v>123.38</v>
      </c>
      <c r="G5457" s="1" t="n">
        <v>0</v>
      </c>
      <c r="H5457" s="1" t="s">
        <v>1336</v>
      </c>
      <c r="I5457" s="1" t="n">
        <v>123.38</v>
      </c>
      <c r="J5457" s="1" t="str">
        <f aca="false">VLOOKUP(B5457,Customers!$A$2:$G$502,6,FALSE())</f>
        <v>Consumer</v>
      </c>
      <c r="K5457" s="1" t="str">
        <f aca="false">VLOOKUP(C5457,Products!$A$2:$E$62,3,FALSE())</f>
        <v>Furniture</v>
      </c>
      <c r="L5457" s="1" t="str">
        <f aca="false">TEXT(D5457,"yyyy-mm")</f>
        <v>2023-11</v>
      </c>
    </row>
    <row r="5458" customFormat="false" ht="15" hidden="false" customHeight="true" outlineLevel="0" collapsed="false">
      <c r="A5458" s="1" t="n">
        <v>5577</v>
      </c>
      <c r="B5458" s="1" t="n">
        <v>313</v>
      </c>
      <c r="C5458" s="1" t="n">
        <v>12</v>
      </c>
      <c r="D5458" s="1" t="s">
        <v>980</v>
      </c>
      <c r="E5458" s="1" t="n">
        <v>6</v>
      </c>
      <c r="F5458" s="1" t="n">
        <v>179.23</v>
      </c>
      <c r="G5458" s="1" t="n">
        <v>0.1</v>
      </c>
      <c r="H5458" s="1" t="s">
        <v>1336</v>
      </c>
      <c r="I5458" s="1" t="n">
        <v>967.84</v>
      </c>
      <c r="J5458" s="1" t="str">
        <f aca="false">VLOOKUP(B5458,Customers!$A$2:$G$502,6,FALSE())</f>
        <v>Consumer</v>
      </c>
      <c r="K5458" s="1" t="str">
        <f aca="false">VLOOKUP(C5458,Products!$A$2:$E$62,3,FALSE())</f>
        <v>Electronics</v>
      </c>
      <c r="L5458" s="1" t="str">
        <f aca="false">TEXT(D5458,"yyyy-mm")</f>
        <v>2024-08</v>
      </c>
    </row>
    <row r="5459" customFormat="false" ht="15" hidden="false" customHeight="true" outlineLevel="0" collapsed="false">
      <c r="A5459" s="1" t="n">
        <v>5578</v>
      </c>
      <c r="B5459" s="1" t="n">
        <v>242</v>
      </c>
      <c r="C5459" s="1" t="n">
        <v>40</v>
      </c>
      <c r="D5459" s="1" t="s">
        <v>1581</v>
      </c>
      <c r="E5459" s="1" t="n">
        <v>6</v>
      </c>
      <c r="F5459" s="1" t="n">
        <v>193.02</v>
      </c>
      <c r="G5459" s="1" t="n">
        <v>0</v>
      </c>
      <c r="H5459" s="1" t="s">
        <v>1336</v>
      </c>
      <c r="I5459" s="1" t="n">
        <v>1158.12</v>
      </c>
      <c r="J5459" s="1" t="str">
        <f aca="false">VLOOKUP(B5459,Customers!$A$2:$G$502,6,FALSE())</f>
        <v>Corporate</v>
      </c>
      <c r="K5459" s="1" t="str">
        <f aca="false">VLOOKUP(C5459,Products!$A$2:$E$62,3,FALSE())</f>
        <v>Software</v>
      </c>
      <c r="L5459" s="1" t="str">
        <f aca="false">TEXT(D5459,"yyyy-mm")</f>
        <v>2023-10</v>
      </c>
    </row>
    <row r="5460" customFormat="false" ht="15" hidden="false" customHeight="true" outlineLevel="0" collapsed="false">
      <c r="A5460" s="1" t="n">
        <v>5579</v>
      </c>
      <c r="B5460" s="1" t="n">
        <v>54</v>
      </c>
      <c r="C5460" s="1" t="n">
        <v>15</v>
      </c>
      <c r="D5460" s="1" t="s">
        <v>1560</v>
      </c>
      <c r="E5460" s="1" t="n">
        <v>6</v>
      </c>
      <c r="F5460" s="1" t="n">
        <v>304.95</v>
      </c>
      <c r="G5460" s="1" t="n">
        <v>0</v>
      </c>
      <c r="H5460" s="1" t="s">
        <v>1336</v>
      </c>
      <c r="I5460" s="1" t="n">
        <v>1829.7</v>
      </c>
      <c r="J5460" s="1" t="str">
        <f aca="false">VLOOKUP(B5460,Customers!$A$2:$G$502,6,FALSE())</f>
        <v>Consumer</v>
      </c>
      <c r="K5460" s="1" t="str">
        <f aca="false">VLOOKUP(C5460,Products!$A$2:$E$62,3,FALSE())</f>
        <v>Electronics</v>
      </c>
      <c r="L5460" s="1" t="str">
        <f aca="false">TEXT(D5460,"yyyy-mm")</f>
        <v>2024-06</v>
      </c>
    </row>
    <row r="5461" customFormat="false" ht="15" hidden="false" customHeight="true" outlineLevel="0" collapsed="false">
      <c r="A5461" s="1" t="n">
        <v>5580</v>
      </c>
      <c r="B5461" s="1" t="n">
        <v>276</v>
      </c>
      <c r="C5461" s="1" t="n">
        <v>34</v>
      </c>
      <c r="D5461" s="1" t="s">
        <v>18</v>
      </c>
      <c r="E5461" s="1" t="n">
        <v>6</v>
      </c>
      <c r="F5461" s="1" t="n">
        <v>116.85</v>
      </c>
      <c r="G5461" s="1" t="n">
        <v>0</v>
      </c>
      <c r="H5461" s="1" t="s">
        <v>1336</v>
      </c>
      <c r="I5461" s="1" t="n">
        <v>701.1</v>
      </c>
      <c r="J5461" s="1" t="str">
        <f aca="false">VLOOKUP(B5461,Customers!$A$2:$G$502,6,FALSE())</f>
        <v>Corporate</v>
      </c>
      <c r="K5461" s="1" t="str">
        <f aca="false">VLOOKUP(C5461,Products!$A$2:$E$62,3,FALSE())</f>
        <v>Office Supplies</v>
      </c>
      <c r="L5461" s="1" t="str">
        <f aca="false">TEXT(D5461,"yyyy-mm")</f>
        <v>2023-08</v>
      </c>
    </row>
    <row r="5462" customFormat="false" ht="15" hidden="false" customHeight="true" outlineLevel="0" collapsed="false">
      <c r="A5462" s="1" t="n">
        <v>5581</v>
      </c>
      <c r="B5462" s="1" t="n">
        <v>311</v>
      </c>
      <c r="C5462" s="1" t="n">
        <v>34</v>
      </c>
      <c r="D5462" s="1" t="s">
        <v>508</v>
      </c>
      <c r="E5462" s="1" t="n">
        <v>7</v>
      </c>
      <c r="F5462" s="1" t="n">
        <v>116.85</v>
      </c>
      <c r="G5462" s="1" t="n">
        <v>0</v>
      </c>
      <c r="H5462" s="1" t="s">
        <v>1336</v>
      </c>
      <c r="I5462" s="1" t="n">
        <v>817.95</v>
      </c>
      <c r="J5462" s="1" t="str">
        <f aca="false">VLOOKUP(B5462,Customers!$A$2:$G$502,6,FALSE())</f>
        <v>Consumer</v>
      </c>
      <c r="K5462" s="1" t="str">
        <f aca="false">VLOOKUP(C5462,Products!$A$2:$E$62,3,FALSE())</f>
        <v>Office Supplies</v>
      </c>
      <c r="L5462" s="1" t="str">
        <f aca="false">TEXT(D5462,"yyyy-mm")</f>
        <v>2024-02</v>
      </c>
    </row>
    <row r="5463" customFormat="false" ht="15" hidden="false" customHeight="true" outlineLevel="0" collapsed="false">
      <c r="A5463" s="1" t="n">
        <v>5582</v>
      </c>
      <c r="B5463" s="1" t="n">
        <v>379</v>
      </c>
      <c r="C5463" s="1" t="n">
        <v>27</v>
      </c>
      <c r="D5463" s="1" t="s">
        <v>505</v>
      </c>
      <c r="E5463" s="1" t="n">
        <v>6</v>
      </c>
      <c r="F5463" s="1" t="n">
        <v>772.58</v>
      </c>
      <c r="G5463" s="1" t="n">
        <v>0.1</v>
      </c>
      <c r="H5463" s="1" t="s">
        <v>1336</v>
      </c>
      <c r="I5463" s="1" t="n">
        <v>4171.93</v>
      </c>
      <c r="J5463" s="1" t="str">
        <f aca="false">VLOOKUP(B5463,Customers!$A$2:$G$502,6,FALSE())</f>
        <v>Corporate</v>
      </c>
      <c r="K5463" s="1" t="str">
        <f aca="false">VLOOKUP(C5463,Products!$A$2:$E$62,3,FALSE())</f>
        <v>Office Supplies</v>
      </c>
      <c r="L5463" s="1" t="str">
        <f aca="false">TEXT(D5463,"yyyy-mm")</f>
        <v>2023-07</v>
      </c>
    </row>
    <row r="5464" customFormat="false" ht="15" hidden="false" customHeight="true" outlineLevel="0" collapsed="false">
      <c r="A5464" s="1" t="n">
        <v>5583</v>
      </c>
      <c r="B5464" s="1" t="n">
        <v>206</v>
      </c>
      <c r="C5464" s="1" t="n">
        <v>24</v>
      </c>
      <c r="D5464" s="1" t="s">
        <v>1414</v>
      </c>
      <c r="E5464" s="1" t="n">
        <v>1</v>
      </c>
      <c r="F5464" s="1" t="n">
        <v>207.34</v>
      </c>
      <c r="G5464" s="1" t="n">
        <v>0</v>
      </c>
      <c r="H5464" s="1" t="s">
        <v>1336</v>
      </c>
      <c r="I5464" s="1" t="n">
        <v>207.34</v>
      </c>
      <c r="J5464" s="1" t="str">
        <f aca="false">VLOOKUP(B5464,Customers!$A$2:$G$502,6,FALSE())</f>
        <v>Small Business</v>
      </c>
      <c r="K5464" s="1" t="str">
        <f aca="false">VLOOKUP(C5464,Products!$A$2:$E$62,3,FALSE())</f>
        <v>Office Supplies</v>
      </c>
      <c r="L5464" s="1" t="str">
        <f aca="false">TEXT(D5464,"yyyy-mm")</f>
        <v>2024-05</v>
      </c>
    </row>
    <row r="5465" customFormat="false" ht="15" hidden="false" customHeight="true" outlineLevel="0" collapsed="false">
      <c r="A5465" s="1" t="n">
        <v>5584</v>
      </c>
      <c r="B5465" s="1" t="n">
        <v>334</v>
      </c>
      <c r="C5465" s="1" t="n">
        <v>60</v>
      </c>
      <c r="D5465" s="1" t="s">
        <v>1247</v>
      </c>
      <c r="E5465" s="1" t="n">
        <v>3</v>
      </c>
      <c r="F5465" s="1" t="n">
        <v>584.98</v>
      </c>
      <c r="G5465" s="1" t="n">
        <v>0.15</v>
      </c>
      <c r="H5465" s="1" t="s">
        <v>1336</v>
      </c>
      <c r="I5465" s="1" t="n">
        <v>1491.7</v>
      </c>
      <c r="J5465" s="1" t="str">
        <f aca="false">VLOOKUP(B5465,Customers!$A$2:$G$502,6,FALSE())</f>
        <v>Unknown</v>
      </c>
      <c r="K5465" s="1" t="str">
        <f aca="false">VLOOKUP(C5465,Products!$A$2:$E$62,3,FALSE())</f>
        <v>Furniture</v>
      </c>
      <c r="L5465" s="1" t="str">
        <f aca="false">TEXT(D5465,"yyyy-mm")</f>
        <v>2023-03</v>
      </c>
    </row>
    <row r="5466" customFormat="false" ht="15" hidden="false" customHeight="true" outlineLevel="0" collapsed="false">
      <c r="A5466" s="1" t="n">
        <v>5585</v>
      </c>
      <c r="B5466" s="1" t="n">
        <v>119</v>
      </c>
      <c r="C5466" s="1" t="n">
        <v>41</v>
      </c>
      <c r="D5466" s="1" t="s">
        <v>353</v>
      </c>
      <c r="E5466" s="1" t="n">
        <v>2</v>
      </c>
      <c r="F5466" s="1" t="n">
        <v>594.54</v>
      </c>
      <c r="G5466" s="1" t="n">
        <v>0</v>
      </c>
      <c r="H5466" s="1" t="s">
        <v>1336</v>
      </c>
      <c r="I5466" s="1" t="n">
        <v>1189.08</v>
      </c>
      <c r="J5466" s="1" t="str">
        <f aca="false">VLOOKUP(B5466,Customers!$A$2:$G$502,6,FALSE())</f>
        <v>Small Business</v>
      </c>
      <c r="K5466" s="1" t="str">
        <f aca="false">VLOOKUP(C5466,Products!$A$2:$E$62,3,FALSE())</f>
        <v>Software</v>
      </c>
      <c r="L5466" s="1" t="str">
        <f aca="false">TEXT(D5466,"yyyy-mm")</f>
        <v>2024-01</v>
      </c>
    </row>
    <row r="5467" customFormat="false" ht="15" hidden="false" customHeight="true" outlineLevel="0" collapsed="false">
      <c r="A5467" s="1" t="n">
        <v>5586</v>
      </c>
      <c r="B5467" s="1" t="n">
        <v>220</v>
      </c>
      <c r="C5467" s="1" t="n">
        <v>27</v>
      </c>
      <c r="D5467" s="1" t="s">
        <v>1124</v>
      </c>
      <c r="E5467" s="1" t="n">
        <v>6</v>
      </c>
      <c r="F5467" s="1" t="n">
        <v>772.58</v>
      </c>
      <c r="G5467" s="1" t="n">
        <v>0.2</v>
      </c>
      <c r="H5467" s="1" t="s">
        <v>1336</v>
      </c>
      <c r="I5467" s="1" t="n">
        <v>3708.38</v>
      </c>
      <c r="J5467" s="1" t="str">
        <f aca="false">VLOOKUP(B5467,Customers!$A$2:$G$502,6,FALSE())</f>
        <v>Small Business</v>
      </c>
      <c r="K5467" s="1" t="str">
        <f aca="false">VLOOKUP(C5467,Products!$A$2:$E$62,3,FALSE())</f>
        <v>Office Supplies</v>
      </c>
      <c r="L5467" s="1" t="str">
        <f aca="false">TEXT(D5467,"yyyy-mm")</f>
        <v>2023-10</v>
      </c>
    </row>
    <row r="5468" customFormat="false" ht="15" hidden="false" customHeight="true" outlineLevel="0" collapsed="false">
      <c r="A5468" s="1" t="n">
        <v>5587</v>
      </c>
      <c r="B5468" s="1" t="n">
        <v>146</v>
      </c>
      <c r="C5468" s="1" t="n">
        <v>39</v>
      </c>
      <c r="D5468" s="1" t="s">
        <v>519</v>
      </c>
      <c r="E5468" s="1" t="n">
        <v>8</v>
      </c>
      <c r="F5468" s="1" t="n">
        <v>400.02</v>
      </c>
      <c r="G5468" s="1" t="n">
        <v>0.1</v>
      </c>
      <c r="H5468" s="1" t="s">
        <v>1346</v>
      </c>
      <c r="I5468" s="1" t="n">
        <v>2880.14</v>
      </c>
      <c r="J5468" s="1" t="str">
        <f aca="false">VLOOKUP(B5468,Customers!$A$2:$G$502,6,FALSE())</f>
        <v>Consumer</v>
      </c>
      <c r="K5468" s="1" t="str">
        <f aca="false">VLOOKUP(C5468,Products!$A$2:$E$62,3,FALSE())</f>
        <v>Software</v>
      </c>
      <c r="L5468" s="1" t="str">
        <f aca="false">TEXT(D5468,"yyyy-mm")</f>
        <v>2023-02</v>
      </c>
    </row>
    <row r="5469" customFormat="false" ht="15" hidden="false" customHeight="true" outlineLevel="0" collapsed="false">
      <c r="A5469" s="1" t="n">
        <v>5588</v>
      </c>
      <c r="B5469" s="1" t="n">
        <v>201</v>
      </c>
      <c r="C5469" s="1" t="n">
        <v>23</v>
      </c>
      <c r="D5469" s="1" t="s">
        <v>402</v>
      </c>
      <c r="E5469" s="1" t="n">
        <v>3</v>
      </c>
      <c r="F5469" s="1" t="n">
        <v>188.73</v>
      </c>
      <c r="G5469" s="1" t="n">
        <v>0.1</v>
      </c>
      <c r="H5469" s="1" t="s">
        <v>1336</v>
      </c>
      <c r="I5469" s="1" t="n">
        <v>509.57</v>
      </c>
      <c r="J5469" s="1" t="str">
        <f aca="false">VLOOKUP(B5469,Customers!$A$2:$G$502,6,FALSE())</f>
        <v>Corporate</v>
      </c>
      <c r="K5469" s="1" t="str">
        <f aca="false">VLOOKUP(C5469,Products!$A$2:$E$62,3,FALSE())</f>
        <v>Office Supplies</v>
      </c>
      <c r="L5469" s="1" t="str">
        <f aca="false">TEXT(D5469,"yyyy-mm")</f>
        <v>2024-11</v>
      </c>
    </row>
    <row r="5470" customFormat="false" ht="15" hidden="false" customHeight="true" outlineLevel="0" collapsed="false">
      <c r="A5470" s="1" t="n">
        <v>5589</v>
      </c>
      <c r="B5470" s="1" t="n">
        <v>128</v>
      </c>
      <c r="C5470" s="1" t="n">
        <v>3</v>
      </c>
      <c r="D5470" s="1" t="s">
        <v>1552</v>
      </c>
      <c r="E5470" s="1" t="n">
        <v>8</v>
      </c>
      <c r="F5470" s="1" t="n">
        <v>89.39</v>
      </c>
      <c r="G5470" s="1" t="n">
        <v>0</v>
      </c>
      <c r="H5470" s="1" t="s">
        <v>1336</v>
      </c>
      <c r="I5470" s="1" t="n">
        <v>715.12</v>
      </c>
      <c r="J5470" s="1" t="str">
        <f aca="false">VLOOKUP(B5470,Customers!$A$2:$G$502,6,FALSE())</f>
        <v>Consumer</v>
      </c>
      <c r="K5470" s="1" t="str">
        <f aca="false">VLOOKUP(C5470,Products!$A$2:$E$62,3,FALSE())</f>
        <v>Electronics</v>
      </c>
      <c r="L5470" s="1" t="str">
        <f aca="false">TEXT(D5470,"yyyy-mm")</f>
        <v>2023-02</v>
      </c>
    </row>
    <row r="5471" customFormat="false" ht="15" hidden="false" customHeight="true" outlineLevel="0" collapsed="false">
      <c r="A5471" s="1" t="n">
        <v>5590</v>
      </c>
      <c r="B5471" s="1" t="n">
        <v>336</v>
      </c>
      <c r="C5471" s="1" t="n">
        <v>48</v>
      </c>
      <c r="D5471" s="1" t="s">
        <v>1147</v>
      </c>
      <c r="E5471" s="1" t="n">
        <v>8</v>
      </c>
      <c r="F5471" s="1" t="n">
        <v>493.53</v>
      </c>
      <c r="G5471" s="1" t="n">
        <v>0.15</v>
      </c>
      <c r="H5471" s="1" t="s">
        <v>1336</v>
      </c>
      <c r="I5471" s="1" t="n">
        <v>3356</v>
      </c>
      <c r="J5471" s="1" t="str">
        <f aca="false">VLOOKUP(B5471,Customers!$A$2:$G$502,6,FALSE())</f>
        <v>Consumer</v>
      </c>
      <c r="K5471" s="1" t="str">
        <f aca="false">VLOOKUP(C5471,Products!$A$2:$E$62,3,FALSE())</f>
        <v>Software</v>
      </c>
      <c r="L5471" s="1" t="str">
        <f aca="false">TEXT(D5471,"yyyy-mm")</f>
        <v>2024-05</v>
      </c>
    </row>
    <row r="5472" customFormat="false" ht="15" hidden="false" customHeight="true" outlineLevel="0" collapsed="false">
      <c r="A5472" s="1" t="n">
        <v>5591</v>
      </c>
      <c r="B5472" s="1" t="n">
        <v>3</v>
      </c>
      <c r="C5472" s="1" t="n">
        <v>59</v>
      </c>
      <c r="D5472" s="1" t="s">
        <v>1162</v>
      </c>
      <c r="E5472" s="1" t="n">
        <v>5</v>
      </c>
      <c r="F5472" s="1" t="n">
        <v>438.89</v>
      </c>
      <c r="G5472" s="1" t="n">
        <v>0</v>
      </c>
      <c r="H5472" s="1" t="s">
        <v>1336</v>
      </c>
      <c r="I5472" s="1" t="n">
        <v>2194.45</v>
      </c>
      <c r="J5472" s="1" t="str">
        <f aca="false">VLOOKUP(B5472,Customers!$A$2:$G$502,6,FALSE())</f>
        <v>Corporate</v>
      </c>
      <c r="K5472" s="1" t="str">
        <f aca="false">VLOOKUP(C5472,Products!$A$2:$E$62,3,FALSE())</f>
        <v>Furniture</v>
      </c>
      <c r="L5472" s="1" t="str">
        <f aca="false">TEXT(D5472,"yyyy-mm")</f>
        <v>2024-10</v>
      </c>
    </row>
    <row r="5473" customFormat="false" ht="15" hidden="false" customHeight="true" outlineLevel="0" collapsed="false">
      <c r="A5473" s="1" t="n">
        <v>5592</v>
      </c>
      <c r="B5473" s="1" t="n">
        <v>293</v>
      </c>
      <c r="C5473" s="1" t="n">
        <v>33</v>
      </c>
      <c r="D5473" s="1" t="s">
        <v>583</v>
      </c>
      <c r="E5473" s="1" t="n">
        <v>8</v>
      </c>
      <c r="F5473" s="1" t="n">
        <v>190.1</v>
      </c>
      <c r="G5473" s="1" t="n">
        <v>0.15</v>
      </c>
      <c r="H5473" s="1" t="s">
        <v>1346</v>
      </c>
      <c r="I5473" s="1" t="n">
        <v>1292.68</v>
      </c>
      <c r="J5473" s="1" t="str">
        <f aca="false">VLOOKUP(B5473,Customers!$A$2:$G$502,6,FALSE())</f>
        <v>Small Business</v>
      </c>
      <c r="K5473" s="1" t="str">
        <f aca="false">VLOOKUP(C5473,Products!$A$2:$E$62,3,FALSE())</f>
        <v>Office Supplies</v>
      </c>
      <c r="L5473" s="1" t="str">
        <f aca="false">TEXT(D5473,"yyyy-mm")</f>
        <v>2024-04</v>
      </c>
    </row>
    <row r="5474" customFormat="false" ht="15" hidden="false" customHeight="true" outlineLevel="0" collapsed="false">
      <c r="A5474" s="1" t="n">
        <v>5593</v>
      </c>
      <c r="B5474" s="1" t="n">
        <v>81</v>
      </c>
      <c r="C5474" s="1" t="n">
        <v>7</v>
      </c>
      <c r="D5474" s="1" t="s">
        <v>1381</v>
      </c>
      <c r="E5474" s="1" t="n">
        <v>6</v>
      </c>
      <c r="F5474" s="1" t="n">
        <v>460</v>
      </c>
      <c r="G5474" s="1" t="n">
        <v>0.05</v>
      </c>
      <c r="H5474" s="1" t="s">
        <v>1336</v>
      </c>
      <c r="I5474" s="1" t="n">
        <v>2622</v>
      </c>
      <c r="J5474" s="1" t="str">
        <f aca="false">VLOOKUP(B5474,Customers!$A$2:$G$502,6,FALSE())</f>
        <v>Consumer</v>
      </c>
      <c r="K5474" s="1" t="str">
        <f aca="false">VLOOKUP(C5474,Products!$A$2:$E$62,3,FALSE())</f>
        <v>Electronics</v>
      </c>
      <c r="L5474" s="1" t="str">
        <f aca="false">TEXT(D5474,"yyyy-mm")</f>
        <v>2024-02</v>
      </c>
    </row>
    <row r="5475" customFormat="false" ht="15" hidden="false" customHeight="true" outlineLevel="0" collapsed="false">
      <c r="A5475" s="1" t="n">
        <v>5594</v>
      </c>
      <c r="B5475" s="1" t="n">
        <v>24</v>
      </c>
      <c r="C5475" s="1" t="n">
        <v>48</v>
      </c>
      <c r="D5475" s="1" t="s">
        <v>1641</v>
      </c>
      <c r="E5475" s="1" t="n">
        <v>5</v>
      </c>
      <c r="F5475" s="1" t="n">
        <v>493.53</v>
      </c>
      <c r="G5475" s="1" t="n">
        <v>0</v>
      </c>
      <c r="H5475" s="1" t="s">
        <v>1336</v>
      </c>
      <c r="I5475" s="1" t="n">
        <v>2467.65</v>
      </c>
      <c r="J5475" s="1" t="str">
        <f aca="false">VLOOKUP(B5475,Customers!$A$2:$G$502,6,FALSE())</f>
        <v>Consumer</v>
      </c>
      <c r="K5475" s="1" t="str">
        <f aca="false">VLOOKUP(C5475,Products!$A$2:$E$62,3,FALSE())</f>
        <v>Software</v>
      </c>
      <c r="L5475" s="1" t="str">
        <f aca="false">TEXT(D5475,"yyyy-mm")</f>
        <v>2024-04</v>
      </c>
    </row>
    <row r="5476" customFormat="false" ht="15" hidden="false" customHeight="true" outlineLevel="0" collapsed="false">
      <c r="A5476" s="1" t="n">
        <v>5595</v>
      </c>
      <c r="B5476" s="1" t="n">
        <v>443</v>
      </c>
      <c r="C5476" s="1" t="n">
        <v>8</v>
      </c>
      <c r="D5476" s="1" t="s">
        <v>185</v>
      </c>
      <c r="E5476" s="1" t="n">
        <v>9</v>
      </c>
      <c r="F5476" s="1" t="n">
        <v>104.4</v>
      </c>
      <c r="G5476" s="1" t="n">
        <v>0</v>
      </c>
      <c r="H5476" s="1" t="s">
        <v>1336</v>
      </c>
      <c r="I5476" s="1" t="n">
        <v>939.6</v>
      </c>
      <c r="J5476" s="1" t="str">
        <f aca="false">VLOOKUP(B5476,Customers!$A$2:$G$502,6,FALSE())</f>
        <v>Consumer</v>
      </c>
      <c r="K5476" s="1" t="str">
        <f aca="false">VLOOKUP(C5476,Products!$A$2:$E$62,3,FALSE())</f>
        <v>Electronics</v>
      </c>
      <c r="L5476" s="1" t="str">
        <f aca="false">TEXT(D5476,"yyyy-mm")</f>
        <v>2024-05</v>
      </c>
    </row>
    <row r="5477" customFormat="false" ht="15" hidden="false" customHeight="true" outlineLevel="0" collapsed="false">
      <c r="A5477" s="1" t="n">
        <v>5596</v>
      </c>
      <c r="B5477" s="1" t="n">
        <v>18</v>
      </c>
      <c r="C5477" s="1" t="n">
        <v>2</v>
      </c>
      <c r="D5477" s="1" t="s">
        <v>1534</v>
      </c>
      <c r="E5477" s="1" t="n">
        <v>7</v>
      </c>
      <c r="F5477" s="1" t="n">
        <v>498.15</v>
      </c>
      <c r="G5477" s="1" t="n">
        <v>0</v>
      </c>
      <c r="H5477" s="1" t="s">
        <v>1336</v>
      </c>
      <c r="I5477" s="1" t="n">
        <v>3487.05</v>
      </c>
      <c r="J5477" s="1" t="str">
        <f aca="false">VLOOKUP(B5477,Customers!$A$2:$G$502,6,FALSE())</f>
        <v>Corporate</v>
      </c>
      <c r="K5477" s="1" t="str">
        <f aca="false">VLOOKUP(C5477,Products!$A$2:$E$62,3,FALSE())</f>
        <v>Electronics</v>
      </c>
      <c r="L5477" s="1" t="str">
        <f aca="false">TEXT(D5477,"yyyy-mm")</f>
        <v>2024-02</v>
      </c>
    </row>
    <row r="5478" customFormat="false" ht="15" hidden="false" customHeight="true" outlineLevel="0" collapsed="false">
      <c r="A5478" s="1" t="n">
        <v>5597</v>
      </c>
      <c r="B5478" s="1" t="n">
        <v>132</v>
      </c>
      <c r="C5478" s="1" t="n">
        <v>16</v>
      </c>
      <c r="D5478" s="1" t="s">
        <v>1597</v>
      </c>
      <c r="E5478" s="1" t="n">
        <v>8</v>
      </c>
      <c r="F5478" s="1" t="n">
        <v>330.91</v>
      </c>
      <c r="G5478" s="1" t="n">
        <v>0.2</v>
      </c>
      <c r="H5478" s="1" t="s">
        <v>1336</v>
      </c>
      <c r="I5478" s="1" t="n">
        <v>2117.82</v>
      </c>
      <c r="J5478" s="1" t="str">
        <f aca="false">VLOOKUP(B5478,Customers!$A$2:$G$502,6,FALSE())</f>
        <v>Corporate</v>
      </c>
      <c r="K5478" s="1" t="str">
        <f aca="false">VLOOKUP(C5478,Products!$A$2:$E$62,3,FALSE())</f>
        <v>Electronics</v>
      </c>
      <c r="L5478" s="1" t="str">
        <f aca="false">TEXT(D5478,"yyyy-mm")</f>
        <v>2023-11</v>
      </c>
    </row>
    <row r="5479" customFormat="false" ht="15" hidden="false" customHeight="true" outlineLevel="0" collapsed="false">
      <c r="A5479" s="1" t="n">
        <v>5598</v>
      </c>
      <c r="B5479" s="1" t="n">
        <v>470</v>
      </c>
      <c r="C5479" s="1" t="n">
        <v>28</v>
      </c>
      <c r="D5479" s="1" t="s">
        <v>97</v>
      </c>
      <c r="E5479" s="1" t="n">
        <v>1</v>
      </c>
      <c r="F5479" s="1" t="n">
        <v>505.23</v>
      </c>
      <c r="G5479" s="1" t="n">
        <v>0.15</v>
      </c>
      <c r="H5479" s="1" t="s">
        <v>1346</v>
      </c>
      <c r="I5479" s="1" t="n">
        <v>429.45</v>
      </c>
      <c r="J5479" s="1" t="str">
        <f aca="false">VLOOKUP(B5479,Customers!$A$2:$G$502,6,FALSE())</f>
        <v>Corporate</v>
      </c>
      <c r="K5479" s="1" t="str">
        <f aca="false">VLOOKUP(C5479,Products!$A$2:$E$62,3,FALSE())</f>
        <v>Office Supplies</v>
      </c>
      <c r="L5479" s="1" t="str">
        <f aca="false">TEXT(D5479,"yyyy-mm")</f>
        <v>2024-11</v>
      </c>
    </row>
    <row r="5480" customFormat="false" ht="15" hidden="false" customHeight="true" outlineLevel="0" collapsed="false">
      <c r="A5480" s="1" t="n">
        <v>5600</v>
      </c>
      <c r="B5480" s="1" t="n">
        <v>261</v>
      </c>
      <c r="C5480" s="1" t="n">
        <v>24</v>
      </c>
      <c r="D5480" s="1" t="s">
        <v>606</v>
      </c>
      <c r="E5480" s="1" t="n">
        <v>8</v>
      </c>
      <c r="F5480" s="1" t="n">
        <v>207.34</v>
      </c>
      <c r="G5480" s="1" t="n">
        <v>0.1</v>
      </c>
      <c r="H5480" s="1" t="s">
        <v>1336</v>
      </c>
      <c r="I5480" s="1" t="n">
        <v>1492.85</v>
      </c>
      <c r="J5480" s="1" t="str">
        <f aca="false">VLOOKUP(B5480,Customers!$A$2:$G$502,6,FALSE())</f>
        <v>Consumer</v>
      </c>
      <c r="K5480" s="1" t="str">
        <f aca="false">VLOOKUP(C5480,Products!$A$2:$E$62,3,FALSE())</f>
        <v>Office Supplies</v>
      </c>
      <c r="L5480" s="1" t="str">
        <f aca="false">TEXT(D5480,"yyyy-mm")</f>
        <v>2024-12</v>
      </c>
    </row>
    <row r="5481" customFormat="false" ht="15" hidden="false" customHeight="true" outlineLevel="0" collapsed="false">
      <c r="A5481" s="1" t="n">
        <v>5601</v>
      </c>
      <c r="B5481" s="1" t="n">
        <v>282</v>
      </c>
      <c r="C5481" s="1" t="n">
        <v>35</v>
      </c>
      <c r="D5481" s="1" t="s">
        <v>306</v>
      </c>
      <c r="E5481" s="1" t="n">
        <v>9</v>
      </c>
      <c r="F5481" s="1" t="n">
        <v>75.78</v>
      </c>
      <c r="G5481" s="1" t="n">
        <v>0</v>
      </c>
      <c r="H5481" s="1" t="s">
        <v>1336</v>
      </c>
      <c r="I5481" s="1" t="n">
        <v>682.02</v>
      </c>
      <c r="J5481" s="1" t="str">
        <f aca="false">VLOOKUP(B5481,Customers!$A$2:$G$502,6,FALSE())</f>
        <v>Corporate</v>
      </c>
      <c r="K5481" s="1" t="str">
        <f aca="false">VLOOKUP(C5481,Products!$A$2:$E$62,3,FALSE())</f>
        <v>Software</v>
      </c>
      <c r="L5481" s="1" t="str">
        <f aca="false">TEXT(D5481,"yyyy-mm")</f>
        <v>2024-05</v>
      </c>
    </row>
    <row r="5482" customFormat="false" ht="15" hidden="false" customHeight="true" outlineLevel="0" collapsed="false">
      <c r="A5482" s="1" t="n">
        <v>5602</v>
      </c>
      <c r="B5482" s="1" t="n">
        <v>289</v>
      </c>
      <c r="C5482" s="1" t="n">
        <v>60</v>
      </c>
      <c r="D5482" s="1" t="s">
        <v>505</v>
      </c>
      <c r="E5482" s="1" t="n">
        <v>4</v>
      </c>
      <c r="F5482" s="1" t="n">
        <v>584.98</v>
      </c>
      <c r="G5482" s="1" t="n">
        <v>0</v>
      </c>
      <c r="H5482" s="1" t="s">
        <v>1336</v>
      </c>
      <c r="I5482" s="1" t="n">
        <v>2339.92</v>
      </c>
      <c r="J5482" s="1" t="str">
        <f aca="false">VLOOKUP(B5482,Customers!$A$2:$G$502,6,FALSE())</f>
        <v>Consumer</v>
      </c>
      <c r="K5482" s="1" t="str">
        <f aca="false">VLOOKUP(C5482,Products!$A$2:$E$62,3,FALSE())</f>
        <v>Furniture</v>
      </c>
      <c r="L5482" s="1" t="str">
        <f aca="false">TEXT(D5482,"yyyy-mm")</f>
        <v>2023-07</v>
      </c>
    </row>
    <row r="5483" customFormat="false" ht="15" hidden="false" customHeight="true" outlineLevel="0" collapsed="false">
      <c r="A5483" s="1" t="n">
        <v>5603</v>
      </c>
      <c r="B5483" s="1" t="n">
        <v>493</v>
      </c>
      <c r="C5483" s="1" t="n">
        <v>51</v>
      </c>
      <c r="D5483" s="1" t="s">
        <v>539</v>
      </c>
      <c r="E5483" s="1" t="n">
        <v>9</v>
      </c>
      <c r="F5483" s="1" t="n">
        <v>30.16</v>
      </c>
      <c r="G5483" s="1" t="n">
        <v>0.15</v>
      </c>
      <c r="H5483" s="1" t="s">
        <v>1336</v>
      </c>
      <c r="I5483" s="1" t="n">
        <v>230.72</v>
      </c>
      <c r="J5483" s="1" t="str">
        <f aca="false">VLOOKUP(B5483,Customers!$A$2:$G$502,6,FALSE())</f>
        <v>Corporate</v>
      </c>
      <c r="K5483" s="1" t="str">
        <f aca="false">VLOOKUP(C5483,Products!$A$2:$E$62,3,FALSE())</f>
        <v>Software</v>
      </c>
      <c r="L5483" s="1" t="str">
        <f aca="false">TEXT(D5483,"yyyy-mm")</f>
        <v>2024-06</v>
      </c>
    </row>
    <row r="5484" customFormat="false" ht="15" hidden="false" customHeight="true" outlineLevel="0" collapsed="false">
      <c r="A5484" s="1" t="n">
        <v>5604</v>
      </c>
      <c r="B5484" s="1" t="n">
        <v>442</v>
      </c>
      <c r="C5484" s="1" t="n">
        <v>7</v>
      </c>
      <c r="D5484" s="1" t="s">
        <v>575</v>
      </c>
      <c r="E5484" s="1" t="n">
        <v>4</v>
      </c>
      <c r="F5484" s="1" t="n">
        <v>460</v>
      </c>
      <c r="G5484" s="1" t="n">
        <v>0</v>
      </c>
      <c r="H5484" s="1" t="s">
        <v>1336</v>
      </c>
      <c r="I5484" s="1" t="n">
        <v>1840</v>
      </c>
      <c r="J5484" s="1" t="str">
        <f aca="false">VLOOKUP(B5484,Customers!$A$2:$G$502,6,FALSE())</f>
        <v>Small Business</v>
      </c>
      <c r="K5484" s="1" t="str">
        <f aca="false">VLOOKUP(C5484,Products!$A$2:$E$62,3,FALSE())</f>
        <v>Electronics</v>
      </c>
      <c r="L5484" s="1" t="str">
        <f aca="false">TEXT(D5484,"yyyy-mm")</f>
        <v>2024-02</v>
      </c>
    </row>
    <row r="5485" customFormat="false" ht="15" hidden="false" customHeight="true" outlineLevel="0" collapsed="false">
      <c r="A5485" s="1" t="n">
        <v>5605</v>
      </c>
      <c r="B5485" s="1" t="n">
        <v>69</v>
      </c>
      <c r="C5485" s="1" t="n">
        <v>39</v>
      </c>
      <c r="D5485" s="1" t="s">
        <v>185</v>
      </c>
      <c r="E5485" s="1" t="n">
        <v>9</v>
      </c>
      <c r="F5485" s="1" t="n">
        <v>400.02</v>
      </c>
      <c r="G5485" s="1" t="n">
        <v>0.05</v>
      </c>
      <c r="H5485" s="1" t="s">
        <v>1336</v>
      </c>
      <c r="I5485" s="1" t="n">
        <v>3420.17</v>
      </c>
      <c r="J5485" s="1" t="str">
        <f aca="false">VLOOKUP(B5485,Customers!$A$2:$G$502,6,FALSE())</f>
        <v>Corporate</v>
      </c>
      <c r="K5485" s="1" t="str">
        <f aca="false">VLOOKUP(C5485,Products!$A$2:$E$62,3,FALSE())</f>
        <v>Software</v>
      </c>
      <c r="L5485" s="1" t="str">
        <f aca="false">TEXT(D5485,"yyyy-mm")</f>
        <v>2024-05</v>
      </c>
    </row>
    <row r="5486" customFormat="false" ht="15" hidden="false" customHeight="true" outlineLevel="0" collapsed="false">
      <c r="A5486" s="1" t="n">
        <v>5606</v>
      </c>
      <c r="B5486" s="1" t="n">
        <v>398</v>
      </c>
      <c r="C5486" s="1" t="n">
        <v>46</v>
      </c>
      <c r="D5486" s="1" t="s">
        <v>309</v>
      </c>
      <c r="E5486" s="1" t="n">
        <v>7</v>
      </c>
      <c r="F5486" s="1" t="n">
        <v>94.92</v>
      </c>
      <c r="G5486" s="1" t="n">
        <v>0.1</v>
      </c>
      <c r="H5486" s="1" t="s">
        <v>1336</v>
      </c>
      <c r="I5486" s="1" t="n">
        <v>598</v>
      </c>
      <c r="J5486" s="1" t="str">
        <f aca="false">VLOOKUP(B5486,Customers!$A$2:$G$502,6,FALSE())</f>
        <v>Small Business</v>
      </c>
      <c r="K5486" s="1" t="str">
        <f aca="false">VLOOKUP(C5486,Products!$A$2:$E$62,3,FALSE())</f>
        <v>Software</v>
      </c>
      <c r="L5486" s="1" t="str">
        <f aca="false">TEXT(D5486,"yyyy-mm")</f>
        <v>2023-05</v>
      </c>
    </row>
    <row r="5487" customFormat="false" ht="15" hidden="false" customHeight="true" outlineLevel="0" collapsed="false">
      <c r="A5487" s="1" t="n">
        <v>5607</v>
      </c>
      <c r="B5487" s="1" t="n">
        <v>471</v>
      </c>
      <c r="C5487" s="1" t="n">
        <v>59</v>
      </c>
      <c r="D5487" s="1" t="s">
        <v>306</v>
      </c>
      <c r="E5487" s="1" t="n">
        <v>2</v>
      </c>
      <c r="F5487" s="1" t="n">
        <v>438.89</v>
      </c>
      <c r="G5487" s="1" t="n">
        <v>0.15</v>
      </c>
      <c r="H5487" s="1" t="s">
        <v>1336</v>
      </c>
      <c r="I5487" s="1" t="n">
        <v>746.11</v>
      </c>
      <c r="J5487" s="1" t="str">
        <f aca="false">VLOOKUP(B5487,Customers!$A$2:$G$502,6,FALSE())</f>
        <v>Small Business</v>
      </c>
      <c r="K5487" s="1" t="str">
        <f aca="false">VLOOKUP(C5487,Products!$A$2:$E$62,3,FALSE())</f>
        <v>Furniture</v>
      </c>
      <c r="L5487" s="1" t="str">
        <f aca="false">TEXT(D5487,"yyyy-mm")</f>
        <v>2024-05</v>
      </c>
    </row>
    <row r="5488" customFormat="false" ht="15" hidden="false" customHeight="true" outlineLevel="0" collapsed="false">
      <c r="A5488" s="1" t="n">
        <v>5608</v>
      </c>
      <c r="B5488" s="1" t="n">
        <v>439</v>
      </c>
      <c r="C5488" s="1" t="n">
        <v>58</v>
      </c>
      <c r="D5488" s="1" t="s">
        <v>1586</v>
      </c>
      <c r="E5488" s="1" t="n">
        <v>9</v>
      </c>
      <c r="F5488" s="1" t="n">
        <v>515.55</v>
      </c>
      <c r="G5488" s="1" t="n">
        <v>0.05</v>
      </c>
      <c r="H5488" s="1" t="s">
        <v>1336</v>
      </c>
      <c r="I5488" s="1" t="n">
        <v>4407.95</v>
      </c>
      <c r="J5488" s="1" t="str">
        <f aca="false">VLOOKUP(B5488,Customers!$A$2:$G$502,6,FALSE())</f>
        <v>Corporate</v>
      </c>
      <c r="K5488" s="1" t="str">
        <f aca="false">VLOOKUP(C5488,Products!$A$2:$E$62,3,FALSE())</f>
        <v>Furniture</v>
      </c>
      <c r="L5488" s="1" t="str">
        <f aca="false">TEXT(D5488,"yyyy-mm")</f>
        <v>2024-04</v>
      </c>
    </row>
    <row r="5489" customFormat="false" ht="15" hidden="false" customHeight="true" outlineLevel="0" collapsed="false">
      <c r="A5489" s="1" t="n">
        <v>5609</v>
      </c>
      <c r="B5489" s="1" t="n">
        <v>468</v>
      </c>
      <c r="C5489" s="1" t="n">
        <v>40</v>
      </c>
      <c r="D5489" s="1" t="s">
        <v>1439</v>
      </c>
      <c r="E5489" s="1" t="n">
        <v>4</v>
      </c>
      <c r="F5489" s="1" t="n">
        <v>193.02</v>
      </c>
      <c r="G5489" s="1" t="n">
        <v>0</v>
      </c>
      <c r="H5489" s="1" t="s">
        <v>1336</v>
      </c>
      <c r="I5489" s="1" t="n">
        <v>772.08</v>
      </c>
      <c r="J5489" s="1" t="str">
        <f aca="false">VLOOKUP(B5489,Customers!$A$2:$G$502,6,FALSE())</f>
        <v>Small Business</v>
      </c>
      <c r="K5489" s="1" t="str">
        <f aca="false">VLOOKUP(C5489,Products!$A$2:$E$62,3,FALSE())</f>
        <v>Software</v>
      </c>
      <c r="L5489" s="1" t="str">
        <f aca="false">TEXT(D5489,"yyyy-mm")</f>
        <v>2024-05</v>
      </c>
    </row>
    <row r="5490" customFormat="false" ht="15" hidden="false" customHeight="true" outlineLevel="0" collapsed="false">
      <c r="A5490" s="1" t="n">
        <v>5610</v>
      </c>
      <c r="B5490" s="1" t="n">
        <v>397</v>
      </c>
      <c r="C5490" s="1" t="n">
        <v>19</v>
      </c>
      <c r="D5490" s="1" t="s">
        <v>260</v>
      </c>
      <c r="E5490" s="1" t="n">
        <v>8</v>
      </c>
      <c r="F5490" s="1" t="n">
        <v>163.64</v>
      </c>
      <c r="G5490" s="1" t="n">
        <v>0.1</v>
      </c>
      <c r="H5490" s="1" t="s">
        <v>1336</v>
      </c>
      <c r="I5490" s="1" t="n">
        <v>1178.21</v>
      </c>
      <c r="J5490" s="1" t="str">
        <f aca="false">VLOOKUP(B5490,Customers!$A$2:$G$502,6,FALSE())</f>
        <v>Consumer</v>
      </c>
      <c r="K5490" s="1" t="str">
        <f aca="false">VLOOKUP(C5490,Products!$A$2:$E$62,3,FALSE())</f>
        <v>Office Supplies</v>
      </c>
      <c r="L5490" s="1" t="str">
        <f aca="false">TEXT(D5490,"yyyy-mm")</f>
        <v>2023-04</v>
      </c>
    </row>
    <row r="5491" customFormat="false" ht="15" hidden="false" customHeight="true" outlineLevel="0" collapsed="false">
      <c r="A5491" s="1" t="n">
        <v>5611</v>
      </c>
      <c r="B5491" s="1" t="n">
        <v>446</v>
      </c>
      <c r="C5491" s="1" t="n">
        <v>5</v>
      </c>
      <c r="D5491" s="1" t="s">
        <v>924</v>
      </c>
      <c r="E5491" s="1" t="n">
        <v>7</v>
      </c>
      <c r="F5491" s="1" t="n">
        <v>439.06</v>
      </c>
      <c r="G5491" s="1" t="n">
        <v>0</v>
      </c>
      <c r="H5491" s="1" t="s">
        <v>1336</v>
      </c>
      <c r="I5491" s="1" t="n">
        <v>3073.42</v>
      </c>
      <c r="J5491" s="1" t="str">
        <f aca="false">VLOOKUP(B5491,Customers!$A$2:$G$502,6,FALSE())</f>
        <v>Small Business</v>
      </c>
      <c r="K5491" s="1" t="str">
        <f aca="false">VLOOKUP(C5491,Products!$A$2:$E$62,3,FALSE())</f>
        <v>Electronics</v>
      </c>
      <c r="L5491" s="1" t="str">
        <f aca="false">TEXT(D5491,"yyyy-mm")</f>
        <v>2023-01</v>
      </c>
    </row>
    <row r="5492" customFormat="false" ht="15" hidden="false" customHeight="true" outlineLevel="0" collapsed="false">
      <c r="A5492" s="1" t="n">
        <v>5612</v>
      </c>
      <c r="B5492" s="1" t="n">
        <v>315</v>
      </c>
      <c r="C5492" s="1" t="n">
        <v>33</v>
      </c>
      <c r="D5492" s="1" t="s">
        <v>280</v>
      </c>
      <c r="E5492" s="1" t="n">
        <v>7</v>
      </c>
      <c r="F5492" s="1" t="n">
        <v>190.1</v>
      </c>
      <c r="G5492" s="1" t="n">
        <v>0.1</v>
      </c>
      <c r="H5492" s="1" t="s">
        <v>1336</v>
      </c>
      <c r="I5492" s="1" t="n">
        <v>1197.63</v>
      </c>
      <c r="J5492" s="1" t="str">
        <f aca="false">VLOOKUP(B5492,Customers!$A$2:$G$502,6,FALSE())</f>
        <v>Consumer</v>
      </c>
      <c r="K5492" s="1" t="str">
        <f aca="false">VLOOKUP(C5492,Products!$A$2:$E$62,3,FALSE())</f>
        <v>Office Supplies</v>
      </c>
      <c r="L5492" s="1" t="str">
        <f aca="false">TEXT(D5492,"yyyy-mm")</f>
        <v>2023-06</v>
      </c>
    </row>
    <row r="5493" customFormat="false" ht="15" hidden="false" customHeight="true" outlineLevel="0" collapsed="false">
      <c r="A5493" s="1" t="n">
        <v>5613</v>
      </c>
      <c r="B5493" s="1" t="n">
        <v>66</v>
      </c>
      <c r="C5493" s="1" t="n">
        <v>33</v>
      </c>
      <c r="D5493" s="1" t="s">
        <v>320</v>
      </c>
      <c r="E5493" s="1" t="n">
        <v>8</v>
      </c>
      <c r="F5493" s="1" t="n">
        <v>190.1</v>
      </c>
      <c r="G5493" s="1" t="n">
        <v>0.05</v>
      </c>
      <c r="H5493" s="1" t="s">
        <v>1336</v>
      </c>
      <c r="I5493" s="1" t="n">
        <v>1444.76</v>
      </c>
      <c r="J5493" s="1" t="str">
        <f aca="false">VLOOKUP(B5493,Customers!$A$2:$G$502,6,FALSE())</f>
        <v>Corporate</v>
      </c>
      <c r="K5493" s="1" t="str">
        <f aca="false">VLOOKUP(C5493,Products!$A$2:$E$62,3,FALSE())</f>
        <v>Office Supplies</v>
      </c>
      <c r="L5493" s="1" t="str">
        <f aca="false">TEXT(D5493,"yyyy-mm")</f>
        <v>2023-05</v>
      </c>
    </row>
    <row r="5494" customFormat="false" ht="15" hidden="false" customHeight="true" outlineLevel="0" collapsed="false">
      <c r="A5494" s="1" t="n">
        <v>5614</v>
      </c>
      <c r="B5494" s="1" t="n">
        <v>26</v>
      </c>
      <c r="C5494" s="1" t="n">
        <v>59</v>
      </c>
      <c r="D5494" s="1" t="s">
        <v>1562</v>
      </c>
      <c r="E5494" s="1" t="n">
        <v>1</v>
      </c>
      <c r="F5494" s="1" t="n">
        <v>438.89</v>
      </c>
      <c r="G5494" s="1" t="n">
        <v>0</v>
      </c>
      <c r="H5494" s="1" t="s">
        <v>1336</v>
      </c>
      <c r="I5494" s="1" t="n">
        <v>438.89</v>
      </c>
      <c r="J5494" s="1" t="str">
        <f aca="false">VLOOKUP(B5494,Customers!$A$2:$G$502,6,FALSE())</f>
        <v>Consumer</v>
      </c>
      <c r="K5494" s="1" t="str">
        <f aca="false">VLOOKUP(C5494,Products!$A$2:$E$62,3,FALSE())</f>
        <v>Furniture</v>
      </c>
      <c r="L5494" s="1" t="str">
        <f aca="false">TEXT(D5494,"yyyy-mm")</f>
        <v>2023-07</v>
      </c>
    </row>
    <row r="5495" customFormat="false" ht="15" hidden="false" customHeight="true" outlineLevel="0" collapsed="false">
      <c r="A5495" s="1" t="n">
        <v>5615</v>
      </c>
      <c r="B5495" s="1" t="n">
        <v>289</v>
      </c>
      <c r="C5495" s="1" t="n">
        <v>37</v>
      </c>
      <c r="D5495" s="1" t="s">
        <v>1583</v>
      </c>
      <c r="E5495" s="1" t="n">
        <v>5</v>
      </c>
      <c r="F5495" s="1" t="n">
        <v>13.95</v>
      </c>
      <c r="G5495" s="1" t="n">
        <v>0</v>
      </c>
      <c r="H5495" s="1" t="s">
        <v>1336</v>
      </c>
      <c r="I5495" s="1" t="n">
        <v>69.75</v>
      </c>
      <c r="J5495" s="1" t="str">
        <f aca="false">VLOOKUP(B5495,Customers!$A$2:$G$502,6,FALSE())</f>
        <v>Consumer</v>
      </c>
      <c r="K5495" s="1" t="str">
        <f aca="false">VLOOKUP(C5495,Products!$A$2:$E$62,3,FALSE())</f>
        <v>Software</v>
      </c>
      <c r="L5495" s="1" t="str">
        <f aca="false">TEXT(D5495,"yyyy-mm")</f>
        <v>2024-08</v>
      </c>
    </row>
    <row r="5496" customFormat="false" ht="15" hidden="false" customHeight="true" outlineLevel="0" collapsed="false">
      <c r="A5496" s="1" t="n">
        <v>5616</v>
      </c>
      <c r="B5496" s="1" t="n">
        <v>136</v>
      </c>
      <c r="C5496" s="1" t="n">
        <v>44</v>
      </c>
      <c r="D5496" s="1" t="s">
        <v>416</v>
      </c>
      <c r="E5496" s="1" t="n">
        <v>2</v>
      </c>
      <c r="F5496" s="1" t="n">
        <v>508.26</v>
      </c>
      <c r="G5496" s="1" t="n">
        <v>0.05</v>
      </c>
      <c r="H5496" s="1" t="s">
        <v>1336</v>
      </c>
      <c r="I5496" s="1" t="n">
        <v>965.69</v>
      </c>
      <c r="J5496" s="1" t="str">
        <f aca="false">VLOOKUP(B5496,Customers!$A$2:$G$502,6,FALSE())</f>
        <v>Corporate</v>
      </c>
      <c r="K5496" s="1" t="str">
        <f aca="false">VLOOKUP(C5496,Products!$A$2:$E$62,3,FALSE())</f>
        <v>Software</v>
      </c>
      <c r="L5496" s="1" t="str">
        <f aca="false">TEXT(D5496,"yyyy-mm")</f>
        <v>2023-12</v>
      </c>
    </row>
    <row r="5497" customFormat="false" ht="15" hidden="false" customHeight="true" outlineLevel="0" collapsed="false">
      <c r="A5497" s="1" t="n">
        <v>5617</v>
      </c>
      <c r="B5497" s="1" t="n">
        <v>147</v>
      </c>
      <c r="C5497" s="1" t="n">
        <v>14</v>
      </c>
      <c r="D5497" s="1" t="s">
        <v>1412</v>
      </c>
      <c r="E5497" s="1" t="n">
        <v>2</v>
      </c>
      <c r="F5497" s="1" t="n">
        <v>135.27</v>
      </c>
      <c r="G5497" s="1" t="n">
        <v>0</v>
      </c>
      <c r="H5497" s="1" t="s">
        <v>1336</v>
      </c>
      <c r="I5497" s="1" t="n">
        <v>270.54</v>
      </c>
      <c r="J5497" s="1" t="str">
        <f aca="false">VLOOKUP(B5497,Customers!$A$2:$G$502,6,FALSE())</f>
        <v>Small Business</v>
      </c>
      <c r="K5497" s="1" t="str">
        <f aca="false">VLOOKUP(C5497,Products!$A$2:$E$62,3,FALSE())</f>
        <v>Electronics</v>
      </c>
      <c r="L5497" s="1" t="str">
        <f aca="false">TEXT(D5497,"yyyy-mm")</f>
        <v>2023-09</v>
      </c>
    </row>
    <row r="5498" customFormat="false" ht="15" hidden="false" customHeight="true" outlineLevel="0" collapsed="false">
      <c r="A5498" s="1" t="n">
        <v>5618</v>
      </c>
      <c r="B5498" s="1" t="n">
        <v>11</v>
      </c>
      <c r="C5498" s="1" t="n">
        <v>27</v>
      </c>
      <c r="D5498" s="1" t="s">
        <v>103</v>
      </c>
      <c r="E5498" s="1" t="n">
        <v>1</v>
      </c>
      <c r="F5498" s="1" t="n">
        <v>772.58</v>
      </c>
      <c r="G5498" s="1" t="n">
        <v>0</v>
      </c>
      <c r="H5498" s="1" t="s">
        <v>1336</v>
      </c>
      <c r="I5498" s="1" t="n">
        <v>772.58</v>
      </c>
      <c r="J5498" s="1" t="str">
        <f aca="false">VLOOKUP(B5498,Customers!$A$2:$G$502,6,FALSE())</f>
        <v>Consumer</v>
      </c>
      <c r="K5498" s="1" t="str">
        <f aca="false">VLOOKUP(C5498,Products!$A$2:$E$62,3,FALSE())</f>
        <v>Office Supplies</v>
      </c>
      <c r="L5498" s="1" t="str">
        <f aca="false">TEXT(D5498,"yyyy-mm")</f>
        <v>2024-10</v>
      </c>
    </row>
    <row r="5499" customFormat="false" ht="15" hidden="false" customHeight="true" outlineLevel="0" collapsed="false">
      <c r="A5499" s="1" t="n">
        <v>5619</v>
      </c>
      <c r="B5499" s="1" t="n">
        <v>150</v>
      </c>
      <c r="C5499" s="1" t="n">
        <v>16</v>
      </c>
      <c r="D5499" s="1" t="s">
        <v>949</v>
      </c>
      <c r="E5499" s="1" t="n">
        <v>5</v>
      </c>
      <c r="F5499" s="1" t="n">
        <v>330.91</v>
      </c>
      <c r="G5499" s="1" t="n">
        <v>0.05</v>
      </c>
      <c r="H5499" s="1" t="s">
        <v>1336</v>
      </c>
      <c r="I5499" s="1" t="n">
        <v>1571.82</v>
      </c>
      <c r="J5499" s="1" t="str">
        <f aca="false">VLOOKUP(B5499,Customers!$A$2:$G$502,6,FALSE())</f>
        <v>Corporate</v>
      </c>
      <c r="K5499" s="1" t="str">
        <f aca="false">VLOOKUP(C5499,Products!$A$2:$E$62,3,FALSE())</f>
        <v>Electronics</v>
      </c>
      <c r="L5499" s="1" t="str">
        <f aca="false">TEXT(D5499,"yyyy-mm")</f>
        <v>2023-11</v>
      </c>
    </row>
    <row r="5500" customFormat="false" ht="15" hidden="false" customHeight="true" outlineLevel="0" collapsed="false">
      <c r="A5500" s="1" t="n">
        <v>5620</v>
      </c>
      <c r="B5500" s="1" t="n">
        <v>318</v>
      </c>
      <c r="C5500" s="1" t="n">
        <v>2</v>
      </c>
      <c r="D5500" s="1" t="s">
        <v>1586</v>
      </c>
      <c r="E5500" s="1" t="n">
        <v>2</v>
      </c>
      <c r="F5500" s="1" t="n">
        <v>498.15</v>
      </c>
      <c r="G5500" s="1" t="n">
        <v>0</v>
      </c>
      <c r="H5500" s="1" t="s">
        <v>1370</v>
      </c>
      <c r="I5500" s="1" t="n">
        <v>996.3</v>
      </c>
      <c r="J5500" s="1" t="str">
        <f aca="false">VLOOKUP(B5500,Customers!$A$2:$G$502,6,FALSE())</f>
        <v>Consumer</v>
      </c>
      <c r="K5500" s="1" t="str">
        <f aca="false">VLOOKUP(C5500,Products!$A$2:$E$62,3,FALSE())</f>
        <v>Electronics</v>
      </c>
      <c r="L5500" s="1" t="str">
        <f aca="false">TEXT(D5500,"yyyy-mm")</f>
        <v>2024-04</v>
      </c>
    </row>
    <row r="5501" customFormat="false" ht="15" hidden="false" customHeight="true" outlineLevel="0" collapsed="false">
      <c r="A5501" s="1" t="n">
        <v>5621</v>
      </c>
      <c r="B5501" s="1" t="n">
        <v>38</v>
      </c>
      <c r="C5501" s="1" t="n">
        <v>41</v>
      </c>
      <c r="D5501" s="1" t="s">
        <v>1505</v>
      </c>
      <c r="E5501" s="1" t="n">
        <v>4</v>
      </c>
      <c r="F5501" s="1" t="n">
        <v>594.54</v>
      </c>
      <c r="G5501" s="1" t="n">
        <v>0.2</v>
      </c>
      <c r="H5501" s="1" t="s">
        <v>1336</v>
      </c>
      <c r="I5501" s="1" t="n">
        <v>1902.53</v>
      </c>
      <c r="J5501" s="1" t="str">
        <f aca="false">VLOOKUP(B5501,Customers!$A$2:$G$502,6,FALSE())</f>
        <v>Small Business</v>
      </c>
      <c r="K5501" s="1" t="str">
        <f aca="false">VLOOKUP(C5501,Products!$A$2:$E$62,3,FALSE())</f>
        <v>Software</v>
      </c>
      <c r="L5501" s="1" t="str">
        <f aca="false">TEXT(D5501,"yyyy-mm")</f>
        <v>2023-04</v>
      </c>
    </row>
    <row r="5502" customFormat="false" ht="15" hidden="false" customHeight="true" outlineLevel="0" collapsed="false">
      <c r="A5502" s="1" t="n">
        <v>5622</v>
      </c>
      <c r="B5502" s="1" t="n">
        <v>338</v>
      </c>
      <c r="C5502" s="1" t="n">
        <v>33</v>
      </c>
      <c r="D5502" s="1" t="s">
        <v>34</v>
      </c>
      <c r="E5502" s="1" t="n">
        <v>3</v>
      </c>
      <c r="F5502" s="1" t="n">
        <v>190.1</v>
      </c>
      <c r="G5502" s="1" t="n">
        <v>0</v>
      </c>
      <c r="H5502" s="1" t="s">
        <v>1336</v>
      </c>
      <c r="I5502" s="1" t="n">
        <v>570.3</v>
      </c>
      <c r="J5502" s="1" t="str">
        <f aca="false">VLOOKUP(B5502,Customers!$A$2:$G$502,6,FALSE())</f>
        <v>Corporate</v>
      </c>
      <c r="K5502" s="1" t="str">
        <f aca="false">VLOOKUP(C5502,Products!$A$2:$E$62,3,FALSE())</f>
        <v>Office Supplies</v>
      </c>
      <c r="L5502" s="1" t="str">
        <f aca="false">TEXT(D5502,"yyyy-mm")</f>
        <v>2023-03</v>
      </c>
    </row>
    <row r="5503" customFormat="false" ht="15" hidden="false" customHeight="true" outlineLevel="0" collapsed="false">
      <c r="A5503" s="1" t="n">
        <v>5623</v>
      </c>
      <c r="B5503" s="1" t="n">
        <v>112</v>
      </c>
      <c r="C5503" s="1" t="n">
        <v>50</v>
      </c>
      <c r="D5503" s="1" t="s">
        <v>188</v>
      </c>
      <c r="E5503" s="1" t="n">
        <v>3</v>
      </c>
      <c r="F5503" s="1" t="n">
        <v>19.73</v>
      </c>
      <c r="G5503" s="1" t="n">
        <v>0.15</v>
      </c>
      <c r="H5503" s="1" t="s">
        <v>1370</v>
      </c>
      <c r="I5503" s="1" t="n">
        <v>50.31</v>
      </c>
      <c r="J5503" s="1" t="str">
        <f aca="false">VLOOKUP(B5503,Customers!$A$2:$G$502,6,FALSE())</f>
        <v>Corporate</v>
      </c>
      <c r="K5503" s="1" t="str">
        <f aca="false">VLOOKUP(C5503,Products!$A$2:$E$62,3,FALSE())</f>
        <v>Software</v>
      </c>
      <c r="L5503" s="1" t="str">
        <f aca="false">TEXT(D5503,"yyyy-mm")</f>
        <v>2024-04</v>
      </c>
    </row>
    <row r="5504" customFormat="false" ht="15" hidden="false" customHeight="true" outlineLevel="0" collapsed="false">
      <c r="A5504" s="1" t="n">
        <v>5624</v>
      </c>
      <c r="B5504" s="1" t="n">
        <v>228</v>
      </c>
      <c r="C5504" s="1" t="n">
        <v>2</v>
      </c>
      <c r="D5504" s="1" t="s">
        <v>1507</v>
      </c>
      <c r="E5504" s="1" t="n">
        <v>2</v>
      </c>
      <c r="F5504" s="1" t="n">
        <v>498.15</v>
      </c>
      <c r="G5504" s="1" t="n">
        <v>0</v>
      </c>
      <c r="H5504" s="1" t="s">
        <v>1370</v>
      </c>
      <c r="I5504" s="1" t="n">
        <v>996.3</v>
      </c>
      <c r="J5504" s="1" t="str">
        <f aca="false">VLOOKUP(B5504,Customers!$A$2:$G$502,6,FALSE())</f>
        <v>Small Business</v>
      </c>
      <c r="K5504" s="1" t="str">
        <f aca="false">VLOOKUP(C5504,Products!$A$2:$E$62,3,FALSE())</f>
        <v>Electronics</v>
      </c>
      <c r="L5504" s="1" t="str">
        <f aca="false">TEXT(D5504,"yyyy-mm")</f>
        <v>2024-09</v>
      </c>
    </row>
    <row r="5505" customFormat="false" ht="15" hidden="false" customHeight="true" outlineLevel="0" collapsed="false">
      <c r="A5505" s="1" t="n">
        <v>5625</v>
      </c>
      <c r="B5505" s="1" t="n">
        <v>198</v>
      </c>
      <c r="C5505" s="1" t="n">
        <v>43</v>
      </c>
      <c r="D5505" s="1" t="s">
        <v>1350</v>
      </c>
      <c r="E5505" s="1" t="n">
        <v>6</v>
      </c>
      <c r="F5505" s="1" t="n">
        <v>186.31</v>
      </c>
      <c r="G5505" s="1" t="n">
        <v>0</v>
      </c>
      <c r="H5505" s="1" t="s">
        <v>1336</v>
      </c>
      <c r="I5505" s="1" t="n">
        <v>1117.86</v>
      </c>
      <c r="J5505" s="1" t="str">
        <f aca="false">VLOOKUP(B5505,Customers!$A$2:$G$502,6,FALSE())</f>
        <v>Corporate</v>
      </c>
      <c r="K5505" s="1" t="str">
        <f aca="false">VLOOKUP(C5505,Products!$A$2:$E$62,3,FALSE())</f>
        <v>Software</v>
      </c>
      <c r="L5505" s="1" t="str">
        <f aca="false">TEXT(D5505,"yyyy-mm")</f>
        <v>2023-08</v>
      </c>
    </row>
    <row r="5506" customFormat="false" ht="15" hidden="false" customHeight="true" outlineLevel="0" collapsed="false">
      <c r="A5506" s="1" t="n">
        <v>5626</v>
      </c>
      <c r="B5506" s="1" t="n">
        <v>391</v>
      </c>
      <c r="C5506" s="1" t="n">
        <v>57</v>
      </c>
      <c r="D5506" s="1" t="s">
        <v>1380</v>
      </c>
      <c r="E5506" s="1" t="n">
        <v>2</v>
      </c>
      <c r="F5506" s="1" t="n">
        <v>719.76</v>
      </c>
      <c r="G5506" s="1" t="n">
        <v>0</v>
      </c>
      <c r="H5506" s="1" t="s">
        <v>1336</v>
      </c>
      <c r="I5506" s="1" t="n">
        <v>1439.52</v>
      </c>
      <c r="J5506" s="1" t="str">
        <f aca="false">VLOOKUP(B5506,Customers!$A$2:$G$502,6,FALSE())</f>
        <v>Small Business</v>
      </c>
      <c r="K5506" s="1" t="str">
        <f aca="false">VLOOKUP(C5506,Products!$A$2:$E$62,3,FALSE())</f>
        <v>Furniture</v>
      </c>
      <c r="L5506" s="1" t="str">
        <f aca="false">TEXT(D5506,"yyyy-mm")</f>
        <v>2023-07</v>
      </c>
    </row>
    <row r="5507" customFormat="false" ht="15" hidden="false" customHeight="true" outlineLevel="0" collapsed="false">
      <c r="A5507" s="1" t="n">
        <v>5627</v>
      </c>
      <c r="B5507" s="1" t="n">
        <v>311</v>
      </c>
      <c r="C5507" s="1" t="n">
        <v>34</v>
      </c>
      <c r="D5507" s="1" t="s">
        <v>384</v>
      </c>
      <c r="E5507" s="1" t="n">
        <v>8</v>
      </c>
      <c r="F5507" s="1" t="n">
        <v>116.85</v>
      </c>
      <c r="G5507" s="1" t="n">
        <v>0</v>
      </c>
      <c r="H5507" s="1" t="s">
        <v>1336</v>
      </c>
      <c r="I5507" s="1" t="n">
        <v>934.8</v>
      </c>
      <c r="J5507" s="1" t="str">
        <f aca="false">VLOOKUP(B5507,Customers!$A$2:$G$502,6,FALSE())</f>
        <v>Consumer</v>
      </c>
      <c r="K5507" s="1" t="str">
        <f aca="false">VLOOKUP(C5507,Products!$A$2:$E$62,3,FALSE())</f>
        <v>Office Supplies</v>
      </c>
      <c r="L5507" s="1" t="str">
        <f aca="false">TEXT(D5507,"yyyy-mm")</f>
        <v>2023-02</v>
      </c>
    </row>
    <row r="5508" customFormat="false" ht="15" hidden="false" customHeight="true" outlineLevel="0" collapsed="false">
      <c r="A5508" s="1" t="n">
        <v>5628</v>
      </c>
      <c r="B5508" s="1" t="n">
        <v>381</v>
      </c>
      <c r="C5508" s="1" t="n">
        <v>55</v>
      </c>
      <c r="D5508" s="1" t="s">
        <v>567</v>
      </c>
      <c r="E5508" s="1" t="n">
        <v>8</v>
      </c>
      <c r="F5508" s="1" t="n">
        <v>123.38</v>
      </c>
      <c r="G5508" s="1" t="n">
        <v>0</v>
      </c>
      <c r="H5508" s="1" t="s">
        <v>1336</v>
      </c>
      <c r="I5508" s="1" t="n">
        <v>987.04</v>
      </c>
      <c r="J5508" s="1" t="str">
        <f aca="false">VLOOKUP(B5508,Customers!$A$2:$G$502,6,FALSE())</f>
        <v>Corporate</v>
      </c>
      <c r="K5508" s="1" t="str">
        <f aca="false">VLOOKUP(C5508,Products!$A$2:$E$62,3,FALSE())</f>
        <v>Furniture</v>
      </c>
      <c r="L5508" s="1" t="str">
        <f aca="false">TEXT(D5508,"yyyy-mm")</f>
        <v>2024-10</v>
      </c>
    </row>
    <row r="5509" customFormat="false" ht="15" hidden="false" customHeight="true" outlineLevel="0" collapsed="false">
      <c r="A5509" s="1" t="n">
        <v>5629</v>
      </c>
      <c r="B5509" s="1" t="n">
        <v>84</v>
      </c>
      <c r="C5509" s="1" t="n">
        <v>45</v>
      </c>
      <c r="D5509" s="1" t="s">
        <v>103</v>
      </c>
      <c r="E5509" s="1" t="n">
        <v>5</v>
      </c>
      <c r="F5509" s="1" t="n">
        <v>560.01</v>
      </c>
      <c r="G5509" s="1" t="n">
        <v>0</v>
      </c>
      <c r="H5509" s="1" t="s">
        <v>1336</v>
      </c>
      <c r="I5509" s="1" t="n">
        <v>2800.05</v>
      </c>
      <c r="J5509" s="1" t="str">
        <f aca="false">VLOOKUP(B5509,Customers!$A$2:$G$502,6,FALSE())</f>
        <v>Corporate</v>
      </c>
      <c r="K5509" s="1" t="str">
        <f aca="false">VLOOKUP(C5509,Products!$A$2:$E$62,3,FALSE())</f>
        <v>Software</v>
      </c>
      <c r="L5509" s="1" t="str">
        <f aca="false">TEXT(D5509,"yyyy-mm")</f>
        <v>2024-10</v>
      </c>
    </row>
    <row r="5510" customFormat="false" ht="15" hidden="false" customHeight="true" outlineLevel="0" collapsed="false">
      <c r="A5510" s="1" t="n">
        <v>5630</v>
      </c>
      <c r="B5510" s="1" t="n">
        <v>290</v>
      </c>
      <c r="C5510" s="1" t="n">
        <v>52</v>
      </c>
      <c r="D5510" s="1" t="s">
        <v>1188</v>
      </c>
      <c r="E5510" s="1" t="n">
        <v>7</v>
      </c>
      <c r="F5510" s="1" t="n">
        <v>207.67</v>
      </c>
      <c r="G5510" s="1" t="n">
        <v>0.2</v>
      </c>
      <c r="H5510" s="1" t="s">
        <v>1336</v>
      </c>
      <c r="I5510" s="1" t="n">
        <v>1162.95</v>
      </c>
      <c r="J5510" s="1" t="str">
        <f aca="false">VLOOKUP(B5510,Customers!$A$2:$G$502,6,FALSE())</f>
        <v>Consumer</v>
      </c>
      <c r="K5510" s="1" t="str">
        <f aca="false">VLOOKUP(C5510,Products!$A$2:$E$62,3,FALSE())</f>
        <v>Software</v>
      </c>
      <c r="L5510" s="1" t="str">
        <f aca="false">TEXT(D5510,"yyyy-mm")</f>
        <v>2023-04</v>
      </c>
    </row>
    <row r="5511" customFormat="false" ht="15" hidden="false" customHeight="true" outlineLevel="0" collapsed="false">
      <c r="A5511" s="1" t="n">
        <v>5631</v>
      </c>
      <c r="B5511" s="1" t="n">
        <v>413</v>
      </c>
      <c r="C5511" s="1" t="n">
        <v>38</v>
      </c>
      <c r="D5511" s="1" t="s">
        <v>143</v>
      </c>
      <c r="E5511" s="1" t="n">
        <v>4</v>
      </c>
      <c r="F5511" s="1" t="n">
        <v>521.63</v>
      </c>
      <c r="G5511" s="1" t="n">
        <v>0.15</v>
      </c>
      <c r="H5511" s="1" t="s">
        <v>1336</v>
      </c>
      <c r="I5511" s="1" t="n">
        <v>1773.54</v>
      </c>
      <c r="J5511" s="1" t="str">
        <f aca="false">VLOOKUP(B5511,Customers!$A$2:$G$502,6,FALSE())</f>
        <v>Small Business</v>
      </c>
      <c r="K5511" s="1" t="str">
        <f aca="false">VLOOKUP(C5511,Products!$A$2:$E$62,3,FALSE())</f>
        <v>Software</v>
      </c>
      <c r="L5511" s="1" t="str">
        <f aca="false">TEXT(D5511,"yyyy-mm")</f>
        <v>2024-07</v>
      </c>
    </row>
    <row r="5512" customFormat="false" ht="15" hidden="false" customHeight="true" outlineLevel="0" collapsed="false">
      <c r="A5512" s="1" t="n">
        <v>5633</v>
      </c>
      <c r="B5512" s="1" t="n">
        <v>215</v>
      </c>
      <c r="C5512" s="1" t="n">
        <v>52</v>
      </c>
      <c r="D5512" s="1" t="s">
        <v>810</v>
      </c>
      <c r="E5512" s="1" t="n">
        <v>2</v>
      </c>
      <c r="F5512" s="1" t="n">
        <v>207.67</v>
      </c>
      <c r="G5512" s="1" t="n">
        <v>0</v>
      </c>
      <c r="H5512" s="1" t="s">
        <v>1336</v>
      </c>
      <c r="I5512" s="1" t="n">
        <v>415.34</v>
      </c>
      <c r="J5512" s="1" t="str">
        <f aca="false">VLOOKUP(B5512,Customers!$A$2:$G$502,6,FALSE())</f>
        <v>Corporate</v>
      </c>
      <c r="K5512" s="1" t="str">
        <f aca="false">VLOOKUP(C5512,Products!$A$2:$E$62,3,FALSE())</f>
        <v>Software</v>
      </c>
      <c r="L5512" s="1" t="str">
        <f aca="false">TEXT(D5512,"yyyy-mm")</f>
        <v>2023-12</v>
      </c>
    </row>
    <row r="5513" customFormat="false" ht="15" hidden="false" customHeight="true" outlineLevel="0" collapsed="false">
      <c r="A5513" s="1" t="n">
        <v>5634</v>
      </c>
      <c r="B5513" s="1" t="n">
        <v>146</v>
      </c>
      <c r="C5513" s="1" t="n">
        <v>29</v>
      </c>
      <c r="D5513" s="1" t="s">
        <v>1351</v>
      </c>
      <c r="E5513" s="1" t="n">
        <v>4</v>
      </c>
      <c r="F5513" s="1" t="n">
        <v>54.62</v>
      </c>
      <c r="G5513" s="1" t="n">
        <v>0.2</v>
      </c>
      <c r="H5513" s="1" t="s">
        <v>1336</v>
      </c>
      <c r="I5513" s="1" t="n">
        <v>174.78</v>
      </c>
      <c r="J5513" s="1" t="str">
        <f aca="false">VLOOKUP(B5513,Customers!$A$2:$G$502,6,FALSE())</f>
        <v>Consumer</v>
      </c>
      <c r="K5513" s="1" t="str">
        <f aca="false">VLOOKUP(C5513,Products!$A$2:$E$62,3,FALSE())</f>
        <v>Office Supplies</v>
      </c>
      <c r="L5513" s="1" t="str">
        <f aca="false">TEXT(D5513,"yyyy-mm")</f>
        <v>2024-07</v>
      </c>
    </row>
    <row r="5514" customFormat="false" ht="15" hidden="false" customHeight="true" outlineLevel="0" collapsed="false">
      <c r="A5514" s="1" t="n">
        <v>5635</v>
      </c>
      <c r="B5514" s="1" t="n">
        <v>377</v>
      </c>
      <c r="C5514" s="1" t="n">
        <v>15</v>
      </c>
      <c r="D5514" s="1" t="s">
        <v>1485</v>
      </c>
      <c r="E5514" s="1" t="n">
        <v>1</v>
      </c>
      <c r="F5514" s="1" t="n">
        <v>304.95</v>
      </c>
      <c r="G5514" s="1" t="n">
        <v>0</v>
      </c>
      <c r="H5514" s="1" t="s">
        <v>1336</v>
      </c>
      <c r="I5514" s="1" t="n">
        <v>304.95</v>
      </c>
      <c r="J5514" s="1" t="str">
        <f aca="false">VLOOKUP(B5514,Customers!$A$2:$G$502,6,FALSE())</f>
        <v>Corporate</v>
      </c>
      <c r="K5514" s="1" t="str">
        <f aca="false">VLOOKUP(C5514,Products!$A$2:$E$62,3,FALSE())</f>
        <v>Electronics</v>
      </c>
      <c r="L5514" s="1" t="str">
        <f aca="false">TEXT(D5514,"yyyy-mm")</f>
        <v>2023-07</v>
      </c>
    </row>
    <row r="5515" customFormat="false" ht="15" hidden="false" customHeight="true" outlineLevel="0" collapsed="false">
      <c r="A5515" s="1" t="n">
        <v>5636</v>
      </c>
      <c r="B5515" s="1" t="n">
        <v>37</v>
      </c>
      <c r="C5515" s="1" t="n">
        <v>51</v>
      </c>
      <c r="D5515" s="1" t="s">
        <v>402</v>
      </c>
      <c r="E5515" s="1" t="n">
        <v>8</v>
      </c>
      <c r="F5515" s="1" t="n">
        <v>30.16</v>
      </c>
      <c r="G5515" s="1" t="n">
        <v>0</v>
      </c>
      <c r="H5515" s="1" t="s">
        <v>1336</v>
      </c>
      <c r="I5515" s="1" t="n">
        <v>241.28</v>
      </c>
      <c r="J5515" s="1" t="str">
        <f aca="false">VLOOKUP(B5515,Customers!$A$2:$G$502,6,FALSE())</f>
        <v>Corporate</v>
      </c>
      <c r="K5515" s="1" t="str">
        <f aca="false">VLOOKUP(C5515,Products!$A$2:$E$62,3,FALSE())</f>
        <v>Software</v>
      </c>
      <c r="L5515" s="1" t="str">
        <f aca="false">TEXT(D5515,"yyyy-mm")</f>
        <v>2024-11</v>
      </c>
    </row>
    <row r="5516" customFormat="false" ht="15" hidden="false" customHeight="true" outlineLevel="0" collapsed="false">
      <c r="A5516" s="1" t="n">
        <v>5637</v>
      </c>
      <c r="B5516" s="1" t="n">
        <v>33</v>
      </c>
      <c r="C5516" s="1" t="n">
        <v>40</v>
      </c>
      <c r="D5516" s="1" t="s">
        <v>1551</v>
      </c>
      <c r="E5516" s="1" t="n">
        <v>9</v>
      </c>
      <c r="F5516" s="1" t="n">
        <v>193.02</v>
      </c>
      <c r="G5516" s="1" t="n">
        <v>0.15</v>
      </c>
      <c r="H5516" s="1" t="s">
        <v>1336</v>
      </c>
      <c r="I5516" s="1" t="n">
        <v>1476.6</v>
      </c>
      <c r="J5516" s="1" t="str">
        <f aca="false">VLOOKUP(B5516,Customers!$A$2:$G$502,6,FALSE())</f>
        <v>Corporate</v>
      </c>
      <c r="K5516" s="1" t="str">
        <f aca="false">VLOOKUP(C5516,Products!$A$2:$E$62,3,FALSE())</f>
        <v>Software</v>
      </c>
      <c r="L5516" s="1" t="str">
        <f aca="false">TEXT(D5516,"yyyy-mm")</f>
        <v>2024-03</v>
      </c>
    </row>
    <row r="5517" customFormat="false" ht="15" hidden="false" customHeight="true" outlineLevel="0" collapsed="false">
      <c r="A5517" s="1" t="n">
        <v>5638</v>
      </c>
      <c r="B5517" s="1" t="n">
        <v>58</v>
      </c>
      <c r="C5517" s="1" t="n">
        <v>52</v>
      </c>
      <c r="D5517" s="1" t="s">
        <v>220</v>
      </c>
      <c r="E5517" s="1" t="n">
        <v>4</v>
      </c>
      <c r="F5517" s="1" t="n">
        <v>207.67</v>
      </c>
      <c r="G5517" s="1" t="n">
        <v>0.2</v>
      </c>
      <c r="H5517" s="1" t="s">
        <v>1336</v>
      </c>
      <c r="I5517" s="1" t="n">
        <v>664.54</v>
      </c>
      <c r="J5517" s="1" t="str">
        <f aca="false">VLOOKUP(B5517,Customers!$A$2:$G$502,6,FALSE())</f>
        <v>Consumer</v>
      </c>
      <c r="K5517" s="1" t="str">
        <f aca="false">VLOOKUP(C5517,Products!$A$2:$E$62,3,FALSE())</f>
        <v>Software</v>
      </c>
      <c r="L5517" s="1" t="str">
        <f aca="false">TEXT(D5517,"yyyy-mm")</f>
        <v>2023-01</v>
      </c>
    </row>
    <row r="5518" customFormat="false" ht="15" hidden="false" customHeight="true" outlineLevel="0" collapsed="false">
      <c r="A5518" s="1" t="n">
        <v>5639</v>
      </c>
      <c r="B5518" s="1" t="n">
        <v>340</v>
      </c>
      <c r="C5518" s="1" t="n">
        <v>40</v>
      </c>
      <c r="D5518" s="1" t="s">
        <v>786</v>
      </c>
      <c r="E5518" s="1" t="n">
        <v>3</v>
      </c>
      <c r="F5518" s="1" t="n">
        <v>193.02</v>
      </c>
      <c r="G5518" s="1" t="n">
        <v>0</v>
      </c>
      <c r="H5518" s="1" t="s">
        <v>1346</v>
      </c>
      <c r="I5518" s="1" t="n">
        <v>579.06</v>
      </c>
      <c r="J5518" s="1" t="str">
        <f aca="false">VLOOKUP(B5518,Customers!$A$2:$G$502,6,FALSE())</f>
        <v>Consumer</v>
      </c>
      <c r="K5518" s="1" t="str">
        <f aca="false">VLOOKUP(C5518,Products!$A$2:$E$62,3,FALSE())</f>
        <v>Software</v>
      </c>
      <c r="L5518" s="1" t="str">
        <f aca="false">TEXT(D5518,"yyyy-mm")</f>
        <v>2024-07</v>
      </c>
    </row>
    <row r="5519" customFormat="false" ht="15" hidden="false" customHeight="true" outlineLevel="0" collapsed="false">
      <c r="A5519" s="1" t="n">
        <v>5640</v>
      </c>
      <c r="B5519" s="1" t="n">
        <v>450</v>
      </c>
      <c r="C5519" s="1" t="n">
        <v>30</v>
      </c>
      <c r="D5519" s="1" t="s">
        <v>1609</v>
      </c>
      <c r="E5519" s="1" t="n">
        <v>2</v>
      </c>
      <c r="F5519" s="1" t="n">
        <v>33.32</v>
      </c>
      <c r="G5519" s="1" t="n">
        <v>0.2</v>
      </c>
      <c r="H5519" s="1" t="s">
        <v>1336</v>
      </c>
      <c r="I5519" s="1" t="n">
        <v>53.31</v>
      </c>
      <c r="J5519" s="1" t="str">
        <f aca="false">VLOOKUP(B5519,Customers!$A$2:$G$502,6,FALSE())</f>
        <v>Consumer</v>
      </c>
      <c r="K5519" s="1" t="str">
        <f aca="false">VLOOKUP(C5519,Products!$A$2:$E$62,3,FALSE())</f>
        <v>Office Supplies</v>
      </c>
      <c r="L5519" s="1" t="str">
        <f aca="false">TEXT(D5519,"yyyy-mm")</f>
        <v>2023-02</v>
      </c>
    </row>
    <row r="5520" customFormat="false" ht="15" hidden="false" customHeight="true" outlineLevel="0" collapsed="false">
      <c r="A5520" s="1" t="n">
        <v>5641</v>
      </c>
      <c r="B5520" s="1" t="n">
        <v>263</v>
      </c>
      <c r="C5520" s="1" t="n">
        <v>58</v>
      </c>
      <c r="D5520" s="1" t="s">
        <v>103</v>
      </c>
      <c r="E5520" s="1" t="n">
        <v>5</v>
      </c>
      <c r="F5520" s="1" t="n">
        <v>515.55</v>
      </c>
      <c r="G5520" s="1" t="n">
        <v>0</v>
      </c>
      <c r="H5520" s="1" t="s">
        <v>1336</v>
      </c>
      <c r="I5520" s="1" t="n">
        <v>2577.75</v>
      </c>
      <c r="J5520" s="1" t="str">
        <f aca="false">VLOOKUP(B5520,Customers!$A$2:$G$502,6,FALSE())</f>
        <v>Consumer</v>
      </c>
      <c r="K5520" s="1" t="str">
        <f aca="false">VLOOKUP(C5520,Products!$A$2:$E$62,3,FALSE())</f>
        <v>Furniture</v>
      </c>
      <c r="L5520" s="1" t="str">
        <f aca="false">TEXT(D5520,"yyyy-mm")</f>
        <v>2024-10</v>
      </c>
    </row>
    <row r="5521" customFormat="false" ht="15" hidden="false" customHeight="true" outlineLevel="0" collapsed="false">
      <c r="A5521" s="1" t="n">
        <v>5642</v>
      </c>
      <c r="B5521" s="1" t="n">
        <v>2</v>
      </c>
      <c r="C5521" s="1" t="n">
        <v>22</v>
      </c>
      <c r="D5521" s="1" t="s">
        <v>419</v>
      </c>
      <c r="E5521" s="1" t="n">
        <v>3</v>
      </c>
      <c r="F5521" s="1" t="n">
        <v>38.57</v>
      </c>
      <c r="G5521" s="1" t="n">
        <v>0.05</v>
      </c>
      <c r="H5521" s="1" t="s">
        <v>1336</v>
      </c>
      <c r="I5521" s="1" t="n">
        <v>109.92</v>
      </c>
      <c r="J5521" s="1" t="str">
        <f aca="false">VLOOKUP(B5521,Customers!$A$2:$G$502,6,FALSE())</f>
        <v>Small Business</v>
      </c>
      <c r="K5521" s="1" t="str">
        <f aca="false">VLOOKUP(C5521,Products!$A$2:$E$62,3,FALSE())</f>
        <v>Office Supplies</v>
      </c>
      <c r="L5521" s="1" t="str">
        <f aca="false">TEXT(D5521,"yyyy-mm")</f>
        <v>2023-08</v>
      </c>
    </row>
    <row r="5522" customFormat="false" ht="15" hidden="false" customHeight="true" outlineLevel="0" collapsed="false">
      <c r="A5522" s="1" t="n">
        <v>5643</v>
      </c>
      <c r="B5522" s="1" t="n">
        <v>285</v>
      </c>
      <c r="C5522" s="1" t="n">
        <v>30</v>
      </c>
      <c r="D5522" s="1" t="s">
        <v>1602</v>
      </c>
      <c r="E5522" s="1" t="n">
        <v>7</v>
      </c>
      <c r="F5522" s="1" t="n">
        <v>33.32</v>
      </c>
      <c r="G5522" s="1" t="n">
        <v>0.1</v>
      </c>
      <c r="H5522" s="1" t="s">
        <v>1346</v>
      </c>
      <c r="I5522" s="1" t="n">
        <v>209.92</v>
      </c>
      <c r="J5522" s="1" t="str">
        <f aca="false">VLOOKUP(B5522,Customers!$A$2:$G$502,6,FALSE())</f>
        <v>Consumer</v>
      </c>
      <c r="K5522" s="1" t="str">
        <f aca="false">VLOOKUP(C5522,Products!$A$2:$E$62,3,FALSE())</f>
        <v>Office Supplies</v>
      </c>
      <c r="L5522" s="1" t="str">
        <f aca="false">TEXT(D5522,"yyyy-mm")</f>
        <v>2024-10</v>
      </c>
    </row>
    <row r="5523" customFormat="false" ht="15" hidden="false" customHeight="true" outlineLevel="0" collapsed="false">
      <c r="A5523" s="1" t="n">
        <v>5644</v>
      </c>
      <c r="B5523" s="1" t="n">
        <v>255</v>
      </c>
      <c r="C5523" s="1" t="n">
        <v>19</v>
      </c>
      <c r="D5523" s="1" t="s">
        <v>1399</v>
      </c>
      <c r="E5523" s="1" t="n">
        <v>6</v>
      </c>
      <c r="F5523" s="1" t="n">
        <v>163.64</v>
      </c>
      <c r="G5523" s="1" t="n">
        <v>0.2</v>
      </c>
      <c r="H5523" s="1" t="s">
        <v>1336</v>
      </c>
      <c r="I5523" s="1" t="n">
        <v>785.47</v>
      </c>
      <c r="J5523" s="1" t="str">
        <f aca="false">VLOOKUP(B5523,Customers!$A$2:$G$502,6,FALSE())</f>
        <v>Corporate</v>
      </c>
      <c r="K5523" s="1" t="str">
        <f aca="false">VLOOKUP(C5523,Products!$A$2:$E$62,3,FALSE())</f>
        <v>Office Supplies</v>
      </c>
      <c r="L5523" s="1" t="str">
        <f aca="false">TEXT(D5523,"yyyy-mm")</f>
        <v>2024-11</v>
      </c>
    </row>
    <row r="5524" customFormat="false" ht="15" hidden="false" customHeight="true" outlineLevel="0" collapsed="false">
      <c r="A5524" s="1" t="n">
        <v>5645</v>
      </c>
      <c r="B5524" s="1" t="n">
        <v>347</v>
      </c>
      <c r="C5524" s="1" t="n">
        <v>40</v>
      </c>
      <c r="D5524" s="1" t="s">
        <v>1446</v>
      </c>
      <c r="E5524" s="1" t="n">
        <v>1</v>
      </c>
      <c r="F5524" s="1" t="n">
        <v>193.02</v>
      </c>
      <c r="G5524" s="1" t="n">
        <v>0</v>
      </c>
      <c r="H5524" s="1" t="s">
        <v>1336</v>
      </c>
      <c r="I5524" s="1" t="n">
        <v>193.02</v>
      </c>
      <c r="J5524" s="1" t="str">
        <f aca="false">VLOOKUP(B5524,Customers!$A$2:$G$502,6,FALSE())</f>
        <v>Small Business</v>
      </c>
      <c r="K5524" s="1" t="str">
        <f aca="false">VLOOKUP(C5524,Products!$A$2:$E$62,3,FALSE())</f>
        <v>Software</v>
      </c>
      <c r="L5524" s="1" t="str">
        <f aca="false">TEXT(D5524,"yyyy-mm")</f>
        <v>2024-05</v>
      </c>
    </row>
    <row r="5525" customFormat="false" ht="15" hidden="false" customHeight="true" outlineLevel="0" collapsed="false">
      <c r="A5525" s="1" t="n">
        <v>5646</v>
      </c>
      <c r="B5525" s="1" t="n">
        <v>134</v>
      </c>
      <c r="C5525" s="1" t="n">
        <v>49</v>
      </c>
      <c r="D5525" s="1" t="s">
        <v>1511</v>
      </c>
      <c r="E5525" s="1" t="n">
        <v>8</v>
      </c>
      <c r="F5525" s="1" t="n">
        <v>325.17</v>
      </c>
      <c r="G5525" s="1" t="n">
        <v>0</v>
      </c>
      <c r="H5525" s="1" t="s">
        <v>1336</v>
      </c>
      <c r="I5525" s="1" t="n">
        <v>2601.36</v>
      </c>
      <c r="J5525" s="1" t="str">
        <f aca="false">VLOOKUP(B5525,Customers!$A$2:$G$502,6,FALSE())</f>
        <v>Corporate</v>
      </c>
      <c r="K5525" s="1" t="str">
        <f aca="false">VLOOKUP(C5525,Products!$A$2:$E$62,3,FALSE())</f>
        <v>Software</v>
      </c>
      <c r="L5525" s="1" t="str">
        <f aca="false">TEXT(D5525,"yyyy-mm")</f>
        <v>2023-07</v>
      </c>
    </row>
    <row r="5526" customFormat="false" ht="15" hidden="false" customHeight="true" outlineLevel="0" collapsed="false">
      <c r="A5526" s="1" t="n">
        <v>5647</v>
      </c>
      <c r="B5526" s="1" t="n">
        <v>309</v>
      </c>
      <c r="C5526" s="1" t="n">
        <v>13</v>
      </c>
      <c r="D5526" s="1" t="s">
        <v>578</v>
      </c>
      <c r="E5526" s="1" t="n">
        <v>2</v>
      </c>
      <c r="F5526" s="1" t="n">
        <v>352.54</v>
      </c>
      <c r="G5526" s="1" t="n">
        <v>0</v>
      </c>
      <c r="H5526" s="1" t="s">
        <v>1336</v>
      </c>
      <c r="I5526" s="1" t="n">
        <v>705.08</v>
      </c>
      <c r="J5526" s="1" t="str">
        <f aca="false">VLOOKUP(B5526,Customers!$A$2:$G$502,6,FALSE())</f>
        <v>Unknown</v>
      </c>
      <c r="K5526" s="1" t="str">
        <f aca="false">VLOOKUP(C5526,Products!$A$2:$E$62,3,FALSE())</f>
        <v>Electronics</v>
      </c>
      <c r="L5526" s="1" t="str">
        <f aca="false">TEXT(D5526,"yyyy-mm")</f>
        <v>2023-04</v>
      </c>
    </row>
    <row r="5527" customFormat="false" ht="15" hidden="false" customHeight="true" outlineLevel="0" collapsed="false">
      <c r="A5527" s="1" t="n">
        <v>5648</v>
      </c>
      <c r="B5527" s="1" t="n">
        <v>401</v>
      </c>
      <c r="C5527" s="1" t="n">
        <v>52</v>
      </c>
      <c r="D5527" s="1" t="s">
        <v>356</v>
      </c>
      <c r="E5527" s="1" t="n">
        <v>5</v>
      </c>
      <c r="F5527" s="1" t="n">
        <v>207.67</v>
      </c>
      <c r="G5527" s="1" t="n">
        <v>0.1</v>
      </c>
      <c r="H5527" s="1" t="s">
        <v>1336</v>
      </c>
      <c r="I5527" s="1" t="n">
        <v>934.52</v>
      </c>
      <c r="J5527" s="1" t="str">
        <f aca="false">VLOOKUP(B5527,Customers!$A$2:$G$502,6,FALSE())</f>
        <v>Consumer</v>
      </c>
      <c r="K5527" s="1" t="str">
        <f aca="false">VLOOKUP(C5527,Products!$A$2:$E$62,3,FALSE())</f>
        <v>Software</v>
      </c>
      <c r="L5527" s="1" t="str">
        <f aca="false">TEXT(D5527,"yyyy-mm")</f>
        <v>2023-04</v>
      </c>
    </row>
    <row r="5528" customFormat="false" ht="15" hidden="false" customHeight="true" outlineLevel="0" collapsed="false">
      <c r="A5528" s="1" t="n">
        <v>5649</v>
      </c>
      <c r="B5528" s="1" t="n">
        <v>295</v>
      </c>
      <c r="C5528" s="1" t="n">
        <v>49</v>
      </c>
      <c r="D5528" s="1" t="s">
        <v>103</v>
      </c>
      <c r="E5528" s="1" t="n">
        <v>9</v>
      </c>
      <c r="F5528" s="1" t="n">
        <v>325.17</v>
      </c>
      <c r="G5528" s="1" t="n">
        <v>0.05</v>
      </c>
      <c r="H5528" s="1" t="s">
        <v>1336</v>
      </c>
      <c r="I5528" s="1" t="n">
        <v>2780.2</v>
      </c>
      <c r="J5528" s="1" t="str">
        <f aca="false">VLOOKUP(B5528,Customers!$A$2:$G$502,6,FALSE())</f>
        <v>Small Business</v>
      </c>
      <c r="K5528" s="1" t="str">
        <f aca="false">VLOOKUP(C5528,Products!$A$2:$E$62,3,FALSE())</f>
        <v>Software</v>
      </c>
      <c r="L5528" s="1" t="str">
        <f aca="false">TEXT(D5528,"yyyy-mm")</f>
        <v>2024-10</v>
      </c>
    </row>
    <row r="5529" customFormat="false" ht="15" hidden="false" customHeight="true" outlineLevel="0" collapsed="false">
      <c r="A5529" s="1" t="n">
        <v>5650</v>
      </c>
      <c r="B5529" s="1" t="n">
        <v>495</v>
      </c>
      <c r="C5529" s="1" t="n">
        <v>37</v>
      </c>
      <c r="D5529" s="1" t="s">
        <v>1523</v>
      </c>
      <c r="E5529" s="1" t="n">
        <v>8</v>
      </c>
      <c r="F5529" s="1" t="n">
        <v>13.95</v>
      </c>
      <c r="G5529" s="1" t="n">
        <v>0.2</v>
      </c>
      <c r="H5529" s="1" t="s">
        <v>1336</v>
      </c>
      <c r="I5529" s="1" t="n">
        <v>89.28</v>
      </c>
      <c r="J5529" s="1" t="str">
        <f aca="false">VLOOKUP(B5529,Customers!$A$2:$G$502,6,FALSE())</f>
        <v>Small Business</v>
      </c>
      <c r="K5529" s="1" t="str">
        <f aca="false">VLOOKUP(C5529,Products!$A$2:$E$62,3,FALSE())</f>
        <v>Software</v>
      </c>
      <c r="L5529" s="1" t="str">
        <f aca="false">TEXT(D5529,"yyyy-mm")</f>
        <v>2023-05</v>
      </c>
    </row>
    <row r="5530" customFormat="false" ht="15" hidden="false" customHeight="true" outlineLevel="0" collapsed="false">
      <c r="A5530" s="1" t="n">
        <v>5651</v>
      </c>
      <c r="B5530" s="1" t="n">
        <v>438</v>
      </c>
      <c r="C5530" s="1" t="n">
        <v>60</v>
      </c>
      <c r="D5530" s="1" t="s">
        <v>1537</v>
      </c>
      <c r="E5530" s="1" t="n">
        <v>2</v>
      </c>
      <c r="F5530" s="1" t="n">
        <v>584.98</v>
      </c>
      <c r="G5530" s="1" t="n">
        <v>0</v>
      </c>
      <c r="H5530" s="1" t="s">
        <v>1336</v>
      </c>
      <c r="I5530" s="1" t="n">
        <v>1169.96</v>
      </c>
      <c r="J5530" s="1" t="str">
        <f aca="false">VLOOKUP(B5530,Customers!$A$2:$G$502,6,FALSE())</f>
        <v>Consumer</v>
      </c>
      <c r="K5530" s="1" t="str">
        <f aca="false">VLOOKUP(C5530,Products!$A$2:$E$62,3,FALSE())</f>
        <v>Furniture</v>
      </c>
      <c r="L5530" s="1" t="str">
        <f aca="false">TEXT(D5530,"yyyy-mm")</f>
        <v>2023-08</v>
      </c>
    </row>
    <row r="5531" customFormat="false" ht="15" hidden="false" customHeight="true" outlineLevel="0" collapsed="false">
      <c r="A5531" s="1" t="n">
        <v>5652</v>
      </c>
      <c r="B5531" s="1" t="n">
        <v>165</v>
      </c>
      <c r="C5531" s="1" t="n">
        <v>44</v>
      </c>
      <c r="D5531" s="1" t="s">
        <v>381</v>
      </c>
      <c r="E5531" s="1" t="n">
        <v>9</v>
      </c>
      <c r="F5531" s="1" t="n">
        <v>508.26</v>
      </c>
      <c r="G5531" s="1" t="n">
        <v>0.1</v>
      </c>
      <c r="H5531" s="1" t="s">
        <v>1336</v>
      </c>
      <c r="I5531" s="1" t="n">
        <v>4116.91</v>
      </c>
      <c r="J5531" s="1" t="str">
        <f aca="false">VLOOKUP(B5531,Customers!$A$2:$G$502,6,FALSE())</f>
        <v>Consumer</v>
      </c>
      <c r="K5531" s="1" t="str">
        <f aca="false">VLOOKUP(C5531,Products!$A$2:$E$62,3,FALSE())</f>
        <v>Software</v>
      </c>
      <c r="L5531" s="1" t="str">
        <f aca="false">TEXT(D5531,"yyyy-mm")</f>
        <v>2023-04</v>
      </c>
    </row>
    <row r="5532" customFormat="false" ht="15" hidden="false" customHeight="true" outlineLevel="0" collapsed="false">
      <c r="A5532" s="1" t="n">
        <v>5653</v>
      </c>
      <c r="B5532" s="1" t="n">
        <v>481</v>
      </c>
      <c r="C5532" s="1" t="n">
        <v>13</v>
      </c>
      <c r="D5532" s="1" t="s">
        <v>1419</v>
      </c>
      <c r="E5532" s="1" t="n">
        <v>5</v>
      </c>
      <c r="F5532" s="1" t="n">
        <v>352.54</v>
      </c>
      <c r="G5532" s="1" t="n">
        <v>0.15</v>
      </c>
      <c r="H5532" s="1" t="s">
        <v>1336</v>
      </c>
      <c r="I5532" s="1" t="n">
        <v>1498.3</v>
      </c>
      <c r="J5532" s="1" t="str">
        <f aca="false">VLOOKUP(B5532,Customers!$A$2:$G$502,6,FALSE())</f>
        <v>Small Business</v>
      </c>
      <c r="K5532" s="1" t="str">
        <f aca="false">VLOOKUP(C5532,Products!$A$2:$E$62,3,FALSE())</f>
        <v>Electronics</v>
      </c>
      <c r="L5532" s="1" t="str">
        <f aca="false">TEXT(D5532,"yyyy-mm")</f>
        <v>2023-04</v>
      </c>
    </row>
    <row r="5533" customFormat="false" ht="15" hidden="false" customHeight="true" outlineLevel="0" collapsed="false">
      <c r="A5533" s="1" t="n">
        <v>5654</v>
      </c>
      <c r="B5533" s="1" t="n">
        <v>297</v>
      </c>
      <c r="C5533" s="1" t="n">
        <v>7</v>
      </c>
      <c r="D5533" s="1" t="s">
        <v>1614</v>
      </c>
      <c r="E5533" s="1" t="n">
        <v>6</v>
      </c>
      <c r="F5533" s="1" t="n">
        <v>460</v>
      </c>
      <c r="G5533" s="1" t="n">
        <v>0</v>
      </c>
      <c r="H5533" s="1" t="s">
        <v>1336</v>
      </c>
      <c r="I5533" s="1" t="n">
        <v>2760</v>
      </c>
      <c r="J5533" s="1" t="str">
        <f aca="false">VLOOKUP(B5533,Customers!$A$2:$G$502,6,FALSE())</f>
        <v>Corporate</v>
      </c>
      <c r="K5533" s="1" t="str">
        <f aca="false">VLOOKUP(C5533,Products!$A$2:$E$62,3,FALSE())</f>
        <v>Electronics</v>
      </c>
      <c r="L5533" s="1" t="str">
        <f aca="false">TEXT(D5533,"yyyy-mm")</f>
        <v>2023-10</v>
      </c>
    </row>
    <row r="5534" customFormat="false" ht="15" hidden="false" customHeight="true" outlineLevel="0" collapsed="false">
      <c r="A5534" s="1" t="n">
        <v>5655</v>
      </c>
      <c r="B5534" s="1" t="n">
        <v>318</v>
      </c>
      <c r="C5534" s="1" t="n">
        <v>27</v>
      </c>
      <c r="D5534" s="1" t="s">
        <v>1486</v>
      </c>
      <c r="E5534" s="1" t="n">
        <v>3</v>
      </c>
      <c r="F5534" s="1" t="n">
        <v>772.58</v>
      </c>
      <c r="G5534" s="1" t="n">
        <v>0</v>
      </c>
      <c r="H5534" s="1" t="s">
        <v>1336</v>
      </c>
      <c r="I5534" s="1" t="n">
        <v>2317.74</v>
      </c>
      <c r="J5534" s="1" t="str">
        <f aca="false">VLOOKUP(B5534,Customers!$A$2:$G$502,6,FALSE())</f>
        <v>Consumer</v>
      </c>
      <c r="K5534" s="1" t="str">
        <f aca="false">VLOOKUP(C5534,Products!$A$2:$E$62,3,FALSE())</f>
        <v>Office Supplies</v>
      </c>
      <c r="L5534" s="1" t="str">
        <f aca="false">TEXT(D5534,"yyyy-mm")</f>
        <v>2024-02</v>
      </c>
    </row>
    <row r="5535" customFormat="false" ht="15" hidden="false" customHeight="true" outlineLevel="0" collapsed="false">
      <c r="A5535" s="1" t="n">
        <v>5656</v>
      </c>
      <c r="B5535" s="1" t="n">
        <v>171</v>
      </c>
      <c r="C5535" s="1" t="n">
        <v>4</v>
      </c>
      <c r="D5535" s="1" t="s">
        <v>1691</v>
      </c>
      <c r="E5535" s="1" t="n">
        <v>3</v>
      </c>
      <c r="F5535" s="1" t="n">
        <v>56.24</v>
      </c>
      <c r="G5535" s="1" t="n">
        <v>0</v>
      </c>
      <c r="H5535" s="1" t="s">
        <v>1336</v>
      </c>
      <c r="I5535" s="1" t="n">
        <v>168.72</v>
      </c>
      <c r="J5535" s="1" t="str">
        <f aca="false">VLOOKUP(B5535,Customers!$A$2:$G$502,6,FALSE())</f>
        <v>Small Business</v>
      </c>
      <c r="K5535" s="1" t="str">
        <f aca="false">VLOOKUP(C5535,Products!$A$2:$E$62,3,FALSE())</f>
        <v>Electronics</v>
      </c>
      <c r="L5535" s="1" t="str">
        <f aca="false">TEXT(D5535,"yyyy-mm")</f>
        <v>2023-10</v>
      </c>
    </row>
    <row r="5536" customFormat="false" ht="15" hidden="false" customHeight="true" outlineLevel="0" collapsed="false">
      <c r="A5536" s="1" t="n">
        <v>5657</v>
      </c>
      <c r="B5536" s="1" t="n">
        <v>201</v>
      </c>
      <c r="C5536" s="1" t="n">
        <v>42</v>
      </c>
      <c r="D5536" s="1" t="s">
        <v>1487</v>
      </c>
      <c r="E5536" s="1" t="n">
        <v>8</v>
      </c>
      <c r="F5536" s="1" t="n">
        <v>174.48</v>
      </c>
      <c r="G5536" s="1" t="n">
        <v>0</v>
      </c>
      <c r="H5536" s="1" t="s">
        <v>1336</v>
      </c>
      <c r="I5536" s="1" t="n">
        <v>1395.84</v>
      </c>
      <c r="J5536" s="1" t="str">
        <f aca="false">VLOOKUP(B5536,Customers!$A$2:$G$502,6,FALSE())</f>
        <v>Corporate</v>
      </c>
      <c r="K5536" s="1" t="str">
        <f aca="false">VLOOKUP(C5536,Products!$A$2:$E$62,3,FALSE())</f>
        <v>Software</v>
      </c>
      <c r="L5536" s="1" t="str">
        <f aca="false">TEXT(D5536,"yyyy-mm")</f>
        <v>2024-01</v>
      </c>
    </row>
    <row r="5537" customFormat="false" ht="15" hidden="false" customHeight="true" outlineLevel="0" collapsed="false">
      <c r="A5537" s="1" t="n">
        <v>5658</v>
      </c>
      <c r="B5537" s="1" t="n">
        <v>329</v>
      </c>
      <c r="C5537" s="1" t="n">
        <v>55</v>
      </c>
      <c r="D5537" s="1" t="s">
        <v>1629</v>
      </c>
      <c r="E5537" s="1" t="n">
        <v>2</v>
      </c>
      <c r="F5537" s="1" t="n">
        <v>123.38</v>
      </c>
      <c r="G5537" s="1" t="n">
        <v>0</v>
      </c>
      <c r="H5537" s="1" t="s">
        <v>1336</v>
      </c>
      <c r="I5537" s="1" t="n">
        <v>246.76</v>
      </c>
      <c r="J5537" s="1" t="str">
        <f aca="false">VLOOKUP(B5537,Customers!$A$2:$G$502,6,FALSE())</f>
        <v>Consumer</v>
      </c>
      <c r="K5537" s="1" t="str">
        <f aca="false">VLOOKUP(C5537,Products!$A$2:$E$62,3,FALSE())</f>
        <v>Furniture</v>
      </c>
      <c r="L5537" s="1" t="str">
        <f aca="false">TEXT(D5537,"yyyy-mm")</f>
        <v>2024-02</v>
      </c>
    </row>
    <row r="5538" customFormat="false" ht="15" hidden="false" customHeight="true" outlineLevel="0" collapsed="false">
      <c r="A5538" s="1" t="n">
        <v>5659</v>
      </c>
      <c r="B5538" s="1" t="n">
        <v>245</v>
      </c>
      <c r="C5538" s="1" t="n">
        <v>31</v>
      </c>
      <c r="D5538" s="1" t="s">
        <v>1420</v>
      </c>
      <c r="E5538" s="1" t="n">
        <v>2</v>
      </c>
      <c r="F5538" s="1" t="n">
        <v>224.86</v>
      </c>
      <c r="G5538" s="1" t="n">
        <v>0</v>
      </c>
      <c r="H5538" s="1" t="s">
        <v>1336</v>
      </c>
      <c r="I5538" s="1" t="n">
        <v>449.72</v>
      </c>
      <c r="J5538" s="1" t="str">
        <f aca="false">VLOOKUP(B5538,Customers!$A$2:$G$502,6,FALSE())</f>
        <v>Consumer</v>
      </c>
      <c r="K5538" s="1" t="str">
        <f aca="false">VLOOKUP(C5538,Products!$A$2:$E$62,3,FALSE())</f>
        <v>Office Supplies</v>
      </c>
      <c r="L5538" s="1" t="str">
        <f aca="false">TEXT(D5538,"yyyy-mm")</f>
        <v>2023-11</v>
      </c>
    </row>
    <row r="5539" customFormat="false" ht="15" hidden="false" customHeight="true" outlineLevel="0" collapsed="false">
      <c r="A5539" s="1" t="n">
        <v>5660</v>
      </c>
      <c r="B5539" s="1" t="n">
        <v>11</v>
      </c>
      <c r="C5539" s="1" t="n">
        <v>51</v>
      </c>
      <c r="D5539" s="1" t="s">
        <v>1553</v>
      </c>
      <c r="E5539" s="1" t="n">
        <v>5</v>
      </c>
      <c r="F5539" s="1" t="n">
        <v>30.16</v>
      </c>
      <c r="G5539" s="1" t="n">
        <v>0</v>
      </c>
      <c r="H5539" s="1" t="s">
        <v>1336</v>
      </c>
      <c r="I5539" s="1" t="n">
        <v>150.8</v>
      </c>
      <c r="J5539" s="1" t="str">
        <f aca="false">VLOOKUP(B5539,Customers!$A$2:$G$502,6,FALSE())</f>
        <v>Consumer</v>
      </c>
      <c r="K5539" s="1" t="str">
        <f aca="false">VLOOKUP(C5539,Products!$A$2:$E$62,3,FALSE())</f>
        <v>Software</v>
      </c>
      <c r="L5539" s="1" t="str">
        <f aca="false">TEXT(D5539,"yyyy-mm")</f>
        <v>2023-06</v>
      </c>
    </row>
    <row r="5540" customFormat="false" ht="15" hidden="false" customHeight="true" outlineLevel="0" collapsed="false">
      <c r="A5540" s="1" t="n">
        <v>5661</v>
      </c>
      <c r="B5540" s="1" t="n">
        <v>390</v>
      </c>
      <c r="C5540" s="1" t="n">
        <v>45</v>
      </c>
      <c r="D5540" s="1" t="s">
        <v>1472</v>
      </c>
      <c r="E5540" s="1" t="n">
        <v>6</v>
      </c>
      <c r="F5540" s="1" t="n">
        <v>560.01</v>
      </c>
      <c r="G5540" s="1" t="n">
        <v>0</v>
      </c>
      <c r="H5540" s="1" t="s">
        <v>1336</v>
      </c>
      <c r="I5540" s="1" t="n">
        <v>3360.06</v>
      </c>
      <c r="J5540" s="1" t="str">
        <f aca="false">VLOOKUP(B5540,Customers!$A$2:$G$502,6,FALSE())</f>
        <v>Small Business</v>
      </c>
      <c r="K5540" s="1" t="str">
        <f aca="false">VLOOKUP(C5540,Products!$A$2:$E$62,3,FALSE())</f>
        <v>Software</v>
      </c>
      <c r="L5540" s="1" t="str">
        <f aca="false">TEXT(D5540,"yyyy-mm")</f>
        <v>2023-07</v>
      </c>
    </row>
    <row r="5541" customFormat="false" ht="15" hidden="false" customHeight="true" outlineLevel="0" collapsed="false">
      <c r="A5541" s="1" t="n">
        <v>5662</v>
      </c>
      <c r="B5541" s="1" t="n">
        <v>51</v>
      </c>
      <c r="C5541" s="1" t="n">
        <v>54</v>
      </c>
      <c r="D5541" s="1" t="s">
        <v>841</v>
      </c>
      <c r="E5541" s="1" t="n">
        <v>2</v>
      </c>
      <c r="F5541" s="1" t="n">
        <v>312.01</v>
      </c>
      <c r="G5541" s="1" t="n">
        <v>0.2</v>
      </c>
      <c r="H5541" s="1" t="s">
        <v>1336</v>
      </c>
      <c r="I5541" s="1" t="n">
        <v>499.22</v>
      </c>
      <c r="J5541" s="1" t="str">
        <f aca="false">VLOOKUP(B5541,Customers!$A$2:$G$502,6,FALSE())</f>
        <v>Corporate</v>
      </c>
      <c r="K5541" s="1" t="str">
        <f aca="false">VLOOKUP(C5541,Products!$A$2:$E$62,3,FALSE())</f>
        <v>Software</v>
      </c>
      <c r="L5541" s="1" t="str">
        <f aca="false">TEXT(D5541,"yyyy-mm")</f>
        <v>2024-01</v>
      </c>
    </row>
    <row r="5542" customFormat="false" ht="15" hidden="false" customHeight="true" outlineLevel="0" collapsed="false">
      <c r="A5542" s="1" t="n">
        <v>5663</v>
      </c>
      <c r="B5542" s="1" t="n">
        <v>428</v>
      </c>
      <c r="C5542" s="1" t="n">
        <v>51</v>
      </c>
      <c r="D5542" s="1" t="s">
        <v>890</v>
      </c>
      <c r="E5542" s="1" t="n">
        <v>5</v>
      </c>
      <c r="F5542" s="1" t="n">
        <v>30.16</v>
      </c>
      <c r="G5542" s="1" t="n">
        <v>0</v>
      </c>
      <c r="H5542" s="1" t="s">
        <v>1336</v>
      </c>
      <c r="I5542" s="1" t="n">
        <v>150.8</v>
      </c>
      <c r="J5542" s="1" t="str">
        <f aca="false">VLOOKUP(B5542,Customers!$A$2:$G$502,6,FALSE())</f>
        <v>Corporate</v>
      </c>
      <c r="K5542" s="1" t="str">
        <f aca="false">VLOOKUP(C5542,Products!$A$2:$E$62,3,FALSE())</f>
        <v>Software</v>
      </c>
      <c r="L5542" s="1" t="str">
        <f aca="false">TEXT(D5542,"yyyy-mm")</f>
        <v>2023-01</v>
      </c>
    </row>
    <row r="5543" customFormat="false" ht="15" hidden="false" customHeight="true" outlineLevel="0" collapsed="false">
      <c r="A5543" s="1" t="n">
        <v>5664</v>
      </c>
      <c r="B5543" s="1" t="n">
        <v>1</v>
      </c>
      <c r="C5543" s="1" t="n">
        <v>32</v>
      </c>
      <c r="D5543" s="1" t="s">
        <v>303</v>
      </c>
      <c r="E5543" s="1" t="n">
        <v>7</v>
      </c>
      <c r="F5543" s="1" t="n">
        <v>492.27</v>
      </c>
      <c r="G5543" s="1" t="n">
        <v>0.1</v>
      </c>
      <c r="H5543" s="1" t="s">
        <v>1336</v>
      </c>
      <c r="I5543" s="1" t="n">
        <v>3101.3</v>
      </c>
      <c r="J5543" s="1" t="str">
        <f aca="false">VLOOKUP(B5543,Customers!$A$2:$G$502,6,FALSE())</f>
        <v>Consumer</v>
      </c>
      <c r="K5543" s="1" t="str">
        <f aca="false">VLOOKUP(C5543,Products!$A$2:$E$62,3,FALSE())</f>
        <v>Office Supplies</v>
      </c>
      <c r="L5543" s="1" t="str">
        <f aca="false">TEXT(D5543,"yyyy-mm")</f>
        <v>2024-12</v>
      </c>
    </row>
    <row r="5544" customFormat="false" ht="15" hidden="false" customHeight="true" outlineLevel="0" collapsed="false">
      <c r="A5544" s="1" t="n">
        <v>5665</v>
      </c>
      <c r="B5544" s="1" t="n">
        <v>32</v>
      </c>
      <c r="C5544" s="1" t="n">
        <v>60</v>
      </c>
      <c r="D5544" s="1" t="s">
        <v>435</v>
      </c>
      <c r="E5544" s="1" t="n">
        <v>8</v>
      </c>
      <c r="F5544" s="1" t="n">
        <v>584.98</v>
      </c>
      <c r="G5544" s="1" t="n">
        <v>0.2</v>
      </c>
      <c r="H5544" s="1" t="s">
        <v>1336</v>
      </c>
      <c r="I5544" s="1" t="n">
        <v>3743.87</v>
      </c>
      <c r="J5544" s="1" t="str">
        <f aca="false">VLOOKUP(B5544,Customers!$A$2:$G$502,6,FALSE())</f>
        <v>Small Business</v>
      </c>
      <c r="K5544" s="1" t="str">
        <f aca="false">VLOOKUP(C5544,Products!$A$2:$E$62,3,FALSE())</f>
        <v>Furniture</v>
      </c>
      <c r="L5544" s="1" t="str">
        <f aca="false">TEXT(D5544,"yyyy-mm")</f>
        <v>2024-08</v>
      </c>
    </row>
    <row r="5545" customFormat="false" ht="15" hidden="false" customHeight="true" outlineLevel="0" collapsed="false">
      <c r="A5545" s="1" t="n">
        <v>5666</v>
      </c>
      <c r="B5545" s="1" t="n">
        <v>440</v>
      </c>
      <c r="C5545" s="1" t="n">
        <v>54</v>
      </c>
      <c r="D5545" s="1" t="s">
        <v>1634</v>
      </c>
      <c r="E5545" s="1" t="n">
        <v>7</v>
      </c>
      <c r="F5545" s="1" t="n">
        <v>312.01</v>
      </c>
      <c r="G5545" s="1" t="n">
        <v>0.05</v>
      </c>
      <c r="H5545" s="1" t="s">
        <v>1336</v>
      </c>
      <c r="I5545" s="1" t="n">
        <v>2074.87</v>
      </c>
      <c r="J5545" s="1" t="str">
        <f aca="false">VLOOKUP(B5545,Customers!$A$2:$G$502,6,FALSE())</f>
        <v>Small Business</v>
      </c>
      <c r="K5545" s="1" t="str">
        <f aca="false">VLOOKUP(C5545,Products!$A$2:$E$62,3,FALSE())</f>
        <v>Software</v>
      </c>
      <c r="L5545" s="1" t="str">
        <f aca="false">TEXT(D5545,"yyyy-mm")</f>
        <v>2023-02</v>
      </c>
    </row>
    <row r="5546" customFormat="false" ht="15" hidden="false" customHeight="true" outlineLevel="0" collapsed="false">
      <c r="A5546" s="1" t="n">
        <v>5667</v>
      </c>
      <c r="B5546" s="1" t="n">
        <v>446</v>
      </c>
      <c r="C5546" s="1" t="n">
        <v>30</v>
      </c>
      <c r="D5546" s="1" t="s">
        <v>692</v>
      </c>
      <c r="E5546" s="1" t="n">
        <v>8</v>
      </c>
      <c r="F5546" s="1" t="n">
        <v>33.32</v>
      </c>
      <c r="G5546" s="1" t="n">
        <v>0</v>
      </c>
      <c r="H5546" s="1" t="s">
        <v>1336</v>
      </c>
      <c r="I5546" s="1" t="n">
        <v>266.56</v>
      </c>
      <c r="J5546" s="1" t="str">
        <f aca="false">VLOOKUP(B5546,Customers!$A$2:$G$502,6,FALSE())</f>
        <v>Small Business</v>
      </c>
      <c r="K5546" s="1" t="str">
        <f aca="false">VLOOKUP(C5546,Products!$A$2:$E$62,3,FALSE())</f>
        <v>Office Supplies</v>
      </c>
      <c r="L5546" s="1" t="str">
        <f aca="false">TEXT(D5546,"yyyy-mm")</f>
        <v>2023-03</v>
      </c>
    </row>
    <row r="5547" customFormat="false" ht="15" hidden="false" customHeight="true" outlineLevel="0" collapsed="false">
      <c r="A5547" s="1" t="n">
        <v>5668</v>
      </c>
      <c r="B5547" s="1" t="n">
        <v>294</v>
      </c>
      <c r="C5547" s="1" t="n">
        <v>41</v>
      </c>
      <c r="D5547" s="1" t="s">
        <v>1554</v>
      </c>
      <c r="E5547" s="1" t="n">
        <v>9</v>
      </c>
      <c r="F5547" s="1" t="n">
        <v>594.54</v>
      </c>
      <c r="G5547" s="1" t="n">
        <v>0.05</v>
      </c>
      <c r="H5547" s="1" t="s">
        <v>1336</v>
      </c>
      <c r="I5547" s="1" t="n">
        <v>5083.32</v>
      </c>
      <c r="J5547" s="1" t="str">
        <f aca="false">VLOOKUP(B5547,Customers!$A$2:$G$502,6,FALSE())</f>
        <v>Consumer</v>
      </c>
      <c r="K5547" s="1" t="str">
        <f aca="false">VLOOKUP(C5547,Products!$A$2:$E$62,3,FALSE())</f>
        <v>Software</v>
      </c>
      <c r="L5547" s="1" t="str">
        <f aca="false">TEXT(D5547,"yyyy-mm")</f>
        <v>2024-11</v>
      </c>
    </row>
    <row r="5548" customFormat="false" ht="15" hidden="false" customHeight="true" outlineLevel="0" collapsed="false">
      <c r="A5548" s="1" t="n">
        <v>5669</v>
      </c>
      <c r="B5548" s="1" t="n">
        <v>146</v>
      </c>
      <c r="C5548" s="1" t="n">
        <v>27</v>
      </c>
      <c r="D5548" s="1" t="s">
        <v>191</v>
      </c>
      <c r="E5548" s="1" t="n">
        <v>5</v>
      </c>
      <c r="F5548" s="1" t="n">
        <v>772.58</v>
      </c>
      <c r="G5548" s="1" t="n">
        <v>0</v>
      </c>
      <c r="H5548" s="1" t="s">
        <v>1336</v>
      </c>
      <c r="I5548" s="1" t="n">
        <v>3862.9</v>
      </c>
      <c r="J5548" s="1" t="str">
        <f aca="false">VLOOKUP(B5548,Customers!$A$2:$G$502,6,FALSE())</f>
        <v>Consumer</v>
      </c>
      <c r="K5548" s="1" t="str">
        <f aca="false">VLOOKUP(C5548,Products!$A$2:$E$62,3,FALSE())</f>
        <v>Office Supplies</v>
      </c>
      <c r="L5548" s="1" t="str">
        <f aca="false">TEXT(D5548,"yyyy-mm")</f>
        <v>2024-03</v>
      </c>
    </row>
    <row r="5549" customFormat="false" ht="15" hidden="false" customHeight="true" outlineLevel="0" collapsed="false">
      <c r="A5549" s="1" t="n">
        <v>5670</v>
      </c>
      <c r="B5549" s="1" t="n">
        <v>139</v>
      </c>
      <c r="C5549" s="1" t="n">
        <v>40</v>
      </c>
      <c r="D5549" s="1" t="s">
        <v>1501</v>
      </c>
      <c r="E5549" s="1" t="n">
        <v>5</v>
      </c>
      <c r="F5549" s="1" t="n">
        <v>193.02</v>
      </c>
      <c r="G5549" s="1" t="n">
        <v>0.2</v>
      </c>
      <c r="H5549" s="1" t="s">
        <v>1336</v>
      </c>
      <c r="I5549" s="1" t="n">
        <v>772.08</v>
      </c>
      <c r="J5549" s="1" t="str">
        <f aca="false">VLOOKUP(B5549,Customers!$A$2:$G$502,6,FALSE())</f>
        <v>Consumer</v>
      </c>
      <c r="K5549" s="1" t="str">
        <f aca="false">VLOOKUP(C5549,Products!$A$2:$E$62,3,FALSE())</f>
        <v>Software</v>
      </c>
      <c r="L5549" s="1" t="str">
        <f aca="false">TEXT(D5549,"yyyy-mm")</f>
        <v>2024-03</v>
      </c>
    </row>
    <row r="5550" customFormat="false" ht="15" hidden="false" customHeight="true" outlineLevel="0" collapsed="false">
      <c r="A5550" s="1" t="n">
        <v>5671</v>
      </c>
      <c r="B5550" s="1" t="n">
        <v>113</v>
      </c>
      <c r="C5550" s="1" t="n">
        <v>2</v>
      </c>
      <c r="D5550" s="1" t="s">
        <v>704</v>
      </c>
      <c r="E5550" s="1" t="n">
        <v>4</v>
      </c>
      <c r="F5550" s="1" t="n">
        <v>498.15</v>
      </c>
      <c r="G5550" s="1" t="n">
        <v>0.15</v>
      </c>
      <c r="H5550" s="1" t="s">
        <v>1336</v>
      </c>
      <c r="I5550" s="1" t="n">
        <v>1693.71</v>
      </c>
      <c r="J5550" s="1" t="str">
        <f aca="false">VLOOKUP(B5550,Customers!$A$2:$G$502,6,FALSE())</f>
        <v>Small Business</v>
      </c>
      <c r="K5550" s="1" t="str">
        <f aca="false">VLOOKUP(C5550,Products!$A$2:$E$62,3,FALSE())</f>
        <v>Electronics</v>
      </c>
      <c r="L5550" s="1" t="str">
        <f aca="false">TEXT(D5550,"yyyy-mm")</f>
        <v>2024-06</v>
      </c>
    </row>
    <row r="5551" customFormat="false" ht="15" hidden="false" customHeight="true" outlineLevel="0" collapsed="false">
      <c r="A5551" s="1" t="n">
        <v>5672</v>
      </c>
      <c r="B5551" s="1" t="n">
        <v>435</v>
      </c>
      <c r="C5551" s="1" t="n">
        <v>37</v>
      </c>
      <c r="D5551" s="1" t="s">
        <v>217</v>
      </c>
      <c r="E5551" s="1" t="n">
        <v>9</v>
      </c>
      <c r="F5551" s="1" t="n">
        <v>13.95</v>
      </c>
      <c r="G5551" s="1" t="n">
        <v>0.1</v>
      </c>
      <c r="H5551" s="1" t="s">
        <v>1346</v>
      </c>
      <c r="I5551" s="1" t="n">
        <v>113</v>
      </c>
      <c r="J5551" s="1" t="str">
        <f aca="false">VLOOKUP(B5551,Customers!$A$2:$G$502,6,FALSE())</f>
        <v>Unknown</v>
      </c>
      <c r="K5551" s="1" t="str">
        <f aca="false">VLOOKUP(C5551,Products!$A$2:$E$62,3,FALSE())</f>
        <v>Software</v>
      </c>
      <c r="L5551" s="1" t="str">
        <f aca="false">TEXT(D5551,"yyyy-mm")</f>
        <v>2024-07</v>
      </c>
    </row>
    <row r="5552" customFormat="false" ht="15" hidden="false" customHeight="true" outlineLevel="0" collapsed="false">
      <c r="A5552" s="1" t="n">
        <v>5673</v>
      </c>
      <c r="B5552" s="1" t="n">
        <v>319</v>
      </c>
      <c r="C5552" s="1" t="n">
        <v>26</v>
      </c>
      <c r="D5552" s="1" t="s">
        <v>1428</v>
      </c>
      <c r="E5552" s="1" t="n">
        <v>5</v>
      </c>
      <c r="F5552" s="1" t="n">
        <v>733.85</v>
      </c>
      <c r="G5552" s="1" t="n">
        <v>0.15</v>
      </c>
      <c r="H5552" s="1" t="s">
        <v>1336</v>
      </c>
      <c r="I5552" s="1" t="n">
        <v>3118.86</v>
      </c>
      <c r="J5552" s="1" t="str">
        <f aca="false">VLOOKUP(B5552,Customers!$A$2:$G$502,6,FALSE())</f>
        <v>Corporate</v>
      </c>
      <c r="K5552" s="1" t="str">
        <f aca="false">VLOOKUP(C5552,Products!$A$2:$E$62,3,FALSE())</f>
        <v>Office Supplies</v>
      </c>
      <c r="L5552" s="1" t="str">
        <f aca="false">TEXT(D5552,"yyyy-mm")</f>
        <v>2024-06</v>
      </c>
    </row>
    <row r="5553" customFormat="false" ht="15" hidden="false" customHeight="true" outlineLevel="0" collapsed="false">
      <c r="A5553" s="1" t="n">
        <v>5674</v>
      </c>
      <c r="B5553" s="1" t="n">
        <v>130</v>
      </c>
      <c r="C5553" s="1" t="n">
        <v>59</v>
      </c>
      <c r="D5553" s="1" t="s">
        <v>722</v>
      </c>
      <c r="E5553" s="1" t="n">
        <v>2</v>
      </c>
      <c r="F5553" s="1" t="n">
        <v>438.89</v>
      </c>
      <c r="G5553" s="1" t="n">
        <v>0</v>
      </c>
      <c r="H5553" s="1" t="s">
        <v>1346</v>
      </c>
      <c r="I5553" s="1" t="n">
        <v>877.78</v>
      </c>
      <c r="J5553" s="1" t="str">
        <f aca="false">VLOOKUP(B5553,Customers!$A$2:$G$502,6,FALSE())</f>
        <v>Consumer</v>
      </c>
      <c r="K5553" s="1" t="str">
        <f aca="false">VLOOKUP(C5553,Products!$A$2:$E$62,3,FALSE())</f>
        <v>Furniture</v>
      </c>
      <c r="L5553" s="1" t="str">
        <f aca="false">TEXT(D5553,"yyyy-mm")</f>
        <v>2024-05</v>
      </c>
    </row>
    <row r="5554" customFormat="false" ht="15" hidden="false" customHeight="true" outlineLevel="0" collapsed="false">
      <c r="A5554" s="1" t="n">
        <v>5675</v>
      </c>
      <c r="B5554" s="1" t="n">
        <v>292</v>
      </c>
      <c r="C5554" s="1" t="n">
        <v>46</v>
      </c>
      <c r="D5554" s="1" t="s">
        <v>975</v>
      </c>
      <c r="E5554" s="1" t="n">
        <v>8</v>
      </c>
      <c r="F5554" s="1" t="n">
        <v>94.92</v>
      </c>
      <c r="G5554" s="1" t="n">
        <v>0</v>
      </c>
      <c r="H5554" s="1" t="s">
        <v>1346</v>
      </c>
      <c r="I5554" s="1" t="n">
        <v>759.36</v>
      </c>
      <c r="J5554" s="1" t="str">
        <f aca="false">VLOOKUP(B5554,Customers!$A$2:$G$502,6,FALSE())</f>
        <v>Small Business</v>
      </c>
      <c r="K5554" s="1" t="str">
        <f aca="false">VLOOKUP(C5554,Products!$A$2:$E$62,3,FALSE())</f>
        <v>Software</v>
      </c>
      <c r="L5554" s="1" t="str">
        <f aca="false">TEXT(D5554,"yyyy-mm")</f>
        <v>2024-03</v>
      </c>
    </row>
    <row r="5555" customFormat="false" ht="15" hidden="false" customHeight="true" outlineLevel="0" collapsed="false">
      <c r="A5555" s="1" t="n">
        <v>5676</v>
      </c>
      <c r="B5555" s="1" t="n">
        <v>182</v>
      </c>
      <c r="C5555" s="1" t="n">
        <v>2</v>
      </c>
      <c r="D5555" s="1" t="s">
        <v>365</v>
      </c>
      <c r="E5555" s="1" t="n">
        <v>7</v>
      </c>
      <c r="F5555" s="1" t="n">
        <v>498.15</v>
      </c>
      <c r="G5555" s="1" t="n">
        <v>0.2</v>
      </c>
      <c r="H5555" s="1" t="s">
        <v>1370</v>
      </c>
      <c r="I5555" s="1" t="n">
        <v>2789.64</v>
      </c>
      <c r="J5555" s="1" t="str">
        <f aca="false">VLOOKUP(B5555,Customers!$A$2:$G$502,6,FALSE())</f>
        <v>Unknown</v>
      </c>
      <c r="K5555" s="1" t="str">
        <f aca="false">VLOOKUP(C5555,Products!$A$2:$E$62,3,FALSE())</f>
        <v>Electronics</v>
      </c>
      <c r="L5555" s="1" t="str">
        <f aca="false">TEXT(D5555,"yyyy-mm")</f>
        <v>2023-04</v>
      </c>
    </row>
    <row r="5556" customFormat="false" ht="15" hidden="false" customHeight="true" outlineLevel="0" collapsed="false">
      <c r="A5556" s="1" t="n">
        <v>5677</v>
      </c>
      <c r="B5556" s="1" t="n">
        <v>232</v>
      </c>
      <c r="C5556" s="1" t="n">
        <v>55</v>
      </c>
      <c r="D5556" s="1" t="s">
        <v>1553</v>
      </c>
      <c r="E5556" s="1" t="n">
        <v>8</v>
      </c>
      <c r="F5556" s="1" t="n">
        <v>123.38</v>
      </c>
      <c r="G5556" s="1" t="n">
        <v>0.15</v>
      </c>
      <c r="H5556" s="1" t="s">
        <v>1336</v>
      </c>
      <c r="I5556" s="1" t="n">
        <v>838.98</v>
      </c>
      <c r="J5556" s="1" t="str">
        <f aca="false">VLOOKUP(B5556,Customers!$A$2:$G$502,6,FALSE())</f>
        <v>Corporate</v>
      </c>
      <c r="K5556" s="1" t="str">
        <f aca="false">VLOOKUP(C5556,Products!$A$2:$E$62,3,FALSE())</f>
        <v>Furniture</v>
      </c>
      <c r="L5556" s="1" t="str">
        <f aca="false">TEXT(D5556,"yyyy-mm")</f>
        <v>2023-06</v>
      </c>
    </row>
    <row r="5557" customFormat="false" ht="15" hidden="false" customHeight="true" outlineLevel="0" collapsed="false">
      <c r="A5557" s="1" t="n">
        <v>5678</v>
      </c>
      <c r="B5557" s="1" t="n">
        <v>375</v>
      </c>
      <c r="C5557" s="1" t="n">
        <v>34</v>
      </c>
      <c r="D5557" s="1" t="s">
        <v>1001</v>
      </c>
      <c r="E5557" s="1" t="n">
        <v>3</v>
      </c>
      <c r="F5557" s="1" t="n">
        <v>116.85</v>
      </c>
      <c r="G5557" s="1" t="n">
        <v>0</v>
      </c>
      <c r="H5557" s="1" t="s">
        <v>1336</v>
      </c>
      <c r="I5557" s="1" t="n">
        <v>350.55</v>
      </c>
      <c r="J5557" s="1" t="str">
        <f aca="false">VLOOKUP(B5557,Customers!$A$2:$G$502,6,FALSE())</f>
        <v>Consumer</v>
      </c>
      <c r="K5557" s="1" t="str">
        <f aca="false">VLOOKUP(C5557,Products!$A$2:$E$62,3,FALSE())</f>
        <v>Office Supplies</v>
      </c>
      <c r="L5557" s="1" t="str">
        <f aca="false">TEXT(D5557,"yyyy-mm")</f>
        <v>2023-03</v>
      </c>
    </row>
    <row r="5558" customFormat="false" ht="15" hidden="false" customHeight="true" outlineLevel="0" collapsed="false">
      <c r="A5558" s="1" t="n">
        <v>5679</v>
      </c>
      <c r="B5558" s="1" t="n">
        <v>386</v>
      </c>
      <c r="C5558" s="1" t="n">
        <v>54</v>
      </c>
      <c r="D5558" s="1" t="s">
        <v>1403</v>
      </c>
      <c r="E5558" s="1" t="n">
        <v>4</v>
      </c>
      <c r="F5558" s="1" t="n">
        <v>312.01</v>
      </c>
      <c r="G5558" s="1" t="n">
        <v>0</v>
      </c>
      <c r="H5558" s="1" t="s">
        <v>1346</v>
      </c>
      <c r="I5558" s="1" t="n">
        <v>1248.04</v>
      </c>
      <c r="J5558" s="1" t="str">
        <f aca="false">VLOOKUP(B5558,Customers!$A$2:$G$502,6,FALSE())</f>
        <v>Consumer</v>
      </c>
      <c r="K5558" s="1" t="str">
        <f aca="false">VLOOKUP(C5558,Products!$A$2:$E$62,3,FALSE())</f>
        <v>Software</v>
      </c>
      <c r="L5558" s="1" t="str">
        <f aca="false">TEXT(D5558,"yyyy-mm")</f>
        <v>2024-02</v>
      </c>
    </row>
    <row r="5559" customFormat="false" ht="15" hidden="false" customHeight="true" outlineLevel="0" collapsed="false">
      <c r="A5559" s="1" t="n">
        <v>5680</v>
      </c>
      <c r="B5559" s="1" t="n">
        <v>61</v>
      </c>
      <c r="C5559" s="1" t="n">
        <v>42</v>
      </c>
      <c r="D5559" s="1" t="s">
        <v>626</v>
      </c>
      <c r="E5559" s="1" t="n">
        <v>5</v>
      </c>
      <c r="F5559" s="1" t="n">
        <v>174.48</v>
      </c>
      <c r="G5559" s="1" t="n">
        <v>0.05</v>
      </c>
      <c r="H5559" s="1" t="s">
        <v>1336</v>
      </c>
      <c r="I5559" s="1" t="n">
        <v>828.78</v>
      </c>
      <c r="J5559" s="1" t="str">
        <f aca="false">VLOOKUP(B5559,Customers!$A$2:$G$502,6,FALSE())</f>
        <v>Small Business</v>
      </c>
      <c r="K5559" s="1" t="str">
        <f aca="false">VLOOKUP(C5559,Products!$A$2:$E$62,3,FALSE())</f>
        <v>Software</v>
      </c>
      <c r="L5559" s="1" t="str">
        <f aca="false">TEXT(D5559,"yyyy-mm")</f>
        <v>2023-09</v>
      </c>
    </row>
    <row r="5560" customFormat="false" ht="15" hidden="false" customHeight="true" outlineLevel="0" collapsed="false">
      <c r="A5560" s="1" t="n">
        <v>5681</v>
      </c>
      <c r="B5560" s="1" t="n">
        <v>328</v>
      </c>
      <c r="C5560" s="1" t="n">
        <v>11</v>
      </c>
      <c r="D5560" s="1" t="s">
        <v>179</v>
      </c>
      <c r="E5560" s="1" t="n">
        <v>6</v>
      </c>
      <c r="F5560" s="1" t="n">
        <v>328.39</v>
      </c>
      <c r="G5560" s="1" t="n">
        <v>0.2</v>
      </c>
      <c r="H5560" s="1" t="s">
        <v>1336</v>
      </c>
      <c r="I5560" s="1" t="n">
        <v>1576.27</v>
      </c>
      <c r="J5560" s="1" t="str">
        <f aca="false">VLOOKUP(B5560,Customers!$A$2:$G$502,6,FALSE())</f>
        <v>Consumer</v>
      </c>
      <c r="K5560" s="1" t="str">
        <f aca="false">VLOOKUP(C5560,Products!$A$2:$E$62,3,FALSE())</f>
        <v>Electronics</v>
      </c>
      <c r="L5560" s="1" t="str">
        <f aca="false">TEXT(D5560,"yyyy-mm")</f>
        <v>2024-11</v>
      </c>
    </row>
    <row r="5561" customFormat="false" ht="15" hidden="false" customHeight="true" outlineLevel="0" collapsed="false">
      <c r="A5561" s="1" t="n">
        <v>5682</v>
      </c>
      <c r="B5561" s="1" t="n">
        <v>328</v>
      </c>
      <c r="C5561" s="1" t="n">
        <v>16</v>
      </c>
      <c r="D5561" s="1" t="s">
        <v>1633</v>
      </c>
      <c r="E5561" s="1" t="n">
        <v>1</v>
      </c>
      <c r="F5561" s="1" t="n">
        <v>330.91</v>
      </c>
      <c r="G5561" s="1" t="n">
        <v>0.1</v>
      </c>
      <c r="H5561" s="1" t="s">
        <v>1336</v>
      </c>
      <c r="I5561" s="1" t="n">
        <v>297.82</v>
      </c>
      <c r="J5561" s="1" t="str">
        <f aca="false">VLOOKUP(B5561,Customers!$A$2:$G$502,6,FALSE())</f>
        <v>Consumer</v>
      </c>
      <c r="K5561" s="1" t="str">
        <f aca="false">VLOOKUP(C5561,Products!$A$2:$E$62,3,FALSE())</f>
        <v>Electronics</v>
      </c>
      <c r="L5561" s="1" t="str">
        <f aca="false">TEXT(D5561,"yyyy-mm")</f>
        <v>2024-04</v>
      </c>
    </row>
    <row r="5562" customFormat="false" ht="15" hidden="false" customHeight="true" outlineLevel="0" collapsed="false">
      <c r="A5562" s="1" t="n">
        <v>5683</v>
      </c>
      <c r="B5562" s="1" t="n">
        <v>33</v>
      </c>
      <c r="C5562" s="1" t="n">
        <v>24</v>
      </c>
      <c r="D5562" s="1" t="s">
        <v>913</v>
      </c>
      <c r="E5562" s="1" t="n">
        <v>4</v>
      </c>
      <c r="F5562" s="1" t="n">
        <v>207.34</v>
      </c>
      <c r="G5562" s="1" t="n">
        <v>0.1</v>
      </c>
      <c r="H5562" s="1" t="s">
        <v>1336</v>
      </c>
      <c r="I5562" s="1" t="n">
        <v>746.42</v>
      </c>
      <c r="J5562" s="1" t="str">
        <f aca="false">VLOOKUP(B5562,Customers!$A$2:$G$502,6,FALSE())</f>
        <v>Corporate</v>
      </c>
      <c r="K5562" s="1" t="str">
        <f aca="false">VLOOKUP(C5562,Products!$A$2:$E$62,3,FALSE())</f>
        <v>Office Supplies</v>
      </c>
      <c r="L5562" s="1" t="str">
        <f aca="false">TEXT(D5562,"yyyy-mm")</f>
        <v>2023-04</v>
      </c>
    </row>
    <row r="5563" customFormat="false" ht="15" hidden="false" customHeight="true" outlineLevel="0" collapsed="false">
      <c r="A5563" s="1" t="n">
        <v>5684</v>
      </c>
      <c r="B5563" s="1" t="n">
        <v>12</v>
      </c>
      <c r="C5563" s="1" t="n">
        <v>2</v>
      </c>
      <c r="D5563" s="1" t="s">
        <v>374</v>
      </c>
      <c r="E5563" s="1" t="n">
        <v>5</v>
      </c>
      <c r="F5563" s="1" t="n">
        <v>498.15</v>
      </c>
      <c r="G5563" s="1" t="n">
        <v>0.05</v>
      </c>
      <c r="H5563" s="1" t="s">
        <v>1336</v>
      </c>
      <c r="I5563" s="1" t="n">
        <v>2366.21</v>
      </c>
      <c r="J5563" s="1" t="str">
        <f aca="false">VLOOKUP(B5563,Customers!$A$2:$G$502,6,FALSE())</f>
        <v>Small Business</v>
      </c>
      <c r="K5563" s="1" t="str">
        <f aca="false">VLOOKUP(C5563,Products!$A$2:$E$62,3,FALSE())</f>
        <v>Electronics</v>
      </c>
      <c r="L5563" s="1" t="str">
        <f aca="false">TEXT(D5563,"yyyy-mm")</f>
        <v>2023-10</v>
      </c>
    </row>
    <row r="5564" customFormat="false" ht="15" hidden="false" customHeight="true" outlineLevel="0" collapsed="false">
      <c r="A5564" s="1" t="n">
        <v>5685</v>
      </c>
      <c r="B5564" s="1" t="n">
        <v>135</v>
      </c>
      <c r="C5564" s="1" t="n">
        <v>4</v>
      </c>
      <c r="D5564" s="1" t="s">
        <v>1512</v>
      </c>
      <c r="E5564" s="1" t="n">
        <v>7</v>
      </c>
      <c r="F5564" s="1" t="n">
        <v>56.24</v>
      </c>
      <c r="G5564" s="1" t="n">
        <v>0.15</v>
      </c>
      <c r="H5564" s="1" t="s">
        <v>1336</v>
      </c>
      <c r="I5564" s="1" t="n">
        <v>334.63</v>
      </c>
      <c r="J5564" s="1" t="str">
        <f aca="false">VLOOKUP(B5564,Customers!$A$2:$G$502,6,FALSE())</f>
        <v>Corporate</v>
      </c>
      <c r="K5564" s="1" t="str">
        <f aca="false">VLOOKUP(C5564,Products!$A$2:$E$62,3,FALSE())</f>
        <v>Electronics</v>
      </c>
      <c r="L5564" s="1" t="str">
        <f aca="false">TEXT(D5564,"yyyy-mm")</f>
        <v>2023-12</v>
      </c>
    </row>
    <row r="5565" customFormat="false" ht="15" hidden="false" customHeight="true" outlineLevel="0" collapsed="false">
      <c r="A5565" s="1" t="n">
        <v>5686</v>
      </c>
      <c r="B5565" s="1" t="n">
        <v>316</v>
      </c>
      <c r="C5565" s="1" t="n">
        <v>17</v>
      </c>
      <c r="D5565" s="1" t="s">
        <v>1341</v>
      </c>
      <c r="E5565" s="1" t="n">
        <v>5</v>
      </c>
      <c r="F5565" s="1" t="n">
        <v>65.61</v>
      </c>
      <c r="G5565" s="1" t="n">
        <v>0.05</v>
      </c>
      <c r="H5565" s="1" t="s">
        <v>1336</v>
      </c>
      <c r="I5565" s="1" t="n">
        <v>311.65</v>
      </c>
      <c r="J5565" s="1" t="str">
        <f aca="false">VLOOKUP(B5565,Customers!$A$2:$G$502,6,FALSE())</f>
        <v>Small Business</v>
      </c>
      <c r="K5565" s="1" t="str">
        <f aca="false">VLOOKUP(C5565,Products!$A$2:$E$62,3,FALSE())</f>
        <v>Electronics</v>
      </c>
      <c r="L5565" s="1" t="str">
        <f aca="false">TEXT(D5565,"yyyy-mm")</f>
        <v>2023-06</v>
      </c>
    </row>
    <row r="5566" customFormat="false" ht="15" hidden="false" customHeight="true" outlineLevel="0" collapsed="false">
      <c r="A5566" s="1" t="n">
        <v>5687</v>
      </c>
      <c r="B5566" s="1" t="n">
        <v>38</v>
      </c>
      <c r="C5566" s="1" t="n">
        <v>40</v>
      </c>
      <c r="D5566" s="1" t="s">
        <v>1223</v>
      </c>
      <c r="E5566" s="1" t="n">
        <v>1</v>
      </c>
      <c r="F5566" s="1" t="n">
        <v>193.02</v>
      </c>
      <c r="G5566" s="1" t="n">
        <v>0</v>
      </c>
      <c r="H5566" s="1" t="s">
        <v>1336</v>
      </c>
      <c r="I5566" s="1" t="n">
        <v>193.02</v>
      </c>
      <c r="J5566" s="1" t="str">
        <f aca="false">VLOOKUP(B5566,Customers!$A$2:$G$502,6,FALSE())</f>
        <v>Small Business</v>
      </c>
      <c r="K5566" s="1" t="str">
        <f aca="false">VLOOKUP(C5566,Products!$A$2:$E$62,3,FALSE())</f>
        <v>Software</v>
      </c>
      <c r="L5566" s="1" t="str">
        <f aca="false">TEXT(D5566,"yyyy-mm")</f>
        <v>2024-12</v>
      </c>
    </row>
    <row r="5567" customFormat="false" ht="15" hidden="false" customHeight="true" outlineLevel="0" collapsed="false">
      <c r="A5567" s="1" t="n">
        <v>5688</v>
      </c>
      <c r="B5567" s="1" t="n">
        <v>257</v>
      </c>
      <c r="C5567" s="1" t="n">
        <v>55</v>
      </c>
      <c r="D5567" s="1" t="s">
        <v>1557</v>
      </c>
      <c r="E5567" s="1" t="n">
        <v>7</v>
      </c>
      <c r="F5567" s="1" t="n">
        <v>123.38</v>
      </c>
      <c r="G5567" s="1" t="n">
        <v>0.15</v>
      </c>
      <c r="H5567" s="1" t="s">
        <v>1336</v>
      </c>
      <c r="I5567" s="1" t="n">
        <v>734.11</v>
      </c>
      <c r="J5567" s="1" t="str">
        <f aca="false">VLOOKUP(B5567,Customers!$A$2:$G$502,6,FALSE())</f>
        <v>Small Business</v>
      </c>
      <c r="K5567" s="1" t="str">
        <f aca="false">VLOOKUP(C5567,Products!$A$2:$E$62,3,FALSE())</f>
        <v>Furniture</v>
      </c>
      <c r="L5567" s="1" t="str">
        <f aca="false">TEXT(D5567,"yyyy-mm")</f>
        <v>2024-03</v>
      </c>
    </row>
    <row r="5568" customFormat="false" ht="15" hidden="false" customHeight="true" outlineLevel="0" collapsed="false">
      <c r="A5568" s="1" t="n">
        <v>5689</v>
      </c>
      <c r="B5568" s="1" t="n">
        <v>493</v>
      </c>
      <c r="C5568" s="1" t="n">
        <v>54</v>
      </c>
      <c r="D5568" s="1" t="s">
        <v>274</v>
      </c>
      <c r="E5568" s="1" t="n">
        <v>8</v>
      </c>
      <c r="F5568" s="1" t="n">
        <v>312.01</v>
      </c>
      <c r="G5568" s="1" t="n">
        <v>0</v>
      </c>
      <c r="H5568" s="1" t="s">
        <v>1336</v>
      </c>
      <c r="I5568" s="1" t="n">
        <v>2496.08</v>
      </c>
      <c r="J5568" s="1" t="str">
        <f aca="false">VLOOKUP(B5568,Customers!$A$2:$G$502,6,FALSE())</f>
        <v>Corporate</v>
      </c>
      <c r="K5568" s="1" t="str">
        <f aca="false">VLOOKUP(C5568,Products!$A$2:$E$62,3,FALSE())</f>
        <v>Software</v>
      </c>
      <c r="L5568" s="1" t="str">
        <f aca="false">TEXT(D5568,"yyyy-mm")</f>
        <v>2023-10</v>
      </c>
    </row>
    <row r="5569" customFormat="false" ht="15" hidden="false" customHeight="true" outlineLevel="0" collapsed="false">
      <c r="A5569" s="1" t="n">
        <v>5690</v>
      </c>
      <c r="B5569" s="1" t="n">
        <v>200</v>
      </c>
      <c r="C5569" s="1" t="n">
        <v>7</v>
      </c>
      <c r="D5569" s="1" t="s">
        <v>260</v>
      </c>
      <c r="E5569" s="1" t="n">
        <v>7</v>
      </c>
      <c r="F5569" s="1" t="n">
        <v>460</v>
      </c>
      <c r="G5569" s="1" t="n">
        <v>0.05</v>
      </c>
      <c r="H5569" s="1" t="s">
        <v>1336</v>
      </c>
      <c r="I5569" s="1" t="n">
        <v>3059</v>
      </c>
      <c r="J5569" s="1" t="str">
        <f aca="false">VLOOKUP(B5569,Customers!$A$2:$G$502,6,FALSE())</f>
        <v>Small Business</v>
      </c>
      <c r="K5569" s="1" t="str">
        <f aca="false">VLOOKUP(C5569,Products!$A$2:$E$62,3,FALSE())</f>
        <v>Electronics</v>
      </c>
      <c r="L5569" s="1" t="str">
        <f aca="false">TEXT(D5569,"yyyy-mm")</f>
        <v>2023-04</v>
      </c>
    </row>
    <row r="5570" customFormat="false" ht="15" hidden="false" customHeight="true" outlineLevel="0" collapsed="false">
      <c r="A5570" s="1" t="n">
        <v>5691</v>
      </c>
      <c r="B5570" s="1" t="n">
        <v>497</v>
      </c>
      <c r="C5570" s="1" t="n">
        <v>1</v>
      </c>
      <c r="D5570" s="1" t="s">
        <v>322</v>
      </c>
      <c r="E5570" s="1" t="n">
        <v>4</v>
      </c>
      <c r="F5570" s="1" t="n">
        <v>327.32</v>
      </c>
      <c r="G5570" s="1" t="n">
        <v>0</v>
      </c>
      <c r="H5570" s="1" t="s">
        <v>1336</v>
      </c>
      <c r="I5570" s="1" t="n">
        <v>1309.28</v>
      </c>
      <c r="J5570" s="1" t="str">
        <f aca="false">VLOOKUP(B5570,Customers!$A$2:$G$502,6,FALSE())</f>
        <v>Consumer</v>
      </c>
      <c r="K5570" s="1" t="str">
        <f aca="false">VLOOKUP(C5570,Products!$A$2:$E$62,3,FALSE())</f>
        <v>Electronics</v>
      </c>
      <c r="L5570" s="1" t="str">
        <f aca="false">TEXT(D5570,"yyyy-mm")</f>
        <v>2024-02</v>
      </c>
    </row>
    <row r="5571" customFormat="false" ht="15" hidden="false" customHeight="true" outlineLevel="0" collapsed="false">
      <c r="A5571" s="1" t="n">
        <v>5692</v>
      </c>
      <c r="B5571" s="1" t="n">
        <v>381</v>
      </c>
      <c r="C5571" s="1" t="n">
        <v>23</v>
      </c>
      <c r="D5571" s="1" t="s">
        <v>1587</v>
      </c>
      <c r="E5571" s="1" t="n">
        <v>8</v>
      </c>
      <c r="F5571" s="1" t="n">
        <v>188.73</v>
      </c>
      <c r="G5571" s="1" t="n">
        <v>0</v>
      </c>
      <c r="H5571" s="1" t="s">
        <v>1336</v>
      </c>
      <c r="I5571" s="1" t="n">
        <v>1509.84</v>
      </c>
      <c r="J5571" s="1" t="str">
        <f aca="false">VLOOKUP(B5571,Customers!$A$2:$G$502,6,FALSE())</f>
        <v>Corporate</v>
      </c>
      <c r="K5571" s="1" t="str">
        <f aca="false">VLOOKUP(C5571,Products!$A$2:$E$62,3,FALSE())</f>
        <v>Office Supplies</v>
      </c>
      <c r="L5571" s="1" t="str">
        <f aca="false">TEXT(D5571,"yyyy-mm")</f>
        <v>2024-07</v>
      </c>
    </row>
    <row r="5572" customFormat="false" ht="15" hidden="false" customHeight="true" outlineLevel="0" collapsed="false">
      <c r="A5572" s="1" t="n">
        <v>5693</v>
      </c>
      <c r="B5572" s="1" t="n">
        <v>249</v>
      </c>
      <c r="C5572" s="1" t="n">
        <v>46</v>
      </c>
      <c r="D5572" s="1" t="s">
        <v>229</v>
      </c>
      <c r="E5572" s="1" t="n">
        <v>5</v>
      </c>
      <c r="F5572" s="1" t="n">
        <v>94.92</v>
      </c>
      <c r="G5572" s="1" t="n">
        <v>0.1</v>
      </c>
      <c r="H5572" s="1" t="s">
        <v>1370</v>
      </c>
      <c r="I5572" s="1" t="n">
        <v>427.14</v>
      </c>
      <c r="J5572" s="1" t="str">
        <f aca="false">VLOOKUP(B5572,Customers!$A$2:$G$502,6,FALSE())</f>
        <v>Consumer</v>
      </c>
      <c r="K5572" s="1" t="str">
        <f aca="false">VLOOKUP(C5572,Products!$A$2:$E$62,3,FALSE())</f>
        <v>Software</v>
      </c>
      <c r="L5572" s="1" t="str">
        <f aca="false">TEXT(D5572,"yyyy-mm")</f>
        <v>2024-12</v>
      </c>
    </row>
    <row r="5573" customFormat="false" ht="15" hidden="false" customHeight="true" outlineLevel="0" collapsed="false">
      <c r="A5573" s="1" t="n">
        <v>5694</v>
      </c>
      <c r="B5573" s="1" t="n">
        <v>4</v>
      </c>
      <c r="C5573" s="1" t="n">
        <v>3</v>
      </c>
      <c r="D5573" s="1" t="s">
        <v>1650</v>
      </c>
      <c r="E5573" s="1" t="n">
        <v>9</v>
      </c>
      <c r="F5573" s="1" t="n">
        <v>89.39</v>
      </c>
      <c r="G5573" s="1" t="n">
        <v>0</v>
      </c>
      <c r="H5573" s="1" t="s">
        <v>1336</v>
      </c>
      <c r="I5573" s="1" t="n">
        <v>804.51</v>
      </c>
      <c r="J5573" s="1" t="str">
        <f aca="false">VLOOKUP(B5573,Customers!$A$2:$G$502,6,FALSE())</f>
        <v>Consumer</v>
      </c>
      <c r="K5573" s="1" t="str">
        <f aca="false">VLOOKUP(C5573,Products!$A$2:$E$62,3,FALSE())</f>
        <v>Electronics</v>
      </c>
      <c r="L5573" s="1" t="str">
        <f aca="false">TEXT(D5573,"yyyy-mm")</f>
        <v>2023-08</v>
      </c>
    </row>
    <row r="5574" customFormat="false" ht="15" hidden="false" customHeight="true" outlineLevel="0" collapsed="false">
      <c r="A5574" s="1" t="n">
        <v>5695</v>
      </c>
      <c r="B5574" s="1" t="n">
        <v>212</v>
      </c>
      <c r="C5574" s="1" t="n">
        <v>6</v>
      </c>
      <c r="D5574" s="1" t="s">
        <v>1641</v>
      </c>
      <c r="E5574" s="1" t="n">
        <v>5</v>
      </c>
      <c r="F5574" s="1" t="n">
        <v>28.51</v>
      </c>
      <c r="G5574" s="1" t="n">
        <v>0</v>
      </c>
      <c r="H5574" s="1" t="s">
        <v>1336</v>
      </c>
      <c r="I5574" s="1" t="n">
        <v>142.55</v>
      </c>
      <c r="J5574" s="1" t="str">
        <f aca="false">VLOOKUP(B5574,Customers!$A$2:$G$502,6,FALSE())</f>
        <v>Consumer</v>
      </c>
      <c r="K5574" s="1" t="str">
        <f aca="false">VLOOKUP(C5574,Products!$A$2:$E$62,3,FALSE())</f>
        <v>Electronics</v>
      </c>
      <c r="L5574" s="1" t="str">
        <f aca="false">TEXT(D5574,"yyyy-mm")</f>
        <v>2024-04</v>
      </c>
    </row>
    <row r="5575" customFormat="false" ht="15" hidden="false" customHeight="true" outlineLevel="0" collapsed="false">
      <c r="A5575" s="1" t="n">
        <v>5696</v>
      </c>
      <c r="B5575" s="1" t="n">
        <v>159</v>
      </c>
      <c r="C5575" s="1" t="n">
        <v>40</v>
      </c>
      <c r="D5575" s="1" t="s">
        <v>1406</v>
      </c>
      <c r="E5575" s="1" t="n">
        <v>1</v>
      </c>
      <c r="F5575" s="1" t="n">
        <v>193.02</v>
      </c>
      <c r="G5575" s="1" t="n">
        <v>0.15</v>
      </c>
      <c r="H5575" s="1" t="s">
        <v>1346</v>
      </c>
      <c r="I5575" s="1" t="n">
        <v>164.07</v>
      </c>
      <c r="J5575" s="1" t="str">
        <f aca="false">VLOOKUP(B5575,Customers!$A$2:$G$502,6,FALSE())</f>
        <v>Corporate</v>
      </c>
      <c r="K5575" s="1" t="str">
        <f aca="false">VLOOKUP(C5575,Products!$A$2:$E$62,3,FALSE())</f>
        <v>Software</v>
      </c>
      <c r="L5575" s="1" t="str">
        <f aca="false">TEXT(D5575,"yyyy-mm")</f>
        <v>2023-11</v>
      </c>
    </row>
    <row r="5576" customFormat="false" ht="15" hidden="false" customHeight="true" outlineLevel="0" collapsed="false">
      <c r="A5576" s="1" t="n">
        <v>5697</v>
      </c>
      <c r="B5576" s="1" t="n">
        <v>139</v>
      </c>
      <c r="C5576" s="1" t="n">
        <v>38</v>
      </c>
      <c r="D5576" s="1" t="s">
        <v>1686</v>
      </c>
      <c r="E5576" s="1" t="n">
        <v>9</v>
      </c>
      <c r="F5576" s="1" t="n">
        <v>521.63</v>
      </c>
      <c r="G5576" s="1" t="n">
        <v>0.2</v>
      </c>
      <c r="H5576" s="1" t="s">
        <v>1336</v>
      </c>
      <c r="I5576" s="1" t="n">
        <v>3755.74</v>
      </c>
      <c r="J5576" s="1" t="str">
        <f aca="false">VLOOKUP(B5576,Customers!$A$2:$G$502,6,FALSE())</f>
        <v>Consumer</v>
      </c>
      <c r="K5576" s="1" t="str">
        <f aca="false">VLOOKUP(C5576,Products!$A$2:$E$62,3,FALSE())</f>
        <v>Software</v>
      </c>
      <c r="L5576" s="1" t="str">
        <f aca="false">TEXT(D5576,"yyyy-mm")</f>
        <v>2023-12</v>
      </c>
    </row>
    <row r="5577" customFormat="false" ht="15" hidden="false" customHeight="true" outlineLevel="0" collapsed="false">
      <c r="A5577" s="1" t="n">
        <v>5698</v>
      </c>
      <c r="B5577" s="1" t="n">
        <v>294</v>
      </c>
      <c r="C5577" s="1" t="n">
        <v>3</v>
      </c>
      <c r="D5577" s="1" t="s">
        <v>874</v>
      </c>
      <c r="E5577" s="1" t="n">
        <v>5</v>
      </c>
      <c r="F5577" s="1" t="n">
        <v>89.39</v>
      </c>
      <c r="G5577" s="1" t="n">
        <v>0</v>
      </c>
      <c r="H5577" s="1" t="s">
        <v>1336</v>
      </c>
      <c r="I5577" s="1" t="n">
        <v>446.95</v>
      </c>
      <c r="J5577" s="1" t="str">
        <f aca="false">VLOOKUP(B5577,Customers!$A$2:$G$502,6,FALSE())</f>
        <v>Consumer</v>
      </c>
      <c r="K5577" s="1" t="str">
        <f aca="false">VLOOKUP(C5577,Products!$A$2:$E$62,3,FALSE())</f>
        <v>Electronics</v>
      </c>
      <c r="L5577" s="1" t="str">
        <f aca="false">TEXT(D5577,"yyyy-mm")</f>
        <v>2023-03</v>
      </c>
    </row>
    <row r="5578" customFormat="false" ht="15" hidden="false" customHeight="true" outlineLevel="0" collapsed="false">
      <c r="A5578" s="1" t="n">
        <v>5699</v>
      </c>
      <c r="B5578" s="1" t="n">
        <v>478</v>
      </c>
      <c r="C5578" s="1" t="n">
        <v>40</v>
      </c>
      <c r="D5578" s="1" t="s">
        <v>133</v>
      </c>
      <c r="E5578" s="1" t="n">
        <v>6</v>
      </c>
      <c r="F5578" s="1" t="n">
        <v>193.02</v>
      </c>
      <c r="G5578" s="1" t="n">
        <v>0</v>
      </c>
      <c r="H5578" s="1" t="s">
        <v>1336</v>
      </c>
      <c r="I5578" s="1" t="n">
        <v>1158.12</v>
      </c>
      <c r="J5578" s="1" t="str">
        <f aca="false">VLOOKUP(B5578,Customers!$A$2:$G$502,6,FALSE())</f>
        <v>Small Business</v>
      </c>
      <c r="K5578" s="1" t="str">
        <f aca="false">VLOOKUP(C5578,Products!$A$2:$E$62,3,FALSE())</f>
        <v>Software</v>
      </c>
      <c r="L5578" s="1" t="str">
        <f aca="false">TEXT(D5578,"yyyy-mm")</f>
        <v>2023-05</v>
      </c>
    </row>
    <row r="5579" customFormat="false" ht="15" hidden="false" customHeight="true" outlineLevel="0" collapsed="false">
      <c r="A5579" s="1" t="n">
        <v>5700</v>
      </c>
      <c r="B5579" s="1" t="n">
        <v>273</v>
      </c>
      <c r="C5579" s="1" t="n">
        <v>21</v>
      </c>
      <c r="D5579" s="1" t="s">
        <v>1387</v>
      </c>
      <c r="E5579" s="1" t="n">
        <v>4</v>
      </c>
      <c r="F5579" s="1" t="n">
        <v>84.91</v>
      </c>
      <c r="G5579" s="1" t="n">
        <v>0</v>
      </c>
      <c r="H5579" s="1" t="s">
        <v>1336</v>
      </c>
      <c r="I5579" s="1" t="n">
        <v>339.64</v>
      </c>
      <c r="J5579" s="1" t="str">
        <f aca="false">VLOOKUP(B5579,Customers!$A$2:$G$502,6,FALSE())</f>
        <v>Corporate</v>
      </c>
      <c r="K5579" s="1" t="str">
        <f aca="false">VLOOKUP(C5579,Products!$A$2:$E$62,3,FALSE())</f>
        <v>Office Supplies</v>
      </c>
      <c r="L5579" s="1" t="str">
        <f aca="false">TEXT(D5579,"yyyy-mm")</f>
        <v>2024-08</v>
      </c>
    </row>
    <row r="5580" customFormat="false" ht="15" hidden="false" customHeight="true" outlineLevel="0" collapsed="false">
      <c r="A5580" s="1" t="n">
        <v>5701</v>
      </c>
      <c r="B5580" s="1" t="n">
        <v>338</v>
      </c>
      <c r="C5580" s="1" t="n">
        <v>48</v>
      </c>
      <c r="D5580" s="1" t="s">
        <v>1362</v>
      </c>
      <c r="E5580" s="1" t="n">
        <v>6</v>
      </c>
      <c r="F5580" s="1" t="n">
        <v>493.53</v>
      </c>
      <c r="G5580" s="1" t="n">
        <v>0.15</v>
      </c>
      <c r="H5580" s="1" t="s">
        <v>1336</v>
      </c>
      <c r="I5580" s="1" t="n">
        <v>2517</v>
      </c>
      <c r="J5580" s="1" t="str">
        <f aca="false">VLOOKUP(B5580,Customers!$A$2:$G$502,6,FALSE())</f>
        <v>Corporate</v>
      </c>
      <c r="K5580" s="1" t="str">
        <f aca="false">VLOOKUP(C5580,Products!$A$2:$E$62,3,FALSE())</f>
        <v>Software</v>
      </c>
      <c r="L5580" s="1" t="str">
        <f aca="false">TEXT(D5580,"yyyy-mm")</f>
        <v>2024-01</v>
      </c>
    </row>
    <row r="5581" customFormat="false" ht="15" hidden="false" customHeight="true" outlineLevel="0" collapsed="false">
      <c r="A5581" s="1" t="n">
        <v>5702</v>
      </c>
      <c r="B5581" s="1" t="n">
        <v>94</v>
      </c>
      <c r="C5581" s="1" t="n">
        <v>6</v>
      </c>
      <c r="D5581" s="1" t="s">
        <v>1365</v>
      </c>
      <c r="E5581" s="1" t="n">
        <v>8</v>
      </c>
      <c r="F5581" s="1" t="n">
        <v>28.51</v>
      </c>
      <c r="G5581" s="1" t="n">
        <v>0.1</v>
      </c>
      <c r="H5581" s="1" t="s">
        <v>1336</v>
      </c>
      <c r="I5581" s="1" t="n">
        <v>205.27</v>
      </c>
      <c r="J5581" s="1" t="str">
        <f aca="false">VLOOKUP(B5581,Customers!$A$2:$G$502,6,FALSE())</f>
        <v>Small Business</v>
      </c>
      <c r="K5581" s="1" t="str">
        <f aca="false">VLOOKUP(C5581,Products!$A$2:$E$62,3,FALSE())</f>
        <v>Electronics</v>
      </c>
      <c r="L5581" s="1" t="str">
        <f aca="false">TEXT(D5581,"yyyy-mm")</f>
        <v>2023-09</v>
      </c>
    </row>
    <row r="5582" customFormat="false" ht="15" hidden="false" customHeight="true" outlineLevel="0" collapsed="false">
      <c r="A5582" s="1" t="n">
        <v>5703</v>
      </c>
      <c r="B5582" s="1" t="n">
        <v>245</v>
      </c>
      <c r="C5582" s="1" t="n">
        <v>26</v>
      </c>
      <c r="D5582" s="1" t="s">
        <v>1212</v>
      </c>
      <c r="E5582" s="1" t="n">
        <v>3</v>
      </c>
      <c r="F5582" s="1" t="n">
        <v>733.85</v>
      </c>
      <c r="G5582" s="1" t="n">
        <v>0</v>
      </c>
      <c r="H5582" s="1" t="s">
        <v>1336</v>
      </c>
      <c r="I5582" s="1" t="n">
        <v>2201.55</v>
      </c>
      <c r="J5582" s="1" t="str">
        <f aca="false">VLOOKUP(B5582,Customers!$A$2:$G$502,6,FALSE())</f>
        <v>Consumer</v>
      </c>
      <c r="K5582" s="1" t="str">
        <f aca="false">VLOOKUP(C5582,Products!$A$2:$E$62,3,FALSE())</f>
        <v>Office Supplies</v>
      </c>
      <c r="L5582" s="1" t="str">
        <f aca="false">TEXT(D5582,"yyyy-mm")</f>
        <v>2024-09</v>
      </c>
    </row>
    <row r="5583" customFormat="false" ht="15" hidden="false" customHeight="true" outlineLevel="0" collapsed="false">
      <c r="A5583" s="1" t="n">
        <v>5704</v>
      </c>
      <c r="B5583" s="1" t="n">
        <v>108</v>
      </c>
      <c r="C5583" s="1" t="n">
        <v>40</v>
      </c>
      <c r="D5583" s="1" t="s">
        <v>143</v>
      </c>
      <c r="E5583" s="1" t="n">
        <v>5</v>
      </c>
      <c r="F5583" s="1" t="n">
        <v>193.02</v>
      </c>
      <c r="G5583" s="1" t="n">
        <v>0.2</v>
      </c>
      <c r="H5583" s="1" t="s">
        <v>1346</v>
      </c>
      <c r="I5583" s="1" t="n">
        <v>772.08</v>
      </c>
      <c r="J5583" s="1" t="str">
        <f aca="false">VLOOKUP(B5583,Customers!$A$2:$G$502,6,FALSE())</f>
        <v>Consumer</v>
      </c>
      <c r="K5583" s="1" t="str">
        <f aca="false">VLOOKUP(C5583,Products!$A$2:$E$62,3,FALSE())</f>
        <v>Software</v>
      </c>
      <c r="L5583" s="1" t="str">
        <f aca="false">TEXT(D5583,"yyyy-mm")</f>
        <v>2024-07</v>
      </c>
    </row>
    <row r="5584" customFormat="false" ht="15" hidden="false" customHeight="true" outlineLevel="0" collapsed="false">
      <c r="A5584" s="1" t="n">
        <v>5705</v>
      </c>
      <c r="B5584" s="1" t="n">
        <v>464</v>
      </c>
      <c r="C5584" s="1" t="n">
        <v>60</v>
      </c>
      <c r="D5584" s="1" t="s">
        <v>1639</v>
      </c>
      <c r="E5584" s="1" t="n">
        <v>2</v>
      </c>
      <c r="F5584" s="1" t="n">
        <v>584.98</v>
      </c>
      <c r="G5584" s="1" t="n">
        <v>0.05</v>
      </c>
      <c r="H5584" s="1" t="s">
        <v>1336</v>
      </c>
      <c r="I5584" s="1" t="n">
        <v>1111.46</v>
      </c>
      <c r="J5584" s="1" t="str">
        <f aca="false">VLOOKUP(B5584,Customers!$A$2:$G$502,6,FALSE())</f>
        <v>Consumer</v>
      </c>
      <c r="K5584" s="1" t="str">
        <f aca="false">VLOOKUP(C5584,Products!$A$2:$E$62,3,FALSE())</f>
        <v>Furniture</v>
      </c>
      <c r="L5584" s="1" t="str">
        <f aca="false">TEXT(D5584,"yyyy-mm")</f>
        <v>2023-07</v>
      </c>
    </row>
    <row r="5585" customFormat="false" ht="15" hidden="false" customHeight="true" outlineLevel="0" collapsed="false">
      <c r="A5585" s="1" t="n">
        <v>5706</v>
      </c>
      <c r="B5585" s="1" t="n">
        <v>61</v>
      </c>
      <c r="C5585" s="1" t="n">
        <v>30</v>
      </c>
      <c r="D5585" s="1" t="s">
        <v>1637</v>
      </c>
      <c r="E5585" s="1" t="n">
        <v>2</v>
      </c>
      <c r="F5585" s="1" t="n">
        <v>33.32</v>
      </c>
      <c r="G5585" s="1" t="n">
        <v>0</v>
      </c>
      <c r="H5585" s="1" t="s">
        <v>1336</v>
      </c>
      <c r="I5585" s="1" t="n">
        <v>66.64</v>
      </c>
      <c r="J5585" s="1" t="str">
        <f aca="false">VLOOKUP(B5585,Customers!$A$2:$G$502,6,FALSE())</f>
        <v>Small Business</v>
      </c>
      <c r="K5585" s="1" t="str">
        <f aca="false">VLOOKUP(C5585,Products!$A$2:$E$62,3,FALSE())</f>
        <v>Office Supplies</v>
      </c>
      <c r="L5585" s="1" t="str">
        <f aca="false">TEXT(D5585,"yyyy-mm")</f>
        <v>2023-11</v>
      </c>
    </row>
    <row r="5586" customFormat="false" ht="15" hidden="false" customHeight="true" outlineLevel="0" collapsed="false">
      <c r="A5586" s="1" t="n">
        <v>5707</v>
      </c>
      <c r="B5586" s="1" t="n">
        <v>143</v>
      </c>
      <c r="C5586" s="1" t="n">
        <v>16</v>
      </c>
      <c r="D5586" s="1" t="s">
        <v>251</v>
      </c>
      <c r="E5586" s="1" t="n">
        <v>7</v>
      </c>
      <c r="F5586" s="1" t="n">
        <v>330.91</v>
      </c>
      <c r="G5586" s="1" t="n">
        <v>0.15</v>
      </c>
      <c r="H5586" s="1" t="s">
        <v>1336</v>
      </c>
      <c r="I5586" s="1" t="n">
        <v>1968.91</v>
      </c>
      <c r="J5586" s="1" t="str">
        <f aca="false">VLOOKUP(B5586,Customers!$A$2:$G$502,6,FALSE())</f>
        <v>Small Business</v>
      </c>
      <c r="K5586" s="1" t="str">
        <f aca="false">VLOOKUP(C5586,Products!$A$2:$E$62,3,FALSE())</f>
        <v>Electronics</v>
      </c>
      <c r="L5586" s="1" t="str">
        <f aca="false">TEXT(D5586,"yyyy-mm")</f>
        <v>2023-09</v>
      </c>
    </row>
    <row r="5587" customFormat="false" ht="15" hidden="false" customHeight="true" outlineLevel="0" collapsed="false">
      <c r="A5587" s="1" t="n">
        <v>5708</v>
      </c>
      <c r="B5587" s="1" t="n">
        <v>248</v>
      </c>
      <c r="C5587" s="1" t="n">
        <v>51</v>
      </c>
      <c r="D5587" s="1" t="s">
        <v>435</v>
      </c>
      <c r="E5587" s="1" t="n">
        <v>6</v>
      </c>
      <c r="F5587" s="1" t="n">
        <v>30.16</v>
      </c>
      <c r="G5587" s="1" t="n">
        <v>0.05</v>
      </c>
      <c r="H5587" s="1" t="s">
        <v>1336</v>
      </c>
      <c r="I5587" s="1" t="n">
        <v>171.91</v>
      </c>
      <c r="J5587" s="1" t="str">
        <f aca="false">VLOOKUP(B5587,Customers!$A$2:$G$502,6,FALSE())</f>
        <v>Small Business</v>
      </c>
      <c r="K5587" s="1" t="str">
        <f aca="false">VLOOKUP(C5587,Products!$A$2:$E$62,3,FALSE())</f>
        <v>Software</v>
      </c>
      <c r="L5587" s="1" t="str">
        <f aca="false">TEXT(D5587,"yyyy-mm")</f>
        <v>2024-08</v>
      </c>
    </row>
    <row r="5588" customFormat="false" ht="15" hidden="false" customHeight="true" outlineLevel="0" collapsed="false">
      <c r="A5588" s="1" t="n">
        <v>5709</v>
      </c>
      <c r="B5588" s="1" t="n">
        <v>454</v>
      </c>
      <c r="C5588" s="1" t="n">
        <v>15</v>
      </c>
      <c r="D5588" s="1" t="s">
        <v>1103</v>
      </c>
      <c r="E5588" s="1" t="n">
        <v>4</v>
      </c>
      <c r="F5588" s="1" t="n">
        <v>304.95</v>
      </c>
      <c r="G5588" s="1" t="n">
        <v>0</v>
      </c>
      <c r="H5588" s="1" t="s">
        <v>1336</v>
      </c>
      <c r="I5588" s="1" t="n">
        <v>1219.8</v>
      </c>
      <c r="J5588" s="1" t="str">
        <f aca="false">VLOOKUP(B5588,Customers!$A$2:$G$502,6,FALSE())</f>
        <v>Consumer</v>
      </c>
      <c r="K5588" s="1" t="str">
        <f aca="false">VLOOKUP(C5588,Products!$A$2:$E$62,3,FALSE())</f>
        <v>Electronics</v>
      </c>
      <c r="L5588" s="1" t="str">
        <f aca="false">TEXT(D5588,"yyyy-mm")</f>
        <v>2024-01</v>
      </c>
    </row>
    <row r="5589" customFormat="false" ht="15" hidden="false" customHeight="true" outlineLevel="0" collapsed="false">
      <c r="A5589" s="1" t="n">
        <v>5710</v>
      </c>
      <c r="B5589" s="1" t="n">
        <v>167</v>
      </c>
      <c r="C5589" s="1" t="n">
        <v>47</v>
      </c>
      <c r="D5589" s="1" t="s">
        <v>989</v>
      </c>
      <c r="E5589" s="1" t="n">
        <v>5</v>
      </c>
      <c r="F5589" s="1" t="n">
        <v>506.19</v>
      </c>
      <c r="G5589" s="1" t="n">
        <v>0</v>
      </c>
      <c r="H5589" s="1" t="s">
        <v>1370</v>
      </c>
      <c r="I5589" s="1" t="n">
        <v>2530.95</v>
      </c>
      <c r="J5589" s="1" t="str">
        <f aca="false">VLOOKUP(B5589,Customers!$A$2:$G$502,6,FALSE())</f>
        <v>Unknown</v>
      </c>
      <c r="K5589" s="1" t="str">
        <f aca="false">VLOOKUP(C5589,Products!$A$2:$E$62,3,FALSE())</f>
        <v>Software</v>
      </c>
      <c r="L5589" s="1" t="str">
        <f aca="false">TEXT(D5589,"yyyy-mm")</f>
        <v>2024-06</v>
      </c>
    </row>
    <row r="5590" customFormat="false" ht="15" hidden="false" customHeight="true" outlineLevel="0" collapsed="false">
      <c r="A5590" s="1" t="n">
        <v>5711</v>
      </c>
      <c r="B5590" s="1" t="n">
        <v>150</v>
      </c>
      <c r="C5590" s="1" t="n">
        <v>3</v>
      </c>
      <c r="D5590" s="1" t="s">
        <v>1446</v>
      </c>
      <c r="E5590" s="1" t="n">
        <v>1</v>
      </c>
      <c r="F5590" s="1" t="n">
        <v>89.39</v>
      </c>
      <c r="G5590" s="1" t="n">
        <v>0.2</v>
      </c>
      <c r="H5590" s="1" t="s">
        <v>1336</v>
      </c>
      <c r="I5590" s="1" t="n">
        <v>71.51</v>
      </c>
      <c r="J5590" s="1" t="str">
        <f aca="false">VLOOKUP(B5590,Customers!$A$2:$G$502,6,FALSE())</f>
        <v>Corporate</v>
      </c>
      <c r="K5590" s="1" t="str">
        <f aca="false">VLOOKUP(C5590,Products!$A$2:$E$62,3,FALSE())</f>
        <v>Electronics</v>
      </c>
      <c r="L5590" s="1" t="str">
        <f aca="false">TEXT(D5590,"yyyy-mm")</f>
        <v>2024-05</v>
      </c>
    </row>
    <row r="5591" customFormat="false" ht="15" hidden="false" customHeight="true" outlineLevel="0" collapsed="false">
      <c r="A5591" s="1" t="n">
        <v>5712</v>
      </c>
      <c r="B5591" s="1" t="n">
        <v>178</v>
      </c>
      <c r="C5591" s="1" t="n">
        <v>34</v>
      </c>
      <c r="D5591" s="1" t="s">
        <v>1690</v>
      </c>
      <c r="E5591" s="1" t="n">
        <v>7</v>
      </c>
      <c r="F5591" s="1" t="n">
        <v>116.85</v>
      </c>
      <c r="G5591" s="1" t="n">
        <v>0.15</v>
      </c>
      <c r="H5591" s="1" t="s">
        <v>1336</v>
      </c>
      <c r="I5591" s="1" t="n">
        <v>695.26</v>
      </c>
      <c r="J5591" s="1" t="str">
        <f aca="false">VLOOKUP(B5591,Customers!$A$2:$G$502,6,FALSE())</f>
        <v>Consumer</v>
      </c>
      <c r="K5591" s="1" t="str">
        <f aca="false">VLOOKUP(C5591,Products!$A$2:$E$62,3,FALSE())</f>
        <v>Office Supplies</v>
      </c>
      <c r="L5591" s="1" t="str">
        <f aca="false">TEXT(D5591,"yyyy-mm")</f>
        <v>2024-03</v>
      </c>
    </row>
    <row r="5592" customFormat="false" ht="15" hidden="false" customHeight="true" outlineLevel="0" collapsed="false">
      <c r="A5592" s="1" t="n">
        <v>5713</v>
      </c>
      <c r="B5592" s="1" t="n">
        <v>393</v>
      </c>
      <c r="C5592" s="1" t="n">
        <v>28</v>
      </c>
      <c r="D5592" s="1" t="s">
        <v>572</v>
      </c>
      <c r="E5592" s="1" t="n">
        <v>8</v>
      </c>
      <c r="F5592" s="1" t="n">
        <v>505.23</v>
      </c>
      <c r="G5592" s="1" t="n">
        <v>0.15</v>
      </c>
      <c r="H5592" s="1" t="s">
        <v>1336</v>
      </c>
      <c r="I5592" s="1" t="n">
        <v>3435.56</v>
      </c>
      <c r="J5592" s="1" t="str">
        <f aca="false">VLOOKUP(B5592,Customers!$A$2:$G$502,6,FALSE())</f>
        <v>Consumer</v>
      </c>
      <c r="K5592" s="1" t="str">
        <f aca="false">VLOOKUP(C5592,Products!$A$2:$E$62,3,FALSE())</f>
        <v>Office Supplies</v>
      </c>
      <c r="L5592" s="1" t="str">
        <f aca="false">TEXT(D5592,"yyyy-mm")</f>
        <v>2023-06</v>
      </c>
    </row>
    <row r="5593" customFormat="false" ht="15" hidden="false" customHeight="true" outlineLevel="0" collapsed="false">
      <c r="A5593" s="1" t="n">
        <v>5714</v>
      </c>
      <c r="B5593" s="1" t="n">
        <v>195</v>
      </c>
      <c r="C5593" s="1" t="n">
        <v>2</v>
      </c>
      <c r="D5593" s="1" t="s">
        <v>1343</v>
      </c>
      <c r="E5593" s="1" t="n">
        <v>9</v>
      </c>
      <c r="F5593" s="1" t="n">
        <v>498.15</v>
      </c>
      <c r="G5593" s="1" t="n">
        <v>0</v>
      </c>
      <c r="H5593" s="1" t="s">
        <v>1336</v>
      </c>
      <c r="I5593" s="1" t="n">
        <v>4483.35</v>
      </c>
      <c r="J5593" s="1" t="str">
        <f aca="false">VLOOKUP(B5593,Customers!$A$2:$G$502,6,FALSE())</f>
        <v>Corporate</v>
      </c>
      <c r="K5593" s="1" t="str">
        <f aca="false">VLOOKUP(C5593,Products!$A$2:$E$62,3,FALSE())</f>
        <v>Electronics</v>
      </c>
      <c r="L5593" s="1" t="str">
        <f aca="false">TEXT(D5593,"yyyy-mm")</f>
        <v>2024-06</v>
      </c>
    </row>
    <row r="5594" customFormat="false" ht="15" hidden="false" customHeight="true" outlineLevel="0" collapsed="false">
      <c r="A5594" s="1" t="n">
        <v>5715</v>
      </c>
      <c r="B5594" s="1" t="n">
        <v>74</v>
      </c>
      <c r="C5594" s="1" t="n">
        <v>49</v>
      </c>
      <c r="D5594" s="1" t="s">
        <v>1380</v>
      </c>
      <c r="E5594" s="1" t="n">
        <v>8</v>
      </c>
      <c r="F5594" s="1" t="n">
        <v>325.17</v>
      </c>
      <c r="G5594" s="1" t="n">
        <v>0.15</v>
      </c>
      <c r="H5594" s="1" t="s">
        <v>1336</v>
      </c>
      <c r="I5594" s="1" t="n">
        <v>2211.16</v>
      </c>
      <c r="J5594" s="1" t="str">
        <f aca="false">VLOOKUP(B5594,Customers!$A$2:$G$502,6,FALSE())</f>
        <v>Consumer</v>
      </c>
      <c r="K5594" s="1" t="str">
        <f aca="false">VLOOKUP(C5594,Products!$A$2:$E$62,3,FALSE())</f>
        <v>Software</v>
      </c>
      <c r="L5594" s="1" t="str">
        <f aca="false">TEXT(D5594,"yyyy-mm")</f>
        <v>2023-07</v>
      </c>
    </row>
    <row r="5595" customFormat="false" ht="15" hidden="false" customHeight="true" outlineLevel="0" collapsed="false">
      <c r="A5595" s="1" t="n">
        <v>5716</v>
      </c>
      <c r="B5595" s="1" t="n">
        <v>11</v>
      </c>
      <c r="C5595" s="1" t="n">
        <v>5</v>
      </c>
      <c r="D5595" s="1" t="s">
        <v>1533</v>
      </c>
      <c r="E5595" s="1" t="n">
        <v>5</v>
      </c>
      <c r="F5595" s="1" t="n">
        <v>439.06</v>
      </c>
      <c r="G5595" s="1" t="n">
        <v>0</v>
      </c>
      <c r="H5595" s="1" t="s">
        <v>1336</v>
      </c>
      <c r="I5595" s="1" t="n">
        <v>2195.3</v>
      </c>
      <c r="J5595" s="1" t="str">
        <f aca="false">VLOOKUP(B5595,Customers!$A$2:$G$502,6,FALSE())</f>
        <v>Consumer</v>
      </c>
      <c r="K5595" s="1" t="str">
        <f aca="false">VLOOKUP(C5595,Products!$A$2:$E$62,3,FALSE())</f>
        <v>Electronics</v>
      </c>
      <c r="L5595" s="1" t="str">
        <f aca="false">TEXT(D5595,"yyyy-mm")</f>
        <v>2023-03</v>
      </c>
    </row>
    <row r="5596" customFormat="false" ht="15" hidden="false" customHeight="true" outlineLevel="0" collapsed="false">
      <c r="A5596" s="1" t="n">
        <v>5717</v>
      </c>
      <c r="B5596" s="1" t="n">
        <v>398</v>
      </c>
      <c r="C5596" s="1" t="n">
        <v>14</v>
      </c>
      <c r="D5596" s="1" t="s">
        <v>689</v>
      </c>
      <c r="E5596" s="1" t="n">
        <v>3</v>
      </c>
      <c r="F5596" s="1" t="n">
        <v>135.27</v>
      </c>
      <c r="G5596" s="1" t="n">
        <v>0.2</v>
      </c>
      <c r="H5596" s="1" t="s">
        <v>1336</v>
      </c>
      <c r="I5596" s="1" t="n">
        <v>324.65</v>
      </c>
      <c r="J5596" s="1" t="str">
        <f aca="false">VLOOKUP(B5596,Customers!$A$2:$G$502,6,FALSE())</f>
        <v>Small Business</v>
      </c>
      <c r="K5596" s="1" t="str">
        <f aca="false">VLOOKUP(C5596,Products!$A$2:$E$62,3,FALSE())</f>
        <v>Electronics</v>
      </c>
      <c r="L5596" s="1" t="str">
        <f aca="false">TEXT(D5596,"yyyy-mm")</f>
        <v>2023-11</v>
      </c>
    </row>
    <row r="5597" customFormat="false" ht="15" hidden="false" customHeight="true" outlineLevel="0" collapsed="false">
      <c r="A5597" s="1" t="n">
        <v>5718</v>
      </c>
      <c r="B5597" s="1" t="n">
        <v>245</v>
      </c>
      <c r="C5597" s="1" t="n">
        <v>60</v>
      </c>
      <c r="D5597" s="1" t="s">
        <v>1619</v>
      </c>
      <c r="E5597" s="1" t="n">
        <v>9</v>
      </c>
      <c r="F5597" s="1" t="n">
        <v>584.98</v>
      </c>
      <c r="G5597" s="1" t="n">
        <v>0.2</v>
      </c>
      <c r="H5597" s="1" t="s">
        <v>1336</v>
      </c>
      <c r="I5597" s="1" t="n">
        <v>4211.86</v>
      </c>
      <c r="J5597" s="1" t="str">
        <f aca="false">VLOOKUP(B5597,Customers!$A$2:$G$502,6,FALSE())</f>
        <v>Consumer</v>
      </c>
      <c r="K5597" s="1" t="str">
        <f aca="false">VLOOKUP(C5597,Products!$A$2:$E$62,3,FALSE())</f>
        <v>Furniture</v>
      </c>
      <c r="L5597" s="1" t="str">
        <f aca="false">TEXT(D5597,"yyyy-mm")</f>
        <v>2023-12</v>
      </c>
    </row>
    <row r="5598" customFormat="false" ht="15" hidden="false" customHeight="true" outlineLevel="0" collapsed="false">
      <c r="A5598" s="1" t="n">
        <v>5719</v>
      </c>
      <c r="B5598" s="1" t="n">
        <v>109</v>
      </c>
      <c r="C5598" s="1" t="n">
        <v>48</v>
      </c>
      <c r="D5598" s="1" t="s">
        <v>1036</v>
      </c>
      <c r="E5598" s="1" t="n">
        <v>6</v>
      </c>
      <c r="F5598" s="1" t="n">
        <v>493.53</v>
      </c>
      <c r="G5598" s="1" t="n">
        <v>0</v>
      </c>
      <c r="H5598" s="1" t="s">
        <v>1336</v>
      </c>
      <c r="I5598" s="1" t="n">
        <v>2961.18</v>
      </c>
      <c r="J5598" s="1" t="str">
        <f aca="false">VLOOKUP(B5598,Customers!$A$2:$G$502,6,FALSE())</f>
        <v>Small Business</v>
      </c>
      <c r="K5598" s="1" t="str">
        <f aca="false">VLOOKUP(C5598,Products!$A$2:$E$62,3,FALSE())</f>
        <v>Software</v>
      </c>
      <c r="L5598" s="1" t="str">
        <f aca="false">TEXT(D5598,"yyyy-mm")</f>
        <v>2024-05</v>
      </c>
    </row>
    <row r="5599" customFormat="false" ht="15" hidden="false" customHeight="true" outlineLevel="0" collapsed="false">
      <c r="A5599" s="1" t="n">
        <v>5720</v>
      </c>
      <c r="B5599" s="1" t="n">
        <v>5</v>
      </c>
      <c r="C5599" s="1" t="n">
        <v>34</v>
      </c>
      <c r="D5599" s="1" t="s">
        <v>1625</v>
      </c>
      <c r="E5599" s="1" t="n">
        <v>5</v>
      </c>
      <c r="F5599" s="1" t="n">
        <v>116.85</v>
      </c>
      <c r="G5599" s="1" t="n">
        <v>0.2</v>
      </c>
      <c r="H5599" s="1" t="s">
        <v>1336</v>
      </c>
      <c r="I5599" s="1" t="n">
        <v>467.4</v>
      </c>
      <c r="J5599" s="1" t="str">
        <f aca="false">VLOOKUP(B5599,Customers!$A$2:$G$502,6,FALSE())</f>
        <v>Small Business</v>
      </c>
      <c r="K5599" s="1" t="str">
        <f aca="false">VLOOKUP(C5599,Products!$A$2:$E$62,3,FALSE())</f>
        <v>Office Supplies</v>
      </c>
      <c r="L5599" s="1" t="str">
        <f aca="false">TEXT(D5599,"yyyy-mm")</f>
        <v>2023-02</v>
      </c>
    </row>
    <row r="5600" customFormat="false" ht="15" hidden="false" customHeight="true" outlineLevel="0" collapsed="false">
      <c r="A5600" s="1" t="n">
        <v>5721</v>
      </c>
      <c r="B5600" s="1" t="n">
        <v>277</v>
      </c>
      <c r="C5600" s="1" t="n">
        <v>60</v>
      </c>
      <c r="D5600" s="1" t="s">
        <v>1429</v>
      </c>
      <c r="E5600" s="1" t="n">
        <v>3</v>
      </c>
      <c r="F5600" s="1" t="n">
        <v>584.98</v>
      </c>
      <c r="G5600" s="1" t="n">
        <v>0.1</v>
      </c>
      <c r="H5600" s="1" t="s">
        <v>1336</v>
      </c>
      <c r="I5600" s="1" t="n">
        <v>1579.45</v>
      </c>
      <c r="J5600" s="1" t="str">
        <f aca="false">VLOOKUP(B5600,Customers!$A$2:$G$502,6,FALSE())</f>
        <v>Corporate</v>
      </c>
      <c r="K5600" s="1" t="str">
        <f aca="false">VLOOKUP(C5600,Products!$A$2:$E$62,3,FALSE())</f>
        <v>Furniture</v>
      </c>
      <c r="L5600" s="1" t="str">
        <f aca="false">TEXT(D5600,"yyyy-mm")</f>
        <v>2024-08</v>
      </c>
    </row>
    <row r="5601" customFormat="false" ht="15" hidden="false" customHeight="true" outlineLevel="0" collapsed="false">
      <c r="A5601" s="1" t="n">
        <v>5722</v>
      </c>
      <c r="B5601" s="1" t="n">
        <v>401</v>
      </c>
      <c r="C5601" s="1" t="n">
        <v>50</v>
      </c>
      <c r="D5601" s="1" t="s">
        <v>1636</v>
      </c>
      <c r="E5601" s="1" t="n">
        <v>6</v>
      </c>
      <c r="F5601" s="1" t="n">
        <v>19.73</v>
      </c>
      <c r="G5601" s="1" t="n">
        <v>0.15</v>
      </c>
      <c r="H5601" s="1" t="s">
        <v>1336</v>
      </c>
      <c r="I5601" s="1" t="n">
        <v>100.62</v>
      </c>
      <c r="J5601" s="1" t="str">
        <f aca="false">VLOOKUP(B5601,Customers!$A$2:$G$502,6,FALSE())</f>
        <v>Consumer</v>
      </c>
      <c r="K5601" s="1" t="str">
        <f aca="false">VLOOKUP(C5601,Products!$A$2:$E$62,3,FALSE())</f>
        <v>Software</v>
      </c>
      <c r="L5601" s="1" t="str">
        <f aca="false">TEXT(D5601,"yyyy-mm")</f>
        <v>2023-08</v>
      </c>
    </row>
    <row r="5602" customFormat="false" ht="15" hidden="false" customHeight="true" outlineLevel="0" collapsed="false">
      <c r="A5602" s="1" t="n">
        <v>5723</v>
      </c>
      <c r="B5602" s="1" t="n">
        <v>383</v>
      </c>
      <c r="C5602" s="1" t="n">
        <v>24</v>
      </c>
      <c r="D5602" s="1" t="s">
        <v>1030</v>
      </c>
      <c r="E5602" s="1" t="n">
        <v>3</v>
      </c>
      <c r="F5602" s="1" t="n">
        <v>207.34</v>
      </c>
      <c r="G5602" s="1" t="n">
        <v>0.2</v>
      </c>
      <c r="H5602" s="1" t="s">
        <v>1336</v>
      </c>
      <c r="I5602" s="1" t="n">
        <v>497.62</v>
      </c>
      <c r="J5602" s="1" t="str">
        <f aca="false">VLOOKUP(B5602,Customers!$A$2:$G$502,6,FALSE())</f>
        <v>Consumer</v>
      </c>
      <c r="K5602" s="1" t="str">
        <f aca="false">VLOOKUP(C5602,Products!$A$2:$E$62,3,FALSE())</f>
        <v>Office Supplies</v>
      </c>
      <c r="L5602" s="1" t="str">
        <f aca="false">TEXT(D5602,"yyyy-mm")</f>
        <v>2023-07</v>
      </c>
    </row>
    <row r="5603" customFormat="false" ht="15" hidden="false" customHeight="true" outlineLevel="0" collapsed="false">
      <c r="A5603" s="1" t="n">
        <v>5724</v>
      </c>
      <c r="B5603" s="1" t="n">
        <v>171</v>
      </c>
      <c r="C5603" s="1" t="n">
        <v>8</v>
      </c>
      <c r="D5603" s="1" t="s">
        <v>1353</v>
      </c>
      <c r="E5603" s="1" t="n">
        <v>6</v>
      </c>
      <c r="F5603" s="1" t="n">
        <v>104.4</v>
      </c>
      <c r="G5603" s="1" t="n">
        <v>0.15</v>
      </c>
      <c r="H5603" s="1" t="s">
        <v>1336</v>
      </c>
      <c r="I5603" s="1" t="n">
        <v>532.44</v>
      </c>
      <c r="J5603" s="1" t="str">
        <f aca="false">VLOOKUP(B5603,Customers!$A$2:$G$502,6,FALSE())</f>
        <v>Small Business</v>
      </c>
      <c r="K5603" s="1" t="str">
        <f aca="false">VLOOKUP(C5603,Products!$A$2:$E$62,3,FALSE())</f>
        <v>Electronics</v>
      </c>
      <c r="L5603" s="1" t="str">
        <f aca="false">TEXT(D5603,"yyyy-mm")</f>
        <v>2023-06</v>
      </c>
    </row>
    <row r="5604" customFormat="false" ht="15" hidden="false" customHeight="true" outlineLevel="0" collapsed="false">
      <c r="A5604" s="1" t="n">
        <v>5725</v>
      </c>
      <c r="B5604" s="1" t="n">
        <v>278</v>
      </c>
      <c r="C5604" s="1" t="n">
        <v>57</v>
      </c>
      <c r="D5604" s="1" t="s">
        <v>467</v>
      </c>
      <c r="E5604" s="1" t="n">
        <v>4</v>
      </c>
      <c r="F5604" s="1" t="n">
        <v>719.76</v>
      </c>
      <c r="G5604" s="1" t="n">
        <v>0</v>
      </c>
      <c r="H5604" s="1" t="s">
        <v>1336</v>
      </c>
      <c r="I5604" s="1" t="n">
        <v>2879.04</v>
      </c>
      <c r="J5604" s="1" t="str">
        <f aca="false">VLOOKUP(B5604,Customers!$A$2:$G$502,6,FALSE())</f>
        <v>Consumer</v>
      </c>
      <c r="K5604" s="1" t="str">
        <f aca="false">VLOOKUP(C5604,Products!$A$2:$E$62,3,FALSE())</f>
        <v>Furniture</v>
      </c>
      <c r="L5604" s="1" t="str">
        <f aca="false">TEXT(D5604,"yyyy-mm")</f>
        <v>2024-11</v>
      </c>
    </row>
    <row r="5605" customFormat="false" ht="15" hidden="false" customHeight="true" outlineLevel="0" collapsed="false">
      <c r="A5605" s="1" t="n">
        <v>5726</v>
      </c>
      <c r="B5605" s="1" t="n">
        <v>410</v>
      </c>
      <c r="C5605" s="1" t="n">
        <v>9</v>
      </c>
      <c r="D5605" s="1" t="s">
        <v>1588</v>
      </c>
      <c r="E5605" s="1" t="n">
        <v>2</v>
      </c>
      <c r="F5605" s="1" t="n">
        <v>203.1</v>
      </c>
      <c r="G5605" s="1" t="n">
        <v>0.1</v>
      </c>
      <c r="H5605" s="1" t="s">
        <v>1336</v>
      </c>
      <c r="I5605" s="1" t="n">
        <v>365.58</v>
      </c>
      <c r="J5605" s="1" t="str">
        <f aca="false">VLOOKUP(B5605,Customers!$A$2:$G$502,6,FALSE())</f>
        <v>Consumer</v>
      </c>
      <c r="K5605" s="1" t="str">
        <f aca="false">VLOOKUP(C5605,Products!$A$2:$E$62,3,FALSE())</f>
        <v>Electronics</v>
      </c>
      <c r="L5605" s="1" t="str">
        <f aca="false">TEXT(D5605,"yyyy-mm")</f>
        <v>2024-08</v>
      </c>
    </row>
    <row r="5606" customFormat="false" ht="15" hidden="false" customHeight="true" outlineLevel="0" collapsed="false">
      <c r="A5606" s="1" t="n">
        <v>5727</v>
      </c>
      <c r="B5606" s="1" t="n">
        <v>39</v>
      </c>
      <c r="C5606" s="1" t="n">
        <v>36</v>
      </c>
      <c r="D5606" s="1" t="s">
        <v>1378</v>
      </c>
      <c r="E5606" s="1" t="n">
        <v>8</v>
      </c>
      <c r="F5606" s="1" t="n">
        <v>424.45</v>
      </c>
      <c r="G5606" s="1" t="n">
        <v>0.05</v>
      </c>
      <c r="H5606" s="1" t="s">
        <v>1336</v>
      </c>
      <c r="I5606" s="1" t="n">
        <v>3225.82</v>
      </c>
      <c r="J5606" s="1" t="str">
        <f aca="false">VLOOKUP(B5606,Customers!$A$2:$G$502,6,FALSE())</f>
        <v>Corporate</v>
      </c>
      <c r="K5606" s="1" t="str">
        <f aca="false">VLOOKUP(C5606,Products!$A$2:$E$62,3,FALSE())</f>
        <v>Software</v>
      </c>
      <c r="L5606" s="1" t="str">
        <f aca="false">TEXT(D5606,"yyyy-mm")</f>
        <v>2024-11</v>
      </c>
    </row>
    <row r="5607" customFormat="false" ht="15" hidden="false" customHeight="true" outlineLevel="0" collapsed="false">
      <c r="A5607" s="1" t="n">
        <v>5728</v>
      </c>
      <c r="B5607" s="1" t="n">
        <v>104</v>
      </c>
      <c r="C5607" s="1" t="n">
        <v>39</v>
      </c>
      <c r="D5607" s="1" t="s">
        <v>1359</v>
      </c>
      <c r="E5607" s="1" t="n">
        <v>4</v>
      </c>
      <c r="F5607" s="1" t="n">
        <v>400.02</v>
      </c>
      <c r="G5607" s="1" t="n">
        <v>0</v>
      </c>
      <c r="H5607" s="1" t="s">
        <v>1336</v>
      </c>
      <c r="I5607" s="1" t="n">
        <v>1600.08</v>
      </c>
      <c r="J5607" s="1" t="str">
        <f aca="false">VLOOKUP(B5607,Customers!$A$2:$G$502,6,FALSE())</f>
        <v>Corporate</v>
      </c>
      <c r="K5607" s="1" t="str">
        <f aca="false">VLOOKUP(C5607,Products!$A$2:$E$62,3,FALSE())</f>
        <v>Software</v>
      </c>
      <c r="L5607" s="1" t="str">
        <f aca="false">TEXT(D5607,"yyyy-mm")</f>
        <v>2024-09</v>
      </c>
    </row>
    <row r="5608" customFormat="false" ht="15" hidden="false" customHeight="true" outlineLevel="0" collapsed="false">
      <c r="A5608" s="1" t="n">
        <v>5729</v>
      </c>
      <c r="B5608" s="1" t="n">
        <v>103</v>
      </c>
      <c r="C5608" s="1" t="n">
        <v>34</v>
      </c>
      <c r="D5608" s="1" t="s">
        <v>1553</v>
      </c>
      <c r="E5608" s="1" t="n">
        <v>9</v>
      </c>
      <c r="F5608" s="1" t="n">
        <v>116.85</v>
      </c>
      <c r="G5608" s="1" t="n">
        <v>0.1</v>
      </c>
      <c r="H5608" s="1" t="s">
        <v>1336</v>
      </c>
      <c r="I5608" s="1" t="n">
        <v>946.48</v>
      </c>
      <c r="J5608" s="1" t="str">
        <f aca="false">VLOOKUP(B5608,Customers!$A$2:$G$502,6,FALSE())</f>
        <v>Small Business</v>
      </c>
      <c r="K5608" s="1" t="str">
        <f aca="false">VLOOKUP(C5608,Products!$A$2:$E$62,3,FALSE())</f>
        <v>Office Supplies</v>
      </c>
      <c r="L5608" s="1" t="str">
        <f aca="false">TEXT(D5608,"yyyy-mm")</f>
        <v>2023-06</v>
      </c>
    </row>
    <row r="5609" customFormat="false" ht="15" hidden="false" customHeight="true" outlineLevel="0" collapsed="false">
      <c r="A5609" s="1" t="n">
        <v>5730</v>
      </c>
      <c r="B5609" s="1" t="n">
        <v>375</v>
      </c>
      <c r="C5609" s="1" t="n">
        <v>25</v>
      </c>
      <c r="D5609" s="1" t="s">
        <v>1573</v>
      </c>
      <c r="E5609" s="1" t="n">
        <v>7</v>
      </c>
      <c r="F5609" s="1" t="n">
        <v>300.49</v>
      </c>
      <c r="G5609" s="1" t="n">
        <v>0</v>
      </c>
      <c r="H5609" s="1" t="s">
        <v>1336</v>
      </c>
      <c r="I5609" s="1" t="n">
        <v>2103.43</v>
      </c>
      <c r="J5609" s="1" t="str">
        <f aca="false">VLOOKUP(B5609,Customers!$A$2:$G$502,6,FALSE())</f>
        <v>Consumer</v>
      </c>
      <c r="K5609" s="1" t="str">
        <f aca="false">VLOOKUP(C5609,Products!$A$2:$E$62,3,FALSE())</f>
        <v>Office Supplies</v>
      </c>
      <c r="L5609" s="1" t="str">
        <f aca="false">TEXT(D5609,"yyyy-mm")</f>
        <v>2023-01</v>
      </c>
    </row>
    <row r="5610" customFormat="false" ht="15" hidden="false" customHeight="true" outlineLevel="0" collapsed="false">
      <c r="A5610" s="1" t="n">
        <v>5731</v>
      </c>
      <c r="B5610" s="1" t="n">
        <v>409</v>
      </c>
      <c r="C5610" s="1" t="n">
        <v>7</v>
      </c>
      <c r="D5610" s="1" t="s">
        <v>1527</v>
      </c>
      <c r="E5610" s="1" t="n">
        <v>2</v>
      </c>
      <c r="F5610" s="1" t="n">
        <v>460</v>
      </c>
      <c r="G5610" s="1" t="n">
        <v>0</v>
      </c>
      <c r="H5610" s="1" t="s">
        <v>1336</v>
      </c>
      <c r="I5610" s="1" t="n">
        <v>920</v>
      </c>
      <c r="J5610" s="1" t="str">
        <f aca="false">VLOOKUP(B5610,Customers!$A$2:$G$502,6,FALSE())</f>
        <v>Small Business</v>
      </c>
      <c r="K5610" s="1" t="str">
        <f aca="false">VLOOKUP(C5610,Products!$A$2:$E$62,3,FALSE())</f>
        <v>Electronics</v>
      </c>
      <c r="L5610" s="1" t="str">
        <f aca="false">TEXT(D5610,"yyyy-mm")</f>
        <v>2023-02</v>
      </c>
    </row>
    <row r="5611" customFormat="false" ht="15" hidden="false" customHeight="true" outlineLevel="0" collapsed="false">
      <c r="A5611" s="1" t="n">
        <v>5732</v>
      </c>
      <c r="B5611" s="1" t="n">
        <v>171</v>
      </c>
      <c r="C5611" s="1" t="n">
        <v>42</v>
      </c>
      <c r="D5611" s="1" t="s">
        <v>1610</v>
      </c>
      <c r="E5611" s="1" t="n">
        <v>4</v>
      </c>
      <c r="F5611" s="1" t="n">
        <v>174.48</v>
      </c>
      <c r="G5611" s="1" t="n">
        <v>0.2</v>
      </c>
      <c r="H5611" s="1" t="s">
        <v>1336</v>
      </c>
      <c r="I5611" s="1" t="n">
        <v>558.34</v>
      </c>
      <c r="J5611" s="1" t="str">
        <f aca="false">VLOOKUP(B5611,Customers!$A$2:$G$502,6,FALSE())</f>
        <v>Small Business</v>
      </c>
      <c r="K5611" s="1" t="str">
        <f aca="false">VLOOKUP(C5611,Products!$A$2:$E$62,3,FALSE())</f>
        <v>Software</v>
      </c>
      <c r="L5611" s="1" t="str">
        <f aca="false">TEXT(D5611,"yyyy-mm")</f>
        <v>2024-10</v>
      </c>
    </row>
    <row r="5612" customFormat="false" ht="15" hidden="false" customHeight="true" outlineLevel="0" collapsed="false">
      <c r="A5612" s="1" t="n">
        <v>5733</v>
      </c>
      <c r="B5612" s="1" t="n">
        <v>197</v>
      </c>
      <c r="C5612" s="1" t="n">
        <v>40</v>
      </c>
      <c r="D5612" s="1" t="s">
        <v>689</v>
      </c>
      <c r="E5612" s="1" t="n">
        <v>5</v>
      </c>
      <c r="F5612" s="1" t="n">
        <v>193.02</v>
      </c>
      <c r="G5612" s="1" t="n">
        <v>0</v>
      </c>
      <c r="H5612" s="1" t="s">
        <v>1336</v>
      </c>
      <c r="I5612" s="1" t="n">
        <v>965.1</v>
      </c>
      <c r="J5612" s="1" t="str">
        <f aca="false">VLOOKUP(B5612,Customers!$A$2:$G$502,6,FALSE())</f>
        <v>Small Business</v>
      </c>
      <c r="K5612" s="1" t="str">
        <f aca="false">VLOOKUP(C5612,Products!$A$2:$E$62,3,FALSE())</f>
        <v>Software</v>
      </c>
      <c r="L5612" s="1" t="str">
        <f aca="false">TEXT(D5612,"yyyy-mm")</f>
        <v>2023-11</v>
      </c>
    </row>
    <row r="5613" customFormat="false" ht="15" hidden="false" customHeight="true" outlineLevel="0" collapsed="false">
      <c r="A5613" s="1" t="n">
        <v>5734</v>
      </c>
      <c r="B5613" s="1" t="n">
        <v>299</v>
      </c>
      <c r="C5613" s="1" t="n">
        <v>44</v>
      </c>
      <c r="D5613" s="1" t="s">
        <v>955</v>
      </c>
      <c r="E5613" s="1" t="n">
        <v>3</v>
      </c>
      <c r="F5613" s="1" t="n">
        <v>508.26</v>
      </c>
      <c r="G5613" s="1" t="n">
        <v>0.15</v>
      </c>
      <c r="H5613" s="1" t="s">
        <v>1370</v>
      </c>
      <c r="I5613" s="1" t="n">
        <v>1296.06</v>
      </c>
      <c r="J5613" s="1" t="str">
        <f aca="false">VLOOKUP(B5613,Customers!$A$2:$G$502,6,FALSE())</f>
        <v>Small Business</v>
      </c>
      <c r="K5613" s="1" t="str">
        <f aca="false">VLOOKUP(C5613,Products!$A$2:$E$62,3,FALSE())</f>
        <v>Software</v>
      </c>
      <c r="L5613" s="1" t="str">
        <f aca="false">TEXT(D5613,"yyyy-mm")</f>
        <v>2023-01</v>
      </c>
    </row>
    <row r="5614" customFormat="false" ht="15" hidden="false" customHeight="true" outlineLevel="0" collapsed="false">
      <c r="A5614" s="1" t="n">
        <v>5735</v>
      </c>
      <c r="B5614" s="1" t="n">
        <v>480</v>
      </c>
      <c r="C5614" s="1" t="n">
        <v>25</v>
      </c>
      <c r="D5614" s="1" t="s">
        <v>1625</v>
      </c>
      <c r="E5614" s="1" t="n">
        <v>9</v>
      </c>
      <c r="F5614" s="1" t="n">
        <v>300.49</v>
      </c>
      <c r="G5614" s="1" t="n">
        <v>0</v>
      </c>
      <c r="H5614" s="1" t="s">
        <v>1336</v>
      </c>
      <c r="I5614" s="1" t="n">
        <v>2704.41</v>
      </c>
      <c r="J5614" s="1" t="str">
        <f aca="false">VLOOKUP(B5614,Customers!$A$2:$G$502,6,FALSE())</f>
        <v>Unknown</v>
      </c>
      <c r="K5614" s="1" t="str">
        <f aca="false">VLOOKUP(C5614,Products!$A$2:$E$62,3,FALSE())</f>
        <v>Office Supplies</v>
      </c>
      <c r="L5614" s="1" t="str">
        <f aca="false">TEXT(D5614,"yyyy-mm")</f>
        <v>2023-02</v>
      </c>
    </row>
    <row r="5615" customFormat="false" ht="15" hidden="false" customHeight="true" outlineLevel="0" collapsed="false">
      <c r="A5615" s="1" t="n">
        <v>5736</v>
      </c>
      <c r="B5615" s="1" t="n">
        <v>306</v>
      </c>
      <c r="C5615" s="1" t="n">
        <v>48</v>
      </c>
      <c r="D5615" s="1" t="s">
        <v>1407</v>
      </c>
      <c r="E5615" s="1" t="n">
        <v>5</v>
      </c>
      <c r="F5615" s="1" t="n">
        <v>493.53</v>
      </c>
      <c r="G5615" s="1" t="n">
        <v>0</v>
      </c>
      <c r="H5615" s="1" t="s">
        <v>1336</v>
      </c>
      <c r="I5615" s="1" t="n">
        <v>2467.65</v>
      </c>
      <c r="J5615" s="1" t="str">
        <f aca="false">VLOOKUP(B5615,Customers!$A$2:$G$502,6,FALSE())</f>
        <v>Small Business</v>
      </c>
      <c r="K5615" s="1" t="str">
        <f aca="false">VLOOKUP(C5615,Products!$A$2:$E$62,3,FALSE())</f>
        <v>Software</v>
      </c>
      <c r="L5615" s="1" t="str">
        <f aca="false">TEXT(D5615,"yyyy-mm")</f>
        <v>2023-06</v>
      </c>
    </row>
    <row r="5616" customFormat="false" ht="15" hidden="false" customHeight="true" outlineLevel="0" collapsed="false">
      <c r="A5616" s="1" t="n">
        <v>5737</v>
      </c>
      <c r="B5616" s="1" t="n">
        <v>16</v>
      </c>
      <c r="C5616" s="1" t="n">
        <v>33</v>
      </c>
      <c r="D5616" s="1" t="s">
        <v>1499</v>
      </c>
      <c r="E5616" s="1" t="n">
        <v>2</v>
      </c>
      <c r="F5616" s="1" t="n">
        <v>190.1</v>
      </c>
      <c r="G5616" s="1" t="n">
        <v>0</v>
      </c>
      <c r="H5616" s="1" t="s">
        <v>1370</v>
      </c>
      <c r="I5616" s="1" t="n">
        <v>380.2</v>
      </c>
      <c r="J5616" s="1" t="str">
        <f aca="false">VLOOKUP(B5616,Customers!$A$2:$G$502,6,FALSE())</f>
        <v>Small Business</v>
      </c>
      <c r="K5616" s="1" t="str">
        <f aca="false">VLOOKUP(C5616,Products!$A$2:$E$62,3,FALSE())</f>
        <v>Office Supplies</v>
      </c>
      <c r="L5616" s="1" t="str">
        <f aca="false">TEXT(D5616,"yyyy-mm")</f>
        <v>2024-10</v>
      </c>
    </row>
    <row r="5617" customFormat="false" ht="15" hidden="false" customHeight="true" outlineLevel="0" collapsed="false">
      <c r="A5617" s="1" t="n">
        <v>5738</v>
      </c>
      <c r="B5617" s="1" t="n">
        <v>140</v>
      </c>
      <c r="C5617" s="1" t="n">
        <v>14</v>
      </c>
      <c r="D5617" s="1" t="s">
        <v>1036</v>
      </c>
      <c r="E5617" s="1" t="n">
        <v>3</v>
      </c>
      <c r="F5617" s="1" t="n">
        <v>135.27</v>
      </c>
      <c r="G5617" s="1" t="n">
        <v>0</v>
      </c>
      <c r="H5617" s="1" t="s">
        <v>1336</v>
      </c>
      <c r="I5617" s="1" t="n">
        <v>405.81</v>
      </c>
      <c r="J5617" s="1" t="str">
        <f aca="false">VLOOKUP(B5617,Customers!$A$2:$G$502,6,FALSE())</f>
        <v>Unknown</v>
      </c>
      <c r="K5617" s="1" t="str">
        <f aca="false">VLOOKUP(C5617,Products!$A$2:$E$62,3,FALSE())</f>
        <v>Electronics</v>
      </c>
      <c r="L5617" s="1" t="str">
        <f aca="false">TEXT(D5617,"yyyy-mm")</f>
        <v>2024-05</v>
      </c>
    </row>
    <row r="5618" customFormat="false" ht="15" hidden="false" customHeight="true" outlineLevel="0" collapsed="false">
      <c r="A5618" s="1" t="n">
        <v>5739</v>
      </c>
      <c r="B5618" s="1" t="n">
        <v>366</v>
      </c>
      <c r="C5618" s="1" t="n">
        <v>46</v>
      </c>
      <c r="D5618" s="1" t="s">
        <v>185</v>
      </c>
      <c r="E5618" s="1" t="n">
        <v>9</v>
      </c>
      <c r="F5618" s="1" t="n">
        <v>94.92</v>
      </c>
      <c r="G5618" s="1" t="n">
        <v>0.05</v>
      </c>
      <c r="H5618" s="1" t="s">
        <v>1336</v>
      </c>
      <c r="I5618" s="1" t="n">
        <v>811.57</v>
      </c>
      <c r="J5618" s="1" t="str">
        <f aca="false">VLOOKUP(B5618,Customers!$A$2:$G$502,6,FALSE())</f>
        <v>Corporate</v>
      </c>
      <c r="K5618" s="1" t="str">
        <f aca="false">VLOOKUP(C5618,Products!$A$2:$E$62,3,FALSE())</f>
        <v>Software</v>
      </c>
      <c r="L5618" s="1" t="str">
        <f aca="false">TEXT(D5618,"yyyy-mm")</f>
        <v>2024-05</v>
      </c>
    </row>
    <row r="5619" customFormat="false" ht="15" hidden="false" customHeight="true" outlineLevel="0" collapsed="false">
      <c r="A5619" s="1" t="n">
        <v>5740</v>
      </c>
      <c r="B5619" s="1" t="n">
        <v>398</v>
      </c>
      <c r="C5619" s="1" t="n">
        <v>5</v>
      </c>
      <c r="D5619" s="1" t="s">
        <v>737</v>
      </c>
      <c r="E5619" s="1" t="n">
        <v>7</v>
      </c>
      <c r="F5619" s="1" t="n">
        <v>439.06</v>
      </c>
      <c r="G5619" s="1" t="n">
        <v>0</v>
      </c>
      <c r="H5619" s="1" t="s">
        <v>1336</v>
      </c>
      <c r="I5619" s="1" t="n">
        <v>3073.42</v>
      </c>
      <c r="J5619" s="1" t="str">
        <f aca="false">VLOOKUP(B5619,Customers!$A$2:$G$502,6,FALSE())</f>
        <v>Small Business</v>
      </c>
      <c r="K5619" s="1" t="str">
        <f aca="false">VLOOKUP(C5619,Products!$A$2:$E$62,3,FALSE())</f>
        <v>Electronics</v>
      </c>
      <c r="L5619" s="1" t="str">
        <f aca="false">TEXT(D5619,"yyyy-mm")</f>
        <v>2024-08</v>
      </c>
    </row>
    <row r="5620" customFormat="false" ht="15" hidden="false" customHeight="true" outlineLevel="0" collapsed="false">
      <c r="A5620" s="1" t="n">
        <v>5741</v>
      </c>
      <c r="B5620" s="1" t="n">
        <v>457</v>
      </c>
      <c r="C5620" s="1" t="n">
        <v>20</v>
      </c>
      <c r="D5620" s="1" t="s">
        <v>1513</v>
      </c>
      <c r="E5620" s="1" t="n">
        <v>2</v>
      </c>
      <c r="F5620" s="1" t="n">
        <v>426.15</v>
      </c>
      <c r="G5620" s="1" t="n">
        <v>0</v>
      </c>
      <c r="H5620" s="1" t="s">
        <v>1336</v>
      </c>
      <c r="I5620" s="1" t="n">
        <v>852.3</v>
      </c>
      <c r="J5620" s="1" t="str">
        <f aca="false">VLOOKUP(B5620,Customers!$A$2:$G$502,6,FALSE())</f>
        <v>Small Business</v>
      </c>
      <c r="K5620" s="1" t="str">
        <f aca="false">VLOOKUP(C5620,Products!$A$2:$E$62,3,FALSE())</f>
        <v>Office Supplies</v>
      </c>
      <c r="L5620" s="1" t="str">
        <f aca="false">TEXT(D5620,"yyyy-mm")</f>
        <v>2024-12</v>
      </c>
    </row>
    <row r="5621" customFormat="false" ht="15" hidden="false" customHeight="true" outlineLevel="0" collapsed="false">
      <c r="A5621" s="1" t="n">
        <v>5742</v>
      </c>
      <c r="B5621" s="1" t="n">
        <v>169</v>
      </c>
      <c r="C5621" s="1" t="n">
        <v>50</v>
      </c>
      <c r="D5621" s="1" t="s">
        <v>841</v>
      </c>
      <c r="E5621" s="1" t="n">
        <v>9</v>
      </c>
      <c r="F5621" s="1" t="n">
        <v>19.73</v>
      </c>
      <c r="G5621" s="1" t="n">
        <v>0.1</v>
      </c>
      <c r="H5621" s="1" t="s">
        <v>1336</v>
      </c>
      <c r="I5621" s="1" t="n">
        <v>159.81</v>
      </c>
      <c r="J5621" s="1" t="str">
        <f aca="false">VLOOKUP(B5621,Customers!$A$2:$G$502,6,FALSE())</f>
        <v>Consumer</v>
      </c>
      <c r="K5621" s="1" t="str">
        <f aca="false">VLOOKUP(C5621,Products!$A$2:$E$62,3,FALSE())</f>
        <v>Software</v>
      </c>
      <c r="L5621" s="1" t="str">
        <f aca="false">TEXT(D5621,"yyyy-mm")</f>
        <v>2024-01</v>
      </c>
    </row>
    <row r="5622" customFormat="false" ht="15" hidden="false" customHeight="true" outlineLevel="0" collapsed="false">
      <c r="A5622" s="1" t="n">
        <v>5743</v>
      </c>
      <c r="B5622" s="1" t="n">
        <v>389</v>
      </c>
      <c r="C5622" s="1" t="n">
        <v>3</v>
      </c>
      <c r="D5622" s="1" t="s">
        <v>1001</v>
      </c>
      <c r="E5622" s="1" t="n">
        <v>4</v>
      </c>
      <c r="F5622" s="1" t="n">
        <v>89.39</v>
      </c>
      <c r="G5622" s="1" t="n">
        <v>0.2</v>
      </c>
      <c r="H5622" s="1" t="s">
        <v>1336</v>
      </c>
      <c r="I5622" s="1" t="n">
        <v>286.05</v>
      </c>
      <c r="J5622" s="1" t="str">
        <f aca="false">VLOOKUP(B5622,Customers!$A$2:$G$502,6,FALSE())</f>
        <v>Corporate</v>
      </c>
      <c r="K5622" s="1" t="str">
        <f aca="false">VLOOKUP(C5622,Products!$A$2:$E$62,3,FALSE())</f>
        <v>Electronics</v>
      </c>
      <c r="L5622" s="1" t="str">
        <f aca="false">TEXT(D5622,"yyyy-mm")</f>
        <v>2023-03</v>
      </c>
    </row>
    <row r="5623" customFormat="false" ht="15" hidden="false" customHeight="true" outlineLevel="0" collapsed="false">
      <c r="A5623" s="1" t="n">
        <v>5744</v>
      </c>
      <c r="B5623" s="1" t="n">
        <v>47</v>
      </c>
      <c r="C5623" s="1" t="n">
        <v>46</v>
      </c>
      <c r="D5623" s="1" t="s">
        <v>651</v>
      </c>
      <c r="E5623" s="1" t="n">
        <v>9</v>
      </c>
      <c r="F5623" s="1" t="n">
        <v>94.92</v>
      </c>
      <c r="G5623" s="1" t="n">
        <v>0</v>
      </c>
      <c r="H5623" s="1" t="s">
        <v>1336</v>
      </c>
      <c r="I5623" s="1" t="n">
        <v>854.28</v>
      </c>
      <c r="J5623" s="1" t="str">
        <f aca="false">VLOOKUP(B5623,Customers!$A$2:$G$502,6,FALSE())</f>
        <v>Small Business</v>
      </c>
      <c r="K5623" s="1" t="str">
        <f aca="false">VLOOKUP(C5623,Products!$A$2:$E$62,3,FALSE())</f>
        <v>Software</v>
      </c>
      <c r="L5623" s="1" t="str">
        <f aca="false">TEXT(D5623,"yyyy-mm")</f>
        <v>2024-12</v>
      </c>
    </row>
    <row r="5624" customFormat="false" ht="15" hidden="false" customHeight="true" outlineLevel="0" collapsed="false">
      <c r="A5624" s="1" t="n">
        <v>5745</v>
      </c>
      <c r="B5624" s="1" t="n">
        <v>226</v>
      </c>
      <c r="C5624" s="1" t="n">
        <v>20</v>
      </c>
      <c r="D5624" s="1" t="s">
        <v>1424</v>
      </c>
      <c r="E5624" s="1" t="n">
        <v>2</v>
      </c>
      <c r="F5624" s="1" t="n">
        <v>426.15</v>
      </c>
      <c r="G5624" s="1" t="n">
        <v>0</v>
      </c>
      <c r="H5624" s="1" t="s">
        <v>1336</v>
      </c>
      <c r="I5624" s="1" t="n">
        <v>852.3</v>
      </c>
      <c r="J5624" s="1" t="str">
        <f aca="false">VLOOKUP(B5624,Customers!$A$2:$G$502,6,FALSE())</f>
        <v>Corporate</v>
      </c>
      <c r="K5624" s="1" t="str">
        <f aca="false">VLOOKUP(C5624,Products!$A$2:$E$62,3,FALSE())</f>
        <v>Office Supplies</v>
      </c>
      <c r="L5624" s="1" t="str">
        <f aca="false">TEXT(D5624,"yyyy-mm")</f>
        <v>2024-02</v>
      </c>
    </row>
    <row r="5625" customFormat="false" ht="15" hidden="false" customHeight="true" outlineLevel="0" collapsed="false">
      <c r="A5625" s="1" t="n">
        <v>5746</v>
      </c>
      <c r="B5625" s="1" t="n">
        <v>251</v>
      </c>
      <c r="C5625" s="1" t="n">
        <v>34</v>
      </c>
      <c r="D5625" s="1" t="s">
        <v>263</v>
      </c>
      <c r="E5625" s="1" t="n">
        <v>4</v>
      </c>
      <c r="F5625" s="1" t="n">
        <v>116.85</v>
      </c>
      <c r="G5625" s="1" t="n">
        <v>0.05</v>
      </c>
      <c r="H5625" s="1" t="s">
        <v>1336</v>
      </c>
      <c r="I5625" s="1" t="n">
        <v>444.03</v>
      </c>
      <c r="J5625" s="1" t="str">
        <f aca="false">VLOOKUP(B5625,Customers!$A$2:$G$502,6,FALSE())</f>
        <v>Small Business</v>
      </c>
      <c r="K5625" s="1" t="str">
        <f aca="false">VLOOKUP(C5625,Products!$A$2:$E$62,3,FALSE())</f>
        <v>Office Supplies</v>
      </c>
      <c r="L5625" s="1" t="str">
        <f aca="false">TEXT(D5625,"yyyy-mm")</f>
        <v>2023-04</v>
      </c>
    </row>
    <row r="5626" customFormat="false" ht="15" hidden="false" customHeight="true" outlineLevel="0" collapsed="false">
      <c r="A5626" s="1" t="n">
        <v>5747</v>
      </c>
      <c r="B5626" s="1" t="n">
        <v>72</v>
      </c>
      <c r="C5626" s="1" t="n">
        <v>32</v>
      </c>
      <c r="D5626" s="1" t="s">
        <v>863</v>
      </c>
      <c r="E5626" s="1" t="n">
        <v>5</v>
      </c>
      <c r="F5626" s="1" t="n">
        <v>492.27</v>
      </c>
      <c r="G5626" s="1" t="n">
        <v>0.1</v>
      </c>
      <c r="H5626" s="1" t="s">
        <v>1336</v>
      </c>
      <c r="I5626" s="1" t="n">
        <v>2215.22</v>
      </c>
      <c r="J5626" s="1" t="str">
        <f aca="false">VLOOKUP(B5626,Customers!$A$2:$G$502,6,FALSE())</f>
        <v>Corporate</v>
      </c>
      <c r="K5626" s="1" t="str">
        <f aca="false">VLOOKUP(C5626,Products!$A$2:$E$62,3,FALSE())</f>
        <v>Office Supplies</v>
      </c>
      <c r="L5626" s="1" t="str">
        <f aca="false">TEXT(D5626,"yyyy-mm")</f>
        <v>2023-11</v>
      </c>
    </row>
    <row r="5627" customFormat="false" ht="15" hidden="false" customHeight="true" outlineLevel="0" collapsed="false">
      <c r="A5627" s="1" t="n">
        <v>5748</v>
      </c>
      <c r="B5627" s="1" t="n">
        <v>416</v>
      </c>
      <c r="C5627" s="1" t="n">
        <v>11</v>
      </c>
      <c r="D5627" s="1" t="s">
        <v>1645</v>
      </c>
      <c r="E5627" s="1" t="n">
        <v>2</v>
      </c>
      <c r="F5627" s="1" t="n">
        <v>328.39</v>
      </c>
      <c r="G5627" s="1" t="n">
        <v>0.05</v>
      </c>
      <c r="H5627" s="1" t="s">
        <v>1336</v>
      </c>
      <c r="I5627" s="1" t="n">
        <v>623.94</v>
      </c>
      <c r="J5627" s="1" t="str">
        <f aca="false">VLOOKUP(B5627,Customers!$A$2:$G$502,6,FALSE())</f>
        <v>Small Business</v>
      </c>
      <c r="K5627" s="1" t="str">
        <f aca="false">VLOOKUP(C5627,Products!$A$2:$E$62,3,FALSE())</f>
        <v>Electronics</v>
      </c>
      <c r="L5627" s="1" t="str">
        <f aca="false">TEXT(D5627,"yyyy-mm")</f>
        <v>2023-01</v>
      </c>
    </row>
    <row r="5628" customFormat="false" ht="15" hidden="false" customHeight="true" outlineLevel="0" collapsed="false">
      <c r="A5628" s="1" t="n">
        <v>5749</v>
      </c>
      <c r="B5628" s="1" t="n">
        <v>444</v>
      </c>
      <c r="C5628" s="1" t="n">
        <v>30</v>
      </c>
      <c r="D5628" s="1" t="s">
        <v>223</v>
      </c>
      <c r="E5628" s="1" t="n">
        <v>1</v>
      </c>
      <c r="F5628" s="1" t="n">
        <v>33.32</v>
      </c>
      <c r="G5628" s="1" t="n">
        <v>0.05</v>
      </c>
      <c r="H5628" s="1" t="s">
        <v>1336</v>
      </c>
      <c r="I5628" s="1" t="n">
        <v>31.65</v>
      </c>
      <c r="J5628" s="1" t="str">
        <f aca="false">VLOOKUP(B5628,Customers!$A$2:$G$502,6,FALSE())</f>
        <v>Small Business</v>
      </c>
      <c r="K5628" s="1" t="str">
        <f aca="false">VLOOKUP(C5628,Products!$A$2:$E$62,3,FALSE())</f>
        <v>Office Supplies</v>
      </c>
      <c r="L5628" s="1" t="str">
        <f aca="false">TEXT(D5628,"yyyy-mm")</f>
        <v>2023-06</v>
      </c>
    </row>
    <row r="5629" customFormat="false" ht="15" hidden="false" customHeight="true" outlineLevel="0" collapsed="false">
      <c r="A5629" s="1" t="n">
        <v>5750</v>
      </c>
      <c r="B5629" s="1" t="n">
        <v>116</v>
      </c>
      <c r="C5629" s="1" t="n">
        <v>7</v>
      </c>
      <c r="D5629" s="1" t="s">
        <v>1355</v>
      </c>
      <c r="E5629" s="1" t="n">
        <v>7</v>
      </c>
      <c r="F5629" s="1" t="n">
        <v>460</v>
      </c>
      <c r="G5629" s="1" t="n">
        <v>0</v>
      </c>
      <c r="H5629" s="1" t="s">
        <v>1370</v>
      </c>
      <c r="I5629" s="1" t="n">
        <v>3220</v>
      </c>
      <c r="J5629" s="1" t="str">
        <f aca="false">VLOOKUP(B5629,Customers!$A$2:$G$502,6,FALSE())</f>
        <v>Corporate</v>
      </c>
      <c r="K5629" s="1" t="str">
        <f aca="false">VLOOKUP(C5629,Products!$A$2:$E$62,3,FALSE())</f>
        <v>Electronics</v>
      </c>
      <c r="L5629" s="1" t="str">
        <f aca="false">TEXT(D5629,"yyyy-mm")</f>
        <v>2023-02</v>
      </c>
    </row>
    <row r="5630" customFormat="false" ht="15" hidden="false" customHeight="true" outlineLevel="0" collapsed="false">
      <c r="A5630" s="1" t="n">
        <v>5751</v>
      </c>
      <c r="B5630" s="1" t="n">
        <v>93</v>
      </c>
      <c r="C5630" s="1" t="n">
        <v>49</v>
      </c>
      <c r="D5630" s="1" t="s">
        <v>1469</v>
      </c>
      <c r="E5630" s="1" t="n">
        <v>1</v>
      </c>
      <c r="F5630" s="1" t="n">
        <v>325.17</v>
      </c>
      <c r="G5630" s="1" t="n">
        <v>0</v>
      </c>
      <c r="H5630" s="1" t="s">
        <v>1336</v>
      </c>
      <c r="I5630" s="1" t="n">
        <v>325.17</v>
      </c>
      <c r="J5630" s="1" t="str">
        <f aca="false">VLOOKUP(B5630,Customers!$A$2:$G$502,6,FALSE())</f>
        <v>Consumer</v>
      </c>
      <c r="K5630" s="1" t="str">
        <f aca="false">VLOOKUP(C5630,Products!$A$2:$E$62,3,FALSE())</f>
        <v>Software</v>
      </c>
      <c r="L5630" s="1" t="str">
        <f aca="false">TEXT(D5630,"yyyy-mm")</f>
        <v>2023-11</v>
      </c>
    </row>
    <row r="5631" customFormat="false" ht="15" hidden="false" customHeight="true" outlineLevel="0" collapsed="false">
      <c r="A5631" s="1" t="n">
        <v>5752</v>
      </c>
      <c r="B5631" s="1" t="n">
        <v>334</v>
      </c>
      <c r="C5631" s="1" t="n">
        <v>2</v>
      </c>
      <c r="D5631" s="1" t="s">
        <v>909</v>
      </c>
      <c r="E5631" s="1" t="n">
        <v>8</v>
      </c>
      <c r="F5631" s="1" t="n">
        <v>498.15</v>
      </c>
      <c r="G5631" s="1" t="n">
        <v>0</v>
      </c>
      <c r="H5631" s="1" t="s">
        <v>1336</v>
      </c>
      <c r="I5631" s="1" t="n">
        <v>3985.2</v>
      </c>
      <c r="J5631" s="1" t="str">
        <f aca="false">VLOOKUP(B5631,Customers!$A$2:$G$502,6,FALSE())</f>
        <v>Unknown</v>
      </c>
      <c r="K5631" s="1" t="str">
        <f aca="false">VLOOKUP(C5631,Products!$A$2:$E$62,3,FALSE())</f>
        <v>Electronics</v>
      </c>
      <c r="L5631" s="1" t="str">
        <f aca="false">TEXT(D5631,"yyyy-mm")</f>
        <v>2023-03</v>
      </c>
    </row>
    <row r="5632" customFormat="false" ht="15" hidden="false" customHeight="true" outlineLevel="0" collapsed="false">
      <c r="A5632" s="1" t="n">
        <v>5753</v>
      </c>
      <c r="B5632" s="1" t="n">
        <v>335</v>
      </c>
      <c r="C5632" s="1" t="n">
        <v>57</v>
      </c>
      <c r="D5632" s="1" t="s">
        <v>1624</v>
      </c>
      <c r="E5632" s="1" t="n">
        <v>3</v>
      </c>
      <c r="F5632" s="1" t="n">
        <v>719.76</v>
      </c>
      <c r="G5632" s="1" t="n">
        <v>0</v>
      </c>
      <c r="H5632" s="1" t="s">
        <v>1336</v>
      </c>
      <c r="I5632" s="1" t="n">
        <v>2159.28</v>
      </c>
      <c r="J5632" s="1" t="str">
        <f aca="false">VLOOKUP(B5632,Customers!$A$2:$G$502,6,FALSE())</f>
        <v>Small Business</v>
      </c>
      <c r="K5632" s="1" t="str">
        <f aca="false">VLOOKUP(C5632,Products!$A$2:$E$62,3,FALSE())</f>
        <v>Furniture</v>
      </c>
      <c r="L5632" s="1" t="str">
        <f aca="false">TEXT(D5632,"yyyy-mm")</f>
        <v>2024-07</v>
      </c>
    </row>
    <row r="5633" customFormat="false" ht="15" hidden="false" customHeight="true" outlineLevel="0" collapsed="false">
      <c r="A5633" s="1" t="n">
        <v>5754</v>
      </c>
      <c r="B5633" s="1" t="n">
        <v>387</v>
      </c>
      <c r="C5633" s="1" t="n">
        <v>18</v>
      </c>
      <c r="D5633" s="1" t="s">
        <v>935</v>
      </c>
      <c r="E5633" s="1" t="n">
        <v>6</v>
      </c>
      <c r="F5633" s="1" t="n">
        <v>747.34</v>
      </c>
      <c r="G5633" s="1" t="n">
        <v>0.1</v>
      </c>
      <c r="H5633" s="1" t="s">
        <v>1336</v>
      </c>
      <c r="I5633" s="1" t="n">
        <v>4035.64</v>
      </c>
      <c r="J5633" s="1" t="str">
        <f aca="false">VLOOKUP(B5633,Customers!$A$2:$G$502,6,FALSE())</f>
        <v>Corporate</v>
      </c>
      <c r="K5633" s="1" t="str">
        <f aca="false">VLOOKUP(C5633,Products!$A$2:$E$62,3,FALSE())</f>
        <v>Electronics</v>
      </c>
      <c r="L5633" s="1" t="str">
        <f aca="false">TEXT(D5633,"yyyy-mm")</f>
        <v>2024-02</v>
      </c>
    </row>
    <row r="5634" customFormat="false" ht="15" hidden="false" customHeight="true" outlineLevel="0" collapsed="false">
      <c r="A5634" s="1" t="n">
        <v>5755</v>
      </c>
      <c r="B5634" s="1" t="n">
        <v>480</v>
      </c>
      <c r="C5634" s="1" t="n">
        <v>30</v>
      </c>
      <c r="D5634" s="1" t="s">
        <v>1575</v>
      </c>
      <c r="E5634" s="1" t="n">
        <v>7</v>
      </c>
      <c r="F5634" s="1" t="n">
        <v>33.32</v>
      </c>
      <c r="G5634" s="1" t="n">
        <v>0</v>
      </c>
      <c r="H5634" s="1" t="s">
        <v>1346</v>
      </c>
      <c r="I5634" s="1" t="n">
        <v>233.24</v>
      </c>
      <c r="J5634" s="1" t="str">
        <f aca="false">VLOOKUP(B5634,Customers!$A$2:$G$502,6,FALSE())</f>
        <v>Unknown</v>
      </c>
      <c r="K5634" s="1" t="str">
        <f aca="false">VLOOKUP(C5634,Products!$A$2:$E$62,3,FALSE())</f>
        <v>Office Supplies</v>
      </c>
      <c r="L5634" s="1" t="str">
        <f aca="false">TEXT(D5634,"yyyy-mm")</f>
        <v>2024-05</v>
      </c>
    </row>
    <row r="5635" customFormat="false" ht="15" hidden="false" customHeight="true" outlineLevel="0" collapsed="false">
      <c r="A5635" s="1" t="n">
        <v>5756</v>
      </c>
      <c r="B5635" s="1" t="n">
        <v>25</v>
      </c>
      <c r="C5635" s="1" t="n">
        <v>45</v>
      </c>
      <c r="D5635" s="1" t="s">
        <v>1400</v>
      </c>
      <c r="E5635" s="1" t="n">
        <v>1</v>
      </c>
      <c r="F5635" s="1" t="n">
        <v>560.01</v>
      </c>
      <c r="G5635" s="1" t="n">
        <v>0.1</v>
      </c>
      <c r="H5635" s="1" t="s">
        <v>1370</v>
      </c>
      <c r="I5635" s="1" t="n">
        <v>504.01</v>
      </c>
      <c r="J5635" s="1" t="str">
        <f aca="false">VLOOKUP(B5635,Customers!$A$2:$G$502,6,FALSE())</f>
        <v>Corporate</v>
      </c>
      <c r="K5635" s="1" t="str">
        <f aca="false">VLOOKUP(C5635,Products!$A$2:$E$62,3,FALSE())</f>
        <v>Software</v>
      </c>
      <c r="L5635" s="1" t="str">
        <f aca="false">TEXT(D5635,"yyyy-mm")</f>
        <v>2024-12</v>
      </c>
    </row>
    <row r="5636" customFormat="false" ht="15" hidden="false" customHeight="true" outlineLevel="0" collapsed="false">
      <c r="A5636" s="1" t="n">
        <v>5757</v>
      </c>
      <c r="B5636" s="1" t="n">
        <v>354</v>
      </c>
      <c r="C5636" s="1" t="n">
        <v>44</v>
      </c>
      <c r="D5636" s="1" t="s">
        <v>416</v>
      </c>
      <c r="E5636" s="1" t="n">
        <v>6</v>
      </c>
      <c r="F5636" s="1" t="n">
        <v>508.26</v>
      </c>
      <c r="G5636" s="1" t="n">
        <v>0</v>
      </c>
      <c r="H5636" s="1" t="s">
        <v>1336</v>
      </c>
      <c r="I5636" s="1" t="n">
        <v>3049.56</v>
      </c>
      <c r="J5636" s="1" t="str">
        <f aca="false">VLOOKUP(B5636,Customers!$A$2:$G$502,6,FALSE())</f>
        <v>Consumer</v>
      </c>
      <c r="K5636" s="1" t="str">
        <f aca="false">VLOOKUP(C5636,Products!$A$2:$E$62,3,FALSE())</f>
        <v>Software</v>
      </c>
      <c r="L5636" s="1" t="str">
        <f aca="false">TEXT(D5636,"yyyy-mm")</f>
        <v>2023-12</v>
      </c>
    </row>
    <row r="5637" customFormat="false" ht="15" hidden="false" customHeight="true" outlineLevel="0" collapsed="false">
      <c r="A5637" s="1" t="n">
        <v>5758</v>
      </c>
      <c r="B5637" s="1" t="n">
        <v>364</v>
      </c>
      <c r="C5637" s="1" t="n">
        <v>12</v>
      </c>
      <c r="D5637" s="1" t="s">
        <v>1405</v>
      </c>
      <c r="E5637" s="1" t="n">
        <v>7</v>
      </c>
      <c r="F5637" s="1" t="n">
        <v>179.23</v>
      </c>
      <c r="G5637" s="1" t="n">
        <v>0</v>
      </c>
      <c r="H5637" s="1" t="s">
        <v>1336</v>
      </c>
      <c r="I5637" s="1" t="n">
        <v>1254.61</v>
      </c>
      <c r="J5637" s="1" t="str">
        <f aca="false">VLOOKUP(B5637,Customers!$A$2:$G$502,6,FALSE())</f>
        <v>Small Business</v>
      </c>
      <c r="K5637" s="1" t="str">
        <f aca="false">VLOOKUP(C5637,Products!$A$2:$E$62,3,FALSE())</f>
        <v>Electronics</v>
      </c>
      <c r="L5637" s="1" t="str">
        <f aca="false">TEXT(D5637,"yyyy-mm")</f>
        <v>2024-03</v>
      </c>
    </row>
    <row r="5638" customFormat="false" ht="15" hidden="false" customHeight="true" outlineLevel="0" collapsed="false">
      <c r="A5638" s="1" t="n">
        <v>5759</v>
      </c>
      <c r="B5638" s="1" t="n">
        <v>140</v>
      </c>
      <c r="C5638" s="1" t="n">
        <v>25</v>
      </c>
      <c r="D5638" s="1" t="s">
        <v>1269</v>
      </c>
      <c r="E5638" s="1" t="n">
        <v>6</v>
      </c>
      <c r="F5638" s="1" t="n">
        <v>300.49</v>
      </c>
      <c r="G5638" s="1" t="n">
        <v>0.05</v>
      </c>
      <c r="H5638" s="1" t="s">
        <v>1336</v>
      </c>
      <c r="I5638" s="1" t="n">
        <v>1712.79</v>
      </c>
      <c r="J5638" s="1" t="str">
        <f aca="false">VLOOKUP(B5638,Customers!$A$2:$G$502,6,FALSE())</f>
        <v>Unknown</v>
      </c>
      <c r="K5638" s="1" t="str">
        <f aca="false">VLOOKUP(C5638,Products!$A$2:$E$62,3,FALSE())</f>
        <v>Office Supplies</v>
      </c>
      <c r="L5638" s="1" t="str">
        <f aca="false">TEXT(D5638,"yyyy-mm")</f>
        <v>2023-05</v>
      </c>
    </row>
    <row r="5639" customFormat="false" ht="15" hidden="false" customHeight="true" outlineLevel="0" collapsed="false">
      <c r="A5639" s="1" t="n">
        <v>5760</v>
      </c>
      <c r="B5639" s="1" t="n">
        <v>374</v>
      </c>
      <c r="C5639" s="1" t="n">
        <v>22</v>
      </c>
      <c r="D5639" s="1" t="s">
        <v>629</v>
      </c>
      <c r="E5639" s="1" t="n">
        <v>4</v>
      </c>
      <c r="F5639" s="1" t="n">
        <v>38.57</v>
      </c>
      <c r="G5639" s="1" t="n">
        <v>0</v>
      </c>
      <c r="H5639" s="1" t="s">
        <v>1336</v>
      </c>
      <c r="I5639" s="1" t="n">
        <v>154.28</v>
      </c>
      <c r="J5639" s="1" t="str">
        <f aca="false">VLOOKUP(B5639,Customers!$A$2:$G$502,6,FALSE())</f>
        <v>Consumer</v>
      </c>
      <c r="K5639" s="1" t="str">
        <f aca="false">VLOOKUP(C5639,Products!$A$2:$E$62,3,FALSE())</f>
        <v>Office Supplies</v>
      </c>
      <c r="L5639" s="1" t="str">
        <f aca="false">TEXT(D5639,"yyyy-mm")</f>
        <v>2023-04</v>
      </c>
    </row>
    <row r="5640" customFormat="false" ht="15" hidden="false" customHeight="true" outlineLevel="0" collapsed="false">
      <c r="A5640" s="1" t="n">
        <v>5762</v>
      </c>
      <c r="B5640" s="1" t="n">
        <v>159</v>
      </c>
      <c r="C5640" s="1" t="n">
        <v>6</v>
      </c>
      <c r="D5640" s="1" t="s">
        <v>360</v>
      </c>
      <c r="E5640" s="1" t="n">
        <v>9</v>
      </c>
      <c r="F5640" s="1" t="n">
        <v>28.51</v>
      </c>
      <c r="G5640" s="1" t="n">
        <v>0.2</v>
      </c>
      <c r="H5640" s="1" t="s">
        <v>1336</v>
      </c>
      <c r="I5640" s="1" t="n">
        <v>205.27</v>
      </c>
      <c r="J5640" s="1" t="str">
        <f aca="false">VLOOKUP(B5640,Customers!$A$2:$G$502,6,FALSE())</f>
        <v>Corporate</v>
      </c>
      <c r="K5640" s="1" t="str">
        <f aca="false">VLOOKUP(C5640,Products!$A$2:$E$62,3,FALSE())</f>
        <v>Electronics</v>
      </c>
      <c r="L5640" s="1" t="str">
        <f aca="false">TEXT(D5640,"yyyy-mm")</f>
        <v>2024-10</v>
      </c>
    </row>
    <row r="5641" customFormat="false" ht="15" hidden="false" customHeight="true" outlineLevel="0" collapsed="false">
      <c r="A5641" s="1" t="n">
        <v>5763</v>
      </c>
      <c r="B5641" s="1" t="n">
        <v>123</v>
      </c>
      <c r="C5641" s="1" t="n">
        <v>16</v>
      </c>
      <c r="D5641" s="1" t="s">
        <v>786</v>
      </c>
      <c r="E5641" s="1" t="n">
        <v>4</v>
      </c>
      <c r="F5641" s="1" t="n">
        <v>330.91</v>
      </c>
      <c r="G5641" s="1" t="n">
        <v>0</v>
      </c>
      <c r="H5641" s="1" t="s">
        <v>1336</v>
      </c>
      <c r="I5641" s="1" t="n">
        <v>1323.64</v>
      </c>
      <c r="J5641" s="1" t="str">
        <f aca="false">VLOOKUP(B5641,Customers!$A$2:$G$502,6,FALSE())</f>
        <v>Small Business</v>
      </c>
      <c r="K5641" s="1" t="str">
        <f aca="false">VLOOKUP(C5641,Products!$A$2:$E$62,3,FALSE())</f>
        <v>Electronics</v>
      </c>
      <c r="L5641" s="1" t="str">
        <f aca="false">TEXT(D5641,"yyyy-mm")</f>
        <v>2024-07</v>
      </c>
    </row>
    <row r="5642" customFormat="false" ht="15" hidden="false" customHeight="true" outlineLevel="0" collapsed="false">
      <c r="A5642" s="1" t="n">
        <v>5764</v>
      </c>
      <c r="B5642" s="1" t="n">
        <v>488</v>
      </c>
      <c r="C5642" s="1" t="n">
        <v>24</v>
      </c>
      <c r="D5642" s="1" t="s">
        <v>1439</v>
      </c>
      <c r="E5642" s="1" t="n">
        <v>7</v>
      </c>
      <c r="F5642" s="1" t="n">
        <v>207.34</v>
      </c>
      <c r="G5642" s="1" t="n">
        <v>0</v>
      </c>
      <c r="H5642" s="1" t="s">
        <v>1336</v>
      </c>
      <c r="I5642" s="1" t="n">
        <v>1451.38</v>
      </c>
      <c r="J5642" s="1" t="str">
        <f aca="false">VLOOKUP(B5642,Customers!$A$2:$G$502,6,FALSE())</f>
        <v>Consumer</v>
      </c>
      <c r="K5642" s="1" t="str">
        <f aca="false">VLOOKUP(C5642,Products!$A$2:$E$62,3,FALSE())</f>
        <v>Office Supplies</v>
      </c>
      <c r="L5642" s="1" t="str">
        <f aca="false">TEXT(D5642,"yyyy-mm")</f>
        <v>2024-05</v>
      </c>
    </row>
    <row r="5643" customFormat="false" ht="15" hidden="false" customHeight="true" outlineLevel="0" collapsed="false">
      <c r="A5643" s="1" t="n">
        <v>5765</v>
      </c>
      <c r="B5643" s="1" t="n">
        <v>10</v>
      </c>
      <c r="C5643" s="1" t="n">
        <v>45</v>
      </c>
      <c r="D5643" s="1" t="s">
        <v>1173</v>
      </c>
      <c r="E5643" s="1" t="n">
        <v>7</v>
      </c>
      <c r="F5643" s="1" t="n">
        <v>560.01</v>
      </c>
      <c r="G5643" s="1" t="n">
        <v>0</v>
      </c>
      <c r="H5643" s="1" t="s">
        <v>1336</v>
      </c>
      <c r="I5643" s="1" t="n">
        <v>3920.07</v>
      </c>
      <c r="J5643" s="1" t="str">
        <f aca="false">VLOOKUP(B5643,Customers!$A$2:$G$502,6,FALSE())</f>
        <v>Small Business</v>
      </c>
      <c r="K5643" s="1" t="str">
        <f aca="false">VLOOKUP(C5643,Products!$A$2:$E$62,3,FALSE())</f>
        <v>Software</v>
      </c>
      <c r="L5643" s="1" t="str">
        <f aca="false">TEXT(D5643,"yyyy-mm")</f>
        <v>2023-01</v>
      </c>
    </row>
    <row r="5644" customFormat="false" ht="15" hidden="false" customHeight="true" outlineLevel="0" collapsed="false">
      <c r="A5644" s="1" t="n">
        <v>5766</v>
      </c>
      <c r="B5644" s="1" t="n">
        <v>250</v>
      </c>
      <c r="C5644" s="1" t="n">
        <v>24</v>
      </c>
      <c r="D5644" s="1" t="s">
        <v>1230</v>
      </c>
      <c r="E5644" s="1" t="n">
        <v>2</v>
      </c>
      <c r="F5644" s="1" t="n">
        <v>207.34</v>
      </c>
      <c r="G5644" s="1" t="n">
        <v>0</v>
      </c>
      <c r="H5644" s="1" t="s">
        <v>1336</v>
      </c>
      <c r="I5644" s="1" t="n">
        <v>414.68</v>
      </c>
      <c r="J5644" s="1" t="str">
        <f aca="false">VLOOKUP(B5644,Customers!$A$2:$G$502,6,FALSE())</f>
        <v>Consumer</v>
      </c>
      <c r="K5644" s="1" t="str">
        <f aca="false">VLOOKUP(C5644,Products!$A$2:$E$62,3,FALSE())</f>
        <v>Office Supplies</v>
      </c>
      <c r="L5644" s="1" t="str">
        <f aca="false">TEXT(D5644,"yyyy-mm")</f>
        <v>2023-02</v>
      </c>
    </row>
    <row r="5645" customFormat="false" ht="15" hidden="false" customHeight="true" outlineLevel="0" collapsed="false">
      <c r="A5645" s="1" t="n">
        <v>5767</v>
      </c>
      <c r="B5645" s="1" t="n">
        <v>201</v>
      </c>
      <c r="C5645" s="1" t="n">
        <v>24</v>
      </c>
      <c r="D5645" s="1" t="s">
        <v>1235</v>
      </c>
      <c r="E5645" s="1" t="n">
        <v>1</v>
      </c>
      <c r="F5645" s="1" t="n">
        <v>207.34</v>
      </c>
      <c r="G5645" s="1" t="n">
        <v>0.2</v>
      </c>
      <c r="H5645" s="1" t="s">
        <v>1336</v>
      </c>
      <c r="I5645" s="1" t="n">
        <v>165.87</v>
      </c>
      <c r="J5645" s="1" t="str">
        <f aca="false">VLOOKUP(B5645,Customers!$A$2:$G$502,6,FALSE())</f>
        <v>Corporate</v>
      </c>
      <c r="K5645" s="1" t="str">
        <f aca="false">VLOOKUP(C5645,Products!$A$2:$E$62,3,FALSE())</f>
        <v>Office Supplies</v>
      </c>
      <c r="L5645" s="1" t="str">
        <f aca="false">TEXT(D5645,"yyyy-mm")</f>
        <v>2023-01</v>
      </c>
    </row>
    <row r="5646" customFormat="false" ht="15" hidden="false" customHeight="true" outlineLevel="0" collapsed="false">
      <c r="A5646" s="1" t="n">
        <v>5768</v>
      </c>
      <c r="B5646" s="1" t="n">
        <v>190</v>
      </c>
      <c r="C5646" s="1" t="n">
        <v>56</v>
      </c>
      <c r="D5646" s="1" t="s">
        <v>1362</v>
      </c>
      <c r="E5646" s="1" t="n">
        <v>8</v>
      </c>
      <c r="F5646" s="1" t="n">
        <v>160.64</v>
      </c>
      <c r="G5646" s="1" t="n">
        <v>0.1</v>
      </c>
      <c r="H5646" s="1" t="s">
        <v>1336</v>
      </c>
      <c r="I5646" s="1" t="n">
        <v>1156.61</v>
      </c>
      <c r="J5646" s="1" t="str">
        <f aca="false">VLOOKUP(B5646,Customers!$A$2:$G$502,6,FALSE())</f>
        <v>Corporate</v>
      </c>
      <c r="K5646" s="1" t="str">
        <f aca="false">VLOOKUP(C5646,Products!$A$2:$E$62,3,FALSE())</f>
        <v>Furniture</v>
      </c>
      <c r="L5646" s="1" t="str">
        <f aca="false">TEXT(D5646,"yyyy-mm")</f>
        <v>2024-01</v>
      </c>
    </row>
    <row r="5647" customFormat="false" ht="15" hidden="false" customHeight="true" outlineLevel="0" collapsed="false">
      <c r="A5647" s="1" t="n">
        <v>5769</v>
      </c>
      <c r="B5647" s="1" t="n">
        <v>381</v>
      </c>
      <c r="C5647" s="1" t="n">
        <v>19</v>
      </c>
      <c r="D5647" s="1" t="s">
        <v>1089</v>
      </c>
      <c r="E5647" s="1" t="n">
        <v>8</v>
      </c>
      <c r="F5647" s="1" t="n">
        <v>163.64</v>
      </c>
      <c r="G5647" s="1" t="n">
        <v>0</v>
      </c>
      <c r="H5647" s="1" t="s">
        <v>1336</v>
      </c>
      <c r="I5647" s="1" t="n">
        <v>1309.12</v>
      </c>
      <c r="J5647" s="1" t="str">
        <f aca="false">VLOOKUP(B5647,Customers!$A$2:$G$502,6,FALSE())</f>
        <v>Corporate</v>
      </c>
      <c r="K5647" s="1" t="str">
        <f aca="false">VLOOKUP(C5647,Products!$A$2:$E$62,3,FALSE())</f>
        <v>Office Supplies</v>
      </c>
      <c r="L5647" s="1" t="str">
        <f aca="false">TEXT(D5647,"yyyy-mm")</f>
        <v>2024-10</v>
      </c>
    </row>
    <row r="5648" customFormat="false" ht="15" hidden="false" customHeight="true" outlineLevel="0" collapsed="false">
      <c r="A5648" s="1" t="n">
        <v>5770</v>
      </c>
      <c r="B5648" s="1" t="n">
        <v>11</v>
      </c>
      <c r="C5648" s="1" t="n">
        <v>9</v>
      </c>
      <c r="D5648" s="1" t="s">
        <v>1417</v>
      </c>
      <c r="E5648" s="1" t="n">
        <v>7</v>
      </c>
      <c r="F5648" s="1" t="n">
        <v>203.1</v>
      </c>
      <c r="G5648" s="1" t="n">
        <v>0</v>
      </c>
      <c r="H5648" s="1" t="s">
        <v>1336</v>
      </c>
      <c r="I5648" s="1" t="n">
        <v>1421.7</v>
      </c>
      <c r="J5648" s="1" t="str">
        <f aca="false">VLOOKUP(B5648,Customers!$A$2:$G$502,6,FALSE())</f>
        <v>Consumer</v>
      </c>
      <c r="K5648" s="1" t="str">
        <f aca="false">VLOOKUP(C5648,Products!$A$2:$E$62,3,FALSE())</f>
        <v>Electronics</v>
      </c>
      <c r="L5648" s="1" t="str">
        <f aca="false">TEXT(D5648,"yyyy-mm")</f>
        <v>2023-08</v>
      </c>
    </row>
    <row r="5649" customFormat="false" ht="15" hidden="false" customHeight="true" outlineLevel="0" collapsed="false">
      <c r="A5649" s="1" t="n">
        <v>5771</v>
      </c>
      <c r="B5649" s="1" t="n">
        <v>281</v>
      </c>
      <c r="C5649" s="1" t="n">
        <v>60</v>
      </c>
      <c r="D5649" s="1" t="s">
        <v>1623</v>
      </c>
      <c r="E5649" s="1" t="n">
        <v>8</v>
      </c>
      <c r="F5649" s="1" t="n">
        <v>584.98</v>
      </c>
      <c r="G5649" s="1" t="n">
        <v>0</v>
      </c>
      <c r="H5649" s="1" t="s">
        <v>1336</v>
      </c>
      <c r="I5649" s="1" t="n">
        <v>4679.84</v>
      </c>
      <c r="J5649" s="1" t="str">
        <f aca="false">VLOOKUP(B5649,Customers!$A$2:$G$502,6,FALSE())</f>
        <v>Corporate</v>
      </c>
      <c r="K5649" s="1" t="str">
        <f aca="false">VLOOKUP(C5649,Products!$A$2:$E$62,3,FALSE())</f>
        <v>Furniture</v>
      </c>
      <c r="L5649" s="1" t="str">
        <f aca="false">TEXT(D5649,"yyyy-mm")</f>
        <v>2024-09</v>
      </c>
    </row>
    <row r="5650" customFormat="false" ht="15" hidden="false" customHeight="true" outlineLevel="0" collapsed="false">
      <c r="A5650" s="1" t="n">
        <v>5772</v>
      </c>
      <c r="B5650" s="1" t="n">
        <v>393</v>
      </c>
      <c r="C5650" s="1" t="n">
        <v>23</v>
      </c>
      <c r="D5650" s="1" t="s">
        <v>1130</v>
      </c>
      <c r="E5650" s="1" t="n">
        <v>3</v>
      </c>
      <c r="F5650" s="1" t="n">
        <v>188.73</v>
      </c>
      <c r="G5650" s="1" t="n">
        <v>0.05</v>
      </c>
      <c r="H5650" s="1" t="s">
        <v>1370</v>
      </c>
      <c r="I5650" s="1" t="n">
        <v>537.88</v>
      </c>
      <c r="J5650" s="1" t="str">
        <f aca="false">VLOOKUP(B5650,Customers!$A$2:$G$502,6,FALSE())</f>
        <v>Consumer</v>
      </c>
      <c r="K5650" s="1" t="str">
        <f aca="false">VLOOKUP(C5650,Products!$A$2:$E$62,3,FALSE())</f>
        <v>Office Supplies</v>
      </c>
      <c r="L5650" s="1" t="str">
        <f aca="false">TEXT(D5650,"yyyy-mm")</f>
        <v>2023-02</v>
      </c>
    </row>
    <row r="5651" customFormat="false" ht="15" hidden="false" customHeight="true" outlineLevel="0" collapsed="false">
      <c r="A5651" s="1" t="n">
        <v>5773</v>
      </c>
      <c r="B5651" s="1" t="n">
        <v>83</v>
      </c>
      <c r="C5651" s="1" t="n">
        <v>25</v>
      </c>
      <c r="D5651" s="1" t="s">
        <v>927</v>
      </c>
      <c r="E5651" s="1" t="n">
        <v>2</v>
      </c>
      <c r="F5651" s="1" t="n">
        <v>300.49</v>
      </c>
      <c r="G5651" s="1" t="n">
        <v>0.05</v>
      </c>
      <c r="H5651" s="1" t="s">
        <v>1336</v>
      </c>
      <c r="I5651" s="1" t="n">
        <v>570.93</v>
      </c>
      <c r="J5651" s="1" t="str">
        <f aca="false">VLOOKUP(B5651,Customers!$A$2:$G$502,6,FALSE())</f>
        <v>Corporate</v>
      </c>
      <c r="K5651" s="1" t="str">
        <f aca="false">VLOOKUP(C5651,Products!$A$2:$E$62,3,FALSE())</f>
        <v>Office Supplies</v>
      </c>
      <c r="L5651" s="1" t="str">
        <f aca="false">TEXT(D5651,"yyyy-mm")</f>
        <v>2024-04</v>
      </c>
    </row>
    <row r="5652" customFormat="false" ht="15" hidden="false" customHeight="true" outlineLevel="0" collapsed="false">
      <c r="A5652" s="1" t="n">
        <v>5774</v>
      </c>
      <c r="B5652" s="1" t="n">
        <v>201</v>
      </c>
      <c r="C5652" s="1" t="n">
        <v>42</v>
      </c>
      <c r="D5652" s="1" t="s">
        <v>1607</v>
      </c>
      <c r="E5652" s="1" t="n">
        <v>7</v>
      </c>
      <c r="F5652" s="1" t="n">
        <v>174.48</v>
      </c>
      <c r="G5652" s="1" t="n">
        <v>0.15</v>
      </c>
      <c r="H5652" s="1" t="s">
        <v>1336</v>
      </c>
      <c r="I5652" s="1" t="n">
        <v>1038.16</v>
      </c>
      <c r="J5652" s="1" t="str">
        <f aca="false">VLOOKUP(B5652,Customers!$A$2:$G$502,6,FALSE())</f>
        <v>Corporate</v>
      </c>
      <c r="K5652" s="1" t="str">
        <f aca="false">VLOOKUP(C5652,Products!$A$2:$E$62,3,FALSE())</f>
        <v>Software</v>
      </c>
      <c r="L5652" s="1" t="str">
        <f aca="false">TEXT(D5652,"yyyy-mm")</f>
        <v>2023-06</v>
      </c>
    </row>
    <row r="5653" customFormat="false" ht="15" hidden="false" customHeight="true" outlineLevel="0" collapsed="false">
      <c r="A5653" s="1" t="n">
        <v>5775</v>
      </c>
      <c r="B5653" s="1" t="n">
        <v>101</v>
      </c>
      <c r="C5653" s="1" t="n">
        <v>47</v>
      </c>
      <c r="D5653" s="1" t="s">
        <v>1623</v>
      </c>
      <c r="E5653" s="1" t="n">
        <v>8</v>
      </c>
      <c r="F5653" s="1" t="n">
        <v>506.19</v>
      </c>
      <c r="G5653" s="1" t="n">
        <v>0.15</v>
      </c>
      <c r="H5653" s="1" t="s">
        <v>1336</v>
      </c>
      <c r="I5653" s="1" t="n">
        <v>3442.09</v>
      </c>
      <c r="J5653" s="1" t="str">
        <f aca="false">VLOOKUP(B5653,Customers!$A$2:$G$502,6,FALSE())</f>
        <v>Corporate</v>
      </c>
      <c r="K5653" s="1" t="str">
        <f aca="false">VLOOKUP(C5653,Products!$A$2:$E$62,3,FALSE())</f>
        <v>Software</v>
      </c>
      <c r="L5653" s="1" t="str">
        <f aca="false">TEXT(D5653,"yyyy-mm")</f>
        <v>2024-09</v>
      </c>
    </row>
    <row r="5654" customFormat="false" ht="15" hidden="false" customHeight="true" outlineLevel="0" collapsed="false">
      <c r="A5654" s="1" t="n">
        <v>5777</v>
      </c>
      <c r="B5654" s="1" t="n">
        <v>433</v>
      </c>
      <c r="C5654" s="1" t="n">
        <v>36</v>
      </c>
      <c r="D5654" s="1" t="s">
        <v>1648</v>
      </c>
      <c r="E5654" s="1" t="n">
        <v>9</v>
      </c>
      <c r="F5654" s="1" t="n">
        <v>424.45</v>
      </c>
      <c r="G5654" s="1" t="n">
        <v>0</v>
      </c>
      <c r="H5654" s="1" t="s">
        <v>1346</v>
      </c>
      <c r="I5654" s="1" t="n">
        <v>3820.05</v>
      </c>
      <c r="J5654" s="1" t="str">
        <f aca="false">VLOOKUP(B5654,Customers!$A$2:$G$502,6,FALSE())</f>
        <v>Small Business</v>
      </c>
      <c r="K5654" s="1" t="str">
        <f aca="false">VLOOKUP(C5654,Products!$A$2:$E$62,3,FALSE())</f>
        <v>Software</v>
      </c>
      <c r="L5654" s="1" t="str">
        <f aca="false">TEXT(D5654,"yyyy-mm")</f>
        <v>2024-05</v>
      </c>
    </row>
    <row r="5655" customFormat="false" ht="15" hidden="false" customHeight="true" outlineLevel="0" collapsed="false">
      <c r="A5655" s="1" t="n">
        <v>5778</v>
      </c>
      <c r="B5655" s="1" t="n">
        <v>117</v>
      </c>
      <c r="C5655" s="1" t="n">
        <v>19</v>
      </c>
      <c r="D5655" s="1" t="s">
        <v>1036</v>
      </c>
      <c r="E5655" s="1" t="n">
        <v>4</v>
      </c>
      <c r="F5655" s="1" t="n">
        <v>163.64</v>
      </c>
      <c r="G5655" s="1" t="n">
        <v>0.05</v>
      </c>
      <c r="H5655" s="1" t="s">
        <v>1336</v>
      </c>
      <c r="I5655" s="1" t="n">
        <v>621.83</v>
      </c>
      <c r="J5655" s="1" t="str">
        <f aca="false">VLOOKUP(B5655,Customers!$A$2:$G$502,6,FALSE())</f>
        <v>Small Business</v>
      </c>
      <c r="K5655" s="1" t="str">
        <f aca="false">VLOOKUP(C5655,Products!$A$2:$E$62,3,FALSE())</f>
        <v>Office Supplies</v>
      </c>
      <c r="L5655" s="1" t="str">
        <f aca="false">TEXT(D5655,"yyyy-mm")</f>
        <v>2024-05</v>
      </c>
    </row>
    <row r="5656" customFormat="false" ht="15" hidden="false" customHeight="true" outlineLevel="0" collapsed="false">
      <c r="A5656" s="1" t="n">
        <v>5779</v>
      </c>
      <c r="B5656" s="1" t="n">
        <v>494</v>
      </c>
      <c r="C5656" s="1" t="n">
        <v>46</v>
      </c>
      <c r="D5656" s="1" t="s">
        <v>1633</v>
      </c>
      <c r="E5656" s="1" t="n">
        <v>4</v>
      </c>
      <c r="F5656" s="1" t="n">
        <v>94.92</v>
      </c>
      <c r="G5656" s="1" t="n">
        <v>0</v>
      </c>
      <c r="H5656" s="1" t="s">
        <v>1336</v>
      </c>
      <c r="I5656" s="1" t="n">
        <v>379.68</v>
      </c>
      <c r="J5656" s="1" t="str">
        <f aca="false">VLOOKUP(B5656,Customers!$A$2:$G$502,6,FALSE())</f>
        <v>Corporate</v>
      </c>
      <c r="K5656" s="1" t="str">
        <f aca="false">VLOOKUP(C5656,Products!$A$2:$E$62,3,FALSE())</f>
        <v>Software</v>
      </c>
      <c r="L5656" s="1" t="str">
        <f aca="false">TEXT(D5656,"yyyy-mm")</f>
        <v>2024-04</v>
      </c>
    </row>
    <row r="5657" customFormat="false" ht="15" hidden="false" customHeight="true" outlineLevel="0" collapsed="false">
      <c r="A5657" s="1" t="n">
        <v>5780</v>
      </c>
      <c r="B5657" s="1" t="n">
        <v>112</v>
      </c>
      <c r="C5657" s="1" t="n">
        <v>5</v>
      </c>
      <c r="D5657" s="1" t="s">
        <v>1157</v>
      </c>
      <c r="E5657" s="1" t="n">
        <v>3</v>
      </c>
      <c r="F5657" s="1" t="n">
        <v>439.06</v>
      </c>
      <c r="G5657" s="1" t="n">
        <v>0</v>
      </c>
      <c r="H5657" s="1" t="s">
        <v>1336</v>
      </c>
      <c r="I5657" s="1" t="n">
        <v>1317.18</v>
      </c>
      <c r="J5657" s="1" t="str">
        <f aca="false">VLOOKUP(B5657,Customers!$A$2:$G$502,6,FALSE())</f>
        <v>Corporate</v>
      </c>
      <c r="K5657" s="1" t="str">
        <f aca="false">VLOOKUP(C5657,Products!$A$2:$E$62,3,FALSE())</f>
        <v>Electronics</v>
      </c>
      <c r="L5657" s="1" t="str">
        <f aca="false">TEXT(D5657,"yyyy-mm")</f>
        <v>2023-10</v>
      </c>
    </row>
    <row r="5658" customFormat="false" ht="15" hidden="false" customHeight="true" outlineLevel="0" collapsed="false">
      <c r="A5658" s="1" t="n">
        <v>5781</v>
      </c>
      <c r="B5658" s="1" t="n">
        <v>26</v>
      </c>
      <c r="C5658" s="1" t="n">
        <v>10</v>
      </c>
      <c r="D5658" s="1" t="s">
        <v>1514</v>
      </c>
      <c r="E5658" s="1" t="n">
        <v>6</v>
      </c>
      <c r="F5658" s="1" t="n">
        <v>251.58</v>
      </c>
      <c r="G5658" s="1" t="n">
        <v>0.1</v>
      </c>
      <c r="H5658" s="1" t="s">
        <v>1346</v>
      </c>
      <c r="I5658" s="1" t="n">
        <v>1358.53</v>
      </c>
      <c r="J5658" s="1" t="str">
        <f aca="false">VLOOKUP(B5658,Customers!$A$2:$G$502,6,FALSE())</f>
        <v>Consumer</v>
      </c>
      <c r="K5658" s="1" t="str">
        <f aca="false">VLOOKUP(C5658,Products!$A$2:$E$62,3,FALSE())</f>
        <v>Electronics</v>
      </c>
      <c r="L5658" s="1" t="str">
        <f aca="false">TEXT(D5658,"yyyy-mm")</f>
        <v>2024-10</v>
      </c>
    </row>
    <row r="5659" customFormat="false" ht="15" hidden="false" customHeight="true" outlineLevel="0" collapsed="false">
      <c r="A5659" s="1" t="n">
        <v>5782</v>
      </c>
      <c r="B5659" s="1" t="n">
        <v>241</v>
      </c>
      <c r="C5659" s="1" t="n">
        <v>13</v>
      </c>
      <c r="D5659" s="1" t="s">
        <v>863</v>
      </c>
      <c r="E5659" s="1" t="n">
        <v>1</v>
      </c>
      <c r="F5659" s="1" t="n">
        <v>352.54</v>
      </c>
      <c r="G5659" s="1" t="n">
        <v>0.05</v>
      </c>
      <c r="H5659" s="1" t="s">
        <v>1346</v>
      </c>
      <c r="I5659" s="1" t="n">
        <v>334.91</v>
      </c>
      <c r="J5659" s="1" t="str">
        <f aca="false">VLOOKUP(B5659,Customers!$A$2:$G$502,6,FALSE())</f>
        <v>Small Business</v>
      </c>
      <c r="K5659" s="1" t="str">
        <f aca="false">VLOOKUP(C5659,Products!$A$2:$E$62,3,FALSE())</f>
        <v>Electronics</v>
      </c>
      <c r="L5659" s="1" t="str">
        <f aca="false">TEXT(D5659,"yyyy-mm")</f>
        <v>2023-11</v>
      </c>
    </row>
    <row r="5660" customFormat="false" ht="15" hidden="false" customHeight="true" outlineLevel="0" collapsed="false">
      <c r="A5660" s="1" t="n">
        <v>5783</v>
      </c>
      <c r="B5660" s="1" t="n">
        <v>304</v>
      </c>
      <c r="C5660" s="1" t="n">
        <v>17</v>
      </c>
      <c r="D5660" s="1" t="s">
        <v>1545</v>
      </c>
      <c r="E5660" s="1" t="n">
        <v>6</v>
      </c>
      <c r="F5660" s="1" t="n">
        <v>65.61</v>
      </c>
      <c r="G5660" s="1" t="n">
        <v>0.05</v>
      </c>
      <c r="H5660" s="1" t="s">
        <v>1336</v>
      </c>
      <c r="I5660" s="1" t="n">
        <v>373.98</v>
      </c>
      <c r="J5660" s="1" t="str">
        <f aca="false">VLOOKUP(B5660,Customers!$A$2:$G$502,6,FALSE())</f>
        <v>Small Business</v>
      </c>
      <c r="K5660" s="1" t="str">
        <f aca="false">VLOOKUP(C5660,Products!$A$2:$E$62,3,FALSE())</f>
        <v>Electronics</v>
      </c>
      <c r="L5660" s="1" t="str">
        <f aca="false">TEXT(D5660,"yyyy-mm")</f>
        <v>2023-07</v>
      </c>
    </row>
    <row r="5661" customFormat="false" ht="15" hidden="false" customHeight="true" outlineLevel="0" collapsed="false">
      <c r="A5661" s="1" t="n">
        <v>5784</v>
      </c>
      <c r="B5661" s="1" t="n">
        <v>267</v>
      </c>
      <c r="C5661" s="1" t="n">
        <v>11</v>
      </c>
      <c r="D5661" s="1" t="s">
        <v>1496</v>
      </c>
      <c r="E5661" s="1" t="n">
        <v>2</v>
      </c>
      <c r="F5661" s="1" t="n">
        <v>328.39</v>
      </c>
      <c r="G5661" s="1" t="n">
        <v>0</v>
      </c>
      <c r="H5661" s="1" t="s">
        <v>1336</v>
      </c>
      <c r="I5661" s="1" t="n">
        <v>656.78</v>
      </c>
      <c r="J5661" s="1" t="str">
        <f aca="false">VLOOKUP(B5661,Customers!$A$2:$G$502,6,FALSE())</f>
        <v>Corporate</v>
      </c>
      <c r="K5661" s="1" t="str">
        <f aca="false">VLOOKUP(C5661,Products!$A$2:$E$62,3,FALSE())</f>
        <v>Electronics</v>
      </c>
      <c r="L5661" s="1" t="str">
        <f aca="false">TEXT(D5661,"yyyy-mm")</f>
        <v>2023-09</v>
      </c>
    </row>
    <row r="5662" customFormat="false" ht="15" hidden="false" customHeight="true" outlineLevel="0" collapsed="false">
      <c r="A5662" s="1" t="n">
        <v>5785</v>
      </c>
      <c r="B5662" s="1" t="n">
        <v>153</v>
      </c>
      <c r="C5662" s="1" t="n">
        <v>29</v>
      </c>
      <c r="D5662" s="1" t="s">
        <v>1630</v>
      </c>
      <c r="E5662" s="1" t="n">
        <v>9</v>
      </c>
      <c r="F5662" s="1" t="n">
        <v>54.62</v>
      </c>
      <c r="G5662" s="1" t="n">
        <v>0</v>
      </c>
      <c r="H5662" s="1" t="s">
        <v>1336</v>
      </c>
      <c r="I5662" s="1" t="n">
        <v>491.58</v>
      </c>
      <c r="J5662" s="1" t="str">
        <f aca="false">VLOOKUP(B5662,Customers!$A$2:$G$502,6,FALSE())</f>
        <v>Corporate</v>
      </c>
      <c r="K5662" s="1" t="str">
        <f aca="false">VLOOKUP(C5662,Products!$A$2:$E$62,3,FALSE())</f>
        <v>Office Supplies</v>
      </c>
      <c r="L5662" s="1" t="str">
        <f aca="false">TEXT(D5662,"yyyy-mm")</f>
        <v>2023-02</v>
      </c>
    </row>
    <row r="5663" customFormat="false" ht="15" hidden="false" customHeight="true" outlineLevel="0" collapsed="false">
      <c r="A5663" s="1" t="n">
        <v>5786</v>
      </c>
      <c r="B5663" s="1" t="n">
        <v>31</v>
      </c>
      <c r="C5663" s="1" t="n">
        <v>51</v>
      </c>
      <c r="D5663" s="1" t="s">
        <v>1449</v>
      </c>
      <c r="E5663" s="1" t="n">
        <v>2</v>
      </c>
      <c r="F5663" s="1" t="n">
        <v>30.16</v>
      </c>
      <c r="G5663" s="1" t="n">
        <v>0</v>
      </c>
      <c r="H5663" s="1" t="s">
        <v>1336</v>
      </c>
      <c r="I5663" s="1" t="n">
        <v>60.32</v>
      </c>
      <c r="J5663" s="1" t="str">
        <f aca="false">VLOOKUP(B5663,Customers!$A$2:$G$502,6,FALSE())</f>
        <v>Consumer</v>
      </c>
      <c r="K5663" s="1" t="str">
        <f aca="false">VLOOKUP(C5663,Products!$A$2:$E$62,3,FALSE())</f>
        <v>Software</v>
      </c>
      <c r="L5663" s="1" t="str">
        <f aca="false">TEXT(D5663,"yyyy-mm")</f>
        <v>2024-03</v>
      </c>
    </row>
    <row r="5664" customFormat="false" ht="15" hidden="false" customHeight="true" outlineLevel="0" collapsed="false">
      <c r="A5664" s="1" t="n">
        <v>5787</v>
      </c>
      <c r="B5664" s="1" t="n">
        <v>104</v>
      </c>
      <c r="C5664" s="1" t="n">
        <v>43</v>
      </c>
      <c r="D5664" s="1" t="s">
        <v>866</v>
      </c>
      <c r="E5664" s="1" t="n">
        <v>7</v>
      </c>
      <c r="F5664" s="1" t="n">
        <v>186.31</v>
      </c>
      <c r="G5664" s="1" t="n">
        <v>0</v>
      </c>
      <c r="H5664" s="1" t="s">
        <v>1336</v>
      </c>
      <c r="I5664" s="1" t="n">
        <v>1304.17</v>
      </c>
      <c r="J5664" s="1" t="str">
        <f aca="false">VLOOKUP(B5664,Customers!$A$2:$G$502,6,FALSE())</f>
        <v>Corporate</v>
      </c>
      <c r="K5664" s="1" t="str">
        <f aca="false">VLOOKUP(C5664,Products!$A$2:$E$62,3,FALSE())</f>
        <v>Software</v>
      </c>
      <c r="L5664" s="1" t="str">
        <f aca="false">TEXT(D5664,"yyyy-mm")</f>
        <v>2024-11</v>
      </c>
    </row>
    <row r="5665" customFormat="false" ht="15" hidden="false" customHeight="true" outlineLevel="0" collapsed="false">
      <c r="A5665" s="1" t="n">
        <v>5788</v>
      </c>
      <c r="B5665" s="1" t="n">
        <v>96</v>
      </c>
      <c r="C5665" s="1" t="n">
        <v>35</v>
      </c>
      <c r="D5665" s="1" t="s">
        <v>1452</v>
      </c>
      <c r="E5665" s="1" t="n">
        <v>1</v>
      </c>
      <c r="F5665" s="1" t="n">
        <v>75.78</v>
      </c>
      <c r="G5665" s="1" t="n">
        <v>0.1</v>
      </c>
      <c r="H5665" s="1" t="s">
        <v>1336</v>
      </c>
      <c r="I5665" s="1" t="n">
        <v>68.2</v>
      </c>
      <c r="J5665" s="1" t="str">
        <f aca="false">VLOOKUP(B5665,Customers!$A$2:$G$502,6,FALSE())</f>
        <v>Corporate</v>
      </c>
      <c r="K5665" s="1" t="str">
        <f aca="false">VLOOKUP(C5665,Products!$A$2:$E$62,3,FALSE())</f>
        <v>Software</v>
      </c>
      <c r="L5665" s="1" t="str">
        <f aca="false">TEXT(D5665,"yyyy-mm")</f>
        <v>2023-01</v>
      </c>
    </row>
    <row r="5666" customFormat="false" ht="15" hidden="false" customHeight="true" outlineLevel="0" collapsed="false">
      <c r="A5666" s="1" t="n">
        <v>5789</v>
      </c>
      <c r="B5666" s="1" t="n">
        <v>17</v>
      </c>
      <c r="C5666" s="1" t="n">
        <v>7</v>
      </c>
      <c r="D5666" s="1" t="s">
        <v>935</v>
      </c>
      <c r="E5666" s="1" t="n">
        <v>7</v>
      </c>
      <c r="F5666" s="1" t="n">
        <v>460</v>
      </c>
      <c r="G5666" s="1" t="n">
        <v>0</v>
      </c>
      <c r="H5666" s="1" t="s">
        <v>1370</v>
      </c>
      <c r="I5666" s="1" t="n">
        <v>3220</v>
      </c>
      <c r="J5666" s="1" t="str">
        <f aca="false">VLOOKUP(B5666,Customers!$A$2:$G$502,6,FALSE())</f>
        <v>Small Business</v>
      </c>
      <c r="K5666" s="1" t="str">
        <f aca="false">VLOOKUP(C5666,Products!$A$2:$E$62,3,FALSE())</f>
        <v>Electronics</v>
      </c>
      <c r="L5666" s="1" t="str">
        <f aca="false">TEXT(D5666,"yyyy-mm")</f>
        <v>2024-02</v>
      </c>
    </row>
    <row r="5667" customFormat="false" ht="15" hidden="false" customHeight="true" outlineLevel="0" collapsed="false">
      <c r="A5667" s="1" t="n">
        <v>5790</v>
      </c>
      <c r="B5667" s="1" t="n">
        <v>138</v>
      </c>
      <c r="C5667" s="1" t="n">
        <v>36</v>
      </c>
      <c r="D5667" s="1" t="s">
        <v>560</v>
      </c>
      <c r="E5667" s="1" t="n">
        <v>5</v>
      </c>
      <c r="F5667" s="1" t="n">
        <v>424.45</v>
      </c>
      <c r="G5667" s="1" t="n">
        <v>0.1</v>
      </c>
      <c r="H5667" s="1" t="s">
        <v>1336</v>
      </c>
      <c r="I5667" s="1" t="n">
        <v>1910.02</v>
      </c>
      <c r="J5667" s="1" t="str">
        <f aca="false">VLOOKUP(B5667,Customers!$A$2:$G$502,6,FALSE())</f>
        <v>Consumer</v>
      </c>
      <c r="K5667" s="1" t="str">
        <f aca="false">VLOOKUP(C5667,Products!$A$2:$E$62,3,FALSE())</f>
        <v>Software</v>
      </c>
      <c r="L5667" s="1" t="str">
        <f aca="false">TEXT(D5667,"yyyy-mm")</f>
        <v>2023-06</v>
      </c>
    </row>
    <row r="5668" customFormat="false" ht="15" hidden="false" customHeight="true" outlineLevel="0" collapsed="false">
      <c r="A5668" s="1" t="n">
        <v>5791</v>
      </c>
      <c r="B5668" s="1" t="n">
        <v>313</v>
      </c>
      <c r="C5668" s="1" t="n">
        <v>48</v>
      </c>
      <c r="D5668" s="1" t="s">
        <v>1403</v>
      </c>
      <c r="E5668" s="1" t="n">
        <v>8</v>
      </c>
      <c r="F5668" s="1" t="n">
        <v>493.53</v>
      </c>
      <c r="G5668" s="1" t="n">
        <v>0.1</v>
      </c>
      <c r="H5668" s="1" t="s">
        <v>1336</v>
      </c>
      <c r="I5668" s="1" t="n">
        <v>3553.42</v>
      </c>
      <c r="J5668" s="1" t="str">
        <f aca="false">VLOOKUP(B5668,Customers!$A$2:$G$502,6,FALSE())</f>
        <v>Consumer</v>
      </c>
      <c r="K5668" s="1" t="str">
        <f aca="false">VLOOKUP(C5668,Products!$A$2:$E$62,3,FALSE())</f>
        <v>Software</v>
      </c>
      <c r="L5668" s="1" t="str">
        <f aca="false">TEXT(D5668,"yyyy-mm")</f>
        <v>2024-02</v>
      </c>
    </row>
    <row r="5669" customFormat="false" ht="15" hidden="false" customHeight="true" outlineLevel="0" collapsed="false">
      <c r="A5669" s="1" t="n">
        <v>5792</v>
      </c>
      <c r="B5669" s="1" t="n">
        <v>456</v>
      </c>
      <c r="C5669" s="1" t="n">
        <v>35</v>
      </c>
      <c r="D5669" s="1" t="s">
        <v>47</v>
      </c>
      <c r="E5669" s="1" t="n">
        <v>4</v>
      </c>
      <c r="F5669" s="1" t="n">
        <v>75.78</v>
      </c>
      <c r="G5669" s="1" t="n">
        <v>0.2</v>
      </c>
      <c r="H5669" s="1" t="s">
        <v>1336</v>
      </c>
      <c r="I5669" s="1" t="n">
        <v>242.5</v>
      </c>
      <c r="J5669" s="1" t="str">
        <f aca="false">VLOOKUP(B5669,Customers!$A$2:$G$502,6,FALSE())</f>
        <v>Consumer</v>
      </c>
      <c r="K5669" s="1" t="str">
        <f aca="false">VLOOKUP(C5669,Products!$A$2:$E$62,3,FALSE())</f>
        <v>Software</v>
      </c>
      <c r="L5669" s="1" t="str">
        <f aca="false">TEXT(D5669,"yyyy-mm")</f>
        <v>2023-06</v>
      </c>
    </row>
    <row r="5670" customFormat="false" ht="15" hidden="false" customHeight="true" outlineLevel="0" collapsed="false">
      <c r="A5670" s="1" t="n">
        <v>5793</v>
      </c>
      <c r="B5670" s="1" t="n">
        <v>56</v>
      </c>
      <c r="C5670" s="1" t="n">
        <v>9</v>
      </c>
      <c r="D5670" s="1" t="s">
        <v>390</v>
      </c>
      <c r="E5670" s="1" t="n">
        <v>7</v>
      </c>
      <c r="F5670" s="1" t="n">
        <v>203.1</v>
      </c>
      <c r="G5670" s="1" t="n">
        <v>0.2</v>
      </c>
      <c r="H5670" s="1" t="s">
        <v>1336</v>
      </c>
      <c r="I5670" s="1" t="n">
        <v>1137.36</v>
      </c>
      <c r="J5670" s="1" t="str">
        <f aca="false">VLOOKUP(B5670,Customers!$A$2:$G$502,6,FALSE())</f>
        <v>Corporate</v>
      </c>
      <c r="K5670" s="1" t="str">
        <f aca="false">VLOOKUP(C5670,Products!$A$2:$E$62,3,FALSE())</f>
        <v>Electronics</v>
      </c>
      <c r="L5670" s="1" t="str">
        <f aca="false">TEXT(D5670,"yyyy-mm")</f>
        <v>2023-03</v>
      </c>
    </row>
    <row r="5671" customFormat="false" ht="15" hidden="false" customHeight="true" outlineLevel="0" collapsed="false">
      <c r="A5671" s="1" t="n">
        <v>5794</v>
      </c>
      <c r="B5671" s="1" t="n">
        <v>429</v>
      </c>
      <c r="C5671" s="1" t="n">
        <v>31</v>
      </c>
      <c r="D5671" s="1" t="s">
        <v>1208</v>
      </c>
      <c r="E5671" s="1" t="n">
        <v>6</v>
      </c>
      <c r="F5671" s="1" t="n">
        <v>224.86</v>
      </c>
      <c r="G5671" s="1" t="n">
        <v>0</v>
      </c>
      <c r="H5671" s="1" t="s">
        <v>1336</v>
      </c>
      <c r="I5671" s="1" t="n">
        <v>1349.16</v>
      </c>
      <c r="J5671" s="1" t="str">
        <f aca="false">VLOOKUP(B5671,Customers!$A$2:$G$502,6,FALSE())</f>
        <v>Corporate</v>
      </c>
      <c r="K5671" s="1" t="str">
        <f aca="false">VLOOKUP(C5671,Products!$A$2:$E$62,3,FALSE())</f>
        <v>Office Supplies</v>
      </c>
      <c r="L5671" s="1" t="str">
        <f aca="false">TEXT(D5671,"yyyy-mm")</f>
        <v>2024-01</v>
      </c>
    </row>
    <row r="5672" customFormat="false" ht="15" hidden="false" customHeight="true" outlineLevel="0" collapsed="false">
      <c r="A5672" s="1" t="n">
        <v>5795</v>
      </c>
      <c r="B5672" s="1" t="n">
        <v>25</v>
      </c>
      <c r="C5672" s="1" t="n">
        <v>36</v>
      </c>
      <c r="D5672" s="1" t="s">
        <v>1496</v>
      </c>
      <c r="E5672" s="1" t="n">
        <v>5</v>
      </c>
      <c r="F5672" s="1" t="n">
        <v>424.45</v>
      </c>
      <c r="G5672" s="1" t="n">
        <v>0</v>
      </c>
      <c r="H5672" s="1" t="s">
        <v>1336</v>
      </c>
      <c r="I5672" s="1" t="n">
        <v>2122.25</v>
      </c>
      <c r="J5672" s="1" t="str">
        <f aca="false">VLOOKUP(B5672,Customers!$A$2:$G$502,6,FALSE())</f>
        <v>Corporate</v>
      </c>
      <c r="K5672" s="1" t="str">
        <f aca="false">VLOOKUP(C5672,Products!$A$2:$E$62,3,FALSE())</f>
        <v>Software</v>
      </c>
      <c r="L5672" s="1" t="str">
        <f aca="false">TEXT(D5672,"yyyy-mm")</f>
        <v>2023-09</v>
      </c>
    </row>
    <row r="5673" customFormat="false" ht="15" hidden="false" customHeight="true" outlineLevel="0" collapsed="false">
      <c r="A5673" s="1" t="n">
        <v>5796</v>
      </c>
      <c r="B5673" s="1" t="n">
        <v>483</v>
      </c>
      <c r="C5673" s="1" t="n">
        <v>20</v>
      </c>
      <c r="D5673" s="1" t="s">
        <v>1427</v>
      </c>
      <c r="E5673" s="1" t="n">
        <v>4</v>
      </c>
      <c r="F5673" s="1" t="n">
        <v>426.15</v>
      </c>
      <c r="G5673" s="1" t="n">
        <v>0.2</v>
      </c>
      <c r="H5673" s="1" t="s">
        <v>1370</v>
      </c>
      <c r="I5673" s="1" t="n">
        <v>1363.68</v>
      </c>
      <c r="J5673" s="1" t="str">
        <f aca="false">VLOOKUP(B5673,Customers!$A$2:$G$502,6,FALSE())</f>
        <v>Small Business</v>
      </c>
      <c r="K5673" s="1" t="str">
        <f aca="false">VLOOKUP(C5673,Products!$A$2:$E$62,3,FALSE())</f>
        <v>Office Supplies</v>
      </c>
      <c r="L5673" s="1" t="str">
        <f aca="false">TEXT(D5673,"yyyy-mm")</f>
        <v>2023-09</v>
      </c>
    </row>
    <row r="5674" customFormat="false" ht="15" hidden="false" customHeight="true" outlineLevel="0" collapsed="false">
      <c r="A5674" s="1" t="n">
        <v>5798</v>
      </c>
      <c r="B5674" s="1" t="n">
        <v>267</v>
      </c>
      <c r="C5674" s="1" t="n">
        <v>23</v>
      </c>
      <c r="D5674" s="1" t="s">
        <v>1514</v>
      </c>
      <c r="E5674" s="1" t="n">
        <v>5</v>
      </c>
      <c r="F5674" s="1" t="n">
        <v>188.73</v>
      </c>
      <c r="G5674" s="1" t="n">
        <v>0</v>
      </c>
      <c r="H5674" s="1" t="s">
        <v>1336</v>
      </c>
      <c r="I5674" s="1" t="n">
        <v>943.65</v>
      </c>
      <c r="J5674" s="1" t="str">
        <f aca="false">VLOOKUP(B5674,Customers!$A$2:$G$502,6,FALSE())</f>
        <v>Corporate</v>
      </c>
      <c r="K5674" s="1" t="str">
        <f aca="false">VLOOKUP(C5674,Products!$A$2:$E$62,3,FALSE())</f>
        <v>Office Supplies</v>
      </c>
      <c r="L5674" s="1" t="str">
        <f aca="false">TEXT(D5674,"yyyy-mm")</f>
        <v>2024-10</v>
      </c>
    </row>
    <row r="5675" customFormat="false" ht="15" hidden="false" customHeight="true" outlineLevel="0" collapsed="false">
      <c r="A5675" s="1" t="n">
        <v>5799</v>
      </c>
      <c r="B5675" s="1" t="n">
        <v>79</v>
      </c>
      <c r="C5675" s="1" t="n">
        <v>21</v>
      </c>
      <c r="D5675" s="1" t="s">
        <v>1455</v>
      </c>
      <c r="E5675" s="1" t="n">
        <v>5</v>
      </c>
      <c r="F5675" s="1" t="n">
        <v>84.91</v>
      </c>
      <c r="G5675" s="1" t="n">
        <v>0</v>
      </c>
      <c r="H5675" s="1" t="s">
        <v>1336</v>
      </c>
      <c r="I5675" s="1" t="n">
        <v>424.55</v>
      </c>
      <c r="J5675" s="1" t="str">
        <f aca="false">VLOOKUP(B5675,Customers!$A$2:$G$502,6,FALSE())</f>
        <v>Small Business</v>
      </c>
      <c r="K5675" s="1" t="str">
        <f aca="false">VLOOKUP(C5675,Products!$A$2:$E$62,3,FALSE())</f>
        <v>Office Supplies</v>
      </c>
      <c r="L5675" s="1" t="str">
        <f aca="false">TEXT(D5675,"yyyy-mm")</f>
        <v>2024-11</v>
      </c>
    </row>
    <row r="5676" customFormat="false" ht="15" hidden="false" customHeight="true" outlineLevel="0" collapsed="false">
      <c r="A5676" s="1" t="n">
        <v>5800</v>
      </c>
      <c r="B5676" s="1" t="n">
        <v>372</v>
      </c>
      <c r="C5676" s="1" t="n">
        <v>35</v>
      </c>
      <c r="D5676" s="1" t="s">
        <v>322</v>
      </c>
      <c r="E5676" s="1" t="n">
        <v>1</v>
      </c>
      <c r="F5676" s="1" t="n">
        <v>75.78</v>
      </c>
      <c r="G5676" s="1" t="n">
        <v>0</v>
      </c>
      <c r="H5676" s="1" t="s">
        <v>1336</v>
      </c>
      <c r="I5676" s="1" t="n">
        <v>75.78</v>
      </c>
      <c r="J5676" s="1" t="str">
        <f aca="false">VLOOKUP(B5676,Customers!$A$2:$G$502,6,FALSE())</f>
        <v>Corporate</v>
      </c>
      <c r="K5676" s="1" t="str">
        <f aca="false">VLOOKUP(C5676,Products!$A$2:$E$62,3,FALSE())</f>
        <v>Software</v>
      </c>
      <c r="L5676" s="1" t="str">
        <f aca="false">TEXT(D5676,"yyyy-mm")</f>
        <v>2024-02</v>
      </c>
    </row>
    <row r="5677" customFormat="false" ht="15" hidden="false" customHeight="true" outlineLevel="0" collapsed="false">
      <c r="A5677" s="1" t="n">
        <v>5801</v>
      </c>
      <c r="B5677" s="1" t="n">
        <v>430</v>
      </c>
      <c r="C5677" s="1" t="n">
        <v>37</v>
      </c>
      <c r="D5677" s="1" t="s">
        <v>1652</v>
      </c>
      <c r="E5677" s="1" t="n">
        <v>2</v>
      </c>
      <c r="F5677" s="1" t="n">
        <v>13.95</v>
      </c>
      <c r="G5677" s="1" t="n">
        <v>0</v>
      </c>
      <c r="H5677" s="1" t="s">
        <v>1336</v>
      </c>
      <c r="I5677" s="1" t="n">
        <v>27.9</v>
      </c>
      <c r="J5677" s="1" t="str">
        <f aca="false">VLOOKUP(B5677,Customers!$A$2:$G$502,6,FALSE())</f>
        <v>Corporate</v>
      </c>
      <c r="K5677" s="1" t="str">
        <f aca="false">VLOOKUP(C5677,Products!$A$2:$E$62,3,FALSE())</f>
        <v>Software</v>
      </c>
      <c r="L5677" s="1" t="str">
        <f aca="false">TEXT(D5677,"yyyy-mm")</f>
        <v>2024-06</v>
      </c>
    </row>
    <row r="5678" customFormat="false" ht="15" hidden="false" customHeight="true" outlineLevel="0" collapsed="false">
      <c r="A5678" s="1" t="n">
        <v>5802</v>
      </c>
      <c r="B5678" s="1" t="n">
        <v>395</v>
      </c>
      <c r="C5678" s="1" t="n">
        <v>57</v>
      </c>
      <c r="D5678" s="1" t="s">
        <v>1355</v>
      </c>
      <c r="E5678" s="1" t="n">
        <v>5</v>
      </c>
      <c r="F5678" s="1" t="n">
        <v>719.76</v>
      </c>
      <c r="G5678" s="1" t="n">
        <v>0.2</v>
      </c>
      <c r="H5678" s="1" t="s">
        <v>1336</v>
      </c>
      <c r="I5678" s="1" t="n">
        <v>2879.04</v>
      </c>
      <c r="J5678" s="1" t="str">
        <f aca="false">VLOOKUP(B5678,Customers!$A$2:$G$502,6,FALSE())</f>
        <v>Consumer</v>
      </c>
      <c r="K5678" s="1" t="str">
        <f aca="false">VLOOKUP(C5678,Products!$A$2:$E$62,3,FALSE())</f>
        <v>Furniture</v>
      </c>
      <c r="L5678" s="1" t="str">
        <f aca="false">TEXT(D5678,"yyyy-mm")</f>
        <v>2023-02</v>
      </c>
    </row>
    <row r="5679" customFormat="false" ht="15" hidden="false" customHeight="true" outlineLevel="0" collapsed="false">
      <c r="A5679" s="1" t="n">
        <v>5803</v>
      </c>
      <c r="B5679" s="1" t="n">
        <v>456</v>
      </c>
      <c r="C5679" s="1" t="n">
        <v>1</v>
      </c>
      <c r="D5679" s="1" t="s">
        <v>1531</v>
      </c>
      <c r="E5679" s="1" t="n">
        <v>3</v>
      </c>
      <c r="F5679" s="1" t="n">
        <v>327.32</v>
      </c>
      <c r="G5679" s="1" t="n">
        <v>0.1</v>
      </c>
      <c r="H5679" s="1" t="s">
        <v>1336</v>
      </c>
      <c r="I5679" s="1" t="n">
        <v>883.76</v>
      </c>
      <c r="J5679" s="1" t="str">
        <f aca="false">VLOOKUP(B5679,Customers!$A$2:$G$502,6,FALSE())</f>
        <v>Consumer</v>
      </c>
      <c r="K5679" s="1" t="str">
        <f aca="false">VLOOKUP(C5679,Products!$A$2:$E$62,3,FALSE())</f>
        <v>Electronics</v>
      </c>
      <c r="L5679" s="1" t="str">
        <f aca="false">TEXT(D5679,"yyyy-mm")</f>
        <v>2024-11</v>
      </c>
    </row>
    <row r="5680" customFormat="false" ht="15" hidden="false" customHeight="true" outlineLevel="0" collapsed="false">
      <c r="A5680" s="1" t="n">
        <v>5804</v>
      </c>
      <c r="B5680" s="1" t="n">
        <v>10</v>
      </c>
      <c r="C5680" s="1" t="n">
        <v>7</v>
      </c>
      <c r="D5680" s="1" t="s">
        <v>333</v>
      </c>
      <c r="E5680" s="1" t="n">
        <v>2</v>
      </c>
      <c r="F5680" s="1" t="n">
        <v>460</v>
      </c>
      <c r="G5680" s="1" t="n">
        <v>0.15</v>
      </c>
      <c r="H5680" s="1" t="s">
        <v>1336</v>
      </c>
      <c r="I5680" s="1" t="n">
        <v>782</v>
      </c>
      <c r="J5680" s="1" t="str">
        <f aca="false">VLOOKUP(B5680,Customers!$A$2:$G$502,6,FALSE())</f>
        <v>Small Business</v>
      </c>
      <c r="K5680" s="1" t="str">
        <f aca="false">VLOOKUP(C5680,Products!$A$2:$E$62,3,FALSE())</f>
        <v>Electronics</v>
      </c>
      <c r="L5680" s="1" t="str">
        <f aca="false">TEXT(D5680,"yyyy-mm")</f>
        <v>2024-03</v>
      </c>
    </row>
    <row r="5681" customFormat="false" ht="15" hidden="false" customHeight="true" outlineLevel="0" collapsed="false">
      <c r="A5681" s="1" t="n">
        <v>5805</v>
      </c>
      <c r="B5681" s="1" t="n">
        <v>446</v>
      </c>
      <c r="C5681" s="1" t="n">
        <v>5</v>
      </c>
      <c r="D5681" s="1" t="s">
        <v>1685</v>
      </c>
      <c r="E5681" s="1" t="n">
        <v>4</v>
      </c>
      <c r="F5681" s="1" t="n">
        <v>439.06</v>
      </c>
      <c r="G5681" s="1" t="n">
        <v>0.2</v>
      </c>
      <c r="H5681" s="1" t="s">
        <v>1336</v>
      </c>
      <c r="I5681" s="1" t="n">
        <v>1404.99</v>
      </c>
      <c r="J5681" s="1" t="str">
        <f aca="false">VLOOKUP(B5681,Customers!$A$2:$G$502,6,FALSE())</f>
        <v>Small Business</v>
      </c>
      <c r="K5681" s="1" t="str">
        <f aca="false">VLOOKUP(C5681,Products!$A$2:$E$62,3,FALSE())</f>
        <v>Electronics</v>
      </c>
      <c r="L5681" s="1" t="str">
        <f aca="false">TEXT(D5681,"yyyy-mm")</f>
        <v>2024-08</v>
      </c>
    </row>
    <row r="5682" customFormat="false" ht="15" hidden="false" customHeight="true" outlineLevel="0" collapsed="false">
      <c r="A5682" s="1" t="n">
        <v>5806</v>
      </c>
      <c r="B5682" s="1" t="n">
        <v>452</v>
      </c>
      <c r="C5682" s="1" t="n">
        <v>7</v>
      </c>
      <c r="D5682" s="1" t="s">
        <v>1205</v>
      </c>
      <c r="E5682" s="1" t="n">
        <v>4</v>
      </c>
      <c r="F5682" s="1" t="n">
        <v>460</v>
      </c>
      <c r="G5682" s="1" t="n">
        <v>0.05</v>
      </c>
      <c r="H5682" s="1" t="s">
        <v>1336</v>
      </c>
      <c r="I5682" s="1" t="n">
        <v>1748</v>
      </c>
      <c r="J5682" s="1" t="str">
        <f aca="false">VLOOKUP(B5682,Customers!$A$2:$G$502,6,FALSE())</f>
        <v>Consumer</v>
      </c>
      <c r="K5682" s="1" t="str">
        <f aca="false">VLOOKUP(C5682,Products!$A$2:$E$62,3,FALSE())</f>
        <v>Electronics</v>
      </c>
      <c r="L5682" s="1" t="str">
        <f aca="false">TEXT(D5682,"yyyy-mm")</f>
        <v>2024-08</v>
      </c>
    </row>
    <row r="5683" customFormat="false" ht="15" hidden="false" customHeight="true" outlineLevel="0" collapsed="false">
      <c r="A5683" s="1" t="n">
        <v>5807</v>
      </c>
      <c r="B5683" s="1" t="n">
        <v>389</v>
      </c>
      <c r="C5683" s="1" t="n">
        <v>20</v>
      </c>
      <c r="D5683" s="1" t="s">
        <v>292</v>
      </c>
      <c r="E5683" s="1" t="n">
        <v>4</v>
      </c>
      <c r="F5683" s="1" t="n">
        <v>426.15</v>
      </c>
      <c r="G5683" s="1" t="n">
        <v>0.15</v>
      </c>
      <c r="H5683" s="1" t="s">
        <v>1336</v>
      </c>
      <c r="I5683" s="1" t="n">
        <v>1448.91</v>
      </c>
      <c r="J5683" s="1" t="str">
        <f aca="false">VLOOKUP(B5683,Customers!$A$2:$G$502,6,FALSE())</f>
        <v>Corporate</v>
      </c>
      <c r="K5683" s="1" t="str">
        <f aca="false">VLOOKUP(C5683,Products!$A$2:$E$62,3,FALSE())</f>
        <v>Office Supplies</v>
      </c>
      <c r="L5683" s="1" t="str">
        <f aca="false">TEXT(D5683,"yyyy-mm")</f>
        <v>2023-12</v>
      </c>
    </row>
    <row r="5684" customFormat="false" ht="15" hidden="false" customHeight="true" outlineLevel="0" collapsed="false">
      <c r="A5684" s="1" t="n">
        <v>5808</v>
      </c>
      <c r="B5684" s="1" t="n">
        <v>60</v>
      </c>
      <c r="C5684" s="1" t="n">
        <v>57</v>
      </c>
      <c r="D5684" s="1" t="s">
        <v>1520</v>
      </c>
      <c r="E5684" s="1" t="n">
        <v>4</v>
      </c>
      <c r="F5684" s="1" t="n">
        <v>719.76</v>
      </c>
      <c r="G5684" s="1" t="n">
        <v>0</v>
      </c>
      <c r="H5684" s="1" t="s">
        <v>1336</v>
      </c>
      <c r="I5684" s="1" t="n">
        <v>2879.04</v>
      </c>
      <c r="J5684" s="1" t="str">
        <f aca="false">VLOOKUP(B5684,Customers!$A$2:$G$502,6,FALSE())</f>
        <v>Corporate</v>
      </c>
      <c r="K5684" s="1" t="str">
        <f aca="false">VLOOKUP(C5684,Products!$A$2:$E$62,3,FALSE())</f>
        <v>Furniture</v>
      </c>
      <c r="L5684" s="1" t="str">
        <f aca="false">TEXT(D5684,"yyyy-mm")</f>
        <v>2023-11</v>
      </c>
    </row>
    <row r="5685" customFormat="false" ht="15" hidden="false" customHeight="true" outlineLevel="0" collapsed="false">
      <c r="A5685" s="1" t="n">
        <v>5809</v>
      </c>
      <c r="B5685" s="1" t="n">
        <v>157</v>
      </c>
      <c r="C5685" s="1" t="n">
        <v>16</v>
      </c>
      <c r="D5685" s="1" t="s">
        <v>1596</v>
      </c>
      <c r="E5685" s="1" t="n">
        <v>3</v>
      </c>
      <c r="F5685" s="1" t="n">
        <v>330.91</v>
      </c>
      <c r="G5685" s="1" t="n">
        <v>0.2</v>
      </c>
      <c r="H5685" s="1" t="s">
        <v>1336</v>
      </c>
      <c r="I5685" s="1" t="n">
        <v>794.18</v>
      </c>
      <c r="J5685" s="1" t="str">
        <f aca="false">VLOOKUP(B5685,Customers!$A$2:$G$502,6,FALSE())</f>
        <v>Corporate</v>
      </c>
      <c r="K5685" s="1" t="str">
        <f aca="false">VLOOKUP(C5685,Products!$A$2:$E$62,3,FALSE())</f>
        <v>Electronics</v>
      </c>
      <c r="L5685" s="1" t="str">
        <f aca="false">TEXT(D5685,"yyyy-mm")</f>
        <v>2023-04</v>
      </c>
    </row>
    <row r="5686" customFormat="false" ht="15" hidden="false" customHeight="true" outlineLevel="0" collapsed="false">
      <c r="A5686" s="1" t="n">
        <v>5810</v>
      </c>
      <c r="B5686" s="1" t="n">
        <v>254</v>
      </c>
      <c r="C5686" s="1" t="n">
        <v>28</v>
      </c>
      <c r="D5686" s="1" t="s">
        <v>1384</v>
      </c>
      <c r="E5686" s="1" t="n">
        <v>7</v>
      </c>
      <c r="F5686" s="1" t="n">
        <v>505.23</v>
      </c>
      <c r="G5686" s="1" t="n">
        <v>0</v>
      </c>
      <c r="H5686" s="1" t="s">
        <v>1336</v>
      </c>
      <c r="I5686" s="1" t="n">
        <v>3536.61</v>
      </c>
      <c r="J5686" s="1" t="str">
        <f aca="false">VLOOKUP(B5686,Customers!$A$2:$G$502,6,FALSE())</f>
        <v>Small Business</v>
      </c>
      <c r="K5686" s="1" t="str">
        <f aca="false">VLOOKUP(C5686,Products!$A$2:$E$62,3,FALSE())</f>
        <v>Office Supplies</v>
      </c>
      <c r="L5686" s="1" t="str">
        <f aca="false">TEXT(D5686,"yyyy-mm")</f>
        <v>2024-09</v>
      </c>
    </row>
    <row r="5687" customFormat="false" ht="15" hidden="false" customHeight="true" outlineLevel="0" collapsed="false">
      <c r="A5687" s="1" t="n">
        <v>5811</v>
      </c>
      <c r="B5687" s="1" t="n">
        <v>378</v>
      </c>
      <c r="C5687" s="1" t="n">
        <v>27</v>
      </c>
      <c r="D5687" s="1" t="s">
        <v>1644</v>
      </c>
      <c r="E5687" s="1" t="n">
        <v>9</v>
      </c>
      <c r="F5687" s="1" t="n">
        <v>772.58</v>
      </c>
      <c r="G5687" s="1" t="n">
        <v>0</v>
      </c>
      <c r="H5687" s="1" t="s">
        <v>1336</v>
      </c>
      <c r="I5687" s="1" t="n">
        <v>6953.22</v>
      </c>
      <c r="J5687" s="1" t="str">
        <f aca="false">VLOOKUP(B5687,Customers!$A$2:$G$502,6,FALSE())</f>
        <v>Small Business</v>
      </c>
      <c r="K5687" s="1" t="str">
        <f aca="false">VLOOKUP(C5687,Products!$A$2:$E$62,3,FALSE())</f>
        <v>Office Supplies</v>
      </c>
      <c r="L5687" s="1" t="str">
        <f aca="false">TEXT(D5687,"yyyy-mm")</f>
        <v>2023-08</v>
      </c>
    </row>
    <row r="5688" customFormat="false" ht="15" hidden="false" customHeight="true" outlineLevel="0" collapsed="false">
      <c r="A5688" s="1" t="n">
        <v>5812</v>
      </c>
      <c r="B5688" s="1" t="n">
        <v>251</v>
      </c>
      <c r="C5688" s="1" t="n">
        <v>49</v>
      </c>
      <c r="D5688" s="1" t="s">
        <v>1355</v>
      </c>
      <c r="E5688" s="1" t="n">
        <v>5</v>
      </c>
      <c r="F5688" s="1" t="n">
        <v>325.17</v>
      </c>
      <c r="G5688" s="1" t="n">
        <v>0</v>
      </c>
      <c r="H5688" s="1" t="s">
        <v>1336</v>
      </c>
      <c r="I5688" s="1" t="n">
        <v>1625.85</v>
      </c>
      <c r="J5688" s="1" t="str">
        <f aca="false">VLOOKUP(B5688,Customers!$A$2:$G$502,6,FALSE())</f>
        <v>Small Business</v>
      </c>
      <c r="K5688" s="1" t="str">
        <f aca="false">VLOOKUP(C5688,Products!$A$2:$E$62,3,FALSE())</f>
        <v>Software</v>
      </c>
      <c r="L5688" s="1" t="str">
        <f aca="false">TEXT(D5688,"yyyy-mm")</f>
        <v>2023-02</v>
      </c>
    </row>
    <row r="5689" customFormat="false" ht="15" hidden="false" customHeight="true" outlineLevel="0" collapsed="false">
      <c r="A5689" s="1" t="n">
        <v>5813</v>
      </c>
      <c r="B5689" s="1" t="n">
        <v>21</v>
      </c>
      <c r="C5689" s="1" t="n">
        <v>21</v>
      </c>
      <c r="D5689" s="1" t="s">
        <v>1237</v>
      </c>
      <c r="E5689" s="1" t="n">
        <v>4</v>
      </c>
      <c r="F5689" s="1" t="n">
        <v>84.91</v>
      </c>
      <c r="G5689" s="1" t="n">
        <v>0.05</v>
      </c>
      <c r="H5689" s="1" t="s">
        <v>1336</v>
      </c>
      <c r="I5689" s="1" t="n">
        <v>322.66</v>
      </c>
      <c r="J5689" s="1" t="str">
        <f aca="false">VLOOKUP(B5689,Customers!$A$2:$G$502,6,FALSE())</f>
        <v>Corporate</v>
      </c>
      <c r="K5689" s="1" t="str">
        <f aca="false">VLOOKUP(C5689,Products!$A$2:$E$62,3,FALSE())</f>
        <v>Office Supplies</v>
      </c>
      <c r="L5689" s="1" t="str">
        <f aca="false">TEXT(D5689,"yyyy-mm")</f>
        <v>2024-02</v>
      </c>
    </row>
    <row r="5690" customFormat="false" ht="15" hidden="false" customHeight="true" outlineLevel="0" collapsed="false">
      <c r="A5690" s="1" t="n">
        <v>5814</v>
      </c>
      <c r="B5690" s="1" t="n">
        <v>136</v>
      </c>
      <c r="C5690" s="1" t="n">
        <v>5</v>
      </c>
      <c r="D5690" s="1" t="s">
        <v>513</v>
      </c>
      <c r="E5690" s="1" t="n">
        <v>2</v>
      </c>
      <c r="F5690" s="1" t="n">
        <v>439.06</v>
      </c>
      <c r="G5690" s="1" t="n">
        <v>0</v>
      </c>
      <c r="H5690" s="1" t="s">
        <v>1336</v>
      </c>
      <c r="I5690" s="1" t="n">
        <v>878.12</v>
      </c>
      <c r="J5690" s="1" t="str">
        <f aca="false">VLOOKUP(B5690,Customers!$A$2:$G$502,6,FALSE())</f>
        <v>Corporate</v>
      </c>
      <c r="K5690" s="1" t="str">
        <f aca="false">VLOOKUP(C5690,Products!$A$2:$E$62,3,FALSE())</f>
        <v>Electronics</v>
      </c>
      <c r="L5690" s="1" t="str">
        <f aca="false">TEXT(D5690,"yyyy-mm")</f>
        <v>2024-12</v>
      </c>
    </row>
    <row r="5691" customFormat="false" ht="15" hidden="false" customHeight="true" outlineLevel="0" collapsed="false">
      <c r="A5691" s="1" t="n">
        <v>5815</v>
      </c>
      <c r="B5691" s="1" t="n">
        <v>439</v>
      </c>
      <c r="C5691" s="1" t="n">
        <v>15</v>
      </c>
      <c r="D5691" s="1" t="s">
        <v>1285</v>
      </c>
      <c r="E5691" s="1" t="n">
        <v>2</v>
      </c>
      <c r="F5691" s="1" t="n">
        <v>304.95</v>
      </c>
      <c r="G5691" s="1" t="n">
        <v>0.1</v>
      </c>
      <c r="H5691" s="1" t="s">
        <v>1336</v>
      </c>
      <c r="I5691" s="1" t="n">
        <v>548.91</v>
      </c>
      <c r="J5691" s="1" t="str">
        <f aca="false">VLOOKUP(B5691,Customers!$A$2:$G$502,6,FALSE())</f>
        <v>Corporate</v>
      </c>
      <c r="K5691" s="1" t="str">
        <f aca="false">VLOOKUP(C5691,Products!$A$2:$E$62,3,FALSE())</f>
        <v>Electronics</v>
      </c>
      <c r="L5691" s="1" t="str">
        <f aca="false">TEXT(D5691,"yyyy-mm")</f>
        <v>2023-06</v>
      </c>
    </row>
    <row r="5692" customFormat="false" ht="15" hidden="false" customHeight="true" outlineLevel="0" collapsed="false">
      <c r="A5692" s="1" t="n">
        <v>5816</v>
      </c>
      <c r="B5692" s="1" t="n">
        <v>329</v>
      </c>
      <c r="C5692" s="1" t="n">
        <v>41</v>
      </c>
      <c r="D5692" s="1" t="s">
        <v>333</v>
      </c>
      <c r="E5692" s="1" t="n">
        <v>5</v>
      </c>
      <c r="F5692" s="1" t="n">
        <v>594.54</v>
      </c>
      <c r="G5692" s="1" t="n">
        <v>0</v>
      </c>
      <c r="H5692" s="1" t="s">
        <v>1346</v>
      </c>
      <c r="I5692" s="1" t="n">
        <v>2972.7</v>
      </c>
      <c r="J5692" s="1" t="str">
        <f aca="false">VLOOKUP(B5692,Customers!$A$2:$G$502,6,FALSE())</f>
        <v>Consumer</v>
      </c>
      <c r="K5692" s="1" t="str">
        <f aca="false">VLOOKUP(C5692,Products!$A$2:$E$62,3,FALSE())</f>
        <v>Software</v>
      </c>
      <c r="L5692" s="1" t="str">
        <f aca="false">TEXT(D5692,"yyyy-mm")</f>
        <v>2024-03</v>
      </c>
    </row>
    <row r="5693" customFormat="false" ht="15" hidden="false" customHeight="true" outlineLevel="0" collapsed="false">
      <c r="A5693" s="1" t="n">
        <v>5817</v>
      </c>
      <c r="B5693" s="1" t="n">
        <v>242</v>
      </c>
      <c r="C5693" s="1" t="n">
        <v>51</v>
      </c>
      <c r="D5693" s="1" t="s">
        <v>1559</v>
      </c>
      <c r="E5693" s="1" t="n">
        <v>7</v>
      </c>
      <c r="F5693" s="1" t="n">
        <v>30.16</v>
      </c>
      <c r="G5693" s="1" t="n">
        <v>0</v>
      </c>
      <c r="H5693" s="1" t="s">
        <v>1336</v>
      </c>
      <c r="I5693" s="1" t="n">
        <v>211.12</v>
      </c>
      <c r="J5693" s="1" t="str">
        <f aca="false">VLOOKUP(B5693,Customers!$A$2:$G$502,6,FALSE())</f>
        <v>Corporate</v>
      </c>
      <c r="K5693" s="1" t="str">
        <f aca="false">VLOOKUP(C5693,Products!$A$2:$E$62,3,FALSE())</f>
        <v>Software</v>
      </c>
      <c r="L5693" s="1" t="str">
        <f aca="false">TEXT(D5693,"yyyy-mm")</f>
        <v>2023-01</v>
      </c>
    </row>
    <row r="5694" customFormat="false" ht="15" hidden="false" customHeight="true" outlineLevel="0" collapsed="false">
      <c r="A5694" s="1" t="n">
        <v>5818</v>
      </c>
      <c r="B5694" s="1" t="n">
        <v>227</v>
      </c>
      <c r="C5694" s="1" t="n">
        <v>17</v>
      </c>
      <c r="D5694" s="1" t="s">
        <v>277</v>
      </c>
      <c r="E5694" s="1" t="n">
        <v>9</v>
      </c>
      <c r="F5694" s="1" t="n">
        <v>65.61</v>
      </c>
      <c r="G5694" s="1" t="n">
        <v>0</v>
      </c>
      <c r="H5694" s="1" t="s">
        <v>1336</v>
      </c>
      <c r="I5694" s="1" t="n">
        <v>590.49</v>
      </c>
      <c r="J5694" s="1" t="str">
        <f aca="false">VLOOKUP(B5694,Customers!$A$2:$G$502,6,FALSE())</f>
        <v>Consumer</v>
      </c>
      <c r="K5694" s="1" t="str">
        <f aca="false">VLOOKUP(C5694,Products!$A$2:$E$62,3,FALSE())</f>
        <v>Electronics</v>
      </c>
      <c r="L5694" s="1" t="str">
        <f aca="false">TEXT(D5694,"yyyy-mm")</f>
        <v>2024-11</v>
      </c>
    </row>
    <row r="5695" customFormat="false" ht="15" hidden="false" customHeight="true" outlineLevel="0" collapsed="false">
      <c r="A5695" s="1" t="n">
        <v>5819</v>
      </c>
      <c r="B5695" s="1" t="n">
        <v>270</v>
      </c>
      <c r="C5695" s="1" t="n">
        <v>17</v>
      </c>
      <c r="D5695" s="1" t="s">
        <v>1485</v>
      </c>
      <c r="E5695" s="1" t="n">
        <v>7</v>
      </c>
      <c r="F5695" s="1" t="n">
        <v>65.61</v>
      </c>
      <c r="G5695" s="1" t="n">
        <v>0</v>
      </c>
      <c r="H5695" s="1" t="s">
        <v>1336</v>
      </c>
      <c r="I5695" s="1" t="n">
        <v>459.27</v>
      </c>
      <c r="J5695" s="1" t="str">
        <f aca="false">VLOOKUP(B5695,Customers!$A$2:$G$502,6,FALSE())</f>
        <v>Small Business</v>
      </c>
      <c r="K5695" s="1" t="str">
        <f aca="false">VLOOKUP(C5695,Products!$A$2:$E$62,3,FALSE())</f>
        <v>Electronics</v>
      </c>
      <c r="L5695" s="1" t="str">
        <f aca="false">TEXT(D5695,"yyyy-mm")</f>
        <v>2023-07</v>
      </c>
    </row>
    <row r="5696" customFormat="false" ht="15" hidden="false" customHeight="true" outlineLevel="0" collapsed="false">
      <c r="A5696" s="1" t="n">
        <v>5820</v>
      </c>
      <c r="B5696" s="1" t="n">
        <v>413</v>
      </c>
      <c r="C5696" s="1" t="n">
        <v>28</v>
      </c>
      <c r="D5696" s="1" t="s">
        <v>542</v>
      </c>
      <c r="E5696" s="1" t="n">
        <v>5</v>
      </c>
      <c r="F5696" s="1" t="n">
        <v>505.23</v>
      </c>
      <c r="G5696" s="1" t="n">
        <v>0</v>
      </c>
      <c r="H5696" s="1" t="s">
        <v>1336</v>
      </c>
      <c r="I5696" s="1" t="n">
        <v>2526.15</v>
      </c>
      <c r="J5696" s="1" t="str">
        <f aca="false">VLOOKUP(B5696,Customers!$A$2:$G$502,6,FALSE())</f>
        <v>Small Business</v>
      </c>
      <c r="K5696" s="1" t="str">
        <f aca="false">VLOOKUP(C5696,Products!$A$2:$E$62,3,FALSE())</f>
        <v>Office Supplies</v>
      </c>
      <c r="L5696" s="1" t="str">
        <f aca="false">TEXT(D5696,"yyyy-mm")</f>
        <v>2024-07</v>
      </c>
    </row>
    <row r="5697" customFormat="false" ht="15" hidden="false" customHeight="true" outlineLevel="0" collapsed="false">
      <c r="A5697" s="1" t="n">
        <v>5821</v>
      </c>
      <c r="B5697" s="1" t="n">
        <v>196</v>
      </c>
      <c r="C5697" s="1" t="n">
        <v>60</v>
      </c>
      <c r="D5697" s="1" t="s">
        <v>1022</v>
      </c>
      <c r="E5697" s="1" t="n">
        <v>6</v>
      </c>
      <c r="F5697" s="1" t="n">
        <v>584.98</v>
      </c>
      <c r="G5697" s="1" t="n">
        <v>0</v>
      </c>
      <c r="H5697" s="1" t="s">
        <v>1336</v>
      </c>
      <c r="I5697" s="1" t="n">
        <v>3509.88</v>
      </c>
      <c r="J5697" s="1" t="str">
        <f aca="false">VLOOKUP(B5697,Customers!$A$2:$G$502,6,FALSE())</f>
        <v>Corporate</v>
      </c>
      <c r="K5697" s="1" t="str">
        <f aca="false">VLOOKUP(C5697,Products!$A$2:$E$62,3,FALSE())</f>
        <v>Furniture</v>
      </c>
      <c r="L5697" s="1" t="str">
        <f aca="false">TEXT(D5697,"yyyy-mm")</f>
        <v>2023-06</v>
      </c>
    </row>
    <row r="5698" customFormat="false" ht="15" hidden="false" customHeight="true" outlineLevel="0" collapsed="false">
      <c r="A5698" s="1" t="n">
        <v>5822</v>
      </c>
      <c r="B5698" s="1" t="n">
        <v>385</v>
      </c>
      <c r="C5698" s="1" t="n">
        <v>15</v>
      </c>
      <c r="D5698" s="1" t="s">
        <v>1402</v>
      </c>
      <c r="E5698" s="1" t="n">
        <v>3</v>
      </c>
      <c r="F5698" s="1" t="n">
        <v>304.95</v>
      </c>
      <c r="G5698" s="1" t="n">
        <v>0</v>
      </c>
      <c r="H5698" s="1" t="s">
        <v>1336</v>
      </c>
      <c r="I5698" s="1" t="n">
        <v>914.85</v>
      </c>
      <c r="J5698" s="1" t="str">
        <f aca="false">VLOOKUP(B5698,Customers!$A$2:$G$502,6,FALSE())</f>
        <v>Small Business</v>
      </c>
      <c r="K5698" s="1" t="str">
        <f aca="false">VLOOKUP(C5698,Products!$A$2:$E$62,3,FALSE())</f>
        <v>Electronics</v>
      </c>
      <c r="L5698" s="1" t="str">
        <f aca="false">TEXT(D5698,"yyyy-mm")</f>
        <v>2023-12</v>
      </c>
    </row>
    <row r="5699" customFormat="false" ht="15" hidden="false" customHeight="true" outlineLevel="0" collapsed="false">
      <c r="A5699" s="1" t="n">
        <v>5823</v>
      </c>
      <c r="B5699" s="1" t="n">
        <v>479</v>
      </c>
      <c r="C5699" s="1" t="n">
        <v>27</v>
      </c>
      <c r="D5699" s="1" t="s">
        <v>1698</v>
      </c>
      <c r="E5699" s="1" t="n">
        <v>5</v>
      </c>
      <c r="F5699" s="1" t="n">
        <v>772.58</v>
      </c>
      <c r="G5699" s="1" t="n">
        <v>0.05</v>
      </c>
      <c r="H5699" s="1" t="s">
        <v>1346</v>
      </c>
      <c r="I5699" s="1" t="n">
        <v>3669.76</v>
      </c>
      <c r="J5699" s="1" t="str">
        <f aca="false">VLOOKUP(B5699,Customers!$A$2:$G$502,6,FALSE())</f>
        <v>Small Business</v>
      </c>
      <c r="K5699" s="1" t="str">
        <f aca="false">VLOOKUP(C5699,Products!$A$2:$E$62,3,FALSE())</f>
        <v>Office Supplies</v>
      </c>
      <c r="L5699" s="1" t="str">
        <f aca="false">TEXT(D5699,"yyyy-mm")</f>
        <v>2023-11</v>
      </c>
    </row>
    <row r="5700" customFormat="false" ht="15" hidden="false" customHeight="true" outlineLevel="0" collapsed="false">
      <c r="A5700" s="1" t="n">
        <v>5824</v>
      </c>
      <c r="B5700" s="1" t="n">
        <v>203</v>
      </c>
      <c r="C5700" s="1" t="n">
        <v>33</v>
      </c>
      <c r="D5700" s="1" t="s">
        <v>1548</v>
      </c>
      <c r="E5700" s="1" t="n">
        <v>8</v>
      </c>
      <c r="F5700" s="1" t="n">
        <v>190.1</v>
      </c>
      <c r="G5700" s="1" t="n">
        <v>0</v>
      </c>
      <c r="H5700" s="1" t="s">
        <v>1336</v>
      </c>
      <c r="I5700" s="1" t="n">
        <v>1520.8</v>
      </c>
      <c r="J5700" s="1" t="str">
        <f aca="false">VLOOKUP(B5700,Customers!$A$2:$G$502,6,FALSE())</f>
        <v>Corporate</v>
      </c>
      <c r="K5700" s="1" t="str">
        <f aca="false">VLOOKUP(C5700,Products!$A$2:$E$62,3,FALSE())</f>
        <v>Office Supplies</v>
      </c>
      <c r="L5700" s="1" t="str">
        <f aca="false">TEXT(D5700,"yyyy-mm")</f>
        <v>2024-06</v>
      </c>
    </row>
    <row r="5701" customFormat="false" ht="15" hidden="false" customHeight="true" outlineLevel="0" collapsed="false">
      <c r="A5701" s="1" t="n">
        <v>5825</v>
      </c>
      <c r="B5701" s="1" t="n">
        <v>10</v>
      </c>
      <c r="C5701" s="1" t="n">
        <v>1</v>
      </c>
      <c r="D5701" s="1" t="s">
        <v>143</v>
      </c>
      <c r="E5701" s="1" t="n">
        <v>1</v>
      </c>
      <c r="F5701" s="1" t="n">
        <v>327.32</v>
      </c>
      <c r="G5701" s="1" t="n">
        <v>0.2</v>
      </c>
      <c r="H5701" s="1" t="s">
        <v>1336</v>
      </c>
      <c r="I5701" s="1" t="n">
        <v>261.86</v>
      </c>
      <c r="J5701" s="1" t="str">
        <f aca="false">VLOOKUP(B5701,Customers!$A$2:$G$502,6,FALSE())</f>
        <v>Small Business</v>
      </c>
      <c r="K5701" s="1" t="str">
        <f aca="false">VLOOKUP(C5701,Products!$A$2:$E$62,3,FALSE())</f>
        <v>Electronics</v>
      </c>
      <c r="L5701" s="1" t="str">
        <f aca="false">TEXT(D5701,"yyyy-mm")</f>
        <v>2024-07</v>
      </c>
    </row>
    <row r="5702" customFormat="false" ht="15" hidden="false" customHeight="true" outlineLevel="0" collapsed="false">
      <c r="A5702" s="1" t="n">
        <v>5826</v>
      </c>
      <c r="B5702" s="1" t="n">
        <v>24</v>
      </c>
      <c r="C5702" s="1" t="n">
        <v>8</v>
      </c>
      <c r="D5702" s="1" t="s">
        <v>1016</v>
      </c>
      <c r="E5702" s="1" t="n">
        <v>1</v>
      </c>
      <c r="F5702" s="1" t="n">
        <v>104.4</v>
      </c>
      <c r="G5702" s="1" t="n">
        <v>0.1</v>
      </c>
      <c r="H5702" s="1" t="s">
        <v>1336</v>
      </c>
      <c r="I5702" s="1" t="n">
        <v>93.96</v>
      </c>
      <c r="J5702" s="1" t="str">
        <f aca="false">VLOOKUP(B5702,Customers!$A$2:$G$502,6,FALSE())</f>
        <v>Consumer</v>
      </c>
      <c r="K5702" s="1" t="str">
        <f aca="false">VLOOKUP(C5702,Products!$A$2:$E$62,3,FALSE())</f>
        <v>Electronics</v>
      </c>
      <c r="L5702" s="1" t="str">
        <f aca="false">TEXT(D5702,"yyyy-mm")</f>
        <v>2023-11</v>
      </c>
    </row>
    <row r="5703" customFormat="false" ht="15" hidden="false" customHeight="true" outlineLevel="0" collapsed="false">
      <c r="A5703" s="1" t="n">
        <v>5827</v>
      </c>
      <c r="B5703" s="1" t="n">
        <v>208</v>
      </c>
      <c r="C5703" s="1" t="n">
        <v>24</v>
      </c>
      <c r="D5703" s="1" t="s">
        <v>1166</v>
      </c>
      <c r="E5703" s="1" t="n">
        <v>7</v>
      </c>
      <c r="F5703" s="1" t="n">
        <v>207.34</v>
      </c>
      <c r="G5703" s="1" t="n">
        <v>0</v>
      </c>
      <c r="H5703" s="1" t="s">
        <v>1336</v>
      </c>
      <c r="I5703" s="1" t="n">
        <v>1451.38</v>
      </c>
      <c r="J5703" s="1" t="str">
        <f aca="false">VLOOKUP(B5703,Customers!$A$2:$G$502,6,FALSE())</f>
        <v>Corporate</v>
      </c>
      <c r="K5703" s="1" t="str">
        <f aca="false">VLOOKUP(C5703,Products!$A$2:$E$62,3,FALSE())</f>
        <v>Office Supplies</v>
      </c>
      <c r="L5703" s="1" t="str">
        <f aca="false">TEXT(D5703,"yyyy-mm")</f>
        <v>2024-03</v>
      </c>
    </row>
    <row r="5704" customFormat="false" ht="15" hidden="false" customHeight="true" outlineLevel="0" collapsed="false">
      <c r="A5704" s="1" t="n">
        <v>5828</v>
      </c>
      <c r="B5704" s="1" t="n">
        <v>136</v>
      </c>
      <c r="C5704" s="1" t="n">
        <v>58</v>
      </c>
      <c r="D5704" s="1" t="s">
        <v>117</v>
      </c>
      <c r="E5704" s="1" t="n">
        <v>5</v>
      </c>
      <c r="F5704" s="1" t="n">
        <v>515.55</v>
      </c>
      <c r="G5704" s="1" t="n">
        <v>0.1</v>
      </c>
      <c r="H5704" s="1" t="s">
        <v>1336</v>
      </c>
      <c r="I5704" s="1" t="n">
        <v>2319.98</v>
      </c>
      <c r="J5704" s="1" t="str">
        <f aca="false">VLOOKUP(B5704,Customers!$A$2:$G$502,6,FALSE())</f>
        <v>Corporate</v>
      </c>
      <c r="K5704" s="1" t="str">
        <f aca="false">VLOOKUP(C5704,Products!$A$2:$E$62,3,FALSE())</f>
        <v>Furniture</v>
      </c>
      <c r="L5704" s="1" t="str">
        <f aca="false">TEXT(D5704,"yyyy-mm")</f>
        <v>2023-03</v>
      </c>
    </row>
    <row r="5705" customFormat="false" ht="15" hidden="false" customHeight="true" outlineLevel="0" collapsed="false">
      <c r="A5705" s="1" t="n">
        <v>5829</v>
      </c>
      <c r="B5705" s="1" t="n">
        <v>146</v>
      </c>
      <c r="C5705" s="1" t="n">
        <v>26</v>
      </c>
      <c r="D5705" s="1" t="s">
        <v>1572</v>
      </c>
      <c r="E5705" s="1" t="n">
        <v>5</v>
      </c>
      <c r="F5705" s="1" t="n">
        <v>733.85</v>
      </c>
      <c r="G5705" s="1" t="n">
        <v>0.1</v>
      </c>
      <c r="H5705" s="1" t="s">
        <v>1336</v>
      </c>
      <c r="I5705" s="1" t="n">
        <v>3302.32</v>
      </c>
      <c r="J5705" s="1" t="str">
        <f aca="false">VLOOKUP(B5705,Customers!$A$2:$G$502,6,FALSE())</f>
        <v>Consumer</v>
      </c>
      <c r="K5705" s="1" t="str">
        <f aca="false">VLOOKUP(C5705,Products!$A$2:$E$62,3,FALSE())</f>
        <v>Office Supplies</v>
      </c>
      <c r="L5705" s="1" t="str">
        <f aca="false">TEXT(D5705,"yyyy-mm")</f>
        <v>2023-07</v>
      </c>
    </row>
    <row r="5706" customFormat="false" ht="15" hidden="false" customHeight="true" outlineLevel="0" collapsed="false">
      <c r="A5706" s="1" t="n">
        <v>5830</v>
      </c>
      <c r="B5706" s="1" t="n">
        <v>355</v>
      </c>
      <c r="C5706" s="1" t="n">
        <v>25</v>
      </c>
      <c r="D5706" s="1" t="s">
        <v>351</v>
      </c>
      <c r="E5706" s="1" t="n">
        <v>1</v>
      </c>
      <c r="F5706" s="1" t="n">
        <v>300.49</v>
      </c>
      <c r="G5706" s="1" t="n">
        <v>0.2</v>
      </c>
      <c r="H5706" s="1" t="s">
        <v>1336</v>
      </c>
      <c r="I5706" s="1" t="n">
        <v>240.39</v>
      </c>
      <c r="J5706" s="1" t="str">
        <f aca="false">VLOOKUP(B5706,Customers!$A$2:$G$502,6,FALSE())</f>
        <v>Corporate</v>
      </c>
      <c r="K5706" s="1" t="str">
        <f aca="false">VLOOKUP(C5706,Products!$A$2:$E$62,3,FALSE())</f>
        <v>Office Supplies</v>
      </c>
      <c r="L5706" s="1" t="str">
        <f aca="false">TEXT(D5706,"yyyy-mm")</f>
        <v>2023-02</v>
      </c>
    </row>
    <row r="5707" customFormat="false" ht="15" hidden="false" customHeight="true" outlineLevel="0" collapsed="false">
      <c r="A5707" s="1" t="n">
        <v>5831</v>
      </c>
      <c r="B5707" s="1" t="n">
        <v>41</v>
      </c>
      <c r="C5707" s="1" t="n">
        <v>17</v>
      </c>
      <c r="D5707" s="1" t="s">
        <v>1666</v>
      </c>
      <c r="E5707" s="1" t="n">
        <v>9</v>
      </c>
      <c r="F5707" s="1" t="n">
        <v>65.61</v>
      </c>
      <c r="G5707" s="1" t="n">
        <v>0</v>
      </c>
      <c r="H5707" s="1" t="s">
        <v>1336</v>
      </c>
      <c r="I5707" s="1" t="n">
        <v>590.49</v>
      </c>
      <c r="J5707" s="1" t="str">
        <f aca="false">VLOOKUP(B5707,Customers!$A$2:$G$502,6,FALSE())</f>
        <v>Corporate</v>
      </c>
      <c r="K5707" s="1" t="str">
        <f aca="false">VLOOKUP(C5707,Products!$A$2:$E$62,3,FALSE())</f>
        <v>Electronics</v>
      </c>
      <c r="L5707" s="1" t="str">
        <f aca="false">TEXT(D5707,"yyyy-mm")</f>
        <v>2024-07</v>
      </c>
    </row>
    <row r="5708" customFormat="false" ht="15" hidden="false" customHeight="true" outlineLevel="0" collapsed="false">
      <c r="A5708" s="1" t="n">
        <v>5832</v>
      </c>
      <c r="B5708" s="1" t="n">
        <v>391</v>
      </c>
      <c r="C5708" s="1" t="n">
        <v>10</v>
      </c>
      <c r="D5708" s="1" t="s">
        <v>1050</v>
      </c>
      <c r="E5708" s="1" t="n">
        <v>1</v>
      </c>
      <c r="F5708" s="1" t="n">
        <v>251.58</v>
      </c>
      <c r="G5708" s="1" t="n">
        <v>0</v>
      </c>
      <c r="H5708" s="1" t="s">
        <v>1336</v>
      </c>
      <c r="I5708" s="1" t="n">
        <v>251.58</v>
      </c>
      <c r="J5708" s="1" t="str">
        <f aca="false">VLOOKUP(B5708,Customers!$A$2:$G$502,6,FALSE())</f>
        <v>Small Business</v>
      </c>
      <c r="K5708" s="1" t="str">
        <f aca="false">VLOOKUP(C5708,Products!$A$2:$E$62,3,FALSE())</f>
        <v>Electronics</v>
      </c>
      <c r="L5708" s="1" t="str">
        <f aca="false">TEXT(D5708,"yyyy-mm")</f>
        <v>2024-08</v>
      </c>
    </row>
    <row r="5709" customFormat="false" ht="15" hidden="false" customHeight="true" outlineLevel="0" collapsed="false">
      <c r="A5709" s="1" t="n">
        <v>5833</v>
      </c>
      <c r="B5709" s="1" t="n">
        <v>333</v>
      </c>
      <c r="C5709" s="1" t="n">
        <v>15</v>
      </c>
      <c r="D5709" s="1" t="s">
        <v>1543</v>
      </c>
      <c r="E5709" s="1" t="n">
        <v>5</v>
      </c>
      <c r="F5709" s="1" t="n">
        <v>304.95</v>
      </c>
      <c r="G5709" s="1" t="n">
        <v>0.2</v>
      </c>
      <c r="H5709" s="1" t="s">
        <v>1346</v>
      </c>
      <c r="I5709" s="1" t="n">
        <v>1219.8</v>
      </c>
      <c r="J5709" s="1" t="str">
        <f aca="false">VLOOKUP(B5709,Customers!$A$2:$G$502,6,FALSE())</f>
        <v>Consumer</v>
      </c>
      <c r="K5709" s="1" t="str">
        <f aca="false">VLOOKUP(C5709,Products!$A$2:$E$62,3,FALSE())</f>
        <v>Electronics</v>
      </c>
      <c r="L5709" s="1" t="str">
        <f aca="false">TEXT(D5709,"yyyy-mm")</f>
        <v>2023-01</v>
      </c>
    </row>
    <row r="5710" customFormat="false" ht="15" hidden="false" customHeight="true" outlineLevel="0" collapsed="false">
      <c r="A5710" s="1" t="n">
        <v>5834</v>
      </c>
      <c r="B5710" s="1" t="n">
        <v>58</v>
      </c>
      <c r="C5710" s="1" t="n">
        <v>42</v>
      </c>
      <c r="D5710" s="1" t="s">
        <v>1458</v>
      </c>
      <c r="E5710" s="1" t="n">
        <v>9</v>
      </c>
      <c r="F5710" s="1" t="n">
        <v>174.48</v>
      </c>
      <c r="G5710" s="1" t="n">
        <v>0.05</v>
      </c>
      <c r="H5710" s="1" t="s">
        <v>1336</v>
      </c>
      <c r="I5710" s="1" t="n">
        <v>1491.8</v>
      </c>
      <c r="J5710" s="1" t="str">
        <f aca="false">VLOOKUP(B5710,Customers!$A$2:$G$502,6,FALSE())</f>
        <v>Consumer</v>
      </c>
      <c r="K5710" s="1" t="str">
        <f aca="false">VLOOKUP(C5710,Products!$A$2:$E$62,3,FALSE())</f>
        <v>Software</v>
      </c>
      <c r="L5710" s="1" t="str">
        <f aca="false">TEXT(D5710,"yyyy-mm")</f>
        <v>2023-03</v>
      </c>
    </row>
    <row r="5711" customFormat="false" ht="15" hidden="false" customHeight="true" outlineLevel="0" collapsed="false">
      <c r="A5711" s="1" t="n">
        <v>5835</v>
      </c>
      <c r="B5711" s="1" t="n">
        <v>102</v>
      </c>
      <c r="C5711" s="1" t="n">
        <v>36</v>
      </c>
      <c r="D5711" s="1" t="s">
        <v>1456</v>
      </c>
      <c r="E5711" s="1" t="n">
        <v>4</v>
      </c>
      <c r="F5711" s="1" t="n">
        <v>424.45</v>
      </c>
      <c r="G5711" s="1" t="n">
        <v>0.05</v>
      </c>
      <c r="H5711" s="1" t="s">
        <v>1336</v>
      </c>
      <c r="I5711" s="1" t="n">
        <v>1612.91</v>
      </c>
      <c r="J5711" s="1" t="str">
        <f aca="false">VLOOKUP(B5711,Customers!$A$2:$G$502,6,FALSE())</f>
        <v>Consumer</v>
      </c>
      <c r="K5711" s="1" t="str">
        <f aca="false">VLOOKUP(C5711,Products!$A$2:$E$62,3,FALSE())</f>
        <v>Software</v>
      </c>
      <c r="L5711" s="1" t="str">
        <f aca="false">TEXT(D5711,"yyyy-mm")</f>
        <v>2024-12</v>
      </c>
    </row>
    <row r="5712" customFormat="false" ht="15" hidden="false" customHeight="true" outlineLevel="0" collapsed="false">
      <c r="A5712" s="1" t="n">
        <v>5836</v>
      </c>
      <c r="B5712" s="1" t="n">
        <v>244</v>
      </c>
      <c r="C5712" s="1" t="n">
        <v>42</v>
      </c>
      <c r="D5712" s="1" t="s">
        <v>124</v>
      </c>
      <c r="E5712" s="1" t="n">
        <v>8</v>
      </c>
      <c r="F5712" s="1" t="n">
        <v>174.48</v>
      </c>
      <c r="G5712" s="1" t="n">
        <v>0.15</v>
      </c>
      <c r="H5712" s="1" t="s">
        <v>1336</v>
      </c>
      <c r="I5712" s="1" t="n">
        <v>1186.46</v>
      </c>
      <c r="J5712" s="1" t="str">
        <f aca="false">VLOOKUP(B5712,Customers!$A$2:$G$502,6,FALSE())</f>
        <v>Small Business</v>
      </c>
      <c r="K5712" s="1" t="str">
        <f aca="false">VLOOKUP(C5712,Products!$A$2:$E$62,3,FALSE())</f>
        <v>Software</v>
      </c>
      <c r="L5712" s="1" t="str">
        <f aca="false">TEXT(D5712,"yyyy-mm")</f>
        <v>2023-05</v>
      </c>
    </row>
    <row r="5713" customFormat="false" ht="15" hidden="false" customHeight="true" outlineLevel="0" collapsed="false">
      <c r="A5713" s="1" t="n">
        <v>5837</v>
      </c>
      <c r="B5713" s="1" t="n">
        <v>286</v>
      </c>
      <c r="C5713" s="1" t="n">
        <v>5</v>
      </c>
      <c r="D5713" s="1" t="s">
        <v>1361</v>
      </c>
      <c r="E5713" s="1" t="n">
        <v>6</v>
      </c>
      <c r="F5713" s="1" t="n">
        <v>439.06</v>
      </c>
      <c r="G5713" s="1" t="n">
        <v>0</v>
      </c>
      <c r="H5713" s="1" t="s">
        <v>1346</v>
      </c>
      <c r="I5713" s="1" t="n">
        <v>2634.36</v>
      </c>
      <c r="J5713" s="1" t="str">
        <f aca="false">VLOOKUP(B5713,Customers!$A$2:$G$502,6,FALSE())</f>
        <v>Corporate</v>
      </c>
      <c r="K5713" s="1" t="str">
        <f aca="false">VLOOKUP(C5713,Products!$A$2:$E$62,3,FALSE())</f>
        <v>Electronics</v>
      </c>
      <c r="L5713" s="1" t="str">
        <f aca="false">TEXT(D5713,"yyyy-mm")</f>
        <v>2024-01</v>
      </c>
    </row>
    <row r="5714" customFormat="false" ht="15" hidden="false" customHeight="true" outlineLevel="0" collapsed="false">
      <c r="A5714" s="1" t="n">
        <v>5838</v>
      </c>
      <c r="B5714" s="1" t="n">
        <v>274</v>
      </c>
      <c r="C5714" s="1" t="n">
        <v>16</v>
      </c>
      <c r="D5714" s="1" t="s">
        <v>351</v>
      </c>
      <c r="E5714" s="1" t="n">
        <v>3</v>
      </c>
      <c r="F5714" s="1" t="n">
        <v>330.91</v>
      </c>
      <c r="G5714" s="1" t="n">
        <v>0</v>
      </c>
      <c r="H5714" s="1" t="s">
        <v>1336</v>
      </c>
      <c r="I5714" s="1" t="n">
        <v>992.73</v>
      </c>
      <c r="J5714" s="1" t="str">
        <f aca="false">VLOOKUP(B5714,Customers!$A$2:$G$502,6,FALSE())</f>
        <v>Corporate</v>
      </c>
      <c r="K5714" s="1" t="str">
        <f aca="false">VLOOKUP(C5714,Products!$A$2:$E$62,3,FALSE())</f>
        <v>Electronics</v>
      </c>
      <c r="L5714" s="1" t="str">
        <f aca="false">TEXT(D5714,"yyyy-mm")</f>
        <v>2023-02</v>
      </c>
    </row>
    <row r="5715" customFormat="false" ht="15" hidden="false" customHeight="true" outlineLevel="0" collapsed="false">
      <c r="A5715" s="1" t="n">
        <v>5839</v>
      </c>
      <c r="B5715" s="1" t="n">
        <v>123</v>
      </c>
      <c r="C5715" s="1" t="n">
        <v>16</v>
      </c>
      <c r="D5715" s="1" t="s">
        <v>1544</v>
      </c>
      <c r="E5715" s="1" t="n">
        <v>4</v>
      </c>
      <c r="F5715" s="1" t="n">
        <v>330.91</v>
      </c>
      <c r="G5715" s="1" t="n">
        <v>0</v>
      </c>
      <c r="H5715" s="1" t="s">
        <v>1336</v>
      </c>
      <c r="I5715" s="1" t="n">
        <v>1323.64</v>
      </c>
      <c r="J5715" s="1" t="str">
        <f aca="false">VLOOKUP(B5715,Customers!$A$2:$G$502,6,FALSE())</f>
        <v>Small Business</v>
      </c>
      <c r="K5715" s="1" t="str">
        <f aca="false">VLOOKUP(C5715,Products!$A$2:$E$62,3,FALSE())</f>
        <v>Electronics</v>
      </c>
      <c r="L5715" s="1" t="str">
        <f aca="false">TEXT(D5715,"yyyy-mm")</f>
        <v>2024-05</v>
      </c>
    </row>
    <row r="5716" customFormat="false" ht="15" hidden="false" customHeight="true" outlineLevel="0" collapsed="false">
      <c r="A5716" s="1" t="n">
        <v>5840</v>
      </c>
      <c r="B5716" s="1" t="n">
        <v>7</v>
      </c>
      <c r="C5716" s="1" t="n">
        <v>10</v>
      </c>
      <c r="D5716" s="1" t="s">
        <v>1133</v>
      </c>
      <c r="E5716" s="1" t="n">
        <v>2</v>
      </c>
      <c r="F5716" s="1" t="n">
        <v>251.58</v>
      </c>
      <c r="G5716" s="1" t="n">
        <v>0.05</v>
      </c>
      <c r="H5716" s="1" t="s">
        <v>1336</v>
      </c>
      <c r="I5716" s="1" t="n">
        <v>478</v>
      </c>
      <c r="J5716" s="1" t="str">
        <f aca="false">VLOOKUP(B5716,Customers!$A$2:$G$502,6,FALSE())</f>
        <v>Small Business</v>
      </c>
      <c r="K5716" s="1" t="str">
        <f aca="false">VLOOKUP(C5716,Products!$A$2:$E$62,3,FALSE())</f>
        <v>Electronics</v>
      </c>
      <c r="L5716" s="1" t="str">
        <f aca="false">TEXT(D5716,"yyyy-mm")</f>
        <v>2024-06</v>
      </c>
    </row>
    <row r="5717" customFormat="false" ht="15" hidden="false" customHeight="true" outlineLevel="0" collapsed="false">
      <c r="A5717" s="1" t="n">
        <v>5841</v>
      </c>
      <c r="B5717" s="1" t="n">
        <v>354</v>
      </c>
      <c r="C5717" s="1" t="n">
        <v>44</v>
      </c>
      <c r="D5717" s="1" t="s">
        <v>1694</v>
      </c>
      <c r="E5717" s="1" t="n">
        <v>1</v>
      </c>
      <c r="F5717" s="1" t="n">
        <v>508.26</v>
      </c>
      <c r="G5717" s="1" t="n">
        <v>0.1</v>
      </c>
      <c r="H5717" s="1" t="s">
        <v>1336</v>
      </c>
      <c r="I5717" s="1" t="n">
        <v>457.43</v>
      </c>
      <c r="J5717" s="1" t="str">
        <f aca="false">VLOOKUP(B5717,Customers!$A$2:$G$502,6,FALSE())</f>
        <v>Consumer</v>
      </c>
      <c r="K5717" s="1" t="str">
        <f aca="false">VLOOKUP(C5717,Products!$A$2:$E$62,3,FALSE())</f>
        <v>Software</v>
      </c>
      <c r="L5717" s="1" t="str">
        <f aca="false">TEXT(D5717,"yyyy-mm")</f>
        <v>2023-09</v>
      </c>
    </row>
    <row r="5718" customFormat="false" ht="15" hidden="false" customHeight="true" outlineLevel="0" collapsed="false">
      <c r="A5718" s="1" t="n">
        <v>5842</v>
      </c>
      <c r="B5718" s="1" t="n">
        <v>46</v>
      </c>
      <c r="C5718" s="1" t="n">
        <v>27</v>
      </c>
      <c r="D5718" s="1" t="s">
        <v>1439</v>
      </c>
      <c r="E5718" s="1" t="n">
        <v>8</v>
      </c>
      <c r="F5718" s="1" t="n">
        <v>772.58</v>
      </c>
      <c r="G5718" s="1" t="n">
        <v>0.1</v>
      </c>
      <c r="H5718" s="1" t="s">
        <v>1336</v>
      </c>
      <c r="I5718" s="1" t="n">
        <v>5562.58</v>
      </c>
      <c r="J5718" s="1" t="str">
        <f aca="false">VLOOKUP(B5718,Customers!$A$2:$G$502,6,FALSE())</f>
        <v>Consumer</v>
      </c>
      <c r="K5718" s="1" t="str">
        <f aca="false">VLOOKUP(C5718,Products!$A$2:$E$62,3,FALSE())</f>
        <v>Office Supplies</v>
      </c>
      <c r="L5718" s="1" t="str">
        <f aca="false">TEXT(D5718,"yyyy-mm")</f>
        <v>2024-05</v>
      </c>
    </row>
    <row r="5719" customFormat="false" ht="15" hidden="false" customHeight="true" outlineLevel="0" collapsed="false">
      <c r="A5719" s="1" t="n">
        <v>5843</v>
      </c>
      <c r="B5719" s="1" t="n">
        <v>325</v>
      </c>
      <c r="C5719" s="1" t="n">
        <v>15</v>
      </c>
      <c r="D5719" s="1" t="s">
        <v>1212</v>
      </c>
      <c r="E5719" s="1" t="n">
        <v>1</v>
      </c>
      <c r="F5719" s="1" t="n">
        <v>304.95</v>
      </c>
      <c r="G5719" s="1" t="n">
        <v>0.15</v>
      </c>
      <c r="H5719" s="1" t="s">
        <v>1336</v>
      </c>
      <c r="I5719" s="1" t="n">
        <v>259.21</v>
      </c>
      <c r="J5719" s="1" t="str">
        <f aca="false">VLOOKUP(B5719,Customers!$A$2:$G$502,6,FALSE())</f>
        <v>Small Business</v>
      </c>
      <c r="K5719" s="1" t="str">
        <f aca="false">VLOOKUP(C5719,Products!$A$2:$E$62,3,FALSE())</f>
        <v>Electronics</v>
      </c>
      <c r="L5719" s="1" t="str">
        <f aca="false">TEXT(D5719,"yyyy-mm")</f>
        <v>2024-09</v>
      </c>
    </row>
    <row r="5720" customFormat="false" ht="15" hidden="false" customHeight="true" outlineLevel="0" collapsed="false">
      <c r="A5720" s="1" t="n">
        <v>5844</v>
      </c>
      <c r="B5720" s="1" t="n">
        <v>30</v>
      </c>
      <c r="C5720" s="1" t="n">
        <v>50</v>
      </c>
      <c r="D5720" s="1" t="s">
        <v>243</v>
      </c>
      <c r="E5720" s="1" t="n">
        <v>1</v>
      </c>
      <c r="F5720" s="1" t="n">
        <v>19.73</v>
      </c>
      <c r="G5720" s="1" t="n">
        <v>0</v>
      </c>
      <c r="H5720" s="1" t="s">
        <v>1370</v>
      </c>
      <c r="I5720" s="1" t="n">
        <v>19.73</v>
      </c>
      <c r="J5720" s="1" t="str">
        <f aca="false">VLOOKUP(B5720,Customers!$A$2:$G$502,6,FALSE())</f>
        <v>Unknown</v>
      </c>
      <c r="K5720" s="1" t="str">
        <f aca="false">VLOOKUP(C5720,Products!$A$2:$E$62,3,FALSE())</f>
        <v>Software</v>
      </c>
      <c r="L5720" s="1" t="str">
        <f aca="false">TEXT(D5720,"yyyy-mm")</f>
        <v>2024-07</v>
      </c>
    </row>
    <row r="5721" customFormat="false" ht="15" hidden="false" customHeight="true" outlineLevel="0" collapsed="false">
      <c r="A5721" s="1" t="n">
        <v>5845</v>
      </c>
      <c r="B5721" s="1" t="n">
        <v>265</v>
      </c>
      <c r="C5721" s="1" t="n">
        <v>7</v>
      </c>
      <c r="D5721" s="1" t="s">
        <v>1614</v>
      </c>
      <c r="E5721" s="1" t="n">
        <v>4</v>
      </c>
      <c r="F5721" s="1" t="n">
        <v>460</v>
      </c>
      <c r="G5721" s="1" t="n">
        <v>0.05</v>
      </c>
      <c r="H5721" s="1" t="s">
        <v>1336</v>
      </c>
      <c r="I5721" s="1" t="n">
        <v>1748</v>
      </c>
      <c r="J5721" s="1" t="str">
        <f aca="false">VLOOKUP(B5721,Customers!$A$2:$G$502,6,FALSE())</f>
        <v>Corporate</v>
      </c>
      <c r="K5721" s="1" t="str">
        <f aca="false">VLOOKUP(C5721,Products!$A$2:$E$62,3,FALSE())</f>
        <v>Electronics</v>
      </c>
      <c r="L5721" s="1" t="str">
        <f aca="false">TEXT(D5721,"yyyy-mm")</f>
        <v>2023-10</v>
      </c>
    </row>
    <row r="5722" customFormat="false" ht="15" hidden="false" customHeight="true" outlineLevel="0" collapsed="false">
      <c r="A5722" s="1" t="n">
        <v>5846</v>
      </c>
      <c r="B5722" s="1" t="n">
        <v>216</v>
      </c>
      <c r="C5722" s="1" t="n">
        <v>38</v>
      </c>
      <c r="D5722" s="1" t="s">
        <v>799</v>
      </c>
      <c r="E5722" s="1" t="n">
        <v>6</v>
      </c>
      <c r="F5722" s="1" t="n">
        <v>521.63</v>
      </c>
      <c r="G5722" s="1" t="n">
        <v>0.15</v>
      </c>
      <c r="H5722" s="1" t="s">
        <v>1336</v>
      </c>
      <c r="I5722" s="1" t="n">
        <v>2660.31</v>
      </c>
      <c r="J5722" s="1" t="str">
        <f aca="false">VLOOKUP(B5722,Customers!$A$2:$G$502,6,FALSE())</f>
        <v>Consumer</v>
      </c>
      <c r="K5722" s="1" t="str">
        <f aca="false">VLOOKUP(C5722,Products!$A$2:$E$62,3,FALSE())</f>
        <v>Software</v>
      </c>
      <c r="L5722" s="1" t="str">
        <f aca="false">TEXT(D5722,"yyyy-mm")</f>
        <v>2024-06</v>
      </c>
    </row>
    <row r="5723" customFormat="false" ht="15" hidden="false" customHeight="true" outlineLevel="0" collapsed="false">
      <c r="A5723" s="1" t="n">
        <v>5847</v>
      </c>
      <c r="B5723" s="1" t="n">
        <v>86</v>
      </c>
      <c r="C5723" s="1" t="n">
        <v>41</v>
      </c>
      <c r="D5723" s="1" t="s">
        <v>689</v>
      </c>
      <c r="E5723" s="1" t="n">
        <v>9</v>
      </c>
      <c r="F5723" s="1" t="n">
        <v>594.54</v>
      </c>
      <c r="G5723" s="1" t="n">
        <v>0.2</v>
      </c>
      <c r="H5723" s="1" t="s">
        <v>1336</v>
      </c>
      <c r="I5723" s="1" t="n">
        <v>4280.69</v>
      </c>
      <c r="J5723" s="1" t="str">
        <f aca="false">VLOOKUP(B5723,Customers!$A$2:$G$502,6,FALSE())</f>
        <v>Small Business</v>
      </c>
      <c r="K5723" s="1" t="str">
        <f aca="false">VLOOKUP(C5723,Products!$A$2:$E$62,3,FALSE())</f>
        <v>Software</v>
      </c>
      <c r="L5723" s="1" t="str">
        <f aca="false">TEXT(D5723,"yyyy-mm")</f>
        <v>2023-11</v>
      </c>
    </row>
    <row r="5724" customFormat="false" ht="15" hidden="false" customHeight="true" outlineLevel="0" collapsed="false">
      <c r="A5724" s="1" t="n">
        <v>5848</v>
      </c>
      <c r="B5724" s="1" t="n">
        <v>410</v>
      </c>
      <c r="C5724" s="1" t="n">
        <v>57</v>
      </c>
      <c r="D5724" s="1" t="s">
        <v>1388</v>
      </c>
      <c r="E5724" s="1" t="n">
        <v>1</v>
      </c>
      <c r="F5724" s="1" t="n">
        <v>719.76</v>
      </c>
      <c r="G5724" s="1" t="n">
        <v>0.2</v>
      </c>
      <c r="H5724" s="1" t="s">
        <v>1336</v>
      </c>
      <c r="I5724" s="1" t="n">
        <v>575.81</v>
      </c>
      <c r="J5724" s="1" t="str">
        <f aca="false">VLOOKUP(B5724,Customers!$A$2:$G$502,6,FALSE())</f>
        <v>Consumer</v>
      </c>
      <c r="K5724" s="1" t="str">
        <f aca="false">VLOOKUP(C5724,Products!$A$2:$E$62,3,FALSE())</f>
        <v>Furniture</v>
      </c>
      <c r="L5724" s="1" t="str">
        <f aca="false">TEXT(D5724,"yyyy-mm")</f>
        <v>2024-11</v>
      </c>
    </row>
    <row r="5725" customFormat="false" ht="15" hidden="false" customHeight="true" outlineLevel="0" collapsed="false">
      <c r="A5725" s="1" t="n">
        <v>5849</v>
      </c>
      <c r="B5725" s="1" t="n">
        <v>356</v>
      </c>
      <c r="C5725" s="1" t="n">
        <v>25</v>
      </c>
      <c r="D5725" s="1" t="s">
        <v>306</v>
      </c>
      <c r="E5725" s="1" t="n">
        <v>7</v>
      </c>
      <c r="F5725" s="1" t="n">
        <v>300.49</v>
      </c>
      <c r="G5725" s="1" t="n">
        <v>0.1</v>
      </c>
      <c r="H5725" s="1" t="s">
        <v>1336</v>
      </c>
      <c r="I5725" s="1" t="n">
        <v>1893.09</v>
      </c>
      <c r="J5725" s="1" t="str">
        <f aca="false">VLOOKUP(B5725,Customers!$A$2:$G$502,6,FALSE())</f>
        <v>Consumer</v>
      </c>
      <c r="K5725" s="1" t="str">
        <f aca="false">VLOOKUP(C5725,Products!$A$2:$E$62,3,FALSE())</f>
        <v>Office Supplies</v>
      </c>
      <c r="L5725" s="1" t="str">
        <f aca="false">TEXT(D5725,"yyyy-mm")</f>
        <v>2024-05</v>
      </c>
    </row>
    <row r="5726" customFormat="false" ht="15" hidden="false" customHeight="true" outlineLevel="0" collapsed="false">
      <c r="A5726" s="1" t="n">
        <v>5850</v>
      </c>
      <c r="B5726" s="1" t="n">
        <v>44</v>
      </c>
      <c r="C5726" s="1" t="n">
        <v>18</v>
      </c>
      <c r="D5726" s="1" t="s">
        <v>804</v>
      </c>
      <c r="E5726" s="1" t="n">
        <v>5</v>
      </c>
      <c r="F5726" s="1" t="n">
        <v>747.34</v>
      </c>
      <c r="G5726" s="1" t="n">
        <v>0</v>
      </c>
      <c r="H5726" s="1" t="s">
        <v>1336</v>
      </c>
      <c r="I5726" s="1" t="n">
        <v>3736.7</v>
      </c>
      <c r="J5726" s="1" t="str">
        <f aca="false">VLOOKUP(B5726,Customers!$A$2:$G$502,6,FALSE())</f>
        <v>Consumer</v>
      </c>
      <c r="K5726" s="1" t="str">
        <f aca="false">VLOOKUP(C5726,Products!$A$2:$E$62,3,FALSE())</f>
        <v>Electronics</v>
      </c>
      <c r="L5726" s="1" t="str">
        <f aca="false">TEXT(D5726,"yyyy-mm")</f>
        <v>2024-12</v>
      </c>
    </row>
    <row r="5727" customFormat="false" ht="15" hidden="false" customHeight="true" outlineLevel="0" collapsed="false">
      <c r="A5727" s="1" t="n">
        <v>5851</v>
      </c>
      <c r="B5727" s="1" t="n">
        <v>225</v>
      </c>
      <c r="C5727" s="1" t="n">
        <v>7</v>
      </c>
      <c r="D5727" s="1" t="s">
        <v>1353</v>
      </c>
      <c r="E5727" s="1" t="n">
        <v>8</v>
      </c>
      <c r="F5727" s="1" t="n">
        <v>460</v>
      </c>
      <c r="G5727" s="1" t="n">
        <v>0</v>
      </c>
      <c r="H5727" s="1" t="s">
        <v>1370</v>
      </c>
      <c r="I5727" s="1" t="n">
        <v>3680</v>
      </c>
      <c r="J5727" s="1" t="str">
        <f aca="false">VLOOKUP(B5727,Customers!$A$2:$G$502,6,FALSE())</f>
        <v>Consumer</v>
      </c>
      <c r="K5727" s="1" t="str">
        <f aca="false">VLOOKUP(C5727,Products!$A$2:$E$62,3,FALSE())</f>
        <v>Electronics</v>
      </c>
      <c r="L5727" s="1" t="str">
        <f aca="false">TEXT(D5727,"yyyy-mm")</f>
        <v>2023-06</v>
      </c>
    </row>
    <row r="5728" customFormat="false" ht="15" hidden="false" customHeight="true" outlineLevel="0" collapsed="false">
      <c r="A5728" s="1" t="n">
        <v>5852</v>
      </c>
      <c r="B5728" s="1" t="n">
        <v>229</v>
      </c>
      <c r="C5728" s="1" t="n">
        <v>20</v>
      </c>
      <c r="D5728" s="1" t="s">
        <v>1544</v>
      </c>
      <c r="E5728" s="1" t="n">
        <v>7</v>
      </c>
      <c r="F5728" s="1" t="n">
        <v>426.15</v>
      </c>
      <c r="G5728" s="1" t="n">
        <v>0</v>
      </c>
      <c r="H5728" s="1" t="s">
        <v>1336</v>
      </c>
      <c r="I5728" s="1" t="n">
        <v>2983.05</v>
      </c>
      <c r="J5728" s="1" t="str">
        <f aca="false">VLOOKUP(B5728,Customers!$A$2:$G$502,6,FALSE())</f>
        <v>Consumer</v>
      </c>
      <c r="K5728" s="1" t="str">
        <f aca="false">VLOOKUP(C5728,Products!$A$2:$E$62,3,FALSE())</f>
        <v>Office Supplies</v>
      </c>
      <c r="L5728" s="1" t="str">
        <f aca="false">TEXT(D5728,"yyyy-mm")</f>
        <v>2024-05</v>
      </c>
    </row>
    <row r="5729" customFormat="false" ht="15" hidden="false" customHeight="true" outlineLevel="0" collapsed="false">
      <c r="A5729" s="1" t="n">
        <v>5853</v>
      </c>
      <c r="B5729" s="1" t="n">
        <v>285</v>
      </c>
      <c r="C5729" s="1" t="n">
        <v>28</v>
      </c>
      <c r="D5729" s="1" t="s">
        <v>1642</v>
      </c>
      <c r="E5729" s="1" t="n">
        <v>4</v>
      </c>
      <c r="F5729" s="1" t="n">
        <v>505.23</v>
      </c>
      <c r="G5729" s="1" t="n">
        <v>0</v>
      </c>
      <c r="H5729" s="1" t="s">
        <v>1336</v>
      </c>
      <c r="I5729" s="1" t="n">
        <v>2020.92</v>
      </c>
      <c r="J5729" s="1" t="str">
        <f aca="false">VLOOKUP(B5729,Customers!$A$2:$G$502,6,FALSE())</f>
        <v>Consumer</v>
      </c>
      <c r="K5729" s="1" t="str">
        <f aca="false">VLOOKUP(C5729,Products!$A$2:$E$62,3,FALSE())</f>
        <v>Office Supplies</v>
      </c>
      <c r="L5729" s="1" t="str">
        <f aca="false">TEXT(D5729,"yyyy-mm")</f>
        <v>2024-12</v>
      </c>
    </row>
    <row r="5730" customFormat="false" ht="15" hidden="false" customHeight="true" outlineLevel="0" collapsed="false">
      <c r="A5730" s="1" t="n">
        <v>5854</v>
      </c>
      <c r="B5730" s="1" t="n">
        <v>236</v>
      </c>
      <c r="C5730" s="1" t="n">
        <v>27</v>
      </c>
      <c r="D5730" s="1" t="s">
        <v>1434</v>
      </c>
      <c r="E5730" s="1" t="n">
        <v>4</v>
      </c>
      <c r="F5730" s="1" t="n">
        <v>772.58</v>
      </c>
      <c r="G5730" s="1" t="n">
        <v>0.15</v>
      </c>
      <c r="H5730" s="1" t="s">
        <v>1336</v>
      </c>
      <c r="I5730" s="1" t="n">
        <v>2626.77</v>
      </c>
      <c r="J5730" s="1" t="str">
        <f aca="false">VLOOKUP(B5730,Customers!$A$2:$G$502,6,FALSE())</f>
        <v>Corporate</v>
      </c>
      <c r="K5730" s="1" t="str">
        <f aca="false">VLOOKUP(C5730,Products!$A$2:$E$62,3,FALSE())</f>
        <v>Office Supplies</v>
      </c>
      <c r="L5730" s="1" t="str">
        <f aca="false">TEXT(D5730,"yyyy-mm")</f>
        <v>2023-01</v>
      </c>
    </row>
    <row r="5731" customFormat="false" ht="15" hidden="false" customHeight="true" outlineLevel="0" collapsed="false">
      <c r="A5731" s="1" t="n">
        <v>5855</v>
      </c>
      <c r="B5731" s="1" t="n">
        <v>170</v>
      </c>
      <c r="C5731" s="1" t="n">
        <v>41</v>
      </c>
      <c r="D5731" s="1" t="s">
        <v>1001</v>
      </c>
      <c r="E5731" s="1" t="n">
        <v>6</v>
      </c>
      <c r="F5731" s="1" t="n">
        <v>594.54</v>
      </c>
      <c r="G5731" s="1" t="n">
        <v>0.15</v>
      </c>
      <c r="H5731" s="1" t="s">
        <v>1336</v>
      </c>
      <c r="I5731" s="1" t="n">
        <v>3032.15</v>
      </c>
      <c r="J5731" s="1" t="str">
        <f aca="false">VLOOKUP(B5731,Customers!$A$2:$G$502,6,FALSE())</f>
        <v>Small Business</v>
      </c>
      <c r="K5731" s="1" t="str">
        <f aca="false">VLOOKUP(C5731,Products!$A$2:$E$62,3,FALSE())</f>
        <v>Software</v>
      </c>
      <c r="L5731" s="1" t="str">
        <f aca="false">TEXT(D5731,"yyyy-mm")</f>
        <v>2023-03</v>
      </c>
    </row>
    <row r="5732" customFormat="false" ht="15" hidden="false" customHeight="true" outlineLevel="0" collapsed="false">
      <c r="A5732" s="1" t="n">
        <v>5856</v>
      </c>
      <c r="B5732" s="1" t="n">
        <v>185</v>
      </c>
      <c r="C5732" s="1" t="n">
        <v>50</v>
      </c>
      <c r="D5732" s="1" t="s">
        <v>1383</v>
      </c>
      <c r="E5732" s="1" t="n">
        <v>6</v>
      </c>
      <c r="F5732" s="1" t="n">
        <v>19.73</v>
      </c>
      <c r="G5732" s="1" t="n">
        <v>0</v>
      </c>
      <c r="H5732" s="1" t="s">
        <v>1336</v>
      </c>
      <c r="I5732" s="1" t="n">
        <v>118.38</v>
      </c>
      <c r="J5732" s="1" t="str">
        <f aca="false">VLOOKUP(B5732,Customers!$A$2:$G$502,6,FALSE())</f>
        <v>Consumer</v>
      </c>
      <c r="K5732" s="1" t="str">
        <f aca="false">VLOOKUP(C5732,Products!$A$2:$E$62,3,FALSE())</f>
        <v>Software</v>
      </c>
      <c r="L5732" s="1" t="str">
        <f aca="false">TEXT(D5732,"yyyy-mm")</f>
        <v>2024-04</v>
      </c>
    </row>
    <row r="5733" customFormat="false" ht="15" hidden="false" customHeight="true" outlineLevel="0" collapsed="false">
      <c r="A5733" s="1" t="n">
        <v>5857</v>
      </c>
      <c r="B5733" s="1" t="n">
        <v>491</v>
      </c>
      <c r="C5733" s="1" t="n">
        <v>57</v>
      </c>
      <c r="D5733" s="1" t="s">
        <v>656</v>
      </c>
      <c r="E5733" s="1" t="n">
        <v>9</v>
      </c>
      <c r="F5733" s="1" t="n">
        <v>719.76</v>
      </c>
      <c r="G5733" s="1" t="n">
        <v>0.05</v>
      </c>
      <c r="H5733" s="1" t="s">
        <v>1346</v>
      </c>
      <c r="I5733" s="1" t="n">
        <v>6153.95</v>
      </c>
      <c r="J5733" s="1" t="str">
        <f aca="false">VLOOKUP(B5733,Customers!$A$2:$G$502,6,FALSE())</f>
        <v>Small Business</v>
      </c>
      <c r="K5733" s="1" t="str">
        <f aca="false">VLOOKUP(C5733,Products!$A$2:$E$62,3,FALSE())</f>
        <v>Furniture</v>
      </c>
      <c r="L5733" s="1" t="str">
        <f aca="false">TEXT(D5733,"yyyy-mm")</f>
        <v>2024-03</v>
      </c>
    </row>
    <row r="5734" customFormat="false" ht="15" hidden="false" customHeight="true" outlineLevel="0" collapsed="false">
      <c r="A5734" s="1" t="n">
        <v>5858</v>
      </c>
      <c r="B5734" s="1" t="n">
        <v>427</v>
      </c>
      <c r="C5734" s="1" t="n">
        <v>24</v>
      </c>
      <c r="D5734" s="1" t="s">
        <v>1550</v>
      </c>
      <c r="E5734" s="1" t="n">
        <v>5</v>
      </c>
      <c r="F5734" s="1" t="n">
        <v>207.34</v>
      </c>
      <c r="G5734" s="1" t="n">
        <v>0.2</v>
      </c>
      <c r="H5734" s="1" t="s">
        <v>1336</v>
      </c>
      <c r="I5734" s="1" t="n">
        <v>829.36</v>
      </c>
      <c r="J5734" s="1" t="str">
        <f aca="false">VLOOKUP(B5734,Customers!$A$2:$G$502,6,FALSE())</f>
        <v>Small Business</v>
      </c>
      <c r="K5734" s="1" t="str">
        <f aca="false">VLOOKUP(C5734,Products!$A$2:$E$62,3,FALSE())</f>
        <v>Office Supplies</v>
      </c>
      <c r="L5734" s="1" t="str">
        <f aca="false">TEXT(D5734,"yyyy-mm")</f>
        <v>2024-03</v>
      </c>
    </row>
    <row r="5735" customFormat="false" ht="15" hidden="false" customHeight="true" outlineLevel="0" collapsed="false">
      <c r="A5735" s="1" t="n">
        <v>5859</v>
      </c>
      <c r="B5735" s="1" t="n">
        <v>247</v>
      </c>
      <c r="C5735" s="1" t="n">
        <v>29</v>
      </c>
      <c r="D5735" s="1" t="s">
        <v>1086</v>
      </c>
      <c r="E5735" s="1" t="n">
        <v>8</v>
      </c>
      <c r="F5735" s="1" t="n">
        <v>54.62</v>
      </c>
      <c r="G5735" s="1" t="n">
        <v>0.15</v>
      </c>
      <c r="H5735" s="1" t="s">
        <v>1336</v>
      </c>
      <c r="I5735" s="1" t="n">
        <v>371.42</v>
      </c>
      <c r="J5735" s="1" t="str">
        <f aca="false">VLOOKUP(B5735,Customers!$A$2:$G$502,6,FALSE())</f>
        <v>Small Business</v>
      </c>
      <c r="K5735" s="1" t="str">
        <f aca="false">VLOOKUP(C5735,Products!$A$2:$E$62,3,FALSE())</f>
        <v>Office Supplies</v>
      </c>
      <c r="L5735" s="1" t="str">
        <f aca="false">TEXT(D5735,"yyyy-mm")</f>
        <v>2024-05</v>
      </c>
    </row>
    <row r="5736" customFormat="false" ht="15" hidden="false" customHeight="true" outlineLevel="0" collapsed="false">
      <c r="A5736" s="1" t="n">
        <v>5860</v>
      </c>
      <c r="B5736" s="1" t="n">
        <v>142</v>
      </c>
      <c r="C5736" s="1" t="n">
        <v>22</v>
      </c>
      <c r="D5736" s="1" t="s">
        <v>136</v>
      </c>
      <c r="E5736" s="1" t="n">
        <v>5</v>
      </c>
      <c r="F5736" s="1" t="n">
        <v>38.57</v>
      </c>
      <c r="G5736" s="1" t="n">
        <v>0</v>
      </c>
      <c r="H5736" s="1" t="s">
        <v>1336</v>
      </c>
      <c r="I5736" s="1" t="n">
        <v>192.85</v>
      </c>
      <c r="J5736" s="1" t="str">
        <f aca="false">VLOOKUP(B5736,Customers!$A$2:$G$502,6,FALSE())</f>
        <v>Small Business</v>
      </c>
      <c r="K5736" s="1" t="str">
        <f aca="false">VLOOKUP(C5736,Products!$A$2:$E$62,3,FALSE())</f>
        <v>Office Supplies</v>
      </c>
      <c r="L5736" s="1" t="str">
        <f aca="false">TEXT(D5736,"yyyy-mm")</f>
        <v>2024-06</v>
      </c>
    </row>
    <row r="5737" customFormat="false" ht="15" hidden="false" customHeight="true" outlineLevel="0" collapsed="false">
      <c r="A5737" s="1" t="n">
        <v>5861</v>
      </c>
      <c r="B5737" s="1" t="n">
        <v>467</v>
      </c>
      <c r="C5737" s="1" t="n">
        <v>45</v>
      </c>
      <c r="D5737" s="1" t="s">
        <v>614</v>
      </c>
      <c r="E5737" s="1" t="n">
        <v>2</v>
      </c>
      <c r="F5737" s="1" t="n">
        <v>560.01</v>
      </c>
      <c r="G5737" s="1" t="n">
        <v>0.05</v>
      </c>
      <c r="H5737" s="1" t="s">
        <v>1336</v>
      </c>
      <c r="I5737" s="1" t="n">
        <v>1064.02</v>
      </c>
      <c r="J5737" s="1" t="str">
        <f aca="false">VLOOKUP(B5737,Customers!$A$2:$G$502,6,FALSE())</f>
        <v>Corporate</v>
      </c>
      <c r="K5737" s="1" t="str">
        <f aca="false">VLOOKUP(C5737,Products!$A$2:$E$62,3,FALSE())</f>
        <v>Software</v>
      </c>
      <c r="L5737" s="1" t="str">
        <f aca="false">TEXT(D5737,"yyyy-mm")</f>
        <v>2023-07</v>
      </c>
    </row>
    <row r="5738" customFormat="false" ht="15" hidden="false" customHeight="true" outlineLevel="0" collapsed="false">
      <c r="A5738" s="1" t="n">
        <v>5862</v>
      </c>
      <c r="B5738" s="1" t="n">
        <v>389</v>
      </c>
      <c r="C5738" s="1" t="n">
        <v>40</v>
      </c>
      <c r="D5738" s="1" t="s">
        <v>1358</v>
      </c>
      <c r="E5738" s="1" t="n">
        <v>6</v>
      </c>
      <c r="F5738" s="1" t="n">
        <v>193.02</v>
      </c>
      <c r="G5738" s="1" t="n">
        <v>0</v>
      </c>
      <c r="H5738" s="1" t="s">
        <v>1336</v>
      </c>
      <c r="I5738" s="1" t="n">
        <v>1158.12</v>
      </c>
      <c r="J5738" s="1" t="str">
        <f aca="false">VLOOKUP(B5738,Customers!$A$2:$G$502,6,FALSE())</f>
        <v>Corporate</v>
      </c>
      <c r="K5738" s="1" t="str">
        <f aca="false">VLOOKUP(C5738,Products!$A$2:$E$62,3,FALSE())</f>
        <v>Software</v>
      </c>
      <c r="L5738" s="1" t="str">
        <f aca="false">TEXT(D5738,"yyyy-mm")</f>
        <v>2024-01</v>
      </c>
    </row>
    <row r="5739" customFormat="false" ht="15" hidden="false" customHeight="true" outlineLevel="0" collapsed="false">
      <c r="A5739" s="1" t="n">
        <v>5863</v>
      </c>
      <c r="B5739" s="1" t="n">
        <v>427</v>
      </c>
      <c r="C5739" s="1" t="n">
        <v>55</v>
      </c>
      <c r="D5739" s="1" t="s">
        <v>508</v>
      </c>
      <c r="E5739" s="1" t="n">
        <v>9</v>
      </c>
      <c r="F5739" s="1" t="n">
        <v>123.38</v>
      </c>
      <c r="G5739" s="1" t="n">
        <v>0.05</v>
      </c>
      <c r="H5739" s="1" t="s">
        <v>1336</v>
      </c>
      <c r="I5739" s="1" t="n">
        <v>1054.9</v>
      </c>
      <c r="J5739" s="1" t="str">
        <f aca="false">VLOOKUP(B5739,Customers!$A$2:$G$502,6,FALSE())</f>
        <v>Small Business</v>
      </c>
      <c r="K5739" s="1" t="str">
        <f aca="false">VLOOKUP(C5739,Products!$A$2:$E$62,3,FALSE())</f>
        <v>Furniture</v>
      </c>
      <c r="L5739" s="1" t="str">
        <f aca="false">TEXT(D5739,"yyyy-mm")</f>
        <v>2024-02</v>
      </c>
    </row>
    <row r="5740" customFormat="false" ht="15" hidden="false" customHeight="true" outlineLevel="0" collapsed="false">
      <c r="A5740" s="1" t="n">
        <v>5864</v>
      </c>
      <c r="B5740" s="1" t="n">
        <v>89</v>
      </c>
      <c r="C5740" s="1" t="n">
        <v>40</v>
      </c>
      <c r="D5740" s="1" t="s">
        <v>1431</v>
      </c>
      <c r="E5740" s="1" t="n">
        <v>3</v>
      </c>
      <c r="F5740" s="1" t="n">
        <v>193.02</v>
      </c>
      <c r="G5740" s="1" t="n">
        <v>0.2</v>
      </c>
      <c r="H5740" s="1" t="s">
        <v>1370</v>
      </c>
      <c r="I5740" s="1" t="n">
        <v>463.25</v>
      </c>
      <c r="J5740" s="1" t="str">
        <f aca="false">VLOOKUP(B5740,Customers!$A$2:$G$502,6,FALSE())</f>
        <v>Small Business</v>
      </c>
      <c r="K5740" s="1" t="str">
        <f aca="false">VLOOKUP(C5740,Products!$A$2:$E$62,3,FALSE())</f>
        <v>Software</v>
      </c>
      <c r="L5740" s="1" t="str">
        <f aca="false">TEXT(D5740,"yyyy-mm")</f>
        <v>2023-12</v>
      </c>
    </row>
    <row r="5741" customFormat="false" ht="15" hidden="false" customHeight="true" outlineLevel="0" collapsed="false">
      <c r="A5741" s="1" t="n">
        <v>5865</v>
      </c>
      <c r="B5741" s="1" t="n">
        <v>389</v>
      </c>
      <c r="C5741" s="1" t="n">
        <v>7</v>
      </c>
      <c r="D5741" s="1" t="s">
        <v>1543</v>
      </c>
      <c r="E5741" s="1" t="n">
        <v>1</v>
      </c>
      <c r="F5741" s="1" t="n">
        <v>460</v>
      </c>
      <c r="G5741" s="1" t="n">
        <v>0</v>
      </c>
      <c r="H5741" s="1" t="s">
        <v>1336</v>
      </c>
      <c r="I5741" s="1" t="n">
        <v>460</v>
      </c>
      <c r="J5741" s="1" t="str">
        <f aca="false">VLOOKUP(B5741,Customers!$A$2:$G$502,6,FALSE())</f>
        <v>Corporate</v>
      </c>
      <c r="K5741" s="1" t="str">
        <f aca="false">VLOOKUP(C5741,Products!$A$2:$E$62,3,FALSE())</f>
        <v>Electronics</v>
      </c>
      <c r="L5741" s="1" t="str">
        <f aca="false">TEXT(D5741,"yyyy-mm")</f>
        <v>2023-01</v>
      </c>
    </row>
    <row r="5742" customFormat="false" ht="15" hidden="false" customHeight="true" outlineLevel="0" collapsed="false">
      <c r="A5742" s="1" t="n">
        <v>5866</v>
      </c>
      <c r="B5742" s="1" t="n">
        <v>2</v>
      </c>
      <c r="C5742" s="1" t="n">
        <v>15</v>
      </c>
      <c r="D5742" s="1" t="s">
        <v>473</v>
      </c>
      <c r="E5742" s="1" t="n">
        <v>1</v>
      </c>
      <c r="F5742" s="1" t="n">
        <v>304.95</v>
      </c>
      <c r="G5742" s="1" t="n">
        <v>0.2</v>
      </c>
      <c r="H5742" s="1" t="s">
        <v>1336</v>
      </c>
      <c r="I5742" s="1" t="n">
        <v>243.96</v>
      </c>
      <c r="J5742" s="1" t="str">
        <f aca="false">VLOOKUP(B5742,Customers!$A$2:$G$502,6,FALSE())</f>
        <v>Small Business</v>
      </c>
      <c r="K5742" s="1" t="str">
        <f aca="false">VLOOKUP(C5742,Products!$A$2:$E$62,3,FALSE())</f>
        <v>Electronics</v>
      </c>
      <c r="L5742" s="1" t="str">
        <f aca="false">TEXT(D5742,"yyyy-mm")</f>
        <v>2024-06</v>
      </c>
    </row>
    <row r="5743" customFormat="false" ht="15" hidden="false" customHeight="true" outlineLevel="0" collapsed="false">
      <c r="A5743" s="1" t="n">
        <v>5867</v>
      </c>
      <c r="B5743" s="1" t="n">
        <v>321</v>
      </c>
      <c r="C5743" s="1" t="n">
        <v>11</v>
      </c>
      <c r="D5743" s="1" t="s">
        <v>522</v>
      </c>
      <c r="E5743" s="1" t="n">
        <v>3</v>
      </c>
      <c r="F5743" s="1" t="n">
        <v>328.39</v>
      </c>
      <c r="G5743" s="1" t="n">
        <v>0</v>
      </c>
      <c r="H5743" s="1" t="s">
        <v>1346</v>
      </c>
      <c r="I5743" s="1" t="n">
        <v>985.17</v>
      </c>
      <c r="J5743" s="1" t="str">
        <f aca="false">VLOOKUP(B5743,Customers!$A$2:$G$502,6,FALSE())</f>
        <v>Small Business</v>
      </c>
      <c r="K5743" s="1" t="str">
        <f aca="false">VLOOKUP(C5743,Products!$A$2:$E$62,3,FALSE())</f>
        <v>Electronics</v>
      </c>
      <c r="L5743" s="1" t="str">
        <f aca="false">TEXT(D5743,"yyyy-mm")</f>
        <v>2024-03</v>
      </c>
    </row>
    <row r="5744" customFormat="false" ht="15" hidden="false" customHeight="true" outlineLevel="0" collapsed="false">
      <c r="A5744" s="1" t="n">
        <v>5868</v>
      </c>
      <c r="B5744" s="1" t="n">
        <v>164</v>
      </c>
      <c r="C5744" s="1" t="n">
        <v>21</v>
      </c>
      <c r="D5744" s="1" t="s">
        <v>1519</v>
      </c>
      <c r="E5744" s="1" t="n">
        <v>5</v>
      </c>
      <c r="F5744" s="1" t="n">
        <v>84.91</v>
      </c>
      <c r="G5744" s="1" t="n">
        <v>0</v>
      </c>
      <c r="H5744" s="1" t="s">
        <v>1336</v>
      </c>
      <c r="I5744" s="1" t="n">
        <v>424.55</v>
      </c>
      <c r="J5744" s="1" t="str">
        <f aca="false">VLOOKUP(B5744,Customers!$A$2:$G$502,6,FALSE())</f>
        <v>Consumer</v>
      </c>
      <c r="K5744" s="1" t="str">
        <f aca="false">VLOOKUP(C5744,Products!$A$2:$E$62,3,FALSE())</f>
        <v>Office Supplies</v>
      </c>
      <c r="L5744" s="1" t="str">
        <f aca="false">TEXT(D5744,"yyyy-mm")</f>
        <v>2023-05</v>
      </c>
    </row>
    <row r="5745" customFormat="false" ht="15" hidden="false" customHeight="true" outlineLevel="0" collapsed="false">
      <c r="A5745" s="1" t="n">
        <v>5869</v>
      </c>
      <c r="B5745" s="1" t="n">
        <v>237</v>
      </c>
      <c r="C5745" s="1" t="n">
        <v>59</v>
      </c>
      <c r="D5745" s="1" t="s">
        <v>1543</v>
      </c>
      <c r="E5745" s="1" t="n">
        <v>3</v>
      </c>
      <c r="F5745" s="1" t="n">
        <v>438.89</v>
      </c>
      <c r="G5745" s="1" t="n">
        <v>0.2</v>
      </c>
      <c r="H5745" s="1" t="s">
        <v>1336</v>
      </c>
      <c r="I5745" s="1" t="n">
        <v>1053.34</v>
      </c>
      <c r="J5745" s="1" t="str">
        <f aca="false">VLOOKUP(B5745,Customers!$A$2:$G$502,6,FALSE())</f>
        <v>Consumer</v>
      </c>
      <c r="K5745" s="1" t="str">
        <f aca="false">VLOOKUP(C5745,Products!$A$2:$E$62,3,FALSE())</f>
        <v>Furniture</v>
      </c>
      <c r="L5745" s="1" t="str">
        <f aca="false">TEXT(D5745,"yyyy-mm")</f>
        <v>2023-01</v>
      </c>
    </row>
    <row r="5746" customFormat="false" ht="15" hidden="false" customHeight="true" outlineLevel="0" collapsed="false">
      <c r="A5746" s="1" t="n">
        <v>5870</v>
      </c>
      <c r="B5746" s="1" t="n">
        <v>106</v>
      </c>
      <c r="C5746" s="1" t="n">
        <v>44</v>
      </c>
      <c r="D5746" s="1" t="s">
        <v>1247</v>
      </c>
      <c r="E5746" s="1" t="n">
        <v>9</v>
      </c>
      <c r="F5746" s="1" t="n">
        <v>508.26</v>
      </c>
      <c r="G5746" s="1" t="n">
        <v>0</v>
      </c>
      <c r="H5746" s="1" t="s">
        <v>1336</v>
      </c>
      <c r="I5746" s="1" t="n">
        <v>4574.34</v>
      </c>
      <c r="J5746" s="1" t="str">
        <f aca="false">VLOOKUP(B5746,Customers!$A$2:$G$502,6,FALSE())</f>
        <v>Small Business</v>
      </c>
      <c r="K5746" s="1" t="str">
        <f aca="false">VLOOKUP(C5746,Products!$A$2:$E$62,3,FALSE())</f>
        <v>Software</v>
      </c>
      <c r="L5746" s="1" t="str">
        <f aca="false">TEXT(D5746,"yyyy-mm")</f>
        <v>2023-03</v>
      </c>
    </row>
    <row r="5747" customFormat="false" ht="15" hidden="false" customHeight="true" outlineLevel="0" collapsed="false">
      <c r="A5747" s="1" t="n">
        <v>5871</v>
      </c>
      <c r="B5747" s="1" t="n">
        <v>188</v>
      </c>
      <c r="C5747" s="1" t="n">
        <v>38</v>
      </c>
      <c r="D5747" s="1" t="s">
        <v>1196</v>
      </c>
      <c r="E5747" s="1" t="n">
        <v>8</v>
      </c>
      <c r="F5747" s="1" t="n">
        <v>521.63</v>
      </c>
      <c r="G5747" s="1" t="n">
        <v>0</v>
      </c>
      <c r="H5747" s="1" t="s">
        <v>1336</v>
      </c>
      <c r="I5747" s="1" t="n">
        <v>4173.04</v>
      </c>
      <c r="J5747" s="1" t="str">
        <f aca="false">VLOOKUP(B5747,Customers!$A$2:$G$502,6,FALSE())</f>
        <v>Small Business</v>
      </c>
      <c r="K5747" s="1" t="str">
        <f aca="false">VLOOKUP(C5747,Products!$A$2:$E$62,3,FALSE())</f>
        <v>Software</v>
      </c>
      <c r="L5747" s="1" t="str">
        <f aca="false">TEXT(D5747,"yyyy-mm")</f>
        <v>2023-10</v>
      </c>
    </row>
    <row r="5748" customFormat="false" ht="15" hidden="false" customHeight="true" outlineLevel="0" collapsed="false">
      <c r="A5748" s="1" t="n">
        <v>5872</v>
      </c>
      <c r="B5748" s="1" t="n">
        <v>230</v>
      </c>
      <c r="C5748" s="1" t="n">
        <v>24</v>
      </c>
      <c r="D5748" s="1" t="s">
        <v>1664</v>
      </c>
      <c r="E5748" s="1" t="n">
        <v>3</v>
      </c>
      <c r="F5748" s="1" t="n">
        <v>207.34</v>
      </c>
      <c r="G5748" s="1" t="n">
        <v>0</v>
      </c>
      <c r="H5748" s="1" t="s">
        <v>1336</v>
      </c>
      <c r="I5748" s="1" t="n">
        <v>622.02</v>
      </c>
      <c r="J5748" s="1" t="str">
        <f aca="false">VLOOKUP(B5748,Customers!$A$2:$G$502,6,FALSE())</f>
        <v>Corporate</v>
      </c>
      <c r="K5748" s="1" t="str">
        <f aca="false">VLOOKUP(C5748,Products!$A$2:$E$62,3,FALSE())</f>
        <v>Office Supplies</v>
      </c>
      <c r="L5748" s="1" t="str">
        <f aca="false">TEXT(D5748,"yyyy-mm")</f>
        <v>2024-01</v>
      </c>
    </row>
    <row r="5749" customFormat="false" ht="15" hidden="false" customHeight="true" outlineLevel="0" collapsed="false">
      <c r="A5749" s="1" t="n">
        <v>5873</v>
      </c>
      <c r="B5749" s="1" t="n">
        <v>37</v>
      </c>
      <c r="C5749" s="1" t="n">
        <v>1</v>
      </c>
      <c r="D5749" s="1" t="s">
        <v>513</v>
      </c>
      <c r="E5749" s="1" t="n">
        <v>9</v>
      </c>
      <c r="F5749" s="1" t="n">
        <v>327.32</v>
      </c>
      <c r="G5749" s="1" t="n">
        <v>0</v>
      </c>
      <c r="H5749" s="1" t="s">
        <v>1336</v>
      </c>
      <c r="I5749" s="1" t="n">
        <v>2945.88</v>
      </c>
      <c r="J5749" s="1" t="str">
        <f aca="false">VLOOKUP(B5749,Customers!$A$2:$G$502,6,FALSE())</f>
        <v>Corporate</v>
      </c>
      <c r="K5749" s="1" t="str">
        <f aca="false">VLOOKUP(C5749,Products!$A$2:$E$62,3,FALSE())</f>
        <v>Electronics</v>
      </c>
      <c r="L5749" s="1" t="str">
        <f aca="false">TEXT(D5749,"yyyy-mm")</f>
        <v>2024-12</v>
      </c>
    </row>
    <row r="5750" customFormat="false" ht="15" hidden="false" customHeight="true" outlineLevel="0" collapsed="false">
      <c r="A5750" s="1" t="n">
        <v>5874</v>
      </c>
      <c r="B5750" s="1" t="n">
        <v>31</v>
      </c>
      <c r="C5750" s="1" t="n">
        <v>56</v>
      </c>
      <c r="D5750" s="1" t="s">
        <v>1619</v>
      </c>
      <c r="E5750" s="1" t="n">
        <v>6</v>
      </c>
      <c r="F5750" s="1" t="n">
        <v>160.64</v>
      </c>
      <c r="G5750" s="1" t="n">
        <v>0</v>
      </c>
      <c r="H5750" s="1" t="s">
        <v>1336</v>
      </c>
      <c r="I5750" s="1" t="n">
        <v>963.84</v>
      </c>
      <c r="J5750" s="1" t="str">
        <f aca="false">VLOOKUP(B5750,Customers!$A$2:$G$502,6,FALSE())</f>
        <v>Consumer</v>
      </c>
      <c r="K5750" s="1" t="str">
        <f aca="false">VLOOKUP(C5750,Products!$A$2:$E$62,3,FALSE())</f>
        <v>Furniture</v>
      </c>
      <c r="L5750" s="1" t="str">
        <f aca="false">TEXT(D5750,"yyyy-mm")</f>
        <v>2023-12</v>
      </c>
    </row>
    <row r="5751" customFormat="false" ht="15" hidden="false" customHeight="true" outlineLevel="0" collapsed="false">
      <c r="A5751" s="1" t="n">
        <v>5875</v>
      </c>
      <c r="B5751" s="1" t="n">
        <v>146</v>
      </c>
      <c r="C5751" s="1" t="n">
        <v>8</v>
      </c>
      <c r="D5751" s="1" t="s">
        <v>408</v>
      </c>
      <c r="E5751" s="1" t="n">
        <v>7</v>
      </c>
      <c r="F5751" s="1" t="n">
        <v>104.4</v>
      </c>
      <c r="G5751" s="1" t="n">
        <v>0.1</v>
      </c>
      <c r="H5751" s="1" t="s">
        <v>1336</v>
      </c>
      <c r="I5751" s="1" t="n">
        <v>657.72</v>
      </c>
      <c r="J5751" s="1" t="str">
        <f aca="false">VLOOKUP(B5751,Customers!$A$2:$G$502,6,FALSE())</f>
        <v>Consumer</v>
      </c>
      <c r="K5751" s="1" t="str">
        <f aca="false">VLOOKUP(C5751,Products!$A$2:$E$62,3,FALSE())</f>
        <v>Electronics</v>
      </c>
      <c r="L5751" s="1" t="str">
        <f aca="false">TEXT(D5751,"yyyy-mm")</f>
        <v>2023-02</v>
      </c>
    </row>
    <row r="5752" customFormat="false" ht="15" hidden="false" customHeight="true" outlineLevel="0" collapsed="false">
      <c r="A5752" s="1" t="n">
        <v>5876</v>
      </c>
      <c r="B5752" s="1" t="n">
        <v>424</v>
      </c>
      <c r="C5752" s="1" t="n">
        <v>8</v>
      </c>
      <c r="D5752" s="1" t="s">
        <v>1662</v>
      </c>
      <c r="E5752" s="1" t="n">
        <v>4</v>
      </c>
      <c r="F5752" s="1" t="n">
        <v>104.4</v>
      </c>
      <c r="G5752" s="1" t="n">
        <v>0.2</v>
      </c>
      <c r="H5752" s="1" t="s">
        <v>1336</v>
      </c>
      <c r="I5752" s="1" t="n">
        <v>334.08</v>
      </c>
      <c r="J5752" s="1" t="str">
        <f aca="false">VLOOKUP(B5752,Customers!$A$2:$G$502,6,FALSE())</f>
        <v>Small Business</v>
      </c>
      <c r="K5752" s="1" t="str">
        <f aca="false">VLOOKUP(C5752,Products!$A$2:$E$62,3,FALSE())</f>
        <v>Electronics</v>
      </c>
      <c r="L5752" s="1" t="str">
        <f aca="false">TEXT(D5752,"yyyy-mm")</f>
        <v>2024-02</v>
      </c>
    </row>
    <row r="5753" customFormat="false" ht="15" hidden="false" customHeight="true" outlineLevel="0" collapsed="false">
      <c r="A5753" s="1" t="n">
        <v>5877</v>
      </c>
      <c r="B5753" s="1" t="n">
        <v>226</v>
      </c>
      <c r="C5753" s="1" t="n">
        <v>25</v>
      </c>
      <c r="D5753" s="1" t="s">
        <v>1403</v>
      </c>
      <c r="E5753" s="1" t="n">
        <v>4</v>
      </c>
      <c r="F5753" s="1" t="n">
        <v>300.49</v>
      </c>
      <c r="G5753" s="1" t="n">
        <v>0</v>
      </c>
      <c r="H5753" s="1" t="s">
        <v>1336</v>
      </c>
      <c r="I5753" s="1" t="n">
        <v>1201.96</v>
      </c>
      <c r="J5753" s="1" t="str">
        <f aca="false">VLOOKUP(B5753,Customers!$A$2:$G$502,6,FALSE())</f>
        <v>Corporate</v>
      </c>
      <c r="K5753" s="1" t="str">
        <f aca="false">VLOOKUP(C5753,Products!$A$2:$E$62,3,FALSE())</f>
        <v>Office Supplies</v>
      </c>
      <c r="L5753" s="1" t="str">
        <f aca="false">TEXT(D5753,"yyyy-mm")</f>
        <v>2024-02</v>
      </c>
    </row>
    <row r="5754" customFormat="false" ht="15" hidden="false" customHeight="true" outlineLevel="0" collapsed="false">
      <c r="A5754" s="1" t="n">
        <v>5878</v>
      </c>
      <c r="B5754" s="1" t="n">
        <v>308</v>
      </c>
      <c r="C5754" s="1" t="n">
        <v>30</v>
      </c>
      <c r="D5754" s="1" t="s">
        <v>1642</v>
      </c>
      <c r="E5754" s="1" t="n">
        <v>2</v>
      </c>
      <c r="F5754" s="1" t="n">
        <v>33.32</v>
      </c>
      <c r="G5754" s="1" t="n">
        <v>0.1</v>
      </c>
      <c r="H5754" s="1" t="s">
        <v>1336</v>
      </c>
      <c r="I5754" s="1" t="n">
        <v>59.98</v>
      </c>
      <c r="J5754" s="1" t="str">
        <f aca="false">VLOOKUP(B5754,Customers!$A$2:$G$502,6,FALSE())</f>
        <v>Consumer</v>
      </c>
      <c r="K5754" s="1" t="str">
        <f aca="false">VLOOKUP(C5754,Products!$A$2:$E$62,3,FALSE())</f>
        <v>Office Supplies</v>
      </c>
      <c r="L5754" s="1" t="str">
        <f aca="false">TEXT(D5754,"yyyy-mm")</f>
        <v>2024-12</v>
      </c>
    </row>
    <row r="5755" customFormat="false" ht="15" hidden="false" customHeight="true" outlineLevel="0" collapsed="false">
      <c r="A5755" s="1" t="n">
        <v>5879</v>
      </c>
      <c r="B5755" s="1" t="n">
        <v>459</v>
      </c>
      <c r="C5755" s="1" t="n">
        <v>57</v>
      </c>
      <c r="D5755" s="1" t="s">
        <v>1424</v>
      </c>
      <c r="E5755" s="1" t="n">
        <v>5</v>
      </c>
      <c r="F5755" s="1" t="n">
        <v>719.76</v>
      </c>
      <c r="G5755" s="1" t="n">
        <v>0.2</v>
      </c>
      <c r="H5755" s="1" t="s">
        <v>1336</v>
      </c>
      <c r="I5755" s="1" t="n">
        <v>2879.04</v>
      </c>
      <c r="J5755" s="1" t="str">
        <f aca="false">VLOOKUP(B5755,Customers!$A$2:$G$502,6,FALSE())</f>
        <v>Small Business</v>
      </c>
      <c r="K5755" s="1" t="str">
        <f aca="false">VLOOKUP(C5755,Products!$A$2:$E$62,3,FALSE())</f>
        <v>Furniture</v>
      </c>
      <c r="L5755" s="1" t="str">
        <f aca="false">TEXT(D5755,"yyyy-mm")</f>
        <v>2024-02</v>
      </c>
    </row>
    <row r="5756" customFormat="false" ht="15" hidden="false" customHeight="true" outlineLevel="0" collapsed="false">
      <c r="A5756" s="1" t="n">
        <v>5880</v>
      </c>
      <c r="B5756" s="1" t="n">
        <v>186</v>
      </c>
      <c r="C5756" s="1" t="n">
        <v>17</v>
      </c>
      <c r="D5756" s="1" t="s">
        <v>1461</v>
      </c>
      <c r="E5756" s="1" t="n">
        <v>8</v>
      </c>
      <c r="F5756" s="1" t="n">
        <v>65.61</v>
      </c>
      <c r="G5756" s="1" t="n">
        <v>0.2</v>
      </c>
      <c r="H5756" s="1" t="s">
        <v>1336</v>
      </c>
      <c r="I5756" s="1" t="n">
        <v>419.9</v>
      </c>
      <c r="J5756" s="1" t="str">
        <f aca="false">VLOOKUP(B5756,Customers!$A$2:$G$502,6,FALSE())</f>
        <v>Small Business</v>
      </c>
      <c r="K5756" s="1" t="str">
        <f aca="false">VLOOKUP(C5756,Products!$A$2:$E$62,3,FALSE())</f>
        <v>Electronics</v>
      </c>
      <c r="L5756" s="1" t="str">
        <f aca="false">TEXT(D5756,"yyyy-mm")</f>
        <v>2024-02</v>
      </c>
    </row>
    <row r="5757" customFormat="false" ht="15" hidden="false" customHeight="true" outlineLevel="0" collapsed="false">
      <c r="A5757" s="1" t="n">
        <v>5881</v>
      </c>
      <c r="B5757" s="1" t="n">
        <v>214</v>
      </c>
      <c r="C5757" s="1" t="n">
        <v>2</v>
      </c>
      <c r="D5757" s="1" t="s">
        <v>405</v>
      </c>
      <c r="E5757" s="1" t="n">
        <v>7</v>
      </c>
      <c r="F5757" s="1" t="n">
        <v>498.15</v>
      </c>
      <c r="G5757" s="1" t="n">
        <v>0</v>
      </c>
      <c r="H5757" s="1" t="s">
        <v>1336</v>
      </c>
      <c r="I5757" s="1" t="n">
        <v>3487.05</v>
      </c>
      <c r="J5757" s="1" t="str">
        <f aca="false">VLOOKUP(B5757,Customers!$A$2:$G$502,6,FALSE())</f>
        <v>Corporate</v>
      </c>
      <c r="K5757" s="1" t="str">
        <f aca="false">VLOOKUP(C5757,Products!$A$2:$E$62,3,FALSE())</f>
        <v>Electronics</v>
      </c>
      <c r="L5757" s="1" t="str">
        <f aca="false">TEXT(D5757,"yyyy-mm")</f>
        <v>2024-01</v>
      </c>
    </row>
    <row r="5758" customFormat="false" ht="15" hidden="false" customHeight="true" outlineLevel="0" collapsed="false">
      <c r="A5758" s="1" t="n">
        <v>5882</v>
      </c>
      <c r="B5758" s="1" t="n">
        <v>312</v>
      </c>
      <c r="C5758" s="1" t="n">
        <v>46</v>
      </c>
      <c r="D5758" s="1" t="s">
        <v>1588</v>
      </c>
      <c r="E5758" s="1" t="n">
        <v>7</v>
      </c>
      <c r="F5758" s="1" t="n">
        <v>94.92</v>
      </c>
      <c r="G5758" s="1" t="n">
        <v>0.05</v>
      </c>
      <c r="H5758" s="1" t="s">
        <v>1336</v>
      </c>
      <c r="I5758" s="1" t="n">
        <v>631.22</v>
      </c>
      <c r="J5758" s="1" t="str">
        <f aca="false">VLOOKUP(B5758,Customers!$A$2:$G$502,6,FALSE())</f>
        <v>Small Business</v>
      </c>
      <c r="K5758" s="1" t="str">
        <f aca="false">VLOOKUP(C5758,Products!$A$2:$E$62,3,FALSE())</f>
        <v>Software</v>
      </c>
      <c r="L5758" s="1" t="str">
        <f aca="false">TEXT(D5758,"yyyy-mm")</f>
        <v>2024-08</v>
      </c>
    </row>
    <row r="5759" customFormat="false" ht="15" hidden="false" customHeight="true" outlineLevel="0" collapsed="false">
      <c r="A5759" s="1" t="n">
        <v>5883</v>
      </c>
      <c r="B5759" s="1" t="n">
        <v>438</v>
      </c>
      <c r="C5759" s="1" t="n">
        <v>60</v>
      </c>
      <c r="D5759" s="1" t="s">
        <v>513</v>
      </c>
      <c r="E5759" s="1" t="n">
        <v>6</v>
      </c>
      <c r="F5759" s="1" t="n">
        <v>584.98</v>
      </c>
      <c r="G5759" s="1" t="n">
        <v>0</v>
      </c>
      <c r="H5759" s="1" t="s">
        <v>1336</v>
      </c>
      <c r="I5759" s="1" t="n">
        <v>3509.88</v>
      </c>
      <c r="J5759" s="1" t="str">
        <f aca="false">VLOOKUP(B5759,Customers!$A$2:$G$502,6,FALSE())</f>
        <v>Consumer</v>
      </c>
      <c r="K5759" s="1" t="str">
        <f aca="false">VLOOKUP(C5759,Products!$A$2:$E$62,3,FALSE())</f>
        <v>Furniture</v>
      </c>
      <c r="L5759" s="1" t="str">
        <f aca="false">TEXT(D5759,"yyyy-mm")</f>
        <v>2024-12</v>
      </c>
    </row>
    <row r="5760" customFormat="false" ht="15" hidden="false" customHeight="true" outlineLevel="0" collapsed="false">
      <c r="A5760" s="1" t="n">
        <v>5884</v>
      </c>
      <c r="B5760" s="1" t="n">
        <v>56</v>
      </c>
      <c r="C5760" s="1" t="n">
        <v>19</v>
      </c>
      <c r="D5760" s="1" t="s">
        <v>653</v>
      </c>
      <c r="E5760" s="1" t="n">
        <v>3</v>
      </c>
      <c r="F5760" s="1" t="n">
        <v>163.64</v>
      </c>
      <c r="G5760" s="1" t="n">
        <v>0</v>
      </c>
      <c r="H5760" s="1" t="s">
        <v>1336</v>
      </c>
      <c r="I5760" s="1" t="n">
        <v>490.92</v>
      </c>
      <c r="J5760" s="1" t="str">
        <f aca="false">VLOOKUP(B5760,Customers!$A$2:$G$502,6,FALSE())</f>
        <v>Corporate</v>
      </c>
      <c r="K5760" s="1" t="str">
        <f aca="false">VLOOKUP(C5760,Products!$A$2:$E$62,3,FALSE())</f>
        <v>Office Supplies</v>
      </c>
      <c r="L5760" s="1" t="str">
        <f aca="false">TEXT(D5760,"yyyy-mm")</f>
        <v>2024-10</v>
      </c>
    </row>
    <row r="5761" customFormat="false" ht="15" hidden="false" customHeight="true" outlineLevel="0" collapsed="false">
      <c r="A5761" s="1" t="n">
        <v>5885</v>
      </c>
      <c r="B5761" s="1" t="n">
        <v>134</v>
      </c>
      <c r="C5761" s="1" t="n">
        <v>22</v>
      </c>
      <c r="D5761" s="1" t="s">
        <v>1570</v>
      </c>
      <c r="E5761" s="1" t="n">
        <v>5</v>
      </c>
      <c r="F5761" s="1" t="n">
        <v>38.57</v>
      </c>
      <c r="G5761" s="1" t="n">
        <v>0</v>
      </c>
      <c r="H5761" s="1" t="s">
        <v>1336</v>
      </c>
      <c r="I5761" s="1" t="n">
        <v>192.85</v>
      </c>
      <c r="J5761" s="1" t="str">
        <f aca="false">VLOOKUP(B5761,Customers!$A$2:$G$502,6,FALSE())</f>
        <v>Corporate</v>
      </c>
      <c r="K5761" s="1" t="str">
        <f aca="false">VLOOKUP(C5761,Products!$A$2:$E$62,3,FALSE())</f>
        <v>Office Supplies</v>
      </c>
      <c r="L5761" s="1" t="str">
        <f aca="false">TEXT(D5761,"yyyy-mm")</f>
        <v>2023-04</v>
      </c>
    </row>
    <row r="5762" customFormat="false" ht="15" hidden="false" customHeight="true" outlineLevel="0" collapsed="false">
      <c r="A5762" s="1" t="n">
        <v>5886</v>
      </c>
      <c r="B5762" s="1" t="n">
        <v>444</v>
      </c>
      <c r="C5762" s="1" t="n">
        <v>29</v>
      </c>
      <c r="D5762" s="1" t="s">
        <v>1382</v>
      </c>
      <c r="E5762" s="1" t="n">
        <v>1</v>
      </c>
      <c r="F5762" s="1" t="n">
        <v>54.62</v>
      </c>
      <c r="G5762" s="1" t="n">
        <v>0</v>
      </c>
      <c r="H5762" s="1" t="s">
        <v>1336</v>
      </c>
      <c r="I5762" s="1" t="n">
        <v>54.62</v>
      </c>
      <c r="J5762" s="1" t="str">
        <f aca="false">VLOOKUP(B5762,Customers!$A$2:$G$502,6,FALSE())</f>
        <v>Small Business</v>
      </c>
      <c r="K5762" s="1" t="str">
        <f aca="false">VLOOKUP(C5762,Products!$A$2:$E$62,3,FALSE())</f>
        <v>Office Supplies</v>
      </c>
      <c r="L5762" s="1" t="str">
        <f aca="false">TEXT(D5762,"yyyy-mm")</f>
        <v>2024-09</v>
      </c>
    </row>
    <row r="5763" customFormat="false" ht="15" hidden="false" customHeight="true" outlineLevel="0" collapsed="false">
      <c r="A5763" s="1" t="n">
        <v>5887</v>
      </c>
      <c r="B5763" s="1" t="n">
        <v>451</v>
      </c>
      <c r="C5763" s="1" t="n">
        <v>2</v>
      </c>
      <c r="D5763" s="1" t="s">
        <v>1529</v>
      </c>
      <c r="E5763" s="1" t="n">
        <v>7</v>
      </c>
      <c r="F5763" s="1" t="n">
        <v>498.15</v>
      </c>
      <c r="G5763" s="1" t="n">
        <v>0.15</v>
      </c>
      <c r="H5763" s="1" t="s">
        <v>1336</v>
      </c>
      <c r="I5763" s="1" t="n">
        <v>2963.99</v>
      </c>
      <c r="J5763" s="1" t="str">
        <f aca="false">VLOOKUP(B5763,Customers!$A$2:$G$502,6,FALSE())</f>
        <v>Corporate</v>
      </c>
      <c r="K5763" s="1" t="str">
        <f aca="false">VLOOKUP(C5763,Products!$A$2:$E$62,3,FALSE())</f>
        <v>Electronics</v>
      </c>
      <c r="L5763" s="1" t="str">
        <f aca="false">TEXT(D5763,"yyyy-mm")</f>
        <v>2024-09</v>
      </c>
    </row>
    <row r="5764" customFormat="false" ht="15" hidden="false" customHeight="true" outlineLevel="0" collapsed="false">
      <c r="A5764" s="1" t="n">
        <v>5888</v>
      </c>
      <c r="B5764" s="1" t="n">
        <v>84</v>
      </c>
      <c r="C5764" s="1" t="n">
        <v>6</v>
      </c>
      <c r="D5764" s="1" t="s">
        <v>1568</v>
      </c>
      <c r="E5764" s="1" t="n">
        <v>9</v>
      </c>
      <c r="F5764" s="1" t="n">
        <v>28.51</v>
      </c>
      <c r="G5764" s="1" t="n">
        <v>0</v>
      </c>
      <c r="H5764" s="1" t="s">
        <v>1370</v>
      </c>
      <c r="I5764" s="1" t="n">
        <v>256.59</v>
      </c>
      <c r="J5764" s="1" t="str">
        <f aca="false">VLOOKUP(B5764,Customers!$A$2:$G$502,6,FALSE())</f>
        <v>Corporate</v>
      </c>
      <c r="K5764" s="1" t="str">
        <f aca="false">VLOOKUP(C5764,Products!$A$2:$E$62,3,FALSE())</f>
        <v>Electronics</v>
      </c>
      <c r="L5764" s="1" t="str">
        <f aca="false">TEXT(D5764,"yyyy-mm")</f>
        <v>2023-07</v>
      </c>
    </row>
    <row r="5765" customFormat="false" ht="15" hidden="false" customHeight="true" outlineLevel="0" collapsed="false">
      <c r="A5765" s="1" t="n">
        <v>5889</v>
      </c>
      <c r="B5765" s="1" t="n">
        <v>313</v>
      </c>
      <c r="C5765" s="1" t="n">
        <v>39</v>
      </c>
      <c r="D5765" s="1" t="s">
        <v>1625</v>
      </c>
      <c r="E5765" s="1" t="n">
        <v>1</v>
      </c>
      <c r="F5765" s="1" t="n">
        <v>400.02</v>
      </c>
      <c r="G5765" s="1" t="n">
        <v>0</v>
      </c>
      <c r="H5765" s="1" t="s">
        <v>1336</v>
      </c>
      <c r="I5765" s="1" t="n">
        <v>400.02</v>
      </c>
      <c r="J5765" s="1" t="str">
        <f aca="false">VLOOKUP(B5765,Customers!$A$2:$G$502,6,FALSE())</f>
        <v>Consumer</v>
      </c>
      <c r="K5765" s="1" t="str">
        <f aca="false">VLOOKUP(C5765,Products!$A$2:$E$62,3,FALSE())</f>
        <v>Software</v>
      </c>
      <c r="L5765" s="1" t="str">
        <f aca="false">TEXT(D5765,"yyyy-mm")</f>
        <v>2023-02</v>
      </c>
    </row>
    <row r="5766" customFormat="false" ht="15" hidden="false" customHeight="true" outlineLevel="0" collapsed="false">
      <c r="A5766" s="1" t="n">
        <v>5890</v>
      </c>
      <c r="B5766" s="1" t="n">
        <v>387</v>
      </c>
      <c r="C5766" s="1" t="n">
        <v>36</v>
      </c>
      <c r="D5766" s="1" t="s">
        <v>1591</v>
      </c>
      <c r="E5766" s="1" t="n">
        <v>2</v>
      </c>
      <c r="F5766" s="1" t="n">
        <v>424.45</v>
      </c>
      <c r="G5766" s="1" t="n">
        <v>0</v>
      </c>
      <c r="H5766" s="1" t="s">
        <v>1346</v>
      </c>
      <c r="I5766" s="1" t="n">
        <v>848.9</v>
      </c>
      <c r="J5766" s="1" t="str">
        <f aca="false">VLOOKUP(B5766,Customers!$A$2:$G$502,6,FALSE())</f>
        <v>Corporate</v>
      </c>
      <c r="K5766" s="1" t="str">
        <f aca="false">VLOOKUP(C5766,Products!$A$2:$E$62,3,FALSE())</f>
        <v>Software</v>
      </c>
      <c r="L5766" s="1" t="str">
        <f aca="false">TEXT(D5766,"yyyy-mm")</f>
        <v>2024-05</v>
      </c>
    </row>
    <row r="5767" customFormat="false" ht="15" hidden="false" customHeight="true" outlineLevel="0" collapsed="false">
      <c r="A5767" s="1" t="n">
        <v>5891</v>
      </c>
      <c r="B5767" s="1" t="n">
        <v>179</v>
      </c>
      <c r="C5767" s="1" t="n">
        <v>29</v>
      </c>
      <c r="D5767" s="1" t="s">
        <v>1626</v>
      </c>
      <c r="E5767" s="1" t="n">
        <v>3</v>
      </c>
      <c r="F5767" s="1" t="n">
        <v>54.62</v>
      </c>
      <c r="G5767" s="1" t="n">
        <v>0</v>
      </c>
      <c r="H5767" s="1" t="s">
        <v>1336</v>
      </c>
      <c r="I5767" s="1" t="n">
        <v>163.86</v>
      </c>
      <c r="J5767" s="1" t="str">
        <f aca="false">VLOOKUP(B5767,Customers!$A$2:$G$502,6,FALSE())</f>
        <v>Small Business</v>
      </c>
      <c r="K5767" s="1" t="str">
        <f aca="false">VLOOKUP(C5767,Products!$A$2:$E$62,3,FALSE())</f>
        <v>Office Supplies</v>
      </c>
      <c r="L5767" s="1" t="str">
        <f aca="false">TEXT(D5767,"yyyy-mm")</f>
        <v>2024-06</v>
      </c>
    </row>
    <row r="5768" customFormat="false" ht="15" hidden="false" customHeight="true" outlineLevel="0" collapsed="false">
      <c r="A5768" s="1" t="n">
        <v>5892</v>
      </c>
      <c r="B5768" s="1" t="n">
        <v>404</v>
      </c>
      <c r="C5768" s="1" t="n">
        <v>4</v>
      </c>
      <c r="D5768" s="1" t="s">
        <v>1604</v>
      </c>
      <c r="E5768" s="1" t="n">
        <v>3</v>
      </c>
      <c r="F5768" s="1" t="n">
        <v>56.24</v>
      </c>
      <c r="G5768" s="1" t="n">
        <v>0</v>
      </c>
      <c r="H5768" s="1" t="s">
        <v>1336</v>
      </c>
      <c r="I5768" s="1" t="n">
        <v>168.72</v>
      </c>
      <c r="J5768" s="1" t="str">
        <f aca="false">VLOOKUP(B5768,Customers!$A$2:$G$502,6,FALSE())</f>
        <v>Corporate</v>
      </c>
      <c r="K5768" s="1" t="str">
        <f aca="false">VLOOKUP(C5768,Products!$A$2:$E$62,3,FALSE())</f>
        <v>Electronics</v>
      </c>
      <c r="L5768" s="1" t="str">
        <f aca="false">TEXT(D5768,"yyyy-mm")</f>
        <v>2023-10</v>
      </c>
    </row>
    <row r="5769" customFormat="false" ht="15" hidden="false" customHeight="true" outlineLevel="0" collapsed="false">
      <c r="A5769" s="1" t="n">
        <v>5893</v>
      </c>
      <c r="B5769" s="1" t="n">
        <v>250</v>
      </c>
      <c r="C5769" s="1" t="n">
        <v>39</v>
      </c>
      <c r="D5769" s="1" t="s">
        <v>1362</v>
      </c>
      <c r="E5769" s="1" t="n">
        <v>8</v>
      </c>
      <c r="F5769" s="1" t="n">
        <v>400.02</v>
      </c>
      <c r="G5769" s="1" t="n">
        <v>0.2</v>
      </c>
      <c r="H5769" s="1" t="s">
        <v>1336</v>
      </c>
      <c r="I5769" s="1" t="n">
        <v>2560.13</v>
      </c>
      <c r="J5769" s="1" t="str">
        <f aca="false">VLOOKUP(B5769,Customers!$A$2:$G$502,6,FALSE())</f>
        <v>Consumer</v>
      </c>
      <c r="K5769" s="1" t="str">
        <f aca="false">VLOOKUP(C5769,Products!$A$2:$E$62,3,FALSE())</f>
        <v>Software</v>
      </c>
      <c r="L5769" s="1" t="str">
        <f aca="false">TEXT(D5769,"yyyy-mm")</f>
        <v>2024-01</v>
      </c>
    </row>
    <row r="5770" customFormat="false" ht="15" hidden="false" customHeight="true" outlineLevel="0" collapsed="false">
      <c r="A5770" s="1" t="n">
        <v>5894</v>
      </c>
      <c r="B5770" s="1" t="n">
        <v>488</v>
      </c>
      <c r="C5770" s="1" t="n">
        <v>9</v>
      </c>
      <c r="D5770" s="1" t="s">
        <v>1581</v>
      </c>
      <c r="E5770" s="1" t="n">
        <v>7</v>
      </c>
      <c r="F5770" s="1" t="n">
        <v>203.1</v>
      </c>
      <c r="G5770" s="1" t="n">
        <v>0.2</v>
      </c>
      <c r="H5770" s="1" t="s">
        <v>1336</v>
      </c>
      <c r="I5770" s="1" t="n">
        <v>1137.36</v>
      </c>
      <c r="J5770" s="1" t="str">
        <f aca="false">VLOOKUP(B5770,Customers!$A$2:$G$502,6,FALSE())</f>
        <v>Consumer</v>
      </c>
      <c r="K5770" s="1" t="str">
        <f aca="false">VLOOKUP(C5770,Products!$A$2:$E$62,3,FALSE())</f>
        <v>Electronics</v>
      </c>
      <c r="L5770" s="1" t="str">
        <f aca="false">TEXT(D5770,"yyyy-mm")</f>
        <v>2023-10</v>
      </c>
    </row>
    <row r="5771" customFormat="false" ht="15" hidden="false" customHeight="true" outlineLevel="0" collapsed="false">
      <c r="A5771" s="1" t="n">
        <v>5895</v>
      </c>
      <c r="B5771" s="1" t="n">
        <v>242</v>
      </c>
      <c r="C5771" s="1" t="n">
        <v>21</v>
      </c>
      <c r="D5771" s="1" t="s">
        <v>325</v>
      </c>
      <c r="E5771" s="1" t="n">
        <v>6</v>
      </c>
      <c r="F5771" s="1" t="n">
        <v>84.91</v>
      </c>
      <c r="G5771" s="1" t="n">
        <v>0.2</v>
      </c>
      <c r="H5771" s="1" t="s">
        <v>1336</v>
      </c>
      <c r="I5771" s="1" t="n">
        <v>407.57</v>
      </c>
      <c r="J5771" s="1" t="str">
        <f aca="false">VLOOKUP(B5771,Customers!$A$2:$G$502,6,FALSE())</f>
        <v>Corporate</v>
      </c>
      <c r="K5771" s="1" t="str">
        <f aca="false">VLOOKUP(C5771,Products!$A$2:$E$62,3,FALSE())</f>
        <v>Office Supplies</v>
      </c>
      <c r="L5771" s="1" t="str">
        <f aca="false">TEXT(D5771,"yyyy-mm")</f>
        <v>2023-12</v>
      </c>
    </row>
    <row r="5772" customFormat="false" ht="15" hidden="false" customHeight="true" outlineLevel="0" collapsed="false">
      <c r="A5772" s="1" t="n">
        <v>5896</v>
      </c>
      <c r="B5772" s="1" t="n">
        <v>310</v>
      </c>
      <c r="C5772" s="1" t="n">
        <v>20</v>
      </c>
      <c r="D5772" s="1" t="s">
        <v>1422</v>
      </c>
      <c r="E5772" s="1" t="n">
        <v>4</v>
      </c>
      <c r="F5772" s="1" t="n">
        <v>426.15</v>
      </c>
      <c r="G5772" s="1" t="n">
        <v>0</v>
      </c>
      <c r="H5772" s="1" t="s">
        <v>1336</v>
      </c>
      <c r="I5772" s="1" t="n">
        <v>1704.6</v>
      </c>
      <c r="J5772" s="1" t="str">
        <f aca="false">VLOOKUP(B5772,Customers!$A$2:$G$502,6,FALSE())</f>
        <v>Small Business</v>
      </c>
      <c r="K5772" s="1" t="str">
        <f aca="false">VLOOKUP(C5772,Products!$A$2:$E$62,3,FALSE())</f>
        <v>Office Supplies</v>
      </c>
      <c r="L5772" s="1" t="str">
        <f aca="false">TEXT(D5772,"yyyy-mm")</f>
        <v>2023-12</v>
      </c>
    </row>
    <row r="5773" customFormat="false" ht="15" hidden="false" customHeight="true" outlineLevel="0" collapsed="false">
      <c r="A5773" s="1" t="n">
        <v>5897</v>
      </c>
      <c r="B5773" s="1" t="n">
        <v>353</v>
      </c>
      <c r="C5773" s="1" t="n">
        <v>18</v>
      </c>
      <c r="D5773" s="1" t="s">
        <v>1016</v>
      </c>
      <c r="E5773" s="1" t="n">
        <v>9</v>
      </c>
      <c r="F5773" s="1" t="n">
        <v>747.34</v>
      </c>
      <c r="G5773" s="1" t="n">
        <v>0</v>
      </c>
      <c r="H5773" s="1" t="s">
        <v>1336</v>
      </c>
      <c r="I5773" s="1" t="n">
        <v>6726.06</v>
      </c>
      <c r="J5773" s="1" t="str">
        <f aca="false">VLOOKUP(B5773,Customers!$A$2:$G$502,6,FALSE())</f>
        <v>Corporate</v>
      </c>
      <c r="K5773" s="1" t="str">
        <f aca="false">VLOOKUP(C5773,Products!$A$2:$E$62,3,FALSE())</f>
        <v>Electronics</v>
      </c>
      <c r="L5773" s="1" t="str">
        <f aca="false">TEXT(D5773,"yyyy-mm")</f>
        <v>2023-11</v>
      </c>
    </row>
    <row r="5774" customFormat="false" ht="15" hidden="false" customHeight="true" outlineLevel="0" collapsed="false">
      <c r="A5774" s="1" t="n">
        <v>5898</v>
      </c>
      <c r="B5774" s="1" t="n">
        <v>229</v>
      </c>
      <c r="C5774" s="1" t="n">
        <v>26</v>
      </c>
      <c r="D5774" s="1" t="s">
        <v>969</v>
      </c>
      <c r="E5774" s="1" t="n">
        <v>1</v>
      </c>
      <c r="F5774" s="1" t="n">
        <v>733.85</v>
      </c>
      <c r="G5774" s="1" t="n">
        <v>0</v>
      </c>
      <c r="H5774" s="1" t="s">
        <v>1370</v>
      </c>
      <c r="I5774" s="1" t="n">
        <v>733.85</v>
      </c>
      <c r="J5774" s="1" t="str">
        <f aca="false">VLOOKUP(B5774,Customers!$A$2:$G$502,6,FALSE())</f>
        <v>Consumer</v>
      </c>
      <c r="K5774" s="1" t="str">
        <f aca="false">VLOOKUP(C5774,Products!$A$2:$E$62,3,FALSE())</f>
        <v>Office Supplies</v>
      </c>
      <c r="L5774" s="1" t="str">
        <f aca="false">TEXT(D5774,"yyyy-mm")</f>
        <v>2024-08</v>
      </c>
    </row>
    <row r="5775" customFormat="false" ht="15" hidden="false" customHeight="true" outlineLevel="0" collapsed="false">
      <c r="A5775" s="1" t="n">
        <v>5899</v>
      </c>
      <c r="B5775" s="1" t="n">
        <v>393</v>
      </c>
      <c r="C5775" s="1" t="n">
        <v>35</v>
      </c>
      <c r="D5775" s="1" t="s">
        <v>1621</v>
      </c>
      <c r="E5775" s="1" t="n">
        <v>2</v>
      </c>
      <c r="F5775" s="1" t="n">
        <v>75.78</v>
      </c>
      <c r="G5775" s="1" t="n">
        <v>0.05</v>
      </c>
      <c r="H5775" s="1" t="s">
        <v>1336</v>
      </c>
      <c r="I5775" s="1" t="n">
        <v>143.98</v>
      </c>
      <c r="J5775" s="1" t="str">
        <f aca="false">VLOOKUP(B5775,Customers!$A$2:$G$502,6,FALSE())</f>
        <v>Consumer</v>
      </c>
      <c r="K5775" s="1" t="str">
        <f aca="false">VLOOKUP(C5775,Products!$A$2:$E$62,3,FALSE())</f>
        <v>Software</v>
      </c>
      <c r="L5775" s="1" t="str">
        <f aca="false">TEXT(D5775,"yyyy-mm")</f>
        <v>2024-06</v>
      </c>
    </row>
    <row r="5776" customFormat="false" ht="15" hidden="false" customHeight="true" outlineLevel="0" collapsed="false">
      <c r="A5776" s="1" t="n">
        <v>5900</v>
      </c>
      <c r="B5776" s="1" t="n">
        <v>5</v>
      </c>
      <c r="C5776" s="1" t="n">
        <v>34</v>
      </c>
      <c r="D5776" s="1" t="s">
        <v>623</v>
      </c>
      <c r="E5776" s="1" t="n">
        <v>4</v>
      </c>
      <c r="F5776" s="1" t="n">
        <v>116.85</v>
      </c>
      <c r="G5776" s="1" t="n">
        <v>0.1</v>
      </c>
      <c r="H5776" s="1" t="s">
        <v>1336</v>
      </c>
      <c r="I5776" s="1" t="n">
        <v>420.66</v>
      </c>
      <c r="J5776" s="1" t="str">
        <f aca="false">VLOOKUP(B5776,Customers!$A$2:$G$502,6,FALSE())</f>
        <v>Small Business</v>
      </c>
      <c r="K5776" s="1" t="str">
        <f aca="false">VLOOKUP(C5776,Products!$A$2:$E$62,3,FALSE())</f>
        <v>Office Supplies</v>
      </c>
      <c r="L5776" s="1" t="str">
        <f aca="false">TEXT(D5776,"yyyy-mm")</f>
        <v>2024-05</v>
      </c>
    </row>
    <row r="5777" customFormat="false" ht="15" hidden="false" customHeight="true" outlineLevel="0" collapsed="false">
      <c r="A5777" s="1" t="n">
        <v>5901</v>
      </c>
      <c r="B5777" s="1" t="n">
        <v>63</v>
      </c>
      <c r="C5777" s="1" t="n">
        <v>35</v>
      </c>
      <c r="D5777" s="1" t="s">
        <v>651</v>
      </c>
      <c r="E5777" s="1" t="n">
        <v>3</v>
      </c>
      <c r="F5777" s="1" t="n">
        <v>75.78</v>
      </c>
      <c r="G5777" s="1" t="n">
        <v>0</v>
      </c>
      <c r="H5777" s="1" t="s">
        <v>1336</v>
      </c>
      <c r="I5777" s="1" t="n">
        <v>227.34</v>
      </c>
      <c r="J5777" s="1" t="str">
        <f aca="false">VLOOKUP(B5777,Customers!$A$2:$G$502,6,FALSE())</f>
        <v>Consumer</v>
      </c>
      <c r="K5777" s="1" t="str">
        <f aca="false">VLOOKUP(C5777,Products!$A$2:$E$62,3,FALSE())</f>
        <v>Software</v>
      </c>
      <c r="L5777" s="1" t="str">
        <f aca="false">TEXT(D5777,"yyyy-mm")</f>
        <v>2024-12</v>
      </c>
    </row>
    <row r="5778" customFormat="false" ht="15" hidden="false" customHeight="true" outlineLevel="0" collapsed="false">
      <c r="A5778" s="1" t="n">
        <v>5902</v>
      </c>
      <c r="B5778" s="1" t="n">
        <v>313</v>
      </c>
      <c r="C5778" s="1" t="n">
        <v>4</v>
      </c>
      <c r="D5778" s="1" t="s">
        <v>1692</v>
      </c>
      <c r="E5778" s="1" t="n">
        <v>1</v>
      </c>
      <c r="F5778" s="1" t="n">
        <v>56.24</v>
      </c>
      <c r="G5778" s="1" t="n">
        <v>0</v>
      </c>
      <c r="H5778" s="1" t="s">
        <v>1336</v>
      </c>
      <c r="I5778" s="1" t="n">
        <v>56.24</v>
      </c>
      <c r="J5778" s="1" t="str">
        <f aca="false">VLOOKUP(B5778,Customers!$A$2:$G$502,6,FALSE())</f>
        <v>Consumer</v>
      </c>
      <c r="K5778" s="1" t="str">
        <f aca="false">VLOOKUP(C5778,Products!$A$2:$E$62,3,FALSE())</f>
        <v>Electronics</v>
      </c>
      <c r="L5778" s="1" t="str">
        <f aca="false">TEXT(D5778,"yyyy-mm")</f>
        <v>2024-12</v>
      </c>
    </row>
    <row r="5779" customFormat="false" ht="15" hidden="false" customHeight="true" outlineLevel="0" collapsed="false">
      <c r="A5779" s="1" t="n">
        <v>5903</v>
      </c>
      <c r="B5779" s="1" t="n">
        <v>232</v>
      </c>
      <c r="C5779" s="1" t="n">
        <v>9</v>
      </c>
      <c r="D5779" s="1" t="s">
        <v>536</v>
      </c>
      <c r="E5779" s="1" t="n">
        <v>5</v>
      </c>
      <c r="F5779" s="1" t="n">
        <v>203.1</v>
      </c>
      <c r="G5779" s="1" t="n">
        <v>0</v>
      </c>
      <c r="H5779" s="1" t="s">
        <v>1336</v>
      </c>
      <c r="I5779" s="1" t="n">
        <v>1015.5</v>
      </c>
      <c r="J5779" s="1" t="str">
        <f aca="false">VLOOKUP(B5779,Customers!$A$2:$G$502,6,FALSE())</f>
        <v>Corporate</v>
      </c>
      <c r="K5779" s="1" t="str">
        <f aca="false">VLOOKUP(C5779,Products!$A$2:$E$62,3,FALSE())</f>
        <v>Electronics</v>
      </c>
      <c r="L5779" s="1" t="str">
        <f aca="false">TEXT(D5779,"yyyy-mm")</f>
        <v>2024-01</v>
      </c>
    </row>
    <row r="5780" customFormat="false" ht="15" hidden="false" customHeight="true" outlineLevel="0" collapsed="false">
      <c r="A5780" s="1" t="n">
        <v>5904</v>
      </c>
      <c r="B5780" s="1" t="n">
        <v>32</v>
      </c>
      <c r="C5780" s="1" t="n">
        <v>39</v>
      </c>
      <c r="D5780" s="1" t="s">
        <v>1422</v>
      </c>
      <c r="E5780" s="1" t="n">
        <v>7</v>
      </c>
      <c r="F5780" s="1" t="n">
        <v>400.02</v>
      </c>
      <c r="G5780" s="1" t="n">
        <v>0</v>
      </c>
      <c r="H5780" s="1" t="s">
        <v>1336</v>
      </c>
      <c r="I5780" s="1" t="n">
        <v>2800.14</v>
      </c>
      <c r="J5780" s="1" t="str">
        <f aca="false">VLOOKUP(B5780,Customers!$A$2:$G$502,6,FALSE())</f>
        <v>Small Business</v>
      </c>
      <c r="K5780" s="1" t="str">
        <f aca="false">VLOOKUP(C5780,Products!$A$2:$E$62,3,FALSE())</f>
        <v>Software</v>
      </c>
      <c r="L5780" s="1" t="str">
        <f aca="false">TEXT(D5780,"yyyy-mm")</f>
        <v>2023-12</v>
      </c>
    </row>
    <row r="5781" customFormat="false" ht="15" hidden="false" customHeight="true" outlineLevel="0" collapsed="false">
      <c r="A5781" s="1" t="n">
        <v>5905</v>
      </c>
      <c r="B5781" s="1" t="n">
        <v>29</v>
      </c>
      <c r="C5781" s="1" t="n">
        <v>30</v>
      </c>
      <c r="D5781" s="1" t="s">
        <v>1536</v>
      </c>
      <c r="E5781" s="1" t="n">
        <v>2</v>
      </c>
      <c r="F5781" s="1" t="n">
        <v>33.32</v>
      </c>
      <c r="G5781" s="1" t="n">
        <v>0</v>
      </c>
      <c r="H5781" s="1" t="s">
        <v>1336</v>
      </c>
      <c r="I5781" s="1" t="n">
        <v>66.64</v>
      </c>
      <c r="J5781" s="1" t="str">
        <f aca="false">VLOOKUP(B5781,Customers!$A$2:$G$502,6,FALSE())</f>
        <v>Small Business</v>
      </c>
      <c r="K5781" s="1" t="str">
        <f aca="false">VLOOKUP(C5781,Products!$A$2:$E$62,3,FALSE())</f>
        <v>Office Supplies</v>
      </c>
      <c r="L5781" s="1" t="str">
        <f aca="false">TEXT(D5781,"yyyy-mm")</f>
        <v>2023-11</v>
      </c>
    </row>
    <row r="5782" customFormat="false" ht="15" hidden="false" customHeight="true" outlineLevel="0" collapsed="false">
      <c r="A5782" s="1" t="n">
        <v>5906</v>
      </c>
      <c r="B5782" s="1" t="n">
        <v>409</v>
      </c>
      <c r="C5782" s="1" t="n">
        <v>1</v>
      </c>
      <c r="D5782" s="1" t="s">
        <v>1655</v>
      </c>
      <c r="E5782" s="1" t="n">
        <v>5</v>
      </c>
      <c r="F5782" s="1" t="n">
        <v>327.32</v>
      </c>
      <c r="G5782" s="1" t="n">
        <v>0.05</v>
      </c>
      <c r="H5782" s="1" t="s">
        <v>1336</v>
      </c>
      <c r="I5782" s="1" t="n">
        <v>1554.77</v>
      </c>
      <c r="J5782" s="1" t="str">
        <f aca="false">VLOOKUP(B5782,Customers!$A$2:$G$502,6,FALSE())</f>
        <v>Small Business</v>
      </c>
      <c r="K5782" s="1" t="str">
        <f aca="false">VLOOKUP(C5782,Products!$A$2:$E$62,3,FALSE())</f>
        <v>Electronics</v>
      </c>
      <c r="L5782" s="1" t="str">
        <f aca="false">TEXT(D5782,"yyyy-mm")</f>
        <v>2023-09</v>
      </c>
    </row>
    <row r="5783" customFormat="false" ht="15" hidden="false" customHeight="true" outlineLevel="0" collapsed="false">
      <c r="A5783" s="1" t="n">
        <v>5907</v>
      </c>
      <c r="B5783" s="1" t="n">
        <v>161</v>
      </c>
      <c r="C5783" s="1" t="n">
        <v>27</v>
      </c>
      <c r="D5783" s="1" t="s">
        <v>989</v>
      </c>
      <c r="E5783" s="1" t="n">
        <v>6</v>
      </c>
      <c r="F5783" s="1" t="n">
        <v>772.58</v>
      </c>
      <c r="G5783" s="1" t="n">
        <v>0.1</v>
      </c>
      <c r="H5783" s="1" t="s">
        <v>1336</v>
      </c>
      <c r="I5783" s="1" t="n">
        <v>4171.93</v>
      </c>
      <c r="J5783" s="1" t="str">
        <f aca="false">VLOOKUP(B5783,Customers!$A$2:$G$502,6,FALSE())</f>
        <v>Consumer</v>
      </c>
      <c r="K5783" s="1" t="str">
        <f aca="false">VLOOKUP(C5783,Products!$A$2:$E$62,3,FALSE())</f>
        <v>Office Supplies</v>
      </c>
      <c r="L5783" s="1" t="str">
        <f aca="false">TEXT(D5783,"yyyy-mm")</f>
        <v>2024-06</v>
      </c>
    </row>
    <row r="5784" customFormat="false" ht="15" hidden="false" customHeight="true" outlineLevel="0" collapsed="false">
      <c r="A5784" s="1" t="n">
        <v>5908</v>
      </c>
      <c r="B5784" s="1" t="n">
        <v>332</v>
      </c>
      <c r="C5784" s="1" t="n">
        <v>24</v>
      </c>
      <c r="D5784" s="1" t="s">
        <v>846</v>
      </c>
      <c r="E5784" s="1" t="n">
        <v>7</v>
      </c>
      <c r="F5784" s="1" t="n">
        <v>207.34</v>
      </c>
      <c r="G5784" s="1" t="n">
        <v>0.05</v>
      </c>
      <c r="H5784" s="1" t="s">
        <v>1336</v>
      </c>
      <c r="I5784" s="1" t="n">
        <v>1378.81</v>
      </c>
      <c r="J5784" s="1" t="str">
        <f aca="false">VLOOKUP(B5784,Customers!$A$2:$G$502,6,FALSE())</f>
        <v>Consumer</v>
      </c>
      <c r="K5784" s="1" t="str">
        <f aca="false">VLOOKUP(C5784,Products!$A$2:$E$62,3,FALSE())</f>
        <v>Office Supplies</v>
      </c>
      <c r="L5784" s="1" t="str">
        <f aca="false">TEXT(D5784,"yyyy-mm")</f>
        <v>2024-07</v>
      </c>
    </row>
    <row r="5785" customFormat="false" ht="15" hidden="false" customHeight="true" outlineLevel="0" collapsed="false">
      <c r="A5785" s="1" t="n">
        <v>5909</v>
      </c>
      <c r="B5785" s="1" t="n">
        <v>55</v>
      </c>
      <c r="C5785" s="1" t="n">
        <v>13</v>
      </c>
      <c r="D5785" s="1" t="s">
        <v>435</v>
      </c>
      <c r="E5785" s="1" t="n">
        <v>1</v>
      </c>
      <c r="F5785" s="1" t="n">
        <v>352.54</v>
      </c>
      <c r="G5785" s="1" t="n">
        <v>0.15</v>
      </c>
      <c r="H5785" s="1" t="s">
        <v>1336</v>
      </c>
      <c r="I5785" s="1" t="n">
        <v>299.66</v>
      </c>
      <c r="J5785" s="1" t="str">
        <f aca="false">VLOOKUP(B5785,Customers!$A$2:$G$502,6,FALSE())</f>
        <v>Consumer</v>
      </c>
      <c r="K5785" s="1" t="str">
        <f aca="false">VLOOKUP(C5785,Products!$A$2:$E$62,3,FALSE())</f>
        <v>Electronics</v>
      </c>
      <c r="L5785" s="1" t="str">
        <f aca="false">TEXT(D5785,"yyyy-mm")</f>
        <v>2024-08</v>
      </c>
    </row>
    <row r="5786" customFormat="false" ht="15" hidden="false" customHeight="true" outlineLevel="0" collapsed="false">
      <c r="A5786" s="1" t="n">
        <v>5910</v>
      </c>
      <c r="B5786" s="1" t="n">
        <v>166</v>
      </c>
      <c r="C5786" s="1" t="n">
        <v>26</v>
      </c>
      <c r="D5786" s="1" t="s">
        <v>387</v>
      </c>
      <c r="E5786" s="1" t="n">
        <v>7</v>
      </c>
      <c r="F5786" s="1" t="n">
        <v>733.85</v>
      </c>
      <c r="G5786" s="1" t="n">
        <v>0.2</v>
      </c>
      <c r="H5786" s="1" t="s">
        <v>1336</v>
      </c>
      <c r="I5786" s="1" t="n">
        <v>4109.56</v>
      </c>
      <c r="J5786" s="1" t="str">
        <f aca="false">VLOOKUP(B5786,Customers!$A$2:$G$502,6,FALSE())</f>
        <v>Small Business</v>
      </c>
      <c r="K5786" s="1" t="str">
        <f aca="false">VLOOKUP(C5786,Products!$A$2:$E$62,3,FALSE())</f>
        <v>Office Supplies</v>
      </c>
      <c r="L5786" s="1" t="str">
        <f aca="false">TEXT(D5786,"yyyy-mm")</f>
        <v>2024-04</v>
      </c>
    </row>
    <row r="5787" customFormat="false" ht="15" hidden="false" customHeight="true" outlineLevel="0" collapsed="false">
      <c r="A5787" s="1" t="n">
        <v>5911</v>
      </c>
      <c r="B5787" s="1" t="n">
        <v>156</v>
      </c>
      <c r="C5787" s="1" t="n">
        <v>50</v>
      </c>
      <c r="D5787" s="1" t="s">
        <v>482</v>
      </c>
      <c r="E5787" s="1" t="n">
        <v>4</v>
      </c>
      <c r="F5787" s="1" t="n">
        <v>19.73</v>
      </c>
      <c r="G5787" s="1" t="n">
        <v>0.2</v>
      </c>
      <c r="H5787" s="1" t="s">
        <v>1336</v>
      </c>
      <c r="I5787" s="1" t="n">
        <v>63.14</v>
      </c>
      <c r="J5787" s="1" t="str">
        <f aca="false">VLOOKUP(B5787,Customers!$A$2:$G$502,6,FALSE())</f>
        <v>Corporate</v>
      </c>
      <c r="K5787" s="1" t="str">
        <f aca="false">VLOOKUP(C5787,Products!$A$2:$E$62,3,FALSE())</f>
        <v>Software</v>
      </c>
      <c r="L5787" s="1" t="str">
        <f aca="false">TEXT(D5787,"yyyy-mm")</f>
        <v>2024-11</v>
      </c>
    </row>
    <row r="5788" customFormat="false" ht="15" hidden="false" customHeight="true" outlineLevel="0" collapsed="false">
      <c r="A5788" s="1" t="n">
        <v>5912</v>
      </c>
      <c r="B5788" s="1" t="n">
        <v>247</v>
      </c>
      <c r="C5788" s="1" t="n">
        <v>5</v>
      </c>
      <c r="D5788" s="1" t="s">
        <v>1702</v>
      </c>
      <c r="E5788" s="1" t="n">
        <v>8</v>
      </c>
      <c r="F5788" s="1" t="n">
        <v>439.06</v>
      </c>
      <c r="G5788" s="1" t="n">
        <v>0.05</v>
      </c>
      <c r="H5788" s="1" t="s">
        <v>1336</v>
      </c>
      <c r="I5788" s="1" t="n">
        <v>3336.86</v>
      </c>
      <c r="J5788" s="1" t="str">
        <f aca="false">VLOOKUP(B5788,Customers!$A$2:$G$502,6,FALSE())</f>
        <v>Small Business</v>
      </c>
      <c r="K5788" s="1" t="str">
        <f aca="false">VLOOKUP(C5788,Products!$A$2:$E$62,3,FALSE())</f>
        <v>Electronics</v>
      </c>
      <c r="L5788" s="1" t="str">
        <f aca="false">TEXT(D5788,"yyyy-mm")</f>
        <v>2024-06</v>
      </c>
    </row>
    <row r="5789" customFormat="false" ht="15" hidden="false" customHeight="true" outlineLevel="0" collapsed="false">
      <c r="A5789" s="1" t="n">
        <v>5913</v>
      </c>
      <c r="B5789" s="1" t="n">
        <v>271</v>
      </c>
      <c r="C5789" s="1" t="n">
        <v>27</v>
      </c>
      <c r="D5789" s="1" t="s">
        <v>167</v>
      </c>
      <c r="E5789" s="1" t="n">
        <v>4</v>
      </c>
      <c r="F5789" s="1" t="n">
        <v>772.58</v>
      </c>
      <c r="G5789" s="1" t="n">
        <v>0.05</v>
      </c>
      <c r="H5789" s="1" t="s">
        <v>1346</v>
      </c>
      <c r="I5789" s="1" t="n">
        <v>2935.8</v>
      </c>
      <c r="J5789" s="1" t="str">
        <f aca="false">VLOOKUP(B5789,Customers!$A$2:$G$502,6,FALSE())</f>
        <v>Small Business</v>
      </c>
      <c r="K5789" s="1" t="str">
        <f aca="false">VLOOKUP(C5789,Products!$A$2:$E$62,3,FALSE())</f>
        <v>Office Supplies</v>
      </c>
      <c r="L5789" s="1" t="str">
        <f aca="false">TEXT(D5789,"yyyy-mm")</f>
        <v>2023-03</v>
      </c>
    </row>
    <row r="5790" customFormat="false" ht="15" hidden="false" customHeight="true" outlineLevel="0" collapsed="false">
      <c r="A5790" s="1" t="n">
        <v>5914</v>
      </c>
      <c r="B5790" s="1" t="n">
        <v>406</v>
      </c>
      <c r="C5790" s="1" t="n">
        <v>35</v>
      </c>
      <c r="D5790" s="1" t="s">
        <v>1269</v>
      </c>
      <c r="E5790" s="1" t="n">
        <v>6</v>
      </c>
      <c r="F5790" s="1" t="n">
        <v>75.78</v>
      </c>
      <c r="G5790" s="1" t="n">
        <v>0</v>
      </c>
      <c r="H5790" s="1" t="s">
        <v>1336</v>
      </c>
      <c r="I5790" s="1" t="n">
        <v>454.68</v>
      </c>
      <c r="J5790" s="1" t="str">
        <f aca="false">VLOOKUP(B5790,Customers!$A$2:$G$502,6,FALSE())</f>
        <v>Small Business</v>
      </c>
      <c r="K5790" s="1" t="str">
        <f aca="false">VLOOKUP(C5790,Products!$A$2:$E$62,3,FALSE())</f>
        <v>Software</v>
      </c>
      <c r="L5790" s="1" t="str">
        <f aca="false">TEXT(D5790,"yyyy-mm")</f>
        <v>2023-05</v>
      </c>
    </row>
    <row r="5791" customFormat="false" ht="15" hidden="false" customHeight="true" outlineLevel="0" collapsed="false">
      <c r="A5791" s="1" t="n">
        <v>5915</v>
      </c>
      <c r="B5791" s="1" t="n">
        <v>156</v>
      </c>
      <c r="C5791" s="1" t="n">
        <v>44</v>
      </c>
      <c r="D5791" s="1" t="s">
        <v>530</v>
      </c>
      <c r="E5791" s="1" t="n">
        <v>9</v>
      </c>
      <c r="F5791" s="1" t="n">
        <v>508.26</v>
      </c>
      <c r="G5791" s="1" t="n">
        <v>0.1</v>
      </c>
      <c r="H5791" s="1" t="s">
        <v>1336</v>
      </c>
      <c r="I5791" s="1" t="n">
        <v>4116.91</v>
      </c>
      <c r="J5791" s="1" t="str">
        <f aca="false">VLOOKUP(B5791,Customers!$A$2:$G$502,6,FALSE())</f>
        <v>Corporate</v>
      </c>
      <c r="K5791" s="1" t="str">
        <f aca="false">VLOOKUP(C5791,Products!$A$2:$E$62,3,FALSE())</f>
        <v>Software</v>
      </c>
      <c r="L5791" s="1" t="str">
        <f aca="false">TEXT(D5791,"yyyy-mm")</f>
        <v>2024-09</v>
      </c>
    </row>
    <row r="5792" customFormat="false" ht="15" hidden="false" customHeight="true" outlineLevel="0" collapsed="false">
      <c r="A5792" s="1" t="n">
        <v>5916</v>
      </c>
      <c r="B5792" s="1" t="n">
        <v>415</v>
      </c>
      <c r="C5792" s="1" t="n">
        <v>53</v>
      </c>
      <c r="D5792" s="1" t="s">
        <v>254</v>
      </c>
      <c r="E5792" s="1" t="n">
        <v>5</v>
      </c>
      <c r="F5792" s="1" t="n">
        <v>509.98</v>
      </c>
      <c r="G5792" s="1" t="n">
        <v>0.1</v>
      </c>
      <c r="H5792" s="1" t="s">
        <v>1336</v>
      </c>
      <c r="I5792" s="1" t="n">
        <v>2294.91</v>
      </c>
      <c r="J5792" s="1" t="str">
        <f aca="false">VLOOKUP(B5792,Customers!$A$2:$G$502,6,FALSE())</f>
        <v>Consumer</v>
      </c>
      <c r="K5792" s="1" t="str">
        <f aca="false">VLOOKUP(C5792,Products!$A$2:$E$62,3,FALSE())</f>
        <v>Software</v>
      </c>
      <c r="L5792" s="1" t="str">
        <f aca="false">TEXT(D5792,"yyyy-mm")</f>
        <v>2023-10</v>
      </c>
    </row>
    <row r="5793" customFormat="false" ht="15" hidden="false" customHeight="true" outlineLevel="0" collapsed="false">
      <c r="A5793" s="1" t="n">
        <v>5917</v>
      </c>
      <c r="B5793" s="1" t="n">
        <v>138</v>
      </c>
      <c r="C5793" s="1" t="n">
        <v>52</v>
      </c>
      <c r="D5793" s="1" t="s">
        <v>266</v>
      </c>
      <c r="E5793" s="1" t="n">
        <v>4</v>
      </c>
      <c r="F5793" s="1" t="n">
        <v>207.67</v>
      </c>
      <c r="G5793" s="1" t="n">
        <v>0.2</v>
      </c>
      <c r="H5793" s="1" t="s">
        <v>1336</v>
      </c>
      <c r="I5793" s="1" t="n">
        <v>664.54</v>
      </c>
      <c r="J5793" s="1" t="str">
        <f aca="false">VLOOKUP(B5793,Customers!$A$2:$G$502,6,FALSE())</f>
        <v>Consumer</v>
      </c>
      <c r="K5793" s="1" t="str">
        <f aca="false">VLOOKUP(C5793,Products!$A$2:$E$62,3,FALSE())</f>
        <v>Software</v>
      </c>
      <c r="L5793" s="1" t="str">
        <f aca="false">TEXT(D5793,"yyyy-mm")</f>
        <v>2023-09</v>
      </c>
    </row>
    <row r="5794" customFormat="false" ht="15" hidden="false" customHeight="true" outlineLevel="0" collapsed="false">
      <c r="A5794" s="1" t="n">
        <v>5918</v>
      </c>
      <c r="B5794" s="1" t="n">
        <v>56</v>
      </c>
      <c r="C5794" s="1" t="n">
        <v>42</v>
      </c>
      <c r="D5794" s="1" t="s">
        <v>176</v>
      </c>
      <c r="E5794" s="1" t="n">
        <v>8</v>
      </c>
      <c r="F5794" s="1" t="n">
        <v>174.48</v>
      </c>
      <c r="G5794" s="1" t="n">
        <v>0.05</v>
      </c>
      <c r="H5794" s="1" t="s">
        <v>1336</v>
      </c>
      <c r="I5794" s="1" t="n">
        <v>1326.05</v>
      </c>
      <c r="J5794" s="1" t="str">
        <f aca="false">VLOOKUP(B5794,Customers!$A$2:$G$502,6,FALSE())</f>
        <v>Corporate</v>
      </c>
      <c r="K5794" s="1" t="str">
        <f aca="false">VLOOKUP(C5794,Products!$A$2:$E$62,3,FALSE())</f>
        <v>Software</v>
      </c>
      <c r="L5794" s="1" t="str">
        <f aca="false">TEXT(D5794,"yyyy-mm")</f>
        <v>2024-04</v>
      </c>
    </row>
    <row r="5795" customFormat="false" ht="15" hidden="false" customHeight="true" outlineLevel="0" collapsed="false">
      <c r="A5795" s="1" t="n">
        <v>5919</v>
      </c>
      <c r="B5795" s="1" t="n">
        <v>359</v>
      </c>
      <c r="C5795" s="1" t="n">
        <v>12</v>
      </c>
      <c r="D5795" s="1" t="s">
        <v>1428</v>
      </c>
      <c r="E5795" s="1" t="n">
        <v>9</v>
      </c>
      <c r="F5795" s="1" t="n">
        <v>179.23</v>
      </c>
      <c r="G5795" s="1" t="n">
        <v>0.1</v>
      </c>
      <c r="H5795" s="1" t="s">
        <v>1336</v>
      </c>
      <c r="I5795" s="1" t="n">
        <v>1451.76</v>
      </c>
      <c r="J5795" s="1" t="str">
        <f aca="false">VLOOKUP(B5795,Customers!$A$2:$G$502,6,FALSE())</f>
        <v>Small Business</v>
      </c>
      <c r="K5795" s="1" t="str">
        <f aca="false">VLOOKUP(C5795,Products!$A$2:$E$62,3,FALSE())</f>
        <v>Electronics</v>
      </c>
      <c r="L5795" s="1" t="str">
        <f aca="false">TEXT(D5795,"yyyy-mm")</f>
        <v>2024-06</v>
      </c>
    </row>
    <row r="5796" customFormat="false" ht="15" hidden="false" customHeight="true" outlineLevel="0" collapsed="false">
      <c r="A5796" s="1" t="n">
        <v>5920</v>
      </c>
      <c r="B5796" s="1" t="n">
        <v>470</v>
      </c>
      <c r="C5796" s="1" t="n">
        <v>2</v>
      </c>
      <c r="D5796" s="1" t="s">
        <v>1364</v>
      </c>
      <c r="E5796" s="1" t="n">
        <v>4</v>
      </c>
      <c r="F5796" s="1" t="n">
        <v>498.15</v>
      </c>
      <c r="G5796" s="1" t="n">
        <v>0.1</v>
      </c>
      <c r="H5796" s="1" t="s">
        <v>1336</v>
      </c>
      <c r="I5796" s="1" t="n">
        <v>1793.34</v>
      </c>
      <c r="J5796" s="1" t="str">
        <f aca="false">VLOOKUP(B5796,Customers!$A$2:$G$502,6,FALSE())</f>
        <v>Corporate</v>
      </c>
      <c r="K5796" s="1" t="str">
        <f aca="false">VLOOKUP(C5796,Products!$A$2:$E$62,3,FALSE())</f>
        <v>Electronics</v>
      </c>
      <c r="L5796" s="1" t="str">
        <f aca="false">TEXT(D5796,"yyyy-mm")</f>
        <v>2024-11</v>
      </c>
    </row>
    <row r="5797" customFormat="false" ht="15" hidden="false" customHeight="true" outlineLevel="0" collapsed="false">
      <c r="A5797" s="1" t="n">
        <v>5921</v>
      </c>
      <c r="B5797" s="1" t="n">
        <v>14</v>
      </c>
      <c r="C5797" s="1" t="n">
        <v>19</v>
      </c>
      <c r="D5797" s="1" t="s">
        <v>1602</v>
      </c>
      <c r="E5797" s="1" t="n">
        <v>3</v>
      </c>
      <c r="F5797" s="1" t="n">
        <v>163.64</v>
      </c>
      <c r="G5797" s="1" t="n">
        <v>0</v>
      </c>
      <c r="H5797" s="1" t="s">
        <v>1336</v>
      </c>
      <c r="I5797" s="1" t="n">
        <v>490.92</v>
      </c>
      <c r="J5797" s="1" t="str">
        <f aca="false">VLOOKUP(B5797,Customers!$A$2:$G$502,6,FALSE())</f>
        <v>Small Business</v>
      </c>
      <c r="K5797" s="1" t="str">
        <f aca="false">VLOOKUP(C5797,Products!$A$2:$E$62,3,FALSE())</f>
        <v>Office Supplies</v>
      </c>
      <c r="L5797" s="1" t="str">
        <f aca="false">TEXT(D5797,"yyyy-mm")</f>
        <v>2024-10</v>
      </c>
    </row>
    <row r="5798" customFormat="false" ht="15" hidden="false" customHeight="true" outlineLevel="0" collapsed="false">
      <c r="A5798" s="1" t="n">
        <v>5922</v>
      </c>
      <c r="B5798" s="1" t="n">
        <v>475</v>
      </c>
      <c r="C5798" s="1" t="n">
        <v>6</v>
      </c>
      <c r="D5798" s="1" t="s">
        <v>1529</v>
      </c>
      <c r="E5798" s="1" t="n">
        <v>8</v>
      </c>
      <c r="F5798" s="1" t="n">
        <v>28.51</v>
      </c>
      <c r="G5798" s="1" t="n">
        <v>0</v>
      </c>
      <c r="H5798" s="1" t="s">
        <v>1336</v>
      </c>
      <c r="I5798" s="1" t="n">
        <v>228.08</v>
      </c>
      <c r="J5798" s="1" t="str">
        <f aca="false">VLOOKUP(B5798,Customers!$A$2:$G$502,6,FALSE())</f>
        <v>Small Business</v>
      </c>
      <c r="K5798" s="1" t="str">
        <f aca="false">VLOOKUP(C5798,Products!$A$2:$E$62,3,FALSE())</f>
        <v>Electronics</v>
      </c>
      <c r="L5798" s="1" t="str">
        <f aca="false">TEXT(D5798,"yyyy-mm")</f>
        <v>2024-09</v>
      </c>
    </row>
    <row r="5799" customFormat="false" ht="15" hidden="false" customHeight="true" outlineLevel="0" collapsed="false">
      <c r="A5799" s="1" t="n">
        <v>5923</v>
      </c>
      <c r="B5799" s="1" t="n">
        <v>413</v>
      </c>
      <c r="C5799" s="1" t="n">
        <v>20</v>
      </c>
      <c r="D5799" s="1" t="s">
        <v>642</v>
      </c>
      <c r="E5799" s="1" t="n">
        <v>5</v>
      </c>
      <c r="F5799" s="1" t="n">
        <v>426.15</v>
      </c>
      <c r="G5799" s="1" t="n">
        <v>0</v>
      </c>
      <c r="H5799" s="1" t="s">
        <v>1346</v>
      </c>
      <c r="I5799" s="1" t="n">
        <v>2130.75</v>
      </c>
      <c r="J5799" s="1" t="str">
        <f aca="false">VLOOKUP(B5799,Customers!$A$2:$G$502,6,FALSE())</f>
        <v>Small Business</v>
      </c>
      <c r="K5799" s="1" t="str">
        <f aca="false">VLOOKUP(C5799,Products!$A$2:$E$62,3,FALSE())</f>
        <v>Office Supplies</v>
      </c>
      <c r="L5799" s="1" t="str">
        <f aca="false">TEXT(D5799,"yyyy-mm")</f>
        <v>2023-01</v>
      </c>
    </row>
    <row r="5800" customFormat="false" ht="15" hidden="false" customHeight="true" outlineLevel="0" collapsed="false">
      <c r="A5800" s="1" t="n">
        <v>5924</v>
      </c>
      <c r="B5800" s="1" t="n">
        <v>264</v>
      </c>
      <c r="C5800" s="1" t="n">
        <v>45</v>
      </c>
      <c r="D5800" s="1" t="s">
        <v>151</v>
      </c>
      <c r="E5800" s="1" t="n">
        <v>2</v>
      </c>
      <c r="F5800" s="1" t="n">
        <v>560.01</v>
      </c>
      <c r="G5800" s="1" t="n">
        <v>0.15</v>
      </c>
      <c r="H5800" s="1" t="s">
        <v>1336</v>
      </c>
      <c r="I5800" s="1" t="n">
        <v>952.02</v>
      </c>
      <c r="J5800" s="1" t="str">
        <f aca="false">VLOOKUP(B5800,Customers!$A$2:$G$502,6,FALSE())</f>
        <v>Small Business</v>
      </c>
      <c r="K5800" s="1" t="str">
        <f aca="false">VLOOKUP(C5800,Products!$A$2:$E$62,3,FALSE())</f>
        <v>Software</v>
      </c>
      <c r="L5800" s="1" t="str">
        <f aca="false">TEXT(D5800,"yyyy-mm")</f>
        <v>2023-10</v>
      </c>
    </row>
    <row r="5801" customFormat="false" ht="15" hidden="false" customHeight="true" outlineLevel="0" collapsed="false">
      <c r="A5801" s="1" t="n">
        <v>5925</v>
      </c>
      <c r="B5801" s="1" t="n">
        <v>48</v>
      </c>
      <c r="C5801" s="1" t="n">
        <v>42</v>
      </c>
      <c r="D5801" s="1" t="s">
        <v>1407</v>
      </c>
      <c r="E5801" s="1" t="n">
        <v>9</v>
      </c>
      <c r="F5801" s="1" t="n">
        <v>174.48</v>
      </c>
      <c r="G5801" s="1" t="n">
        <v>0.05</v>
      </c>
      <c r="H5801" s="1" t="s">
        <v>1336</v>
      </c>
      <c r="I5801" s="1" t="n">
        <v>1491.8</v>
      </c>
      <c r="J5801" s="1" t="str">
        <f aca="false">VLOOKUP(B5801,Customers!$A$2:$G$502,6,FALSE())</f>
        <v>Small Business</v>
      </c>
      <c r="K5801" s="1" t="str">
        <f aca="false">VLOOKUP(C5801,Products!$A$2:$E$62,3,FALSE())</f>
        <v>Software</v>
      </c>
      <c r="L5801" s="1" t="str">
        <f aca="false">TEXT(D5801,"yyyy-mm")</f>
        <v>2023-06</v>
      </c>
    </row>
    <row r="5802" customFormat="false" ht="15" hidden="false" customHeight="true" outlineLevel="0" collapsed="false">
      <c r="A5802" s="1" t="n">
        <v>5926</v>
      </c>
      <c r="B5802" s="1" t="n">
        <v>436</v>
      </c>
      <c r="C5802" s="1" t="n">
        <v>13</v>
      </c>
      <c r="D5802" s="1" t="s">
        <v>1409</v>
      </c>
      <c r="E5802" s="1" t="n">
        <v>3</v>
      </c>
      <c r="F5802" s="1" t="n">
        <v>352.54</v>
      </c>
      <c r="G5802" s="1" t="n">
        <v>0</v>
      </c>
      <c r="H5802" s="1" t="s">
        <v>1336</v>
      </c>
      <c r="I5802" s="1" t="n">
        <v>1057.62</v>
      </c>
      <c r="J5802" s="1" t="str">
        <f aca="false">VLOOKUP(B5802,Customers!$A$2:$G$502,6,FALSE())</f>
        <v>Corporate</v>
      </c>
      <c r="K5802" s="1" t="str">
        <f aca="false">VLOOKUP(C5802,Products!$A$2:$E$62,3,FALSE())</f>
        <v>Electronics</v>
      </c>
      <c r="L5802" s="1" t="str">
        <f aca="false">TEXT(D5802,"yyyy-mm")</f>
        <v>2023-09</v>
      </c>
    </row>
    <row r="5803" customFormat="false" ht="15" hidden="false" customHeight="true" outlineLevel="0" collapsed="false">
      <c r="A5803" s="1" t="n">
        <v>5927</v>
      </c>
      <c r="B5803" s="1" t="n">
        <v>464</v>
      </c>
      <c r="C5803" s="1" t="n">
        <v>10</v>
      </c>
      <c r="D5803" s="1" t="s">
        <v>220</v>
      </c>
      <c r="E5803" s="1" t="n">
        <v>2</v>
      </c>
      <c r="F5803" s="1" t="n">
        <v>251.58</v>
      </c>
      <c r="G5803" s="1" t="n">
        <v>0</v>
      </c>
      <c r="H5803" s="1" t="s">
        <v>1336</v>
      </c>
      <c r="I5803" s="1" t="n">
        <v>503.16</v>
      </c>
      <c r="J5803" s="1" t="str">
        <f aca="false">VLOOKUP(B5803,Customers!$A$2:$G$502,6,FALSE())</f>
        <v>Consumer</v>
      </c>
      <c r="K5803" s="1" t="str">
        <f aca="false">VLOOKUP(C5803,Products!$A$2:$E$62,3,FALSE())</f>
        <v>Electronics</v>
      </c>
      <c r="L5803" s="1" t="str">
        <f aca="false">TEXT(D5803,"yyyy-mm")</f>
        <v>2023-01</v>
      </c>
    </row>
    <row r="5804" customFormat="false" ht="15" hidden="false" customHeight="true" outlineLevel="0" collapsed="false">
      <c r="A5804" s="1" t="n">
        <v>5928</v>
      </c>
      <c r="B5804" s="1" t="n">
        <v>194</v>
      </c>
      <c r="C5804" s="1" t="n">
        <v>6</v>
      </c>
      <c r="D5804" s="1" t="s">
        <v>424</v>
      </c>
      <c r="E5804" s="1" t="n">
        <v>1</v>
      </c>
      <c r="F5804" s="1" t="n">
        <v>28.51</v>
      </c>
      <c r="G5804" s="1" t="n">
        <v>0.2</v>
      </c>
      <c r="H5804" s="1" t="s">
        <v>1336</v>
      </c>
      <c r="I5804" s="1" t="n">
        <v>22.81</v>
      </c>
      <c r="J5804" s="1" t="str">
        <f aca="false">VLOOKUP(B5804,Customers!$A$2:$G$502,6,FALSE())</f>
        <v>Corporate</v>
      </c>
      <c r="K5804" s="1" t="str">
        <f aca="false">VLOOKUP(C5804,Products!$A$2:$E$62,3,FALSE())</f>
        <v>Electronics</v>
      </c>
      <c r="L5804" s="1" t="str">
        <f aca="false">TEXT(D5804,"yyyy-mm")</f>
        <v>2024-02</v>
      </c>
    </row>
    <row r="5805" customFormat="false" ht="15" hidden="false" customHeight="true" outlineLevel="0" collapsed="false">
      <c r="A5805" s="1" t="n">
        <v>5929</v>
      </c>
      <c r="B5805" s="1" t="n">
        <v>426</v>
      </c>
      <c r="C5805" s="1" t="n">
        <v>59</v>
      </c>
      <c r="D5805" s="1" t="s">
        <v>1361</v>
      </c>
      <c r="E5805" s="1" t="n">
        <v>8</v>
      </c>
      <c r="F5805" s="1" t="n">
        <v>438.89</v>
      </c>
      <c r="G5805" s="1" t="n">
        <v>0</v>
      </c>
      <c r="H5805" s="1" t="s">
        <v>1336</v>
      </c>
      <c r="I5805" s="1" t="n">
        <v>3511.12</v>
      </c>
      <c r="J5805" s="1" t="str">
        <f aca="false">VLOOKUP(B5805,Customers!$A$2:$G$502,6,FALSE())</f>
        <v>Consumer</v>
      </c>
      <c r="K5805" s="1" t="str">
        <f aca="false">VLOOKUP(C5805,Products!$A$2:$E$62,3,FALSE())</f>
        <v>Furniture</v>
      </c>
      <c r="L5805" s="1" t="str">
        <f aca="false">TEXT(D5805,"yyyy-mm")</f>
        <v>2024-01</v>
      </c>
    </row>
    <row r="5806" customFormat="false" ht="15" hidden="false" customHeight="true" outlineLevel="0" collapsed="false">
      <c r="A5806" s="1" t="n">
        <v>5930</v>
      </c>
      <c r="B5806" s="1" t="n">
        <v>158</v>
      </c>
      <c r="C5806" s="1" t="n">
        <v>5</v>
      </c>
      <c r="D5806" s="1" t="s">
        <v>1244</v>
      </c>
      <c r="E5806" s="1" t="n">
        <v>3</v>
      </c>
      <c r="F5806" s="1" t="n">
        <v>439.06</v>
      </c>
      <c r="G5806" s="1" t="n">
        <v>0.15</v>
      </c>
      <c r="H5806" s="1" t="s">
        <v>1346</v>
      </c>
      <c r="I5806" s="1" t="n">
        <v>1119.6</v>
      </c>
      <c r="J5806" s="1" t="str">
        <f aca="false">VLOOKUP(B5806,Customers!$A$2:$G$502,6,FALSE())</f>
        <v>Small Business</v>
      </c>
      <c r="K5806" s="1" t="str">
        <f aca="false">VLOOKUP(C5806,Products!$A$2:$E$62,3,FALSE())</f>
        <v>Electronics</v>
      </c>
      <c r="L5806" s="1" t="str">
        <f aca="false">TEXT(D5806,"yyyy-mm")</f>
        <v>2024-10</v>
      </c>
    </row>
    <row r="5807" customFormat="false" ht="15" hidden="false" customHeight="true" outlineLevel="0" collapsed="false">
      <c r="A5807" s="1" t="n">
        <v>5931</v>
      </c>
      <c r="B5807" s="1" t="n">
        <v>327</v>
      </c>
      <c r="C5807" s="1" t="n">
        <v>27</v>
      </c>
      <c r="D5807" s="1" t="s">
        <v>248</v>
      </c>
      <c r="E5807" s="1" t="n">
        <v>7</v>
      </c>
      <c r="F5807" s="1" t="n">
        <v>772.58</v>
      </c>
      <c r="G5807" s="1" t="n">
        <v>0.2</v>
      </c>
      <c r="H5807" s="1" t="s">
        <v>1336</v>
      </c>
      <c r="I5807" s="1" t="n">
        <v>4326.45</v>
      </c>
      <c r="J5807" s="1" t="str">
        <f aca="false">VLOOKUP(B5807,Customers!$A$2:$G$502,6,FALSE())</f>
        <v>Consumer</v>
      </c>
      <c r="K5807" s="1" t="str">
        <f aca="false">VLOOKUP(C5807,Products!$A$2:$E$62,3,FALSE())</f>
        <v>Office Supplies</v>
      </c>
      <c r="L5807" s="1" t="str">
        <f aca="false">TEXT(D5807,"yyyy-mm")</f>
        <v>2024-01</v>
      </c>
    </row>
    <row r="5808" customFormat="false" ht="15" hidden="false" customHeight="true" outlineLevel="0" collapsed="false">
      <c r="A5808" s="1" t="n">
        <v>5932</v>
      </c>
      <c r="B5808" s="1" t="n">
        <v>458</v>
      </c>
      <c r="C5808" s="1" t="n">
        <v>58</v>
      </c>
      <c r="D5808" s="1" t="s">
        <v>536</v>
      </c>
      <c r="E5808" s="1" t="n">
        <v>1</v>
      </c>
      <c r="F5808" s="1" t="n">
        <v>515.55</v>
      </c>
      <c r="G5808" s="1" t="n">
        <v>0</v>
      </c>
      <c r="H5808" s="1" t="s">
        <v>1336</v>
      </c>
      <c r="I5808" s="1" t="n">
        <v>515.55</v>
      </c>
      <c r="J5808" s="1" t="str">
        <f aca="false">VLOOKUP(B5808,Customers!$A$2:$G$502,6,FALSE())</f>
        <v>Small Business</v>
      </c>
      <c r="K5808" s="1" t="str">
        <f aca="false">VLOOKUP(C5808,Products!$A$2:$E$62,3,FALSE())</f>
        <v>Furniture</v>
      </c>
      <c r="L5808" s="1" t="str">
        <f aca="false">TEXT(D5808,"yyyy-mm")</f>
        <v>2024-01</v>
      </c>
    </row>
    <row r="5809" customFormat="false" ht="15" hidden="false" customHeight="true" outlineLevel="0" collapsed="false">
      <c r="A5809" s="1" t="n">
        <v>5933</v>
      </c>
      <c r="B5809" s="1" t="n">
        <v>113</v>
      </c>
      <c r="C5809" s="1" t="n">
        <v>49</v>
      </c>
      <c r="D5809" s="1" t="s">
        <v>902</v>
      </c>
      <c r="E5809" s="1" t="n">
        <v>1</v>
      </c>
      <c r="F5809" s="1" t="n">
        <v>325.17</v>
      </c>
      <c r="G5809" s="1" t="n">
        <v>0</v>
      </c>
      <c r="H5809" s="1" t="s">
        <v>1336</v>
      </c>
      <c r="I5809" s="1" t="n">
        <v>325.17</v>
      </c>
      <c r="J5809" s="1" t="str">
        <f aca="false">VLOOKUP(B5809,Customers!$A$2:$G$502,6,FALSE())</f>
        <v>Small Business</v>
      </c>
      <c r="K5809" s="1" t="str">
        <f aca="false">VLOOKUP(C5809,Products!$A$2:$E$62,3,FALSE())</f>
        <v>Software</v>
      </c>
      <c r="L5809" s="1" t="str">
        <f aca="false">TEXT(D5809,"yyyy-mm")</f>
        <v>2024-07</v>
      </c>
    </row>
    <row r="5810" customFormat="false" ht="15" hidden="false" customHeight="true" outlineLevel="0" collapsed="false">
      <c r="A5810" s="1" t="n">
        <v>5934</v>
      </c>
      <c r="B5810" s="1" t="n">
        <v>155</v>
      </c>
      <c r="C5810" s="1" t="n">
        <v>44</v>
      </c>
      <c r="D5810" s="1" t="s">
        <v>384</v>
      </c>
      <c r="E5810" s="1" t="n">
        <v>9</v>
      </c>
      <c r="F5810" s="1" t="n">
        <v>508.26</v>
      </c>
      <c r="G5810" s="1" t="n">
        <v>0</v>
      </c>
      <c r="H5810" s="1" t="s">
        <v>1336</v>
      </c>
      <c r="I5810" s="1" t="n">
        <v>4574.34</v>
      </c>
      <c r="J5810" s="1" t="str">
        <f aca="false">VLOOKUP(B5810,Customers!$A$2:$G$502,6,FALSE())</f>
        <v>Consumer</v>
      </c>
      <c r="K5810" s="1" t="str">
        <f aca="false">VLOOKUP(C5810,Products!$A$2:$E$62,3,FALSE())</f>
        <v>Software</v>
      </c>
      <c r="L5810" s="1" t="str">
        <f aca="false">TEXT(D5810,"yyyy-mm")</f>
        <v>2023-02</v>
      </c>
    </row>
    <row r="5811" customFormat="false" ht="15" hidden="false" customHeight="true" outlineLevel="0" collapsed="false">
      <c r="A5811" s="1" t="n">
        <v>5935</v>
      </c>
      <c r="B5811" s="1" t="n">
        <v>362</v>
      </c>
      <c r="C5811" s="1" t="n">
        <v>33</v>
      </c>
      <c r="D5811" s="1" t="s">
        <v>1212</v>
      </c>
      <c r="E5811" s="1" t="n">
        <v>8</v>
      </c>
      <c r="F5811" s="1" t="n">
        <v>190.1</v>
      </c>
      <c r="G5811" s="1" t="n">
        <v>0</v>
      </c>
      <c r="H5811" s="1" t="s">
        <v>1346</v>
      </c>
      <c r="I5811" s="1" t="n">
        <v>1520.8</v>
      </c>
      <c r="J5811" s="1" t="str">
        <f aca="false">VLOOKUP(B5811,Customers!$A$2:$G$502,6,FALSE())</f>
        <v>Consumer</v>
      </c>
      <c r="K5811" s="1" t="str">
        <f aca="false">VLOOKUP(C5811,Products!$A$2:$E$62,3,FALSE())</f>
        <v>Office Supplies</v>
      </c>
      <c r="L5811" s="1" t="str">
        <f aca="false">TEXT(D5811,"yyyy-mm")</f>
        <v>2024-09</v>
      </c>
    </row>
    <row r="5812" customFormat="false" ht="15" hidden="false" customHeight="true" outlineLevel="0" collapsed="false">
      <c r="A5812" s="1" t="n">
        <v>5936</v>
      </c>
      <c r="B5812" s="1" t="n">
        <v>174</v>
      </c>
      <c r="C5812" s="1" t="n">
        <v>57</v>
      </c>
      <c r="D5812" s="1" t="s">
        <v>1249</v>
      </c>
      <c r="E5812" s="1" t="n">
        <v>3</v>
      </c>
      <c r="F5812" s="1" t="n">
        <v>719.76</v>
      </c>
      <c r="G5812" s="1" t="n">
        <v>0</v>
      </c>
      <c r="H5812" s="1" t="s">
        <v>1336</v>
      </c>
      <c r="I5812" s="1" t="n">
        <v>2159.28</v>
      </c>
      <c r="J5812" s="1" t="str">
        <f aca="false">VLOOKUP(B5812,Customers!$A$2:$G$502,6,FALSE())</f>
        <v>Small Business</v>
      </c>
      <c r="K5812" s="1" t="str">
        <f aca="false">VLOOKUP(C5812,Products!$A$2:$E$62,3,FALSE())</f>
        <v>Furniture</v>
      </c>
      <c r="L5812" s="1" t="str">
        <f aca="false">TEXT(D5812,"yyyy-mm")</f>
        <v>2024-10</v>
      </c>
    </row>
    <row r="5813" customFormat="false" ht="15" hidden="false" customHeight="true" outlineLevel="0" collapsed="false">
      <c r="A5813" s="1" t="n">
        <v>5937</v>
      </c>
      <c r="B5813" s="1" t="n">
        <v>65</v>
      </c>
      <c r="C5813" s="1" t="n">
        <v>54</v>
      </c>
      <c r="D5813" s="1" t="s">
        <v>611</v>
      </c>
      <c r="E5813" s="1" t="n">
        <v>6</v>
      </c>
      <c r="F5813" s="1" t="n">
        <v>312.01</v>
      </c>
      <c r="G5813" s="1" t="n">
        <v>0.15</v>
      </c>
      <c r="H5813" s="1" t="s">
        <v>1336</v>
      </c>
      <c r="I5813" s="1" t="n">
        <v>1591.25</v>
      </c>
      <c r="J5813" s="1" t="str">
        <f aca="false">VLOOKUP(B5813,Customers!$A$2:$G$502,6,FALSE())</f>
        <v>Corporate</v>
      </c>
      <c r="K5813" s="1" t="str">
        <f aca="false">VLOOKUP(C5813,Products!$A$2:$E$62,3,FALSE())</f>
        <v>Software</v>
      </c>
      <c r="L5813" s="1" t="str">
        <f aca="false">TEXT(D5813,"yyyy-mm")</f>
        <v>2024-06</v>
      </c>
    </row>
    <row r="5814" customFormat="false" ht="15" hidden="false" customHeight="true" outlineLevel="0" collapsed="false">
      <c r="A5814" s="1" t="n">
        <v>5938</v>
      </c>
      <c r="B5814" s="1" t="n">
        <v>262</v>
      </c>
      <c r="C5814" s="1" t="n">
        <v>6</v>
      </c>
      <c r="D5814" s="1" t="s">
        <v>266</v>
      </c>
      <c r="E5814" s="1" t="n">
        <v>3</v>
      </c>
      <c r="F5814" s="1" t="n">
        <v>28.51</v>
      </c>
      <c r="G5814" s="1" t="n">
        <v>0.2</v>
      </c>
      <c r="H5814" s="1" t="s">
        <v>1370</v>
      </c>
      <c r="I5814" s="1" t="n">
        <v>68.42</v>
      </c>
      <c r="J5814" s="1" t="str">
        <f aca="false">VLOOKUP(B5814,Customers!$A$2:$G$502,6,FALSE())</f>
        <v>Small Business</v>
      </c>
      <c r="K5814" s="1" t="str">
        <f aca="false">VLOOKUP(C5814,Products!$A$2:$E$62,3,FALSE())</f>
        <v>Electronics</v>
      </c>
      <c r="L5814" s="1" t="str">
        <f aca="false">TEXT(D5814,"yyyy-mm")</f>
        <v>2023-09</v>
      </c>
    </row>
    <row r="5815" customFormat="false" ht="15" hidden="false" customHeight="true" outlineLevel="0" collapsed="false">
      <c r="A5815" s="1" t="n">
        <v>5939</v>
      </c>
      <c r="B5815" s="1" t="n">
        <v>171</v>
      </c>
      <c r="C5815" s="1" t="n">
        <v>55</v>
      </c>
      <c r="D5815" s="1" t="s">
        <v>697</v>
      </c>
      <c r="E5815" s="1" t="n">
        <v>4</v>
      </c>
      <c r="F5815" s="1" t="n">
        <v>123.38</v>
      </c>
      <c r="G5815" s="1" t="n">
        <v>0</v>
      </c>
      <c r="H5815" s="1" t="s">
        <v>1336</v>
      </c>
      <c r="I5815" s="1" t="n">
        <v>493.52</v>
      </c>
      <c r="J5815" s="1" t="str">
        <f aca="false">VLOOKUP(B5815,Customers!$A$2:$G$502,6,FALSE())</f>
        <v>Small Business</v>
      </c>
      <c r="K5815" s="1" t="str">
        <f aca="false">VLOOKUP(C5815,Products!$A$2:$E$62,3,FALSE())</f>
        <v>Furniture</v>
      </c>
      <c r="L5815" s="1" t="str">
        <f aca="false">TEXT(D5815,"yyyy-mm")</f>
        <v>2023-03</v>
      </c>
    </row>
    <row r="5816" customFormat="false" ht="15" hidden="false" customHeight="true" outlineLevel="0" collapsed="false">
      <c r="A5816" s="1" t="n">
        <v>5940</v>
      </c>
      <c r="B5816" s="1" t="n">
        <v>317</v>
      </c>
      <c r="C5816" s="1" t="n">
        <v>6</v>
      </c>
      <c r="D5816" s="1" t="s">
        <v>1544</v>
      </c>
      <c r="E5816" s="1" t="n">
        <v>1</v>
      </c>
      <c r="F5816" s="1" t="n">
        <v>28.51</v>
      </c>
      <c r="G5816" s="1" t="n">
        <v>0.2</v>
      </c>
      <c r="H5816" s="1" t="s">
        <v>1336</v>
      </c>
      <c r="I5816" s="1" t="n">
        <v>22.81</v>
      </c>
      <c r="J5816" s="1" t="str">
        <f aca="false">VLOOKUP(B5816,Customers!$A$2:$G$502,6,FALSE())</f>
        <v>Small Business</v>
      </c>
      <c r="K5816" s="1" t="str">
        <f aca="false">VLOOKUP(C5816,Products!$A$2:$E$62,3,FALSE())</f>
        <v>Electronics</v>
      </c>
      <c r="L5816" s="1" t="str">
        <f aca="false">TEXT(D5816,"yyyy-mm")</f>
        <v>2024-05</v>
      </c>
    </row>
    <row r="5817" customFormat="false" ht="15" hidden="false" customHeight="true" outlineLevel="0" collapsed="false">
      <c r="A5817" s="1" t="n">
        <v>5941</v>
      </c>
      <c r="B5817" s="1" t="n">
        <v>496</v>
      </c>
      <c r="C5817" s="1" t="n">
        <v>9</v>
      </c>
      <c r="D5817" s="1" t="s">
        <v>1401</v>
      </c>
      <c r="E5817" s="1" t="n">
        <v>5</v>
      </c>
      <c r="F5817" s="1" t="n">
        <v>203.1</v>
      </c>
      <c r="G5817" s="1" t="n">
        <v>0</v>
      </c>
      <c r="H5817" s="1" t="s">
        <v>1336</v>
      </c>
      <c r="I5817" s="1" t="n">
        <v>1015.5</v>
      </c>
      <c r="J5817" s="1" t="str">
        <f aca="false">VLOOKUP(B5817,Customers!$A$2:$G$502,6,FALSE())</f>
        <v>Small Business</v>
      </c>
      <c r="K5817" s="1" t="str">
        <f aca="false">VLOOKUP(C5817,Products!$A$2:$E$62,3,FALSE())</f>
        <v>Electronics</v>
      </c>
      <c r="L5817" s="1" t="str">
        <f aca="false">TEXT(D5817,"yyyy-mm")</f>
        <v>2024-11</v>
      </c>
    </row>
    <row r="5818" customFormat="false" ht="15" hidden="false" customHeight="true" outlineLevel="0" collapsed="false">
      <c r="A5818" s="1" t="n">
        <v>5942</v>
      </c>
      <c r="B5818" s="1" t="n">
        <v>214</v>
      </c>
      <c r="C5818" s="1" t="n">
        <v>46</v>
      </c>
      <c r="D5818" s="1" t="s">
        <v>416</v>
      </c>
      <c r="E5818" s="1" t="n">
        <v>1</v>
      </c>
      <c r="F5818" s="1" t="n">
        <v>94.92</v>
      </c>
      <c r="G5818" s="1" t="n">
        <v>0</v>
      </c>
      <c r="H5818" s="1" t="s">
        <v>1336</v>
      </c>
      <c r="I5818" s="1" t="n">
        <v>94.92</v>
      </c>
      <c r="J5818" s="1" t="str">
        <f aca="false">VLOOKUP(B5818,Customers!$A$2:$G$502,6,FALSE())</f>
        <v>Corporate</v>
      </c>
      <c r="K5818" s="1" t="str">
        <f aca="false">VLOOKUP(C5818,Products!$A$2:$E$62,3,FALSE())</f>
        <v>Software</v>
      </c>
      <c r="L5818" s="1" t="str">
        <f aca="false">TEXT(D5818,"yyyy-mm")</f>
        <v>2023-12</v>
      </c>
    </row>
    <row r="5819" customFormat="false" ht="15" hidden="false" customHeight="true" outlineLevel="0" collapsed="false">
      <c r="A5819" s="1" t="n">
        <v>5943</v>
      </c>
      <c r="B5819" s="1" t="n">
        <v>221</v>
      </c>
      <c r="C5819" s="1" t="n">
        <v>7</v>
      </c>
      <c r="D5819" s="1" t="s">
        <v>1517</v>
      </c>
      <c r="E5819" s="1" t="n">
        <v>1</v>
      </c>
      <c r="F5819" s="1" t="n">
        <v>460</v>
      </c>
      <c r="G5819" s="1" t="n">
        <v>0.1</v>
      </c>
      <c r="H5819" s="1" t="s">
        <v>1370</v>
      </c>
      <c r="I5819" s="1" t="n">
        <v>414</v>
      </c>
      <c r="J5819" s="1" t="str">
        <f aca="false">VLOOKUP(B5819,Customers!$A$2:$G$502,6,FALSE())</f>
        <v>Consumer</v>
      </c>
      <c r="K5819" s="1" t="str">
        <f aca="false">VLOOKUP(C5819,Products!$A$2:$E$62,3,FALSE())</f>
        <v>Electronics</v>
      </c>
      <c r="L5819" s="1" t="str">
        <f aca="false">TEXT(D5819,"yyyy-mm")</f>
        <v>2023-04</v>
      </c>
    </row>
    <row r="5820" customFormat="false" ht="15" hidden="false" customHeight="true" outlineLevel="0" collapsed="false">
      <c r="A5820" s="1" t="n">
        <v>5944</v>
      </c>
      <c r="B5820" s="1" t="n">
        <v>328</v>
      </c>
      <c r="C5820" s="1" t="n">
        <v>29</v>
      </c>
      <c r="D5820" s="1" t="s">
        <v>1341</v>
      </c>
      <c r="E5820" s="1" t="n">
        <v>7</v>
      </c>
      <c r="F5820" s="1" t="n">
        <v>54.62</v>
      </c>
      <c r="G5820" s="1" t="n">
        <v>0</v>
      </c>
      <c r="H5820" s="1" t="s">
        <v>1336</v>
      </c>
      <c r="I5820" s="1" t="n">
        <v>382.34</v>
      </c>
      <c r="J5820" s="1" t="str">
        <f aca="false">VLOOKUP(B5820,Customers!$A$2:$G$502,6,FALSE())</f>
        <v>Consumer</v>
      </c>
      <c r="K5820" s="1" t="str">
        <f aca="false">VLOOKUP(C5820,Products!$A$2:$E$62,3,FALSE())</f>
        <v>Office Supplies</v>
      </c>
      <c r="L5820" s="1" t="str">
        <f aca="false">TEXT(D5820,"yyyy-mm")</f>
        <v>2023-06</v>
      </c>
    </row>
    <row r="5821" customFormat="false" ht="15" hidden="false" customHeight="true" outlineLevel="0" collapsed="false">
      <c r="A5821" s="1" t="n">
        <v>5945</v>
      </c>
      <c r="B5821" s="1" t="n">
        <v>194</v>
      </c>
      <c r="C5821" s="1" t="n">
        <v>20</v>
      </c>
      <c r="D5821" s="1" t="s">
        <v>155</v>
      </c>
      <c r="E5821" s="1" t="n">
        <v>6</v>
      </c>
      <c r="F5821" s="1" t="n">
        <v>426.15</v>
      </c>
      <c r="G5821" s="1" t="n">
        <v>0.2</v>
      </c>
      <c r="H5821" s="1" t="s">
        <v>1336</v>
      </c>
      <c r="I5821" s="1" t="n">
        <v>2045.52</v>
      </c>
      <c r="J5821" s="1" t="str">
        <f aca="false">VLOOKUP(B5821,Customers!$A$2:$G$502,6,FALSE())</f>
        <v>Corporate</v>
      </c>
      <c r="K5821" s="1" t="str">
        <f aca="false">VLOOKUP(C5821,Products!$A$2:$E$62,3,FALSE())</f>
        <v>Office Supplies</v>
      </c>
      <c r="L5821" s="1" t="str">
        <f aca="false">TEXT(D5821,"yyyy-mm")</f>
        <v>2023-08</v>
      </c>
    </row>
    <row r="5822" customFormat="false" ht="15" hidden="false" customHeight="true" outlineLevel="0" collapsed="false">
      <c r="A5822" s="1" t="n">
        <v>5946</v>
      </c>
      <c r="B5822" s="1" t="n">
        <v>281</v>
      </c>
      <c r="C5822" s="1" t="n">
        <v>2</v>
      </c>
      <c r="D5822" s="1" t="s">
        <v>1566</v>
      </c>
      <c r="E5822" s="1" t="n">
        <v>2</v>
      </c>
      <c r="F5822" s="1" t="n">
        <v>498.15</v>
      </c>
      <c r="G5822" s="1" t="n">
        <v>0</v>
      </c>
      <c r="H5822" s="1" t="s">
        <v>1336</v>
      </c>
      <c r="I5822" s="1" t="n">
        <v>996.3</v>
      </c>
      <c r="J5822" s="1" t="str">
        <f aca="false">VLOOKUP(B5822,Customers!$A$2:$G$502,6,FALSE())</f>
        <v>Corporate</v>
      </c>
      <c r="K5822" s="1" t="str">
        <f aca="false">VLOOKUP(C5822,Products!$A$2:$E$62,3,FALSE())</f>
        <v>Electronics</v>
      </c>
      <c r="L5822" s="1" t="str">
        <f aca="false">TEXT(D5822,"yyyy-mm")</f>
        <v>2024-12</v>
      </c>
    </row>
    <row r="5823" customFormat="false" ht="15" hidden="false" customHeight="true" outlineLevel="0" collapsed="false">
      <c r="A5823" s="1" t="n">
        <v>5947</v>
      </c>
      <c r="B5823" s="1" t="n">
        <v>467</v>
      </c>
      <c r="C5823" s="1" t="n">
        <v>47</v>
      </c>
      <c r="D5823" s="1" t="s">
        <v>146</v>
      </c>
      <c r="E5823" s="1" t="n">
        <v>2</v>
      </c>
      <c r="F5823" s="1" t="n">
        <v>506.19</v>
      </c>
      <c r="G5823" s="1" t="n">
        <v>0</v>
      </c>
      <c r="H5823" s="1" t="s">
        <v>1336</v>
      </c>
      <c r="I5823" s="1" t="n">
        <v>1012.38</v>
      </c>
      <c r="J5823" s="1" t="str">
        <f aca="false">VLOOKUP(B5823,Customers!$A$2:$G$502,6,FALSE())</f>
        <v>Corporate</v>
      </c>
      <c r="K5823" s="1" t="str">
        <f aca="false">VLOOKUP(C5823,Products!$A$2:$E$62,3,FALSE())</f>
        <v>Software</v>
      </c>
      <c r="L5823" s="1" t="str">
        <f aca="false">TEXT(D5823,"yyyy-mm")</f>
        <v>2023-08</v>
      </c>
    </row>
    <row r="5824" customFormat="false" ht="15" hidden="false" customHeight="true" outlineLevel="0" collapsed="false">
      <c r="A5824" s="1" t="n">
        <v>5948</v>
      </c>
      <c r="B5824" s="1" t="n">
        <v>255</v>
      </c>
      <c r="C5824" s="1" t="n">
        <v>16</v>
      </c>
      <c r="D5824" s="1" t="s">
        <v>1573</v>
      </c>
      <c r="E5824" s="1" t="n">
        <v>7</v>
      </c>
      <c r="F5824" s="1" t="n">
        <v>330.91</v>
      </c>
      <c r="G5824" s="1" t="n">
        <v>0</v>
      </c>
      <c r="H5824" s="1" t="s">
        <v>1336</v>
      </c>
      <c r="I5824" s="1" t="n">
        <v>2316.37</v>
      </c>
      <c r="J5824" s="1" t="str">
        <f aca="false">VLOOKUP(B5824,Customers!$A$2:$G$502,6,FALSE())</f>
        <v>Corporate</v>
      </c>
      <c r="K5824" s="1" t="str">
        <f aca="false">VLOOKUP(C5824,Products!$A$2:$E$62,3,FALSE())</f>
        <v>Electronics</v>
      </c>
      <c r="L5824" s="1" t="str">
        <f aca="false">TEXT(D5824,"yyyy-mm")</f>
        <v>2023-01</v>
      </c>
    </row>
    <row r="5825" customFormat="false" ht="15" hidden="false" customHeight="true" outlineLevel="0" collapsed="false">
      <c r="A5825" s="1" t="n">
        <v>5949</v>
      </c>
      <c r="B5825" s="1" t="n">
        <v>389</v>
      </c>
      <c r="C5825" s="1" t="n">
        <v>18</v>
      </c>
      <c r="D5825" s="1" t="s">
        <v>1538</v>
      </c>
      <c r="E5825" s="1" t="n">
        <v>1</v>
      </c>
      <c r="F5825" s="1" t="n">
        <v>747.34</v>
      </c>
      <c r="G5825" s="1" t="n">
        <v>0.15</v>
      </c>
      <c r="H5825" s="1" t="s">
        <v>1336</v>
      </c>
      <c r="I5825" s="1" t="n">
        <v>635.24</v>
      </c>
      <c r="J5825" s="1" t="str">
        <f aca="false">VLOOKUP(B5825,Customers!$A$2:$G$502,6,FALSE())</f>
        <v>Corporate</v>
      </c>
      <c r="K5825" s="1" t="str">
        <f aca="false">VLOOKUP(C5825,Products!$A$2:$E$62,3,FALSE())</f>
        <v>Electronics</v>
      </c>
      <c r="L5825" s="1" t="str">
        <f aca="false">TEXT(D5825,"yyyy-mm")</f>
        <v>2024-10</v>
      </c>
    </row>
    <row r="5826" customFormat="false" ht="15" hidden="false" customHeight="true" outlineLevel="0" collapsed="false">
      <c r="A5826" s="1" t="n">
        <v>5950</v>
      </c>
      <c r="B5826" s="1" t="n">
        <v>451</v>
      </c>
      <c r="C5826" s="1" t="n">
        <v>25</v>
      </c>
      <c r="D5826" s="1" t="s">
        <v>1680</v>
      </c>
      <c r="E5826" s="1" t="n">
        <v>2</v>
      </c>
      <c r="F5826" s="1" t="n">
        <v>300.49</v>
      </c>
      <c r="G5826" s="1" t="n">
        <v>0</v>
      </c>
      <c r="H5826" s="1" t="s">
        <v>1346</v>
      </c>
      <c r="I5826" s="1" t="n">
        <v>600.98</v>
      </c>
      <c r="J5826" s="1" t="str">
        <f aca="false">VLOOKUP(B5826,Customers!$A$2:$G$502,6,FALSE())</f>
        <v>Corporate</v>
      </c>
      <c r="K5826" s="1" t="str">
        <f aca="false">VLOOKUP(C5826,Products!$A$2:$E$62,3,FALSE())</f>
        <v>Office Supplies</v>
      </c>
      <c r="L5826" s="1" t="str">
        <f aca="false">TEXT(D5826,"yyyy-mm")</f>
        <v>2023-05</v>
      </c>
    </row>
    <row r="5827" customFormat="false" ht="15" hidden="false" customHeight="true" outlineLevel="0" collapsed="false">
      <c r="A5827" s="1" t="n">
        <v>5951</v>
      </c>
      <c r="B5827" s="1" t="n">
        <v>178</v>
      </c>
      <c r="C5827" s="1" t="n">
        <v>60</v>
      </c>
      <c r="D5827" s="1" t="s">
        <v>1508</v>
      </c>
      <c r="E5827" s="1" t="n">
        <v>8</v>
      </c>
      <c r="F5827" s="1" t="n">
        <v>584.98</v>
      </c>
      <c r="G5827" s="1" t="n">
        <v>0.2</v>
      </c>
      <c r="H5827" s="1" t="s">
        <v>1336</v>
      </c>
      <c r="I5827" s="1" t="n">
        <v>3743.87</v>
      </c>
      <c r="J5827" s="1" t="str">
        <f aca="false">VLOOKUP(B5827,Customers!$A$2:$G$502,6,FALSE())</f>
        <v>Consumer</v>
      </c>
      <c r="K5827" s="1" t="str">
        <f aca="false">VLOOKUP(C5827,Products!$A$2:$E$62,3,FALSE())</f>
        <v>Furniture</v>
      </c>
      <c r="L5827" s="1" t="str">
        <f aca="false">TEXT(D5827,"yyyy-mm")</f>
        <v>2024-01</v>
      </c>
    </row>
    <row r="5828" customFormat="false" ht="15" hidden="false" customHeight="true" outlineLevel="0" collapsed="false">
      <c r="A5828" s="1" t="n">
        <v>5952</v>
      </c>
      <c r="B5828" s="1" t="n">
        <v>408</v>
      </c>
      <c r="C5828" s="1" t="n">
        <v>23</v>
      </c>
      <c r="D5828" s="1" t="s">
        <v>191</v>
      </c>
      <c r="E5828" s="1" t="n">
        <v>6</v>
      </c>
      <c r="F5828" s="1" t="n">
        <v>188.73</v>
      </c>
      <c r="G5828" s="1" t="n">
        <v>0.1</v>
      </c>
      <c r="H5828" s="1" t="s">
        <v>1336</v>
      </c>
      <c r="I5828" s="1" t="n">
        <v>1019.14</v>
      </c>
      <c r="J5828" s="1" t="str">
        <f aca="false">VLOOKUP(B5828,Customers!$A$2:$G$502,6,FALSE())</f>
        <v>Small Business</v>
      </c>
      <c r="K5828" s="1" t="str">
        <f aca="false">VLOOKUP(C5828,Products!$A$2:$E$62,3,FALSE())</f>
        <v>Office Supplies</v>
      </c>
      <c r="L5828" s="1" t="str">
        <f aca="false">TEXT(D5828,"yyyy-mm")</f>
        <v>2024-03</v>
      </c>
    </row>
    <row r="5829" customFormat="false" ht="15" hidden="false" customHeight="true" outlineLevel="0" collapsed="false">
      <c r="A5829" s="1" t="n">
        <v>5953</v>
      </c>
      <c r="B5829" s="1" t="n">
        <v>309</v>
      </c>
      <c r="C5829" s="1" t="n">
        <v>38</v>
      </c>
      <c r="D5829" s="1" t="s">
        <v>39</v>
      </c>
      <c r="E5829" s="1" t="n">
        <v>2</v>
      </c>
      <c r="F5829" s="1" t="n">
        <v>521.63</v>
      </c>
      <c r="G5829" s="1" t="n">
        <v>0</v>
      </c>
      <c r="H5829" s="1" t="s">
        <v>1336</v>
      </c>
      <c r="I5829" s="1" t="n">
        <v>1043.26</v>
      </c>
      <c r="J5829" s="1" t="str">
        <f aca="false">VLOOKUP(B5829,Customers!$A$2:$G$502,6,FALSE())</f>
        <v>Unknown</v>
      </c>
      <c r="K5829" s="1" t="str">
        <f aca="false">VLOOKUP(C5829,Products!$A$2:$E$62,3,FALSE())</f>
        <v>Software</v>
      </c>
      <c r="L5829" s="1" t="str">
        <f aca="false">TEXT(D5829,"yyyy-mm")</f>
        <v>2023-10</v>
      </c>
    </row>
    <row r="5830" customFormat="false" ht="15" hidden="false" customHeight="true" outlineLevel="0" collapsed="false">
      <c r="A5830" s="1" t="n">
        <v>5954</v>
      </c>
      <c r="B5830" s="1" t="n">
        <v>259</v>
      </c>
      <c r="C5830" s="1" t="n">
        <v>33</v>
      </c>
      <c r="D5830" s="1" t="s">
        <v>1433</v>
      </c>
      <c r="E5830" s="1" t="n">
        <v>7</v>
      </c>
      <c r="F5830" s="1" t="n">
        <v>190.1</v>
      </c>
      <c r="G5830" s="1" t="n">
        <v>0.2</v>
      </c>
      <c r="H5830" s="1" t="s">
        <v>1336</v>
      </c>
      <c r="I5830" s="1" t="n">
        <v>1064.56</v>
      </c>
      <c r="J5830" s="1" t="str">
        <f aca="false">VLOOKUP(B5830,Customers!$A$2:$G$502,6,FALSE())</f>
        <v>Consumer</v>
      </c>
      <c r="K5830" s="1" t="str">
        <f aca="false">VLOOKUP(C5830,Products!$A$2:$E$62,3,FALSE())</f>
        <v>Office Supplies</v>
      </c>
      <c r="L5830" s="1" t="str">
        <f aca="false">TEXT(D5830,"yyyy-mm")</f>
        <v>2023-12</v>
      </c>
    </row>
    <row r="5831" customFormat="false" ht="15" hidden="false" customHeight="true" outlineLevel="0" collapsed="false">
      <c r="A5831" s="1" t="n">
        <v>5955</v>
      </c>
      <c r="B5831" s="1" t="n">
        <v>272</v>
      </c>
      <c r="C5831" s="1" t="n">
        <v>55</v>
      </c>
      <c r="D5831" s="1" t="s">
        <v>1573</v>
      </c>
      <c r="E5831" s="1" t="n">
        <v>4</v>
      </c>
      <c r="F5831" s="1" t="n">
        <v>123.38</v>
      </c>
      <c r="G5831" s="1" t="n">
        <v>0.15</v>
      </c>
      <c r="H5831" s="1" t="s">
        <v>1336</v>
      </c>
      <c r="I5831" s="1" t="n">
        <v>419.49</v>
      </c>
      <c r="J5831" s="1" t="str">
        <f aca="false">VLOOKUP(B5831,Customers!$A$2:$G$502,6,FALSE())</f>
        <v>Consumer</v>
      </c>
      <c r="K5831" s="1" t="str">
        <f aca="false">VLOOKUP(C5831,Products!$A$2:$E$62,3,FALSE())</f>
        <v>Furniture</v>
      </c>
      <c r="L5831" s="1" t="str">
        <f aca="false">TEXT(D5831,"yyyy-mm")</f>
        <v>2023-01</v>
      </c>
    </row>
    <row r="5832" customFormat="false" ht="15" hidden="false" customHeight="true" outlineLevel="0" collapsed="false">
      <c r="A5832" s="1" t="n">
        <v>5956</v>
      </c>
      <c r="B5832" s="1" t="n">
        <v>261</v>
      </c>
      <c r="C5832" s="1" t="n">
        <v>16</v>
      </c>
      <c r="D5832" s="1" t="s">
        <v>1623</v>
      </c>
      <c r="E5832" s="1" t="n">
        <v>2</v>
      </c>
      <c r="F5832" s="1" t="n">
        <v>330.91</v>
      </c>
      <c r="G5832" s="1" t="n">
        <v>0.05</v>
      </c>
      <c r="H5832" s="1" t="s">
        <v>1336</v>
      </c>
      <c r="I5832" s="1" t="n">
        <v>628.73</v>
      </c>
      <c r="J5832" s="1" t="str">
        <f aca="false">VLOOKUP(B5832,Customers!$A$2:$G$502,6,FALSE())</f>
        <v>Consumer</v>
      </c>
      <c r="K5832" s="1" t="str">
        <f aca="false">VLOOKUP(C5832,Products!$A$2:$E$62,3,FALSE())</f>
        <v>Electronics</v>
      </c>
      <c r="L5832" s="1" t="str">
        <f aca="false">TEXT(D5832,"yyyy-mm")</f>
        <v>2024-09</v>
      </c>
    </row>
    <row r="5833" customFormat="false" ht="15" hidden="false" customHeight="true" outlineLevel="0" collapsed="false">
      <c r="A5833" s="1" t="n">
        <v>5957</v>
      </c>
      <c r="B5833" s="1" t="n">
        <v>288</v>
      </c>
      <c r="C5833" s="1" t="n">
        <v>28</v>
      </c>
      <c r="D5833" s="1" t="s">
        <v>536</v>
      </c>
      <c r="E5833" s="1" t="n">
        <v>6</v>
      </c>
      <c r="F5833" s="1" t="n">
        <v>505.23</v>
      </c>
      <c r="G5833" s="1" t="n">
        <v>0.15</v>
      </c>
      <c r="H5833" s="1" t="s">
        <v>1336</v>
      </c>
      <c r="I5833" s="1" t="n">
        <v>2576.67</v>
      </c>
      <c r="J5833" s="1" t="str">
        <f aca="false">VLOOKUP(B5833,Customers!$A$2:$G$502,6,FALSE())</f>
        <v>Small Business</v>
      </c>
      <c r="K5833" s="1" t="str">
        <f aca="false">VLOOKUP(C5833,Products!$A$2:$E$62,3,FALSE())</f>
        <v>Office Supplies</v>
      </c>
      <c r="L5833" s="1" t="str">
        <f aca="false">TEXT(D5833,"yyyy-mm")</f>
        <v>2024-01</v>
      </c>
    </row>
    <row r="5834" customFormat="false" ht="15" hidden="false" customHeight="true" outlineLevel="0" collapsed="false">
      <c r="A5834" s="1" t="n">
        <v>5958</v>
      </c>
      <c r="B5834" s="1" t="n">
        <v>388</v>
      </c>
      <c r="C5834" s="1" t="n">
        <v>51</v>
      </c>
      <c r="D5834" s="1" t="s">
        <v>363</v>
      </c>
      <c r="E5834" s="1" t="n">
        <v>9</v>
      </c>
      <c r="F5834" s="1" t="n">
        <v>30.16</v>
      </c>
      <c r="G5834" s="1" t="n">
        <v>0.15</v>
      </c>
      <c r="H5834" s="1" t="s">
        <v>1336</v>
      </c>
      <c r="I5834" s="1" t="n">
        <v>230.72</v>
      </c>
      <c r="J5834" s="1" t="str">
        <f aca="false">VLOOKUP(B5834,Customers!$A$2:$G$502,6,FALSE())</f>
        <v>Corporate</v>
      </c>
      <c r="K5834" s="1" t="str">
        <f aca="false">VLOOKUP(C5834,Products!$A$2:$E$62,3,FALSE())</f>
        <v>Software</v>
      </c>
      <c r="L5834" s="1" t="str">
        <f aca="false">TEXT(D5834,"yyyy-mm")</f>
        <v>2024-10</v>
      </c>
    </row>
    <row r="5835" customFormat="false" ht="15" hidden="false" customHeight="true" outlineLevel="0" collapsed="false">
      <c r="A5835" s="1" t="n">
        <v>5959</v>
      </c>
      <c r="B5835" s="1" t="n">
        <v>215</v>
      </c>
      <c r="C5835" s="1" t="n">
        <v>11</v>
      </c>
      <c r="D5835" s="1" t="s">
        <v>1401</v>
      </c>
      <c r="E5835" s="1" t="n">
        <v>9</v>
      </c>
      <c r="F5835" s="1" t="n">
        <v>328.39</v>
      </c>
      <c r="G5835" s="1" t="n">
        <v>0</v>
      </c>
      <c r="H5835" s="1" t="s">
        <v>1336</v>
      </c>
      <c r="I5835" s="1" t="n">
        <v>2955.51</v>
      </c>
      <c r="J5835" s="1" t="str">
        <f aca="false">VLOOKUP(B5835,Customers!$A$2:$G$502,6,FALSE())</f>
        <v>Corporate</v>
      </c>
      <c r="K5835" s="1" t="str">
        <f aca="false">VLOOKUP(C5835,Products!$A$2:$E$62,3,FALSE())</f>
        <v>Electronics</v>
      </c>
      <c r="L5835" s="1" t="str">
        <f aca="false">TEXT(D5835,"yyyy-mm")</f>
        <v>2024-11</v>
      </c>
    </row>
    <row r="5836" customFormat="false" ht="15" hidden="false" customHeight="true" outlineLevel="0" collapsed="false">
      <c r="A5836" s="1" t="n">
        <v>5960</v>
      </c>
      <c r="B5836" s="1" t="n">
        <v>468</v>
      </c>
      <c r="C5836" s="1" t="n">
        <v>11</v>
      </c>
      <c r="D5836" s="1" t="s">
        <v>1641</v>
      </c>
      <c r="E5836" s="1" t="n">
        <v>8</v>
      </c>
      <c r="F5836" s="1" t="n">
        <v>328.39</v>
      </c>
      <c r="G5836" s="1" t="n">
        <v>0</v>
      </c>
      <c r="H5836" s="1" t="s">
        <v>1346</v>
      </c>
      <c r="I5836" s="1" t="n">
        <v>2627.12</v>
      </c>
      <c r="J5836" s="1" t="str">
        <f aca="false">VLOOKUP(B5836,Customers!$A$2:$G$502,6,FALSE())</f>
        <v>Small Business</v>
      </c>
      <c r="K5836" s="1" t="str">
        <f aca="false">VLOOKUP(C5836,Products!$A$2:$E$62,3,FALSE())</f>
        <v>Electronics</v>
      </c>
      <c r="L5836" s="1" t="str">
        <f aca="false">TEXT(D5836,"yyyy-mm")</f>
        <v>2024-04</v>
      </c>
    </row>
    <row r="5837" customFormat="false" ht="15" hidden="false" customHeight="true" outlineLevel="0" collapsed="false">
      <c r="A5837" s="1" t="n">
        <v>5961</v>
      </c>
      <c r="B5837" s="1" t="n">
        <v>232</v>
      </c>
      <c r="C5837" s="1" t="n">
        <v>53</v>
      </c>
      <c r="D5837" s="1" t="s">
        <v>325</v>
      </c>
      <c r="E5837" s="1" t="n">
        <v>3</v>
      </c>
      <c r="F5837" s="1" t="n">
        <v>509.98</v>
      </c>
      <c r="G5837" s="1" t="n">
        <v>0</v>
      </c>
      <c r="H5837" s="1" t="s">
        <v>1336</v>
      </c>
      <c r="I5837" s="1" t="n">
        <v>1529.94</v>
      </c>
      <c r="J5837" s="1" t="str">
        <f aca="false">VLOOKUP(B5837,Customers!$A$2:$G$502,6,FALSE())</f>
        <v>Corporate</v>
      </c>
      <c r="K5837" s="1" t="str">
        <f aca="false">VLOOKUP(C5837,Products!$A$2:$E$62,3,FALSE())</f>
        <v>Software</v>
      </c>
      <c r="L5837" s="1" t="str">
        <f aca="false">TEXT(D5837,"yyyy-mm")</f>
        <v>2023-12</v>
      </c>
    </row>
    <row r="5838" customFormat="false" ht="15" hidden="false" customHeight="true" outlineLevel="0" collapsed="false">
      <c r="A5838" s="1" t="n">
        <v>5962</v>
      </c>
      <c r="B5838" s="1" t="n">
        <v>249</v>
      </c>
      <c r="C5838" s="1" t="n">
        <v>22</v>
      </c>
      <c r="D5838" s="1" t="s">
        <v>1057</v>
      </c>
      <c r="E5838" s="1" t="n">
        <v>3</v>
      </c>
      <c r="F5838" s="1" t="n">
        <v>38.57</v>
      </c>
      <c r="G5838" s="1" t="n">
        <v>0</v>
      </c>
      <c r="H5838" s="1" t="s">
        <v>1336</v>
      </c>
      <c r="I5838" s="1" t="n">
        <v>115.71</v>
      </c>
      <c r="J5838" s="1" t="str">
        <f aca="false">VLOOKUP(B5838,Customers!$A$2:$G$502,6,FALSE())</f>
        <v>Consumer</v>
      </c>
      <c r="K5838" s="1" t="str">
        <f aca="false">VLOOKUP(C5838,Products!$A$2:$E$62,3,FALSE())</f>
        <v>Office Supplies</v>
      </c>
      <c r="L5838" s="1" t="str">
        <f aca="false">TEXT(D5838,"yyyy-mm")</f>
        <v>2024-11</v>
      </c>
    </row>
    <row r="5839" customFormat="false" ht="15" hidden="false" customHeight="true" outlineLevel="0" collapsed="false">
      <c r="A5839" s="1" t="n">
        <v>5963</v>
      </c>
      <c r="B5839" s="1" t="n">
        <v>454</v>
      </c>
      <c r="C5839" s="1" t="n">
        <v>30</v>
      </c>
      <c r="D5839" s="1" t="s">
        <v>632</v>
      </c>
      <c r="E5839" s="1" t="n">
        <v>2</v>
      </c>
      <c r="F5839" s="1" t="n">
        <v>33.32</v>
      </c>
      <c r="G5839" s="1" t="n">
        <v>0</v>
      </c>
      <c r="H5839" s="1" t="s">
        <v>1336</v>
      </c>
      <c r="I5839" s="1" t="n">
        <v>66.64</v>
      </c>
      <c r="J5839" s="1" t="str">
        <f aca="false">VLOOKUP(B5839,Customers!$A$2:$G$502,6,FALSE())</f>
        <v>Consumer</v>
      </c>
      <c r="K5839" s="1" t="str">
        <f aca="false">VLOOKUP(C5839,Products!$A$2:$E$62,3,FALSE())</f>
        <v>Office Supplies</v>
      </c>
      <c r="L5839" s="1" t="str">
        <f aca="false">TEXT(D5839,"yyyy-mm")</f>
        <v>2023-10</v>
      </c>
    </row>
    <row r="5840" customFormat="false" ht="15" hidden="false" customHeight="true" outlineLevel="0" collapsed="false">
      <c r="A5840" s="1" t="n">
        <v>5964</v>
      </c>
      <c r="B5840" s="1" t="n">
        <v>129</v>
      </c>
      <c r="C5840" s="1" t="n">
        <v>31</v>
      </c>
      <c r="D5840" s="1" t="s">
        <v>185</v>
      </c>
      <c r="E5840" s="1" t="n">
        <v>5</v>
      </c>
      <c r="F5840" s="1" t="n">
        <v>224.86</v>
      </c>
      <c r="G5840" s="1" t="n">
        <v>0</v>
      </c>
      <c r="H5840" s="1" t="s">
        <v>1336</v>
      </c>
      <c r="I5840" s="1" t="n">
        <v>1124.3</v>
      </c>
      <c r="J5840" s="1" t="str">
        <f aca="false">VLOOKUP(B5840,Customers!$A$2:$G$502,6,FALSE())</f>
        <v>Corporate</v>
      </c>
      <c r="K5840" s="1" t="str">
        <f aca="false">VLOOKUP(C5840,Products!$A$2:$E$62,3,FALSE())</f>
        <v>Office Supplies</v>
      </c>
      <c r="L5840" s="1" t="str">
        <f aca="false">TEXT(D5840,"yyyy-mm")</f>
        <v>2024-05</v>
      </c>
    </row>
    <row r="5841" customFormat="false" ht="15" hidden="false" customHeight="true" outlineLevel="0" collapsed="false">
      <c r="A5841" s="1" t="n">
        <v>5965</v>
      </c>
      <c r="B5841" s="1" t="n">
        <v>423</v>
      </c>
      <c r="C5841" s="1" t="n">
        <v>58</v>
      </c>
      <c r="D5841" s="1" t="s">
        <v>1493</v>
      </c>
      <c r="E5841" s="1" t="n">
        <v>4</v>
      </c>
      <c r="F5841" s="1" t="n">
        <v>515.55</v>
      </c>
      <c r="G5841" s="1" t="n">
        <v>0</v>
      </c>
      <c r="H5841" s="1" t="s">
        <v>1336</v>
      </c>
      <c r="I5841" s="1" t="n">
        <v>2062.2</v>
      </c>
      <c r="J5841" s="1" t="str">
        <f aca="false">VLOOKUP(B5841,Customers!$A$2:$G$502,6,FALSE())</f>
        <v>Small Business</v>
      </c>
      <c r="K5841" s="1" t="str">
        <f aca="false">VLOOKUP(C5841,Products!$A$2:$E$62,3,FALSE())</f>
        <v>Furniture</v>
      </c>
      <c r="L5841" s="1" t="str">
        <f aca="false">TEXT(D5841,"yyyy-mm")</f>
        <v>2023-10</v>
      </c>
    </row>
    <row r="5842" customFormat="false" ht="15" hidden="false" customHeight="true" outlineLevel="0" collapsed="false">
      <c r="A5842" s="1" t="n">
        <v>5966</v>
      </c>
      <c r="B5842" s="1" t="n">
        <v>466</v>
      </c>
      <c r="C5842" s="1" t="n">
        <v>35</v>
      </c>
      <c r="D5842" s="1" t="s">
        <v>1479</v>
      </c>
      <c r="E5842" s="1" t="n">
        <v>7</v>
      </c>
      <c r="F5842" s="1" t="n">
        <v>75.78</v>
      </c>
      <c r="G5842" s="1" t="n">
        <v>0.1</v>
      </c>
      <c r="H5842" s="1" t="s">
        <v>1336</v>
      </c>
      <c r="I5842" s="1" t="n">
        <v>477.41</v>
      </c>
      <c r="J5842" s="1" t="str">
        <f aca="false">VLOOKUP(B5842,Customers!$A$2:$G$502,6,FALSE())</f>
        <v>Consumer</v>
      </c>
      <c r="K5842" s="1" t="str">
        <f aca="false">VLOOKUP(C5842,Products!$A$2:$E$62,3,FALSE())</f>
        <v>Software</v>
      </c>
      <c r="L5842" s="1" t="str">
        <f aca="false">TEXT(D5842,"yyyy-mm")</f>
        <v>2024-10</v>
      </c>
    </row>
    <row r="5843" customFormat="false" ht="15" hidden="false" customHeight="true" outlineLevel="0" collapsed="false">
      <c r="A5843" s="1" t="n">
        <v>5967</v>
      </c>
      <c r="B5843" s="1" t="n">
        <v>101</v>
      </c>
      <c r="C5843" s="1" t="n">
        <v>49</v>
      </c>
      <c r="D5843" s="1" t="s">
        <v>1509</v>
      </c>
      <c r="E5843" s="1" t="n">
        <v>4</v>
      </c>
      <c r="F5843" s="1" t="n">
        <v>325.17</v>
      </c>
      <c r="G5843" s="1" t="n">
        <v>0.05</v>
      </c>
      <c r="H5843" s="1" t="s">
        <v>1346</v>
      </c>
      <c r="I5843" s="1" t="n">
        <v>1235.65</v>
      </c>
      <c r="J5843" s="1" t="str">
        <f aca="false">VLOOKUP(B5843,Customers!$A$2:$G$502,6,FALSE())</f>
        <v>Corporate</v>
      </c>
      <c r="K5843" s="1" t="str">
        <f aca="false">VLOOKUP(C5843,Products!$A$2:$E$62,3,FALSE())</f>
        <v>Software</v>
      </c>
      <c r="L5843" s="1" t="str">
        <f aca="false">TEXT(D5843,"yyyy-mm")</f>
        <v>2024-02</v>
      </c>
    </row>
    <row r="5844" customFormat="false" ht="15" hidden="false" customHeight="true" outlineLevel="0" collapsed="false">
      <c r="A5844" s="1" t="n">
        <v>5968</v>
      </c>
      <c r="B5844" s="1" t="n">
        <v>203</v>
      </c>
      <c r="C5844" s="1" t="n">
        <v>40</v>
      </c>
      <c r="D5844" s="1" t="s">
        <v>717</v>
      </c>
      <c r="E5844" s="1" t="n">
        <v>9</v>
      </c>
      <c r="F5844" s="1" t="n">
        <v>193.02</v>
      </c>
      <c r="G5844" s="1" t="n">
        <v>0</v>
      </c>
      <c r="H5844" s="1" t="s">
        <v>1346</v>
      </c>
      <c r="I5844" s="1" t="n">
        <v>1737.18</v>
      </c>
      <c r="J5844" s="1" t="str">
        <f aca="false">VLOOKUP(B5844,Customers!$A$2:$G$502,6,FALSE())</f>
        <v>Corporate</v>
      </c>
      <c r="K5844" s="1" t="str">
        <f aca="false">VLOOKUP(C5844,Products!$A$2:$E$62,3,FALSE())</f>
        <v>Software</v>
      </c>
      <c r="L5844" s="1" t="str">
        <f aca="false">TEXT(D5844,"yyyy-mm")</f>
        <v>2024-10</v>
      </c>
    </row>
    <row r="5845" customFormat="false" ht="15" hidden="false" customHeight="true" outlineLevel="0" collapsed="false">
      <c r="A5845" s="1" t="n">
        <v>5969</v>
      </c>
      <c r="B5845" s="1" t="n">
        <v>201</v>
      </c>
      <c r="C5845" s="1" t="n">
        <v>27</v>
      </c>
      <c r="D5845" s="1" t="s">
        <v>1057</v>
      </c>
      <c r="E5845" s="1" t="n">
        <v>2</v>
      </c>
      <c r="F5845" s="1" t="n">
        <v>772.58</v>
      </c>
      <c r="G5845" s="1" t="n">
        <v>0</v>
      </c>
      <c r="H5845" s="1" t="s">
        <v>1336</v>
      </c>
      <c r="I5845" s="1" t="n">
        <v>1545.16</v>
      </c>
      <c r="J5845" s="1" t="str">
        <f aca="false">VLOOKUP(B5845,Customers!$A$2:$G$502,6,FALSE())</f>
        <v>Corporate</v>
      </c>
      <c r="K5845" s="1" t="str">
        <f aca="false">VLOOKUP(C5845,Products!$A$2:$E$62,3,FALSE())</f>
        <v>Office Supplies</v>
      </c>
      <c r="L5845" s="1" t="str">
        <f aca="false">TEXT(D5845,"yyyy-mm")</f>
        <v>2024-11</v>
      </c>
    </row>
    <row r="5846" customFormat="false" ht="15" hidden="false" customHeight="true" outlineLevel="0" collapsed="false">
      <c r="A5846" s="1" t="n">
        <v>5970</v>
      </c>
      <c r="B5846" s="1" t="n">
        <v>113</v>
      </c>
      <c r="C5846" s="1" t="n">
        <v>23</v>
      </c>
      <c r="D5846" s="1" t="s">
        <v>1491</v>
      </c>
      <c r="E5846" s="1" t="n">
        <v>6</v>
      </c>
      <c r="F5846" s="1" t="n">
        <v>188.73</v>
      </c>
      <c r="G5846" s="1" t="n">
        <v>0.05</v>
      </c>
      <c r="H5846" s="1" t="s">
        <v>1336</v>
      </c>
      <c r="I5846" s="1" t="n">
        <v>1075.76</v>
      </c>
      <c r="J5846" s="1" t="str">
        <f aca="false">VLOOKUP(B5846,Customers!$A$2:$G$502,6,FALSE())</f>
        <v>Small Business</v>
      </c>
      <c r="K5846" s="1" t="str">
        <f aca="false">VLOOKUP(C5846,Products!$A$2:$E$62,3,FALSE())</f>
        <v>Office Supplies</v>
      </c>
      <c r="L5846" s="1" t="str">
        <f aca="false">TEXT(D5846,"yyyy-mm")</f>
        <v>2023-07</v>
      </c>
    </row>
    <row r="5847" customFormat="false" ht="15" hidden="false" customHeight="true" outlineLevel="0" collapsed="false">
      <c r="A5847" s="1" t="n">
        <v>5971</v>
      </c>
      <c r="B5847" s="1" t="n">
        <v>279</v>
      </c>
      <c r="C5847" s="1" t="n">
        <v>16</v>
      </c>
      <c r="D5847" s="1" t="s">
        <v>913</v>
      </c>
      <c r="E5847" s="1" t="n">
        <v>7</v>
      </c>
      <c r="F5847" s="1" t="n">
        <v>330.91</v>
      </c>
      <c r="G5847" s="1" t="n">
        <v>0.15</v>
      </c>
      <c r="H5847" s="1" t="s">
        <v>1346</v>
      </c>
      <c r="I5847" s="1" t="n">
        <v>1968.91</v>
      </c>
      <c r="J5847" s="1" t="str">
        <f aca="false">VLOOKUP(B5847,Customers!$A$2:$G$502,6,FALSE())</f>
        <v>Unknown</v>
      </c>
      <c r="K5847" s="1" t="str">
        <f aca="false">VLOOKUP(C5847,Products!$A$2:$E$62,3,FALSE())</f>
        <v>Electronics</v>
      </c>
      <c r="L5847" s="1" t="str">
        <f aca="false">TEXT(D5847,"yyyy-mm")</f>
        <v>2023-04</v>
      </c>
    </row>
    <row r="5848" customFormat="false" ht="15" hidden="false" customHeight="true" outlineLevel="0" collapsed="false">
      <c r="A5848" s="1" t="n">
        <v>5972</v>
      </c>
      <c r="B5848" s="1" t="n">
        <v>39</v>
      </c>
      <c r="C5848" s="1" t="n">
        <v>48</v>
      </c>
      <c r="D5848" s="1" t="s">
        <v>1649</v>
      </c>
      <c r="E5848" s="1" t="n">
        <v>4</v>
      </c>
      <c r="F5848" s="1" t="n">
        <v>493.53</v>
      </c>
      <c r="G5848" s="1" t="n">
        <v>0</v>
      </c>
      <c r="H5848" s="1" t="s">
        <v>1336</v>
      </c>
      <c r="I5848" s="1" t="n">
        <v>1974.12</v>
      </c>
      <c r="J5848" s="1" t="str">
        <f aca="false">VLOOKUP(B5848,Customers!$A$2:$G$502,6,FALSE())</f>
        <v>Corporate</v>
      </c>
      <c r="K5848" s="1" t="str">
        <f aca="false">VLOOKUP(C5848,Products!$A$2:$E$62,3,FALSE())</f>
        <v>Software</v>
      </c>
      <c r="L5848" s="1" t="str">
        <f aca="false">TEXT(D5848,"yyyy-mm")</f>
        <v>2024-01</v>
      </c>
    </row>
    <row r="5849" customFormat="false" ht="15" hidden="false" customHeight="true" outlineLevel="0" collapsed="false">
      <c r="A5849" s="1" t="n">
        <v>5973</v>
      </c>
      <c r="B5849" s="1" t="n">
        <v>292</v>
      </c>
      <c r="C5849" s="1" t="n">
        <v>60</v>
      </c>
      <c r="D5849" s="1" t="s">
        <v>183</v>
      </c>
      <c r="E5849" s="1" t="n">
        <v>6</v>
      </c>
      <c r="F5849" s="1" t="n">
        <v>584.98</v>
      </c>
      <c r="G5849" s="1" t="n">
        <v>0</v>
      </c>
      <c r="H5849" s="1" t="s">
        <v>1336</v>
      </c>
      <c r="I5849" s="1" t="n">
        <v>3509.88</v>
      </c>
      <c r="J5849" s="1" t="str">
        <f aca="false">VLOOKUP(B5849,Customers!$A$2:$G$502,6,FALSE())</f>
        <v>Small Business</v>
      </c>
      <c r="K5849" s="1" t="str">
        <f aca="false">VLOOKUP(C5849,Products!$A$2:$E$62,3,FALSE())</f>
        <v>Furniture</v>
      </c>
      <c r="L5849" s="1" t="str">
        <f aca="false">TEXT(D5849,"yyyy-mm")</f>
        <v>2023-02</v>
      </c>
    </row>
    <row r="5850" customFormat="false" ht="15" hidden="false" customHeight="true" outlineLevel="0" collapsed="false">
      <c r="A5850" s="1" t="n">
        <v>5974</v>
      </c>
      <c r="B5850" s="1" t="n">
        <v>449</v>
      </c>
      <c r="C5850" s="1" t="n">
        <v>25</v>
      </c>
      <c r="D5850" s="1" t="s">
        <v>489</v>
      </c>
      <c r="E5850" s="1" t="n">
        <v>7</v>
      </c>
      <c r="F5850" s="1" t="n">
        <v>300.49</v>
      </c>
      <c r="G5850" s="1" t="n">
        <v>0.15</v>
      </c>
      <c r="H5850" s="1" t="s">
        <v>1336</v>
      </c>
      <c r="I5850" s="1" t="n">
        <v>1787.92</v>
      </c>
      <c r="J5850" s="1" t="str">
        <f aca="false">VLOOKUP(B5850,Customers!$A$2:$G$502,6,FALSE())</f>
        <v>Corporate</v>
      </c>
      <c r="K5850" s="1" t="str">
        <f aca="false">VLOOKUP(C5850,Products!$A$2:$E$62,3,FALSE())</f>
        <v>Office Supplies</v>
      </c>
      <c r="L5850" s="1" t="str">
        <f aca="false">TEXT(D5850,"yyyy-mm")</f>
        <v>2024-12</v>
      </c>
    </row>
    <row r="5851" customFormat="false" ht="15" hidden="false" customHeight="true" outlineLevel="0" collapsed="false">
      <c r="A5851" s="1" t="n">
        <v>5975</v>
      </c>
      <c r="B5851" s="1" t="n">
        <v>152</v>
      </c>
      <c r="C5851" s="1" t="n">
        <v>10</v>
      </c>
      <c r="D5851" s="1" t="s">
        <v>243</v>
      </c>
      <c r="E5851" s="1" t="n">
        <v>4</v>
      </c>
      <c r="F5851" s="1" t="n">
        <v>251.58</v>
      </c>
      <c r="G5851" s="1" t="n">
        <v>0.2</v>
      </c>
      <c r="H5851" s="1" t="s">
        <v>1336</v>
      </c>
      <c r="I5851" s="1" t="n">
        <v>805.06</v>
      </c>
      <c r="J5851" s="1" t="str">
        <f aca="false">VLOOKUP(B5851,Customers!$A$2:$G$502,6,FALSE())</f>
        <v>Corporate</v>
      </c>
      <c r="K5851" s="1" t="str">
        <f aca="false">VLOOKUP(C5851,Products!$A$2:$E$62,3,FALSE())</f>
        <v>Electronics</v>
      </c>
      <c r="L5851" s="1" t="str">
        <f aca="false">TEXT(D5851,"yyyy-mm")</f>
        <v>2024-07</v>
      </c>
    </row>
    <row r="5852" customFormat="false" ht="15" hidden="false" customHeight="true" outlineLevel="0" collapsed="false">
      <c r="A5852" s="1" t="n">
        <v>5976</v>
      </c>
      <c r="B5852" s="1" t="n">
        <v>436</v>
      </c>
      <c r="C5852" s="1" t="n">
        <v>20</v>
      </c>
      <c r="D5852" s="1" t="s">
        <v>1508</v>
      </c>
      <c r="E5852" s="1" t="n">
        <v>8</v>
      </c>
      <c r="F5852" s="1" t="n">
        <v>426.15</v>
      </c>
      <c r="G5852" s="1" t="n">
        <v>0.2</v>
      </c>
      <c r="H5852" s="1" t="s">
        <v>1336</v>
      </c>
      <c r="I5852" s="1" t="n">
        <v>2727.36</v>
      </c>
      <c r="J5852" s="1" t="str">
        <f aca="false">VLOOKUP(B5852,Customers!$A$2:$G$502,6,FALSE())</f>
        <v>Corporate</v>
      </c>
      <c r="K5852" s="1" t="str">
        <f aca="false">VLOOKUP(C5852,Products!$A$2:$E$62,3,FALSE())</f>
        <v>Office Supplies</v>
      </c>
      <c r="L5852" s="1" t="str">
        <f aca="false">TEXT(D5852,"yyyy-mm")</f>
        <v>2024-01</v>
      </c>
    </row>
    <row r="5853" customFormat="false" ht="15" hidden="false" customHeight="true" outlineLevel="0" collapsed="false">
      <c r="A5853" s="1" t="n">
        <v>5977</v>
      </c>
      <c r="B5853" s="1" t="n">
        <v>25</v>
      </c>
      <c r="C5853" s="1" t="n">
        <v>51</v>
      </c>
      <c r="D5853" s="1" t="s">
        <v>1461</v>
      </c>
      <c r="E5853" s="1" t="n">
        <v>9</v>
      </c>
      <c r="F5853" s="1" t="n">
        <v>30.16</v>
      </c>
      <c r="G5853" s="1" t="n">
        <v>0</v>
      </c>
      <c r="H5853" s="1" t="s">
        <v>1336</v>
      </c>
      <c r="I5853" s="1" t="n">
        <v>271.44</v>
      </c>
      <c r="J5853" s="1" t="str">
        <f aca="false">VLOOKUP(B5853,Customers!$A$2:$G$502,6,FALSE())</f>
        <v>Corporate</v>
      </c>
      <c r="K5853" s="1" t="str">
        <f aca="false">VLOOKUP(C5853,Products!$A$2:$E$62,3,FALSE())</f>
        <v>Software</v>
      </c>
      <c r="L5853" s="1" t="str">
        <f aca="false">TEXT(D5853,"yyyy-mm")</f>
        <v>2024-02</v>
      </c>
    </row>
    <row r="5854" customFormat="false" ht="15" hidden="false" customHeight="true" outlineLevel="0" collapsed="false">
      <c r="A5854" s="1" t="n">
        <v>5978</v>
      </c>
      <c r="B5854" s="1" t="n">
        <v>271</v>
      </c>
      <c r="C5854" s="1" t="n">
        <v>35</v>
      </c>
      <c r="D5854" s="1" t="s">
        <v>1661</v>
      </c>
      <c r="E5854" s="1" t="n">
        <v>1</v>
      </c>
      <c r="F5854" s="1" t="n">
        <v>75.78</v>
      </c>
      <c r="G5854" s="1" t="n">
        <v>0</v>
      </c>
      <c r="H5854" s="1" t="s">
        <v>1336</v>
      </c>
      <c r="I5854" s="1" t="n">
        <v>75.78</v>
      </c>
      <c r="J5854" s="1" t="str">
        <f aca="false">VLOOKUP(B5854,Customers!$A$2:$G$502,6,FALSE())</f>
        <v>Small Business</v>
      </c>
      <c r="K5854" s="1" t="str">
        <f aca="false">VLOOKUP(C5854,Products!$A$2:$E$62,3,FALSE())</f>
        <v>Software</v>
      </c>
      <c r="L5854" s="1" t="str">
        <f aca="false">TEXT(D5854,"yyyy-mm")</f>
        <v>2024-09</v>
      </c>
    </row>
    <row r="5855" customFormat="false" ht="15" hidden="false" customHeight="true" outlineLevel="0" collapsed="false">
      <c r="A5855" s="1" t="n">
        <v>5979</v>
      </c>
      <c r="B5855" s="1" t="n">
        <v>83</v>
      </c>
      <c r="C5855" s="1" t="n">
        <v>52</v>
      </c>
      <c r="D5855" s="1" t="s">
        <v>1384</v>
      </c>
      <c r="E5855" s="1" t="n">
        <v>7</v>
      </c>
      <c r="F5855" s="1" t="n">
        <v>207.67</v>
      </c>
      <c r="G5855" s="1" t="n">
        <v>0</v>
      </c>
      <c r="H5855" s="1" t="s">
        <v>1336</v>
      </c>
      <c r="I5855" s="1" t="n">
        <v>1453.69</v>
      </c>
      <c r="J5855" s="1" t="str">
        <f aca="false">VLOOKUP(B5855,Customers!$A$2:$G$502,6,FALSE())</f>
        <v>Corporate</v>
      </c>
      <c r="K5855" s="1" t="str">
        <f aca="false">VLOOKUP(C5855,Products!$A$2:$E$62,3,FALSE())</f>
        <v>Software</v>
      </c>
      <c r="L5855" s="1" t="str">
        <f aca="false">TEXT(D5855,"yyyy-mm")</f>
        <v>2024-09</v>
      </c>
    </row>
    <row r="5856" customFormat="false" ht="15" hidden="false" customHeight="true" outlineLevel="0" collapsed="false">
      <c r="A5856" s="1" t="n">
        <v>5980</v>
      </c>
      <c r="B5856" s="1" t="n">
        <v>273</v>
      </c>
      <c r="C5856" s="1" t="n">
        <v>47</v>
      </c>
      <c r="D5856" s="1" t="s">
        <v>183</v>
      </c>
      <c r="E5856" s="1" t="n">
        <v>9</v>
      </c>
      <c r="F5856" s="1" t="n">
        <v>506.19</v>
      </c>
      <c r="G5856" s="1" t="n">
        <v>0.15</v>
      </c>
      <c r="H5856" s="1" t="s">
        <v>1336</v>
      </c>
      <c r="I5856" s="1" t="n">
        <v>3872.35</v>
      </c>
      <c r="J5856" s="1" t="str">
        <f aca="false">VLOOKUP(B5856,Customers!$A$2:$G$502,6,FALSE())</f>
        <v>Corporate</v>
      </c>
      <c r="K5856" s="1" t="str">
        <f aca="false">VLOOKUP(C5856,Products!$A$2:$E$62,3,FALSE())</f>
        <v>Software</v>
      </c>
      <c r="L5856" s="1" t="str">
        <f aca="false">TEXT(D5856,"yyyy-mm")</f>
        <v>2023-02</v>
      </c>
    </row>
    <row r="5857" customFormat="false" ht="15" hidden="false" customHeight="true" outlineLevel="0" collapsed="false">
      <c r="A5857" s="1" t="n">
        <v>5981</v>
      </c>
      <c r="B5857" s="1" t="n">
        <v>201</v>
      </c>
      <c r="C5857" s="1" t="n">
        <v>18</v>
      </c>
      <c r="D5857" s="1" t="s">
        <v>176</v>
      </c>
      <c r="E5857" s="1" t="n">
        <v>5</v>
      </c>
      <c r="F5857" s="1" t="n">
        <v>747.34</v>
      </c>
      <c r="G5857" s="1" t="n">
        <v>0.15</v>
      </c>
      <c r="H5857" s="1" t="s">
        <v>1336</v>
      </c>
      <c r="I5857" s="1" t="n">
        <v>3176.2</v>
      </c>
      <c r="J5857" s="1" t="str">
        <f aca="false">VLOOKUP(B5857,Customers!$A$2:$G$502,6,FALSE())</f>
        <v>Corporate</v>
      </c>
      <c r="K5857" s="1" t="str">
        <f aca="false">VLOOKUP(C5857,Products!$A$2:$E$62,3,FALSE())</f>
        <v>Electronics</v>
      </c>
      <c r="L5857" s="1" t="str">
        <f aca="false">TEXT(D5857,"yyyy-mm")</f>
        <v>2024-04</v>
      </c>
    </row>
    <row r="5858" customFormat="false" ht="15" hidden="false" customHeight="true" outlineLevel="0" collapsed="false">
      <c r="A5858" s="1" t="n">
        <v>5982</v>
      </c>
      <c r="B5858" s="1" t="n">
        <v>233</v>
      </c>
      <c r="C5858" s="1" t="n">
        <v>49</v>
      </c>
      <c r="D5858" s="1" t="s">
        <v>1664</v>
      </c>
      <c r="E5858" s="1" t="n">
        <v>2</v>
      </c>
      <c r="F5858" s="1" t="n">
        <v>325.17</v>
      </c>
      <c r="G5858" s="1" t="n">
        <v>0.05</v>
      </c>
      <c r="H5858" s="1" t="s">
        <v>1336</v>
      </c>
      <c r="I5858" s="1" t="n">
        <v>617.82</v>
      </c>
      <c r="J5858" s="1" t="str">
        <f aca="false">VLOOKUP(B5858,Customers!$A$2:$G$502,6,FALSE())</f>
        <v>Corporate</v>
      </c>
      <c r="K5858" s="1" t="str">
        <f aca="false">VLOOKUP(C5858,Products!$A$2:$E$62,3,FALSE())</f>
        <v>Software</v>
      </c>
      <c r="L5858" s="1" t="str">
        <f aca="false">TEXT(D5858,"yyyy-mm")</f>
        <v>2024-01</v>
      </c>
    </row>
    <row r="5859" customFormat="false" ht="15" hidden="false" customHeight="true" outlineLevel="0" collapsed="false">
      <c r="A5859" s="1" t="n">
        <v>5983</v>
      </c>
      <c r="B5859" s="1" t="n">
        <v>322</v>
      </c>
      <c r="C5859" s="1" t="n">
        <v>30</v>
      </c>
      <c r="D5859" s="1" t="s">
        <v>1637</v>
      </c>
      <c r="E5859" s="1" t="n">
        <v>6</v>
      </c>
      <c r="F5859" s="1" t="n">
        <v>33.32</v>
      </c>
      <c r="G5859" s="1" t="n">
        <v>0.15</v>
      </c>
      <c r="H5859" s="1" t="s">
        <v>1336</v>
      </c>
      <c r="I5859" s="1" t="n">
        <v>169.93</v>
      </c>
      <c r="J5859" s="1" t="str">
        <f aca="false">VLOOKUP(B5859,Customers!$A$2:$G$502,6,FALSE())</f>
        <v>Consumer</v>
      </c>
      <c r="K5859" s="1" t="str">
        <f aca="false">VLOOKUP(C5859,Products!$A$2:$E$62,3,FALSE())</f>
        <v>Office Supplies</v>
      </c>
      <c r="L5859" s="1" t="str">
        <f aca="false">TEXT(D5859,"yyyy-mm")</f>
        <v>2023-11</v>
      </c>
    </row>
    <row r="5860" customFormat="false" ht="15" hidden="false" customHeight="true" outlineLevel="0" collapsed="false">
      <c r="A5860" s="1" t="n">
        <v>5984</v>
      </c>
      <c r="B5860" s="1" t="n">
        <v>309</v>
      </c>
      <c r="C5860" s="1" t="n">
        <v>6</v>
      </c>
      <c r="D5860" s="1" t="s">
        <v>1540</v>
      </c>
      <c r="E5860" s="1" t="n">
        <v>7</v>
      </c>
      <c r="F5860" s="1" t="n">
        <v>28.51</v>
      </c>
      <c r="G5860" s="1" t="n">
        <v>0.2</v>
      </c>
      <c r="H5860" s="1" t="s">
        <v>1336</v>
      </c>
      <c r="I5860" s="1" t="n">
        <v>159.66</v>
      </c>
      <c r="J5860" s="1" t="str">
        <f aca="false">VLOOKUP(B5860,Customers!$A$2:$G$502,6,FALSE())</f>
        <v>Unknown</v>
      </c>
      <c r="K5860" s="1" t="str">
        <f aca="false">VLOOKUP(C5860,Products!$A$2:$E$62,3,FALSE())</f>
        <v>Electronics</v>
      </c>
      <c r="L5860" s="1" t="str">
        <f aca="false">TEXT(D5860,"yyyy-mm")</f>
        <v>2023-01</v>
      </c>
    </row>
    <row r="5861" customFormat="false" ht="15" hidden="false" customHeight="true" outlineLevel="0" collapsed="false">
      <c r="A5861" s="1" t="n">
        <v>5985</v>
      </c>
      <c r="B5861" s="1" t="n">
        <v>112</v>
      </c>
      <c r="C5861" s="1" t="n">
        <v>48</v>
      </c>
      <c r="D5861" s="1" t="s">
        <v>1598</v>
      </c>
      <c r="E5861" s="1" t="n">
        <v>2</v>
      </c>
      <c r="F5861" s="1" t="n">
        <v>493.53</v>
      </c>
      <c r="G5861" s="1" t="n">
        <v>0.1</v>
      </c>
      <c r="H5861" s="1" t="s">
        <v>1336</v>
      </c>
      <c r="I5861" s="1" t="n">
        <v>888.35</v>
      </c>
      <c r="J5861" s="1" t="str">
        <f aca="false">VLOOKUP(B5861,Customers!$A$2:$G$502,6,FALSE())</f>
        <v>Corporate</v>
      </c>
      <c r="K5861" s="1" t="str">
        <f aca="false">VLOOKUP(C5861,Products!$A$2:$E$62,3,FALSE())</f>
        <v>Software</v>
      </c>
      <c r="L5861" s="1" t="str">
        <f aca="false">TEXT(D5861,"yyyy-mm")</f>
        <v>2024-05</v>
      </c>
    </row>
    <row r="5862" customFormat="false" ht="15" hidden="false" customHeight="true" outlineLevel="0" collapsed="false">
      <c r="A5862" s="1" t="n">
        <v>5986</v>
      </c>
      <c r="B5862" s="1" t="n">
        <v>395</v>
      </c>
      <c r="C5862" s="1" t="n">
        <v>3</v>
      </c>
      <c r="D5862" s="1" t="s">
        <v>1373</v>
      </c>
      <c r="E5862" s="1" t="n">
        <v>2</v>
      </c>
      <c r="F5862" s="1" t="n">
        <v>89.39</v>
      </c>
      <c r="G5862" s="1" t="n">
        <v>0</v>
      </c>
      <c r="H5862" s="1" t="s">
        <v>1336</v>
      </c>
      <c r="I5862" s="1" t="n">
        <v>178.78</v>
      </c>
      <c r="J5862" s="1" t="str">
        <f aca="false">VLOOKUP(B5862,Customers!$A$2:$G$502,6,FALSE())</f>
        <v>Consumer</v>
      </c>
      <c r="K5862" s="1" t="str">
        <f aca="false">VLOOKUP(C5862,Products!$A$2:$E$62,3,FALSE())</f>
        <v>Electronics</v>
      </c>
      <c r="L5862" s="1" t="str">
        <f aca="false">TEXT(D5862,"yyyy-mm")</f>
        <v>2024-07</v>
      </c>
    </row>
    <row r="5863" customFormat="false" ht="15" hidden="false" customHeight="true" outlineLevel="0" collapsed="false">
      <c r="A5863" s="1" t="n">
        <v>5987</v>
      </c>
      <c r="B5863" s="1" t="n">
        <v>13</v>
      </c>
      <c r="C5863" s="1" t="n">
        <v>17</v>
      </c>
      <c r="D5863" s="1" t="s">
        <v>1476</v>
      </c>
      <c r="E5863" s="1" t="n">
        <v>1</v>
      </c>
      <c r="F5863" s="1" t="n">
        <v>65.61</v>
      </c>
      <c r="G5863" s="1" t="n">
        <v>0.2</v>
      </c>
      <c r="H5863" s="1" t="s">
        <v>1336</v>
      </c>
      <c r="I5863" s="1" t="n">
        <v>52.49</v>
      </c>
      <c r="J5863" s="1" t="str">
        <f aca="false">VLOOKUP(B5863,Customers!$A$2:$G$502,6,FALSE())</f>
        <v>Corporate</v>
      </c>
      <c r="K5863" s="1" t="str">
        <f aca="false">VLOOKUP(C5863,Products!$A$2:$E$62,3,FALSE())</f>
        <v>Electronics</v>
      </c>
      <c r="L5863" s="1" t="str">
        <f aca="false">TEXT(D5863,"yyyy-mm")</f>
        <v>2024-09</v>
      </c>
    </row>
    <row r="5864" customFormat="false" ht="15" hidden="false" customHeight="true" outlineLevel="0" collapsed="false">
      <c r="A5864" s="1" t="n">
        <v>5988</v>
      </c>
      <c r="B5864" s="1" t="n">
        <v>13</v>
      </c>
      <c r="C5864" s="1" t="n">
        <v>10</v>
      </c>
      <c r="D5864" s="1" t="s">
        <v>1461</v>
      </c>
      <c r="E5864" s="1" t="n">
        <v>4</v>
      </c>
      <c r="F5864" s="1" t="n">
        <v>251.58</v>
      </c>
      <c r="G5864" s="1" t="n">
        <v>0.2</v>
      </c>
      <c r="H5864" s="1" t="s">
        <v>1336</v>
      </c>
      <c r="I5864" s="1" t="n">
        <v>805.06</v>
      </c>
      <c r="J5864" s="1" t="str">
        <f aca="false">VLOOKUP(B5864,Customers!$A$2:$G$502,6,FALSE())</f>
        <v>Corporate</v>
      </c>
      <c r="K5864" s="1" t="str">
        <f aca="false">VLOOKUP(C5864,Products!$A$2:$E$62,3,FALSE())</f>
        <v>Electronics</v>
      </c>
      <c r="L5864" s="1" t="str">
        <f aca="false">TEXT(D5864,"yyyy-mm")</f>
        <v>2024-02</v>
      </c>
    </row>
    <row r="5865" customFormat="false" ht="15" hidden="false" customHeight="true" outlineLevel="0" collapsed="false">
      <c r="A5865" s="1" t="n">
        <v>5989</v>
      </c>
      <c r="B5865" s="1" t="n">
        <v>363</v>
      </c>
      <c r="C5865" s="1" t="n">
        <v>50</v>
      </c>
      <c r="D5865" s="1" t="s">
        <v>173</v>
      </c>
      <c r="E5865" s="1" t="n">
        <v>7</v>
      </c>
      <c r="F5865" s="1" t="n">
        <v>19.73</v>
      </c>
      <c r="G5865" s="1" t="n">
        <v>0.05</v>
      </c>
      <c r="H5865" s="1" t="s">
        <v>1336</v>
      </c>
      <c r="I5865" s="1" t="n">
        <v>131.2</v>
      </c>
      <c r="J5865" s="1" t="str">
        <f aca="false">VLOOKUP(B5865,Customers!$A$2:$G$502,6,FALSE())</f>
        <v>Small Business</v>
      </c>
      <c r="K5865" s="1" t="str">
        <f aca="false">VLOOKUP(C5865,Products!$A$2:$E$62,3,FALSE())</f>
        <v>Software</v>
      </c>
      <c r="L5865" s="1" t="str">
        <f aca="false">TEXT(D5865,"yyyy-mm")</f>
        <v>2024-09</v>
      </c>
    </row>
    <row r="5866" customFormat="false" ht="15" hidden="false" customHeight="true" outlineLevel="0" collapsed="false">
      <c r="A5866" s="1" t="n">
        <v>5990</v>
      </c>
      <c r="B5866" s="1" t="n">
        <v>271</v>
      </c>
      <c r="C5866" s="1" t="n">
        <v>9</v>
      </c>
      <c r="D5866" s="1" t="s">
        <v>1622</v>
      </c>
      <c r="E5866" s="1" t="n">
        <v>9</v>
      </c>
      <c r="F5866" s="1" t="n">
        <v>203.1</v>
      </c>
      <c r="G5866" s="1" t="n">
        <v>0</v>
      </c>
      <c r="H5866" s="1" t="s">
        <v>1336</v>
      </c>
      <c r="I5866" s="1" t="n">
        <v>1827.9</v>
      </c>
      <c r="J5866" s="1" t="str">
        <f aca="false">VLOOKUP(B5866,Customers!$A$2:$G$502,6,FALSE())</f>
        <v>Small Business</v>
      </c>
      <c r="K5866" s="1" t="str">
        <f aca="false">VLOOKUP(C5866,Products!$A$2:$E$62,3,FALSE())</f>
        <v>Electronics</v>
      </c>
      <c r="L5866" s="1" t="str">
        <f aca="false">TEXT(D5866,"yyyy-mm")</f>
        <v>2023-12</v>
      </c>
    </row>
    <row r="5867" customFormat="false" ht="15" hidden="false" customHeight="true" outlineLevel="0" collapsed="false">
      <c r="A5867" s="1" t="n">
        <v>5991</v>
      </c>
      <c r="B5867" s="1" t="n">
        <v>104</v>
      </c>
      <c r="C5867" s="1" t="n">
        <v>4</v>
      </c>
      <c r="D5867" s="1" t="s">
        <v>1485</v>
      </c>
      <c r="E5867" s="1" t="n">
        <v>3</v>
      </c>
      <c r="F5867" s="1" t="n">
        <v>56.24</v>
      </c>
      <c r="G5867" s="1" t="n">
        <v>0.2</v>
      </c>
      <c r="H5867" s="1" t="s">
        <v>1336</v>
      </c>
      <c r="I5867" s="1" t="n">
        <v>134.98</v>
      </c>
      <c r="J5867" s="1" t="str">
        <f aca="false">VLOOKUP(B5867,Customers!$A$2:$G$502,6,FALSE())</f>
        <v>Corporate</v>
      </c>
      <c r="K5867" s="1" t="str">
        <f aca="false">VLOOKUP(C5867,Products!$A$2:$E$62,3,FALSE())</f>
        <v>Electronics</v>
      </c>
      <c r="L5867" s="1" t="str">
        <f aca="false">TEXT(D5867,"yyyy-mm")</f>
        <v>2023-07</v>
      </c>
    </row>
    <row r="5868" customFormat="false" ht="15" hidden="false" customHeight="true" outlineLevel="0" collapsed="false">
      <c r="A5868" s="1" t="n">
        <v>5992</v>
      </c>
      <c r="B5868" s="1" t="n">
        <v>90</v>
      </c>
      <c r="C5868" s="1" t="n">
        <v>25</v>
      </c>
      <c r="D5868" s="1" t="s">
        <v>87</v>
      </c>
      <c r="E5868" s="1" t="n">
        <v>7</v>
      </c>
      <c r="F5868" s="1" t="n">
        <v>300.49</v>
      </c>
      <c r="G5868" s="1" t="n">
        <v>0.15</v>
      </c>
      <c r="H5868" s="1" t="s">
        <v>1336</v>
      </c>
      <c r="I5868" s="1" t="n">
        <v>1787.92</v>
      </c>
      <c r="J5868" s="1" t="str">
        <f aca="false">VLOOKUP(B5868,Customers!$A$2:$G$502,6,FALSE())</f>
        <v>Consumer</v>
      </c>
      <c r="K5868" s="1" t="str">
        <f aca="false">VLOOKUP(C5868,Products!$A$2:$E$62,3,FALSE())</f>
        <v>Office Supplies</v>
      </c>
      <c r="L5868" s="1" t="str">
        <f aca="false">TEXT(D5868,"yyyy-mm")</f>
        <v>2023-08</v>
      </c>
    </row>
    <row r="5869" customFormat="false" ht="15" hidden="false" customHeight="true" outlineLevel="0" collapsed="false">
      <c r="A5869" s="1" t="n">
        <v>5993</v>
      </c>
      <c r="B5869" s="1" t="n">
        <v>485</v>
      </c>
      <c r="C5869" s="1" t="n">
        <v>48</v>
      </c>
      <c r="D5869" s="1" t="s">
        <v>1628</v>
      </c>
      <c r="E5869" s="1" t="n">
        <v>7</v>
      </c>
      <c r="F5869" s="1" t="n">
        <v>493.53</v>
      </c>
      <c r="G5869" s="1" t="n">
        <v>0.1</v>
      </c>
      <c r="H5869" s="1" t="s">
        <v>1346</v>
      </c>
      <c r="I5869" s="1" t="n">
        <v>3109.24</v>
      </c>
      <c r="J5869" s="1" t="str">
        <f aca="false">VLOOKUP(B5869,Customers!$A$2:$G$502,6,FALSE())</f>
        <v>Corporate</v>
      </c>
      <c r="K5869" s="1" t="str">
        <f aca="false">VLOOKUP(C5869,Products!$A$2:$E$62,3,FALSE())</f>
        <v>Software</v>
      </c>
      <c r="L5869" s="1" t="str">
        <f aca="false">TEXT(D5869,"yyyy-mm")</f>
        <v>2023-09</v>
      </c>
    </row>
    <row r="5870" customFormat="false" ht="15" hidden="false" customHeight="true" outlineLevel="0" collapsed="false">
      <c r="A5870" s="1" t="n">
        <v>5994</v>
      </c>
      <c r="B5870" s="1" t="n">
        <v>275</v>
      </c>
      <c r="C5870" s="1" t="n">
        <v>57</v>
      </c>
      <c r="D5870" s="1" t="s">
        <v>1456</v>
      </c>
      <c r="E5870" s="1" t="n">
        <v>7</v>
      </c>
      <c r="F5870" s="1" t="n">
        <v>719.76</v>
      </c>
      <c r="G5870" s="1" t="n">
        <v>0.1</v>
      </c>
      <c r="H5870" s="1" t="s">
        <v>1336</v>
      </c>
      <c r="I5870" s="1" t="n">
        <v>4534.49</v>
      </c>
      <c r="J5870" s="1" t="str">
        <f aca="false">VLOOKUP(B5870,Customers!$A$2:$G$502,6,FALSE())</f>
        <v>Consumer</v>
      </c>
      <c r="K5870" s="1" t="str">
        <f aca="false">VLOOKUP(C5870,Products!$A$2:$E$62,3,FALSE())</f>
        <v>Furniture</v>
      </c>
      <c r="L5870" s="1" t="str">
        <f aca="false">TEXT(D5870,"yyyy-mm")</f>
        <v>2024-12</v>
      </c>
    </row>
    <row r="5871" customFormat="false" ht="15" hidden="false" customHeight="true" outlineLevel="0" collapsed="false">
      <c r="A5871" s="1" t="n">
        <v>5995</v>
      </c>
      <c r="B5871" s="1" t="n">
        <v>189</v>
      </c>
      <c r="C5871" s="1" t="n">
        <v>33</v>
      </c>
      <c r="D5871" s="1" t="s">
        <v>1540</v>
      </c>
      <c r="E5871" s="1" t="n">
        <v>2</v>
      </c>
      <c r="F5871" s="1" t="n">
        <v>190.1</v>
      </c>
      <c r="G5871" s="1" t="n">
        <v>0</v>
      </c>
      <c r="H5871" s="1" t="s">
        <v>1336</v>
      </c>
      <c r="I5871" s="1" t="n">
        <v>380.2</v>
      </c>
      <c r="J5871" s="1" t="str">
        <f aca="false">VLOOKUP(B5871,Customers!$A$2:$G$502,6,FALSE())</f>
        <v>Small Business</v>
      </c>
      <c r="K5871" s="1" t="str">
        <f aca="false">VLOOKUP(C5871,Products!$A$2:$E$62,3,FALSE())</f>
        <v>Office Supplies</v>
      </c>
      <c r="L5871" s="1" t="str">
        <f aca="false">TEXT(D5871,"yyyy-mm")</f>
        <v>2023-01</v>
      </c>
    </row>
    <row r="5872" customFormat="false" ht="15" hidden="false" customHeight="true" outlineLevel="0" collapsed="false">
      <c r="A5872" s="1" t="n">
        <v>5996</v>
      </c>
      <c r="B5872" s="1" t="n">
        <v>349</v>
      </c>
      <c r="C5872" s="1" t="n">
        <v>54</v>
      </c>
      <c r="D5872" s="1" t="s">
        <v>188</v>
      </c>
      <c r="E5872" s="1" t="n">
        <v>6</v>
      </c>
      <c r="F5872" s="1" t="n">
        <v>312.01</v>
      </c>
      <c r="G5872" s="1" t="n">
        <v>0.05</v>
      </c>
      <c r="H5872" s="1" t="s">
        <v>1336</v>
      </c>
      <c r="I5872" s="1" t="n">
        <v>1778.46</v>
      </c>
      <c r="J5872" s="1" t="str">
        <f aca="false">VLOOKUP(B5872,Customers!$A$2:$G$502,6,FALSE())</f>
        <v>Consumer</v>
      </c>
      <c r="K5872" s="1" t="str">
        <f aca="false">VLOOKUP(C5872,Products!$A$2:$E$62,3,FALSE())</f>
        <v>Software</v>
      </c>
      <c r="L5872" s="1" t="str">
        <f aca="false">TEXT(D5872,"yyyy-mm")</f>
        <v>2024-04</v>
      </c>
    </row>
    <row r="5873" customFormat="false" ht="15" hidden="false" customHeight="true" outlineLevel="0" collapsed="false">
      <c r="A5873" s="1" t="n">
        <v>5997</v>
      </c>
      <c r="B5873" s="1" t="n">
        <v>265</v>
      </c>
      <c r="C5873" s="1" t="n">
        <v>7</v>
      </c>
      <c r="D5873" s="1" t="s">
        <v>1494</v>
      </c>
      <c r="E5873" s="1" t="n">
        <v>2</v>
      </c>
      <c r="F5873" s="1" t="n">
        <v>460</v>
      </c>
      <c r="G5873" s="1" t="n">
        <v>0.1</v>
      </c>
      <c r="H5873" s="1" t="s">
        <v>1336</v>
      </c>
      <c r="I5873" s="1" t="n">
        <v>828</v>
      </c>
      <c r="J5873" s="1" t="str">
        <f aca="false">VLOOKUP(B5873,Customers!$A$2:$G$502,6,FALSE())</f>
        <v>Corporate</v>
      </c>
      <c r="K5873" s="1" t="str">
        <f aca="false">VLOOKUP(C5873,Products!$A$2:$E$62,3,FALSE())</f>
        <v>Electronics</v>
      </c>
      <c r="L5873" s="1" t="str">
        <f aca="false">TEXT(D5873,"yyyy-mm")</f>
        <v>2023-01</v>
      </c>
    </row>
    <row r="5874" customFormat="false" ht="15" hidden="false" customHeight="true" outlineLevel="0" collapsed="false">
      <c r="A5874" s="1" t="n">
        <v>5998</v>
      </c>
      <c r="B5874" s="1" t="n">
        <v>233</v>
      </c>
      <c r="C5874" s="1" t="n">
        <v>27</v>
      </c>
      <c r="D5874" s="1" t="s">
        <v>853</v>
      </c>
      <c r="E5874" s="1" t="n">
        <v>6</v>
      </c>
      <c r="F5874" s="1" t="n">
        <v>772.58</v>
      </c>
      <c r="G5874" s="1" t="n">
        <v>0</v>
      </c>
      <c r="H5874" s="1" t="s">
        <v>1346</v>
      </c>
      <c r="I5874" s="1" t="n">
        <v>4635.48</v>
      </c>
      <c r="J5874" s="1" t="str">
        <f aca="false">VLOOKUP(B5874,Customers!$A$2:$G$502,6,FALSE())</f>
        <v>Corporate</v>
      </c>
      <c r="K5874" s="1" t="str">
        <f aca="false">VLOOKUP(C5874,Products!$A$2:$E$62,3,FALSE())</f>
        <v>Office Supplies</v>
      </c>
      <c r="L5874" s="1" t="str">
        <f aca="false">TEXT(D5874,"yyyy-mm")</f>
        <v>2024-03</v>
      </c>
    </row>
    <row r="5875" customFormat="false" ht="15" hidden="false" customHeight="true" outlineLevel="0" collapsed="false">
      <c r="A5875" s="1" t="n">
        <v>5999</v>
      </c>
      <c r="B5875" s="1" t="n">
        <v>248</v>
      </c>
      <c r="C5875" s="1" t="n">
        <v>13</v>
      </c>
      <c r="D5875" s="1" t="s">
        <v>1471</v>
      </c>
      <c r="E5875" s="1" t="n">
        <v>3</v>
      </c>
      <c r="F5875" s="1" t="n">
        <v>352.54</v>
      </c>
      <c r="G5875" s="1" t="n">
        <v>0.05</v>
      </c>
      <c r="H5875" s="1" t="s">
        <v>1336</v>
      </c>
      <c r="I5875" s="1" t="n">
        <v>1004.74</v>
      </c>
      <c r="J5875" s="1" t="str">
        <f aca="false">VLOOKUP(B5875,Customers!$A$2:$G$502,6,FALSE())</f>
        <v>Small Business</v>
      </c>
      <c r="K5875" s="1" t="str">
        <f aca="false">VLOOKUP(C5875,Products!$A$2:$E$62,3,FALSE())</f>
        <v>Electronics</v>
      </c>
      <c r="L5875" s="1" t="str">
        <f aca="false">TEXT(D5875,"yyyy-mm")</f>
        <v>2024-10</v>
      </c>
    </row>
    <row r="5876" customFormat="false" ht="15" hidden="false" customHeight="true" outlineLevel="0" collapsed="false">
      <c r="A5876" s="1" t="n">
        <v>6000</v>
      </c>
      <c r="B5876" s="1" t="n">
        <v>274</v>
      </c>
      <c r="C5876" s="1" t="n">
        <v>27</v>
      </c>
      <c r="D5876" s="1" t="s">
        <v>659</v>
      </c>
      <c r="E5876" s="1" t="n">
        <v>2</v>
      </c>
      <c r="F5876" s="1" t="n">
        <v>772.58</v>
      </c>
      <c r="G5876" s="1" t="n">
        <v>0.15</v>
      </c>
      <c r="H5876" s="1" t="s">
        <v>1336</v>
      </c>
      <c r="I5876" s="1" t="n">
        <v>1313.39</v>
      </c>
      <c r="J5876" s="1" t="str">
        <f aca="false">VLOOKUP(B5876,Customers!$A$2:$G$502,6,FALSE())</f>
        <v>Corporate</v>
      </c>
      <c r="K5876" s="1" t="str">
        <f aca="false">VLOOKUP(C5876,Products!$A$2:$E$62,3,FALSE())</f>
        <v>Office Supplies</v>
      </c>
      <c r="L5876" s="1" t="str">
        <f aca="false">TEXT(D5876,"yyyy-mm")</f>
        <v>2024-06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3" t="s">
        <v>1704</v>
      </c>
    </row>
    <row r="3" customFormat="false" ht="15" hidden="false" customHeight="true" outlineLevel="0" collapsed="false">
      <c r="A3" s="2" t="s">
        <v>1705</v>
      </c>
      <c r="B3" s="2" t="s">
        <v>1706</v>
      </c>
      <c r="C3" s="2" t="s">
        <v>1707</v>
      </c>
      <c r="D3" s="2" t="s">
        <v>1708</v>
      </c>
      <c r="E3" s="2" t="s">
        <v>1709</v>
      </c>
    </row>
    <row r="4" customFormat="false" ht="15" hidden="false" customHeight="true" outlineLevel="0" collapsed="false">
      <c r="A4" s="1" t="s">
        <v>1710</v>
      </c>
      <c r="B4" s="4" t="n">
        <f aca="false">SUMIFS(Orders!$I$2:$I$5876,Orders!$L$2:$L$5876,A4,Orders!$H$2:$H$5876,"Completed")</f>
        <v>331982.53</v>
      </c>
      <c r="C4" s="1" t="n">
        <f aca="false">COUNTIFS(Orders!$L$2:$L$5876,A4,Orders!$H$2:$H$5876,"Completed")</f>
        <v>231</v>
      </c>
      <c r="D4" s="4"/>
      <c r="E4" s="5"/>
    </row>
    <row r="5" customFormat="false" ht="15" hidden="false" customHeight="true" outlineLevel="0" collapsed="false">
      <c r="A5" s="1" t="s">
        <v>1711</v>
      </c>
      <c r="B5" s="4" t="n">
        <f aca="false">SUMIFS(Orders!$I$2:$I$5876,Orders!$L$2:$L$5876,A5,Orders!$H$2:$H$5876,"Completed")</f>
        <v>306938.78</v>
      </c>
      <c r="C5" s="1" t="n">
        <f aca="false">COUNTIFS(Orders!$L$2:$L$5876,A5,Orders!$H$2:$H$5876,"Completed")</f>
        <v>199</v>
      </c>
      <c r="D5" s="4" t="n">
        <f aca="false">B4</f>
        <v>331982.53</v>
      </c>
      <c r="E5" s="5" t="n">
        <f aca="false">IFERROR((B5-D5)/D5,"")</f>
        <v>-0.0754369514564515</v>
      </c>
    </row>
    <row r="6" customFormat="false" ht="15" hidden="false" customHeight="true" outlineLevel="0" collapsed="false">
      <c r="A6" s="1" t="s">
        <v>1712</v>
      </c>
      <c r="B6" s="4" t="n">
        <f aca="false">SUMIFS(Orders!$I$2:$I$5876,Orders!$L$2:$L$5876,A6,Orders!$H$2:$H$5876,"Completed")</f>
        <v>300613.86</v>
      </c>
      <c r="C6" s="1" t="n">
        <f aca="false">COUNTIFS(Orders!$L$2:$L$5876,A6,Orders!$H$2:$H$5876,"Completed")</f>
        <v>225</v>
      </c>
      <c r="D6" s="4" t="n">
        <f aca="false">B5</f>
        <v>306938.78</v>
      </c>
      <c r="E6" s="5" t="n">
        <f aca="false">IFERROR((B6-D6)/D6,"")</f>
        <v>-0.02060645448581</v>
      </c>
    </row>
    <row r="7" customFormat="false" ht="15" hidden="false" customHeight="true" outlineLevel="0" collapsed="false">
      <c r="A7" s="1" t="s">
        <v>1713</v>
      </c>
      <c r="B7" s="4" t="n">
        <f aca="false">SUMIFS(Orders!$I$2:$I$5876,Orders!$L$2:$L$5876,A7,Orders!$H$2:$H$5876,"Completed")</f>
        <v>294101.34</v>
      </c>
      <c r="C7" s="1" t="n">
        <f aca="false">COUNTIFS(Orders!$L$2:$L$5876,A7,Orders!$H$2:$H$5876,"Completed")</f>
        <v>215</v>
      </c>
      <c r="D7" s="4" t="n">
        <f aca="false">B6</f>
        <v>300613.86</v>
      </c>
      <c r="E7" s="5" t="n">
        <f aca="false">IFERROR((B7-D7)/D7,"")</f>
        <v>-0.0216640709779648</v>
      </c>
    </row>
    <row r="8" customFormat="false" ht="15" hidden="false" customHeight="true" outlineLevel="0" collapsed="false">
      <c r="A8" s="1" t="s">
        <v>1714</v>
      </c>
      <c r="B8" s="4" t="n">
        <f aca="false">SUMIFS(Orders!$I$2:$I$5876,Orders!$L$2:$L$5876,A8,Orders!$H$2:$H$5876,"Completed")</f>
        <v>297200.52</v>
      </c>
      <c r="C8" s="1" t="n">
        <f aca="false">COUNTIFS(Orders!$L$2:$L$5876,A8,Orders!$H$2:$H$5876,"Completed")</f>
        <v>211</v>
      </c>
      <c r="D8" s="4" t="n">
        <f aca="false">B7</f>
        <v>294101.34</v>
      </c>
      <c r="E8" s="5" t="n">
        <f aca="false">IFERROR((B8-D8)/D8,"")</f>
        <v>0.0105377962575757</v>
      </c>
    </row>
    <row r="9" customFormat="false" ht="15" hidden="false" customHeight="true" outlineLevel="0" collapsed="false">
      <c r="A9" s="1" t="s">
        <v>1715</v>
      </c>
      <c r="B9" s="4" t="n">
        <f aca="false">SUMIFS(Orders!$I$2:$I$5876,Orders!$L$2:$L$5876,A9,Orders!$H$2:$H$5876,"Completed")</f>
        <v>308502.31</v>
      </c>
      <c r="C9" s="1" t="n">
        <f aca="false">COUNTIFS(Orders!$L$2:$L$5876,A9,Orders!$H$2:$H$5876,"Completed")</f>
        <v>215</v>
      </c>
      <c r="D9" s="4" t="n">
        <f aca="false">B8</f>
        <v>297200.52</v>
      </c>
      <c r="E9" s="5" t="n">
        <f aca="false">IFERROR((B9-D9)/D9,"")</f>
        <v>0.0380274906652249</v>
      </c>
    </row>
    <row r="10" customFormat="false" ht="15" hidden="false" customHeight="true" outlineLevel="0" collapsed="false">
      <c r="A10" s="1" t="s">
        <v>1716</v>
      </c>
      <c r="B10" s="4" t="n">
        <f aca="false">SUMIFS(Orders!$I$2:$I$5876,Orders!$L$2:$L$5876,A10,Orders!$H$2:$H$5876,"Completed")</f>
        <v>279382.34</v>
      </c>
      <c r="C10" s="1" t="n">
        <f aca="false">COUNTIFS(Orders!$L$2:$L$5876,A10,Orders!$H$2:$H$5876,"Completed")</f>
        <v>194</v>
      </c>
      <c r="D10" s="4" t="n">
        <f aca="false">B9</f>
        <v>308502.31</v>
      </c>
      <c r="E10" s="5" t="n">
        <f aca="false">IFERROR((B10-D10)/D10,"")</f>
        <v>-0.0943914163884218</v>
      </c>
    </row>
    <row r="11" customFormat="false" ht="15" hidden="false" customHeight="true" outlineLevel="0" collapsed="false">
      <c r="A11" s="1" t="s">
        <v>1717</v>
      </c>
      <c r="B11" s="4" t="n">
        <f aca="false">SUMIFS(Orders!$I$2:$I$5876,Orders!$L$2:$L$5876,A11,Orders!$H$2:$H$5876,"Completed")</f>
        <v>325608.26</v>
      </c>
      <c r="C11" s="1" t="n">
        <f aca="false">COUNTIFS(Orders!$L$2:$L$5876,A11,Orders!$H$2:$H$5876,"Completed")</f>
        <v>225</v>
      </c>
      <c r="D11" s="4" t="n">
        <f aca="false">B10</f>
        <v>279382.34</v>
      </c>
      <c r="E11" s="5" t="n">
        <f aca="false">IFERROR((B11-D11)/D11,"")</f>
        <v>0.165457558985296</v>
      </c>
    </row>
    <row r="12" customFormat="false" ht="15" hidden="false" customHeight="true" outlineLevel="0" collapsed="false">
      <c r="A12" s="1" t="s">
        <v>1718</v>
      </c>
      <c r="B12" s="4" t="n">
        <f aca="false">SUMIFS(Orders!$I$2:$I$5876,Orders!$L$2:$L$5876,A12,Orders!$H$2:$H$5876,"Completed")</f>
        <v>272650.48</v>
      </c>
      <c r="C12" s="1" t="n">
        <f aca="false">COUNTIFS(Orders!$L$2:$L$5876,A12,Orders!$H$2:$H$5876,"Completed")</f>
        <v>193</v>
      </c>
      <c r="D12" s="4" t="n">
        <f aca="false">B11</f>
        <v>325608.26</v>
      </c>
      <c r="E12" s="5" t="n">
        <f aca="false">IFERROR((B12-D12)/D12,"")</f>
        <v>-0.162642618464286</v>
      </c>
    </row>
    <row r="13" customFormat="false" ht="15" hidden="false" customHeight="true" outlineLevel="0" collapsed="false">
      <c r="A13" s="1" t="s">
        <v>1719</v>
      </c>
      <c r="B13" s="4" t="n">
        <f aca="false">SUMIFS(Orders!$I$2:$I$5876,Orders!$L$2:$L$5876,A13,Orders!$H$2:$H$5876,"Completed")</f>
        <v>295846.11</v>
      </c>
      <c r="C13" s="1" t="n">
        <f aca="false">COUNTIFS(Orders!$L$2:$L$5876,A13,Orders!$H$2:$H$5876,"Completed")</f>
        <v>212</v>
      </c>
      <c r="D13" s="4" t="n">
        <f aca="false">B12</f>
        <v>272650.48</v>
      </c>
      <c r="E13" s="5" t="n">
        <f aca="false">IFERROR((B13-D13)/D13,"")</f>
        <v>0.0850745980714943</v>
      </c>
    </row>
    <row r="14" customFormat="false" ht="15" hidden="false" customHeight="true" outlineLevel="0" collapsed="false">
      <c r="A14" s="1" t="s">
        <v>1720</v>
      </c>
      <c r="B14" s="4" t="n">
        <f aca="false">SUMIFS(Orders!$I$2:$I$5876,Orders!$L$2:$L$5876,A14,Orders!$H$2:$H$5876,"Completed")</f>
        <v>318365.82</v>
      </c>
      <c r="C14" s="1" t="n">
        <f aca="false">COUNTIFS(Orders!$L$2:$L$5876,A14,Orders!$H$2:$H$5876,"Completed")</f>
        <v>218</v>
      </c>
      <c r="D14" s="4" t="n">
        <f aca="false">B13</f>
        <v>295846.11</v>
      </c>
      <c r="E14" s="5" t="n">
        <f aca="false">IFERROR((B14-D14)/D14,"")</f>
        <v>0.0761196758679708</v>
      </c>
    </row>
    <row r="15" customFormat="false" ht="15" hidden="false" customHeight="true" outlineLevel="0" collapsed="false">
      <c r="A15" s="1" t="s">
        <v>1721</v>
      </c>
      <c r="B15" s="4" t="n">
        <f aca="false">SUMIFS(Orders!$I$2:$I$5876,Orders!$L$2:$L$5876,A15,Orders!$H$2:$H$5876,"Completed")</f>
        <v>301862.58</v>
      </c>
      <c r="C15" s="1" t="n">
        <f aca="false">COUNTIFS(Orders!$L$2:$L$5876,A15,Orders!$H$2:$H$5876,"Completed")</f>
        <v>221</v>
      </c>
      <c r="D15" s="4" t="n">
        <f aca="false">B14</f>
        <v>318365.82</v>
      </c>
      <c r="E15" s="5" t="n">
        <f aca="false">IFERROR((B15-D15)/D15,"")</f>
        <v>-0.0518373486198989</v>
      </c>
    </row>
    <row r="16" customFormat="false" ht="15" hidden="false" customHeight="true" outlineLevel="0" collapsed="false">
      <c r="A16" s="1" t="s">
        <v>1722</v>
      </c>
      <c r="B16" s="4" t="n">
        <f aca="false">SUMIFS(Orders!$I$2:$I$5876,Orders!$L$2:$L$5876,A16,Orders!$H$2:$H$5876,"Completed")</f>
        <v>312116.45</v>
      </c>
      <c r="C16" s="1" t="n">
        <f aca="false">COUNTIFS(Orders!$L$2:$L$5876,A16,Orders!$H$2:$H$5876,"Completed")</f>
        <v>206</v>
      </c>
      <c r="D16" s="4" t="n">
        <f aca="false">B15</f>
        <v>301862.58</v>
      </c>
      <c r="E16" s="5" t="n">
        <f aca="false">IFERROR((B16-D16)/D16,"")</f>
        <v>0.0339686687896194</v>
      </c>
    </row>
    <row r="17" customFormat="false" ht="15" hidden="false" customHeight="true" outlineLevel="0" collapsed="false">
      <c r="A17" s="1" t="s">
        <v>1723</v>
      </c>
      <c r="B17" s="4" t="n">
        <f aca="false">SUMIFS(Orders!$I$2:$I$5876,Orders!$L$2:$L$5876,A17,Orders!$H$2:$H$5876,"Completed")</f>
        <v>288564.5</v>
      </c>
      <c r="C17" s="1" t="n">
        <f aca="false">COUNTIFS(Orders!$L$2:$L$5876,A17,Orders!$H$2:$H$5876,"Completed")</f>
        <v>204</v>
      </c>
      <c r="D17" s="4" t="n">
        <f aca="false">B16</f>
        <v>312116.45</v>
      </c>
      <c r="E17" s="5" t="n">
        <f aca="false">IFERROR((B17-D17)/D17,"")</f>
        <v>-0.0754588551804944</v>
      </c>
    </row>
    <row r="18" customFormat="false" ht="15" hidden="false" customHeight="true" outlineLevel="0" collapsed="false">
      <c r="A18" s="1" t="s">
        <v>1724</v>
      </c>
      <c r="B18" s="4" t="n">
        <f aca="false">SUMIFS(Orders!$I$2:$I$5876,Orders!$L$2:$L$5876,A18,Orders!$H$2:$H$5876,"Completed")</f>
        <v>308007.53</v>
      </c>
      <c r="C18" s="1" t="n">
        <f aca="false">COUNTIFS(Orders!$L$2:$L$5876,A18,Orders!$H$2:$H$5876,"Completed")</f>
        <v>214</v>
      </c>
      <c r="D18" s="4" t="n">
        <f aca="false">B17</f>
        <v>288564.5</v>
      </c>
      <c r="E18" s="5" t="n">
        <f aca="false">IFERROR((B18-D18)/D18,"")</f>
        <v>0.0673784543836821</v>
      </c>
    </row>
    <row r="19" customFormat="false" ht="15" hidden="false" customHeight="true" outlineLevel="0" collapsed="false">
      <c r="A19" s="1" t="s">
        <v>1725</v>
      </c>
      <c r="B19" s="4" t="n">
        <f aca="false">SUMIFS(Orders!$I$2:$I$5876,Orders!$L$2:$L$5876,A19,Orders!$H$2:$H$5876,"Completed")</f>
        <v>252553.98</v>
      </c>
      <c r="C19" s="1" t="n">
        <f aca="false">COUNTIFS(Orders!$L$2:$L$5876,A19,Orders!$H$2:$H$5876,"Completed")</f>
        <v>195</v>
      </c>
      <c r="D19" s="4" t="n">
        <f aca="false">B18</f>
        <v>308007.53</v>
      </c>
      <c r="E19" s="5" t="n">
        <f aca="false">IFERROR((B19-D19)/D19,"")</f>
        <v>-0.180039591889198</v>
      </c>
    </row>
    <row r="20" customFormat="false" ht="15" hidden="false" customHeight="true" outlineLevel="0" collapsed="false">
      <c r="A20" s="1" t="s">
        <v>1726</v>
      </c>
      <c r="B20" s="4" t="n">
        <f aca="false">SUMIFS(Orders!$I$2:$I$5876,Orders!$L$2:$L$5876,A20,Orders!$H$2:$H$5876,"Completed")</f>
        <v>354990.05</v>
      </c>
      <c r="C20" s="1" t="n">
        <f aca="false">COUNTIFS(Orders!$L$2:$L$5876,A20,Orders!$H$2:$H$5876,"Completed")</f>
        <v>242</v>
      </c>
      <c r="D20" s="4" t="n">
        <f aca="false">B19</f>
        <v>252553.98</v>
      </c>
      <c r="E20" s="5" t="n">
        <f aca="false">IFERROR((B20-D20)/D20,"")</f>
        <v>0.405600695740372</v>
      </c>
    </row>
    <row r="21" customFormat="false" ht="15" hidden="false" customHeight="true" outlineLevel="0" collapsed="false">
      <c r="A21" s="1" t="s">
        <v>1727</v>
      </c>
      <c r="B21" s="4" t="n">
        <f aca="false">SUMIFS(Orders!$I$2:$I$5876,Orders!$L$2:$L$5876,A21,Orders!$H$2:$H$5876,"Completed")</f>
        <v>316432.38</v>
      </c>
      <c r="C21" s="1" t="n">
        <f aca="false">COUNTIFS(Orders!$L$2:$L$5876,A21,Orders!$H$2:$H$5876,"Completed")</f>
        <v>206</v>
      </c>
      <c r="D21" s="4" t="n">
        <f aca="false">B20</f>
        <v>354990.05</v>
      </c>
      <c r="E21" s="5" t="n">
        <f aca="false">IFERROR((B21-D21)/D21,"")</f>
        <v>-0.108616199242767</v>
      </c>
    </row>
    <row r="22" customFormat="false" ht="15" hidden="false" customHeight="true" outlineLevel="0" collapsed="false">
      <c r="A22" s="1" t="s">
        <v>1728</v>
      </c>
      <c r="B22" s="4" t="n">
        <f aca="false">SUMIFS(Orders!$I$2:$I$5876,Orders!$L$2:$L$5876,A22,Orders!$H$2:$H$5876,"Completed")</f>
        <v>311692.01</v>
      </c>
      <c r="C22" s="1" t="n">
        <f aca="false">COUNTIFS(Orders!$L$2:$L$5876,A22,Orders!$H$2:$H$5876,"Completed")</f>
        <v>228</v>
      </c>
      <c r="D22" s="4" t="n">
        <f aca="false">B21</f>
        <v>316432.38</v>
      </c>
      <c r="E22" s="5" t="n">
        <f aca="false">IFERROR((B22-D22)/D22,"")</f>
        <v>-0.0149806729639994</v>
      </c>
    </row>
    <row r="23" customFormat="false" ht="15" hidden="false" customHeight="true" outlineLevel="0" collapsed="false">
      <c r="A23" s="1" t="s">
        <v>1729</v>
      </c>
      <c r="B23" s="4" t="n">
        <f aca="false">SUMIFS(Orders!$I$2:$I$5876,Orders!$L$2:$L$5876,A23,Orders!$H$2:$H$5876,"Completed")</f>
        <v>323145.39</v>
      </c>
      <c r="C23" s="1" t="n">
        <f aca="false">COUNTIFS(Orders!$L$2:$L$5876,A23,Orders!$H$2:$H$5876,"Completed")</f>
        <v>206</v>
      </c>
      <c r="D23" s="4" t="n">
        <f aca="false">B22</f>
        <v>311692.01</v>
      </c>
      <c r="E23" s="5" t="n">
        <f aca="false">IFERROR((B23-D23)/D23,"")</f>
        <v>0.036745824828811</v>
      </c>
    </row>
    <row r="24" customFormat="false" ht="15" hidden="false" customHeight="true" outlineLevel="0" collapsed="false">
      <c r="A24" s="1" t="s">
        <v>1730</v>
      </c>
      <c r="B24" s="4" t="n">
        <f aca="false">SUMIFS(Orders!$I$2:$I$5876,Orders!$L$2:$L$5876,A24,Orders!$H$2:$H$5876,"Completed")</f>
        <v>274692.93</v>
      </c>
      <c r="C24" s="1" t="n">
        <f aca="false">COUNTIFS(Orders!$L$2:$L$5876,A24,Orders!$H$2:$H$5876,"Completed")</f>
        <v>206</v>
      </c>
      <c r="D24" s="4" t="n">
        <f aca="false">B23</f>
        <v>323145.39</v>
      </c>
      <c r="E24" s="5" t="n">
        <f aca="false">IFERROR((B24-D24)/D24,"")</f>
        <v>-0.149940124474621</v>
      </c>
    </row>
    <row r="25" customFormat="false" ht="15" hidden="false" customHeight="true" outlineLevel="0" collapsed="false">
      <c r="A25" s="1" t="s">
        <v>1731</v>
      </c>
      <c r="B25" s="4" t="n">
        <f aca="false">SUMIFS(Orders!$I$2:$I$5876,Orders!$L$2:$L$5876,A25,Orders!$H$2:$H$5876,"Completed")</f>
        <v>314756.88</v>
      </c>
      <c r="C25" s="1" t="n">
        <f aca="false">COUNTIFS(Orders!$L$2:$L$5876,A25,Orders!$H$2:$H$5876,"Completed")</f>
        <v>244</v>
      </c>
      <c r="D25" s="4" t="n">
        <f aca="false">B24</f>
        <v>274692.93</v>
      </c>
      <c r="E25" s="5" t="n">
        <f aca="false">IFERROR((B25-D25)/D25,"")</f>
        <v>0.145849949614648</v>
      </c>
    </row>
    <row r="26" customFormat="false" ht="15" hidden="false" customHeight="true" outlineLevel="0" collapsed="false">
      <c r="A26" s="1" t="s">
        <v>1732</v>
      </c>
      <c r="B26" s="4" t="n">
        <f aca="false">SUMIFS(Orders!$I$2:$I$5876,Orders!$L$2:$L$5876,A26,Orders!$H$2:$H$5876,"Completed")</f>
        <v>252839.32</v>
      </c>
      <c r="C26" s="1" t="n">
        <f aca="false">COUNTIFS(Orders!$L$2:$L$5876,A26,Orders!$H$2:$H$5876,"Completed")</f>
        <v>191</v>
      </c>
      <c r="D26" s="4" t="n">
        <f aca="false">B25</f>
        <v>314756.88</v>
      </c>
      <c r="E26" s="5" t="n">
        <f aca="false">IFERROR((B26-D26)/D26,"")</f>
        <v>-0.196715509443352</v>
      </c>
    </row>
    <row r="27" customFormat="false" ht="15" hidden="false" customHeight="true" outlineLevel="0" collapsed="false">
      <c r="A27" s="1" t="s">
        <v>1733</v>
      </c>
      <c r="B27" s="4" t="n">
        <f aca="false">SUMIFS(Orders!$I$2:$I$5876,Orders!$L$2:$L$5876,A27,Orders!$H$2:$H$5876,"Completed")</f>
        <v>335336.58</v>
      </c>
      <c r="C27" s="1" t="n">
        <f aca="false">COUNTIFS(Orders!$L$2:$L$5876,A27,Orders!$H$2:$H$5876,"Completed")</f>
        <v>232</v>
      </c>
      <c r="D27" s="4" t="n">
        <f aca="false">B26</f>
        <v>252839.32</v>
      </c>
      <c r="E27" s="5" t="n">
        <f aca="false">IFERROR((B27-D27)/D27,"")</f>
        <v>0.326283348650044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6" style="1" width="2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2" min="11" style="1" width="14"/>
  </cols>
  <sheetData>
    <row r="1" customFormat="false" ht="15" hidden="false" customHeight="true" outlineLevel="0" collapsed="false">
      <c r="A1" s="3" t="s">
        <v>1734</v>
      </c>
    </row>
    <row r="3" customFormat="false" ht="15" hidden="false" customHeight="true" outlineLevel="0" collapsed="false">
      <c r="A3" s="6" t="s">
        <v>1735</v>
      </c>
    </row>
    <row r="4" customFormat="false" ht="15" hidden="false" customHeight="true" outlineLevel="0" collapsed="false">
      <c r="A4" s="2" t="s">
        <v>1736</v>
      </c>
      <c r="B4" s="2" t="s">
        <v>1</v>
      </c>
      <c r="C4" s="2" t="s">
        <v>5</v>
      </c>
      <c r="D4" s="2" t="s">
        <v>1707</v>
      </c>
      <c r="E4" s="2" t="s">
        <v>1706</v>
      </c>
    </row>
    <row r="5" customFormat="false" ht="15" hidden="false" customHeight="true" outlineLevel="0" collapsed="false">
      <c r="A5" s="1" t="n">
        <v>1</v>
      </c>
      <c r="B5" s="1" t="str">
        <f aca="false">INDEX($I$11:$I$510,MATCH(E5,$L$11:$L$510,0))</f>
        <v>Valentina Moore</v>
      </c>
      <c r="C5" s="1" t="str">
        <f aca="false">INDEX($J$11:$J$510,MATCH(E5,$L$11:$L$510,0))</f>
        <v>Small Business</v>
      </c>
      <c r="D5" s="1" t="n">
        <f aca="false">INDEX($K$11:$K$510,MATCH(E5,$L$11:$L$510,0))</f>
        <v>16</v>
      </c>
      <c r="E5" s="4" t="n">
        <f aca="false">LARGE($L$11:$L$510,A5)</f>
        <v>38263.17</v>
      </c>
    </row>
    <row r="6" customFormat="false" ht="15" hidden="false" customHeight="true" outlineLevel="0" collapsed="false">
      <c r="A6" s="1" t="n">
        <v>2</v>
      </c>
      <c r="B6" s="1" t="str">
        <f aca="false">INDEX($I$11:$I$510,MATCH(E6,$L$11:$L$510,0))</f>
        <v>Luis Taylor</v>
      </c>
      <c r="C6" s="1" t="str">
        <f aca="false">INDEX($J$11:$J$510,MATCH(E6,$L$11:$L$510,0))</f>
        <v>Consumer</v>
      </c>
      <c r="D6" s="1" t="n">
        <f aca="false">INDEX($K$11:$K$510,MATCH(E6,$L$11:$L$510,0))</f>
        <v>14</v>
      </c>
      <c r="E6" s="4" t="n">
        <f aca="false">LARGE($L$11:$L$510,A6)</f>
        <v>33409.68</v>
      </c>
    </row>
    <row r="7" customFormat="false" ht="15" hidden="false" customHeight="true" outlineLevel="0" collapsed="false">
      <c r="A7" s="1" t="n">
        <v>3</v>
      </c>
      <c r="B7" s="1" t="str">
        <f aca="false">INDEX($I$11:$I$510,MATCH(E7,$L$11:$L$510,0))</f>
        <v>Linda Wilson</v>
      </c>
      <c r="C7" s="1" t="str">
        <f aca="false">INDEX($J$11:$J$510,MATCH(E7,$L$11:$L$510,0))</f>
        <v>Small Business</v>
      </c>
      <c r="D7" s="1" t="n">
        <f aca="false">INDEX($K$11:$K$510,MATCH(E7,$L$11:$L$510,0))</f>
        <v>13</v>
      </c>
      <c r="E7" s="4" t="n">
        <f aca="false">LARGE($L$11:$L$510,A7)</f>
        <v>31839.05</v>
      </c>
    </row>
    <row r="8" customFormat="false" ht="15" hidden="false" customHeight="true" outlineLevel="0" collapsed="false">
      <c r="A8" s="1" t="n">
        <v>4</v>
      </c>
      <c r="B8" s="1" t="str">
        <f aca="false">INDEX($I$11:$I$510,MATCH(E8,$L$11:$L$510,0))</f>
        <v>Susan Thompson</v>
      </c>
      <c r="C8" s="1" t="str">
        <f aca="false">INDEX($J$11:$J$510,MATCH(E8,$L$11:$L$510,0))</f>
        <v>Small Business</v>
      </c>
      <c r="D8" s="1" t="n">
        <f aca="false">INDEX($K$11:$K$510,MATCH(E8,$L$11:$L$510,0))</f>
        <v>17</v>
      </c>
      <c r="E8" s="4" t="n">
        <f aca="false">LARGE($L$11:$L$510,A8)</f>
        <v>30422.42</v>
      </c>
    </row>
    <row r="9" customFormat="false" ht="15" hidden="false" customHeight="true" outlineLevel="0" collapsed="false">
      <c r="A9" s="1" t="n">
        <v>5</v>
      </c>
      <c r="B9" s="1" t="str">
        <f aca="false">INDEX($I$11:$I$510,MATCH(E9,$L$11:$L$510,0))</f>
        <v>Andres Thomas</v>
      </c>
      <c r="C9" s="1" t="str">
        <f aca="false">INDEX($J$11:$J$510,MATCH(E9,$L$11:$L$510,0))</f>
        <v>Consumer</v>
      </c>
      <c r="D9" s="1" t="n">
        <f aca="false">INDEX($K$11:$K$510,MATCH(E9,$L$11:$L$510,0))</f>
        <v>16</v>
      </c>
      <c r="E9" s="4" t="n">
        <f aca="false">LARGE($L$11:$L$510,A9)</f>
        <v>30372.47</v>
      </c>
    </row>
    <row r="10" customFormat="false" ht="15" hidden="false" customHeight="true" outlineLevel="0" collapsed="false">
      <c r="H10" s="6" t="s">
        <v>1737</v>
      </c>
    </row>
    <row r="11" customFormat="false" ht="15" hidden="false" customHeight="true" outlineLevel="0" collapsed="false">
      <c r="H11" s="2" t="s">
        <v>0</v>
      </c>
      <c r="I11" s="2" t="s">
        <v>1</v>
      </c>
      <c r="J11" s="2" t="s">
        <v>5</v>
      </c>
      <c r="K11" s="2" t="s">
        <v>1707</v>
      </c>
      <c r="L11" s="2" t="s">
        <v>1706</v>
      </c>
    </row>
    <row r="12" customFormat="false" ht="15" hidden="false" customHeight="true" outlineLevel="0" collapsed="false">
      <c r="H12" s="1" t="n">
        <v>1</v>
      </c>
      <c r="I12" s="1" t="str">
        <f aca="false">VLOOKUP(H12,Customers!$A$2:$G$501,2,FALSE())</f>
        <v>Linda Smith</v>
      </c>
      <c r="J12" s="1" t="str">
        <f aca="false">VLOOKUP(H12,Customers!$A$2:$G$501,6,FALSE())</f>
        <v>Consumer</v>
      </c>
      <c r="K12" s="1" t="n">
        <f aca="false">COUNTIFS(Orders!$B$2:$B$5876,H12,Orders!$H$2:$H$5876,"Completed")</f>
        <v>8</v>
      </c>
      <c r="L12" s="4" t="n">
        <f aca="false">SUMIFS(Orders!$I$2:$I$5876,Orders!$B$2:$B$5876,H12,Orders!$H$2:$H$5876,"Completed")</f>
        <v>12778.61</v>
      </c>
    </row>
    <row r="13" customFormat="false" ht="15" hidden="false" customHeight="true" outlineLevel="0" collapsed="false">
      <c r="H13" s="1" t="n">
        <v>2</v>
      </c>
      <c r="I13" s="1" t="str">
        <f aca="false">VLOOKUP(H13,Customers!$A$2:$G$501,2,FALSE())</f>
        <v>Robert Smith</v>
      </c>
      <c r="J13" s="1" t="str">
        <f aca="false">VLOOKUP(H13,Customers!$A$2:$G$501,6,FALSE())</f>
        <v>Small Business</v>
      </c>
      <c r="K13" s="1" t="n">
        <f aca="false">COUNTIFS(Orders!$B$2:$B$5876,H13,Orders!$H$2:$H$5876,"Completed")</f>
        <v>10</v>
      </c>
      <c r="L13" s="4" t="n">
        <f aca="false">SUMIFS(Orders!$I$2:$I$5876,Orders!$B$2:$B$5876,H13,Orders!$H$2:$H$5876,"Completed")</f>
        <v>16089.57</v>
      </c>
    </row>
    <row r="14" customFormat="false" ht="15" hidden="false" customHeight="true" outlineLevel="0" collapsed="false">
      <c r="H14" s="1" t="n">
        <v>3</v>
      </c>
      <c r="I14" s="1" t="str">
        <f aca="false">VLOOKUP(H14,Customers!$A$2:$G$501,2,FALSE())</f>
        <v>Joseph Anderson</v>
      </c>
      <c r="J14" s="1" t="str">
        <f aca="false">VLOOKUP(H14,Customers!$A$2:$G$501,6,FALSE())</f>
        <v>Corporate</v>
      </c>
      <c r="K14" s="1" t="n">
        <f aca="false">COUNTIFS(Orders!$B$2:$B$5876,H14,Orders!$H$2:$H$5876,"Completed")</f>
        <v>11</v>
      </c>
      <c r="L14" s="4" t="n">
        <f aca="false">SUMIFS(Orders!$I$2:$I$5876,Orders!$B$2:$B$5876,H14,Orders!$H$2:$H$5876,"Completed")</f>
        <v>18571.83</v>
      </c>
    </row>
    <row r="15" customFormat="false" ht="15" hidden="false" customHeight="true" outlineLevel="0" collapsed="false">
      <c r="H15" s="1" t="n">
        <v>4</v>
      </c>
      <c r="I15" s="1" t="str">
        <f aca="false">VLOOKUP(H15,Customers!$A$2:$G$501,2,FALSE())</f>
        <v>Susan Harris</v>
      </c>
      <c r="J15" s="1" t="str">
        <f aca="false">VLOOKUP(H15,Customers!$A$2:$G$501,6,FALSE())</f>
        <v>Consumer</v>
      </c>
      <c r="K15" s="1" t="n">
        <f aca="false">COUNTIFS(Orders!$B$2:$B$5876,H15,Orders!$H$2:$H$5876,"Completed")</f>
        <v>13</v>
      </c>
      <c r="L15" s="4" t="n">
        <f aca="false">SUMIFS(Orders!$I$2:$I$5876,Orders!$B$2:$B$5876,H15,Orders!$H$2:$H$5876,"Completed")</f>
        <v>19035.15</v>
      </c>
    </row>
    <row r="16" customFormat="false" ht="15" hidden="false" customHeight="true" outlineLevel="0" collapsed="false">
      <c r="H16" s="1" t="n">
        <v>5</v>
      </c>
      <c r="I16" s="1" t="str">
        <f aca="false">VLOOKUP(H16,Customers!$A$2:$G$501,2,FALSE())</f>
        <v>Luis Brown</v>
      </c>
      <c r="J16" s="1" t="str">
        <f aca="false">VLOOKUP(H16,Customers!$A$2:$G$501,6,FALSE())</f>
        <v>Small Business</v>
      </c>
      <c r="K16" s="1" t="n">
        <f aca="false">COUNTIFS(Orders!$B$2:$B$5876,H16,Orders!$H$2:$H$5876,"Completed")</f>
        <v>8</v>
      </c>
      <c r="L16" s="4" t="n">
        <f aca="false">SUMIFS(Orders!$I$2:$I$5876,Orders!$B$2:$B$5876,H16,Orders!$H$2:$H$5876,"Completed")</f>
        <v>8328.67</v>
      </c>
    </row>
    <row r="17" customFormat="false" ht="15" hidden="false" customHeight="true" outlineLevel="0" collapsed="false">
      <c r="H17" s="1" t="n">
        <v>6</v>
      </c>
      <c r="I17" s="1" t="str">
        <f aca="false">VLOOKUP(H17,Customers!$A$2:$G$501,2,FALSE())</f>
        <v>John Johnson</v>
      </c>
      <c r="J17" s="1" t="str">
        <f aca="false">VLOOKUP(H17,Customers!$A$2:$G$501,6,FALSE())</f>
        <v>Corporate</v>
      </c>
      <c r="K17" s="1" t="n">
        <f aca="false">COUNTIFS(Orders!$B$2:$B$5876,H17,Orders!$H$2:$H$5876,"Completed")</f>
        <v>12</v>
      </c>
      <c r="L17" s="4" t="n">
        <f aca="false">SUMIFS(Orders!$I$2:$I$5876,Orders!$B$2:$B$5876,H17,Orders!$H$2:$H$5876,"Completed")</f>
        <v>11477.45</v>
      </c>
    </row>
    <row r="18" customFormat="false" ht="15" hidden="false" customHeight="true" outlineLevel="0" collapsed="false">
      <c r="H18" s="1" t="n">
        <v>7</v>
      </c>
      <c r="I18" s="1" t="str">
        <f aca="false">VLOOKUP(H18,Customers!$A$2:$G$501,2,FALSE())</f>
        <v>Lisa Garcia</v>
      </c>
      <c r="J18" s="1" t="str">
        <f aca="false">VLOOKUP(H18,Customers!$A$2:$G$501,6,FALSE())</f>
        <v>Small Business</v>
      </c>
      <c r="K18" s="1" t="n">
        <f aca="false">COUNTIFS(Orders!$B$2:$B$5876,H18,Orders!$H$2:$H$5876,"Completed")</f>
        <v>14</v>
      </c>
      <c r="L18" s="4" t="n">
        <f aca="false">SUMIFS(Orders!$I$2:$I$5876,Orders!$B$2:$B$5876,H18,Orders!$H$2:$H$5876,"Completed")</f>
        <v>21059.52</v>
      </c>
    </row>
    <row r="19" customFormat="false" ht="15" hidden="false" customHeight="true" outlineLevel="0" collapsed="false">
      <c r="H19" s="1" t="n">
        <v>8</v>
      </c>
      <c r="I19" s="1" t="str">
        <f aca="false">VLOOKUP(H19,Customers!$A$2:$G$501,2,FALSE())</f>
        <v>Luis White</v>
      </c>
      <c r="J19" s="1" t="str">
        <f aca="false">VLOOKUP(H19,Customers!$A$2:$G$501,6,FALSE())</f>
        <v>Consumer</v>
      </c>
      <c r="K19" s="1" t="n">
        <f aca="false">COUNTIFS(Orders!$B$2:$B$5876,H19,Orders!$H$2:$H$5876,"Completed")</f>
        <v>6</v>
      </c>
      <c r="L19" s="4" t="n">
        <f aca="false">SUMIFS(Orders!$I$2:$I$5876,Orders!$B$2:$B$5876,H19,Orders!$H$2:$H$5876,"Completed")</f>
        <v>14261.02</v>
      </c>
    </row>
    <row r="20" customFormat="false" ht="15" hidden="false" customHeight="true" outlineLevel="0" collapsed="false">
      <c r="H20" s="1" t="n">
        <v>9</v>
      </c>
      <c r="I20" s="1" t="str">
        <f aca="false">VLOOKUP(H20,Customers!$A$2:$G$501,2,FALSE())</f>
        <v>Patricia Davis</v>
      </c>
      <c r="J20" s="1" t="str">
        <f aca="false">VLOOKUP(H20,Customers!$A$2:$G$501,6,FALSE())</f>
        <v>Small Business</v>
      </c>
      <c r="K20" s="1" t="n">
        <f aca="false">COUNTIFS(Orders!$B$2:$B$5876,H20,Orders!$H$2:$H$5876,"Completed")</f>
        <v>17</v>
      </c>
      <c r="L20" s="4" t="n">
        <f aca="false">SUMIFS(Orders!$I$2:$I$5876,Orders!$B$2:$B$5876,H20,Orders!$H$2:$H$5876,"Completed")</f>
        <v>16948.28</v>
      </c>
    </row>
    <row r="21" customFormat="false" ht="15" hidden="false" customHeight="true" outlineLevel="0" collapsed="false">
      <c r="H21" s="1" t="n">
        <v>10</v>
      </c>
      <c r="I21" s="1" t="str">
        <f aca="false">VLOOKUP(H21,Customers!$A$2:$G$501,2,FALSE())</f>
        <v>Valentina Gonzalez</v>
      </c>
      <c r="J21" s="1" t="str">
        <f aca="false">VLOOKUP(H21,Customers!$A$2:$G$501,6,FALSE())</f>
        <v>Small Business</v>
      </c>
      <c r="K21" s="1" t="n">
        <f aca="false">COUNTIFS(Orders!$B$2:$B$5876,H21,Orders!$H$2:$H$5876,"Completed")</f>
        <v>14</v>
      </c>
      <c r="L21" s="4" t="n">
        <f aca="false">SUMIFS(Orders!$I$2:$I$5876,Orders!$B$2:$B$5876,H21,Orders!$H$2:$H$5876,"Completed")</f>
        <v>26502.41</v>
      </c>
    </row>
    <row r="22" customFormat="false" ht="15" hidden="false" customHeight="true" outlineLevel="0" collapsed="false">
      <c r="H22" s="1" t="n">
        <v>11</v>
      </c>
      <c r="I22" s="1" t="str">
        <f aca="false">VLOOKUP(H22,Customers!$A$2:$G$501,2,FALSE())</f>
        <v>Mariana Gonzalez</v>
      </c>
      <c r="J22" s="1" t="str">
        <f aca="false">VLOOKUP(H22,Customers!$A$2:$G$501,6,FALSE())</f>
        <v>Consumer</v>
      </c>
      <c r="K22" s="1" t="n">
        <f aca="false">COUNTIFS(Orders!$B$2:$B$5876,H22,Orders!$H$2:$H$5876,"Completed")</f>
        <v>12</v>
      </c>
      <c r="L22" s="4" t="n">
        <f aca="false">SUMIFS(Orders!$I$2:$I$5876,Orders!$B$2:$B$5876,H22,Orders!$H$2:$H$5876,"Completed")</f>
        <v>13795.9</v>
      </c>
    </row>
    <row r="23" customFormat="false" ht="15" hidden="false" customHeight="true" outlineLevel="0" collapsed="false">
      <c r="H23" s="1" t="n">
        <v>12</v>
      </c>
      <c r="I23" s="1" t="str">
        <f aca="false">VLOOKUP(H23,Customers!$A$2:$G$501,2,FALSE())</f>
        <v>David Sanchez</v>
      </c>
      <c r="J23" s="1" t="str">
        <f aca="false">VLOOKUP(H23,Customers!$A$2:$G$501,6,FALSE())</f>
        <v>Small Business</v>
      </c>
      <c r="K23" s="1" t="n">
        <f aca="false">COUNTIFS(Orders!$B$2:$B$5876,H23,Orders!$H$2:$H$5876,"Completed")</f>
        <v>11</v>
      </c>
      <c r="L23" s="4" t="n">
        <f aca="false">SUMIFS(Orders!$I$2:$I$5876,Orders!$B$2:$B$5876,H23,Orders!$H$2:$H$5876,"Completed")</f>
        <v>22575.32</v>
      </c>
    </row>
    <row r="24" customFormat="false" ht="15" hidden="false" customHeight="true" outlineLevel="0" collapsed="false">
      <c r="H24" s="1" t="n">
        <v>13</v>
      </c>
      <c r="I24" s="1" t="str">
        <f aca="false">VLOOKUP(H24,Customers!$A$2:$G$501,2,FALSE())</f>
        <v>James Perez</v>
      </c>
      <c r="J24" s="1" t="str">
        <f aca="false">VLOOKUP(H24,Customers!$A$2:$G$501,6,FALSE())</f>
        <v>Corporate</v>
      </c>
      <c r="K24" s="1" t="n">
        <f aca="false">COUNTIFS(Orders!$B$2:$B$5876,H24,Orders!$H$2:$H$5876,"Completed")</f>
        <v>13</v>
      </c>
      <c r="L24" s="4" t="n">
        <f aca="false">SUMIFS(Orders!$I$2:$I$5876,Orders!$B$2:$B$5876,H24,Orders!$H$2:$H$5876,"Completed")</f>
        <v>11002.58</v>
      </c>
    </row>
    <row r="25" customFormat="false" ht="15" hidden="false" customHeight="true" outlineLevel="0" collapsed="false">
      <c r="H25" s="1" t="n">
        <v>14</v>
      </c>
      <c r="I25" s="1" t="str">
        <f aca="false">VLOOKUP(H25,Customers!$A$2:$G$501,2,FALSE())</f>
        <v>Camila Smith</v>
      </c>
      <c r="J25" s="1" t="str">
        <f aca="false">VLOOKUP(H25,Customers!$A$2:$G$501,6,FALSE())</f>
        <v>Small Business</v>
      </c>
      <c r="K25" s="1" t="n">
        <f aca="false">COUNTIFS(Orders!$B$2:$B$5876,H25,Orders!$H$2:$H$5876,"Completed")</f>
        <v>9</v>
      </c>
      <c r="L25" s="4" t="n">
        <f aca="false">SUMIFS(Orders!$I$2:$I$5876,Orders!$B$2:$B$5876,H25,Orders!$H$2:$H$5876,"Completed")</f>
        <v>13674.3</v>
      </c>
    </row>
    <row r="26" customFormat="false" ht="15" hidden="false" customHeight="true" outlineLevel="0" collapsed="false">
      <c r="H26" s="1" t="n">
        <v>15</v>
      </c>
      <c r="I26" s="1" t="str">
        <f aca="false">VLOOKUP(H26,Customers!$A$2:$G$501,2,FALSE())</f>
        <v>Richard Jones</v>
      </c>
      <c r="J26" s="1" t="str">
        <f aca="false">VLOOKUP(H26,Customers!$A$2:$G$501,6,FALSE())</f>
        <v>Corporate</v>
      </c>
      <c r="K26" s="1" t="n">
        <f aca="false">COUNTIFS(Orders!$B$2:$B$5876,H26,Orders!$H$2:$H$5876,"Completed")</f>
        <v>9</v>
      </c>
      <c r="L26" s="4" t="n">
        <f aca="false">SUMIFS(Orders!$I$2:$I$5876,Orders!$B$2:$B$5876,H26,Orders!$H$2:$H$5876,"Completed")</f>
        <v>12940.09</v>
      </c>
    </row>
    <row r="27" customFormat="false" ht="15" hidden="false" customHeight="true" outlineLevel="0" collapsed="false">
      <c r="H27" s="1" t="n">
        <v>16</v>
      </c>
      <c r="I27" s="1" t="str">
        <f aca="false">VLOOKUP(H27,Customers!$A$2:$G$501,2,FALSE())</f>
        <v>Linda Robinson</v>
      </c>
      <c r="J27" s="1" t="str">
        <f aca="false">VLOOKUP(H27,Customers!$A$2:$G$501,6,FALSE())</f>
        <v>Small Business</v>
      </c>
      <c r="K27" s="1" t="n">
        <f aca="false">COUNTIFS(Orders!$B$2:$B$5876,H27,Orders!$H$2:$H$5876,"Completed")</f>
        <v>5</v>
      </c>
      <c r="L27" s="4" t="n">
        <f aca="false">SUMIFS(Orders!$I$2:$I$5876,Orders!$B$2:$B$5876,H27,Orders!$H$2:$H$5876,"Completed")</f>
        <v>9492.19</v>
      </c>
    </row>
    <row r="28" customFormat="false" ht="15" hidden="false" customHeight="true" outlineLevel="0" collapsed="false">
      <c r="H28" s="1" t="n">
        <v>17</v>
      </c>
      <c r="I28" s="1" t="str">
        <f aca="false">VLOOKUP(H28,Customers!$A$2:$G$501,2,FALSE())</f>
        <v>John Harris</v>
      </c>
      <c r="J28" s="1" t="str">
        <f aca="false">VLOOKUP(H28,Customers!$A$2:$G$501,6,FALSE())</f>
        <v>Small Business</v>
      </c>
      <c r="K28" s="1" t="n">
        <f aca="false">COUNTIFS(Orders!$B$2:$B$5876,H28,Orders!$H$2:$H$5876,"Completed")</f>
        <v>7</v>
      </c>
      <c r="L28" s="4" t="n">
        <f aca="false">SUMIFS(Orders!$I$2:$I$5876,Orders!$B$2:$B$5876,H28,Orders!$H$2:$H$5876,"Completed")</f>
        <v>4561.99</v>
      </c>
    </row>
    <row r="29" customFormat="false" ht="15" hidden="false" customHeight="true" outlineLevel="0" collapsed="false">
      <c r="H29" s="1" t="n">
        <v>18</v>
      </c>
      <c r="I29" s="1" t="str">
        <f aca="false">VLOOKUP(H29,Customers!$A$2:$G$501,2,FALSE())</f>
        <v>Susan Robinson</v>
      </c>
      <c r="J29" s="1" t="str">
        <f aca="false">VLOOKUP(H29,Customers!$A$2:$G$501,6,FALSE())</f>
        <v>Corporate</v>
      </c>
      <c r="K29" s="1" t="n">
        <f aca="false">COUNTIFS(Orders!$B$2:$B$5876,H29,Orders!$H$2:$H$5876,"Completed")</f>
        <v>9</v>
      </c>
      <c r="L29" s="4" t="n">
        <f aca="false">SUMIFS(Orders!$I$2:$I$5876,Orders!$B$2:$B$5876,H29,Orders!$H$2:$H$5876,"Completed")</f>
        <v>15657.79</v>
      </c>
    </row>
    <row r="30" customFormat="false" ht="15" hidden="false" customHeight="true" outlineLevel="0" collapsed="false">
      <c r="H30" s="1" t="n">
        <v>19</v>
      </c>
      <c r="I30" s="1" t="str">
        <f aca="false">VLOOKUP(H30,Customers!$A$2:$G$501,2,FALSE())</f>
        <v>Juan Brown</v>
      </c>
      <c r="J30" s="1" t="str">
        <f aca="false">VLOOKUP(H30,Customers!$A$2:$G$501,6,FALSE())</f>
        <v>Consumer</v>
      </c>
      <c r="K30" s="1" t="n">
        <f aca="false">COUNTIFS(Orders!$B$2:$B$5876,H30,Orders!$H$2:$H$5876,"Completed")</f>
        <v>13</v>
      </c>
      <c r="L30" s="4" t="n">
        <f aca="false">SUMIFS(Orders!$I$2:$I$5876,Orders!$B$2:$B$5876,H30,Orders!$H$2:$H$5876,"Completed")</f>
        <v>10966.09</v>
      </c>
    </row>
    <row r="31" customFormat="false" ht="15" hidden="false" customHeight="true" outlineLevel="0" collapsed="false">
      <c r="H31" s="1" t="n">
        <v>20</v>
      </c>
      <c r="I31" s="1" t="str">
        <f aca="false">VLOOKUP(H31,Customers!$A$2:$G$501,2,FALSE())</f>
        <v>Patricia Davis</v>
      </c>
      <c r="J31" s="1" t="str">
        <f aca="false">VLOOKUP(H31,Customers!$A$2:$G$501,6,FALSE())</f>
        <v>Consumer</v>
      </c>
      <c r="K31" s="1" t="n">
        <f aca="false">COUNTIFS(Orders!$B$2:$B$5876,H31,Orders!$H$2:$H$5876,"Completed")</f>
        <v>7</v>
      </c>
      <c r="L31" s="4" t="n">
        <f aca="false">SUMIFS(Orders!$I$2:$I$5876,Orders!$B$2:$B$5876,H31,Orders!$H$2:$H$5876,"Completed")</f>
        <v>8638.16</v>
      </c>
    </row>
    <row r="32" customFormat="false" ht="15" hidden="false" customHeight="true" outlineLevel="0" collapsed="false">
      <c r="H32" s="1" t="n">
        <v>21</v>
      </c>
      <c r="I32" s="1" t="str">
        <f aca="false">VLOOKUP(H32,Customers!$A$2:$G$501,2,FALSE())</f>
        <v>Diego Jackson</v>
      </c>
      <c r="J32" s="1" t="str">
        <f aca="false">VLOOKUP(H32,Customers!$A$2:$G$501,6,FALSE())</f>
        <v>Corporate</v>
      </c>
      <c r="K32" s="1" t="n">
        <f aca="false">COUNTIFS(Orders!$B$2:$B$5876,H32,Orders!$H$2:$H$5876,"Completed")</f>
        <v>7</v>
      </c>
      <c r="L32" s="4" t="n">
        <f aca="false">SUMIFS(Orders!$I$2:$I$5876,Orders!$B$2:$B$5876,H32,Orders!$H$2:$H$5876,"Completed")</f>
        <v>11255.25</v>
      </c>
    </row>
    <row r="33" customFormat="false" ht="15" hidden="false" customHeight="true" outlineLevel="0" collapsed="false">
      <c r="H33" s="1" t="n">
        <v>22</v>
      </c>
      <c r="I33" s="1" t="str">
        <f aca="false">VLOOKUP(H33,Customers!$A$2:$G$501,2,FALSE())</f>
        <v>Mark Anderson</v>
      </c>
      <c r="J33" s="1" t="str">
        <f aca="false">VLOOKUP(H33,Customers!$A$2:$G$501,6,FALSE())</f>
        <v>Consumer</v>
      </c>
      <c r="K33" s="1" t="n">
        <f aca="false">COUNTIFS(Orders!$B$2:$B$5876,H33,Orders!$H$2:$H$5876,"Completed")</f>
        <v>8</v>
      </c>
      <c r="L33" s="4" t="n">
        <f aca="false">SUMIFS(Orders!$I$2:$I$5876,Orders!$B$2:$B$5876,H33,Orders!$H$2:$H$5876,"Completed")</f>
        <v>15147.53</v>
      </c>
    </row>
    <row r="34" customFormat="false" ht="15" hidden="false" customHeight="true" outlineLevel="0" collapsed="false">
      <c r="H34" s="1" t="n">
        <v>23</v>
      </c>
      <c r="I34" s="1" t="str">
        <f aca="false">VLOOKUP(H34,Customers!$A$2:$G$501,2,FALSE())</f>
        <v>Richard Moore</v>
      </c>
      <c r="J34" s="1" t="str">
        <f aca="false">VLOOKUP(H34,Customers!$A$2:$G$501,6,FALSE())</f>
        <v>Corporate</v>
      </c>
      <c r="K34" s="1" t="n">
        <f aca="false">COUNTIFS(Orders!$B$2:$B$5876,H34,Orders!$H$2:$H$5876,"Completed")</f>
        <v>8</v>
      </c>
      <c r="L34" s="4" t="n">
        <f aca="false">SUMIFS(Orders!$I$2:$I$5876,Orders!$B$2:$B$5876,H34,Orders!$H$2:$H$5876,"Completed")</f>
        <v>14956.19</v>
      </c>
    </row>
    <row r="35" customFormat="false" ht="15" hidden="false" customHeight="true" outlineLevel="0" collapsed="false">
      <c r="H35" s="1" t="n">
        <v>24</v>
      </c>
      <c r="I35" s="1" t="str">
        <f aca="false">VLOOKUP(H35,Customers!$A$2:$G$501,2,FALSE())</f>
        <v>Isabella Brown</v>
      </c>
      <c r="J35" s="1" t="str">
        <f aca="false">VLOOKUP(H35,Customers!$A$2:$G$501,6,FALSE())</f>
        <v>Consumer</v>
      </c>
      <c r="K35" s="1" t="n">
        <f aca="false">COUNTIFS(Orders!$B$2:$B$5876,H35,Orders!$H$2:$H$5876,"Completed")</f>
        <v>9</v>
      </c>
      <c r="L35" s="4" t="n">
        <f aca="false">SUMIFS(Orders!$I$2:$I$5876,Orders!$B$2:$B$5876,H35,Orders!$H$2:$H$5876,"Completed")</f>
        <v>10259.85</v>
      </c>
    </row>
    <row r="36" customFormat="false" ht="15" hidden="false" customHeight="true" outlineLevel="0" collapsed="false">
      <c r="H36" s="1" t="n">
        <v>25</v>
      </c>
      <c r="I36" s="1" t="str">
        <f aca="false">VLOOKUP(H36,Customers!$A$2:$G$501,2,FALSE())</f>
        <v>Valentina Thomas</v>
      </c>
      <c r="J36" s="1" t="str">
        <f aca="false">VLOOKUP(H36,Customers!$A$2:$G$501,6,FALSE())</f>
        <v>Corporate</v>
      </c>
      <c r="K36" s="1" t="n">
        <f aca="false">COUNTIFS(Orders!$B$2:$B$5876,H36,Orders!$H$2:$H$5876,"Completed")</f>
        <v>13</v>
      </c>
      <c r="L36" s="4" t="n">
        <f aca="false">SUMIFS(Orders!$I$2:$I$5876,Orders!$B$2:$B$5876,H36,Orders!$H$2:$H$5876,"Completed")</f>
        <v>15358.96</v>
      </c>
    </row>
    <row r="37" customFormat="false" ht="15" hidden="false" customHeight="true" outlineLevel="0" collapsed="false">
      <c r="H37" s="1" t="n">
        <v>26</v>
      </c>
      <c r="I37" s="1" t="str">
        <f aca="false">VLOOKUP(H37,Customers!$A$2:$G$501,2,FALSE())</f>
        <v>Camila Martinez</v>
      </c>
      <c r="J37" s="1" t="str">
        <f aca="false">VLOOKUP(H37,Customers!$A$2:$G$501,6,FALSE())</f>
        <v>Consumer</v>
      </c>
      <c r="K37" s="1" t="n">
        <f aca="false">COUNTIFS(Orders!$B$2:$B$5876,H37,Orders!$H$2:$H$5876,"Completed")</f>
        <v>9</v>
      </c>
      <c r="L37" s="4" t="n">
        <f aca="false">SUMIFS(Orders!$I$2:$I$5876,Orders!$B$2:$B$5876,H37,Orders!$H$2:$H$5876,"Completed")</f>
        <v>17038.01</v>
      </c>
    </row>
    <row r="38" customFormat="false" ht="15" hidden="false" customHeight="true" outlineLevel="0" collapsed="false">
      <c r="H38" s="1" t="n">
        <v>27</v>
      </c>
      <c r="I38" s="1" t="str">
        <f aca="false">VLOOKUP(H38,Customers!$A$2:$G$501,2,FALSE())</f>
        <v>Susan Johnson</v>
      </c>
      <c r="J38" s="1" t="str">
        <f aca="false">VLOOKUP(H38,Customers!$A$2:$G$501,6,FALSE())</f>
        <v>Small Business</v>
      </c>
      <c r="K38" s="1" t="n">
        <f aca="false">COUNTIFS(Orders!$B$2:$B$5876,H38,Orders!$H$2:$H$5876,"Completed")</f>
        <v>16</v>
      </c>
      <c r="L38" s="4" t="n">
        <f aca="false">SUMIFS(Orders!$I$2:$I$5876,Orders!$B$2:$B$5876,H38,Orders!$H$2:$H$5876,"Completed")</f>
        <v>20889.47</v>
      </c>
    </row>
    <row r="39" customFormat="false" ht="15" hidden="false" customHeight="true" outlineLevel="0" collapsed="false">
      <c r="H39" s="1" t="n">
        <v>28</v>
      </c>
      <c r="I39" s="1" t="str">
        <f aca="false">VLOOKUP(H39,Customers!$A$2:$G$501,2,FALSE())</f>
        <v>Carlos Williams</v>
      </c>
      <c r="J39" s="1" t="str">
        <f aca="false">VLOOKUP(H39,Customers!$A$2:$G$501,6,FALSE())</f>
        <v>Small Business</v>
      </c>
      <c r="K39" s="1" t="n">
        <f aca="false">COUNTIFS(Orders!$B$2:$B$5876,H39,Orders!$H$2:$H$5876,"Completed")</f>
        <v>12</v>
      </c>
      <c r="L39" s="4" t="n">
        <f aca="false">SUMIFS(Orders!$I$2:$I$5876,Orders!$B$2:$B$5876,H39,Orders!$H$2:$H$5876,"Completed")</f>
        <v>17310.09</v>
      </c>
    </row>
    <row r="40" customFormat="false" ht="15" hidden="false" customHeight="true" outlineLevel="0" collapsed="false">
      <c r="H40" s="1" t="n">
        <v>29</v>
      </c>
      <c r="I40" s="1" t="str">
        <f aca="false">VLOOKUP(H40,Customers!$A$2:$G$501,2,FALSE())</f>
        <v>Miguel Johnson</v>
      </c>
      <c r="J40" s="1" t="str">
        <f aca="false">VLOOKUP(H40,Customers!$A$2:$G$501,6,FALSE())</f>
        <v>Small Business</v>
      </c>
      <c r="K40" s="1" t="n">
        <f aca="false">COUNTIFS(Orders!$B$2:$B$5876,H40,Orders!$H$2:$H$5876,"Completed")</f>
        <v>8</v>
      </c>
      <c r="L40" s="4" t="n">
        <f aca="false">SUMIFS(Orders!$I$2:$I$5876,Orders!$B$2:$B$5876,H40,Orders!$H$2:$H$5876,"Completed")</f>
        <v>18864.99</v>
      </c>
    </row>
    <row r="41" customFormat="false" ht="15" hidden="false" customHeight="true" outlineLevel="0" collapsed="false">
      <c r="H41" s="1" t="n">
        <v>30</v>
      </c>
      <c r="I41" s="1" t="str">
        <f aca="false">VLOOKUP(H41,Customers!$A$2:$G$501,2,FALSE())</f>
        <v>Jessica Rodriguez</v>
      </c>
      <c r="J41" s="1" t="str">
        <f aca="false">VLOOKUP(H41,Customers!$A$2:$G$501,6,FALSE())</f>
        <v>Unknown</v>
      </c>
      <c r="K41" s="1" t="n">
        <f aca="false">COUNTIFS(Orders!$B$2:$B$5876,H41,Orders!$H$2:$H$5876,"Completed")</f>
        <v>9</v>
      </c>
      <c r="L41" s="4" t="n">
        <f aca="false">SUMIFS(Orders!$I$2:$I$5876,Orders!$B$2:$B$5876,H41,Orders!$H$2:$H$5876,"Completed")</f>
        <v>13676.1</v>
      </c>
    </row>
    <row r="42" customFormat="false" ht="15" hidden="false" customHeight="true" outlineLevel="0" collapsed="false">
      <c r="H42" s="1" t="n">
        <v>31</v>
      </c>
      <c r="I42" s="1" t="str">
        <f aca="false">VLOOKUP(H42,Customers!$A$2:$G$501,2,FALSE())</f>
        <v>Laura Jackson</v>
      </c>
      <c r="J42" s="1" t="str">
        <f aca="false">VLOOKUP(H42,Customers!$A$2:$G$501,6,FALSE())</f>
        <v>Consumer</v>
      </c>
      <c r="K42" s="1" t="n">
        <f aca="false">COUNTIFS(Orders!$B$2:$B$5876,H42,Orders!$H$2:$H$5876,"Completed")</f>
        <v>9</v>
      </c>
      <c r="L42" s="4" t="n">
        <f aca="false">SUMIFS(Orders!$I$2:$I$5876,Orders!$B$2:$B$5876,H42,Orders!$H$2:$H$5876,"Completed")</f>
        <v>8718.4</v>
      </c>
    </row>
    <row r="43" customFormat="false" ht="15" hidden="false" customHeight="true" outlineLevel="0" collapsed="false">
      <c r="H43" s="1" t="n">
        <v>32</v>
      </c>
      <c r="I43" s="1" t="str">
        <f aca="false">VLOOKUP(H43,Customers!$A$2:$G$501,2,FALSE())</f>
        <v>Lisa Martinez</v>
      </c>
      <c r="J43" s="1" t="str">
        <f aca="false">VLOOKUP(H43,Customers!$A$2:$G$501,6,FALSE())</f>
        <v>Small Business</v>
      </c>
      <c r="K43" s="1" t="n">
        <f aca="false">COUNTIFS(Orders!$B$2:$B$5876,H43,Orders!$H$2:$H$5876,"Completed")</f>
        <v>14</v>
      </c>
      <c r="L43" s="4" t="n">
        <f aca="false">SUMIFS(Orders!$I$2:$I$5876,Orders!$B$2:$B$5876,H43,Orders!$H$2:$H$5876,"Completed")</f>
        <v>21691.71</v>
      </c>
    </row>
    <row r="44" customFormat="false" ht="15" hidden="false" customHeight="true" outlineLevel="0" collapsed="false">
      <c r="H44" s="1" t="n">
        <v>33</v>
      </c>
      <c r="I44" s="1" t="str">
        <f aca="false">VLOOKUP(H44,Customers!$A$2:$G$501,2,FALSE())</f>
        <v>Isabella Martinez</v>
      </c>
      <c r="J44" s="1" t="str">
        <f aca="false">VLOOKUP(H44,Customers!$A$2:$G$501,6,FALSE())</f>
        <v>Corporate</v>
      </c>
      <c r="K44" s="1" t="n">
        <f aca="false">COUNTIFS(Orders!$B$2:$B$5876,H44,Orders!$H$2:$H$5876,"Completed")</f>
        <v>14</v>
      </c>
      <c r="L44" s="4" t="n">
        <f aca="false">SUMIFS(Orders!$I$2:$I$5876,Orders!$B$2:$B$5876,H44,Orders!$H$2:$H$5876,"Completed")</f>
        <v>13788.49</v>
      </c>
    </row>
    <row r="45" customFormat="false" ht="15" hidden="false" customHeight="true" outlineLevel="0" collapsed="false">
      <c r="H45" s="1" t="n">
        <v>34</v>
      </c>
      <c r="I45" s="1" t="str">
        <f aca="false">VLOOKUP(H45,Customers!$A$2:$G$501,2,FALSE())</f>
        <v>Nancy Miller</v>
      </c>
      <c r="J45" s="1" t="str">
        <f aca="false">VLOOKUP(H45,Customers!$A$2:$G$501,6,FALSE())</f>
        <v>Corporate</v>
      </c>
      <c r="K45" s="1" t="n">
        <f aca="false">COUNTIFS(Orders!$B$2:$B$5876,H45,Orders!$H$2:$H$5876,"Completed")</f>
        <v>8</v>
      </c>
      <c r="L45" s="4" t="n">
        <f aca="false">SUMIFS(Orders!$I$2:$I$5876,Orders!$B$2:$B$5876,H45,Orders!$H$2:$H$5876,"Completed")</f>
        <v>8582.19</v>
      </c>
    </row>
    <row r="46" customFormat="false" ht="15" hidden="false" customHeight="true" outlineLevel="0" collapsed="false">
      <c r="H46" s="1" t="n">
        <v>35</v>
      </c>
      <c r="I46" s="1" t="str">
        <f aca="false">VLOOKUP(H46,Customers!$A$2:$G$501,2,FALSE())</f>
        <v>Robert Smith</v>
      </c>
      <c r="J46" s="1" t="str">
        <f aca="false">VLOOKUP(H46,Customers!$A$2:$G$501,6,FALSE())</f>
        <v>Corporate</v>
      </c>
      <c r="K46" s="1" t="n">
        <f aca="false">COUNTIFS(Orders!$B$2:$B$5876,H46,Orders!$H$2:$H$5876,"Completed")</f>
        <v>6</v>
      </c>
      <c r="L46" s="4" t="n">
        <f aca="false">SUMIFS(Orders!$I$2:$I$5876,Orders!$B$2:$B$5876,H46,Orders!$H$2:$H$5876,"Completed")</f>
        <v>9349.82</v>
      </c>
    </row>
    <row r="47" customFormat="false" ht="15" hidden="false" customHeight="true" outlineLevel="0" collapsed="false">
      <c r="H47" s="1" t="n">
        <v>36</v>
      </c>
      <c r="I47" s="1" t="str">
        <f aca="false">VLOOKUP(H47,Customers!$A$2:$G$501,2,FALSE())</f>
        <v>Linda Williams</v>
      </c>
      <c r="J47" s="1" t="str">
        <f aca="false">VLOOKUP(H47,Customers!$A$2:$G$501,6,FALSE())</f>
        <v>Consumer</v>
      </c>
      <c r="K47" s="1" t="n">
        <f aca="false">COUNTIFS(Orders!$B$2:$B$5876,H47,Orders!$H$2:$H$5876,"Completed")</f>
        <v>5</v>
      </c>
      <c r="L47" s="4" t="n">
        <f aca="false">SUMIFS(Orders!$I$2:$I$5876,Orders!$B$2:$B$5876,H47,Orders!$H$2:$H$5876,"Completed")</f>
        <v>6239.6</v>
      </c>
    </row>
    <row r="48" customFormat="false" ht="15" hidden="false" customHeight="true" outlineLevel="0" collapsed="false">
      <c r="H48" s="1" t="n">
        <v>37</v>
      </c>
      <c r="I48" s="1" t="str">
        <f aca="false">VLOOKUP(H48,Customers!$A$2:$G$501,2,FALSE())</f>
        <v>Robert Lewis</v>
      </c>
      <c r="J48" s="1" t="str">
        <f aca="false">VLOOKUP(H48,Customers!$A$2:$G$501,6,FALSE())</f>
        <v>Corporate</v>
      </c>
      <c r="K48" s="1" t="n">
        <f aca="false">COUNTIFS(Orders!$B$2:$B$5876,H48,Orders!$H$2:$H$5876,"Completed")</f>
        <v>8</v>
      </c>
      <c r="L48" s="4" t="n">
        <f aca="false">SUMIFS(Orders!$I$2:$I$5876,Orders!$B$2:$B$5876,H48,Orders!$H$2:$H$5876,"Completed")</f>
        <v>10448.25</v>
      </c>
    </row>
    <row r="49" customFormat="false" ht="15" hidden="false" customHeight="true" outlineLevel="0" collapsed="false">
      <c r="H49" s="1" t="n">
        <v>38</v>
      </c>
      <c r="I49" s="1" t="str">
        <f aca="false">VLOOKUP(H49,Customers!$A$2:$G$501,2,FALSE())</f>
        <v>Elizabeth Robinson</v>
      </c>
      <c r="J49" s="1" t="str">
        <f aca="false">VLOOKUP(H49,Customers!$A$2:$G$501,6,FALSE())</f>
        <v>Small Business</v>
      </c>
      <c r="K49" s="1" t="n">
        <f aca="false">COUNTIFS(Orders!$B$2:$B$5876,H49,Orders!$H$2:$H$5876,"Completed")</f>
        <v>9</v>
      </c>
      <c r="L49" s="4" t="n">
        <f aca="false">SUMIFS(Orders!$I$2:$I$5876,Orders!$B$2:$B$5876,H49,Orders!$H$2:$H$5876,"Completed")</f>
        <v>11138.36</v>
      </c>
    </row>
    <row r="50" customFormat="false" ht="15" hidden="false" customHeight="true" outlineLevel="0" collapsed="false">
      <c r="H50" s="1" t="n">
        <v>39</v>
      </c>
      <c r="I50" s="1" t="str">
        <f aca="false">VLOOKUP(H50,Customers!$A$2:$G$501,2,FALSE())</f>
        <v>Mark Sanchez</v>
      </c>
      <c r="J50" s="1" t="str">
        <f aca="false">VLOOKUP(H50,Customers!$A$2:$G$501,6,FALSE())</f>
        <v>Corporate</v>
      </c>
      <c r="K50" s="1" t="n">
        <f aca="false">COUNTIFS(Orders!$B$2:$B$5876,H50,Orders!$H$2:$H$5876,"Completed")</f>
        <v>9</v>
      </c>
      <c r="L50" s="4" t="n">
        <f aca="false">SUMIFS(Orders!$I$2:$I$5876,Orders!$B$2:$B$5876,H50,Orders!$H$2:$H$5876,"Completed")</f>
        <v>12638.19</v>
      </c>
    </row>
    <row r="51" customFormat="false" ht="15" hidden="false" customHeight="true" outlineLevel="0" collapsed="false">
      <c r="H51" s="1" t="n">
        <v>40</v>
      </c>
      <c r="I51" s="1" t="str">
        <f aca="false">VLOOKUP(H51,Customers!$A$2:$G$501,2,FALSE())</f>
        <v>Camila Lopez</v>
      </c>
      <c r="J51" s="1" t="str">
        <f aca="false">VLOOKUP(H51,Customers!$A$2:$G$501,6,FALSE())</f>
        <v>Consumer</v>
      </c>
      <c r="K51" s="1" t="n">
        <f aca="false">COUNTIFS(Orders!$B$2:$B$5876,H51,Orders!$H$2:$H$5876,"Completed")</f>
        <v>11</v>
      </c>
      <c r="L51" s="4" t="n">
        <f aca="false">SUMIFS(Orders!$I$2:$I$5876,Orders!$B$2:$B$5876,H51,Orders!$H$2:$H$5876,"Completed")</f>
        <v>16087.01</v>
      </c>
    </row>
    <row r="52" customFormat="false" ht="15" hidden="false" customHeight="true" outlineLevel="0" collapsed="false">
      <c r="H52" s="1" t="n">
        <v>41</v>
      </c>
      <c r="I52" s="1" t="str">
        <f aca="false">VLOOKUP(H52,Customers!$A$2:$G$501,2,FALSE())</f>
        <v>Sarah Lopez</v>
      </c>
      <c r="J52" s="1" t="str">
        <f aca="false">VLOOKUP(H52,Customers!$A$2:$G$501,6,FALSE())</f>
        <v>Corporate</v>
      </c>
      <c r="K52" s="1" t="n">
        <f aca="false">COUNTIFS(Orders!$B$2:$B$5876,H52,Orders!$H$2:$H$5876,"Completed")</f>
        <v>10</v>
      </c>
      <c r="L52" s="4" t="n">
        <f aca="false">SUMIFS(Orders!$I$2:$I$5876,Orders!$B$2:$B$5876,H52,Orders!$H$2:$H$5876,"Completed")</f>
        <v>8058.88</v>
      </c>
    </row>
    <row r="53" customFormat="false" ht="15" hidden="false" customHeight="true" outlineLevel="0" collapsed="false">
      <c r="H53" s="1" t="n">
        <v>42</v>
      </c>
      <c r="I53" s="1" t="str">
        <f aca="false">VLOOKUP(H53,Customers!$A$2:$G$501,2,FALSE())</f>
        <v>Thomas Johnson</v>
      </c>
      <c r="J53" s="1" t="str">
        <f aca="false">VLOOKUP(H53,Customers!$A$2:$G$501,6,FALSE())</f>
        <v>Small Business</v>
      </c>
      <c r="K53" s="1" t="n">
        <f aca="false">COUNTIFS(Orders!$B$2:$B$5876,H53,Orders!$H$2:$H$5876,"Completed")</f>
        <v>10</v>
      </c>
      <c r="L53" s="4" t="n">
        <f aca="false">SUMIFS(Orders!$I$2:$I$5876,Orders!$B$2:$B$5876,H53,Orders!$H$2:$H$5876,"Completed")</f>
        <v>7051.67</v>
      </c>
    </row>
    <row r="54" customFormat="false" ht="15" hidden="false" customHeight="true" outlineLevel="0" collapsed="false">
      <c r="H54" s="1" t="n">
        <v>43</v>
      </c>
      <c r="I54" s="1" t="str">
        <f aca="false">VLOOKUP(H54,Customers!$A$2:$G$501,2,FALSE())</f>
        <v>Diego Miller</v>
      </c>
      <c r="J54" s="1" t="str">
        <f aca="false">VLOOKUP(H54,Customers!$A$2:$G$501,6,FALSE())</f>
        <v>Small Business</v>
      </c>
      <c r="K54" s="1" t="n">
        <f aca="false">COUNTIFS(Orders!$B$2:$B$5876,H54,Orders!$H$2:$H$5876,"Completed")</f>
        <v>15</v>
      </c>
      <c r="L54" s="4" t="n">
        <f aca="false">SUMIFS(Orders!$I$2:$I$5876,Orders!$B$2:$B$5876,H54,Orders!$H$2:$H$5876,"Completed")</f>
        <v>21875.8</v>
      </c>
    </row>
    <row r="55" customFormat="false" ht="15" hidden="false" customHeight="true" outlineLevel="0" collapsed="false">
      <c r="H55" s="1" t="n">
        <v>44</v>
      </c>
      <c r="I55" s="1" t="str">
        <f aca="false">VLOOKUP(H55,Customers!$A$2:$G$501,2,FALSE())</f>
        <v>Richard Lopez</v>
      </c>
      <c r="J55" s="1" t="str">
        <f aca="false">VLOOKUP(H55,Customers!$A$2:$G$501,6,FALSE())</f>
        <v>Consumer</v>
      </c>
      <c r="K55" s="1" t="n">
        <f aca="false">COUNTIFS(Orders!$B$2:$B$5876,H55,Orders!$H$2:$H$5876,"Completed")</f>
        <v>4</v>
      </c>
      <c r="L55" s="4" t="n">
        <f aca="false">SUMIFS(Orders!$I$2:$I$5876,Orders!$B$2:$B$5876,H55,Orders!$H$2:$H$5876,"Completed")</f>
        <v>13391.5</v>
      </c>
    </row>
    <row r="56" customFormat="false" ht="15" hidden="false" customHeight="true" outlineLevel="0" collapsed="false">
      <c r="H56" s="1" t="n">
        <v>45</v>
      </c>
      <c r="I56" s="1" t="str">
        <f aca="false">VLOOKUP(H56,Customers!$A$2:$G$501,2,FALSE())</f>
        <v>Karen Taylor</v>
      </c>
      <c r="J56" s="1" t="str">
        <f aca="false">VLOOKUP(H56,Customers!$A$2:$G$501,6,FALSE())</f>
        <v>Corporate</v>
      </c>
      <c r="K56" s="1" t="n">
        <f aca="false">COUNTIFS(Orders!$B$2:$B$5876,H56,Orders!$H$2:$H$5876,"Completed")</f>
        <v>10</v>
      </c>
      <c r="L56" s="4" t="n">
        <f aca="false">SUMIFS(Orders!$I$2:$I$5876,Orders!$B$2:$B$5876,H56,Orders!$H$2:$H$5876,"Completed")</f>
        <v>15366.95</v>
      </c>
    </row>
    <row r="57" customFormat="false" ht="15" hidden="false" customHeight="true" outlineLevel="0" collapsed="false">
      <c r="H57" s="1" t="n">
        <v>46</v>
      </c>
      <c r="I57" s="1" t="str">
        <f aca="false">VLOOKUP(H57,Customers!$A$2:$G$501,2,FALSE())</f>
        <v>Anthony Perez</v>
      </c>
      <c r="J57" s="1" t="str">
        <f aca="false">VLOOKUP(H57,Customers!$A$2:$G$501,6,FALSE())</f>
        <v>Consumer</v>
      </c>
      <c r="K57" s="1" t="n">
        <f aca="false">COUNTIFS(Orders!$B$2:$B$5876,H57,Orders!$H$2:$H$5876,"Completed")</f>
        <v>12</v>
      </c>
      <c r="L57" s="4" t="n">
        <f aca="false">SUMIFS(Orders!$I$2:$I$5876,Orders!$B$2:$B$5876,H57,Orders!$H$2:$H$5876,"Completed")</f>
        <v>18377.25</v>
      </c>
    </row>
    <row r="58" customFormat="false" ht="15" hidden="false" customHeight="true" outlineLevel="0" collapsed="false">
      <c r="H58" s="1" t="n">
        <v>47</v>
      </c>
      <c r="I58" s="1" t="str">
        <f aca="false">VLOOKUP(H58,Customers!$A$2:$G$501,2,FALSE())</f>
        <v>Mariana Martin</v>
      </c>
      <c r="J58" s="1" t="str">
        <f aca="false">VLOOKUP(H58,Customers!$A$2:$G$501,6,FALSE())</f>
        <v>Small Business</v>
      </c>
      <c r="K58" s="1" t="n">
        <f aca="false">COUNTIFS(Orders!$B$2:$B$5876,H58,Orders!$H$2:$H$5876,"Completed")</f>
        <v>5</v>
      </c>
      <c r="L58" s="4" t="n">
        <f aca="false">SUMIFS(Orders!$I$2:$I$5876,Orders!$B$2:$B$5876,H58,Orders!$H$2:$H$5876,"Completed")</f>
        <v>8045.07</v>
      </c>
    </row>
    <row r="59" customFormat="false" ht="15" hidden="false" customHeight="true" outlineLevel="0" collapsed="false">
      <c r="H59" s="1" t="n">
        <v>48</v>
      </c>
      <c r="I59" s="1" t="str">
        <f aca="false">VLOOKUP(H59,Customers!$A$2:$G$501,2,FALSE())</f>
        <v>Jennifer Martinez</v>
      </c>
      <c r="J59" s="1" t="str">
        <f aca="false">VLOOKUP(H59,Customers!$A$2:$G$501,6,FALSE())</f>
        <v>Small Business</v>
      </c>
      <c r="K59" s="1" t="n">
        <f aca="false">COUNTIFS(Orders!$B$2:$B$5876,H59,Orders!$H$2:$H$5876,"Completed")</f>
        <v>10</v>
      </c>
      <c r="L59" s="4" t="n">
        <f aca="false">SUMIFS(Orders!$I$2:$I$5876,Orders!$B$2:$B$5876,H59,Orders!$H$2:$H$5876,"Completed")</f>
        <v>16419.13</v>
      </c>
    </row>
    <row r="60" customFormat="false" ht="15" hidden="false" customHeight="true" outlineLevel="0" collapsed="false">
      <c r="H60" s="1" t="n">
        <v>49</v>
      </c>
      <c r="I60" s="1" t="str">
        <f aca="false">VLOOKUP(H60,Customers!$A$2:$G$501,2,FALSE())</f>
        <v>Richard Jones</v>
      </c>
      <c r="J60" s="1" t="str">
        <f aca="false">VLOOKUP(H60,Customers!$A$2:$G$501,6,FALSE())</f>
        <v>Corporate</v>
      </c>
      <c r="K60" s="1" t="n">
        <f aca="false">COUNTIFS(Orders!$B$2:$B$5876,H60,Orders!$H$2:$H$5876,"Completed")</f>
        <v>8</v>
      </c>
      <c r="L60" s="4" t="n">
        <f aca="false">SUMIFS(Orders!$I$2:$I$5876,Orders!$B$2:$B$5876,H60,Orders!$H$2:$H$5876,"Completed")</f>
        <v>6821.39</v>
      </c>
    </row>
    <row r="61" customFormat="false" ht="15" hidden="false" customHeight="true" outlineLevel="0" collapsed="false">
      <c r="H61" s="1" t="n">
        <v>50</v>
      </c>
      <c r="I61" s="1" t="str">
        <f aca="false">VLOOKUP(H61,Customers!$A$2:$G$501,2,FALSE())</f>
        <v>Diego Miller</v>
      </c>
      <c r="J61" s="1" t="str">
        <f aca="false">VLOOKUP(H61,Customers!$A$2:$G$501,6,FALSE())</f>
        <v>Consumer</v>
      </c>
      <c r="K61" s="1" t="n">
        <f aca="false">COUNTIFS(Orders!$B$2:$B$5876,H61,Orders!$H$2:$H$5876,"Completed")</f>
        <v>9</v>
      </c>
      <c r="L61" s="4" t="n">
        <f aca="false">SUMIFS(Orders!$I$2:$I$5876,Orders!$B$2:$B$5876,H61,Orders!$H$2:$H$5876,"Completed")</f>
        <v>13388.98</v>
      </c>
    </row>
    <row r="62" customFormat="false" ht="15" hidden="false" customHeight="true" outlineLevel="0" collapsed="false">
      <c r="H62" s="1" t="n">
        <v>51</v>
      </c>
      <c r="I62" s="1" t="str">
        <f aca="false">VLOOKUP(H62,Customers!$A$2:$G$501,2,FALSE())</f>
        <v>Joseph Garcia</v>
      </c>
      <c r="J62" s="1" t="str">
        <f aca="false">VLOOKUP(H62,Customers!$A$2:$G$501,6,FALSE())</f>
        <v>Corporate</v>
      </c>
      <c r="K62" s="1" t="n">
        <f aca="false">COUNTIFS(Orders!$B$2:$B$5876,H62,Orders!$H$2:$H$5876,"Completed")</f>
        <v>9</v>
      </c>
      <c r="L62" s="4" t="n">
        <f aca="false">SUMIFS(Orders!$I$2:$I$5876,Orders!$B$2:$B$5876,H62,Orders!$H$2:$H$5876,"Completed")</f>
        <v>13201.6</v>
      </c>
    </row>
    <row r="63" customFormat="false" ht="15" hidden="false" customHeight="true" outlineLevel="0" collapsed="false">
      <c r="H63" s="1" t="n">
        <v>52</v>
      </c>
      <c r="I63" s="1" t="str">
        <f aca="false">VLOOKUP(H63,Customers!$A$2:$G$501,2,FALSE())</f>
        <v>Isabella Martin</v>
      </c>
      <c r="J63" s="1" t="str">
        <f aca="false">VLOOKUP(H63,Customers!$A$2:$G$501,6,FALSE())</f>
        <v>Small Business</v>
      </c>
      <c r="K63" s="1" t="n">
        <f aca="false">COUNTIFS(Orders!$B$2:$B$5876,H63,Orders!$H$2:$H$5876,"Completed")</f>
        <v>15</v>
      </c>
      <c r="L63" s="4" t="n">
        <f aca="false">SUMIFS(Orders!$I$2:$I$5876,Orders!$B$2:$B$5876,H63,Orders!$H$2:$H$5876,"Completed")</f>
        <v>28835.36</v>
      </c>
    </row>
    <row r="64" customFormat="false" ht="15" hidden="false" customHeight="true" outlineLevel="0" collapsed="false">
      <c r="H64" s="1" t="n">
        <v>53</v>
      </c>
      <c r="I64" s="1" t="str">
        <f aca="false">VLOOKUP(H64,Customers!$A$2:$G$501,2,FALSE())</f>
        <v>David White</v>
      </c>
      <c r="J64" s="1" t="str">
        <f aca="false">VLOOKUP(H64,Customers!$A$2:$G$501,6,FALSE())</f>
        <v>Small Business</v>
      </c>
      <c r="K64" s="1" t="n">
        <f aca="false">COUNTIFS(Orders!$B$2:$B$5876,H64,Orders!$H$2:$H$5876,"Completed")</f>
        <v>5</v>
      </c>
      <c r="L64" s="4" t="n">
        <f aca="false">SUMIFS(Orders!$I$2:$I$5876,Orders!$B$2:$B$5876,H64,Orders!$H$2:$H$5876,"Completed")</f>
        <v>3450.39</v>
      </c>
    </row>
    <row r="65" customFormat="false" ht="15" hidden="false" customHeight="true" outlineLevel="0" collapsed="false">
      <c r="H65" s="1" t="n">
        <v>54</v>
      </c>
      <c r="I65" s="1" t="str">
        <f aca="false">VLOOKUP(H65,Customers!$A$2:$G$501,2,FALSE())</f>
        <v>Jessica Rodriguez</v>
      </c>
      <c r="J65" s="1" t="str">
        <f aca="false">VLOOKUP(H65,Customers!$A$2:$G$501,6,FALSE())</f>
        <v>Consumer</v>
      </c>
      <c r="K65" s="1" t="n">
        <f aca="false">COUNTIFS(Orders!$B$2:$B$5876,H65,Orders!$H$2:$H$5876,"Completed")</f>
        <v>14</v>
      </c>
      <c r="L65" s="4" t="n">
        <f aca="false">SUMIFS(Orders!$I$2:$I$5876,Orders!$B$2:$B$5876,H65,Orders!$H$2:$H$5876,"Completed")</f>
        <v>18832.95</v>
      </c>
    </row>
    <row r="66" customFormat="false" ht="15" hidden="false" customHeight="true" outlineLevel="0" collapsed="false">
      <c r="H66" s="1" t="n">
        <v>55</v>
      </c>
      <c r="I66" s="1" t="str">
        <f aca="false">VLOOKUP(H66,Customers!$A$2:$G$501,2,FALSE())</f>
        <v>Joseph Gonzalez</v>
      </c>
      <c r="J66" s="1" t="str">
        <f aca="false">VLOOKUP(H66,Customers!$A$2:$G$501,6,FALSE())</f>
        <v>Consumer</v>
      </c>
      <c r="K66" s="1" t="n">
        <f aca="false">COUNTIFS(Orders!$B$2:$B$5876,H66,Orders!$H$2:$H$5876,"Completed")</f>
        <v>12</v>
      </c>
      <c r="L66" s="4" t="n">
        <f aca="false">SUMIFS(Orders!$I$2:$I$5876,Orders!$B$2:$B$5876,H66,Orders!$H$2:$H$5876,"Completed")</f>
        <v>10978.83</v>
      </c>
    </row>
    <row r="67" customFormat="false" ht="15" hidden="false" customHeight="true" outlineLevel="0" collapsed="false">
      <c r="H67" s="1" t="n">
        <v>56</v>
      </c>
      <c r="I67" s="1" t="str">
        <f aca="false">VLOOKUP(H67,Customers!$A$2:$G$501,2,FALSE())</f>
        <v>Mark Gonzalez</v>
      </c>
      <c r="J67" s="1" t="str">
        <f aca="false">VLOOKUP(H67,Customers!$A$2:$G$501,6,FALSE())</f>
        <v>Corporate</v>
      </c>
      <c r="K67" s="1" t="n">
        <f aca="false">COUNTIFS(Orders!$B$2:$B$5876,H67,Orders!$H$2:$H$5876,"Completed")</f>
        <v>12</v>
      </c>
      <c r="L67" s="4" t="n">
        <f aca="false">SUMIFS(Orders!$I$2:$I$5876,Orders!$B$2:$B$5876,H67,Orders!$H$2:$H$5876,"Completed")</f>
        <v>13926.54</v>
      </c>
    </row>
    <row r="68" customFormat="false" ht="15" hidden="false" customHeight="true" outlineLevel="0" collapsed="false">
      <c r="H68" s="1" t="n">
        <v>57</v>
      </c>
      <c r="I68" s="1" t="str">
        <f aca="false">VLOOKUP(H68,Customers!$A$2:$G$501,2,FALSE())</f>
        <v>Anthony Ramirez</v>
      </c>
      <c r="J68" s="1" t="str">
        <f aca="false">VLOOKUP(H68,Customers!$A$2:$G$501,6,FALSE())</f>
        <v>Consumer</v>
      </c>
      <c r="K68" s="1" t="n">
        <f aca="false">COUNTIFS(Orders!$B$2:$B$5876,H68,Orders!$H$2:$H$5876,"Completed")</f>
        <v>12</v>
      </c>
      <c r="L68" s="4" t="n">
        <f aca="false">SUMIFS(Orders!$I$2:$I$5876,Orders!$B$2:$B$5876,H68,Orders!$H$2:$H$5876,"Completed")</f>
        <v>18315.44</v>
      </c>
    </row>
    <row r="69" customFormat="false" ht="15" hidden="false" customHeight="true" outlineLevel="0" collapsed="false">
      <c r="H69" s="1" t="n">
        <v>58</v>
      </c>
      <c r="I69" s="1" t="str">
        <f aca="false">VLOOKUP(H69,Customers!$A$2:$G$501,2,FALSE())</f>
        <v>Valentina Smith</v>
      </c>
      <c r="J69" s="1" t="str">
        <f aca="false">VLOOKUP(H69,Customers!$A$2:$G$501,6,FALSE())</f>
        <v>Consumer</v>
      </c>
      <c r="K69" s="1" t="n">
        <f aca="false">COUNTIFS(Orders!$B$2:$B$5876,H69,Orders!$H$2:$H$5876,"Completed")</f>
        <v>16</v>
      </c>
      <c r="L69" s="4" t="n">
        <f aca="false">SUMIFS(Orders!$I$2:$I$5876,Orders!$B$2:$B$5876,H69,Orders!$H$2:$H$5876,"Completed")</f>
        <v>21563.54</v>
      </c>
    </row>
    <row r="70" customFormat="false" ht="15" hidden="false" customHeight="true" outlineLevel="0" collapsed="false">
      <c r="H70" s="1" t="n">
        <v>59</v>
      </c>
      <c r="I70" s="1" t="str">
        <f aca="false">VLOOKUP(H70,Customers!$A$2:$G$501,2,FALSE())</f>
        <v>Luis Smith</v>
      </c>
      <c r="J70" s="1" t="str">
        <f aca="false">VLOOKUP(H70,Customers!$A$2:$G$501,6,FALSE())</f>
        <v>Corporate</v>
      </c>
      <c r="K70" s="1" t="n">
        <f aca="false">COUNTIFS(Orders!$B$2:$B$5876,H70,Orders!$H$2:$H$5876,"Completed")</f>
        <v>9</v>
      </c>
      <c r="L70" s="4" t="n">
        <f aca="false">SUMIFS(Orders!$I$2:$I$5876,Orders!$B$2:$B$5876,H70,Orders!$H$2:$H$5876,"Completed")</f>
        <v>12682.53</v>
      </c>
    </row>
    <row r="71" customFormat="false" ht="15" hidden="false" customHeight="true" outlineLevel="0" collapsed="false">
      <c r="H71" s="1" t="n">
        <v>60</v>
      </c>
      <c r="I71" s="1" t="str">
        <f aca="false">VLOOKUP(H71,Customers!$A$2:$G$501,2,FALSE())</f>
        <v>Thomas Gonzalez</v>
      </c>
      <c r="J71" s="1" t="str">
        <f aca="false">VLOOKUP(H71,Customers!$A$2:$G$501,6,FALSE())</f>
        <v>Corporate</v>
      </c>
      <c r="K71" s="1" t="n">
        <f aca="false">COUNTIFS(Orders!$B$2:$B$5876,H71,Orders!$H$2:$H$5876,"Completed")</f>
        <v>14</v>
      </c>
      <c r="L71" s="4" t="n">
        <f aca="false">SUMIFS(Orders!$I$2:$I$5876,Orders!$B$2:$B$5876,H71,Orders!$H$2:$H$5876,"Completed")</f>
        <v>16621.35</v>
      </c>
    </row>
    <row r="72" customFormat="false" ht="15" hidden="false" customHeight="true" outlineLevel="0" collapsed="false">
      <c r="H72" s="1" t="n">
        <v>61</v>
      </c>
      <c r="I72" s="1" t="str">
        <f aca="false">VLOOKUP(H72,Customers!$A$2:$G$501,2,FALSE())</f>
        <v>Jennifer Thomas</v>
      </c>
      <c r="J72" s="1" t="str">
        <f aca="false">VLOOKUP(H72,Customers!$A$2:$G$501,6,FALSE())</f>
        <v>Small Business</v>
      </c>
      <c r="K72" s="1" t="n">
        <f aca="false">COUNTIFS(Orders!$B$2:$B$5876,H72,Orders!$H$2:$H$5876,"Completed")</f>
        <v>16</v>
      </c>
      <c r="L72" s="4" t="n">
        <f aca="false">SUMIFS(Orders!$I$2:$I$5876,Orders!$B$2:$B$5876,H72,Orders!$H$2:$H$5876,"Completed")</f>
        <v>22077.71</v>
      </c>
    </row>
    <row r="73" customFormat="false" ht="15" hidden="false" customHeight="true" outlineLevel="0" collapsed="false">
      <c r="H73" s="1" t="n">
        <v>62</v>
      </c>
      <c r="I73" s="1" t="str">
        <f aca="false">VLOOKUP(H73,Customers!$A$2:$G$501,2,FALSE())</f>
        <v>Mary Davis</v>
      </c>
      <c r="J73" s="1" t="str">
        <f aca="false">VLOOKUP(H73,Customers!$A$2:$G$501,6,FALSE())</f>
        <v>Consumer</v>
      </c>
      <c r="K73" s="1" t="n">
        <f aca="false">COUNTIFS(Orders!$B$2:$B$5876,H73,Orders!$H$2:$H$5876,"Completed")</f>
        <v>7</v>
      </c>
      <c r="L73" s="4" t="n">
        <f aca="false">SUMIFS(Orders!$I$2:$I$5876,Orders!$B$2:$B$5876,H73,Orders!$H$2:$H$5876,"Completed")</f>
        <v>14314.69</v>
      </c>
    </row>
    <row r="74" customFormat="false" ht="15" hidden="false" customHeight="true" outlineLevel="0" collapsed="false">
      <c r="H74" s="1" t="n">
        <v>63</v>
      </c>
      <c r="I74" s="1" t="str">
        <f aca="false">VLOOKUP(H74,Customers!$A$2:$G$501,2,FALSE())</f>
        <v>Thomas Harris</v>
      </c>
      <c r="J74" s="1" t="str">
        <f aca="false">VLOOKUP(H74,Customers!$A$2:$G$501,6,FALSE())</f>
        <v>Consumer</v>
      </c>
      <c r="K74" s="1" t="n">
        <f aca="false">COUNTIFS(Orders!$B$2:$B$5876,H74,Orders!$H$2:$H$5876,"Completed")</f>
        <v>14</v>
      </c>
      <c r="L74" s="4" t="n">
        <f aca="false">SUMIFS(Orders!$I$2:$I$5876,Orders!$B$2:$B$5876,H74,Orders!$H$2:$H$5876,"Completed")</f>
        <v>21591.96</v>
      </c>
    </row>
    <row r="75" customFormat="false" ht="15" hidden="false" customHeight="true" outlineLevel="0" collapsed="false">
      <c r="H75" s="1" t="n">
        <v>64</v>
      </c>
      <c r="I75" s="1" t="str">
        <f aca="false">VLOOKUP(H75,Customers!$A$2:$G$501,2,FALSE())</f>
        <v>Michael Jackson</v>
      </c>
      <c r="J75" s="1" t="str">
        <f aca="false">VLOOKUP(H75,Customers!$A$2:$G$501,6,FALSE())</f>
        <v>Consumer</v>
      </c>
      <c r="K75" s="1" t="n">
        <f aca="false">COUNTIFS(Orders!$B$2:$B$5876,H75,Orders!$H$2:$H$5876,"Completed")</f>
        <v>12</v>
      </c>
      <c r="L75" s="4" t="n">
        <f aca="false">SUMIFS(Orders!$I$2:$I$5876,Orders!$B$2:$B$5876,H75,Orders!$H$2:$H$5876,"Completed")</f>
        <v>21149.52</v>
      </c>
    </row>
    <row r="76" customFormat="false" ht="15" hidden="false" customHeight="true" outlineLevel="0" collapsed="false">
      <c r="H76" s="1" t="n">
        <v>65</v>
      </c>
      <c r="I76" s="1" t="str">
        <f aca="false">VLOOKUP(H76,Customers!$A$2:$G$501,2,FALSE())</f>
        <v>Jessica Brown</v>
      </c>
      <c r="J76" s="1" t="str">
        <f aca="false">VLOOKUP(H76,Customers!$A$2:$G$501,6,FALSE())</f>
        <v>Corporate</v>
      </c>
      <c r="K76" s="1" t="n">
        <f aca="false">COUNTIFS(Orders!$B$2:$B$5876,H76,Orders!$H$2:$H$5876,"Completed")</f>
        <v>6</v>
      </c>
      <c r="L76" s="4" t="n">
        <f aca="false">SUMIFS(Orders!$I$2:$I$5876,Orders!$B$2:$B$5876,H76,Orders!$H$2:$H$5876,"Completed")</f>
        <v>3455.76</v>
      </c>
    </row>
    <row r="77" customFormat="false" ht="15" hidden="false" customHeight="true" outlineLevel="0" collapsed="false">
      <c r="H77" s="1" t="n">
        <v>66</v>
      </c>
      <c r="I77" s="1" t="str">
        <f aca="false">VLOOKUP(H77,Customers!$A$2:$G$501,2,FALSE())</f>
        <v>Lisa Williams</v>
      </c>
      <c r="J77" s="1" t="str">
        <f aca="false">VLOOKUP(H77,Customers!$A$2:$G$501,6,FALSE())</f>
        <v>Corporate</v>
      </c>
      <c r="K77" s="1" t="n">
        <f aca="false">COUNTIFS(Orders!$B$2:$B$5876,H77,Orders!$H$2:$H$5876,"Completed")</f>
        <v>14</v>
      </c>
      <c r="L77" s="4" t="n">
        <f aca="false">SUMIFS(Orders!$I$2:$I$5876,Orders!$B$2:$B$5876,H77,Orders!$H$2:$H$5876,"Completed")</f>
        <v>23144.46</v>
      </c>
    </row>
    <row r="78" customFormat="false" ht="15" hidden="false" customHeight="true" outlineLevel="0" collapsed="false">
      <c r="H78" s="1" t="n">
        <v>67</v>
      </c>
      <c r="I78" s="1" t="str">
        <f aca="false">VLOOKUP(H78,Customers!$A$2:$G$501,2,FALSE())</f>
        <v>Camila Thompson</v>
      </c>
      <c r="J78" s="1" t="str">
        <f aca="false">VLOOKUP(H78,Customers!$A$2:$G$501,6,FALSE())</f>
        <v>Small Business</v>
      </c>
      <c r="K78" s="1" t="n">
        <f aca="false">COUNTIFS(Orders!$B$2:$B$5876,H78,Orders!$H$2:$H$5876,"Completed")</f>
        <v>7</v>
      </c>
      <c r="L78" s="4" t="n">
        <f aca="false">SUMIFS(Orders!$I$2:$I$5876,Orders!$B$2:$B$5876,H78,Orders!$H$2:$H$5876,"Completed")</f>
        <v>9434.19</v>
      </c>
    </row>
    <row r="79" customFormat="false" ht="15" hidden="false" customHeight="true" outlineLevel="0" collapsed="false">
      <c r="H79" s="1" t="n">
        <v>68</v>
      </c>
      <c r="I79" s="1" t="str">
        <f aca="false">VLOOKUP(H79,Customers!$A$2:$G$501,2,FALSE())</f>
        <v>Camila Wilson</v>
      </c>
      <c r="J79" s="1" t="str">
        <f aca="false">VLOOKUP(H79,Customers!$A$2:$G$501,6,FALSE())</f>
        <v>Corporate</v>
      </c>
      <c r="K79" s="1" t="n">
        <f aca="false">COUNTIFS(Orders!$B$2:$B$5876,H79,Orders!$H$2:$H$5876,"Completed")</f>
        <v>3</v>
      </c>
      <c r="L79" s="4" t="n">
        <f aca="false">SUMIFS(Orders!$I$2:$I$5876,Orders!$B$2:$B$5876,H79,Orders!$H$2:$H$5876,"Completed")</f>
        <v>5510.57</v>
      </c>
    </row>
    <row r="80" customFormat="false" ht="15" hidden="false" customHeight="true" outlineLevel="0" collapsed="false">
      <c r="H80" s="1" t="n">
        <v>69</v>
      </c>
      <c r="I80" s="1" t="str">
        <f aca="false">VLOOKUP(H80,Customers!$A$2:$G$501,2,FALSE())</f>
        <v>Camila Jackson</v>
      </c>
      <c r="J80" s="1" t="str">
        <f aca="false">VLOOKUP(H80,Customers!$A$2:$G$501,6,FALSE())</f>
        <v>Corporate</v>
      </c>
      <c r="K80" s="1" t="n">
        <f aca="false">COUNTIFS(Orders!$B$2:$B$5876,H80,Orders!$H$2:$H$5876,"Completed")</f>
        <v>11</v>
      </c>
      <c r="L80" s="4" t="n">
        <f aca="false">SUMIFS(Orders!$I$2:$I$5876,Orders!$B$2:$B$5876,H80,Orders!$H$2:$H$5876,"Completed")</f>
        <v>20047.13</v>
      </c>
    </row>
    <row r="81" customFormat="false" ht="15" hidden="false" customHeight="true" outlineLevel="0" collapsed="false">
      <c r="H81" s="1" t="n">
        <v>70</v>
      </c>
      <c r="I81" s="1" t="str">
        <f aca="false">VLOOKUP(H81,Customers!$A$2:$G$501,2,FALSE())</f>
        <v>Miguel Thompson</v>
      </c>
      <c r="J81" s="1" t="str">
        <f aca="false">VLOOKUP(H81,Customers!$A$2:$G$501,6,FALSE())</f>
        <v>Corporate</v>
      </c>
      <c r="K81" s="1" t="n">
        <f aca="false">COUNTIFS(Orders!$B$2:$B$5876,H81,Orders!$H$2:$H$5876,"Completed")</f>
        <v>11</v>
      </c>
      <c r="L81" s="4" t="n">
        <f aca="false">SUMIFS(Orders!$I$2:$I$5876,Orders!$B$2:$B$5876,H81,Orders!$H$2:$H$5876,"Completed")</f>
        <v>21943.58</v>
      </c>
    </row>
    <row r="82" customFormat="false" ht="15" hidden="false" customHeight="true" outlineLevel="0" collapsed="false">
      <c r="H82" s="1" t="n">
        <v>71</v>
      </c>
      <c r="I82" s="1" t="str">
        <f aca="false">VLOOKUP(H82,Customers!$A$2:$G$501,2,FALSE())</f>
        <v>Jessica Thompson</v>
      </c>
      <c r="J82" s="1" t="str">
        <f aca="false">VLOOKUP(H82,Customers!$A$2:$G$501,6,FALSE())</f>
        <v>Corporate</v>
      </c>
      <c r="K82" s="1" t="n">
        <f aca="false">COUNTIFS(Orders!$B$2:$B$5876,H82,Orders!$H$2:$H$5876,"Completed")</f>
        <v>11</v>
      </c>
      <c r="L82" s="4" t="n">
        <f aca="false">SUMIFS(Orders!$I$2:$I$5876,Orders!$B$2:$B$5876,H82,Orders!$H$2:$H$5876,"Completed")</f>
        <v>17671.1</v>
      </c>
    </row>
    <row r="83" customFormat="false" ht="15" hidden="false" customHeight="true" outlineLevel="0" collapsed="false">
      <c r="H83" s="1" t="n">
        <v>72</v>
      </c>
      <c r="I83" s="1" t="str">
        <f aca="false">VLOOKUP(H83,Customers!$A$2:$G$501,2,FALSE())</f>
        <v>Jessica Martinez</v>
      </c>
      <c r="J83" s="1" t="str">
        <f aca="false">VLOOKUP(H83,Customers!$A$2:$G$501,6,FALSE())</f>
        <v>Corporate</v>
      </c>
      <c r="K83" s="1" t="n">
        <f aca="false">COUNTIFS(Orders!$B$2:$B$5876,H83,Orders!$H$2:$H$5876,"Completed")</f>
        <v>9</v>
      </c>
      <c r="L83" s="4" t="n">
        <f aca="false">SUMIFS(Orders!$I$2:$I$5876,Orders!$B$2:$B$5876,H83,Orders!$H$2:$H$5876,"Completed")</f>
        <v>13533.49</v>
      </c>
    </row>
    <row r="84" customFormat="false" ht="15" hidden="false" customHeight="true" outlineLevel="0" collapsed="false">
      <c r="H84" s="1" t="n">
        <v>73</v>
      </c>
      <c r="I84" s="1" t="str">
        <f aca="false">VLOOKUP(H84,Customers!$A$2:$G$501,2,FALSE())</f>
        <v>Camila Rodriguez</v>
      </c>
      <c r="J84" s="1" t="str">
        <f aca="false">VLOOKUP(H84,Customers!$A$2:$G$501,6,FALSE())</f>
        <v>Small Business</v>
      </c>
      <c r="K84" s="1" t="n">
        <f aca="false">COUNTIFS(Orders!$B$2:$B$5876,H84,Orders!$H$2:$H$5876,"Completed")</f>
        <v>10</v>
      </c>
      <c r="L84" s="4" t="n">
        <f aca="false">SUMIFS(Orders!$I$2:$I$5876,Orders!$B$2:$B$5876,H84,Orders!$H$2:$H$5876,"Completed")</f>
        <v>16350.31</v>
      </c>
    </row>
    <row r="85" customFormat="false" ht="15" hidden="false" customHeight="true" outlineLevel="0" collapsed="false">
      <c r="H85" s="1" t="n">
        <v>74</v>
      </c>
      <c r="I85" s="1" t="str">
        <f aca="false">VLOOKUP(H85,Customers!$A$2:$G$501,2,FALSE())</f>
        <v>Susan White</v>
      </c>
      <c r="J85" s="1" t="str">
        <f aca="false">VLOOKUP(H85,Customers!$A$2:$G$501,6,FALSE())</f>
        <v>Consumer</v>
      </c>
      <c r="K85" s="1" t="n">
        <f aca="false">COUNTIFS(Orders!$B$2:$B$5876,H85,Orders!$H$2:$H$5876,"Completed")</f>
        <v>11</v>
      </c>
      <c r="L85" s="4" t="n">
        <f aca="false">SUMIFS(Orders!$I$2:$I$5876,Orders!$B$2:$B$5876,H85,Orders!$H$2:$H$5876,"Completed")</f>
        <v>20935.4</v>
      </c>
    </row>
    <row r="86" customFormat="false" ht="15" hidden="false" customHeight="true" outlineLevel="0" collapsed="false">
      <c r="H86" s="1" t="n">
        <v>75</v>
      </c>
      <c r="I86" s="1" t="str">
        <f aca="false">VLOOKUP(H86,Customers!$A$2:$G$501,2,FALSE())</f>
        <v>Charles Davis</v>
      </c>
      <c r="J86" s="1" t="str">
        <f aca="false">VLOOKUP(H86,Customers!$A$2:$G$501,6,FALSE())</f>
        <v>Consumer</v>
      </c>
      <c r="K86" s="1" t="n">
        <f aca="false">COUNTIFS(Orders!$B$2:$B$5876,H86,Orders!$H$2:$H$5876,"Completed")</f>
        <v>9</v>
      </c>
      <c r="L86" s="4" t="n">
        <f aca="false">SUMIFS(Orders!$I$2:$I$5876,Orders!$B$2:$B$5876,H86,Orders!$H$2:$H$5876,"Completed")</f>
        <v>12851.12</v>
      </c>
    </row>
    <row r="87" customFormat="false" ht="15" hidden="false" customHeight="true" outlineLevel="0" collapsed="false">
      <c r="H87" s="1" t="n">
        <v>76</v>
      </c>
      <c r="I87" s="1" t="str">
        <f aca="false">VLOOKUP(H87,Customers!$A$2:$G$501,2,FALSE())</f>
        <v>William Lee</v>
      </c>
      <c r="J87" s="1" t="str">
        <f aca="false">VLOOKUP(H87,Customers!$A$2:$G$501,6,FALSE())</f>
        <v>Consumer</v>
      </c>
      <c r="K87" s="1" t="n">
        <f aca="false">COUNTIFS(Orders!$B$2:$B$5876,H87,Orders!$H$2:$H$5876,"Completed")</f>
        <v>11</v>
      </c>
      <c r="L87" s="4" t="n">
        <f aca="false">SUMIFS(Orders!$I$2:$I$5876,Orders!$B$2:$B$5876,H87,Orders!$H$2:$H$5876,"Completed")</f>
        <v>9422.17</v>
      </c>
    </row>
    <row r="88" customFormat="false" ht="15" hidden="false" customHeight="true" outlineLevel="0" collapsed="false">
      <c r="H88" s="1" t="n">
        <v>77</v>
      </c>
      <c r="I88" s="1" t="str">
        <f aca="false">VLOOKUP(H88,Customers!$A$2:$G$501,2,FALSE())</f>
        <v>Thomas Ramirez</v>
      </c>
      <c r="J88" s="1" t="str">
        <f aca="false">VLOOKUP(H88,Customers!$A$2:$G$501,6,FALSE())</f>
        <v>Consumer</v>
      </c>
      <c r="K88" s="1" t="n">
        <f aca="false">COUNTIFS(Orders!$B$2:$B$5876,H88,Orders!$H$2:$H$5876,"Completed")</f>
        <v>13</v>
      </c>
      <c r="L88" s="4" t="n">
        <f aca="false">SUMIFS(Orders!$I$2:$I$5876,Orders!$B$2:$B$5876,H88,Orders!$H$2:$H$5876,"Completed")</f>
        <v>10273.94</v>
      </c>
    </row>
    <row r="89" customFormat="false" ht="15" hidden="false" customHeight="true" outlineLevel="0" collapsed="false">
      <c r="H89" s="1" t="n">
        <v>78</v>
      </c>
      <c r="I89" s="1" t="str">
        <f aca="false">VLOOKUP(H89,Customers!$A$2:$G$501,2,FALSE())</f>
        <v>Diego Martinez</v>
      </c>
      <c r="J89" s="1" t="str">
        <f aca="false">VLOOKUP(H89,Customers!$A$2:$G$501,6,FALSE())</f>
        <v>Consumer</v>
      </c>
      <c r="K89" s="1" t="n">
        <f aca="false">COUNTIFS(Orders!$B$2:$B$5876,H89,Orders!$H$2:$H$5876,"Completed")</f>
        <v>10</v>
      </c>
      <c r="L89" s="4" t="n">
        <f aca="false">SUMIFS(Orders!$I$2:$I$5876,Orders!$B$2:$B$5876,H89,Orders!$H$2:$H$5876,"Completed")</f>
        <v>12767.96</v>
      </c>
    </row>
    <row r="90" customFormat="false" ht="15" hidden="false" customHeight="true" outlineLevel="0" collapsed="false">
      <c r="H90" s="1" t="n">
        <v>79</v>
      </c>
      <c r="I90" s="1" t="str">
        <f aca="false">VLOOKUP(H90,Customers!$A$2:$G$501,2,FALSE())</f>
        <v>Anthony Anderson</v>
      </c>
      <c r="J90" s="1" t="str">
        <f aca="false">VLOOKUP(H90,Customers!$A$2:$G$501,6,FALSE())</f>
        <v>Small Business</v>
      </c>
      <c r="K90" s="1" t="n">
        <f aca="false">COUNTIFS(Orders!$B$2:$B$5876,H90,Orders!$H$2:$H$5876,"Completed")</f>
        <v>12</v>
      </c>
      <c r="L90" s="4" t="n">
        <f aca="false">SUMIFS(Orders!$I$2:$I$5876,Orders!$B$2:$B$5876,H90,Orders!$H$2:$H$5876,"Completed")</f>
        <v>25362.12</v>
      </c>
    </row>
    <row r="91" customFormat="false" ht="15" hidden="false" customHeight="true" outlineLevel="0" collapsed="false">
      <c r="H91" s="1" t="n">
        <v>80</v>
      </c>
      <c r="I91" s="1" t="str">
        <f aca="false">VLOOKUP(H91,Customers!$A$2:$G$501,2,FALSE())</f>
        <v>Michael Harris</v>
      </c>
      <c r="J91" s="1" t="str">
        <f aca="false">VLOOKUP(H91,Customers!$A$2:$G$501,6,FALSE())</f>
        <v>Consumer</v>
      </c>
      <c r="K91" s="1" t="n">
        <f aca="false">COUNTIFS(Orders!$B$2:$B$5876,H91,Orders!$H$2:$H$5876,"Completed")</f>
        <v>11</v>
      </c>
      <c r="L91" s="4" t="n">
        <f aca="false">SUMIFS(Orders!$I$2:$I$5876,Orders!$B$2:$B$5876,H91,Orders!$H$2:$H$5876,"Completed")</f>
        <v>11471.15</v>
      </c>
    </row>
    <row r="92" customFormat="false" ht="15" hidden="false" customHeight="true" outlineLevel="0" collapsed="false">
      <c r="H92" s="1" t="n">
        <v>81</v>
      </c>
      <c r="I92" s="1" t="str">
        <f aca="false">VLOOKUP(H92,Customers!$A$2:$G$501,2,FALSE())</f>
        <v>Mark Anderson</v>
      </c>
      <c r="J92" s="1" t="str">
        <f aca="false">VLOOKUP(H92,Customers!$A$2:$G$501,6,FALSE())</f>
        <v>Consumer</v>
      </c>
      <c r="K92" s="1" t="n">
        <f aca="false">COUNTIFS(Orders!$B$2:$B$5876,H92,Orders!$H$2:$H$5876,"Completed")</f>
        <v>14</v>
      </c>
      <c r="L92" s="4" t="n">
        <f aca="false">SUMIFS(Orders!$I$2:$I$5876,Orders!$B$2:$B$5876,H92,Orders!$H$2:$H$5876,"Completed")</f>
        <v>28765.48</v>
      </c>
    </row>
    <row r="93" customFormat="false" ht="15" hidden="false" customHeight="true" outlineLevel="0" collapsed="false">
      <c r="H93" s="1" t="n">
        <v>82</v>
      </c>
      <c r="I93" s="1" t="str">
        <f aca="false">VLOOKUP(H93,Customers!$A$2:$G$501,2,FALSE())</f>
        <v>Thomas Sanchez</v>
      </c>
      <c r="J93" s="1" t="str">
        <f aca="false">VLOOKUP(H93,Customers!$A$2:$G$501,6,FALSE())</f>
        <v>Consumer</v>
      </c>
      <c r="K93" s="1" t="n">
        <f aca="false">COUNTIFS(Orders!$B$2:$B$5876,H93,Orders!$H$2:$H$5876,"Completed")</f>
        <v>8</v>
      </c>
      <c r="L93" s="4" t="n">
        <f aca="false">SUMIFS(Orders!$I$2:$I$5876,Orders!$B$2:$B$5876,H93,Orders!$H$2:$H$5876,"Completed")</f>
        <v>19698.64</v>
      </c>
    </row>
    <row r="94" customFormat="false" ht="15" hidden="false" customHeight="true" outlineLevel="0" collapsed="false">
      <c r="H94" s="1" t="n">
        <v>83</v>
      </c>
      <c r="I94" s="1" t="str">
        <f aca="false">VLOOKUP(H94,Customers!$A$2:$G$501,2,FALSE())</f>
        <v>Elizabeth Williams</v>
      </c>
      <c r="J94" s="1" t="str">
        <f aca="false">VLOOKUP(H94,Customers!$A$2:$G$501,6,FALSE())</f>
        <v>Corporate</v>
      </c>
      <c r="K94" s="1" t="n">
        <f aca="false">COUNTIFS(Orders!$B$2:$B$5876,H94,Orders!$H$2:$H$5876,"Completed")</f>
        <v>8</v>
      </c>
      <c r="L94" s="4" t="n">
        <f aca="false">SUMIFS(Orders!$I$2:$I$5876,Orders!$B$2:$B$5876,H94,Orders!$H$2:$H$5876,"Completed")</f>
        <v>3580.87</v>
      </c>
    </row>
    <row r="95" customFormat="false" ht="15" hidden="false" customHeight="true" outlineLevel="0" collapsed="false">
      <c r="H95" s="1" t="n">
        <v>84</v>
      </c>
      <c r="I95" s="1" t="str">
        <f aca="false">VLOOKUP(H95,Customers!$A$2:$G$501,2,FALSE())</f>
        <v>Karen Thompson</v>
      </c>
      <c r="J95" s="1" t="str">
        <f aca="false">VLOOKUP(H95,Customers!$A$2:$G$501,6,FALSE())</f>
        <v>Corporate</v>
      </c>
      <c r="K95" s="1" t="n">
        <f aca="false">COUNTIFS(Orders!$B$2:$B$5876,H95,Orders!$H$2:$H$5876,"Completed")</f>
        <v>8</v>
      </c>
      <c r="L95" s="4" t="n">
        <f aca="false">SUMIFS(Orders!$I$2:$I$5876,Orders!$B$2:$B$5876,H95,Orders!$H$2:$H$5876,"Completed")</f>
        <v>10420.38</v>
      </c>
    </row>
    <row r="96" customFormat="false" ht="15" hidden="false" customHeight="true" outlineLevel="0" collapsed="false">
      <c r="H96" s="1" t="n">
        <v>85</v>
      </c>
      <c r="I96" s="1" t="str">
        <f aca="false">VLOOKUP(H96,Customers!$A$2:$G$501,2,FALSE())</f>
        <v>Miguel Rodriguez</v>
      </c>
      <c r="J96" s="1" t="str">
        <f aca="false">VLOOKUP(H96,Customers!$A$2:$G$501,6,FALSE())</f>
        <v>Consumer</v>
      </c>
      <c r="K96" s="1" t="n">
        <f aca="false">COUNTIFS(Orders!$B$2:$B$5876,H96,Orders!$H$2:$H$5876,"Completed")</f>
        <v>11</v>
      </c>
      <c r="L96" s="4" t="n">
        <f aca="false">SUMIFS(Orders!$I$2:$I$5876,Orders!$B$2:$B$5876,H96,Orders!$H$2:$H$5876,"Completed")</f>
        <v>23777.1</v>
      </c>
    </row>
    <row r="97" customFormat="false" ht="15" hidden="false" customHeight="true" outlineLevel="0" collapsed="false">
      <c r="H97" s="1" t="n">
        <v>86</v>
      </c>
      <c r="I97" s="1" t="str">
        <f aca="false">VLOOKUP(H97,Customers!$A$2:$G$501,2,FALSE())</f>
        <v>Sarah Jackson</v>
      </c>
      <c r="J97" s="1" t="str">
        <f aca="false">VLOOKUP(H97,Customers!$A$2:$G$501,6,FALSE())</f>
        <v>Small Business</v>
      </c>
      <c r="K97" s="1" t="n">
        <f aca="false">COUNTIFS(Orders!$B$2:$B$5876,H97,Orders!$H$2:$H$5876,"Completed")</f>
        <v>6</v>
      </c>
      <c r="L97" s="4" t="n">
        <f aca="false">SUMIFS(Orders!$I$2:$I$5876,Orders!$B$2:$B$5876,H97,Orders!$H$2:$H$5876,"Completed")</f>
        <v>8484.96</v>
      </c>
    </row>
    <row r="98" customFormat="false" ht="15" hidden="false" customHeight="true" outlineLevel="0" collapsed="false">
      <c r="H98" s="1" t="n">
        <v>87</v>
      </c>
      <c r="I98" s="1" t="str">
        <f aca="false">VLOOKUP(H98,Customers!$A$2:$G$501,2,FALSE())</f>
        <v>Valentina Williams</v>
      </c>
      <c r="J98" s="1" t="str">
        <f aca="false">VLOOKUP(H98,Customers!$A$2:$G$501,6,FALSE())</f>
        <v>Corporate</v>
      </c>
      <c r="K98" s="1" t="n">
        <f aca="false">COUNTIFS(Orders!$B$2:$B$5876,H98,Orders!$H$2:$H$5876,"Completed")</f>
        <v>5</v>
      </c>
      <c r="L98" s="4" t="n">
        <f aca="false">SUMIFS(Orders!$I$2:$I$5876,Orders!$B$2:$B$5876,H98,Orders!$H$2:$H$5876,"Completed")</f>
        <v>7047.18</v>
      </c>
    </row>
    <row r="99" customFormat="false" ht="15" hidden="false" customHeight="true" outlineLevel="0" collapsed="false">
      <c r="H99" s="1" t="n">
        <v>88</v>
      </c>
      <c r="I99" s="1" t="str">
        <f aca="false">VLOOKUP(H99,Customers!$A$2:$G$501,2,FALSE())</f>
        <v>Charles Perez</v>
      </c>
      <c r="J99" s="1" t="str">
        <f aca="false">VLOOKUP(H99,Customers!$A$2:$G$501,6,FALSE())</f>
        <v>Corporate</v>
      </c>
      <c r="K99" s="1" t="n">
        <f aca="false">COUNTIFS(Orders!$B$2:$B$5876,H99,Orders!$H$2:$H$5876,"Completed")</f>
        <v>9</v>
      </c>
      <c r="L99" s="4" t="n">
        <f aca="false">SUMIFS(Orders!$I$2:$I$5876,Orders!$B$2:$B$5876,H99,Orders!$H$2:$H$5876,"Completed")</f>
        <v>20456.94</v>
      </c>
    </row>
    <row r="100" customFormat="false" ht="15" hidden="false" customHeight="true" outlineLevel="0" collapsed="false">
      <c r="H100" s="1" t="n">
        <v>89</v>
      </c>
      <c r="I100" s="1" t="str">
        <f aca="false">VLOOKUP(H100,Customers!$A$2:$G$501,2,FALSE())</f>
        <v>James Perez</v>
      </c>
      <c r="J100" s="1" t="str">
        <f aca="false">VLOOKUP(H100,Customers!$A$2:$G$501,6,FALSE())</f>
        <v>Small Business</v>
      </c>
      <c r="K100" s="1" t="n">
        <f aca="false">COUNTIFS(Orders!$B$2:$B$5876,H100,Orders!$H$2:$H$5876,"Completed")</f>
        <v>12</v>
      </c>
      <c r="L100" s="4" t="n">
        <f aca="false">SUMIFS(Orders!$I$2:$I$5876,Orders!$B$2:$B$5876,H100,Orders!$H$2:$H$5876,"Completed")</f>
        <v>18422.21</v>
      </c>
    </row>
    <row r="101" customFormat="false" ht="15" hidden="false" customHeight="true" outlineLevel="0" collapsed="false">
      <c r="H101" s="1" t="n">
        <v>90</v>
      </c>
      <c r="I101" s="1" t="str">
        <f aca="false">VLOOKUP(H101,Customers!$A$2:$G$501,2,FALSE())</f>
        <v>Patricia Miller</v>
      </c>
      <c r="J101" s="1" t="str">
        <f aca="false">VLOOKUP(H101,Customers!$A$2:$G$501,6,FALSE())</f>
        <v>Consumer</v>
      </c>
      <c r="K101" s="1" t="n">
        <f aca="false">COUNTIFS(Orders!$B$2:$B$5876,H101,Orders!$H$2:$H$5876,"Completed")</f>
        <v>9</v>
      </c>
      <c r="L101" s="4" t="n">
        <f aca="false">SUMIFS(Orders!$I$2:$I$5876,Orders!$B$2:$B$5876,H101,Orders!$H$2:$H$5876,"Completed")</f>
        <v>9292.65</v>
      </c>
    </row>
    <row r="102" customFormat="false" ht="15" hidden="false" customHeight="true" outlineLevel="0" collapsed="false">
      <c r="H102" s="1" t="n">
        <v>91</v>
      </c>
      <c r="I102" s="1" t="str">
        <f aca="false">VLOOKUP(H102,Customers!$A$2:$G$501,2,FALSE())</f>
        <v>Miguel Sanchez</v>
      </c>
      <c r="J102" s="1" t="str">
        <f aca="false">VLOOKUP(H102,Customers!$A$2:$G$501,6,FALSE())</f>
        <v>Consumer</v>
      </c>
      <c r="K102" s="1" t="n">
        <f aca="false">COUNTIFS(Orders!$B$2:$B$5876,H102,Orders!$H$2:$H$5876,"Completed")</f>
        <v>12</v>
      </c>
      <c r="L102" s="4" t="n">
        <f aca="false">SUMIFS(Orders!$I$2:$I$5876,Orders!$B$2:$B$5876,H102,Orders!$H$2:$H$5876,"Completed")</f>
        <v>15149.48</v>
      </c>
    </row>
    <row r="103" customFormat="false" ht="15" hidden="false" customHeight="true" outlineLevel="0" collapsed="false">
      <c r="H103" s="1" t="n">
        <v>92</v>
      </c>
      <c r="I103" s="1" t="str">
        <f aca="false">VLOOKUP(H103,Customers!$A$2:$G$501,2,FALSE())</f>
        <v>Linda Lee</v>
      </c>
      <c r="J103" s="1" t="str">
        <f aca="false">VLOOKUP(H103,Customers!$A$2:$G$501,6,FALSE())</f>
        <v>Corporate</v>
      </c>
      <c r="K103" s="1" t="n">
        <f aca="false">COUNTIFS(Orders!$B$2:$B$5876,H103,Orders!$H$2:$H$5876,"Completed")</f>
        <v>12</v>
      </c>
      <c r="L103" s="4" t="n">
        <f aca="false">SUMIFS(Orders!$I$2:$I$5876,Orders!$B$2:$B$5876,H103,Orders!$H$2:$H$5876,"Completed")</f>
        <v>10034.18</v>
      </c>
    </row>
    <row r="104" customFormat="false" ht="15" hidden="false" customHeight="true" outlineLevel="0" collapsed="false">
      <c r="H104" s="1" t="n">
        <v>93</v>
      </c>
      <c r="I104" s="1" t="str">
        <f aca="false">VLOOKUP(H104,Customers!$A$2:$G$501,2,FALSE())</f>
        <v>Jessica Anderson</v>
      </c>
      <c r="J104" s="1" t="str">
        <f aca="false">VLOOKUP(H104,Customers!$A$2:$G$501,6,FALSE())</f>
        <v>Consumer</v>
      </c>
      <c r="K104" s="1" t="n">
        <f aca="false">COUNTIFS(Orders!$B$2:$B$5876,H104,Orders!$H$2:$H$5876,"Completed")</f>
        <v>11</v>
      </c>
      <c r="L104" s="4" t="n">
        <f aca="false">SUMIFS(Orders!$I$2:$I$5876,Orders!$B$2:$B$5876,H104,Orders!$H$2:$H$5876,"Completed")</f>
        <v>19662.79</v>
      </c>
    </row>
    <row r="105" customFormat="false" ht="15" hidden="false" customHeight="true" outlineLevel="0" collapsed="false">
      <c r="H105" s="1" t="n">
        <v>94</v>
      </c>
      <c r="I105" s="1" t="str">
        <f aca="false">VLOOKUP(H105,Customers!$A$2:$G$501,2,FALSE())</f>
        <v>Mark Hernandez</v>
      </c>
      <c r="J105" s="1" t="str">
        <f aca="false">VLOOKUP(H105,Customers!$A$2:$G$501,6,FALSE())</f>
        <v>Small Business</v>
      </c>
      <c r="K105" s="1" t="n">
        <f aca="false">COUNTIFS(Orders!$B$2:$B$5876,H105,Orders!$H$2:$H$5876,"Completed")</f>
        <v>11</v>
      </c>
      <c r="L105" s="4" t="n">
        <f aca="false">SUMIFS(Orders!$I$2:$I$5876,Orders!$B$2:$B$5876,H105,Orders!$H$2:$H$5876,"Completed")</f>
        <v>15683.13</v>
      </c>
    </row>
    <row r="106" customFormat="false" ht="15" hidden="false" customHeight="true" outlineLevel="0" collapsed="false">
      <c r="H106" s="1" t="n">
        <v>95</v>
      </c>
      <c r="I106" s="1" t="str">
        <f aca="false">VLOOKUP(H106,Customers!$A$2:$G$501,2,FALSE())</f>
        <v>Elizabeth Anderson</v>
      </c>
      <c r="J106" s="1" t="str">
        <f aca="false">VLOOKUP(H106,Customers!$A$2:$G$501,6,FALSE())</f>
        <v>Corporate</v>
      </c>
      <c r="K106" s="1" t="n">
        <f aca="false">COUNTIFS(Orders!$B$2:$B$5876,H106,Orders!$H$2:$H$5876,"Completed")</f>
        <v>9</v>
      </c>
      <c r="L106" s="4" t="n">
        <f aca="false">SUMIFS(Orders!$I$2:$I$5876,Orders!$B$2:$B$5876,H106,Orders!$H$2:$H$5876,"Completed")</f>
        <v>15010.92</v>
      </c>
    </row>
    <row r="107" customFormat="false" ht="15" hidden="false" customHeight="true" outlineLevel="0" collapsed="false">
      <c r="H107" s="1" t="n">
        <v>96</v>
      </c>
      <c r="I107" s="1" t="str">
        <f aca="false">VLOOKUP(H107,Customers!$A$2:$G$501,2,FALSE())</f>
        <v>Jessica Jackson</v>
      </c>
      <c r="J107" s="1" t="str">
        <f aca="false">VLOOKUP(H107,Customers!$A$2:$G$501,6,FALSE())</f>
        <v>Corporate</v>
      </c>
      <c r="K107" s="1" t="n">
        <f aca="false">COUNTIFS(Orders!$B$2:$B$5876,H107,Orders!$H$2:$H$5876,"Completed")</f>
        <v>9</v>
      </c>
      <c r="L107" s="4" t="n">
        <f aca="false">SUMIFS(Orders!$I$2:$I$5876,Orders!$B$2:$B$5876,H107,Orders!$H$2:$H$5876,"Completed")</f>
        <v>9243.99</v>
      </c>
    </row>
    <row r="108" customFormat="false" ht="15" hidden="false" customHeight="true" outlineLevel="0" collapsed="false">
      <c r="H108" s="1" t="n">
        <v>97</v>
      </c>
      <c r="I108" s="1" t="str">
        <f aca="false">VLOOKUP(H108,Customers!$A$2:$G$501,2,FALSE())</f>
        <v>Elizabeth Thomas</v>
      </c>
      <c r="J108" s="1" t="str">
        <f aca="false">VLOOKUP(H108,Customers!$A$2:$G$501,6,FALSE())</f>
        <v>Corporate</v>
      </c>
      <c r="K108" s="1" t="n">
        <f aca="false">COUNTIFS(Orders!$B$2:$B$5876,H108,Orders!$H$2:$H$5876,"Completed")</f>
        <v>14</v>
      </c>
      <c r="L108" s="4" t="n">
        <f aca="false">SUMIFS(Orders!$I$2:$I$5876,Orders!$B$2:$B$5876,H108,Orders!$H$2:$H$5876,"Completed")</f>
        <v>22278.69</v>
      </c>
    </row>
    <row r="109" customFormat="false" ht="15" hidden="false" customHeight="true" outlineLevel="0" collapsed="false">
      <c r="H109" s="1" t="n">
        <v>98</v>
      </c>
      <c r="I109" s="1" t="str">
        <f aca="false">VLOOKUP(H109,Customers!$A$2:$G$501,2,FALSE())</f>
        <v>Camila Smith</v>
      </c>
      <c r="J109" s="1" t="str">
        <f aca="false">VLOOKUP(H109,Customers!$A$2:$G$501,6,FALSE())</f>
        <v>Corporate</v>
      </c>
      <c r="K109" s="1" t="n">
        <f aca="false">COUNTIFS(Orders!$B$2:$B$5876,H109,Orders!$H$2:$H$5876,"Completed")</f>
        <v>8</v>
      </c>
      <c r="L109" s="4" t="n">
        <f aca="false">SUMIFS(Orders!$I$2:$I$5876,Orders!$B$2:$B$5876,H109,Orders!$H$2:$H$5876,"Completed")</f>
        <v>11692.12</v>
      </c>
    </row>
    <row r="110" customFormat="false" ht="15" hidden="false" customHeight="true" outlineLevel="0" collapsed="false">
      <c r="H110" s="1" t="n">
        <v>99</v>
      </c>
      <c r="I110" s="1" t="str">
        <f aca="false">VLOOKUP(H110,Customers!$A$2:$G$501,2,FALSE())</f>
        <v>Betty Lee</v>
      </c>
      <c r="J110" s="1" t="str">
        <f aca="false">VLOOKUP(H110,Customers!$A$2:$G$501,6,FALSE())</f>
        <v>Small Business</v>
      </c>
      <c r="K110" s="1" t="n">
        <f aca="false">COUNTIFS(Orders!$B$2:$B$5876,H110,Orders!$H$2:$H$5876,"Completed")</f>
        <v>9</v>
      </c>
      <c r="L110" s="4" t="n">
        <f aca="false">SUMIFS(Orders!$I$2:$I$5876,Orders!$B$2:$B$5876,H110,Orders!$H$2:$H$5876,"Completed")</f>
        <v>13560.56</v>
      </c>
    </row>
    <row r="111" customFormat="false" ht="15" hidden="false" customHeight="true" outlineLevel="0" collapsed="false">
      <c r="H111" s="1" t="n">
        <v>100</v>
      </c>
      <c r="I111" s="1" t="str">
        <f aca="false">VLOOKUP(H111,Customers!$A$2:$G$501,2,FALSE())</f>
        <v>Valentina Ramirez</v>
      </c>
      <c r="J111" s="1" t="str">
        <f aca="false">VLOOKUP(H111,Customers!$A$2:$G$501,6,FALSE())</f>
        <v>Consumer</v>
      </c>
      <c r="K111" s="1" t="n">
        <f aca="false">COUNTIFS(Orders!$B$2:$B$5876,H111,Orders!$H$2:$H$5876,"Completed")</f>
        <v>14</v>
      </c>
      <c r="L111" s="4" t="n">
        <f aca="false">SUMIFS(Orders!$I$2:$I$5876,Orders!$B$2:$B$5876,H111,Orders!$H$2:$H$5876,"Completed")</f>
        <v>14020.44</v>
      </c>
    </row>
    <row r="112" customFormat="false" ht="15" hidden="false" customHeight="true" outlineLevel="0" collapsed="false">
      <c r="H112" s="1" t="n">
        <v>101</v>
      </c>
      <c r="I112" s="1" t="str">
        <f aca="false">VLOOKUP(H112,Customers!$A$2:$G$501,2,FALSE())</f>
        <v>Margaret Brown</v>
      </c>
      <c r="J112" s="1" t="str">
        <f aca="false">VLOOKUP(H112,Customers!$A$2:$G$501,6,FALSE())</f>
        <v>Corporate</v>
      </c>
      <c r="K112" s="1" t="n">
        <f aca="false">COUNTIFS(Orders!$B$2:$B$5876,H112,Orders!$H$2:$H$5876,"Completed")</f>
        <v>7</v>
      </c>
      <c r="L112" s="4" t="n">
        <f aca="false">SUMIFS(Orders!$I$2:$I$5876,Orders!$B$2:$B$5876,H112,Orders!$H$2:$H$5876,"Completed")</f>
        <v>13661.21</v>
      </c>
    </row>
    <row r="113" customFormat="false" ht="15" hidden="false" customHeight="true" outlineLevel="0" collapsed="false">
      <c r="H113" s="1" t="n">
        <v>102</v>
      </c>
      <c r="I113" s="1" t="str">
        <f aca="false">VLOOKUP(H113,Customers!$A$2:$G$501,2,FALSE())</f>
        <v>Charles Lopez</v>
      </c>
      <c r="J113" s="1" t="str">
        <f aca="false">VLOOKUP(H113,Customers!$A$2:$G$501,6,FALSE())</f>
        <v>Consumer</v>
      </c>
      <c r="K113" s="1" t="n">
        <f aca="false">COUNTIFS(Orders!$B$2:$B$5876,H113,Orders!$H$2:$H$5876,"Completed")</f>
        <v>11</v>
      </c>
      <c r="L113" s="4" t="n">
        <f aca="false">SUMIFS(Orders!$I$2:$I$5876,Orders!$B$2:$B$5876,H113,Orders!$H$2:$H$5876,"Completed")</f>
        <v>18303.04</v>
      </c>
    </row>
    <row r="114" customFormat="false" ht="15" hidden="false" customHeight="true" outlineLevel="0" collapsed="false">
      <c r="H114" s="1" t="n">
        <v>103</v>
      </c>
      <c r="I114" s="1" t="str">
        <f aca="false">VLOOKUP(H114,Customers!$A$2:$G$501,2,FALSE())</f>
        <v>Laura Ramirez</v>
      </c>
      <c r="J114" s="1" t="str">
        <f aca="false">VLOOKUP(H114,Customers!$A$2:$G$501,6,FALSE())</f>
        <v>Small Business</v>
      </c>
      <c r="K114" s="1" t="n">
        <f aca="false">COUNTIFS(Orders!$B$2:$B$5876,H114,Orders!$H$2:$H$5876,"Completed")</f>
        <v>11</v>
      </c>
      <c r="L114" s="4" t="n">
        <f aca="false">SUMIFS(Orders!$I$2:$I$5876,Orders!$B$2:$B$5876,H114,Orders!$H$2:$H$5876,"Completed")</f>
        <v>16286.07</v>
      </c>
    </row>
    <row r="115" customFormat="false" ht="15" hidden="false" customHeight="true" outlineLevel="0" collapsed="false">
      <c r="H115" s="1" t="n">
        <v>104</v>
      </c>
      <c r="I115" s="1" t="str">
        <f aca="false">VLOOKUP(H115,Customers!$A$2:$G$501,2,FALSE())</f>
        <v>Thomas Perez</v>
      </c>
      <c r="J115" s="1" t="str">
        <f aca="false">VLOOKUP(H115,Customers!$A$2:$G$501,6,FALSE())</f>
        <v>Corporate</v>
      </c>
      <c r="K115" s="1" t="n">
        <f aca="false">COUNTIFS(Orders!$B$2:$B$5876,H115,Orders!$H$2:$H$5876,"Completed")</f>
        <v>17</v>
      </c>
      <c r="L115" s="4" t="n">
        <f aca="false">SUMIFS(Orders!$I$2:$I$5876,Orders!$B$2:$B$5876,H115,Orders!$H$2:$H$5876,"Completed")</f>
        <v>27015.35</v>
      </c>
    </row>
    <row r="116" customFormat="false" ht="15" hidden="false" customHeight="true" outlineLevel="0" collapsed="false">
      <c r="H116" s="1" t="n">
        <v>105</v>
      </c>
      <c r="I116" s="1" t="str">
        <f aca="false">VLOOKUP(H116,Customers!$A$2:$G$501,2,FALSE())</f>
        <v>Karen Lee</v>
      </c>
      <c r="J116" s="1" t="str">
        <f aca="false">VLOOKUP(H116,Customers!$A$2:$G$501,6,FALSE())</f>
        <v>Corporate</v>
      </c>
      <c r="K116" s="1" t="n">
        <f aca="false">COUNTIFS(Orders!$B$2:$B$5876,H116,Orders!$H$2:$H$5876,"Completed")</f>
        <v>15</v>
      </c>
      <c r="L116" s="4" t="n">
        <f aca="false">SUMIFS(Orders!$I$2:$I$5876,Orders!$B$2:$B$5876,H116,Orders!$H$2:$H$5876,"Completed")</f>
        <v>20213.04</v>
      </c>
    </row>
    <row r="117" customFormat="false" ht="15" hidden="false" customHeight="true" outlineLevel="0" collapsed="false">
      <c r="H117" s="1" t="n">
        <v>106</v>
      </c>
      <c r="I117" s="1" t="str">
        <f aca="false">VLOOKUP(H117,Customers!$A$2:$G$501,2,FALSE())</f>
        <v>Anthony Jackson</v>
      </c>
      <c r="J117" s="1" t="str">
        <f aca="false">VLOOKUP(H117,Customers!$A$2:$G$501,6,FALSE())</f>
        <v>Small Business</v>
      </c>
      <c r="K117" s="1" t="n">
        <f aca="false">COUNTIFS(Orders!$B$2:$B$5876,H117,Orders!$H$2:$H$5876,"Completed")</f>
        <v>8</v>
      </c>
      <c r="L117" s="4" t="n">
        <f aca="false">SUMIFS(Orders!$I$2:$I$5876,Orders!$B$2:$B$5876,H117,Orders!$H$2:$H$5876,"Completed")</f>
        <v>16003.75</v>
      </c>
    </row>
    <row r="118" customFormat="false" ht="15" hidden="false" customHeight="true" outlineLevel="0" collapsed="false">
      <c r="H118" s="1" t="n">
        <v>107</v>
      </c>
      <c r="I118" s="1" t="str">
        <f aca="false">VLOOKUP(H118,Customers!$A$2:$G$501,2,FALSE())</f>
        <v>James Jackson</v>
      </c>
      <c r="J118" s="1" t="str">
        <f aca="false">VLOOKUP(H118,Customers!$A$2:$G$501,6,FALSE())</f>
        <v>Consumer</v>
      </c>
      <c r="K118" s="1" t="n">
        <f aca="false">COUNTIFS(Orders!$B$2:$B$5876,H118,Orders!$H$2:$H$5876,"Completed")</f>
        <v>8</v>
      </c>
      <c r="L118" s="4" t="n">
        <f aca="false">SUMIFS(Orders!$I$2:$I$5876,Orders!$B$2:$B$5876,H118,Orders!$H$2:$H$5876,"Completed")</f>
        <v>12513.02</v>
      </c>
    </row>
    <row r="119" customFormat="false" ht="15" hidden="false" customHeight="true" outlineLevel="0" collapsed="false">
      <c r="H119" s="1" t="n">
        <v>108</v>
      </c>
      <c r="I119" s="1" t="str">
        <f aca="false">VLOOKUP(H119,Customers!$A$2:$G$501,2,FALSE())</f>
        <v>Matthew Davis</v>
      </c>
      <c r="J119" s="1" t="str">
        <f aca="false">VLOOKUP(H119,Customers!$A$2:$G$501,6,FALSE())</f>
        <v>Consumer</v>
      </c>
      <c r="K119" s="1" t="n">
        <f aca="false">COUNTIFS(Orders!$B$2:$B$5876,H119,Orders!$H$2:$H$5876,"Completed")</f>
        <v>12</v>
      </c>
      <c r="L119" s="4" t="n">
        <f aca="false">SUMIFS(Orders!$I$2:$I$5876,Orders!$B$2:$B$5876,H119,Orders!$H$2:$H$5876,"Completed")</f>
        <v>18339.79</v>
      </c>
    </row>
    <row r="120" customFormat="false" ht="15" hidden="false" customHeight="true" outlineLevel="0" collapsed="false">
      <c r="H120" s="1" t="n">
        <v>109</v>
      </c>
      <c r="I120" s="1" t="str">
        <f aca="false">VLOOKUP(H120,Customers!$A$2:$G$501,2,FALSE())</f>
        <v>Robert Martinez</v>
      </c>
      <c r="J120" s="1" t="str">
        <f aca="false">VLOOKUP(H120,Customers!$A$2:$G$501,6,FALSE())</f>
        <v>Small Business</v>
      </c>
      <c r="K120" s="1" t="n">
        <f aca="false">COUNTIFS(Orders!$B$2:$B$5876,H120,Orders!$H$2:$H$5876,"Completed")</f>
        <v>5</v>
      </c>
      <c r="L120" s="4" t="n">
        <f aca="false">SUMIFS(Orders!$I$2:$I$5876,Orders!$B$2:$B$5876,H120,Orders!$H$2:$H$5876,"Completed")</f>
        <v>9144.17</v>
      </c>
    </row>
    <row r="121" customFormat="false" ht="15" hidden="false" customHeight="true" outlineLevel="0" collapsed="false">
      <c r="H121" s="1" t="n">
        <v>110</v>
      </c>
      <c r="I121" s="1" t="str">
        <f aca="false">VLOOKUP(H121,Customers!$A$2:$G$501,2,FALSE())</f>
        <v>Richard Jones</v>
      </c>
      <c r="J121" s="1" t="str">
        <f aca="false">VLOOKUP(H121,Customers!$A$2:$G$501,6,FALSE())</f>
        <v>Corporate</v>
      </c>
      <c r="K121" s="1" t="n">
        <f aca="false">COUNTIFS(Orders!$B$2:$B$5876,H121,Orders!$H$2:$H$5876,"Completed")</f>
        <v>9</v>
      </c>
      <c r="L121" s="4" t="n">
        <f aca="false">SUMIFS(Orders!$I$2:$I$5876,Orders!$B$2:$B$5876,H121,Orders!$H$2:$H$5876,"Completed")</f>
        <v>15146.47</v>
      </c>
    </row>
    <row r="122" customFormat="false" ht="15" hidden="false" customHeight="true" outlineLevel="0" collapsed="false">
      <c r="H122" s="1" t="n">
        <v>111</v>
      </c>
      <c r="I122" s="1" t="str">
        <f aca="false">VLOOKUP(H122,Customers!$A$2:$G$501,2,FALSE())</f>
        <v>Charles White</v>
      </c>
      <c r="J122" s="1" t="str">
        <f aca="false">VLOOKUP(H122,Customers!$A$2:$G$501,6,FALSE())</f>
        <v>Small Business</v>
      </c>
      <c r="K122" s="1" t="n">
        <f aca="false">COUNTIFS(Orders!$B$2:$B$5876,H122,Orders!$H$2:$H$5876,"Completed")</f>
        <v>6</v>
      </c>
      <c r="L122" s="4" t="n">
        <f aca="false">SUMIFS(Orders!$I$2:$I$5876,Orders!$B$2:$B$5876,H122,Orders!$H$2:$H$5876,"Completed")</f>
        <v>4403</v>
      </c>
    </row>
    <row r="123" customFormat="false" ht="15" hidden="false" customHeight="true" outlineLevel="0" collapsed="false">
      <c r="H123" s="1" t="n">
        <v>112</v>
      </c>
      <c r="I123" s="1" t="str">
        <f aca="false">VLOOKUP(H123,Customers!$A$2:$G$501,2,FALSE())</f>
        <v>Betty Ramirez</v>
      </c>
      <c r="J123" s="1" t="str">
        <f aca="false">VLOOKUP(H123,Customers!$A$2:$G$501,6,FALSE())</f>
        <v>Corporate</v>
      </c>
      <c r="K123" s="1" t="n">
        <f aca="false">COUNTIFS(Orders!$B$2:$B$5876,H123,Orders!$H$2:$H$5876,"Completed")</f>
        <v>12</v>
      </c>
      <c r="L123" s="4" t="n">
        <f aca="false">SUMIFS(Orders!$I$2:$I$5876,Orders!$B$2:$B$5876,H123,Orders!$H$2:$H$5876,"Completed")</f>
        <v>16506.45</v>
      </c>
    </row>
    <row r="124" customFormat="false" ht="15" hidden="false" customHeight="true" outlineLevel="0" collapsed="false">
      <c r="H124" s="1" t="n">
        <v>113</v>
      </c>
      <c r="I124" s="1" t="str">
        <f aca="false">VLOOKUP(H124,Customers!$A$2:$G$501,2,FALSE())</f>
        <v>Thomas Jackson</v>
      </c>
      <c r="J124" s="1" t="str">
        <f aca="false">VLOOKUP(H124,Customers!$A$2:$G$501,6,FALSE())</f>
        <v>Small Business</v>
      </c>
      <c r="K124" s="1" t="n">
        <f aca="false">COUNTIFS(Orders!$B$2:$B$5876,H124,Orders!$H$2:$H$5876,"Completed")</f>
        <v>15</v>
      </c>
      <c r="L124" s="4" t="n">
        <f aca="false">SUMIFS(Orders!$I$2:$I$5876,Orders!$B$2:$B$5876,H124,Orders!$H$2:$H$5876,"Completed")</f>
        <v>16489.67</v>
      </c>
    </row>
    <row r="125" customFormat="false" ht="15" hidden="false" customHeight="true" outlineLevel="0" collapsed="false">
      <c r="H125" s="1" t="n">
        <v>114</v>
      </c>
      <c r="I125" s="1" t="str">
        <f aca="false">VLOOKUP(H125,Customers!$A$2:$G$501,2,FALSE())</f>
        <v>Laura Davis</v>
      </c>
      <c r="J125" s="1" t="str">
        <f aca="false">VLOOKUP(H125,Customers!$A$2:$G$501,6,FALSE())</f>
        <v>Consumer</v>
      </c>
      <c r="K125" s="1" t="n">
        <f aca="false">COUNTIFS(Orders!$B$2:$B$5876,H125,Orders!$H$2:$H$5876,"Completed")</f>
        <v>10</v>
      </c>
      <c r="L125" s="4" t="n">
        <f aca="false">SUMIFS(Orders!$I$2:$I$5876,Orders!$B$2:$B$5876,H125,Orders!$H$2:$H$5876,"Completed")</f>
        <v>11838.78</v>
      </c>
    </row>
    <row r="126" customFormat="false" ht="15" hidden="false" customHeight="true" outlineLevel="0" collapsed="false">
      <c r="H126" s="1" t="n">
        <v>115</v>
      </c>
      <c r="I126" s="1" t="str">
        <f aca="false">VLOOKUP(H126,Customers!$A$2:$G$501,2,FALSE())</f>
        <v>Robert Martinez</v>
      </c>
      <c r="J126" s="1" t="str">
        <f aca="false">VLOOKUP(H126,Customers!$A$2:$G$501,6,FALSE())</f>
        <v>Small Business</v>
      </c>
      <c r="K126" s="1" t="n">
        <f aca="false">COUNTIFS(Orders!$B$2:$B$5876,H126,Orders!$H$2:$H$5876,"Completed")</f>
        <v>12</v>
      </c>
      <c r="L126" s="4" t="n">
        <f aca="false">SUMIFS(Orders!$I$2:$I$5876,Orders!$B$2:$B$5876,H126,Orders!$H$2:$H$5876,"Completed")</f>
        <v>10110.59</v>
      </c>
    </row>
    <row r="127" customFormat="false" ht="15" hidden="false" customHeight="true" outlineLevel="0" collapsed="false">
      <c r="H127" s="1" t="n">
        <v>116</v>
      </c>
      <c r="I127" s="1" t="str">
        <f aca="false">VLOOKUP(H127,Customers!$A$2:$G$501,2,FALSE())</f>
        <v>Luis Wilson</v>
      </c>
      <c r="J127" s="1" t="str">
        <f aca="false">VLOOKUP(H127,Customers!$A$2:$G$501,6,FALSE())</f>
        <v>Corporate</v>
      </c>
      <c r="K127" s="1" t="n">
        <f aca="false">COUNTIFS(Orders!$B$2:$B$5876,H127,Orders!$H$2:$H$5876,"Completed")</f>
        <v>11</v>
      </c>
      <c r="L127" s="4" t="n">
        <f aca="false">SUMIFS(Orders!$I$2:$I$5876,Orders!$B$2:$B$5876,H127,Orders!$H$2:$H$5876,"Completed")</f>
        <v>9671.45</v>
      </c>
    </row>
    <row r="128" customFormat="false" ht="15" hidden="false" customHeight="true" outlineLevel="0" collapsed="false">
      <c r="H128" s="1" t="n">
        <v>117</v>
      </c>
      <c r="I128" s="1" t="str">
        <f aca="false">VLOOKUP(H128,Customers!$A$2:$G$501,2,FALSE())</f>
        <v>Lisa Miller</v>
      </c>
      <c r="J128" s="1" t="str">
        <f aca="false">VLOOKUP(H128,Customers!$A$2:$G$501,6,FALSE())</f>
        <v>Small Business</v>
      </c>
      <c r="K128" s="1" t="n">
        <f aca="false">COUNTIFS(Orders!$B$2:$B$5876,H128,Orders!$H$2:$H$5876,"Completed")</f>
        <v>6</v>
      </c>
      <c r="L128" s="4" t="n">
        <f aca="false">SUMIFS(Orders!$I$2:$I$5876,Orders!$B$2:$B$5876,H128,Orders!$H$2:$H$5876,"Completed")</f>
        <v>2462.76</v>
      </c>
    </row>
    <row r="129" customFormat="false" ht="15" hidden="false" customHeight="true" outlineLevel="0" collapsed="false">
      <c r="H129" s="1" t="n">
        <v>118</v>
      </c>
      <c r="I129" s="1" t="str">
        <f aca="false">VLOOKUP(H129,Customers!$A$2:$G$501,2,FALSE())</f>
        <v>Matthew Johnson</v>
      </c>
      <c r="J129" s="1" t="str">
        <f aca="false">VLOOKUP(H129,Customers!$A$2:$G$501,6,FALSE())</f>
        <v>Small Business</v>
      </c>
      <c r="K129" s="1" t="n">
        <f aca="false">COUNTIFS(Orders!$B$2:$B$5876,H129,Orders!$H$2:$H$5876,"Completed")</f>
        <v>3</v>
      </c>
      <c r="L129" s="4" t="n">
        <f aca="false">SUMIFS(Orders!$I$2:$I$5876,Orders!$B$2:$B$5876,H129,Orders!$H$2:$H$5876,"Completed")</f>
        <v>6181.84</v>
      </c>
    </row>
    <row r="130" customFormat="false" ht="15" hidden="false" customHeight="true" outlineLevel="0" collapsed="false">
      <c r="H130" s="1" t="n">
        <v>119</v>
      </c>
      <c r="I130" s="1" t="str">
        <f aca="false">VLOOKUP(H130,Customers!$A$2:$G$501,2,FALSE())</f>
        <v>Miguel Smith</v>
      </c>
      <c r="J130" s="1" t="str">
        <f aca="false">VLOOKUP(H130,Customers!$A$2:$G$501,6,FALSE())</f>
        <v>Small Business</v>
      </c>
      <c r="K130" s="1" t="n">
        <f aca="false">COUNTIFS(Orders!$B$2:$B$5876,H130,Orders!$H$2:$H$5876,"Completed")</f>
        <v>8</v>
      </c>
      <c r="L130" s="4" t="n">
        <f aca="false">SUMIFS(Orders!$I$2:$I$5876,Orders!$B$2:$B$5876,H130,Orders!$H$2:$H$5876,"Completed")</f>
        <v>15909.14</v>
      </c>
    </row>
    <row r="131" customFormat="false" ht="15" hidden="false" customHeight="true" outlineLevel="0" collapsed="false">
      <c r="H131" s="1" t="n">
        <v>120</v>
      </c>
      <c r="I131" s="1" t="str">
        <f aca="false">VLOOKUP(H131,Customers!$A$2:$G$501,2,FALSE())</f>
        <v>Susan Clark</v>
      </c>
      <c r="J131" s="1" t="str">
        <f aca="false">VLOOKUP(H131,Customers!$A$2:$G$501,6,FALSE())</f>
        <v>Consumer</v>
      </c>
      <c r="K131" s="1" t="n">
        <f aca="false">COUNTIFS(Orders!$B$2:$B$5876,H131,Orders!$H$2:$H$5876,"Completed")</f>
        <v>9</v>
      </c>
      <c r="L131" s="4" t="n">
        <f aca="false">SUMIFS(Orders!$I$2:$I$5876,Orders!$B$2:$B$5876,H131,Orders!$H$2:$H$5876,"Completed")</f>
        <v>13700.25</v>
      </c>
    </row>
    <row r="132" customFormat="false" ht="15" hidden="false" customHeight="true" outlineLevel="0" collapsed="false">
      <c r="H132" s="1" t="n">
        <v>121</v>
      </c>
      <c r="I132" s="1" t="str">
        <f aca="false">VLOOKUP(H132,Customers!$A$2:$G$501,2,FALSE())</f>
        <v>Luis Rodriguez</v>
      </c>
      <c r="J132" s="1" t="str">
        <f aca="false">VLOOKUP(H132,Customers!$A$2:$G$501,6,FALSE())</f>
        <v>Consumer</v>
      </c>
      <c r="K132" s="1" t="n">
        <f aca="false">COUNTIFS(Orders!$B$2:$B$5876,H132,Orders!$H$2:$H$5876,"Completed")</f>
        <v>11</v>
      </c>
      <c r="L132" s="4" t="n">
        <f aca="false">SUMIFS(Orders!$I$2:$I$5876,Orders!$B$2:$B$5876,H132,Orders!$H$2:$H$5876,"Completed")</f>
        <v>18346.21</v>
      </c>
    </row>
    <row r="133" customFormat="false" ht="15" hidden="false" customHeight="true" outlineLevel="0" collapsed="false">
      <c r="H133" s="1" t="n">
        <v>122</v>
      </c>
      <c r="I133" s="1" t="str">
        <f aca="false">VLOOKUP(H133,Customers!$A$2:$G$501,2,FALSE())</f>
        <v>Mary Garcia</v>
      </c>
      <c r="J133" s="1" t="str">
        <f aca="false">VLOOKUP(H133,Customers!$A$2:$G$501,6,FALSE())</f>
        <v>Corporate</v>
      </c>
      <c r="K133" s="1" t="n">
        <f aca="false">COUNTIFS(Orders!$B$2:$B$5876,H133,Orders!$H$2:$H$5876,"Completed")</f>
        <v>7</v>
      </c>
      <c r="L133" s="4" t="n">
        <f aca="false">SUMIFS(Orders!$I$2:$I$5876,Orders!$B$2:$B$5876,H133,Orders!$H$2:$H$5876,"Completed")</f>
        <v>4759.67</v>
      </c>
    </row>
    <row r="134" customFormat="false" ht="15" hidden="false" customHeight="true" outlineLevel="0" collapsed="false">
      <c r="H134" s="1" t="n">
        <v>123</v>
      </c>
      <c r="I134" s="1" t="str">
        <f aca="false">VLOOKUP(H134,Customers!$A$2:$G$501,2,FALSE())</f>
        <v>Carlos Jackson</v>
      </c>
      <c r="J134" s="1" t="str">
        <f aca="false">VLOOKUP(H134,Customers!$A$2:$G$501,6,FALSE())</f>
        <v>Small Business</v>
      </c>
      <c r="K134" s="1" t="n">
        <f aca="false">COUNTIFS(Orders!$B$2:$B$5876,H134,Orders!$H$2:$H$5876,"Completed")</f>
        <v>9</v>
      </c>
      <c r="L134" s="4" t="n">
        <f aca="false">SUMIFS(Orders!$I$2:$I$5876,Orders!$B$2:$B$5876,H134,Orders!$H$2:$H$5876,"Completed")</f>
        <v>13735.4</v>
      </c>
    </row>
    <row r="135" customFormat="false" ht="15" hidden="false" customHeight="true" outlineLevel="0" collapsed="false">
      <c r="H135" s="1" t="n">
        <v>124</v>
      </c>
      <c r="I135" s="1" t="str">
        <f aca="false">VLOOKUP(H135,Customers!$A$2:$G$501,2,FALSE())</f>
        <v>Camila Lee</v>
      </c>
      <c r="J135" s="1" t="str">
        <f aca="false">VLOOKUP(H135,Customers!$A$2:$G$501,6,FALSE())</f>
        <v>Small Business</v>
      </c>
      <c r="K135" s="1" t="n">
        <f aca="false">COUNTIFS(Orders!$B$2:$B$5876,H135,Orders!$H$2:$H$5876,"Completed")</f>
        <v>11</v>
      </c>
      <c r="L135" s="4" t="n">
        <f aca="false">SUMIFS(Orders!$I$2:$I$5876,Orders!$B$2:$B$5876,H135,Orders!$H$2:$H$5876,"Completed")</f>
        <v>14244.19</v>
      </c>
    </row>
    <row r="136" customFormat="false" ht="15" hidden="false" customHeight="true" outlineLevel="0" collapsed="false">
      <c r="H136" s="1" t="n">
        <v>125</v>
      </c>
      <c r="I136" s="1" t="str">
        <f aca="false">VLOOKUP(H136,Customers!$A$2:$G$501,2,FALSE())</f>
        <v>John Lewis</v>
      </c>
      <c r="J136" s="1" t="str">
        <f aca="false">VLOOKUP(H136,Customers!$A$2:$G$501,6,FALSE())</f>
        <v>Small Business</v>
      </c>
      <c r="K136" s="1" t="n">
        <f aca="false">COUNTIFS(Orders!$B$2:$B$5876,H136,Orders!$H$2:$H$5876,"Completed")</f>
        <v>9</v>
      </c>
      <c r="L136" s="4" t="n">
        <f aca="false">SUMIFS(Orders!$I$2:$I$5876,Orders!$B$2:$B$5876,H136,Orders!$H$2:$H$5876,"Completed")</f>
        <v>18092.93</v>
      </c>
    </row>
    <row r="137" customFormat="false" ht="15" hidden="false" customHeight="true" outlineLevel="0" collapsed="false">
      <c r="H137" s="1" t="n">
        <v>126</v>
      </c>
      <c r="I137" s="1" t="str">
        <f aca="false">VLOOKUP(H137,Customers!$A$2:$G$501,2,FALSE())</f>
        <v>Anthony Martin</v>
      </c>
      <c r="J137" s="1" t="str">
        <f aca="false">VLOOKUP(H137,Customers!$A$2:$G$501,6,FALSE())</f>
        <v>Small Business</v>
      </c>
      <c r="K137" s="1" t="n">
        <f aca="false">COUNTIFS(Orders!$B$2:$B$5876,H137,Orders!$H$2:$H$5876,"Completed")</f>
        <v>14</v>
      </c>
      <c r="L137" s="4" t="n">
        <f aca="false">SUMIFS(Orders!$I$2:$I$5876,Orders!$B$2:$B$5876,H137,Orders!$H$2:$H$5876,"Completed")</f>
        <v>15841.47</v>
      </c>
    </row>
    <row r="138" customFormat="false" ht="15" hidden="false" customHeight="true" outlineLevel="0" collapsed="false">
      <c r="H138" s="1" t="n">
        <v>127</v>
      </c>
      <c r="I138" s="1" t="str">
        <f aca="false">VLOOKUP(H138,Customers!$A$2:$G$501,2,FALSE())</f>
        <v>Isabella White</v>
      </c>
      <c r="J138" s="1" t="str">
        <f aca="false">VLOOKUP(H138,Customers!$A$2:$G$501,6,FALSE())</f>
        <v>Corporate</v>
      </c>
      <c r="K138" s="1" t="n">
        <f aca="false">COUNTIFS(Orders!$B$2:$B$5876,H138,Orders!$H$2:$H$5876,"Completed")</f>
        <v>8</v>
      </c>
      <c r="L138" s="4" t="n">
        <f aca="false">SUMIFS(Orders!$I$2:$I$5876,Orders!$B$2:$B$5876,H138,Orders!$H$2:$H$5876,"Completed")</f>
        <v>12560.05</v>
      </c>
    </row>
    <row r="139" customFormat="false" ht="15" hidden="false" customHeight="true" outlineLevel="0" collapsed="false">
      <c r="H139" s="1" t="n">
        <v>128</v>
      </c>
      <c r="I139" s="1" t="str">
        <f aca="false">VLOOKUP(H139,Customers!$A$2:$G$501,2,FALSE())</f>
        <v>Daniel Wilson</v>
      </c>
      <c r="J139" s="1" t="str">
        <f aca="false">VLOOKUP(H139,Customers!$A$2:$G$501,6,FALSE())</f>
        <v>Consumer</v>
      </c>
      <c r="K139" s="1" t="n">
        <f aca="false">COUNTIFS(Orders!$B$2:$B$5876,H139,Orders!$H$2:$H$5876,"Completed")</f>
        <v>14</v>
      </c>
      <c r="L139" s="4" t="n">
        <f aca="false">SUMIFS(Orders!$I$2:$I$5876,Orders!$B$2:$B$5876,H139,Orders!$H$2:$H$5876,"Completed")</f>
        <v>17044.31</v>
      </c>
    </row>
    <row r="140" customFormat="false" ht="15" hidden="false" customHeight="true" outlineLevel="0" collapsed="false">
      <c r="H140" s="1" t="n">
        <v>129</v>
      </c>
      <c r="I140" s="1" t="str">
        <f aca="false">VLOOKUP(H140,Customers!$A$2:$G$501,2,FALSE())</f>
        <v>Jennifer Wilson</v>
      </c>
      <c r="J140" s="1" t="str">
        <f aca="false">VLOOKUP(H140,Customers!$A$2:$G$501,6,FALSE())</f>
        <v>Corporate</v>
      </c>
      <c r="K140" s="1" t="n">
        <f aca="false">COUNTIFS(Orders!$B$2:$B$5876,H140,Orders!$H$2:$H$5876,"Completed")</f>
        <v>14</v>
      </c>
      <c r="L140" s="4" t="n">
        <f aca="false">SUMIFS(Orders!$I$2:$I$5876,Orders!$B$2:$B$5876,H140,Orders!$H$2:$H$5876,"Completed")</f>
        <v>20444.3</v>
      </c>
    </row>
    <row r="141" customFormat="false" ht="15" hidden="false" customHeight="true" outlineLevel="0" collapsed="false">
      <c r="H141" s="1" t="n">
        <v>130</v>
      </c>
      <c r="I141" s="1" t="str">
        <f aca="false">VLOOKUP(H141,Customers!$A$2:$G$501,2,FALSE())</f>
        <v>Mark Lopez</v>
      </c>
      <c r="J141" s="1" t="str">
        <f aca="false">VLOOKUP(H141,Customers!$A$2:$G$501,6,FALSE())</f>
        <v>Consumer</v>
      </c>
      <c r="K141" s="1" t="n">
        <f aca="false">COUNTIFS(Orders!$B$2:$B$5876,H141,Orders!$H$2:$H$5876,"Completed")</f>
        <v>6</v>
      </c>
      <c r="L141" s="4" t="n">
        <f aca="false">SUMIFS(Orders!$I$2:$I$5876,Orders!$B$2:$B$5876,H141,Orders!$H$2:$H$5876,"Completed")</f>
        <v>13373.5</v>
      </c>
    </row>
    <row r="142" customFormat="false" ht="15" hidden="false" customHeight="true" outlineLevel="0" collapsed="false">
      <c r="H142" s="1" t="n">
        <v>131</v>
      </c>
      <c r="I142" s="1" t="str">
        <f aca="false">VLOOKUP(H142,Customers!$A$2:$G$501,2,FALSE())</f>
        <v>Andres Davis</v>
      </c>
      <c r="J142" s="1" t="str">
        <f aca="false">VLOOKUP(H142,Customers!$A$2:$G$501,6,FALSE())</f>
        <v>Corporate</v>
      </c>
      <c r="K142" s="1" t="n">
        <f aca="false">COUNTIFS(Orders!$B$2:$B$5876,H142,Orders!$H$2:$H$5876,"Completed")</f>
        <v>13</v>
      </c>
      <c r="L142" s="4" t="n">
        <f aca="false">SUMIFS(Orders!$I$2:$I$5876,Orders!$B$2:$B$5876,H142,Orders!$H$2:$H$5876,"Completed")</f>
        <v>16380.99</v>
      </c>
    </row>
    <row r="143" customFormat="false" ht="15" hidden="false" customHeight="true" outlineLevel="0" collapsed="false">
      <c r="H143" s="1" t="n">
        <v>132</v>
      </c>
      <c r="I143" s="1" t="str">
        <f aca="false">VLOOKUP(H143,Customers!$A$2:$G$501,2,FALSE())</f>
        <v>Laura Martin</v>
      </c>
      <c r="J143" s="1" t="str">
        <f aca="false">VLOOKUP(H143,Customers!$A$2:$G$501,6,FALSE())</f>
        <v>Corporate</v>
      </c>
      <c r="K143" s="1" t="n">
        <f aca="false">COUNTIFS(Orders!$B$2:$B$5876,H143,Orders!$H$2:$H$5876,"Completed")</f>
        <v>7</v>
      </c>
      <c r="L143" s="4" t="n">
        <f aca="false">SUMIFS(Orders!$I$2:$I$5876,Orders!$B$2:$B$5876,H143,Orders!$H$2:$H$5876,"Completed")</f>
        <v>14117.86</v>
      </c>
    </row>
    <row r="144" customFormat="false" ht="15" hidden="false" customHeight="true" outlineLevel="0" collapsed="false">
      <c r="H144" s="1" t="n">
        <v>133</v>
      </c>
      <c r="I144" s="1" t="str">
        <f aca="false">VLOOKUP(H144,Customers!$A$2:$G$501,2,FALSE())</f>
        <v>Karen Robinson</v>
      </c>
      <c r="J144" s="1" t="str">
        <f aca="false">VLOOKUP(H144,Customers!$A$2:$G$501,6,FALSE())</f>
        <v>Consumer</v>
      </c>
      <c r="K144" s="1" t="n">
        <f aca="false">COUNTIFS(Orders!$B$2:$B$5876,H144,Orders!$H$2:$H$5876,"Completed")</f>
        <v>5</v>
      </c>
      <c r="L144" s="4" t="n">
        <f aca="false">SUMIFS(Orders!$I$2:$I$5876,Orders!$B$2:$B$5876,H144,Orders!$H$2:$H$5876,"Completed")</f>
        <v>10061.02</v>
      </c>
    </row>
    <row r="145" customFormat="false" ht="15" hidden="false" customHeight="true" outlineLevel="0" collapsed="false">
      <c r="H145" s="1" t="n">
        <v>134</v>
      </c>
      <c r="I145" s="1" t="str">
        <f aca="false">VLOOKUP(H145,Customers!$A$2:$G$501,2,FALSE())</f>
        <v>Mary Williams</v>
      </c>
      <c r="J145" s="1" t="str">
        <f aca="false">VLOOKUP(H145,Customers!$A$2:$G$501,6,FALSE())</f>
        <v>Corporate</v>
      </c>
      <c r="K145" s="1" t="n">
        <f aca="false">COUNTIFS(Orders!$B$2:$B$5876,H145,Orders!$H$2:$H$5876,"Completed")</f>
        <v>9</v>
      </c>
      <c r="L145" s="4" t="n">
        <f aca="false">SUMIFS(Orders!$I$2:$I$5876,Orders!$B$2:$B$5876,H145,Orders!$H$2:$H$5876,"Completed")</f>
        <v>11092.17</v>
      </c>
    </row>
    <row r="146" customFormat="false" ht="15" hidden="false" customHeight="true" outlineLevel="0" collapsed="false">
      <c r="H146" s="1" t="n">
        <v>135</v>
      </c>
      <c r="I146" s="1" t="str">
        <f aca="false">VLOOKUP(H146,Customers!$A$2:$G$501,2,FALSE())</f>
        <v>Diego Martin</v>
      </c>
      <c r="J146" s="1" t="str">
        <f aca="false">VLOOKUP(H146,Customers!$A$2:$G$501,6,FALSE())</f>
        <v>Corporate</v>
      </c>
      <c r="K146" s="1" t="n">
        <f aca="false">COUNTIFS(Orders!$B$2:$B$5876,H146,Orders!$H$2:$H$5876,"Completed")</f>
        <v>13</v>
      </c>
      <c r="L146" s="4" t="n">
        <f aca="false">SUMIFS(Orders!$I$2:$I$5876,Orders!$B$2:$B$5876,H146,Orders!$H$2:$H$5876,"Completed")</f>
        <v>12786.96</v>
      </c>
    </row>
    <row r="147" customFormat="false" ht="15" hidden="false" customHeight="true" outlineLevel="0" collapsed="false">
      <c r="H147" s="1" t="n">
        <v>136</v>
      </c>
      <c r="I147" s="1" t="str">
        <f aca="false">VLOOKUP(H147,Customers!$A$2:$G$501,2,FALSE())</f>
        <v>Valentina Martin</v>
      </c>
      <c r="J147" s="1" t="str">
        <f aca="false">VLOOKUP(H147,Customers!$A$2:$G$501,6,FALSE())</f>
        <v>Corporate</v>
      </c>
      <c r="K147" s="1" t="n">
        <f aca="false">COUNTIFS(Orders!$B$2:$B$5876,H147,Orders!$H$2:$H$5876,"Completed")</f>
        <v>13</v>
      </c>
      <c r="L147" s="4" t="n">
        <f aca="false">SUMIFS(Orders!$I$2:$I$5876,Orders!$B$2:$B$5876,H147,Orders!$H$2:$H$5876,"Completed")</f>
        <v>16976.55</v>
      </c>
    </row>
    <row r="148" customFormat="false" ht="15" hidden="false" customHeight="true" outlineLevel="0" collapsed="false">
      <c r="H148" s="1" t="n">
        <v>137</v>
      </c>
      <c r="I148" s="1" t="str">
        <f aca="false">VLOOKUP(H148,Customers!$A$2:$G$501,2,FALSE())</f>
        <v>Mariana Thomas</v>
      </c>
      <c r="J148" s="1" t="str">
        <f aca="false">VLOOKUP(H148,Customers!$A$2:$G$501,6,FALSE())</f>
        <v>Consumer</v>
      </c>
      <c r="K148" s="1" t="n">
        <f aca="false">COUNTIFS(Orders!$B$2:$B$5876,H148,Orders!$H$2:$H$5876,"Completed")</f>
        <v>13</v>
      </c>
      <c r="L148" s="4" t="n">
        <f aca="false">SUMIFS(Orders!$I$2:$I$5876,Orders!$B$2:$B$5876,H148,Orders!$H$2:$H$5876,"Completed")</f>
        <v>24189.22</v>
      </c>
    </row>
    <row r="149" customFormat="false" ht="15" hidden="false" customHeight="true" outlineLevel="0" collapsed="false">
      <c r="H149" s="1" t="n">
        <v>138</v>
      </c>
      <c r="I149" s="1" t="str">
        <f aca="false">VLOOKUP(H149,Customers!$A$2:$G$501,2,FALSE())</f>
        <v>Susan Harris</v>
      </c>
      <c r="J149" s="1" t="str">
        <f aca="false">VLOOKUP(H149,Customers!$A$2:$G$501,6,FALSE())</f>
        <v>Consumer</v>
      </c>
      <c r="K149" s="1" t="n">
        <f aca="false">COUNTIFS(Orders!$B$2:$B$5876,H149,Orders!$H$2:$H$5876,"Completed")</f>
        <v>15</v>
      </c>
      <c r="L149" s="4" t="n">
        <f aca="false">SUMIFS(Orders!$I$2:$I$5876,Orders!$B$2:$B$5876,H149,Orders!$H$2:$H$5876,"Completed")</f>
        <v>18429.98</v>
      </c>
    </row>
    <row r="150" customFormat="false" ht="15" hidden="false" customHeight="true" outlineLevel="0" collapsed="false">
      <c r="H150" s="1" t="n">
        <v>139</v>
      </c>
      <c r="I150" s="1" t="str">
        <f aca="false">VLOOKUP(H150,Customers!$A$2:$G$501,2,FALSE())</f>
        <v>Joseph Taylor</v>
      </c>
      <c r="J150" s="1" t="str">
        <f aca="false">VLOOKUP(H150,Customers!$A$2:$G$501,6,FALSE())</f>
        <v>Consumer</v>
      </c>
      <c r="K150" s="1" t="n">
        <f aca="false">COUNTIFS(Orders!$B$2:$B$5876,H150,Orders!$H$2:$H$5876,"Completed")</f>
        <v>13</v>
      </c>
      <c r="L150" s="4" t="n">
        <f aca="false">SUMIFS(Orders!$I$2:$I$5876,Orders!$B$2:$B$5876,H150,Orders!$H$2:$H$5876,"Completed")</f>
        <v>19706.88</v>
      </c>
    </row>
    <row r="151" customFormat="false" ht="15" hidden="false" customHeight="true" outlineLevel="0" collapsed="false">
      <c r="H151" s="1" t="n">
        <v>140</v>
      </c>
      <c r="I151" s="1" t="str">
        <f aca="false">VLOOKUP(H151,Customers!$A$2:$G$501,2,FALSE())</f>
        <v>John Ramirez</v>
      </c>
      <c r="J151" s="1" t="str">
        <f aca="false">VLOOKUP(H151,Customers!$A$2:$G$501,6,FALSE())</f>
        <v>Unknown</v>
      </c>
      <c r="K151" s="1" t="n">
        <f aca="false">COUNTIFS(Orders!$B$2:$B$5876,H151,Orders!$H$2:$H$5876,"Completed")</f>
        <v>9</v>
      </c>
      <c r="L151" s="4" t="n">
        <f aca="false">SUMIFS(Orders!$I$2:$I$5876,Orders!$B$2:$B$5876,H151,Orders!$H$2:$H$5876,"Completed")</f>
        <v>9484.28</v>
      </c>
    </row>
    <row r="152" customFormat="false" ht="15" hidden="false" customHeight="true" outlineLevel="0" collapsed="false">
      <c r="H152" s="1" t="n">
        <v>141</v>
      </c>
      <c r="I152" s="1" t="str">
        <f aca="false">VLOOKUP(H152,Customers!$A$2:$G$501,2,FALSE())</f>
        <v>Daniel Garcia</v>
      </c>
      <c r="J152" s="1" t="str">
        <f aca="false">VLOOKUP(H152,Customers!$A$2:$G$501,6,FALSE())</f>
        <v>Small Business</v>
      </c>
      <c r="K152" s="1" t="n">
        <f aca="false">COUNTIFS(Orders!$B$2:$B$5876,H152,Orders!$H$2:$H$5876,"Completed")</f>
        <v>13</v>
      </c>
      <c r="L152" s="4" t="n">
        <f aca="false">SUMIFS(Orders!$I$2:$I$5876,Orders!$B$2:$B$5876,H152,Orders!$H$2:$H$5876,"Completed")</f>
        <v>14763.88</v>
      </c>
    </row>
    <row r="153" customFormat="false" ht="15" hidden="false" customHeight="true" outlineLevel="0" collapsed="false">
      <c r="H153" s="1" t="n">
        <v>142</v>
      </c>
      <c r="I153" s="1" t="str">
        <f aca="false">VLOOKUP(H153,Customers!$A$2:$G$501,2,FALSE())</f>
        <v>Jennifer Gonzalez</v>
      </c>
      <c r="J153" s="1" t="str">
        <f aca="false">VLOOKUP(H153,Customers!$A$2:$G$501,6,FALSE())</f>
        <v>Small Business</v>
      </c>
      <c r="K153" s="1" t="n">
        <f aca="false">COUNTIFS(Orders!$B$2:$B$5876,H153,Orders!$H$2:$H$5876,"Completed")</f>
        <v>10</v>
      </c>
      <c r="L153" s="4" t="n">
        <f aca="false">SUMIFS(Orders!$I$2:$I$5876,Orders!$B$2:$B$5876,H153,Orders!$H$2:$H$5876,"Completed")</f>
        <v>19626.88</v>
      </c>
    </row>
    <row r="154" customFormat="false" ht="15" hidden="false" customHeight="true" outlineLevel="0" collapsed="false">
      <c r="H154" s="1" t="n">
        <v>143</v>
      </c>
      <c r="I154" s="1" t="str">
        <f aca="false">VLOOKUP(H154,Customers!$A$2:$G$501,2,FALSE())</f>
        <v>Matthew Lopez</v>
      </c>
      <c r="J154" s="1" t="str">
        <f aca="false">VLOOKUP(H154,Customers!$A$2:$G$501,6,FALSE())</f>
        <v>Small Business</v>
      </c>
      <c r="K154" s="1" t="n">
        <f aca="false">COUNTIFS(Orders!$B$2:$B$5876,H154,Orders!$H$2:$H$5876,"Completed")</f>
        <v>12</v>
      </c>
      <c r="L154" s="4" t="n">
        <f aca="false">SUMIFS(Orders!$I$2:$I$5876,Orders!$B$2:$B$5876,H154,Orders!$H$2:$H$5876,"Completed")</f>
        <v>13156.05</v>
      </c>
    </row>
    <row r="155" customFormat="false" ht="15" hidden="false" customHeight="true" outlineLevel="0" collapsed="false">
      <c r="H155" s="1" t="n">
        <v>144</v>
      </c>
      <c r="I155" s="1" t="str">
        <f aca="false">VLOOKUP(H155,Customers!$A$2:$G$501,2,FALSE())</f>
        <v>Valentina Anderson</v>
      </c>
      <c r="J155" s="1" t="str">
        <f aca="false">VLOOKUP(H155,Customers!$A$2:$G$501,6,FALSE())</f>
        <v>Small Business</v>
      </c>
      <c r="K155" s="1" t="n">
        <f aca="false">COUNTIFS(Orders!$B$2:$B$5876,H155,Orders!$H$2:$H$5876,"Completed")</f>
        <v>7</v>
      </c>
      <c r="L155" s="4" t="n">
        <f aca="false">SUMIFS(Orders!$I$2:$I$5876,Orders!$B$2:$B$5876,H155,Orders!$H$2:$H$5876,"Completed")</f>
        <v>10763.99</v>
      </c>
    </row>
    <row r="156" customFormat="false" ht="15" hidden="false" customHeight="true" outlineLevel="0" collapsed="false">
      <c r="H156" s="1" t="n">
        <v>145</v>
      </c>
      <c r="I156" s="1" t="str">
        <f aca="false">VLOOKUP(H156,Customers!$A$2:$G$501,2,FALSE())</f>
        <v>Daniel Jones</v>
      </c>
      <c r="J156" s="1" t="str">
        <f aca="false">VLOOKUP(H156,Customers!$A$2:$G$501,6,FALSE())</f>
        <v>Corporate</v>
      </c>
      <c r="K156" s="1" t="n">
        <f aca="false">COUNTIFS(Orders!$B$2:$B$5876,H156,Orders!$H$2:$H$5876,"Completed")</f>
        <v>13</v>
      </c>
      <c r="L156" s="4" t="n">
        <f aca="false">SUMIFS(Orders!$I$2:$I$5876,Orders!$B$2:$B$5876,H156,Orders!$H$2:$H$5876,"Completed")</f>
        <v>10630.47</v>
      </c>
    </row>
    <row r="157" customFormat="false" ht="15" hidden="false" customHeight="true" outlineLevel="0" collapsed="false">
      <c r="H157" s="1" t="n">
        <v>146</v>
      </c>
      <c r="I157" s="1" t="str">
        <f aca="false">VLOOKUP(H157,Customers!$A$2:$G$501,2,FALSE())</f>
        <v>Karen Anderson</v>
      </c>
      <c r="J157" s="1" t="str">
        <f aca="false">VLOOKUP(H157,Customers!$A$2:$G$501,6,FALSE())</f>
        <v>Consumer</v>
      </c>
      <c r="K157" s="1" t="n">
        <f aca="false">COUNTIFS(Orders!$B$2:$B$5876,H157,Orders!$H$2:$H$5876,"Completed")</f>
        <v>9</v>
      </c>
      <c r="L157" s="4" t="n">
        <f aca="false">SUMIFS(Orders!$I$2:$I$5876,Orders!$B$2:$B$5876,H157,Orders!$H$2:$H$5876,"Completed")</f>
        <v>13253.22</v>
      </c>
    </row>
    <row r="158" customFormat="false" ht="15" hidden="false" customHeight="true" outlineLevel="0" collapsed="false">
      <c r="H158" s="1" t="n">
        <v>147</v>
      </c>
      <c r="I158" s="1" t="str">
        <f aca="false">VLOOKUP(H158,Customers!$A$2:$G$501,2,FALSE())</f>
        <v>Carlos Gonzalez</v>
      </c>
      <c r="J158" s="1" t="str">
        <f aca="false">VLOOKUP(H158,Customers!$A$2:$G$501,6,FALSE())</f>
        <v>Small Business</v>
      </c>
      <c r="K158" s="1" t="n">
        <f aca="false">COUNTIFS(Orders!$B$2:$B$5876,H158,Orders!$H$2:$H$5876,"Completed")</f>
        <v>9</v>
      </c>
      <c r="L158" s="4" t="n">
        <f aca="false">SUMIFS(Orders!$I$2:$I$5876,Orders!$B$2:$B$5876,H158,Orders!$H$2:$H$5876,"Completed")</f>
        <v>10854.66</v>
      </c>
    </row>
    <row r="159" customFormat="false" ht="15" hidden="false" customHeight="true" outlineLevel="0" collapsed="false">
      <c r="H159" s="1" t="n">
        <v>148</v>
      </c>
      <c r="I159" s="1" t="str">
        <f aca="false">VLOOKUP(H159,Customers!$A$2:$G$501,2,FALSE())</f>
        <v>Daniel Martin</v>
      </c>
      <c r="J159" s="1" t="str">
        <f aca="false">VLOOKUP(H159,Customers!$A$2:$G$501,6,FALSE())</f>
        <v>Corporate</v>
      </c>
      <c r="K159" s="1" t="n">
        <f aca="false">COUNTIFS(Orders!$B$2:$B$5876,H159,Orders!$H$2:$H$5876,"Completed")</f>
        <v>7</v>
      </c>
      <c r="L159" s="4" t="n">
        <f aca="false">SUMIFS(Orders!$I$2:$I$5876,Orders!$B$2:$B$5876,H159,Orders!$H$2:$H$5876,"Completed")</f>
        <v>13688.49</v>
      </c>
    </row>
    <row r="160" customFormat="false" ht="15" hidden="false" customHeight="true" outlineLevel="0" collapsed="false">
      <c r="H160" s="1" t="n">
        <v>149</v>
      </c>
      <c r="I160" s="1" t="str">
        <f aca="false">VLOOKUP(H160,Customers!$A$2:$G$501,2,FALSE())</f>
        <v>Jennifer Taylor</v>
      </c>
      <c r="J160" s="1" t="str">
        <f aca="false">VLOOKUP(H160,Customers!$A$2:$G$501,6,FALSE())</f>
        <v>Consumer</v>
      </c>
      <c r="K160" s="1" t="n">
        <f aca="false">COUNTIFS(Orders!$B$2:$B$5876,H160,Orders!$H$2:$H$5876,"Completed")</f>
        <v>9</v>
      </c>
      <c r="L160" s="4" t="n">
        <f aca="false">SUMIFS(Orders!$I$2:$I$5876,Orders!$B$2:$B$5876,H160,Orders!$H$2:$H$5876,"Completed")</f>
        <v>14475.41</v>
      </c>
    </row>
    <row r="161" customFormat="false" ht="15" hidden="false" customHeight="true" outlineLevel="0" collapsed="false">
      <c r="H161" s="1" t="n">
        <v>150</v>
      </c>
      <c r="I161" s="1" t="str">
        <f aca="false">VLOOKUP(H161,Customers!$A$2:$G$501,2,FALSE())</f>
        <v>Charles Gonzalez</v>
      </c>
      <c r="J161" s="1" t="str">
        <f aca="false">VLOOKUP(H161,Customers!$A$2:$G$501,6,FALSE())</f>
        <v>Corporate</v>
      </c>
      <c r="K161" s="1" t="n">
        <f aca="false">COUNTIFS(Orders!$B$2:$B$5876,H161,Orders!$H$2:$H$5876,"Completed")</f>
        <v>15</v>
      </c>
      <c r="L161" s="4" t="n">
        <f aca="false">SUMIFS(Orders!$I$2:$I$5876,Orders!$B$2:$B$5876,H161,Orders!$H$2:$H$5876,"Completed")</f>
        <v>22391.64</v>
      </c>
    </row>
    <row r="162" customFormat="false" ht="15" hidden="false" customHeight="true" outlineLevel="0" collapsed="false">
      <c r="H162" s="1" t="n">
        <v>151</v>
      </c>
      <c r="I162" s="1" t="str">
        <f aca="false">VLOOKUP(H162,Customers!$A$2:$G$501,2,FALSE())</f>
        <v>Anthony Martinez</v>
      </c>
      <c r="J162" s="1" t="str">
        <f aca="false">VLOOKUP(H162,Customers!$A$2:$G$501,6,FALSE())</f>
        <v>Small Business</v>
      </c>
      <c r="K162" s="1" t="n">
        <f aca="false">COUNTIFS(Orders!$B$2:$B$5876,H162,Orders!$H$2:$H$5876,"Completed")</f>
        <v>8</v>
      </c>
      <c r="L162" s="4" t="n">
        <f aca="false">SUMIFS(Orders!$I$2:$I$5876,Orders!$B$2:$B$5876,H162,Orders!$H$2:$H$5876,"Completed")</f>
        <v>12838.14</v>
      </c>
    </row>
    <row r="163" customFormat="false" ht="15" hidden="false" customHeight="true" outlineLevel="0" collapsed="false">
      <c r="H163" s="1" t="n">
        <v>152</v>
      </c>
      <c r="I163" s="1" t="str">
        <f aca="false">VLOOKUP(H163,Customers!$A$2:$G$501,2,FALSE())</f>
        <v>Matthew Martinez</v>
      </c>
      <c r="J163" s="1" t="str">
        <f aca="false">VLOOKUP(H163,Customers!$A$2:$G$501,6,FALSE())</f>
        <v>Corporate</v>
      </c>
      <c r="K163" s="1" t="n">
        <f aca="false">COUNTIFS(Orders!$B$2:$B$5876,H163,Orders!$H$2:$H$5876,"Completed")</f>
        <v>6</v>
      </c>
      <c r="L163" s="4" t="n">
        <f aca="false">SUMIFS(Orders!$I$2:$I$5876,Orders!$B$2:$B$5876,H163,Orders!$H$2:$H$5876,"Completed")</f>
        <v>9834.22</v>
      </c>
    </row>
    <row r="164" customFormat="false" ht="15" hidden="false" customHeight="true" outlineLevel="0" collapsed="false">
      <c r="H164" s="1" t="n">
        <v>153</v>
      </c>
      <c r="I164" s="1" t="str">
        <f aca="false">VLOOKUP(H164,Customers!$A$2:$G$501,2,FALSE())</f>
        <v>Sofia Williams</v>
      </c>
      <c r="J164" s="1" t="str">
        <f aca="false">VLOOKUP(H164,Customers!$A$2:$G$501,6,FALSE())</f>
        <v>Corporate</v>
      </c>
      <c r="K164" s="1" t="n">
        <f aca="false">COUNTIFS(Orders!$B$2:$B$5876,H164,Orders!$H$2:$H$5876,"Completed")</f>
        <v>8</v>
      </c>
      <c r="L164" s="4" t="n">
        <f aca="false">SUMIFS(Orders!$I$2:$I$5876,Orders!$B$2:$B$5876,H164,Orders!$H$2:$H$5876,"Completed")</f>
        <v>2997.25</v>
      </c>
    </row>
    <row r="165" customFormat="false" ht="15" hidden="false" customHeight="true" outlineLevel="0" collapsed="false">
      <c r="H165" s="1" t="n">
        <v>154</v>
      </c>
      <c r="I165" s="1" t="str">
        <f aca="false">VLOOKUP(H165,Customers!$A$2:$G$501,2,FALSE())</f>
        <v>William Jones</v>
      </c>
      <c r="J165" s="1" t="str">
        <f aca="false">VLOOKUP(H165,Customers!$A$2:$G$501,6,FALSE())</f>
        <v>Small Business</v>
      </c>
      <c r="K165" s="1" t="n">
        <f aca="false">COUNTIFS(Orders!$B$2:$B$5876,H165,Orders!$H$2:$H$5876,"Completed")</f>
        <v>13</v>
      </c>
      <c r="L165" s="4" t="n">
        <f aca="false">SUMIFS(Orders!$I$2:$I$5876,Orders!$B$2:$B$5876,H165,Orders!$H$2:$H$5876,"Completed")</f>
        <v>13969.13</v>
      </c>
    </row>
    <row r="166" customFormat="false" ht="15" hidden="false" customHeight="true" outlineLevel="0" collapsed="false">
      <c r="H166" s="1" t="n">
        <v>155</v>
      </c>
      <c r="I166" s="1" t="str">
        <f aca="false">VLOOKUP(H166,Customers!$A$2:$G$501,2,FALSE())</f>
        <v>Nancy Lewis</v>
      </c>
      <c r="J166" s="1" t="str">
        <f aca="false">VLOOKUP(H166,Customers!$A$2:$G$501,6,FALSE())</f>
        <v>Consumer</v>
      </c>
      <c r="K166" s="1" t="n">
        <f aca="false">COUNTIFS(Orders!$B$2:$B$5876,H166,Orders!$H$2:$H$5876,"Completed")</f>
        <v>10</v>
      </c>
      <c r="L166" s="4" t="n">
        <f aca="false">SUMIFS(Orders!$I$2:$I$5876,Orders!$B$2:$B$5876,H166,Orders!$H$2:$H$5876,"Completed")</f>
        <v>19895.03</v>
      </c>
    </row>
    <row r="167" customFormat="false" ht="15" hidden="false" customHeight="true" outlineLevel="0" collapsed="false">
      <c r="H167" s="1" t="n">
        <v>156</v>
      </c>
      <c r="I167" s="1" t="str">
        <f aca="false">VLOOKUP(H167,Customers!$A$2:$G$501,2,FALSE())</f>
        <v>Robert Wilson</v>
      </c>
      <c r="J167" s="1" t="str">
        <f aca="false">VLOOKUP(H167,Customers!$A$2:$G$501,6,FALSE())</f>
        <v>Corporate</v>
      </c>
      <c r="K167" s="1" t="n">
        <f aca="false">COUNTIFS(Orders!$B$2:$B$5876,H167,Orders!$H$2:$H$5876,"Completed")</f>
        <v>8</v>
      </c>
      <c r="L167" s="4" t="n">
        <f aca="false">SUMIFS(Orders!$I$2:$I$5876,Orders!$B$2:$B$5876,H167,Orders!$H$2:$H$5876,"Completed")</f>
        <v>14790.37</v>
      </c>
    </row>
    <row r="168" customFormat="false" ht="15" hidden="false" customHeight="true" outlineLevel="0" collapsed="false">
      <c r="H168" s="1" t="n">
        <v>157</v>
      </c>
      <c r="I168" s="1" t="str">
        <f aca="false">VLOOKUP(H168,Customers!$A$2:$G$501,2,FALSE())</f>
        <v>Jessica Martinez</v>
      </c>
      <c r="J168" s="1" t="str">
        <f aca="false">VLOOKUP(H168,Customers!$A$2:$G$501,6,FALSE())</f>
        <v>Corporate</v>
      </c>
      <c r="K168" s="1" t="n">
        <f aca="false">COUNTIFS(Orders!$B$2:$B$5876,H168,Orders!$H$2:$H$5876,"Completed")</f>
        <v>8</v>
      </c>
      <c r="L168" s="4" t="n">
        <f aca="false">SUMIFS(Orders!$I$2:$I$5876,Orders!$B$2:$B$5876,H168,Orders!$H$2:$H$5876,"Completed")</f>
        <v>16778.59</v>
      </c>
    </row>
    <row r="169" customFormat="false" ht="15" hidden="false" customHeight="true" outlineLevel="0" collapsed="false">
      <c r="H169" s="1" t="n">
        <v>158</v>
      </c>
      <c r="I169" s="1" t="str">
        <f aca="false">VLOOKUP(H169,Customers!$A$2:$G$501,2,FALSE())</f>
        <v>Carlos Taylor</v>
      </c>
      <c r="J169" s="1" t="str">
        <f aca="false">VLOOKUP(H169,Customers!$A$2:$G$501,6,FALSE())</f>
        <v>Small Business</v>
      </c>
      <c r="K169" s="1" t="n">
        <f aca="false">COUNTIFS(Orders!$B$2:$B$5876,H169,Orders!$H$2:$H$5876,"Completed")</f>
        <v>11</v>
      </c>
      <c r="L169" s="4" t="n">
        <f aca="false">SUMIFS(Orders!$I$2:$I$5876,Orders!$B$2:$B$5876,H169,Orders!$H$2:$H$5876,"Completed")</f>
        <v>9098.16</v>
      </c>
    </row>
    <row r="170" customFormat="false" ht="15" hidden="false" customHeight="true" outlineLevel="0" collapsed="false">
      <c r="H170" s="1" t="n">
        <v>159</v>
      </c>
      <c r="I170" s="1" t="str">
        <f aca="false">VLOOKUP(H170,Customers!$A$2:$G$501,2,FALSE())</f>
        <v>Lisa Moore</v>
      </c>
      <c r="J170" s="1" t="str">
        <f aca="false">VLOOKUP(H170,Customers!$A$2:$G$501,6,FALSE())</f>
        <v>Corporate</v>
      </c>
      <c r="K170" s="1" t="n">
        <f aca="false">COUNTIFS(Orders!$B$2:$B$5876,H170,Orders!$H$2:$H$5876,"Completed")</f>
        <v>10</v>
      </c>
      <c r="L170" s="4" t="n">
        <f aca="false">SUMIFS(Orders!$I$2:$I$5876,Orders!$B$2:$B$5876,H170,Orders!$H$2:$H$5876,"Completed")</f>
        <v>11316.88</v>
      </c>
    </row>
    <row r="171" customFormat="false" ht="15" hidden="false" customHeight="true" outlineLevel="0" collapsed="false">
      <c r="H171" s="1" t="n">
        <v>160</v>
      </c>
      <c r="I171" s="1" t="str">
        <f aca="false">VLOOKUP(H171,Customers!$A$2:$G$501,2,FALSE())</f>
        <v>Carlos Jones</v>
      </c>
      <c r="J171" s="1" t="str">
        <f aca="false">VLOOKUP(H171,Customers!$A$2:$G$501,6,FALSE())</f>
        <v>Consumer</v>
      </c>
      <c r="K171" s="1" t="n">
        <f aca="false">COUNTIFS(Orders!$B$2:$B$5876,H171,Orders!$H$2:$H$5876,"Completed")</f>
        <v>9</v>
      </c>
      <c r="L171" s="4" t="n">
        <f aca="false">SUMIFS(Orders!$I$2:$I$5876,Orders!$B$2:$B$5876,H171,Orders!$H$2:$H$5876,"Completed")</f>
        <v>21185.27</v>
      </c>
    </row>
    <row r="172" customFormat="false" ht="15" hidden="false" customHeight="true" outlineLevel="0" collapsed="false">
      <c r="H172" s="1" t="n">
        <v>161</v>
      </c>
      <c r="I172" s="1" t="str">
        <f aca="false">VLOOKUP(H172,Customers!$A$2:$G$501,2,FALSE())</f>
        <v>Betty Taylor</v>
      </c>
      <c r="J172" s="1" t="str">
        <f aca="false">VLOOKUP(H172,Customers!$A$2:$G$501,6,FALSE())</f>
        <v>Consumer</v>
      </c>
      <c r="K172" s="1" t="n">
        <f aca="false">COUNTIFS(Orders!$B$2:$B$5876,H172,Orders!$H$2:$H$5876,"Completed")</f>
        <v>5</v>
      </c>
      <c r="L172" s="4" t="n">
        <f aca="false">SUMIFS(Orders!$I$2:$I$5876,Orders!$B$2:$B$5876,H172,Orders!$H$2:$H$5876,"Completed")</f>
        <v>6563.61</v>
      </c>
    </row>
    <row r="173" customFormat="false" ht="15" hidden="false" customHeight="true" outlineLevel="0" collapsed="false">
      <c r="H173" s="1" t="n">
        <v>162</v>
      </c>
      <c r="I173" s="1" t="str">
        <f aca="false">VLOOKUP(H173,Customers!$A$2:$G$501,2,FALSE())</f>
        <v>Nancy Sanchez</v>
      </c>
      <c r="J173" s="1" t="str">
        <f aca="false">VLOOKUP(H173,Customers!$A$2:$G$501,6,FALSE())</f>
        <v>Small Business</v>
      </c>
      <c r="K173" s="1" t="n">
        <f aca="false">COUNTIFS(Orders!$B$2:$B$5876,H173,Orders!$H$2:$H$5876,"Completed")</f>
        <v>9</v>
      </c>
      <c r="L173" s="4" t="n">
        <f aca="false">SUMIFS(Orders!$I$2:$I$5876,Orders!$B$2:$B$5876,H173,Orders!$H$2:$H$5876,"Completed")</f>
        <v>14016.57</v>
      </c>
    </row>
    <row r="174" customFormat="false" ht="15" hidden="false" customHeight="true" outlineLevel="0" collapsed="false">
      <c r="H174" s="1" t="n">
        <v>163</v>
      </c>
      <c r="I174" s="1" t="str">
        <f aca="false">VLOOKUP(H174,Customers!$A$2:$G$501,2,FALSE())</f>
        <v>Laura Smith</v>
      </c>
      <c r="J174" s="1" t="str">
        <f aca="false">VLOOKUP(H174,Customers!$A$2:$G$501,6,FALSE())</f>
        <v>Small Business</v>
      </c>
      <c r="K174" s="1" t="n">
        <f aca="false">COUNTIFS(Orders!$B$2:$B$5876,H174,Orders!$H$2:$H$5876,"Completed")</f>
        <v>5</v>
      </c>
      <c r="L174" s="4" t="n">
        <f aca="false">SUMIFS(Orders!$I$2:$I$5876,Orders!$B$2:$B$5876,H174,Orders!$H$2:$H$5876,"Completed")</f>
        <v>4862.28</v>
      </c>
    </row>
    <row r="175" customFormat="false" ht="15" hidden="false" customHeight="true" outlineLevel="0" collapsed="false">
      <c r="H175" s="1" t="n">
        <v>164</v>
      </c>
      <c r="I175" s="1" t="str">
        <f aca="false">VLOOKUP(H175,Customers!$A$2:$G$501,2,FALSE())</f>
        <v>Charles Davis</v>
      </c>
      <c r="J175" s="1" t="str">
        <f aca="false">VLOOKUP(H175,Customers!$A$2:$G$501,6,FALSE())</f>
        <v>Consumer</v>
      </c>
      <c r="K175" s="1" t="n">
        <f aca="false">COUNTIFS(Orders!$B$2:$B$5876,H175,Orders!$H$2:$H$5876,"Completed")</f>
        <v>12</v>
      </c>
      <c r="L175" s="4" t="n">
        <f aca="false">SUMIFS(Orders!$I$2:$I$5876,Orders!$B$2:$B$5876,H175,Orders!$H$2:$H$5876,"Completed")</f>
        <v>17386.98</v>
      </c>
    </row>
    <row r="176" customFormat="false" ht="15" hidden="false" customHeight="true" outlineLevel="0" collapsed="false">
      <c r="H176" s="1" t="n">
        <v>165</v>
      </c>
      <c r="I176" s="1" t="str">
        <f aca="false">VLOOKUP(H176,Customers!$A$2:$G$501,2,FALSE())</f>
        <v>Valentina Martin</v>
      </c>
      <c r="J176" s="1" t="str">
        <f aca="false">VLOOKUP(H176,Customers!$A$2:$G$501,6,FALSE())</f>
        <v>Consumer</v>
      </c>
      <c r="K176" s="1" t="n">
        <f aca="false">COUNTIFS(Orders!$B$2:$B$5876,H176,Orders!$H$2:$H$5876,"Completed")</f>
        <v>9</v>
      </c>
      <c r="L176" s="4" t="n">
        <f aca="false">SUMIFS(Orders!$I$2:$I$5876,Orders!$B$2:$B$5876,H176,Orders!$H$2:$H$5876,"Completed")</f>
        <v>17996.52</v>
      </c>
    </row>
    <row r="177" customFormat="false" ht="15" hidden="false" customHeight="true" outlineLevel="0" collapsed="false">
      <c r="H177" s="1" t="n">
        <v>166</v>
      </c>
      <c r="I177" s="1" t="str">
        <f aca="false">VLOOKUP(H177,Customers!$A$2:$G$501,2,FALSE())</f>
        <v>Jessica Jackson</v>
      </c>
      <c r="J177" s="1" t="str">
        <f aca="false">VLOOKUP(H177,Customers!$A$2:$G$501,6,FALSE())</f>
        <v>Small Business</v>
      </c>
      <c r="K177" s="1" t="n">
        <f aca="false">COUNTIFS(Orders!$B$2:$B$5876,H177,Orders!$H$2:$H$5876,"Completed")</f>
        <v>17</v>
      </c>
      <c r="L177" s="4" t="n">
        <f aca="false">SUMIFS(Orders!$I$2:$I$5876,Orders!$B$2:$B$5876,H177,Orders!$H$2:$H$5876,"Completed")</f>
        <v>20544.96</v>
      </c>
    </row>
    <row r="178" customFormat="false" ht="15" hidden="false" customHeight="true" outlineLevel="0" collapsed="false">
      <c r="H178" s="1" t="n">
        <v>167</v>
      </c>
      <c r="I178" s="1" t="str">
        <f aca="false">VLOOKUP(H178,Customers!$A$2:$G$501,2,FALSE())</f>
        <v>Carlos Moore</v>
      </c>
      <c r="J178" s="1" t="str">
        <f aca="false">VLOOKUP(H178,Customers!$A$2:$G$501,6,FALSE())</f>
        <v>Unknown</v>
      </c>
      <c r="K178" s="1" t="n">
        <f aca="false">COUNTIFS(Orders!$B$2:$B$5876,H178,Orders!$H$2:$H$5876,"Completed")</f>
        <v>10</v>
      </c>
      <c r="L178" s="4" t="n">
        <f aca="false">SUMIFS(Orders!$I$2:$I$5876,Orders!$B$2:$B$5876,H178,Orders!$H$2:$H$5876,"Completed")</f>
        <v>15331.56</v>
      </c>
    </row>
    <row r="179" customFormat="false" ht="15" hidden="false" customHeight="true" outlineLevel="0" collapsed="false">
      <c r="H179" s="1" t="n">
        <v>168</v>
      </c>
      <c r="I179" s="1" t="str">
        <f aca="false">VLOOKUP(H179,Customers!$A$2:$G$501,2,FALSE())</f>
        <v>John Lopez</v>
      </c>
      <c r="J179" s="1" t="str">
        <f aca="false">VLOOKUP(H179,Customers!$A$2:$G$501,6,FALSE())</f>
        <v>Consumer</v>
      </c>
      <c r="K179" s="1" t="n">
        <f aca="false">COUNTIFS(Orders!$B$2:$B$5876,H179,Orders!$H$2:$H$5876,"Completed")</f>
        <v>11</v>
      </c>
      <c r="L179" s="4" t="n">
        <f aca="false">SUMIFS(Orders!$I$2:$I$5876,Orders!$B$2:$B$5876,H179,Orders!$H$2:$H$5876,"Completed")</f>
        <v>10124.95</v>
      </c>
    </row>
    <row r="180" customFormat="false" ht="15" hidden="false" customHeight="true" outlineLevel="0" collapsed="false">
      <c r="H180" s="1" t="n">
        <v>169</v>
      </c>
      <c r="I180" s="1" t="str">
        <f aca="false">VLOOKUP(H180,Customers!$A$2:$G$501,2,FALSE())</f>
        <v>Nancy Clark</v>
      </c>
      <c r="J180" s="1" t="str">
        <f aca="false">VLOOKUP(H180,Customers!$A$2:$G$501,6,FALSE())</f>
        <v>Consumer</v>
      </c>
      <c r="K180" s="1" t="n">
        <f aca="false">COUNTIFS(Orders!$B$2:$B$5876,H180,Orders!$H$2:$H$5876,"Completed")</f>
        <v>7</v>
      </c>
      <c r="L180" s="4" t="n">
        <f aca="false">SUMIFS(Orders!$I$2:$I$5876,Orders!$B$2:$B$5876,H180,Orders!$H$2:$H$5876,"Completed")</f>
        <v>11774.28</v>
      </c>
    </row>
    <row r="181" customFormat="false" ht="15" hidden="false" customHeight="true" outlineLevel="0" collapsed="false">
      <c r="H181" s="1" t="n">
        <v>170</v>
      </c>
      <c r="I181" s="1" t="str">
        <f aca="false">VLOOKUP(H181,Customers!$A$2:$G$501,2,FALSE())</f>
        <v>Camila Johnson</v>
      </c>
      <c r="J181" s="1" t="str">
        <f aca="false">VLOOKUP(H181,Customers!$A$2:$G$501,6,FALSE())</f>
        <v>Small Business</v>
      </c>
      <c r="K181" s="1" t="n">
        <f aca="false">COUNTIFS(Orders!$B$2:$B$5876,H181,Orders!$H$2:$H$5876,"Completed")</f>
        <v>13</v>
      </c>
      <c r="L181" s="4" t="n">
        <f aca="false">SUMIFS(Orders!$I$2:$I$5876,Orders!$B$2:$B$5876,H181,Orders!$H$2:$H$5876,"Completed")</f>
        <v>16479.5</v>
      </c>
    </row>
    <row r="182" customFormat="false" ht="15" hidden="false" customHeight="true" outlineLevel="0" collapsed="false">
      <c r="H182" s="1" t="n">
        <v>171</v>
      </c>
      <c r="I182" s="1" t="str">
        <f aca="false">VLOOKUP(H182,Customers!$A$2:$G$501,2,FALSE())</f>
        <v>Luis Thomas</v>
      </c>
      <c r="J182" s="1" t="str">
        <f aca="false">VLOOKUP(H182,Customers!$A$2:$G$501,6,FALSE())</f>
        <v>Small Business</v>
      </c>
      <c r="K182" s="1" t="n">
        <f aca="false">COUNTIFS(Orders!$B$2:$B$5876,H182,Orders!$H$2:$H$5876,"Completed")</f>
        <v>21</v>
      </c>
      <c r="L182" s="4" t="n">
        <f aca="false">SUMIFS(Orders!$I$2:$I$5876,Orders!$B$2:$B$5876,H182,Orders!$H$2:$H$5876,"Completed")</f>
        <v>22887.75</v>
      </c>
    </row>
    <row r="183" customFormat="false" ht="15" hidden="false" customHeight="true" outlineLevel="0" collapsed="false">
      <c r="H183" s="1" t="n">
        <v>172</v>
      </c>
      <c r="I183" s="1" t="str">
        <f aca="false">VLOOKUP(H183,Customers!$A$2:$G$501,2,FALSE())</f>
        <v>Linda Sanchez</v>
      </c>
      <c r="J183" s="1" t="str">
        <f aca="false">VLOOKUP(H183,Customers!$A$2:$G$501,6,FALSE())</f>
        <v>Consumer</v>
      </c>
      <c r="K183" s="1" t="n">
        <f aca="false">COUNTIFS(Orders!$B$2:$B$5876,H183,Orders!$H$2:$H$5876,"Completed")</f>
        <v>12</v>
      </c>
      <c r="L183" s="4" t="n">
        <f aca="false">SUMIFS(Orders!$I$2:$I$5876,Orders!$B$2:$B$5876,H183,Orders!$H$2:$H$5876,"Completed")</f>
        <v>17079.94</v>
      </c>
    </row>
    <row r="184" customFormat="false" ht="15" hidden="false" customHeight="true" outlineLevel="0" collapsed="false">
      <c r="H184" s="1" t="n">
        <v>173</v>
      </c>
      <c r="I184" s="1" t="str">
        <f aca="false">VLOOKUP(H184,Customers!$A$2:$G$501,2,FALSE())</f>
        <v>Valentina Lopez</v>
      </c>
      <c r="J184" s="1" t="str">
        <f aca="false">VLOOKUP(H184,Customers!$A$2:$G$501,6,FALSE())</f>
        <v>Consumer</v>
      </c>
      <c r="K184" s="1" t="n">
        <f aca="false">COUNTIFS(Orders!$B$2:$B$5876,H184,Orders!$H$2:$H$5876,"Completed")</f>
        <v>6</v>
      </c>
      <c r="L184" s="4" t="n">
        <f aca="false">SUMIFS(Orders!$I$2:$I$5876,Orders!$B$2:$B$5876,H184,Orders!$H$2:$H$5876,"Completed")</f>
        <v>11538.12</v>
      </c>
    </row>
    <row r="185" customFormat="false" ht="15" hidden="false" customHeight="true" outlineLevel="0" collapsed="false">
      <c r="H185" s="1" t="n">
        <v>174</v>
      </c>
      <c r="I185" s="1" t="str">
        <f aca="false">VLOOKUP(H185,Customers!$A$2:$G$501,2,FALSE())</f>
        <v>Daniel Brown</v>
      </c>
      <c r="J185" s="1" t="str">
        <f aca="false">VLOOKUP(H185,Customers!$A$2:$G$501,6,FALSE())</f>
        <v>Small Business</v>
      </c>
      <c r="K185" s="1" t="n">
        <f aca="false">COUNTIFS(Orders!$B$2:$B$5876,H185,Orders!$H$2:$H$5876,"Completed")</f>
        <v>12</v>
      </c>
      <c r="L185" s="4" t="n">
        <f aca="false">SUMIFS(Orders!$I$2:$I$5876,Orders!$B$2:$B$5876,H185,Orders!$H$2:$H$5876,"Completed")</f>
        <v>13122.77</v>
      </c>
    </row>
    <row r="186" customFormat="false" ht="15" hidden="false" customHeight="true" outlineLevel="0" collapsed="false">
      <c r="H186" s="1" t="n">
        <v>175</v>
      </c>
      <c r="I186" s="1" t="str">
        <f aca="false">VLOOKUP(H186,Customers!$A$2:$G$501,2,FALSE())</f>
        <v>Juan Johnson</v>
      </c>
      <c r="J186" s="1" t="str">
        <f aca="false">VLOOKUP(H186,Customers!$A$2:$G$501,6,FALSE())</f>
        <v>Consumer</v>
      </c>
      <c r="K186" s="1" t="n">
        <f aca="false">COUNTIFS(Orders!$B$2:$B$5876,H186,Orders!$H$2:$H$5876,"Completed")</f>
        <v>14</v>
      </c>
      <c r="L186" s="4" t="n">
        <f aca="false">SUMIFS(Orders!$I$2:$I$5876,Orders!$B$2:$B$5876,H186,Orders!$H$2:$H$5876,"Completed")</f>
        <v>15278.46</v>
      </c>
    </row>
    <row r="187" customFormat="false" ht="15" hidden="false" customHeight="true" outlineLevel="0" collapsed="false">
      <c r="H187" s="1" t="n">
        <v>176</v>
      </c>
      <c r="I187" s="1" t="str">
        <f aca="false">VLOOKUP(H187,Customers!$A$2:$G$501,2,FALSE())</f>
        <v>Betty Lopez</v>
      </c>
      <c r="J187" s="1" t="str">
        <f aca="false">VLOOKUP(H187,Customers!$A$2:$G$501,6,FALSE())</f>
        <v>Corporate</v>
      </c>
      <c r="K187" s="1" t="n">
        <f aca="false">COUNTIFS(Orders!$B$2:$B$5876,H187,Orders!$H$2:$H$5876,"Completed")</f>
        <v>8</v>
      </c>
      <c r="L187" s="4" t="n">
        <f aca="false">SUMIFS(Orders!$I$2:$I$5876,Orders!$B$2:$B$5876,H187,Orders!$H$2:$H$5876,"Completed")</f>
        <v>11943.69</v>
      </c>
    </row>
    <row r="188" customFormat="false" ht="15" hidden="false" customHeight="true" outlineLevel="0" collapsed="false">
      <c r="H188" s="1" t="n">
        <v>177</v>
      </c>
      <c r="I188" s="1" t="str">
        <f aca="false">VLOOKUP(H188,Customers!$A$2:$G$501,2,FALSE())</f>
        <v>John Davis</v>
      </c>
      <c r="J188" s="1" t="str">
        <f aca="false">VLOOKUP(H188,Customers!$A$2:$G$501,6,FALSE())</f>
        <v>Corporate</v>
      </c>
      <c r="K188" s="1" t="n">
        <f aca="false">COUNTIFS(Orders!$B$2:$B$5876,H188,Orders!$H$2:$H$5876,"Completed")</f>
        <v>6</v>
      </c>
      <c r="L188" s="4" t="n">
        <f aca="false">SUMIFS(Orders!$I$2:$I$5876,Orders!$B$2:$B$5876,H188,Orders!$H$2:$H$5876,"Completed")</f>
        <v>11659.1</v>
      </c>
    </row>
    <row r="189" customFormat="false" ht="15" hidden="false" customHeight="true" outlineLevel="0" collapsed="false">
      <c r="H189" s="1" t="n">
        <v>178</v>
      </c>
      <c r="I189" s="1" t="str">
        <f aca="false">VLOOKUP(H189,Customers!$A$2:$G$501,2,FALSE())</f>
        <v>John Jackson</v>
      </c>
      <c r="J189" s="1" t="str">
        <f aca="false">VLOOKUP(H189,Customers!$A$2:$G$501,6,FALSE())</f>
        <v>Consumer</v>
      </c>
      <c r="K189" s="1" t="n">
        <f aca="false">COUNTIFS(Orders!$B$2:$B$5876,H189,Orders!$H$2:$H$5876,"Completed")</f>
        <v>11</v>
      </c>
      <c r="L189" s="4" t="n">
        <f aca="false">SUMIFS(Orders!$I$2:$I$5876,Orders!$B$2:$B$5876,H189,Orders!$H$2:$H$5876,"Completed")</f>
        <v>19563.08</v>
      </c>
    </row>
    <row r="190" customFormat="false" ht="15" hidden="false" customHeight="true" outlineLevel="0" collapsed="false">
      <c r="H190" s="1" t="n">
        <v>179</v>
      </c>
      <c r="I190" s="1" t="str">
        <f aca="false">VLOOKUP(H190,Customers!$A$2:$G$501,2,FALSE())</f>
        <v>Valentina Taylor</v>
      </c>
      <c r="J190" s="1" t="str">
        <f aca="false">VLOOKUP(H190,Customers!$A$2:$G$501,6,FALSE())</f>
        <v>Small Business</v>
      </c>
      <c r="K190" s="1" t="n">
        <f aca="false">COUNTIFS(Orders!$B$2:$B$5876,H190,Orders!$H$2:$H$5876,"Completed")</f>
        <v>10</v>
      </c>
      <c r="L190" s="4" t="n">
        <f aca="false">SUMIFS(Orders!$I$2:$I$5876,Orders!$B$2:$B$5876,H190,Orders!$H$2:$H$5876,"Completed")</f>
        <v>19136.7</v>
      </c>
    </row>
    <row r="191" customFormat="false" ht="15" hidden="false" customHeight="true" outlineLevel="0" collapsed="false">
      <c r="H191" s="1" t="n">
        <v>180</v>
      </c>
      <c r="I191" s="1" t="str">
        <f aca="false">VLOOKUP(H191,Customers!$A$2:$G$501,2,FALSE())</f>
        <v>Valentina Miller</v>
      </c>
      <c r="J191" s="1" t="str">
        <f aca="false">VLOOKUP(H191,Customers!$A$2:$G$501,6,FALSE())</f>
        <v>Consumer</v>
      </c>
      <c r="K191" s="1" t="n">
        <f aca="false">COUNTIFS(Orders!$B$2:$B$5876,H191,Orders!$H$2:$H$5876,"Completed")</f>
        <v>7</v>
      </c>
      <c r="L191" s="4" t="n">
        <f aca="false">SUMIFS(Orders!$I$2:$I$5876,Orders!$B$2:$B$5876,H191,Orders!$H$2:$H$5876,"Completed")</f>
        <v>11241.38</v>
      </c>
    </row>
    <row r="192" customFormat="false" ht="15" hidden="false" customHeight="true" outlineLevel="0" collapsed="false">
      <c r="H192" s="1" t="n">
        <v>181</v>
      </c>
      <c r="I192" s="1" t="str">
        <f aca="false">VLOOKUP(H192,Customers!$A$2:$G$501,2,FALSE())</f>
        <v>Daniel Perez</v>
      </c>
      <c r="J192" s="1" t="str">
        <f aca="false">VLOOKUP(H192,Customers!$A$2:$G$501,6,FALSE())</f>
        <v>Small Business</v>
      </c>
      <c r="K192" s="1" t="n">
        <f aca="false">COUNTIFS(Orders!$B$2:$B$5876,H192,Orders!$H$2:$H$5876,"Completed")</f>
        <v>6</v>
      </c>
      <c r="L192" s="4" t="n">
        <f aca="false">SUMIFS(Orders!$I$2:$I$5876,Orders!$B$2:$B$5876,H192,Orders!$H$2:$H$5876,"Completed")</f>
        <v>8210.42</v>
      </c>
    </row>
    <row r="193" customFormat="false" ht="15" hidden="false" customHeight="true" outlineLevel="0" collapsed="false">
      <c r="H193" s="1" t="n">
        <v>182</v>
      </c>
      <c r="I193" s="1" t="str">
        <f aca="false">VLOOKUP(H193,Customers!$A$2:$G$501,2,FALSE())</f>
        <v>Barbara Sanchez</v>
      </c>
      <c r="J193" s="1" t="str">
        <f aca="false">VLOOKUP(H193,Customers!$A$2:$G$501,6,FALSE())</f>
        <v>Unknown</v>
      </c>
      <c r="K193" s="1" t="n">
        <f aca="false">COUNTIFS(Orders!$B$2:$B$5876,H193,Orders!$H$2:$H$5876,"Completed")</f>
        <v>12</v>
      </c>
      <c r="L193" s="4" t="n">
        <f aca="false">SUMIFS(Orders!$I$2:$I$5876,Orders!$B$2:$B$5876,H193,Orders!$H$2:$H$5876,"Completed")</f>
        <v>17305.06</v>
      </c>
    </row>
    <row r="194" customFormat="false" ht="15" hidden="false" customHeight="true" outlineLevel="0" collapsed="false">
      <c r="H194" s="1" t="n">
        <v>183</v>
      </c>
      <c r="I194" s="1" t="str">
        <f aca="false">VLOOKUP(H194,Customers!$A$2:$G$501,2,FALSE())</f>
        <v>Isabella Jackson</v>
      </c>
      <c r="J194" s="1" t="str">
        <f aca="false">VLOOKUP(H194,Customers!$A$2:$G$501,6,FALSE())</f>
        <v>Corporate</v>
      </c>
      <c r="K194" s="1" t="n">
        <f aca="false">COUNTIFS(Orders!$B$2:$B$5876,H194,Orders!$H$2:$H$5876,"Completed")</f>
        <v>9</v>
      </c>
      <c r="L194" s="4" t="n">
        <f aca="false">SUMIFS(Orders!$I$2:$I$5876,Orders!$B$2:$B$5876,H194,Orders!$H$2:$H$5876,"Completed")</f>
        <v>19353.06</v>
      </c>
    </row>
    <row r="195" customFormat="false" ht="15" hidden="false" customHeight="true" outlineLevel="0" collapsed="false">
      <c r="H195" s="1" t="n">
        <v>184</v>
      </c>
      <c r="I195" s="1" t="str">
        <f aca="false">VLOOKUP(H195,Customers!$A$2:$G$501,2,FALSE())</f>
        <v>Andres Taylor</v>
      </c>
      <c r="J195" s="1" t="str">
        <f aca="false">VLOOKUP(H195,Customers!$A$2:$G$501,6,FALSE())</f>
        <v>Corporate</v>
      </c>
      <c r="K195" s="1" t="n">
        <f aca="false">COUNTIFS(Orders!$B$2:$B$5876,H195,Orders!$H$2:$H$5876,"Completed")</f>
        <v>14</v>
      </c>
      <c r="L195" s="4" t="n">
        <f aca="false">SUMIFS(Orders!$I$2:$I$5876,Orders!$B$2:$B$5876,H195,Orders!$H$2:$H$5876,"Completed")</f>
        <v>22929.97</v>
      </c>
    </row>
    <row r="196" customFormat="false" ht="15" hidden="false" customHeight="true" outlineLevel="0" collapsed="false">
      <c r="H196" s="1" t="n">
        <v>185</v>
      </c>
      <c r="I196" s="1" t="str">
        <f aca="false">VLOOKUP(H196,Customers!$A$2:$G$501,2,FALSE())</f>
        <v>Sofia Lopez</v>
      </c>
      <c r="J196" s="1" t="str">
        <f aca="false">VLOOKUP(H196,Customers!$A$2:$G$501,6,FALSE())</f>
        <v>Consumer</v>
      </c>
      <c r="K196" s="1" t="n">
        <f aca="false">COUNTIFS(Orders!$B$2:$B$5876,H196,Orders!$H$2:$H$5876,"Completed")</f>
        <v>9</v>
      </c>
      <c r="L196" s="4" t="n">
        <f aca="false">SUMIFS(Orders!$I$2:$I$5876,Orders!$B$2:$B$5876,H196,Orders!$H$2:$H$5876,"Completed")</f>
        <v>11967.65</v>
      </c>
    </row>
    <row r="197" customFormat="false" ht="15" hidden="false" customHeight="true" outlineLevel="0" collapsed="false">
      <c r="H197" s="1" t="n">
        <v>186</v>
      </c>
      <c r="I197" s="1" t="str">
        <f aca="false">VLOOKUP(H197,Customers!$A$2:$G$501,2,FALSE())</f>
        <v>Sofia Jones</v>
      </c>
      <c r="J197" s="1" t="str">
        <f aca="false">VLOOKUP(H197,Customers!$A$2:$G$501,6,FALSE())</f>
        <v>Small Business</v>
      </c>
      <c r="K197" s="1" t="n">
        <f aca="false">COUNTIFS(Orders!$B$2:$B$5876,H197,Orders!$H$2:$H$5876,"Completed")</f>
        <v>11</v>
      </c>
      <c r="L197" s="4" t="n">
        <f aca="false">SUMIFS(Orders!$I$2:$I$5876,Orders!$B$2:$B$5876,H197,Orders!$H$2:$H$5876,"Completed")</f>
        <v>13632.18</v>
      </c>
    </row>
    <row r="198" customFormat="false" ht="15" hidden="false" customHeight="true" outlineLevel="0" collapsed="false">
      <c r="H198" s="1" t="n">
        <v>187</v>
      </c>
      <c r="I198" s="1" t="str">
        <f aca="false">VLOOKUP(H198,Customers!$A$2:$G$501,2,FALSE())</f>
        <v>Jennifer Rodriguez</v>
      </c>
      <c r="J198" s="1" t="str">
        <f aca="false">VLOOKUP(H198,Customers!$A$2:$G$501,6,FALSE())</f>
        <v>Consumer</v>
      </c>
      <c r="K198" s="1" t="n">
        <f aca="false">COUNTIFS(Orders!$B$2:$B$5876,H198,Orders!$H$2:$H$5876,"Completed")</f>
        <v>15</v>
      </c>
      <c r="L198" s="4" t="n">
        <f aca="false">SUMIFS(Orders!$I$2:$I$5876,Orders!$B$2:$B$5876,H198,Orders!$H$2:$H$5876,"Completed")</f>
        <v>15482.26</v>
      </c>
    </row>
    <row r="199" customFormat="false" ht="15" hidden="false" customHeight="true" outlineLevel="0" collapsed="false">
      <c r="H199" s="1" t="n">
        <v>188</v>
      </c>
      <c r="I199" s="1" t="str">
        <f aca="false">VLOOKUP(H199,Customers!$A$2:$G$501,2,FALSE())</f>
        <v>David Jackson</v>
      </c>
      <c r="J199" s="1" t="str">
        <f aca="false">VLOOKUP(H199,Customers!$A$2:$G$501,6,FALSE())</f>
        <v>Small Business</v>
      </c>
      <c r="K199" s="1" t="n">
        <f aca="false">COUNTIFS(Orders!$B$2:$B$5876,H199,Orders!$H$2:$H$5876,"Completed")</f>
        <v>8</v>
      </c>
      <c r="L199" s="4" t="n">
        <f aca="false">SUMIFS(Orders!$I$2:$I$5876,Orders!$B$2:$B$5876,H199,Orders!$H$2:$H$5876,"Completed")</f>
        <v>12663.94</v>
      </c>
    </row>
    <row r="200" customFormat="false" ht="15" hidden="false" customHeight="true" outlineLevel="0" collapsed="false">
      <c r="H200" s="1" t="n">
        <v>189</v>
      </c>
      <c r="I200" s="1" t="str">
        <f aca="false">VLOOKUP(H200,Customers!$A$2:$G$501,2,FALSE())</f>
        <v>Mary Williams</v>
      </c>
      <c r="J200" s="1" t="str">
        <f aca="false">VLOOKUP(H200,Customers!$A$2:$G$501,6,FALSE())</f>
        <v>Small Business</v>
      </c>
      <c r="K200" s="1" t="n">
        <f aca="false">COUNTIFS(Orders!$B$2:$B$5876,H200,Orders!$H$2:$H$5876,"Completed")</f>
        <v>13</v>
      </c>
      <c r="L200" s="4" t="n">
        <f aca="false">SUMIFS(Orders!$I$2:$I$5876,Orders!$B$2:$B$5876,H200,Orders!$H$2:$H$5876,"Completed")</f>
        <v>15432.01</v>
      </c>
    </row>
    <row r="201" customFormat="false" ht="15" hidden="false" customHeight="true" outlineLevel="0" collapsed="false">
      <c r="H201" s="1" t="n">
        <v>190</v>
      </c>
      <c r="I201" s="1" t="str">
        <f aca="false">VLOOKUP(H201,Customers!$A$2:$G$501,2,FALSE())</f>
        <v>Valentina Lewis</v>
      </c>
      <c r="J201" s="1" t="str">
        <f aca="false">VLOOKUP(H201,Customers!$A$2:$G$501,6,FALSE())</f>
        <v>Corporate</v>
      </c>
      <c r="K201" s="1" t="n">
        <f aca="false">COUNTIFS(Orders!$B$2:$B$5876,H201,Orders!$H$2:$H$5876,"Completed")</f>
        <v>16</v>
      </c>
      <c r="L201" s="4" t="n">
        <f aca="false">SUMIFS(Orders!$I$2:$I$5876,Orders!$B$2:$B$5876,H201,Orders!$H$2:$H$5876,"Completed")</f>
        <v>19782.87</v>
      </c>
    </row>
    <row r="202" customFormat="false" ht="15" hidden="false" customHeight="true" outlineLevel="0" collapsed="false">
      <c r="H202" s="1" t="n">
        <v>191</v>
      </c>
      <c r="I202" s="1" t="str">
        <f aca="false">VLOOKUP(H202,Customers!$A$2:$G$501,2,FALSE())</f>
        <v>John Thompson</v>
      </c>
      <c r="J202" s="1" t="str">
        <f aca="false">VLOOKUP(H202,Customers!$A$2:$G$501,6,FALSE())</f>
        <v>Corporate</v>
      </c>
      <c r="K202" s="1" t="n">
        <f aca="false">COUNTIFS(Orders!$B$2:$B$5876,H202,Orders!$H$2:$H$5876,"Completed")</f>
        <v>9</v>
      </c>
      <c r="L202" s="4" t="n">
        <f aca="false">SUMIFS(Orders!$I$2:$I$5876,Orders!$B$2:$B$5876,H202,Orders!$H$2:$H$5876,"Completed")</f>
        <v>12579.61</v>
      </c>
    </row>
    <row r="203" customFormat="false" ht="15" hidden="false" customHeight="true" outlineLevel="0" collapsed="false">
      <c r="H203" s="1" t="n">
        <v>192</v>
      </c>
      <c r="I203" s="1" t="str">
        <f aca="false">VLOOKUP(H203,Customers!$A$2:$G$501,2,FALSE())</f>
        <v>Daniel White</v>
      </c>
      <c r="J203" s="1" t="str">
        <f aca="false">VLOOKUP(H203,Customers!$A$2:$G$501,6,FALSE())</f>
        <v>Corporate</v>
      </c>
      <c r="K203" s="1" t="n">
        <f aca="false">COUNTIFS(Orders!$B$2:$B$5876,H203,Orders!$H$2:$H$5876,"Completed")</f>
        <v>14</v>
      </c>
      <c r="L203" s="4" t="n">
        <f aca="false">SUMIFS(Orders!$I$2:$I$5876,Orders!$B$2:$B$5876,H203,Orders!$H$2:$H$5876,"Completed")</f>
        <v>19682.24</v>
      </c>
    </row>
    <row r="204" customFormat="false" ht="15" hidden="false" customHeight="true" outlineLevel="0" collapsed="false">
      <c r="H204" s="1" t="n">
        <v>193</v>
      </c>
      <c r="I204" s="1" t="str">
        <f aca="false">VLOOKUP(H204,Customers!$A$2:$G$501,2,FALSE())</f>
        <v>Juan Davis</v>
      </c>
      <c r="J204" s="1" t="str">
        <f aca="false">VLOOKUP(H204,Customers!$A$2:$G$501,6,FALSE())</f>
        <v>Consumer</v>
      </c>
      <c r="K204" s="1" t="n">
        <f aca="false">COUNTIFS(Orders!$B$2:$B$5876,H204,Orders!$H$2:$H$5876,"Completed")</f>
        <v>7</v>
      </c>
      <c r="L204" s="4" t="n">
        <f aca="false">SUMIFS(Orders!$I$2:$I$5876,Orders!$B$2:$B$5876,H204,Orders!$H$2:$H$5876,"Completed")</f>
        <v>6406.59</v>
      </c>
    </row>
    <row r="205" customFormat="false" ht="15" hidden="false" customHeight="true" outlineLevel="0" collapsed="false">
      <c r="H205" s="1" t="n">
        <v>194</v>
      </c>
      <c r="I205" s="1" t="str">
        <f aca="false">VLOOKUP(H205,Customers!$A$2:$G$501,2,FALSE())</f>
        <v>Diego White</v>
      </c>
      <c r="J205" s="1" t="str">
        <f aca="false">VLOOKUP(H205,Customers!$A$2:$G$501,6,FALSE())</f>
        <v>Corporate</v>
      </c>
      <c r="K205" s="1" t="n">
        <f aca="false">COUNTIFS(Orders!$B$2:$B$5876,H205,Orders!$H$2:$H$5876,"Completed")</f>
        <v>17</v>
      </c>
      <c r="L205" s="4" t="n">
        <f aca="false">SUMIFS(Orders!$I$2:$I$5876,Orders!$B$2:$B$5876,H205,Orders!$H$2:$H$5876,"Completed")</f>
        <v>16994.4</v>
      </c>
    </row>
    <row r="206" customFormat="false" ht="15" hidden="false" customHeight="true" outlineLevel="0" collapsed="false">
      <c r="H206" s="1" t="n">
        <v>195</v>
      </c>
      <c r="I206" s="1" t="str">
        <f aca="false">VLOOKUP(H206,Customers!$A$2:$G$501,2,FALSE())</f>
        <v>Jennifer Gonzalez</v>
      </c>
      <c r="J206" s="1" t="str">
        <f aca="false">VLOOKUP(H206,Customers!$A$2:$G$501,6,FALSE())</f>
        <v>Corporate</v>
      </c>
      <c r="K206" s="1" t="n">
        <f aca="false">COUNTIFS(Orders!$B$2:$B$5876,H206,Orders!$H$2:$H$5876,"Completed")</f>
        <v>13</v>
      </c>
      <c r="L206" s="4" t="n">
        <f aca="false">SUMIFS(Orders!$I$2:$I$5876,Orders!$B$2:$B$5876,H206,Orders!$H$2:$H$5876,"Completed")</f>
        <v>17239.79</v>
      </c>
    </row>
    <row r="207" customFormat="false" ht="15" hidden="false" customHeight="true" outlineLevel="0" collapsed="false">
      <c r="H207" s="1" t="n">
        <v>196</v>
      </c>
      <c r="I207" s="1" t="str">
        <f aca="false">VLOOKUP(H207,Customers!$A$2:$G$501,2,FALSE())</f>
        <v>Andres Martinez</v>
      </c>
      <c r="J207" s="1" t="str">
        <f aca="false">VLOOKUP(H207,Customers!$A$2:$G$501,6,FALSE())</f>
        <v>Corporate</v>
      </c>
      <c r="K207" s="1" t="n">
        <f aca="false">COUNTIFS(Orders!$B$2:$B$5876,H207,Orders!$H$2:$H$5876,"Completed")</f>
        <v>11</v>
      </c>
      <c r="L207" s="4" t="n">
        <f aca="false">SUMIFS(Orders!$I$2:$I$5876,Orders!$B$2:$B$5876,H207,Orders!$H$2:$H$5876,"Completed")</f>
        <v>16770.95</v>
      </c>
    </row>
    <row r="208" customFormat="false" ht="15" hidden="false" customHeight="true" outlineLevel="0" collapsed="false">
      <c r="H208" s="1" t="n">
        <v>197</v>
      </c>
      <c r="I208" s="1" t="str">
        <f aca="false">VLOOKUP(H208,Customers!$A$2:$G$501,2,FALSE())</f>
        <v>Betty Johnson</v>
      </c>
      <c r="J208" s="1" t="str">
        <f aca="false">VLOOKUP(H208,Customers!$A$2:$G$501,6,FALSE())</f>
        <v>Small Business</v>
      </c>
      <c r="K208" s="1" t="n">
        <f aca="false">COUNTIFS(Orders!$B$2:$B$5876,H208,Orders!$H$2:$H$5876,"Completed")</f>
        <v>6</v>
      </c>
      <c r="L208" s="4" t="n">
        <f aca="false">SUMIFS(Orders!$I$2:$I$5876,Orders!$B$2:$B$5876,H208,Orders!$H$2:$H$5876,"Completed")</f>
        <v>5289.2</v>
      </c>
    </row>
    <row r="209" customFormat="false" ht="15" hidden="false" customHeight="true" outlineLevel="0" collapsed="false">
      <c r="H209" s="1" t="n">
        <v>198</v>
      </c>
      <c r="I209" s="1" t="str">
        <f aca="false">VLOOKUP(H209,Customers!$A$2:$G$501,2,FALSE())</f>
        <v>Laura Perez</v>
      </c>
      <c r="J209" s="1" t="str">
        <f aca="false">VLOOKUP(H209,Customers!$A$2:$G$501,6,FALSE())</f>
        <v>Corporate</v>
      </c>
      <c r="K209" s="1" t="n">
        <f aca="false">COUNTIFS(Orders!$B$2:$B$5876,H209,Orders!$H$2:$H$5876,"Completed")</f>
        <v>7</v>
      </c>
      <c r="L209" s="4" t="n">
        <f aca="false">SUMIFS(Orders!$I$2:$I$5876,Orders!$B$2:$B$5876,H209,Orders!$H$2:$H$5876,"Completed")</f>
        <v>8098.45</v>
      </c>
    </row>
    <row r="210" customFormat="false" ht="15" hidden="false" customHeight="true" outlineLevel="0" collapsed="false">
      <c r="H210" s="1" t="n">
        <v>199</v>
      </c>
      <c r="I210" s="1" t="str">
        <f aca="false">VLOOKUP(H210,Customers!$A$2:$G$501,2,FALSE())</f>
        <v>Richard Martin</v>
      </c>
      <c r="J210" s="1" t="str">
        <f aca="false">VLOOKUP(H210,Customers!$A$2:$G$501,6,FALSE())</f>
        <v>Corporate</v>
      </c>
      <c r="K210" s="1" t="n">
        <f aca="false">COUNTIFS(Orders!$B$2:$B$5876,H210,Orders!$H$2:$H$5876,"Completed")</f>
        <v>12</v>
      </c>
      <c r="L210" s="4" t="n">
        <f aca="false">SUMIFS(Orders!$I$2:$I$5876,Orders!$B$2:$B$5876,H210,Orders!$H$2:$H$5876,"Completed")</f>
        <v>13511.31</v>
      </c>
    </row>
    <row r="211" customFormat="false" ht="15" hidden="false" customHeight="true" outlineLevel="0" collapsed="false">
      <c r="H211" s="1" t="n">
        <v>200</v>
      </c>
      <c r="I211" s="1" t="str">
        <f aca="false">VLOOKUP(H211,Customers!$A$2:$G$501,2,FALSE())</f>
        <v>Elizabeth Martin</v>
      </c>
      <c r="J211" s="1" t="str">
        <f aca="false">VLOOKUP(H211,Customers!$A$2:$G$501,6,FALSE())</f>
        <v>Small Business</v>
      </c>
      <c r="K211" s="1" t="n">
        <f aca="false">COUNTIFS(Orders!$B$2:$B$5876,H211,Orders!$H$2:$H$5876,"Completed")</f>
        <v>9</v>
      </c>
      <c r="L211" s="4" t="n">
        <f aca="false">SUMIFS(Orders!$I$2:$I$5876,Orders!$B$2:$B$5876,H211,Orders!$H$2:$H$5876,"Completed")</f>
        <v>24250.06</v>
      </c>
    </row>
    <row r="212" customFormat="false" ht="15" hidden="false" customHeight="true" outlineLevel="0" collapsed="false">
      <c r="H212" s="1" t="n">
        <v>201</v>
      </c>
      <c r="I212" s="1" t="str">
        <f aca="false">VLOOKUP(H212,Customers!$A$2:$G$501,2,FALSE())</f>
        <v>Mariana Hernandez</v>
      </c>
      <c r="J212" s="1" t="str">
        <f aca="false">VLOOKUP(H212,Customers!$A$2:$G$501,6,FALSE())</f>
        <v>Corporate</v>
      </c>
      <c r="K212" s="1" t="n">
        <f aca="false">COUNTIFS(Orders!$B$2:$B$5876,H212,Orders!$H$2:$H$5876,"Completed")</f>
        <v>19</v>
      </c>
      <c r="L212" s="4" t="n">
        <f aca="false">SUMIFS(Orders!$I$2:$I$5876,Orders!$B$2:$B$5876,H212,Orders!$H$2:$H$5876,"Completed")</f>
        <v>25589.85</v>
      </c>
    </row>
    <row r="213" customFormat="false" ht="15" hidden="false" customHeight="true" outlineLevel="0" collapsed="false">
      <c r="H213" s="1" t="n">
        <v>202</v>
      </c>
      <c r="I213" s="1" t="str">
        <f aca="false">VLOOKUP(H213,Customers!$A$2:$G$501,2,FALSE())</f>
        <v>Linda Wilson</v>
      </c>
      <c r="J213" s="1" t="str">
        <f aca="false">VLOOKUP(H213,Customers!$A$2:$G$501,6,FALSE())</f>
        <v>Corporate</v>
      </c>
      <c r="K213" s="1" t="n">
        <f aca="false">COUNTIFS(Orders!$B$2:$B$5876,H213,Orders!$H$2:$H$5876,"Completed")</f>
        <v>9</v>
      </c>
      <c r="L213" s="4" t="n">
        <f aca="false">SUMIFS(Orders!$I$2:$I$5876,Orders!$B$2:$B$5876,H213,Orders!$H$2:$H$5876,"Completed")</f>
        <v>5278.42</v>
      </c>
    </row>
    <row r="214" customFormat="false" ht="15" hidden="false" customHeight="true" outlineLevel="0" collapsed="false">
      <c r="H214" s="1" t="n">
        <v>203</v>
      </c>
      <c r="I214" s="1" t="str">
        <f aca="false">VLOOKUP(H214,Customers!$A$2:$G$501,2,FALSE())</f>
        <v>Mariana Jackson</v>
      </c>
      <c r="J214" s="1" t="str">
        <f aca="false">VLOOKUP(H214,Customers!$A$2:$G$501,6,FALSE())</f>
        <v>Corporate</v>
      </c>
      <c r="K214" s="1" t="n">
        <f aca="false">COUNTIFS(Orders!$B$2:$B$5876,H214,Orders!$H$2:$H$5876,"Completed")</f>
        <v>11</v>
      </c>
      <c r="L214" s="4" t="n">
        <f aca="false">SUMIFS(Orders!$I$2:$I$5876,Orders!$B$2:$B$5876,H214,Orders!$H$2:$H$5876,"Completed")</f>
        <v>13520.19</v>
      </c>
    </row>
    <row r="215" customFormat="false" ht="15" hidden="false" customHeight="true" outlineLevel="0" collapsed="false">
      <c r="H215" s="1" t="n">
        <v>204</v>
      </c>
      <c r="I215" s="1" t="str">
        <f aca="false">VLOOKUP(H215,Customers!$A$2:$G$501,2,FALSE())</f>
        <v>Jessica Johnson</v>
      </c>
      <c r="J215" s="1" t="str">
        <f aca="false">VLOOKUP(H215,Customers!$A$2:$G$501,6,FALSE())</f>
        <v>Small Business</v>
      </c>
      <c r="K215" s="1" t="n">
        <f aca="false">COUNTIFS(Orders!$B$2:$B$5876,H215,Orders!$H$2:$H$5876,"Completed")</f>
        <v>13</v>
      </c>
      <c r="L215" s="4" t="n">
        <f aca="false">SUMIFS(Orders!$I$2:$I$5876,Orders!$B$2:$B$5876,H215,Orders!$H$2:$H$5876,"Completed")</f>
        <v>17611.11</v>
      </c>
    </row>
    <row r="216" customFormat="false" ht="15" hidden="false" customHeight="true" outlineLevel="0" collapsed="false">
      <c r="H216" s="1" t="n">
        <v>205</v>
      </c>
      <c r="I216" s="1" t="str">
        <f aca="false">VLOOKUP(H216,Customers!$A$2:$G$501,2,FALSE())</f>
        <v>Carlos Harris</v>
      </c>
      <c r="J216" s="1" t="str">
        <f aca="false">VLOOKUP(H216,Customers!$A$2:$G$501,6,FALSE())</f>
        <v>Corporate</v>
      </c>
      <c r="K216" s="1" t="n">
        <f aca="false">COUNTIFS(Orders!$B$2:$B$5876,H216,Orders!$H$2:$H$5876,"Completed")</f>
        <v>8</v>
      </c>
      <c r="L216" s="4" t="n">
        <f aca="false">SUMIFS(Orders!$I$2:$I$5876,Orders!$B$2:$B$5876,H216,Orders!$H$2:$H$5876,"Completed")</f>
        <v>5196.18</v>
      </c>
    </row>
    <row r="217" customFormat="false" ht="15" hidden="false" customHeight="true" outlineLevel="0" collapsed="false">
      <c r="H217" s="1" t="n">
        <v>206</v>
      </c>
      <c r="I217" s="1" t="str">
        <f aca="false">VLOOKUP(H217,Customers!$A$2:$G$501,2,FALSE())</f>
        <v>Daniel Garcia</v>
      </c>
      <c r="J217" s="1" t="str">
        <f aca="false">VLOOKUP(H217,Customers!$A$2:$G$501,6,FALSE())</f>
        <v>Small Business</v>
      </c>
      <c r="K217" s="1" t="n">
        <f aca="false">COUNTIFS(Orders!$B$2:$B$5876,H217,Orders!$H$2:$H$5876,"Completed")</f>
        <v>9</v>
      </c>
      <c r="L217" s="4" t="n">
        <f aca="false">SUMIFS(Orders!$I$2:$I$5876,Orders!$B$2:$B$5876,H217,Orders!$H$2:$H$5876,"Completed")</f>
        <v>12706.81</v>
      </c>
    </row>
    <row r="218" customFormat="false" ht="15" hidden="false" customHeight="true" outlineLevel="0" collapsed="false">
      <c r="H218" s="1" t="n">
        <v>207</v>
      </c>
      <c r="I218" s="1" t="str">
        <f aca="false">VLOOKUP(H218,Customers!$A$2:$G$501,2,FALSE())</f>
        <v>Thomas Martin</v>
      </c>
      <c r="J218" s="1" t="str">
        <f aca="false">VLOOKUP(H218,Customers!$A$2:$G$501,6,FALSE())</f>
        <v>Corporate</v>
      </c>
      <c r="K218" s="1" t="n">
        <f aca="false">COUNTIFS(Orders!$B$2:$B$5876,H218,Orders!$H$2:$H$5876,"Completed")</f>
        <v>9</v>
      </c>
      <c r="L218" s="4" t="n">
        <f aca="false">SUMIFS(Orders!$I$2:$I$5876,Orders!$B$2:$B$5876,H218,Orders!$H$2:$H$5876,"Completed")</f>
        <v>8886.62</v>
      </c>
    </row>
    <row r="219" customFormat="false" ht="15" hidden="false" customHeight="true" outlineLevel="0" collapsed="false">
      <c r="H219" s="1" t="n">
        <v>208</v>
      </c>
      <c r="I219" s="1" t="str">
        <f aca="false">VLOOKUP(H219,Customers!$A$2:$G$501,2,FALSE())</f>
        <v>Susan Thompson</v>
      </c>
      <c r="J219" s="1" t="str">
        <f aca="false">VLOOKUP(H219,Customers!$A$2:$G$501,6,FALSE())</f>
        <v>Corporate</v>
      </c>
      <c r="K219" s="1" t="n">
        <f aca="false">COUNTIFS(Orders!$B$2:$B$5876,H219,Orders!$H$2:$H$5876,"Completed")</f>
        <v>9</v>
      </c>
      <c r="L219" s="4" t="n">
        <f aca="false">SUMIFS(Orders!$I$2:$I$5876,Orders!$B$2:$B$5876,H219,Orders!$H$2:$H$5876,"Completed")</f>
        <v>16284.75</v>
      </c>
    </row>
    <row r="220" customFormat="false" ht="15" hidden="false" customHeight="true" outlineLevel="0" collapsed="false">
      <c r="H220" s="1" t="n">
        <v>209</v>
      </c>
      <c r="I220" s="1" t="str">
        <f aca="false">VLOOKUP(H220,Customers!$A$2:$G$501,2,FALSE())</f>
        <v>Luis Gonzalez</v>
      </c>
      <c r="J220" s="1" t="str">
        <f aca="false">VLOOKUP(H220,Customers!$A$2:$G$501,6,FALSE())</f>
        <v>Small Business</v>
      </c>
      <c r="K220" s="1" t="n">
        <f aca="false">COUNTIFS(Orders!$B$2:$B$5876,H220,Orders!$H$2:$H$5876,"Completed")</f>
        <v>11</v>
      </c>
      <c r="L220" s="4" t="n">
        <f aca="false">SUMIFS(Orders!$I$2:$I$5876,Orders!$B$2:$B$5876,H220,Orders!$H$2:$H$5876,"Completed")</f>
        <v>13469.87</v>
      </c>
    </row>
    <row r="221" customFormat="false" ht="15" hidden="false" customHeight="true" outlineLevel="0" collapsed="false">
      <c r="H221" s="1" t="n">
        <v>210</v>
      </c>
      <c r="I221" s="1" t="str">
        <f aca="false">VLOOKUP(H221,Customers!$A$2:$G$501,2,FALSE())</f>
        <v>Juan Lee</v>
      </c>
      <c r="J221" s="1" t="str">
        <f aca="false">VLOOKUP(H221,Customers!$A$2:$G$501,6,FALSE())</f>
        <v>Corporate</v>
      </c>
      <c r="K221" s="1" t="n">
        <f aca="false">COUNTIFS(Orders!$B$2:$B$5876,H221,Orders!$H$2:$H$5876,"Completed")</f>
        <v>11</v>
      </c>
      <c r="L221" s="4" t="n">
        <f aca="false">SUMIFS(Orders!$I$2:$I$5876,Orders!$B$2:$B$5876,H221,Orders!$H$2:$H$5876,"Completed")</f>
        <v>14260.71</v>
      </c>
    </row>
    <row r="222" customFormat="false" ht="15" hidden="false" customHeight="true" outlineLevel="0" collapsed="false">
      <c r="H222" s="1" t="n">
        <v>211</v>
      </c>
      <c r="I222" s="1" t="str">
        <f aca="false">VLOOKUP(H222,Customers!$A$2:$G$501,2,FALSE())</f>
        <v>Laura White</v>
      </c>
      <c r="J222" s="1" t="str">
        <f aca="false">VLOOKUP(H222,Customers!$A$2:$G$501,6,FALSE())</f>
        <v>Consumer</v>
      </c>
      <c r="K222" s="1" t="n">
        <f aca="false">COUNTIFS(Orders!$B$2:$B$5876,H222,Orders!$H$2:$H$5876,"Completed")</f>
        <v>9</v>
      </c>
      <c r="L222" s="4" t="n">
        <f aca="false">SUMIFS(Orders!$I$2:$I$5876,Orders!$B$2:$B$5876,H222,Orders!$H$2:$H$5876,"Completed")</f>
        <v>16433.53</v>
      </c>
    </row>
    <row r="223" customFormat="false" ht="15" hidden="false" customHeight="true" outlineLevel="0" collapsed="false">
      <c r="H223" s="1" t="n">
        <v>212</v>
      </c>
      <c r="I223" s="1" t="str">
        <f aca="false">VLOOKUP(H223,Customers!$A$2:$G$501,2,FALSE())</f>
        <v>Nancy Thompson</v>
      </c>
      <c r="J223" s="1" t="str">
        <f aca="false">VLOOKUP(H223,Customers!$A$2:$G$501,6,FALSE())</f>
        <v>Consumer</v>
      </c>
      <c r="K223" s="1" t="n">
        <f aca="false">COUNTIFS(Orders!$B$2:$B$5876,H223,Orders!$H$2:$H$5876,"Completed")</f>
        <v>14</v>
      </c>
      <c r="L223" s="4" t="n">
        <f aca="false">SUMIFS(Orders!$I$2:$I$5876,Orders!$B$2:$B$5876,H223,Orders!$H$2:$H$5876,"Completed")</f>
        <v>24946.9</v>
      </c>
    </row>
    <row r="224" customFormat="false" ht="15" hidden="false" customHeight="true" outlineLevel="0" collapsed="false">
      <c r="H224" s="1" t="n">
        <v>213</v>
      </c>
      <c r="I224" s="1" t="str">
        <f aca="false">VLOOKUP(H224,Customers!$A$2:$G$501,2,FALSE())</f>
        <v>Andres Thomas</v>
      </c>
      <c r="J224" s="1" t="str">
        <f aca="false">VLOOKUP(H224,Customers!$A$2:$G$501,6,FALSE())</f>
        <v>Small Business</v>
      </c>
      <c r="K224" s="1" t="n">
        <f aca="false">COUNTIFS(Orders!$B$2:$B$5876,H224,Orders!$H$2:$H$5876,"Completed")</f>
        <v>11</v>
      </c>
      <c r="L224" s="4" t="n">
        <f aca="false">SUMIFS(Orders!$I$2:$I$5876,Orders!$B$2:$B$5876,H224,Orders!$H$2:$H$5876,"Completed")</f>
        <v>19309.38</v>
      </c>
    </row>
    <row r="225" customFormat="false" ht="15" hidden="false" customHeight="true" outlineLevel="0" collapsed="false">
      <c r="H225" s="1" t="n">
        <v>214</v>
      </c>
      <c r="I225" s="1" t="str">
        <f aca="false">VLOOKUP(H225,Customers!$A$2:$G$501,2,FALSE())</f>
        <v>Robert Robinson</v>
      </c>
      <c r="J225" s="1" t="str">
        <f aca="false">VLOOKUP(H225,Customers!$A$2:$G$501,6,FALSE())</f>
        <v>Corporate</v>
      </c>
      <c r="K225" s="1" t="n">
        <f aca="false">COUNTIFS(Orders!$B$2:$B$5876,H225,Orders!$H$2:$H$5876,"Completed")</f>
        <v>10</v>
      </c>
      <c r="L225" s="4" t="n">
        <f aca="false">SUMIFS(Orders!$I$2:$I$5876,Orders!$B$2:$B$5876,H225,Orders!$H$2:$H$5876,"Completed")</f>
        <v>13676.65</v>
      </c>
    </row>
    <row r="226" customFormat="false" ht="15" hidden="false" customHeight="true" outlineLevel="0" collapsed="false">
      <c r="H226" s="1" t="n">
        <v>215</v>
      </c>
      <c r="I226" s="1" t="str">
        <f aca="false">VLOOKUP(H226,Customers!$A$2:$G$501,2,FALSE())</f>
        <v>Barbara Robinson</v>
      </c>
      <c r="J226" s="1" t="str">
        <f aca="false">VLOOKUP(H226,Customers!$A$2:$G$501,6,FALSE())</f>
        <v>Corporate</v>
      </c>
      <c r="K226" s="1" t="n">
        <f aca="false">COUNTIFS(Orders!$B$2:$B$5876,H226,Orders!$H$2:$H$5876,"Completed")</f>
        <v>10</v>
      </c>
      <c r="L226" s="4" t="n">
        <f aca="false">SUMIFS(Orders!$I$2:$I$5876,Orders!$B$2:$B$5876,H226,Orders!$H$2:$H$5876,"Completed")</f>
        <v>21689.69</v>
      </c>
    </row>
    <row r="227" customFormat="false" ht="15" hidden="false" customHeight="true" outlineLevel="0" collapsed="false">
      <c r="H227" s="1" t="n">
        <v>216</v>
      </c>
      <c r="I227" s="1" t="str">
        <f aca="false">VLOOKUP(H227,Customers!$A$2:$G$501,2,FALSE())</f>
        <v>Luis Taylor</v>
      </c>
      <c r="J227" s="1" t="str">
        <f aca="false">VLOOKUP(H227,Customers!$A$2:$G$501,6,FALSE())</f>
        <v>Consumer</v>
      </c>
      <c r="K227" s="1" t="n">
        <f aca="false">COUNTIFS(Orders!$B$2:$B$5876,H227,Orders!$H$2:$H$5876,"Completed")</f>
        <v>14</v>
      </c>
      <c r="L227" s="4" t="n">
        <f aca="false">SUMIFS(Orders!$I$2:$I$5876,Orders!$B$2:$B$5876,H227,Orders!$H$2:$H$5876,"Completed")</f>
        <v>33409.68</v>
      </c>
    </row>
    <row r="228" customFormat="false" ht="15" hidden="false" customHeight="true" outlineLevel="0" collapsed="false">
      <c r="H228" s="1" t="n">
        <v>217</v>
      </c>
      <c r="I228" s="1" t="str">
        <f aca="false">VLOOKUP(H228,Customers!$A$2:$G$501,2,FALSE())</f>
        <v>Thomas Thompson</v>
      </c>
      <c r="J228" s="1" t="str">
        <f aca="false">VLOOKUP(H228,Customers!$A$2:$G$501,6,FALSE())</f>
        <v>Consumer</v>
      </c>
      <c r="K228" s="1" t="n">
        <f aca="false">COUNTIFS(Orders!$B$2:$B$5876,H228,Orders!$H$2:$H$5876,"Completed")</f>
        <v>15</v>
      </c>
      <c r="L228" s="4" t="n">
        <f aca="false">SUMIFS(Orders!$I$2:$I$5876,Orders!$B$2:$B$5876,H228,Orders!$H$2:$H$5876,"Completed")</f>
        <v>27100.17</v>
      </c>
    </row>
    <row r="229" customFormat="false" ht="15" hidden="false" customHeight="true" outlineLevel="0" collapsed="false">
      <c r="H229" s="1" t="n">
        <v>218</v>
      </c>
      <c r="I229" s="1" t="str">
        <f aca="false">VLOOKUP(H229,Customers!$A$2:$G$501,2,FALSE())</f>
        <v>Betty Clark</v>
      </c>
      <c r="J229" s="1" t="str">
        <f aca="false">VLOOKUP(H229,Customers!$A$2:$G$501,6,FALSE())</f>
        <v>Corporate</v>
      </c>
      <c r="K229" s="1" t="n">
        <f aca="false">COUNTIFS(Orders!$B$2:$B$5876,H229,Orders!$H$2:$H$5876,"Completed")</f>
        <v>5</v>
      </c>
      <c r="L229" s="4" t="n">
        <f aca="false">SUMIFS(Orders!$I$2:$I$5876,Orders!$B$2:$B$5876,H229,Orders!$H$2:$H$5876,"Completed")</f>
        <v>10823.39</v>
      </c>
    </row>
    <row r="230" customFormat="false" ht="15" hidden="false" customHeight="true" outlineLevel="0" collapsed="false">
      <c r="H230" s="1" t="n">
        <v>219</v>
      </c>
      <c r="I230" s="1" t="str">
        <f aca="false">VLOOKUP(H230,Customers!$A$2:$G$501,2,FALSE())</f>
        <v>Jessica Smith</v>
      </c>
      <c r="J230" s="1" t="str">
        <f aca="false">VLOOKUP(H230,Customers!$A$2:$G$501,6,FALSE())</f>
        <v>Small Business</v>
      </c>
      <c r="K230" s="1" t="n">
        <f aca="false">COUNTIFS(Orders!$B$2:$B$5876,H230,Orders!$H$2:$H$5876,"Completed")</f>
        <v>11</v>
      </c>
      <c r="L230" s="4" t="n">
        <f aca="false">SUMIFS(Orders!$I$2:$I$5876,Orders!$B$2:$B$5876,H230,Orders!$H$2:$H$5876,"Completed")</f>
        <v>11085.94</v>
      </c>
    </row>
    <row r="231" customFormat="false" ht="15" hidden="false" customHeight="true" outlineLevel="0" collapsed="false">
      <c r="H231" s="1" t="n">
        <v>220</v>
      </c>
      <c r="I231" s="1" t="str">
        <f aca="false">VLOOKUP(H231,Customers!$A$2:$G$501,2,FALSE())</f>
        <v>Thomas Lee</v>
      </c>
      <c r="J231" s="1" t="str">
        <f aca="false">VLOOKUP(H231,Customers!$A$2:$G$501,6,FALSE())</f>
        <v>Small Business</v>
      </c>
      <c r="K231" s="1" t="n">
        <f aca="false">COUNTIFS(Orders!$B$2:$B$5876,H231,Orders!$H$2:$H$5876,"Completed")</f>
        <v>3</v>
      </c>
      <c r="L231" s="4" t="n">
        <f aca="false">SUMIFS(Orders!$I$2:$I$5876,Orders!$B$2:$B$5876,H231,Orders!$H$2:$H$5876,"Completed")</f>
        <v>6312.68</v>
      </c>
    </row>
    <row r="232" customFormat="false" ht="15" hidden="false" customHeight="true" outlineLevel="0" collapsed="false">
      <c r="H232" s="1" t="n">
        <v>221</v>
      </c>
      <c r="I232" s="1" t="str">
        <f aca="false">VLOOKUP(H232,Customers!$A$2:$G$501,2,FALSE())</f>
        <v>Karen Thompson</v>
      </c>
      <c r="J232" s="1" t="str">
        <f aca="false">VLOOKUP(H232,Customers!$A$2:$G$501,6,FALSE())</f>
        <v>Consumer</v>
      </c>
      <c r="K232" s="1" t="n">
        <f aca="false">COUNTIFS(Orders!$B$2:$B$5876,H232,Orders!$H$2:$H$5876,"Completed")</f>
        <v>10</v>
      </c>
      <c r="L232" s="4" t="n">
        <f aca="false">SUMIFS(Orders!$I$2:$I$5876,Orders!$B$2:$B$5876,H232,Orders!$H$2:$H$5876,"Completed")</f>
        <v>12522.47</v>
      </c>
    </row>
    <row r="233" customFormat="false" ht="15" hidden="false" customHeight="true" outlineLevel="0" collapsed="false">
      <c r="H233" s="1" t="n">
        <v>222</v>
      </c>
      <c r="I233" s="1" t="str">
        <f aca="false">VLOOKUP(H233,Customers!$A$2:$G$501,2,FALSE())</f>
        <v>Camila White</v>
      </c>
      <c r="J233" s="1" t="str">
        <f aca="false">VLOOKUP(H233,Customers!$A$2:$G$501,6,FALSE())</f>
        <v>Consumer</v>
      </c>
      <c r="K233" s="1" t="n">
        <f aca="false">COUNTIFS(Orders!$B$2:$B$5876,H233,Orders!$H$2:$H$5876,"Completed")</f>
        <v>5</v>
      </c>
      <c r="L233" s="4" t="n">
        <f aca="false">SUMIFS(Orders!$I$2:$I$5876,Orders!$B$2:$B$5876,H233,Orders!$H$2:$H$5876,"Completed")</f>
        <v>11023.34</v>
      </c>
    </row>
    <row r="234" customFormat="false" ht="15" hidden="false" customHeight="true" outlineLevel="0" collapsed="false">
      <c r="H234" s="1" t="n">
        <v>223</v>
      </c>
      <c r="I234" s="1" t="str">
        <f aca="false">VLOOKUP(H234,Customers!$A$2:$G$501,2,FALSE())</f>
        <v>Miguel Ramirez</v>
      </c>
      <c r="J234" s="1" t="str">
        <f aca="false">VLOOKUP(H234,Customers!$A$2:$G$501,6,FALSE())</f>
        <v>Consumer</v>
      </c>
      <c r="K234" s="1" t="n">
        <f aca="false">COUNTIFS(Orders!$B$2:$B$5876,H234,Orders!$H$2:$H$5876,"Completed")</f>
        <v>11</v>
      </c>
      <c r="L234" s="4" t="n">
        <f aca="false">SUMIFS(Orders!$I$2:$I$5876,Orders!$B$2:$B$5876,H234,Orders!$H$2:$H$5876,"Completed")</f>
        <v>12902.55</v>
      </c>
    </row>
    <row r="235" customFormat="false" ht="15" hidden="false" customHeight="true" outlineLevel="0" collapsed="false">
      <c r="H235" s="1" t="n">
        <v>224</v>
      </c>
      <c r="I235" s="1" t="str">
        <f aca="false">VLOOKUP(H235,Customers!$A$2:$G$501,2,FALSE())</f>
        <v>Carlos Miller</v>
      </c>
      <c r="J235" s="1" t="str">
        <f aca="false">VLOOKUP(H235,Customers!$A$2:$G$501,6,FALSE())</f>
        <v>Consumer</v>
      </c>
      <c r="K235" s="1" t="n">
        <f aca="false">COUNTIFS(Orders!$B$2:$B$5876,H235,Orders!$H$2:$H$5876,"Completed")</f>
        <v>5</v>
      </c>
      <c r="L235" s="4" t="n">
        <f aca="false">SUMIFS(Orders!$I$2:$I$5876,Orders!$B$2:$B$5876,H235,Orders!$H$2:$H$5876,"Completed")</f>
        <v>9918.36</v>
      </c>
    </row>
    <row r="236" customFormat="false" ht="15" hidden="false" customHeight="true" outlineLevel="0" collapsed="false">
      <c r="H236" s="1" t="n">
        <v>225</v>
      </c>
      <c r="I236" s="1" t="str">
        <f aca="false">VLOOKUP(H236,Customers!$A$2:$G$501,2,FALSE())</f>
        <v>Valentina Williams</v>
      </c>
      <c r="J236" s="1" t="str">
        <f aca="false">VLOOKUP(H236,Customers!$A$2:$G$501,6,FALSE())</f>
        <v>Consumer</v>
      </c>
      <c r="K236" s="1" t="n">
        <f aca="false">COUNTIFS(Orders!$B$2:$B$5876,H236,Orders!$H$2:$H$5876,"Completed")</f>
        <v>9</v>
      </c>
      <c r="L236" s="4" t="n">
        <f aca="false">SUMIFS(Orders!$I$2:$I$5876,Orders!$B$2:$B$5876,H236,Orders!$H$2:$H$5876,"Completed")</f>
        <v>11325.66</v>
      </c>
    </row>
    <row r="237" customFormat="false" ht="15" hidden="false" customHeight="true" outlineLevel="0" collapsed="false">
      <c r="H237" s="1" t="n">
        <v>226</v>
      </c>
      <c r="I237" s="1" t="str">
        <f aca="false">VLOOKUP(H237,Customers!$A$2:$G$501,2,FALSE())</f>
        <v>Karen White</v>
      </c>
      <c r="J237" s="1" t="str">
        <f aca="false">VLOOKUP(H237,Customers!$A$2:$G$501,6,FALSE())</f>
        <v>Corporate</v>
      </c>
      <c r="K237" s="1" t="n">
        <f aca="false">COUNTIFS(Orders!$B$2:$B$5876,H237,Orders!$H$2:$H$5876,"Completed")</f>
        <v>9</v>
      </c>
      <c r="L237" s="4" t="n">
        <f aca="false">SUMIFS(Orders!$I$2:$I$5876,Orders!$B$2:$B$5876,H237,Orders!$H$2:$H$5876,"Completed")</f>
        <v>10143.33</v>
      </c>
    </row>
    <row r="238" customFormat="false" ht="15" hidden="false" customHeight="true" outlineLevel="0" collapsed="false">
      <c r="H238" s="1" t="n">
        <v>227</v>
      </c>
      <c r="I238" s="1" t="str">
        <f aca="false">VLOOKUP(H238,Customers!$A$2:$G$501,2,FALSE())</f>
        <v>John Moore</v>
      </c>
      <c r="J238" s="1" t="str">
        <f aca="false">VLOOKUP(H238,Customers!$A$2:$G$501,6,FALSE())</f>
        <v>Consumer</v>
      </c>
      <c r="K238" s="1" t="n">
        <f aca="false">COUNTIFS(Orders!$B$2:$B$5876,H238,Orders!$H$2:$H$5876,"Completed")</f>
        <v>15</v>
      </c>
      <c r="L238" s="4" t="n">
        <f aca="false">SUMIFS(Orders!$I$2:$I$5876,Orders!$B$2:$B$5876,H238,Orders!$H$2:$H$5876,"Completed")</f>
        <v>16725.01</v>
      </c>
    </row>
    <row r="239" customFormat="false" ht="15" hidden="false" customHeight="true" outlineLevel="0" collapsed="false">
      <c r="H239" s="1" t="n">
        <v>228</v>
      </c>
      <c r="I239" s="1" t="str">
        <f aca="false">VLOOKUP(H239,Customers!$A$2:$G$501,2,FALSE())</f>
        <v>Mark Lopez</v>
      </c>
      <c r="J239" s="1" t="str">
        <f aca="false">VLOOKUP(H239,Customers!$A$2:$G$501,6,FALSE())</f>
        <v>Small Business</v>
      </c>
      <c r="K239" s="1" t="n">
        <f aca="false">COUNTIFS(Orders!$B$2:$B$5876,H239,Orders!$H$2:$H$5876,"Completed")</f>
        <v>11</v>
      </c>
      <c r="L239" s="4" t="n">
        <f aca="false">SUMIFS(Orders!$I$2:$I$5876,Orders!$B$2:$B$5876,H239,Orders!$H$2:$H$5876,"Completed")</f>
        <v>21126.84</v>
      </c>
    </row>
    <row r="240" customFormat="false" ht="15" hidden="false" customHeight="true" outlineLevel="0" collapsed="false">
      <c r="H240" s="1" t="n">
        <v>229</v>
      </c>
      <c r="I240" s="1" t="str">
        <f aca="false">VLOOKUP(H240,Customers!$A$2:$G$501,2,FALSE())</f>
        <v>William Lee</v>
      </c>
      <c r="J240" s="1" t="str">
        <f aca="false">VLOOKUP(H240,Customers!$A$2:$G$501,6,FALSE())</f>
        <v>Consumer</v>
      </c>
      <c r="K240" s="1" t="n">
        <f aca="false">COUNTIFS(Orders!$B$2:$B$5876,H240,Orders!$H$2:$H$5876,"Completed")</f>
        <v>4</v>
      </c>
      <c r="L240" s="4" t="n">
        <f aca="false">SUMIFS(Orders!$I$2:$I$5876,Orders!$B$2:$B$5876,H240,Orders!$H$2:$H$5876,"Completed")</f>
        <v>9061.12</v>
      </c>
    </row>
    <row r="241" customFormat="false" ht="15" hidden="false" customHeight="true" outlineLevel="0" collapsed="false">
      <c r="H241" s="1" t="n">
        <v>230</v>
      </c>
      <c r="I241" s="1" t="str">
        <f aca="false">VLOOKUP(H241,Customers!$A$2:$G$501,2,FALSE())</f>
        <v>Mary Martinez</v>
      </c>
      <c r="J241" s="1" t="str">
        <f aca="false">VLOOKUP(H241,Customers!$A$2:$G$501,6,FALSE())</f>
        <v>Corporate</v>
      </c>
      <c r="K241" s="1" t="n">
        <f aca="false">COUNTIFS(Orders!$B$2:$B$5876,H241,Orders!$H$2:$H$5876,"Completed")</f>
        <v>12</v>
      </c>
      <c r="L241" s="4" t="n">
        <f aca="false">SUMIFS(Orders!$I$2:$I$5876,Orders!$B$2:$B$5876,H241,Orders!$H$2:$H$5876,"Completed")</f>
        <v>23246.18</v>
      </c>
    </row>
    <row r="242" customFormat="false" ht="15" hidden="false" customHeight="true" outlineLevel="0" collapsed="false">
      <c r="H242" s="1" t="n">
        <v>231</v>
      </c>
      <c r="I242" s="1" t="str">
        <f aca="false">VLOOKUP(H242,Customers!$A$2:$G$501,2,FALSE())</f>
        <v>Sarah Miller</v>
      </c>
      <c r="J242" s="1" t="str">
        <f aca="false">VLOOKUP(H242,Customers!$A$2:$G$501,6,FALSE())</f>
        <v>Consumer</v>
      </c>
      <c r="K242" s="1" t="n">
        <f aca="false">COUNTIFS(Orders!$B$2:$B$5876,H242,Orders!$H$2:$H$5876,"Completed")</f>
        <v>5</v>
      </c>
      <c r="L242" s="4" t="n">
        <f aca="false">SUMIFS(Orders!$I$2:$I$5876,Orders!$B$2:$B$5876,H242,Orders!$H$2:$H$5876,"Completed")</f>
        <v>2600.39</v>
      </c>
    </row>
    <row r="243" customFormat="false" ht="15" hidden="false" customHeight="true" outlineLevel="0" collapsed="false">
      <c r="H243" s="1" t="n">
        <v>232</v>
      </c>
      <c r="I243" s="1" t="str">
        <f aca="false">VLOOKUP(H243,Customers!$A$2:$G$501,2,FALSE())</f>
        <v>John Brown</v>
      </c>
      <c r="J243" s="1" t="str">
        <f aca="false">VLOOKUP(H243,Customers!$A$2:$G$501,6,FALSE())</f>
        <v>Corporate</v>
      </c>
      <c r="K243" s="1" t="n">
        <f aca="false">COUNTIFS(Orders!$B$2:$B$5876,H243,Orders!$H$2:$H$5876,"Completed")</f>
        <v>10</v>
      </c>
      <c r="L243" s="4" t="n">
        <f aca="false">SUMIFS(Orders!$I$2:$I$5876,Orders!$B$2:$B$5876,H243,Orders!$H$2:$H$5876,"Completed")</f>
        <v>21564.72</v>
      </c>
    </row>
    <row r="244" customFormat="false" ht="15" hidden="false" customHeight="true" outlineLevel="0" collapsed="false">
      <c r="H244" s="1" t="n">
        <v>233</v>
      </c>
      <c r="I244" s="1" t="str">
        <f aca="false">VLOOKUP(H244,Customers!$A$2:$G$501,2,FALSE())</f>
        <v>Luis Miller</v>
      </c>
      <c r="J244" s="1" t="str">
        <f aca="false">VLOOKUP(H244,Customers!$A$2:$G$501,6,FALSE())</f>
        <v>Corporate</v>
      </c>
      <c r="K244" s="1" t="n">
        <f aca="false">COUNTIFS(Orders!$B$2:$B$5876,H244,Orders!$H$2:$H$5876,"Completed")</f>
        <v>12</v>
      </c>
      <c r="L244" s="4" t="n">
        <f aca="false">SUMIFS(Orders!$I$2:$I$5876,Orders!$B$2:$B$5876,H244,Orders!$H$2:$H$5876,"Completed")</f>
        <v>18794.92</v>
      </c>
    </row>
    <row r="245" customFormat="false" ht="15" hidden="false" customHeight="true" outlineLevel="0" collapsed="false">
      <c r="H245" s="1" t="n">
        <v>234</v>
      </c>
      <c r="I245" s="1" t="str">
        <f aca="false">VLOOKUP(H245,Customers!$A$2:$G$501,2,FALSE())</f>
        <v>Daniel Davis</v>
      </c>
      <c r="J245" s="1" t="str">
        <f aca="false">VLOOKUP(H245,Customers!$A$2:$G$501,6,FALSE())</f>
        <v>Small Business</v>
      </c>
      <c r="K245" s="1" t="n">
        <f aca="false">COUNTIFS(Orders!$B$2:$B$5876,H245,Orders!$H$2:$H$5876,"Completed")</f>
        <v>8</v>
      </c>
      <c r="L245" s="4" t="n">
        <f aca="false">SUMIFS(Orders!$I$2:$I$5876,Orders!$B$2:$B$5876,H245,Orders!$H$2:$H$5876,"Completed")</f>
        <v>9146.21</v>
      </c>
    </row>
    <row r="246" customFormat="false" ht="15" hidden="false" customHeight="true" outlineLevel="0" collapsed="false">
      <c r="H246" s="1" t="n">
        <v>235</v>
      </c>
      <c r="I246" s="1" t="str">
        <f aca="false">VLOOKUP(H246,Customers!$A$2:$G$501,2,FALSE())</f>
        <v>Barbara Lee</v>
      </c>
      <c r="J246" s="1" t="str">
        <f aca="false">VLOOKUP(H246,Customers!$A$2:$G$501,6,FALSE())</f>
        <v>Small Business</v>
      </c>
      <c r="K246" s="1" t="n">
        <f aca="false">COUNTIFS(Orders!$B$2:$B$5876,H246,Orders!$H$2:$H$5876,"Completed")</f>
        <v>15</v>
      </c>
      <c r="L246" s="4" t="n">
        <f aca="false">SUMIFS(Orders!$I$2:$I$5876,Orders!$B$2:$B$5876,H246,Orders!$H$2:$H$5876,"Completed")</f>
        <v>24198.54</v>
      </c>
    </row>
    <row r="247" customFormat="false" ht="15" hidden="false" customHeight="true" outlineLevel="0" collapsed="false">
      <c r="H247" s="1" t="n">
        <v>236</v>
      </c>
      <c r="I247" s="1" t="str">
        <f aca="false">VLOOKUP(H247,Customers!$A$2:$G$501,2,FALSE())</f>
        <v>Mark Wilson</v>
      </c>
      <c r="J247" s="1" t="str">
        <f aca="false">VLOOKUP(H247,Customers!$A$2:$G$501,6,FALSE())</f>
        <v>Corporate</v>
      </c>
      <c r="K247" s="1" t="n">
        <f aca="false">COUNTIFS(Orders!$B$2:$B$5876,H247,Orders!$H$2:$H$5876,"Completed")</f>
        <v>10</v>
      </c>
      <c r="L247" s="4" t="n">
        <f aca="false">SUMIFS(Orders!$I$2:$I$5876,Orders!$B$2:$B$5876,H247,Orders!$H$2:$H$5876,"Completed")</f>
        <v>22002.04</v>
      </c>
    </row>
    <row r="248" customFormat="false" ht="15" hidden="false" customHeight="true" outlineLevel="0" collapsed="false">
      <c r="H248" s="1" t="n">
        <v>237</v>
      </c>
      <c r="I248" s="1" t="str">
        <f aca="false">VLOOKUP(H248,Customers!$A$2:$G$501,2,FALSE())</f>
        <v>Elizabeth Sanchez</v>
      </c>
      <c r="J248" s="1" t="str">
        <f aca="false">VLOOKUP(H248,Customers!$A$2:$G$501,6,FALSE())</f>
        <v>Consumer</v>
      </c>
      <c r="K248" s="1" t="n">
        <f aca="false">COUNTIFS(Orders!$B$2:$B$5876,H248,Orders!$H$2:$H$5876,"Completed")</f>
        <v>16</v>
      </c>
      <c r="L248" s="4" t="n">
        <f aca="false">SUMIFS(Orders!$I$2:$I$5876,Orders!$B$2:$B$5876,H248,Orders!$H$2:$H$5876,"Completed")</f>
        <v>26373.95</v>
      </c>
    </row>
    <row r="249" customFormat="false" ht="15" hidden="false" customHeight="true" outlineLevel="0" collapsed="false">
      <c r="H249" s="1" t="n">
        <v>238</v>
      </c>
      <c r="I249" s="1" t="str">
        <f aca="false">VLOOKUP(H249,Customers!$A$2:$G$501,2,FALSE())</f>
        <v>Nancy Lee</v>
      </c>
      <c r="J249" s="1" t="str">
        <f aca="false">VLOOKUP(H249,Customers!$A$2:$G$501,6,FALSE())</f>
        <v>Corporate</v>
      </c>
      <c r="K249" s="1" t="n">
        <f aca="false">COUNTIFS(Orders!$B$2:$B$5876,H249,Orders!$H$2:$H$5876,"Completed")</f>
        <v>15</v>
      </c>
      <c r="L249" s="4" t="n">
        <f aca="false">SUMIFS(Orders!$I$2:$I$5876,Orders!$B$2:$B$5876,H249,Orders!$H$2:$H$5876,"Completed")</f>
        <v>19746.58</v>
      </c>
    </row>
    <row r="250" customFormat="false" ht="15" hidden="false" customHeight="true" outlineLevel="0" collapsed="false">
      <c r="H250" s="1" t="n">
        <v>239</v>
      </c>
      <c r="I250" s="1" t="str">
        <f aca="false">VLOOKUP(H250,Customers!$A$2:$G$501,2,FALSE())</f>
        <v>Miguel Martin</v>
      </c>
      <c r="J250" s="1" t="str">
        <f aca="false">VLOOKUP(H250,Customers!$A$2:$G$501,6,FALSE())</f>
        <v>Corporate</v>
      </c>
      <c r="K250" s="1" t="n">
        <f aca="false">COUNTIFS(Orders!$B$2:$B$5876,H250,Orders!$H$2:$H$5876,"Completed")</f>
        <v>11</v>
      </c>
      <c r="L250" s="4" t="n">
        <f aca="false">SUMIFS(Orders!$I$2:$I$5876,Orders!$B$2:$B$5876,H250,Orders!$H$2:$H$5876,"Completed")</f>
        <v>17391.4</v>
      </c>
    </row>
    <row r="251" customFormat="false" ht="15" hidden="false" customHeight="true" outlineLevel="0" collapsed="false">
      <c r="H251" s="1" t="n">
        <v>240</v>
      </c>
      <c r="I251" s="1" t="str">
        <f aca="false">VLOOKUP(H251,Customers!$A$2:$G$501,2,FALSE())</f>
        <v>Nancy Martinez</v>
      </c>
      <c r="J251" s="1" t="str">
        <f aca="false">VLOOKUP(H251,Customers!$A$2:$G$501,6,FALSE())</f>
        <v>Corporate</v>
      </c>
      <c r="K251" s="1" t="n">
        <f aca="false">COUNTIFS(Orders!$B$2:$B$5876,H251,Orders!$H$2:$H$5876,"Completed")</f>
        <v>13</v>
      </c>
      <c r="L251" s="4" t="n">
        <f aca="false">SUMIFS(Orders!$I$2:$I$5876,Orders!$B$2:$B$5876,H251,Orders!$H$2:$H$5876,"Completed")</f>
        <v>18739.97</v>
      </c>
    </row>
    <row r="252" customFormat="false" ht="15" hidden="false" customHeight="true" outlineLevel="0" collapsed="false">
      <c r="H252" s="1" t="n">
        <v>241</v>
      </c>
      <c r="I252" s="1" t="str">
        <f aca="false">VLOOKUP(H252,Customers!$A$2:$G$501,2,FALSE())</f>
        <v>Miguel Thompson</v>
      </c>
      <c r="J252" s="1" t="str">
        <f aca="false">VLOOKUP(H252,Customers!$A$2:$G$501,6,FALSE())</f>
        <v>Small Business</v>
      </c>
      <c r="K252" s="1" t="n">
        <f aca="false">COUNTIFS(Orders!$B$2:$B$5876,H252,Orders!$H$2:$H$5876,"Completed")</f>
        <v>12</v>
      </c>
      <c r="L252" s="4" t="n">
        <f aca="false">SUMIFS(Orders!$I$2:$I$5876,Orders!$B$2:$B$5876,H252,Orders!$H$2:$H$5876,"Completed")</f>
        <v>19482.75</v>
      </c>
    </row>
    <row r="253" customFormat="false" ht="15" hidden="false" customHeight="true" outlineLevel="0" collapsed="false">
      <c r="H253" s="1" t="n">
        <v>242</v>
      </c>
      <c r="I253" s="1" t="str">
        <f aca="false">VLOOKUP(H253,Customers!$A$2:$G$501,2,FALSE())</f>
        <v>Karen Rodriguez</v>
      </c>
      <c r="J253" s="1" t="str">
        <f aca="false">VLOOKUP(H253,Customers!$A$2:$G$501,6,FALSE())</f>
        <v>Corporate</v>
      </c>
      <c r="K253" s="1" t="n">
        <f aca="false">COUNTIFS(Orders!$B$2:$B$5876,H253,Orders!$H$2:$H$5876,"Completed")</f>
        <v>12</v>
      </c>
      <c r="L253" s="4" t="n">
        <f aca="false">SUMIFS(Orders!$I$2:$I$5876,Orders!$B$2:$B$5876,H253,Orders!$H$2:$H$5876,"Completed")</f>
        <v>9225.14</v>
      </c>
    </row>
    <row r="254" customFormat="false" ht="15" hidden="false" customHeight="true" outlineLevel="0" collapsed="false">
      <c r="H254" s="1" t="n">
        <v>243</v>
      </c>
      <c r="I254" s="1" t="str">
        <f aca="false">VLOOKUP(H254,Customers!$A$2:$G$501,2,FALSE())</f>
        <v>Lisa Hernandez</v>
      </c>
      <c r="J254" s="1" t="str">
        <f aca="false">VLOOKUP(H254,Customers!$A$2:$G$501,6,FALSE())</f>
        <v>Small Business</v>
      </c>
      <c r="K254" s="1" t="n">
        <f aca="false">COUNTIFS(Orders!$B$2:$B$5876,H254,Orders!$H$2:$H$5876,"Completed")</f>
        <v>9</v>
      </c>
      <c r="L254" s="4" t="n">
        <f aca="false">SUMIFS(Orders!$I$2:$I$5876,Orders!$B$2:$B$5876,H254,Orders!$H$2:$H$5876,"Completed")</f>
        <v>10670.93</v>
      </c>
    </row>
    <row r="255" customFormat="false" ht="15" hidden="false" customHeight="true" outlineLevel="0" collapsed="false">
      <c r="H255" s="1" t="n">
        <v>244</v>
      </c>
      <c r="I255" s="1" t="str">
        <f aca="false">VLOOKUP(H255,Customers!$A$2:$G$501,2,FALSE())</f>
        <v>Mark Martinez</v>
      </c>
      <c r="J255" s="1" t="str">
        <f aca="false">VLOOKUP(H255,Customers!$A$2:$G$501,6,FALSE())</f>
        <v>Small Business</v>
      </c>
      <c r="K255" s="1" t="n">
        <f aca="false">COUNTIFS(Orders!$B$2:$B$5876,H255,Orders!$H$2:$H$5876,"Completed")</f>
        <v>7</v>
      </c>
      <c r="L255" s="4" t="n">
        <f aca="false">SUMIFS(Orders!$I$2:$I$5876,Orders!$B$2:$B$5876,H255,Orders!$H$2:$H$5876,"Completed")</f>
        <v>12635.99</v>
      </c>
    </row>
    <row r="256" customFormat="false" ht="15" hidden="false" customHeight="true" outlineLevel="0" collapsed="false">
      <c r="H256" s="1" t="n">
        <v>245</v>
      </c>
      <c r="I256" s="1" t="str">
        <f aca="false">VLOOKUP(H256,Customers!$A$2:$G$501,2,FALSE())</f>
        <v>Nancy Rodriguez</v>
      </c>
      <c r="J256" s="1" t="str">
        <f aca="false">VLOOKUP(H256,Customers!$A$2:$G$501,6,FALSE())</f>
        <v>Consumer</v>
      </c>
      <c r="K256" s="1" t="n">
        <f aca="false">COUNTIFS(Orders!$B$2:$B$5876,H256,Orders!$H$2:$H$5876,"Completed")</f>
        <v>14</v>
      </c>
      <c r="L256" s="4" t="n">
        <f aca="false">SUMIFS(Orders!$I$2:$I$5876,Orders!$B$2:$B$5876,H256,Orders!$H$2:$H$5876,"Completed")</f>
        <v>17335.16</v>
      </c>
    </row>
    <row r="257" customFormat="false" ht="15" hidden="false" customHeight="true" outlineLevel="0" collapsed="false">
      <c r="H257" s="1" t="n">
        <v>246</v>
      </c>
      <c r="I257" s="1" t="str">
        <f aca="false">VLOOKUP(H257,Customers!$A$2:$G$501,2,FALSE())</f>
        <v>Valentina Garcia</v>
      </c>
      <c r="J257" s="1" t="str">
        <f aca="false">VLOOKUP(H257,Customers!$A$2:$G$501,6,FALSE())</f>
        <v>Small Business</v>
      </c>
      <c r="K257" s="1" t="n">
        <f aca="false">COUNTIFS(Orders!$B$2:$B$5876,H257,Orders!$H$2:$H$5876,"Completed")</f>
        <v>12</v>
      </c>
      <c r="L257" s="4" t="n">
        <f aca="false">SUMIFS(Orders!$I$2:$I$5876,Orders!$B$2:$B$5876,H257,Orders!$H$2:$H$5876,"Completed")</f>
        <v>16530.29</v>
      </c>
    </row>
    <row r="258" customFormat="false" ht="15" hidden="false" customHeight="true" outlineLevel="0" collapsed="false">
      <c r="H258" s="1" t="n">
        <v>247</v>
      </c>
      <c r="I258" s="1" t="str">
        <f aca="false">VLOOKUP(H258,Customers!$A$2:$G$501,2,FALSE())</f>
        <v>James Wilson</v>
      </c>
      <c r="J258" s="1" t="str">
        <f aca="false">VLOOKUP(H258,Customers!$A$2:$G$501,6,FALSE())</f>
        <v>Small Business</v>
      </c>
      <c r="K258" s="1" t="n">
        <f aca="false">COUNTIFS(Orders!$B$2:$B$5876,H258,Orders!$H$2:$H$5876,"Completed")</f>
        <v>16</v>
      </c>
      <c r="L258" s="4" t="n">
        <f aca="false">SUMIFS(Orders!$I$2:$I$5876,Orders!$B$2:$B$5876,H258,Orders!$H$2:$H$5876,"Completed")</f>
        <v>28427.83</v>
      </c>
    </row>
    <row r="259" customFormat="false" ht="15" hidden="false" customHeight="true" outlineLevel="0" collapsed="false">
      <c r="H259" s="1" t="n">
        <v>248</v>
      </c>
      <c r="I259" s="1" t="str">
        <f aca="false">VLOOKUP(H259,Customers!$A$2:$G$501,2,FALSE())</f>
        <v>Patricia Martin</v>
      </c>
      <c r="J259" s="1" t="str">
        <f aca="false">VLOOKUP(H259,Customers!$A$2:$G$501,6,FALSE())</f>
        <v>Small Business</v>
      </c>
      <c r="K259" s="1" t="n">
        <f aca="false">COUNTIFS(Orders!$B$2:$B$5876,H259,Orders!$H$2:$H$5876,"Completed")</f>
        <v>12</v>
      </c>
      <c r="L259" s="4" t="n">
        <f aca="false">SUMIFS(Orders!$I$2:$I$5876,Orders!$B$2:$B$5876,H259,Orders!$H$2:$H$5876,"Completed")</f>
        <v>15058.18</v>
      </c>
    </row>
    <row r="260" customFormat="false" ht="15" hidden="false" customHeight="true" outlineLevel="0" collapsed="false">
      <c r="H260" s="1" t="n">
        <v>249</v>
      </c>
      <c r="I260" s="1" t="str">
        <f aca="false">VLOOKUP(H260,Customers!$A$2:$G$501,2,FALSE())</f>
        <v>Luis Martinez</v>
      </c>
      <c r="J260" s="1" t="str">
        <f aca="false">VLOOKUP(H260,Customers!$A$2:$G$501,6,FALSE())</f>
        <v>Consumer</v>
      </c>
      <c r="K260" s="1" t="n">
        <f aca="false">COUNTIFS(Orders!$B$2:$B$5876,H260,Orders!$H$2:$H$5876,"Completed")</f>
        <v>7</v>
      </c>
      <c r="L260" s="4" t="n">
        <f aca="false">SUMIFS(Orders!$I$2:$I$5876,Orders!$B$2:$B$5876,H260,Orders!$H$2:$H$5876,"Completed")</f>
        <v>6091.6</v>
      </c>
    </row>
    <row r="261" customFormat="false" ht="15" hidden="false" customHeight="true" outlineLevel="0" collapsed="false">
      <c r="H261" s="1" t="n">
        <v>250</v>
      </c>
      <c r="I261" s="1" t="str">
        <f aca="false">VLOOKUP(H261,Customers!$A$2:$G$501,2,FALSE())</f>
        <v>Sofia Jones</v>
      </c>
      <c r="J261" s="1" t="str">
        <f aca="false">VLOOKUP(H261,Customers!$A$2:$G$501,6,FALSE())</f>
        <v>Consumer</v>
      </c>
      <c r="K261" s="1" t="n">
        <f aca="false">COUNTIFS(Orders!$B$2:$B$5876,H261,Orders!$H$2:$H$5876,"Completed")</f>
        <v>11</v>
      </c>
      <c r="L261" s="4" t="n">
        <f aca="false">SUMIFS(Orders!$I$2:$I$5876,Orders!$B$2:$B$5876,H261,Orders!$H$2:$H$5876,"Completed")</f>
        <v>21120.7</v>
      </c>
    </row>
    <row r="262" customFormat="false" ht="15" hidden="false" customHeight="true" outlineLevel="0" collapsed="false">
      <c r="H262" s="1" t="n">
        <v>251</v>
      </c>
      <c r="I262" s="1" t="str">
        <f aca="false">VLOOKUP(H262,Customers!$A$2:$G$501,2,FALSE())</f>
        <v>Betty Anderson</v>
      </c>
      <c r="J262" s="1" t="str">
        <f aca="false">VLOOKUP(H262,Customers!$A$2:$G$501,6,FALSE())</f>
        <v>Small Business</v>
      </c>
      <c r="K262" s="1" t="n">
        <f aca="false">COUNTIFS(Orders!$B$2:$B$5876,H262,Orders!$H$2:$H$5876,"Completed")</f>
        <v>9</v>
      </c>
      <c r="L262" s="4" t="n">
        <f aca="false">SUMIFS(Orders!$I$2:$I$5876,Orders!$B$2:$B$5876,H262,Orders!$H$2:$H$5876,"Completed")</f>
        <v>10134.67</v>
      </c>
    </row>
    <row r="263" customFormat="false" ht="15" hidden="false" customHeight="true" outlineLevel="0" collapsed="false">
      <c r="H263" s="1" t="n">
        <v>252</v>
      </c>
      <c r="I263" s="1" t="str">
        <f aca="false">VLOOKUP(H263,Customers!$A$2:$G$501,2,FALSE())</f>
        <v>Robert Williams</v>
      </c>
      <c r="J263" s="1" t="str">
        <f aca="false">VLOOKUP(H263,Customers!$A$2:$G$501,6,FALSE())</f>
        <v>Consumer</v>
      </c>
      <c r="K263" s="1" t="n">
        <f aca="false">COUNTIFS(Orders!$B$2:$B$5876,H263,Orders!$H$2:$H$5876,"Completed")</f>
        <v>10</v>
      </c>
      <c r="L263" s="4" t="n">
        <f aca="false">SUMIFS(Orders!$I$2:$I$5876,Orders!$B$2:$B$5876,H263,Orders!$H$2:$H$5876,"Completed")</f>
        <v>14766.73</v>
      </c>
    </row>
    <row r="264" customFormat="false" ht="15" hidden="false" customHeight="true" outlineLevel="0" collapsed="false">
      <c r="H264" s="1" t="n">
        <v>253</v>
      </c>
      <c r="I264" s="1" t="str">
        <f aca="false">VLOOKUP(H264,Customers!$A$2:$G$501,2,FALSE())</f>
        <v>Margaret Lee</v>
      </c>
      <c r="J264" s="1" t="str">
        <f aca="false">VLOOKUP(H264,Customers!$A$2:$G$501,6,FALSE())</f>
        <v>Consumer</v>
      </c>
      <c r="K264" s="1" t="n">
        <f aca="false">COUNTIFS(Orders!$B$2:$B$5876,H264,Orders!$H$2:$H$5876,"Completed")</f>
        <v>7</v>
      </c>
      <c r="L264" s="4" t="n">
        <f aca="false">SUMIFS(Orders!$I$2:$I$5876,Orders!$B$2:$B$5876,H264,Orders!$H$2:$H$5876,"Completed")</f>
        <v>6195.21</v>
      </c>
    </row>
    <row r="265" customFormat="false" ht="15" hidden="false" customHeight="true" outlineLevel="0" collapsed="false">
      <c r="H265" s="1" t="n">
        <v>254</v>
      </c>
      <c r="I265" s="1" t="str">
        <f aca="false">VLOOKUP(H265,Customers!$A$2:$G$501,2,FALSE())</f>
        <v>Diego Thomas</v>
      </c>
      <c r="J265" s="1" t="str">
        <f aca="false">VLOOKUP(H265,Customers!$A$2:$G$501,6,FALSE())</f>
        <v>Small Business</v>
      </c>
      <c r="K265" s="1" t="n">
        <f aca="false">COUNTIFS(Orders!$B$2:$B$5876,H265,Orders!$H$2:$H$5876,"Completed")</f>
        <v>10</v>
      </c>
      <c r="L265" s="4" t="n">
        <f aca="false">SUMIFS(Orders!$I$2:$I$5876,Orders!$B$2:$B$5876,H265,Orders!$H$2:$H$5876,"Completed")</f>
        <v>14108.53</v>
      </c>
    </row>
    <row r="266" customFormat="false" ht="15" hidden="false" customHeight="true" outlineLevel="0" collapsed="false">
      <c r="H266" s="1" t="n">
        <v>255</v>
      </c>
      <c r="I266" s="1" t="str">
        <f aca="false">VLOOKUP(H266,Customers!$A$2:$G$501,2,FALSE())</f>
        <v>Daniel Smith</v>
      </c>
      <c r="J266" s="1" t="str">
        <f aca="false">VLOOKUP(H266,Customers!$A$2:$G$501,6,FALSE())</f>
        <v>Corporate</v>
      </c>
      <c r="K266" s="1" t="n">
        <f aca="false">COUNTIFS(Orders!$B$2:$B$5876,H266,Orders!$H$2:$H$5876,"Completed")</f>
        <v>10</v>
      </c>
      <c r="L266" s="4" t="n">
        <f aca="false">SUMIFS(Orders!$I$2:$I$5876,Orders!$B$2:$B$5876,H266,Orders!$H$2:$H$5876,"Completed")</f>
        <v>17105.96</v>
      </c>
    </row>
    <row r="267" customFormat="false" ht="15" hidden="false" customHeight="true" outlineLevel="0" collapsed="false">
      <c r="H267" s="1" t="n">
        <v>256</v>
      </c>
      <c r="I267" s="1" t="str">
        <f aca="false">VLOOKUP(H267,Customers!$A$2:$G$501,2,FALSE())</f>
        <v>Jessica Jackson</v>
      </c>
      <c r="J267" s="1" t="str">
        <f aca="false">VLOOKUP(H267,Customers!$A$2:$G$501,6,FALSE())</f>
        <v>Small Business</v>
      </c>
      <c r="K267" s="1" t="n">
        <f aca="false">COUNTIFS(Orders!$B$2:$B$5876,H267,Orders!$H$2:$H$5876,"Completed")</f>
        <v>10</v>
      </c>
      <c r="L267" s="4" t="n">
        <f aca="false">SUMIFS(Orders!$I$2:$I$5876,Orders!$B$2:$B$5876,H267,Orders!$H$2:$H$5876,"Completed")</f>
        <v>12131</v>
      </c>
    </row>
    <row r="268" customFormat="false" ht="15" hidden="false" customHeight="true" outlineLevel="0" collapsed="false">
      <c r="H268" s="1" t="n">
        <v>257</v>
      </c>
      <c r="I268" s="1" t="str">
        <f aca="false">VLOOKUP(H268,Customers!$A$2:$G$501,2,FALSE())</f>
        <v>Carlos White</v>
      </c>
      <c r="J268" s="1" t="str">
        <f aca="false">VLOOKUP(H268,Customers!$A$2:$G$501,6,FALSE())</f>
        <v>Small Business</v>
      </c>
      <c r="K268" s="1" t="n">
        <f aca="false">COUNTIFS(Orders!$B$2:$B$5876,H268,Orders!$H$2:$H$5876,"Completed")</f>
        <v>10</v>
      </c>
      <c r="L268" s="4" t="n">
        <f aca="false">SUMIFS(Orders!$I$2:$I$5876,Orders!$B$2:$B$5876,H268,Orders!$H$2:$H$5876,"Completed")</f>
        <v>19375.42</v>
      </c>
    </row>
    <row r="269" customFormat="false" ht="15" hidden="false" customHeight="true" outlineLevel="0" collapsed="false">
      <c r="H269" s="1" t="n">
        <v>258</v>
      </c>
      <c r="I269" s="1" t="str">
        <f aca="false">VLOOKUP(H269,Customers!$A$2:$G$501,2,FALSE())</f>
        <v>Betty Harris</v>
      </c>
      <c r="J269" s="1" t="str">
        <f aca="false">VLOOKUP(H269,Customers!$A$2:$G$501,6,FALSE())</f>
        <v>Small Business</v>
      </c>
      <c r="K269" s="1" t="n">
        <f aca="false">COUNTIFS(Orders!$B$2:$B$5876,H269,Orders!$H$2:$H$5876,"Completed")</f>
        <v>12</v>
      </c>
      <c r="L269" s="4" t="n">
        <f aca="false">SUMIFS(Orders!$I$2:$I$5876,Orders!$B$2:$B$5876,H269,Orders!$H$2:$H$5876,"Completed")</f>
        <v>14702.78</v>
      </c>
    </row>
    <row r="270" customFormat="false" ht="15" hidden="false" customHeight="true" outlineLevel="0" collapsed="false">
      <c r="H270" s="1" t="n">
        <v>259</v>
      </c>
      <c r="I270" s="1" t="str">
        <f aca="false">VLOOKUP(H270,Customers!$A$2:$G$501,2,FALSE())</f>
        <v>Margaret Garcia</v>
      </c>
      <c r="J270" s="1" t="str">
        <f aca="false">VLOOKUP(H270,Customers!$A$2:$G$501,6,FALSE())</f>
        <v>Consumer</v>
      </c>
      <c r="K270" s="1" t="n">
        <f aca="false">COUNTIFS(Orders!$B$2:$B$5876,H270,Orders!$H$2:$H$5876,"Completed")</f>
        <v>13</v>
      </c>
      <c r="L270" s="4" t="n">
        <f aca="false">SUMIFS(Orders!$I$2:$I$5876,Orders!$B$2:$B$5876,H270,Orders!$H$2:$H$5876,"Completed")</f>
        <v>17030.68</v>
      </c>
    </row>
    <row r="271" customFormat="false" ht="15" hidden="false" customHeight="true" outlineLevel="0" collapsed="false">
      <c r="H271" s="1" t="n">
        <v>260</v>
      </c>
      <c r="I271" s="1" t="str">
        <f aca="false">VLOOKUP(H271,Customers!$A$2:$G$501,2,FALSE())</f>
        <v>Elizabeth Gonzalez</v>
      </c>
      <c r="J271" s="1" t="str">
        <f aca="false">VLOOKUP(H271,Customers!$A$2:$G$501,6,FALSE())</f>
        <v>Corporate</v>
      </c>
      <c r="K271" s="1" t="n">
        <f aca="false">COUNTIFS(Orders!$B$2:$B$5876,H271,Orders!$H$2:$H$5876,"Completed")</f>
        <v>5</v>
      </c>
      <c r="L271" s="4" t="n">
        <f aca="false">SUMIFS(Orders!$I$2:$I$5876,Orders!$B$2:$B$5876,H271,Orders!$H$2:$H$5876,"Completed")</f>
        <v>7222.81</v>
      </c>
    </row>
    <row r="272" customFormat="false" ht="15" hidden="false" customHeight="true" outlineLevel="0" collapsed="false">
      <c r="H272" s="1" t="n">
        <v>261</v>
      </c>
      <c r="I272" s="1" t="str">
        <f aca="false">VLOOKUP(H272,Customers!$A$2:$G$501,2,FALSE())</f>
        <v>Sarah Brown</v>
      </c>
      <c r="J272" s="1" t="str">
        <f aca="false">VLOOKUP(H272,Customers!$A$2:$G$501,6,FALSE())</f>
        <v>Consumer</v>
      </c>
      <c r="K272" s="1" t="n">
        <f aca="false">COUNTIFS(Orders!$B$2:$B$5876,H272,Orders!$H$2:$H$5876,"Completed")</f>
        <v>10</v>
      </c>
      <c r="L272" s="4" t="n">
        <f aca="false">SUMIFS(Orders!$I$2:$I$5876,Orders!$B$2:$B$5876,H272,Orders!$H$2:$H$5876,"Completed")</f>
        <v>15374.31</v>
      </c>
    </row>
    <row r="273" customFormat="false" ht="15" hidden="false" customHeight="true" outlineLevel="0" collapsed="false">
      <c r="H273" s="1" t="n">
        <v>262</v>
      </c>
      <c r="I273" s="1" t="str">
        <f aca="false">VLOOKUP(H273,Customers!$A$2:$G$501,2,FALSE())</f>
        <v>Isabella Williams</v>
      </c>
      <c r="J273" s="1" t="str">
        <f aca="false">VLOOKUP(H273,Customers!$A$2:$G$501,6,FALSE())</f>
        <v>Small Business</v>
      </c>
      <c r="K273" s="1" t="n">
        <f aca="false">COUNTIFS(Orders!$B$2:$B$5876,H273,Orders!$H$2:$H$5876,"Completed")</f>
        <v>10</v>
      </c>
      <c r="L273" s="4" t="n">
        <f aca="false">SUMIFS(Orders!$I$2:$I$5876,Orders!$B$2:$B$5876,H273,Orders!$H$2:$H$5876,"Completed")</f>
        <v>17658.77</v>
      </c>
    </row>
    <row r="274" customFormat="false" ht="15" hidden="false" customHeight="true" outlineLevel="0" collapsed="false">
      <c r="H274" s="1" t="n">
        <v>263</v>
      </c>
      <c r="I274" s="1" t="str">
        <f aca="false">VLOOKUP(H274,Customers!$A$2:$G$501,2,FALSE())</f>
        <v>Jessica Jackson</v>
      </c>
      <c r="J274" s="1" t="str">
        <f aca="false">VLOOKUP(H274,Customers!$A$2:$G$501,6,FALSE())</f>
        <v>Consumer</v>
      </c>
      <c r="K274" s="1" t="n">
        <f aca="false">COUNTIFS(Orders!$B$2:$B$5876,H274,Orders!$H$2:$H$5876,"Completed")</f>
        <v>8</v>
      </c>
      <c r="L274" s="4" t="n">
        <f aca="false">SUMIFS(Orders!$I$2:$I$5876,Orders!$B$2:$B$5876,H274,Orders!$H$2:$H$5876,"Completed")</f>
        <v>11341.11</v>
      </c>
    </row>
    <row r="275" customFormat="false" ht="15" hidden="false" customHeight="true" outlineLevel="0" collapsed="false">
      <c r="H275" s="1" t="n">
        <v>264</v>
      </c>
      <c r="I275" s="1" t="str">
        <f aca="false">VLOOKUP(H275,Customers!$A$2:$G$501,2,FALSE())</f>
        <v>Margaret Rodriguez</v>
      </c>
      <c r="J275" s="1" t="str">
        <f aca="false">VLOOKUP(H275,Customers!$A$2:$G$501,6,FALSE())</f>
        <v>Small Business</v>
      </c>
      <c r="K275" s="1" t="n">
        <f aca="false">COUNTIFS(Orders!$B$2:$B$5876,H275,Orders!$H$2:$H$5876,"Completed")</f>
        <v>6</v>
      </c>
      <c r="L275" s="4" t="n">
        <f aca="false">SUMIFS(Orders!$I$2:$I$5876,Orders!$B$2:$B$5876,H275,Orders!$H$2:$H$5876,"Completed")</f>
        <v>5100.8</v>
      </c>
    </row>
    <row r="276" customFormat="false" ht="15" hidden="false" customHeight="true" outlineLevel="0" collapsed="false">
      <c r="H276" s="1" t="n">
        <v>265</v>
      </c>
      <c r="I276" s="1" t="str">
        <f aca="false">VLOOKUP(H276,Customers!$A$2:$G$501,2,FALSE())</f>
        <v>Laura Miller</v>
      </c>
      <c r="J276" s="1" t="str">
        <f aca="false">VLOOKUP(H276,Customers!$A$2:$G$501,6,FALSE())</f>
        <v>Corporate</v>
      </c>
      <c r="K276" s="1" t="n">
        <f aca="false">COUNTIFS(Orders!$B$2:$B$5876,H276,Orders!$H$2:$H$5876,"Completed")</f>
        <v>12</v>
      </c>
      <c r="L276" s="4" t="n">
        <f aca="false">SUMIFS(Orders!$I$2:$I$5876,Orders!$B$2:$B$5876,H276,Orders!$H$2:$H$5876,"Completed")</f>
        <v>13606.81</v>
      </c>
    </row>
    <row r="277" customFormat="false" ht="15" hidden="false" customHeight="true" outlineLevel="0" collapsed="false">
      <c r="H277" s="1" t="n">
        <v>266</v>
      </c>
      <c r="I277" s="1" t="str">
        <f aca="false">VLOOKUP(H277,Customers!$A$2:$G$501,2,FALSE())</f>
        <v>Nancy Anderson</v>
      </c>
      <c r="J277" s="1" t="str">
        <f aca="false">VLOOKUP(H277,Customers!$A$2:$G$501,6,FALSE())</f>
        <v>Corporate</v>
      </c>
      <c r="K277" s="1" t="n">
        <f aca="false">COUNTIFS(Orders!$B$2:$B$5876,H277,Orders!$H$2:$H$5876,"Completed")</f>
        <v>9</v>
      </c>
      <c r="L277" s="4" t="n">
        <f aca="false">SUMIFS(Orders!$I$2:$I$5876,Orders!$B$2:$B$5876,H277,Orders!$H$2:$H$5876,"Completed")</f>
        <v>16059.88</v>
      </c>
    </row>
    <row r="278" customFormat="false" ht="15" hidden="false" customHeight="true" outlineLevel="0" collapsed="false">
      <c r="H278" s="1" t="n">
        <v>267</v>
      </c>
      <c r="I278" s="1" t="str">
        <f aca="false">VLOOKUP(H278,Customers!$A$2:$G$501,2,FALSE())</f>
        <v>Richard Thomas</v>
      </c>
      <c r="J278" s="1" t="str">
        <f aca="false">VLOOKUP(H278,Customers!$A$2:$G$501,6,FALSE())</f>
        <v>Corporate</v>
      </c>
      <c r="K278" s="1" t="n">
        <f aca="false">COUNTIFS(Orders!$B$2:$B$5876,H278,Orders!$H$2:$H$5876,"Completed")</f>
        <v>12</v>
      </c>
      <c r="L278" s="4" t="n">
        <f aca="false">SUMIFS(Orders!$I$2:$I$5876,Orders!$B$2:$B$5876,H278,Orders!$H$2:$H$5876,"Completed")</f>
        <v>11847.79</v>
      </c>
    </row>
    <row r="279" customFormat="false" ht="15" hidden="false" customHeight="true" outlineLevel="0" collapsed="false">
      <c r="H279" s="1" t="n">
        <v>268</v>
      </c>
      <c r="I279" s="1" t="str">
        <f aca="false">VLOOKUP(H279,Customers!$A$2:$G$501,2,FALSE())</f>
        <v>Jessica Hernandez</v>
      </c>
      <c r="J279" s="1" t="str">
        <f aca="false">VLOOKUP(H279,Customers!$A$2:$G$501,6,FALSE())</f>
        <v>Small Business</v>
      </c>
      <c r="K279" s="1" t="n">
        <f aca="false">COUNTIFS(Orders!$B$2:$B$5876,H279,Orders!$H$2:$H$5876,"Completed")</f>
        <v>10</v>
      </c>
      <c r="L279" s="4" t="n">
        <f aca="false">SUMIFS(Orders!$I$2:$I$5876,Orders!$B$2:$B$5876,H279,Orders!$H$2:$H$5876,"Completed")</f>
        <v>17025.49</v>
      </c>
    </row>
    <row r="280" customFormat="false" ht="15" hidden="false" customHeight="true" outlineLevel="0" collapsed="false">
      <c r="H280" s="1" t="n">
        <v>269</v>
      </c>
      <c r="I280" s="1" t="str">
        <f aca="false">VLOOKUP(H280,Customers!$A$2:$G$501,2,FALSE())</f>
        <v>Barbara Perez</v>
      </c>
      <c r="J280" s="1" t="str">
        <f aca="false">VLOOKUP(H280,Customers!$A$2:$G$501,6,FALSE())</f>
        <v>Corporate</v>
      </c>
      <c r="K280" s="1" t="n">
        <f aca="false">COUNTIFS(Orders!$B$2:$B$5876,H280,Orders!$H$2:$H$5876,"Completed")</f>
        <v>6</v>
      </c>
      <c r="L280" s="4" t="n">
        <f aca="false">SUMIFS(Orders!$I$2:$I$5876,Orders!$B$2:$B$5876,H280,Orders!$H$2:$H$5876,"Completed")</f>
        <v>11387.47</v>
      </c>
    </row>
    <row r="281" customFormat="false" ht="15" hidden="false" customHeight="true" outlineLevel="0" collapsed="false">
      <c r="H281" s="1" t="n">
        <v>270</v>
      </c>
      <c r="I281" s="1" t="str">
        <f aca="false">VLOOKUP(H281,Customers!$A$2:$G$501,2,FALSE())</f>
        <v>John Clark</v>
      </c>
      <c r="J281" s="1" t="str">
        <f aca="false">VLOOKUP(H281,Customers!$A$2:$G$501,6,FALSE())</f>
        <v>Small Business</v>
      </c>
      <c r="K281" s="1" t="n">
        <f aca="false">COUNTIFS(Orders!$B$2:$B$5876,H281,Orders!$H$2:$H$5876,"Completed")</f>
        <v>9</v>
      </c>
      <c r="L281" s="4" t="n">
        <f aca="false">SUMIFS(Orders!$I$2:$I$5876,Orders!$B$2:$B$5876,H281,Orders!$H$2:$H$5876,"Completed")</f>
        <v>13228.63</v>
      </c>
    </row>
    <row r="282" customFormat="false" ht="15" hidden="false" customHeight="true" outlineLevel="0" collapsed="false">
      <c r="H282" s="1" t="n">
        <v>271</v>
      </c>
      <c r="I282" s="1" t="str">
        <f aca="false">VLOOKUP(H282,Customers!$A$2:$G$501,2,FALSE())</f>
        <v>Anthony Williams</v>
      </c>
      <c r="J282" s="1" t="str">
        <f aca="false">VLOOKUP(H282,Customers!$A$2:$G$501,6,FALSE())</f>
        <v>Small Business</v>
      </c>
      <c r="K282" s="1" t="n">
        <f aca="false">COUNTIFS(Orders!$B$2:$B$5876,H282,Orders!$H$2:$H$5876,"Completed")</f>
        <v>5</v>
      </c>
      <c r="L282" s="4" t="n">
        <f aca="false">SUMIFS(Orders!$I$2:$I$5876,Orders!$B$2:$B$5876,H282,Orders!$H$2:$H$5876,"Completed")</f>
        <v>8162.57</v>
      </c>
    </row>
    <row r="283" customFormat="false" ht="15" hidden="false" customHeight="true" outlineLevel="0" collapsed="false">
      <c r="H283" s="1" t="n">
        <v>272</v>
      </c>
      <c r="I283" s="1" t="str">
        <f aca="false">VLOOKUP(H283,Customers!$A$2:$G$501,2,FALSE())</f>
        <v>Robert Sanchez</v>
      </c>
      <c r="J283" s="1" t="str">
        <f aca="false">VLOOKUP(H283,Customers!$A$2:$G$501,6,FALSE())</f>
        <v>Consumer</v>
      </c>
      <c r="K283" s="1" t="n">
        <f aca="false">COUNTIFS(Orders!$B$2:$B$5876,H283,Orders!$H$2:$H$5876,"Completed")</f>
        <v>13</v>
      </c>
      <c r="L283" s="4" t="n">
        <f aca="false">SUMIFS(Orders!$I$2:$I$5876,Orders!$B$2:$B$5876,H283,Orders!$H$2:$H$5876,"Completed")</f>
        <v>14166.44</v>
      </c>
    </row>
    <row r="284" customFormat="false" ht="15" hidden="false" customHeight="true" outlineLevel="0" collapsed="false">
      <c r="H284" s="1" t="n">
        <v>273</v>
      </c>
      <c r="I284" s="1" t="str">
        <f aca="false">VLOOKUP(H284,Customers!$A$2:$G$501,2,FALSE())</f>
        <v>Matthew Garcia</v>
      </c>
      <c r="J284" s="1" t="str">
        <f aca="false">VLOOKUP(H284,Customers!$A$2:$G$501,6,FALSE())</f>
        <v>Corporate</v>
      </c>
      <c r="K284" s="1" t="n">
        <f aca="false">COUNTIFS(Orders!$B$2:$B$5876,H284,Orders!$H$2:$H$5876,"Completed")</f>
        <v>10</v>
      </c>
      <c r="L284" s="4" t="n">
        <f aca="false">SUMIFS(Orders!$I$2:$I$5876,Orders!$B$2:$B$5876,H284,Orders!$H$2:$H$5876,"Completed")</f>
        <v>13954.81</v>
      </c>
    </row>
    <row r="285" customFormat="false" ht="15" hidden="false" customHeight="true" outlineLevel="0" collapsed="false">
      <c r="H285" s="1" t="n">
        <v>274</v>
      </c>
      <c r="I285" s="1" t="str">
        <f aca="false">VLOOKUP(H285,Customers!$A$2:$G$501,2,FALSE())</f>
        <v>Michael Rodriguez</v>
      </c>
      <c r="J285" s="1" t="str">
        <f aca="false">VLOOKUP(H285,Customers!$A$2:$G$501,6,FALSE())</f>
        <v>Corporate</v>
      </c>
      <c r="K285" s="1" t="n">
        <f aca="false">COUNTIFS(Orders!$B$2:$B$5876,H285,Orders!$H$2:$H$5876,"Completed")</f>
        <v>14</v>
      </c>
      <c r="L285" s="4" t="n">
        <f aca="false">SUMIFS(Orders!$I$2:$I$5876,Orders!$B$2:$B$5876,H285,Orders!$H$2:$H$5876,"Completed")</f>
        <v>17359.25</v>
      </c>
    </row>
    <row r="286" customFormat="false" ht="15" hidden="false" customHeight="true" outlineLevel="0" collapsed="false">
      <c r="H286" s="1" t="n">
        <v>275</v>
      </c>
      <c r="I286" s="1" t="str">
        <f aca="false">VLOOKUP(H286,Customers!$A$2:$G$501,2,FALSE())</f>
        <v>Mariana Thompson</v>
      </c>
      <c r="J286" s="1" t="str">
        <f aca="false">VLOOKUP(H286,Customers!$A$2:$G$501,6,FALSE())</f>
        <v>Consumer</v>
      </c>
      <c r="K286" s="1" t="n">
        <f aca="false">COUNTIFS(Orders!$B$2:$B$5876,H286,Orders!$H$2:$H$5876,"Completed")</f>
        <v>9</v>
      </c>
      <c r="L286" s="4" t="n">
        <f aca="false">SUMIFS(Orders!$I$2:$I$5876,Orders!$B$2:$B$5876,H286,Orders!$H$2:$H$5876,"Completed")</f>
        <v>18316.96</v>
      </c>
    </row>
    <row r="287" customFormat="false" ht="15" hidden="false" customHeight="true" outlineLevel="0" collapsed="false">
      <c r="H287" s="1" t="n">
        <v>276</v>
      </c>
      <c r="I287" s="1" t="str">
        <f aca="false">VLOOKUP(H287,Customers!$A$2:$G$501,2,FALSE())</f>
        <v>Elizabeth Lopez</v>
      </c>
      <c r="J287" s="1" t="str">
        <f aca="false">VLOOKUP(H287,Customers!$A$2:$G$501,6,FALSE())</f>
        <v>Corporate</v>
      </c>
      <c r="K287" s="1" t="n">
        <f aca="false">COUNTIFS(Orders!$B$2:$B$5876,H287,Orders!$H$2:$H$5876,"Completed")</f>
        <v>14</v>
      </c>
      <c r="L287" s="4" t="n">
        <f aca="false">SUMIFS(Orders!$I$2:$I$5876,Orders!$B$2:$B$5876,H287,Orders!$H$2:$H$5876,"Completed")</f>
        <v>11390.59</v>
      </c>
    </row>
    <row r="288" customFormat="false" ht="15" hidden="false" customHeight="true" outlineLevel="0" collapsed="false">
      <c r="H288" s="1" t="n">
        <v>277</v>
      </c>
      <c r="I288" s="1" t="str">
        <f aca="false">VLOOKUP(H288,Customers!$A$2:$G$501,2,FALSE())</f>
        <v>Juan Hernandez</v>
      </c>
      <c r="J288" s="1" t="str">
        <f aca="false">VLOOKUP(H288,Customers!$A$2:$G$501,6,FALSE())</f>
        <v>Corporate</v>
      </c>
      <c r="K288" s="1" t="n">
        <f aca="false">COUNTIFS(Orders!$B$2:$B$5876,H288,Orders!$H$2:$H$5876,"Completed")</f>
        <v>14</v>
      </c>
      <c r="L288" s="4" t="n">
        <f aca="false">SUMIFS(Orders!$I$2:$I$5876,Orders!$B$2:$B$5876,H288,Orders!$H$2:$H$5876,"Completed")</f>
        <v>16318.32</v>
      </c>
    </row>
    <row r="289" customFormat="false" ht="15" hidden="false" customHeight="true" outlineLevel="0" collapsed="false">
      <c r="H289" s="1" t="n">
        <v>278</v>
      </c>
      <c r="I289" s="1" t="str">
        <f aca="false">VLOOKUP(H289,Customers!$A$2:$G$501,2,FALSE())</f>
        <v>David Robinson</v>
      </c>
      <c r="J289" s="1" t="str">
        <f aca="false">VLOOKUP(H289,Customers!$A$2:$G$501,6,FALSE())</f>
        <v>Consumer</v>
      </c>
      <c r="K289" s="1" t="n">
        <f aca="false">COUNTIFS(Orders!$B$2:$B$5876,H289,Orders!$H$2:$H$5876,"Completed")</f>
        <v>11</v>
      </c>
      <c r="L289" s="4" t="n">
        <f aca="false">SUMIFS(Orders!$I$2:$I$5876,Orders!$B$2:$B$5876,H289,Orders!$H$2:$H$5876,"Completed")</f>
        <v>14524.79</v>
      </c>
    </row>
    <row r="290" customFormat="false" ht="15" hidden="false" customHeight="true" outlineLevel="0" collapsed="false">
      <c r="H290" s="1" t="n">
        <v>279</v>
      </c>
      <c r="I290" s="1" t="str">
        <f aca="false">VLOOKUP(H290,Customers!$A$2:$G$501,2,FALSE())</f>
        <v>Barbara Garcia</v>
      </c>
      <c r="J290" s="1" t="str">
        <f aca="false">VLOOKUP(H290,Customers!$A$2:$G$501,6,FALSE())</f>
        <v>Unknown</v>
      </c>
      <c r="K290" s="1" t="n">
        <f aca="false">COUNTIFS(Orders!$B$2:$B$5876,H290,Orders!$H$2:$H$5876,"Completed")</f>
        <v>5</v>
      </c>
      <c r="L290" s="4" t="n">
        <f aca="false">SUMIFS(Orders!$I$2:$I$5876,Orders!$B$2:$B$5876,H290,Orders!$H$2:$H$5876,"Completed")</f>
        <v>11797.51</v>
      </c>
    </row>
    <row r="291" customFormat="false" ht="15" hidden="false" customHeight="true" outlineLevel="0" collapsed="false">
      <c r="H291" s="1" t="n">
        <v>280</v>
      </c>
      <c r="I291" s="1" t="str">
        <f aca="false">VLOOKUP(H291,Customers!$A$2:$G$501,2,FALSE())</f>
        <v>Susan Miller</v>
      </c>
      <c r="J291" s="1" t="str">
        <f aca="false">VLOOKUP(H291,Customers!$A$2:$G$501,6,FALSE())</f>
        <v>Consumer</v>
      </c>
      <c r="K291" s="1" t="n">
        <f aca="false">COUNTIFS(Orders!$B$2:$B$5876,H291,Orders!$H$2:$H$5876,"Completed")</f>
        <v>7</v>
      </c>
      <c r="L291" s="4" t="n">
        <f aca="false">SUMIFS(Orders!$I$2:$I$5876,Orders!$B$2:$B$5876,H291,Orders!$H$2:$H$5876,"Completed")</f>
        <v>13741.61</v>
      </c>
    </row>
    <row r="292" customFormat="false" ht="15" hidden="false" customHeight="true" outlineLevel="0" collapsed="false">
      <c r="H292" s="1" t="n">
        <v>281</v>
      </c>
      <c r="I292" s="1" t="str">
        <f aca="false">VLOOKUP(H292,Customers!$A$2:$G$501,2,FALSE())</f>
        <v>Richard Anderson</v>
      </c>
      <c r="J292" s="1" t="str">
        <f aca="false">VLOOKUP(H292,Customers!$A$2:$G$501,6,FALSE())</f>
        <v>Corporate</v>
      </c>
      <c r="K292" s="1" t="n">
        <f aca="false">COUNTIFS(Orders!$B$2:$B$5876,H292,Orders!$H$2:$H$5876,"Completed")</f>
        <v>10</v>
      </c>
      <c r="L292" s="4" t="n">
        <f aca="false">SUMIFS(Orders!$I$2:$I$5876,Orders!$B$2:$B$5876,H292,Orders!$H$2:$H$5876,"Completed")</f>
        <v>26757.33</v>
      </c>
    </row>
    <row r="293" customFormat="false" ht="15" hidden="false" customHeight="true" outlineLevel="0" collapsed="false">
      <c r="H293" s="1" t="n">
        <v>282</v>
      </c>
      <c r="I293" s="1" t="str">
        <f aca="false">VLOOKUP(H293,Customers!$A$2:$G$501,2,FALSE())</f>
        <v>Mariana Brown</v>
      </c>
      <c r="J293" s="1" t="str">
        <f aca="false">VLOOKUP(H293,Customers!$A$2:$G$501,6,FALSE())</f>
        <v>Corporate</v>
      </c>
      <c r="K293" s="1" t="n">
        <f aca="false">COUNTIFS(Orders!$B$2:$B$5876,H293,Orders!$H$2:$H$5876,"Completed")</f>
        <v>12</v>
      </c>
      <c r="L293" s="4" t="n">
        <f aca="false">SUMIFS(Orders!$I$2:$I$5876,Orders!$B$2:$B$5876,H293,Orders!$H$2:$H$5876,"Completed")</f>
        <v>17729.01</v>
      </c>
    </row>
    <row r="294" customFormat="false" ht="15" hidden="false" customHeight="true" outlineLevel="0" collapsed="false">
      <c r="H294" s="1" t="n">
        <v>283</v>
      </c>
      <c r="I294" s="1" t="str">
        <f aca="false">VLOOKUP(H294,Customers!$A$2:$G$501,2,FALSE())</f>
        <v>Mariana Williams</v>
      </c>
      <c r="J294" s="1" t="str">
        <f aca="false">VLOOKUP(H294,Customers!$A$2:$G$501,6,FALSE())</f>
        <v>Small Business</v>
      </c>
      <c r="K294" s="1" t="n">
        <f aca="false">COUNTIFS(Orders!$B$2:$B$5876,H294,Orders!$H$2:$H$5876,"Completed")</f>
        <v>11</v>
      </c>
      <c r="L294" s="4" t="n">
        <f aca="false">SUMIFS(Orders!$I$2:$I$5876,Orders!$B$2:$B$5876,H294,Orders!$H$2:$H$5876,"Completed")</f>
        <v>12724.97</v>
      </c>
    </row>
    <row r="295" customFormat="false" ht="15" hidden="false" customHeight="true" outlineLevel="0" collapsed="false">
      <c r="H295" s="1" t="n">
        <v>284</v>
      </c>
      <c r="I295" s="1" t="str">
        <f aca="false">VLOOKUP(H295,Customers!$A$2:$G$501,2,FALSE())</f>
        <v>Miguel Jones</v>
      </c>
      <c r="J295" s="1" t="str">
        <f aca="false">VLOOKUP(H295,Customers!$A$2:$G$501,6,FALSE())</f>
        <v>Consumer</v>
      </c>
      <c r="K295" s="1" t="n">
        <f aca="false">COUNTIFS(Orders!$B$2:$B$5876,H295,Orders!$H$2:$H$5876,"Completed")</f>
        <v>8</v>
      </c>
      <c r="L295" s="4" t="n">
        <f aca="false">SUMIFS(Orders!$I$2:$I$5876,Orders!$B$2:$B$5876,H295,Orders!$H$2:$H$5876,"Completed")</f>
        <v>8027.08</v>
      </c>
    </row>
    <row r="296" customFormat="false" ht="15" hidden="false" customHeight="true" outlineLevel="0" collapsed="false">
      <c r="H296" s="1" t="n">
        <v>285</v>
      </c>
      <c r="I296" s="1" t="str">
        <f aca="false">VLOOKUP(H296,Customers!$A$2:$G$501,2,FALSE())</f>
        <v>Valentina Martinez</v>
      </c>
      <c r="J296" s="1" t="str">
        <f aca="false">VLOOKUP(H296,Customers!$A$2:$G$501,6,FALSE())</f>
        <v>Consumer</v>
      </c>
      <c r="K296" s="1" t="n">
        <f aca="false">COUNTIFS(Orders!$B$2:$B$5876,H296,Orders!$H$2:$H$5876,"Completed")</f>
        <v>10</v>
      </c>
      <c r="L296" s="4" t="n">
        <f aca="false">SUMIFS(Orders!$I$2:$I$5876,Orders!$B$2:$B$5876,H296,Orders!$H$2:$H$5876,"Completed")</f>
        <v>13119</v>
      </c>
    </row>
    <row r="297" customFormat="false" ht="15" hidden="false" customHeight="true" outlineLevel="0" collapsed="false">
      <c r="H297" s="1" t="n">
        <v>286</v>
      </c>
      <c r="I297" s="1" t="str">
        <f aca="false">VLOOKUP(H297,Customers!$A$2:$G$501,2,FALSE())</f>
        <v>Richard Clark</v>
      </c>
      <c r="J297" s="1" t="str">
        <f aca="false">VLOOKUP(H297,Customers!$A$2:$G$501,6,FALSE())</f>
        <v>Corporate</v>
      </c>
      <c r="K297" s="1" t="n">
        <f aca="false">COUNTIFS(Orders!$B$2:$B$5876,H297,Orders!$H$2:$H$5876,"Completed")</f>
        <v>11</v>
      </c>
      <c r="L297" s="4" t="n">
        <f aca="false">SUMIFS(Orders!$I$2:$I$5876,Orders!$B$2:$B$5876,H297,Orders!$H$2:$H$5876,"Completed")</f>
        <v>16239.42</v>
      </c>
    </row>
    <row r="298" customFormat="false" ht="15" hidden="false" customHeight="true" outlineLevel="0" collapsed="false">
      <c r="H298" s="1" t="n">
        <v>287</v>
      </c>
      <c r="I298" s="1" t="str">
        <f aca="false">VLOOKUP(H298,Customers!$A$2:$G$501,2,FALSE())</f>
        <v>Jennifer Jackson</v>
      </c>
      <c r="J298" s="1" t="str">
        <f aca="false">VLOOKUP(H298,Customers!$A$2:$G$501,6,FALSE())</f>
        <v>Corporate</v>
      </c>
      <c r="K298" s="1" t="n">
        <f aca="false">COUNTIFS(Orders!$B$2:$B$5876,H298,Orders!$H$2:$H$5876,"Completed")</f>
        <v>14</v>
      </c>
      <c r="L298" s="4" t="n">
        <f aca="false">SUMIFS(Orders!$I$2:$I$5876,Orders!$B$2:$B$5876,H298,Orders!$H$2:$H$5876,"Completed")</f>
        <v>16735.01</v>
      </c>
    </row>
    <row r="299" customFormat="false" ht="15" hidden="false" customHeight="true" outlineLevel="0" collapsed="false">
      <c r="H299" s="1" t="n">
        <v>288</v>
      </c>
      <c r="I299" s="1" t="str">
        <f aca="false">VLOOKUP(H299,Customers!$A$2:$G$501,2,FALSE())</f>
        <v>Valentina Moore</v>
      </c>
      <c r="J299" s="1" t="str">
        <f aca="false">VLOOKUP(H299,Customers!$A$2:$G$501,6,FALSE())</f>
        <v>Small Business</v>
      </c>
      <c r="K299" s="1" t="n">
        <f aca="false">COUNTIFS(Orders!$B$2:$B$5876,H299,Orders!$H$2:$H$5876,"Completed")</f>
        <v>10</v>
      </c>
      <c r="L299" s="4" t="n">
        <f aca="false">SUMIFS(Orders!$I$2:$I$5876,Orders!$B$2:$B$5876,H299,Orders!$H$2:$H$5876,"Completed")</f>
        <v>18664.59</v>
      </c>
    </row>
    <row r="300" customFormat="false" ht="15" hidden="false" customHeight="true" outlineLevel="0" collapsed="false">
      <c r="H300" s="1" t="n">
        <v>289</v>
      </c>
      <c r="I300" s="1" t="str">
        <f aca="false">VLOOKUP(H300,Customers!$A$2:$G$501,2,FALSE())</f>
        <v>Robert Harris</v>
      </c>
      <c r="J300" s="1" t="str">
        <f aca="false">VLOOKUP(H300,Customers!$A$2:$G$501,6,FALSE())</f>
        <v>Consumer</v>
      </c>
      <c r="K300" s="1" t="n">
        <f aca="false">COUNTIFS(Orders!$B$2:$B$5876,H300,Orders!$H$2:$H$5876,"Completed")</f>
        <v>12</v>
      </c>
      <c r="L300" s="4" t="n">
        <f aca="false">SUMIFS(Orders!$I$2:$I$5876,Orders!$B$2:$B$5876,H300,Orders!$H$2:$H$5876,"Completed")</f>
        <v>19574.68</v>
      </c>
    </row>
    <row r="301" customFormat="false" ht="15" hidden="false" customHeight="true" outlineLevel="0" collapsed="false">
      <c r="H301" s="1" t="n">
        <v>290</v>
      </c>
      <c r="I301" s="1" t="str">
        <f aca="false">VLOOKUP(H301,Customers!$A$2:$G$501,2,FALSE())</f>
        <v>Robert Anderson</v>
      </c>
      <c r="J301" s="1" t="str">
        <f aca="false">VLOOKUP(H301,Customers!$A$2:$G$501,6,FALSE())</f>
        <v>Consumer</v>
      </c>
      <c r="K301" s="1" t="n">
        <f aca="false">COUNTIFS(Orders!$B$2:$B$5876,H301,Orders!$H$2:$H$5876,"Completed")</f>
        <v>10</v>
      </c>
      <c r="L301" s="4" t="n">
        <f aca="false">SUMIFS(Orders!$I$2:$I$5876,Orders!$B$2:$B$5876,H301,Orders!$H$2:$H$5876,"Completed")</f>
        <v>10348.69</v>
      </c>
    </row>
    <row r="302" customFormat="false" ht="15" hidden="false" customHeight="true" outlineLevel="0" collapsed="false">
      <c r="H302" s="1" t="n">
        <v>291</v>
      </c>
      <c r="I302" s="1" t="str">
        <f aca="false">VLOOKUP(H302,Customers!$A$2:$G$501,2,FALSE())</f>
        <v>Mariana Thompson</v>
      </c>
      <c r="J302" s="1" t="str">
        <f aca="false">VLOOKUP(H302,Customers!$A$2:$G$501,6,FALSE())</f>
        <v>Consumer</v>
      </c>
      <c r="K302" s="1" t="n">
        <f aca="false">COUNTIFS(Orders!$B$2:$B$5876,H302,Orders!$H$2:$H$5876,"Completed")</f>
        <v>11</v>
      </c>
      <c r="L302" s="4" t="n">
        <f aca="false">SUMIFS(Orders!$I$2:$I$5876,Orders!$B$2:$B$5876,H302,Orders!$H$2:$H$5876,"Completed")</f>
        <v>10843.84</v>
      </c>
    </row>
    <row r="303" customFormat="false" ht="15" hidden="false" customHeight="true" outlineLevel="0" collapsed="false">
      <c r="H303" s="1" t="n">
        <v>292</v>
      </c>
      <c r="I303" s="1" t="str">
        <f aca="false">VLOOKUP(H303,Customers!$A$2:$G$501,2,FALSE())</f>
        <v>Diego Lopez</v>
      </c>
      <c r="J303" s="1" t="str">
        <f aca="false">VLOOKUP(H303,Customers!$A$2:$G$501,6,FALSE())</f>
        <v>Small Business</v>
      </c>
      <c r="K303" s="1" t="n">
        <f aca="false">COUNTIFS(Orders!$B$2:$B$5876,H303,Orders!$H$2:$H$5876,"Completed")</f>
        <v>8</v>
      </c>
      <c r="L303" s="4" t="n">
        <f aca="false">SUMIFS(Orders!$I$2:$I$5876,Orders!$B$2:$B$5876,H303,Orders!$H$2:$H$5876,"Completed")</f>
        <v>8989.62</v>
      </c>
    </row>
    <row r="304" customFormat="false" ht="15" hidden="false" customHeight="true" outlineLevel="0" collapsed="false">
      <c r="H304" s="1" t="n">
        <v>293</v>
      </c>
      <c r="I304" s="1" t="str">
        <f aca="false">VLOOKUP(H304,Customers!$A$2:$G$501,2,FALSE())</f>
        <v>Carlos Lewis</v>
      </c>
      <c r="J304" s="1" t="str">
        <f aca="false">VLOOKUP(H304,Customers!$A$2:$G$501,6,FALSE())</f>
        <v>Small Business</v>
      </c>
      <c r="K304" s="1" t="n">
        <f aca="false">COUNTIFS(Orders!$B$2:$B$5876,H304,Orders!$H$2:$H$5876,"Completed")</f>
        <v>13</v>
      </c>
      <c r="L304" s="4" t="n">
        <f aca="false">SUMIFS(Orders!$I$2:$I$5876,Orders!$B$2:$B$5876,H304,Orders!$H$2:$H$5876,"Completed")</f>
        <v>23880.41</v>
      </c>
    </row>
    <row r="305" customFormat="false" ht="15" hidden="false" customHeight="true" outlineLevel="0" collapsed="false">
      <c r="H305" s="1" t="n">
        <v>294</v>
      </c>
      <c r="I305" s="1" t="str">
        <f aca="false">VLOOKUP(H305,Customers!$A$2:$G$501,2,FALSE())</f>
        <v>William Davis</v>
      </c>
      <c r="J305" s="1" t="str">
        <f aca="false">VLOOKUP(H305,Customers!$A$2:$G$501,6,FALSE())</f>
        <v>Consumer</v>
      </c>
      <c r="K305" s="1" t="n">
        <f aca="false">COUNTIFS(Orders!$B$2:$B$5876,H305,Orders!$H$2:$H$5876,"Completed")</f>
        <v>13</v>
      </c>
      <c r="L305" s="4" t="n">
        <f aca="false">SUMIFS(Orders!$I$2:$I$5876,Orders!$B$2:$B$5876,H305,Orders!$H$2:$H$5876,"Completed")</f>
        <v>22427.27</v>
      </c>
    </row>
    <row r="306" customFormat="false" ht="15" hidden="false" customHeight="true" outlineLevel="0" collapsed="false">
      <c r="H306" s="1" t="n">
        <v>295</v>
      </c>
      <c r="I306" s="1" t="str">
        <f aca="false">VLOOKUP(H306,Customers!$A$2:$G$501,2,FALSE())</f>
        <v>Sarah Lee</v>
      </c>
      <c r="J306" s="1" t="str">
        <f aca="false">VLOOKUP(H306,Customers!$A$2:$G$501,6,FALSE())</f>
        <v>Small Business</v>
      </c>
      <c r="K306" s="1" t="n">
        <f aca="false">COUNTIFS(Orders!$B$2:$B$5876,H306,Orders!$H$2:$H$5876,"Completed")</f>
        <v>13</v>
      </c>
      <c r="L306" s="4" t="n">
        <f aca="false">SUMIFS(Orders!$I$2:$I$5876,Orders!$B$2:$B$5876,H306,Orders!$H$2:$H$5876,"Completed")</f>
        <v>23862.64</v>
      </c>
    </row>
    <row r="307" customFormat="false" ht="15" hidden="false" customHeight="true" outlineLevel="0" collapsed="false">
      <c r="H307" s="1" t="n">
        <v>296</v>
      </c>
      <c r="I307" s="1" t="str">
        <f aca="false">VLOOKUP(H307,Customers!$A$2:$G$501,2,FALSE())</f>
        <v>Lisa Anderson</v>
      </c>
      <c r="J307" s="1" t="str">
        <f aca="false">VLOOKUP(H307,Customers!$A$2:$G$501,6,FALSE())</f>
        <v>Corporate</v>
      </c>
      <c r="K307" s="1" t="n">
        <f aca="false">COUNTIFS(Orders!$B$2:$B$5876,H307,Orders!$H$2:$H$5876,"Completed")</f>
        <v>9</v>
      </c>
      <c r="L307" s="4" t="n">
        <f aca="false">SUMIFS(Orders!$I$2:$I$5876,Orders!$B$2:$B$5876,H307,Orders!$H$2:$H$5876,"Completed")</f>
        <v>4681.17</v>
      </c>
    </row>
    <row r="308" customFormat="false" ht="15" hidden="false" customHeight="true" outlineLevel="0" collapsed="false">
      <c r="H308" s="1" t="n">
        <v>297</v>
      </c>
      <c r="I308" s="1" t="str">
        <f aca="false">VLOOKUP(H308,Customers!$A$2:$G$501,2,FALSE())</f>
        <v>Matthew Ramirez</v>
      </c>
      <c r="J308" s="1" t="str">
        <f aca="false">VLOOKUP(H308,Customers!$A$2:$G$501,6,FALSE())</f>
        <v>Corporate</v>
      </c>
      <c r="K308" s="1" t="n">
        <f aca="false">COUNTIFS(Orders!$B$2:$B$5876,H308,Orders!$H$2:$H$5876,"Completed")</f>
        <v>7</v>
      </c>
      <c r="L308" s="4" t="n">
        <f aca="false">SUMIFS(Orders!$I$2:$I$5876,Orders!$B$2:$B$5876,H308,Orders!$H$2:$H$5876,"Completed")</f>
        <v>10378.33</v>
      </c>
    </row>
    <row r="309" customFormat="false" ht="15" hidden="false" customHeight="true" outlineLevel="0" collapsed="false">
      <c r="H309" s="1" t="n">
        <v>298</v>
      </c>
      <c r="I309" s="1" t="str">
        <f aca="false">VLOOKUP(H309,Customers!$A$2:$G$501,2,FALSE())</f>
        <v>Nancy Moore</v>
      </c>
      <c r="J309" s="1" t="str">
        <f aca="false">VLOOKUP(H309,Customers!$A$2:$G$501,6,FALSE())</f>
        <v>Consumer</v>
      </c>
      <c r="K309" s="1" t="n">
        <f aca="false">COUNTIFS(Orders!$B$2:$B$5876,H309,Orders!$H$2:$H$5876,"Completed")</f>
        <v>6</v>
      </c>
      <c r="L309" s="4" t="n">
        <f aca="false">SUMIFS(Orders!$I$2:$I$5876,Orders!$B$2:$B$5876,H309,Orders!$H$2:$H$5876,"Completed")</f>
        <v>10635.54</v>
      </c>
    </row>
    <row r="310" customFormat="false" ht="15" hidden="false" customHeight="true" outlineLevel="0" collapsed="false">
      <c r="H310" s="1" t="n">
        <v>299</v>
      </c>
      <c r="I310" s="1" t="str">
        <f aca="false">VLOOKUP(H310,Customers!$A$2:$G$501,2,FALSE())</f>
        <v>Camila Smith</v>
      </c>
      <c r="J310" s="1" t="str">
        <f aca="false">VLOOKUP(H310,Customers!$A$2:$G$501,6,FALSE())</f>
        <v>Small Business</v>
      </c>
      <c r="K310" s="1" t="n">
        <f aca="false">COUNTIFS(Orders!$B$2:$B$5876,H310,Orders!$H$2:$H$5876,"Completed")</f>
        <v>9</v>
      </c>
      <c r="L310" s="4" t="n">
        <f aca="false">SUMIFS(Orders!$I$2:$I$5876,Orders!$B$2:$B$5876,H310,Orders!$H$2:$H$5876,"Completed")</f>
        <v>16424.09</v>
      </c>
    </row>
    <row r="311" customFormat="false" ht="15" hidden="false" customHeight="true" outlineLevel="0" collapsed="false">
      <c r="H311" s="1" t="n">
        <v>300</v>
      </c>
      <c r="I311" s="1" t="str">
        <f aca="false">VLOOKUP(H311,Customers!$A$2:$G$501,2,FALSE())</f>
        <v>Karen Garcia</v>
      </c>
      <c r="J311" s="1" t="str">
        <f aca="false">VLOOKUP(H311,Customers!$A$2:$G$501,6,FALSE())</f>
        <v>Consumer</v>
      </c>
      <c r="K311" s="1" t="n">
        <f aca="false">COUNTIFS(Orders!$B$2:$B$5876,H311,Orders!$H$2:$H$5876,"Completed")</f>
        <v>9</v>
      </c>
      <c r="L311" s="4" t="n">
        <f aca="false">SUMIFS(Orders!$I$2:$I$5876,Orders!$B$2:$B$5876,H311,Orders!$H$2:$H$5876,"Completed")</f>
        <v>15057.64</v>
      </c>
    </row>
    <row r="312" customFormat="false" ht="15" hidden="false" customHeight="true" outlineLevel="0" collapsed="false">
      <c r="H312" s="1" t="n">
        <v>301</v>
      </c>
      <c r="I312" s="1" t="str">
        <f aca="false">VLOOKUP(H312,Customers!$A$2:$G$501,2,FALSE())</f>
        <v>Karen White</v>
      </c>
      <c r="J312" s="1" t="str">
        <f aca="false">VLOOKUP(H312,Customers!$A$2:$G$501,6,FALSE())</f>
        <v>Corporate</v>
      </c>
      <c r="K312" s="1" t="n">
        <f aca="false">COUNTIFS(Orders!$B$2:$B$5876,H312,Orders!$H$2:$H$5876,"Completed")</f>
        <v>14</v>
      </c>
      <c r="L312" s="4" t="n">
        <f aca="false">SUMIFS(Orders!$I$2:$I$5876,Orders!$B$2:$B$5876,H312,Orders!$H$2:$H$5876,"Completed")</f>
        <v>15184.13</v>
      </c>
    </row>
    <row r="313" customFormat="false" ht="15" hidden="false" customHeight="true" outlineLevel="0" collapsed="false">
      <c r="H313" s="1" t="n">
        <v>302</v>
      </c>
      <c r="I313" s="1" t="str">
        <f aca="false">VLOOKUP(H313,Customers!$A$2:$G$501,2,FALSE())</f>
        <v>Mariana Davis</v>
      </c>
      <c r="J313" s="1" t="str">
        <f aca="false">VLOOKUP(H313,Customers!$A$2:$G$501,6,FALSE())</f>
        <v>Corporate</v>
      </c>
      <c r="K313" s="1" t="n">
        <f aca="false">COUNTIFS(Orders!$B$2:$B$5876,H313,Orders!$H$2:$H$5876,"Completed")</f>
        <v>10</v>
      </c>
      <c r="L313" s="4" t="n">
        <f aca="false">SUMIFS(Orders!$I$2:$I$5876,Orders!$B$2:$B$5876,H313,Orders!$H$2:$H$5876,"Completed")</f>
        <v>11146.69</v>
      </c>
    </row>
    <row r="314" customFormat="false" ht="15" hidden="false" customHeight="true" outlineLevel="0" collapsed="false">
      <c r="H314" s="1" t="n">
        <v>303</v>
      </c>
      <c r="I314" s="1" t="str">
        <f aca="false">VLOOKUP(H314,Customers!$A$2:$G$501,2,FALSE())</f>
        <v>Andres Williams</v>
      </c>
      <c r="J314" s="1" t="str">
        <f aca="false">VLOOKUP(H314,Customers!$A$2:$G$501,6,FALSE())</f>
        <v>Corporate</v>
      </c>
      <c r="K314" s="1" t="n">
        <f aca="false">COUNTIFS(Orders!$B$2:$B$5876,H314,Orders!$H$2:$H$5876,"Completed")</f>
        <v>8</v>
      </c>
      <c r="L314" s="4" t="n">
        <f aca="false">SUMIFS(Orders!$I$2:$I$5876,Orders!$B$2:$B$5876,H314,Orders!$H$2:$H$5876,"Completed")</f>
        <v>8516.16</v>
      </c>
    </row>
    <row r="315" customFormat="false" ht="15" hidden="false" customHeight="true" outlineLevel="0" collapsed="false">
      <c r="H315" s="1" t="n">
        <v>304</v>
      </c>
      <c r="I315" s="1" t="str">
        <f aca="false">VLOOKUP(H315,Customers!$A$2:$G$501,2,FALSE())</f>
        <v>William Lee</v>
      </c>
      <c r="J315" s="1" t="str">
        <f aca="false">VLOOKUP(H315,Customers!$A$2:$G$501,6,FALSE())</f>
        <v>Small Business</v>
      </c>
      <c r="K315" s="1" t="n">
        <f aca="false">COUNTIFS(Orders!$B$2:$B$5876,H315,Orders!$H$2:$H$5876,"Completed")</f>
        <v>11</v>
      </c>
      <c r="L315" s="4" t="n">
        <f aca="false">SUMIFS(Orders!$I$2:$I$5876,Orders!$B$2:$B$5876,H315,Orders!$H$2:$H$5876,"Completed")</f>
        <v>16744.82</v>
      </c>
    </row>
    <row r="316" customFormat="false" ht="15" hidden="false" customHeight="true" outlineLevel="0" collapsed="false">
      <c r="H316" s="1" t="n">
        <v>305</v>
      </c>
      <c r="I316" s="1" t="str">
        <f aca="false">VLOOKUP(H316,Customers!$A$2:$G$501,2,FALSE())</f>
        <v>Elizabeth Robinson</v>
      </c>
      <c r="J316" s="1" t="str">
        <f aca="false">VLOOKUP(H316,Customers!$A$2:$G$501,6,FALSE())</f>
        <v>Consumer</v>
      </c>
      <c r="K316" s="1" t="n">
        <f aca="false">COUNTIFS(Orders!$B$2:$B$5876,H316,Orders!$H$2:$H$5876,"Completed")</f>
        <v>5</v>
      </c>
      <c r="L316" s="4" t="n">
        <f aca="false">SUMIFS(Orders!$I$2:$I$5876,Orders!$B$2:$B$5876,H316,Orders!$H$2:$H$5876,"Completed")</f>
        <v>5261.35</v>
      </c>
    </row>
    <row r="317" customFormat="false" ht="15" hidden="false" customHeight="true" outlineLevel="0" collapsed="false">
      <c r="H317" s="1" t="n">
        <v>306</v>
      </c>
      <c r="I317" s="1" t="str">
        <f aca="false">VLOOKUP(H317,Customers!$A$2:$G$501,2,FALSE())</f>
        <v>Anthony Lopez</v>
      </c>
      <c r="J317" s="1" t="str">
        <f aca="false">VLOOKUP(H317,Customers!$A$2:$G$501,6,FALSE())</f>
        <v>Small Business</v>
      </c>
      <c r="K317" s="1" t="n">
        <f aca="false">COUNTIFS(Orders!$B$2:$B$5876,H317,Orders!$H$2:$H$5876,"Completed")</f>
        <v>13</v>
      </c>
      <c r="L317" s="4" t="n">
        <f aca="false">SUMIFS(Orders!$I$2:$I$5876,Orders!$B$2:$B$5876,H317,Orders!$H$2:$H$5876,"Completed")</f>
        <v>16594.13</v>
      </c>
    </row>
    <row r="318" customFormat="false" ht="15" hidden="false" customHeight="true" outlineLevel="0" collapsed="false">
      <c r="H318" s="1" t="n">
        <v>307</v>
      </c>
      <c r="I318" s="1" t="str">
        <f aca="false">VLOOKUP(H318,Customers!$A$2:$G$501,2,FALSE())</f>
        <v>Miguel Martinez</v>
      </c>
      <c r="J318" s="1" t="str">
        <f aca="false">VLOOKUP(H318,Customers!$A$2:$G$501,6,FALSE())</f>
        <v>Corporate</v>
      </c>
      <c r="K318" s="1" t="n">
        <f aca="false">COUNTIFS(Orders!$B$2:$B$5876,H318,Orders!$H$2:$H$5876,"Completed")</f>
        <v>16</v>
      </c>
      <c r="L318" s="4" t="n">
        <f aca="false">SUMIFS(Orders!$I$2:$I$5876,Orders!$B$2:$B$5876,H318,Orders!$H$2:$H$5876,"Completed")</f>
        <v>15313.34</v>
      </c>
    </row>
    <row r="319" customFormat="false" ht="15" hidden="false" customHeight="true" outlineLevel="0" collapsed="false">
      <c r="H319" s="1" t="n">
        <v>308</v>
      </c>
      <c r="I319" s="1" t="str">
        <f aca="false">VLOOKUP(H319,Customers!$A$2:$G$501,2,FALSE())</f>
        <v>Patricia Sanchez</v>
      </c>
      <c r="J319" s="1" t="str">
        <f aca="false">VLOOKUP(H319,Customers!$A$2:$G$501,6,FALSE())</f>
        <v>Consumer</v>
      </c>
      <c r="K319" s="1" t="n">
        <f aca="false">COUNTIFS(Orders!$B$2:$B$5876,H319,Orders!$H$2:$H$5876,"Completed")</f>
        <v>8</v>
      </c>
      <c r="L319" s="4" t="n">
        <f aca="false">SUMIFS(Orders!$I$2:$I$5876,Orders!$B$2:$B$5876,H319,Orders!$H$2:$H$5876,"Completed")</f>
        <v>7929.51</v>
      </c>
    </row>
    <row r="320" customFormat="false" ht="15" hidden="false" customHeight="true" outlineLevel="0" collapsed="false">
      <c r="H320" s="1" t="n">
        <v>309</v>
      </c>
      <c r="I320" s="1" t="str">
        <f aca="false">VLOOKUP(H320,Customers!$A$2:$G$501,2,FALSE())</f>
        <v>Daniel Jones</v>
      </c>
      <c r="J320" s="1" t="str">
        <f aca="false">VLOOKUP(H320,Customers!$A$2:$G$501,6,FALSE())</f>
        <v>Unknown</v>
      </c>
      <c r="K320" s="1" t="n">
        <f aca="false">COUNTIFS(Orders!$B$2:$B$5876,H320,Orders!$H$2:$H$5876,"Completed")</f>
        <v>15</v>
      </c>
      <c r="L320" s="4" t="n">
        <f aca="false">SUMIFS(Orders!$I$2:$I$5876,Orders!$B$2:$B$5876,H320,Orders!$H$2:$H$5876,"Completed")</f>
        <v>18806.15</v>
      </c>
    </row>
    <row r="321" customFormat="false" ht="15" hidden="false" customHeight="true" outlineLevel="0" collapsed="false">
      <c r="H321" s="1" t="n">
        <v>310</v>
      </c>
      <c r="I321" s="1" t="str">
        <f aca="false">VLOOKUP(H321,Customers!$A$2:$G$501,2,FALSE())</f>
        <v>John Smith</v>
      </c>
      <c r="J321" s="1" t="str">
        <f aca="false">VLOOKUP(H321,Customers!$A$2:$G$501,6,FALSE())</f>
        <v>Small Business</v>
      </c>
      <c r="K321" s="1" t="n">
        <f aca="false">COUNTIFS(Orders!$B$2:$B$5876,H321,Orders!$H$2:$H$5876,"Completed")</f>
        <v>12</v>
      </c>
      <c r="L321" s="4" t="n">
        <f aca="false">SUMIFS(Orders!$I$2:$I$5876,Orders!$B$2:$B$5876,H321,Orders!$H$2:$H$5876,"Completed")</f>
        <v>17432.84</v>
      </c>
    </row>
    <row r="322" customFormat="false" ht="15" hidden="false" customHeight="true" outlineLevel="0" collapsed="false">
      <c r="H322" s="1" t="n">
        <v>311</v>
      </c>
      <c r="I322" s="1" t="str">
        <f aca="false">VLOOKUP(H322,Customers!$A$2:$G$501,2,FALSE())</f>
        <v>Mark Wilson</v>
      </c>
      <c r="J322" s="1" t="str">
        <f aca="false">VLOOKUP(H322,Customers!$A$2:$G$501,6,FALSE())</f>
        <v>Consumer</v>
      </c>
      <c r="K322" s="1" t="n">
        <f aca="false">COUNTIFS(Orders!$B$2:$B$5876,H322,Orders!$H$2:$H$5876,"Completed")</f>
        <v>16</v>
      </c>
      <c r="L322" s="4" t="n">
        <f aca="false">SUMIFS(Orders!$I$2:$I$5876,Orders!$B$2:$B$5876,H322,Orders!$H$2:$H$5876,"Completed")</f>
        <v>22733.09</v>
      </c>
    </row>
    <row r="323" customFormat="false" ht="15" hidden="false" customHeight="true" outlineLevel="0" collapsed="false">
      <c r="H323" s="1" t="n">
        <v>312</v>
      </c>
      <c r="I323" s="1" t="str">
        <f aca="false">VLOOKUP(H323,Customers!$A$2:$G$501,2,FALSE())</f>
        <v>Susan Sanchez</v>
      </c>
      <c r="J323" s="1" t="str">
        <f aca="false">VLOOKUP(H323,Customers!$A$2:$G$501,6,FALSE())</f>
        <v>Small Business</v>
      </c>
      <c r="K323" s="1" t="n">
        <f aca="false">COUNTIFS(Orders!$B$2:$B$5876,H323,Orders!$H$2:$H$5876,"Completed")</f>
        <v>7</v>
      </c>
      <c r="L323" s="4" t="n">
        <f aca="false">SUMIFS(Orders!$I$2:$I$5876,Orders!$B$2:$B$5876,H323,Orders!$H$2:$H$5876,"Completed")</f>
        <v>11707.11</v>
      </c>
    </row>
    <row r="324" customFormat="false" ht="15" hidden="false" customHeight="true" outlineLevel="0" collapsed="false">
      <c r="H324" s="1" t="n">
        <v>313</v>
      </c>
      <c r="I324" s="1" t="str">
        <f aca="false">VLOOKUP(H324,Customers!$A$2:$G$501,2,FALSE())</f>
        <v>Margaret White</v>
      </c>
      <c r="J324" s="1" t="str">
        <f aca="false">VLOOKUP(H324,Customers!$A$2:$G$501,6,FALSE())</f>
        <v>Consumer</v>
      </c>
      <c r="K324" s="1" t="n">
        <f aca="false">COUNTIFS(Orders!$B$2:$B$5876,H324,Orders!$H$2:$H$5876,"Completed")</f>
        <v>13</v>
      </c>
      <c r="L324" s="4" t="n">
        <f aca="false">SUMIFS(Orders!$I$2:$I$5876,Orders!$B$2:$B$5876,H324,Orders!$H$2:$H$5876,"Completed")</f>
        <v>30139.05</v>
      </c>
    </row>
    <row r="325" customFormat="false" ht="15" hidden="false" customHeight="true" outlineLevel="0" collapsed="false">
      <c r="H325" s="1" t="n">
        <v>314</v>
      </c>
      <c r="I325" s="1" t="str">
        <f aca="false">VLOOKUP(H325,Customers!$A$2:$G$501,2,FALSE())</f>
        <v>Barbara Brown</v>
      </c>
      <c r="J325" s="1" t="str">
        <f aca="false">VLOOKUP(H325,Customers!$A$2:$G$501,6,FALSE())</f>
        <v>Small Business</v>
      </c>
      <c r="K325" s="1" t="n">
        <f aca="false">COUNTIFS(Orders!$B$2:$B$5876,H325,Orders!$H$2:$H$5876,"Completed")</f>
        <v>10</v>
      </c>
      <c r="L325" s="4" t="n">
        <f aca="false">SUMIFS(Orders!$I$2:$I$5876,Orders!$B$2:$B$5876,H325,Orders!$H$2:$H$5876,"Completed")</f>
        <v>11324.97</v>
      </c>
    </row>
    <row r="326" customFormat="false" ht="15" hidden="false" customHeight="true" outlineLevel="0" collapsed="false">
      <c r="H326" s="1" t="n">
        <v>315</v>
      </c>
      <c r="I326" s="1" t="str">
        <f aca="false">VLOOKUP(H326,Customers!$A$2:$G$501,2,FALSE())</f>
        <v>Thomas Garcia</v>
      </c>
      <c r="J326" s="1" t="str">
        <f aca="false">VLOOKUP(H326,Customers!$A$2:$G$501,6,FALSE())</f>
        <v>Consumer</v>
      </c>
      <c r="K326" s="1" t="n">
        <f aca="false">COUNTIFS(Orders!$B$2:$B$5876,H326,Orders!$H$2:$H$5876,"Completed")</f>
        <v>9</v>
      </c>
      <c r="L326" s="4" t="n">
        <f aca="false">SUMIFS(Orders!$I$2:$I$5876,Orders!$B$2:$B$5876,H326,Orders!$H$2:$H$5876,"Completed")</f>
        <v>10294.35</v>
      </c>
    </row>
    <row r="327" customFormat="false" ht="15" hidden="false" customHeight="true" outlineLevel="0" collapsed="false">
      <c r="H327" s="1" t="n">
        <v>316</v>
      </c>
      <c r="I327" s="1" t="str">
        <f aca="false">VLOOKUP(H327,Customers!$A$2:$G$501,2,FALSE())</f>
        <v>Margaret Rodriguez</v>
      </c>
      <c r="J327" s="1" t="str">
        <f aca="false">VLOOKUP(H327,Customers!$A$2:$G$501,6,FALSE())</f>
        <v>Small Business</v>
      </c>
      <c r="K327" s="1" t="n">
        <f aca="false">COUNTIFS(Orders!$B$2:$B$5876,H327,Orders!$H$2:$H$5876,"Completed")</f>
        <v>7</v>
      </c>
      <c r="L327" s="4" t="n">
        <f aca="false">SUMIFS(Orders!$I$2:$I$5876,Orders!$B$2:$B$5876,H327,Orders!$H$2:$H$5876,"Completed")</f>
        <v>6644.41</v>
      </c>
    </row>
    <row r="328" customFormat="false" ht="15" hidden="false" customHeight="true" outlineLevel="0" collapsed="false">
      <c r="H328" s="1" t="n">
        <v>317</v>
      </c>
      <c r="I328" s="1" t="str">
        <f aca="false">VLOOKUP(H328,Customers!$A$2:$G$501,2,FALSE())</f>
        <v>Valentina Ramirez</v>
      </c>
      <c r="J328" s="1" t="str">
        <f aca="false">VLOOKUP(H328,Customers!$A$2:$G$501,6,FALSE())</f>
        <v>Small Business</v>
      </c>
      <c r="K328" s="1" t="n">
        <f aca="false">COUNTIFS(Orders!$B$2:$B$5876,H328,Orders!$H$2:$H$5876,"Completed")</f>
        <v>8</v>
      </c>
      <c r="L328" s="4" t="n">
        <f aca="false">SUMIFS(Orders!$I$2:$I$5876,Orders!$B$2:$B$5876,H328,Orders!$H$2:$H$5876,"Completed")</f>
        <v>1773.51</v>
      </c>
    </row>
    <row r="329" customFormat="false" ht="15" hidden="false" customHeight="true" outlineLevel="0" collapsed="false">
      <c r="H329" s="1" t="n">
        <v>318</v>
      </c>
      <c r="I329" s="1" t="str">
        <f aca="false">VLOOKUP(H329,Customers!$A$2:$G$501,2,FALSE())</f>
        <v>Carlos Smith</v>
      </c>
      <c r="J329" s="1" t="str">
        <f aca="false">VLOOKUP(H329,Customers!$A$2:$G$501,6,FALSE())</f>
        <v>Consumer</v>
      </c>
      <c r="K329" s="1" t="n">
        <f aca="false">COUNTIFS(Orders!$B$2:$B$5876,H329,Orders!$H$2:$H$5876,"Completed")</f>
        <v>10</v>
      </c>
      <c r="L329" s="4" t="n">
        <f aca="false">SUMIFS(Orders!$I$2:$I$5876,Orders!$B$2:$B$5876,H329,Orders!$H$2:$H$5876,"Completed")</f>
        <v>15697.18</v>
      </c>
    </row>
    <row r="330" customFormat="false" ht="15" hidden="false" customHeight="true" outlineLevel="0" collapsed="false">
      <c r="H330" s="1" t="n">
        <v>319</v>
      </c>
      <c r="I330" s="1" t="str">
        <f aca="false">VLOOKUP(H330,Customers!$A$2:$G$501,2,FALSE())</f>
        <v>Mark Davis</v>
      </c>
      <c r="J330" s="1" t="str">
        <f aca="false">VLOOKUP(H330,Customers!$A$2:$G$501,6,FALSE())</f>
        <v>Corporate</v>
      </c>
      <c r="K330" s="1" t="n">
        <f aca="false">COUNTIFS(Orders!$B$2:$B$5876,H330,Orders!$H$2:$H$5876,"Completed")</f>
        <v>11</v>
      </c>
      <c r="L330" s="4" t="n">
        <f aca="false">SUMIFS(Orders!$I$2:$I$5876,Orders!$B$2:$B$5876,H330,Orders!$H$2:$H$5876,"Completed")</f>
        <v>15647.79</v>
      </c>
    </row>
    <row r="331" customFormat="false" ht="15" hidden="false" customHeight="true" outlineLevel="0" collapsed="false">
      <c r="H331" s="1" t="n">
        <v>320</v>
      </c>
      <c r="I331" s="1" t="str">
        <f aca="false">VLOOKUP(H331,Customers!$A$2:$G$501,2,FALSE())</f>
        <v>Patricia Garcia</v>
      </c>
      <c r="J331" s="1" t="str">
        <f aca="false">VLOOKUP(H331,Customers!$A$2:$G$501,6,FALSE())</f>
        <v>Corporate</v>
      </c>
      <c r="K331" s="1" t="n">
        <f aca="false">COUNTIFS(Orders!$B$2:$B$5876,H331,Orders!$H$2:$H$5876,"Completed")</f>
        <v>7</v>
      </c>
      <c r="L331" s="4" t="n">
        <f aca="false">SUMIFS(Orders!$I$2:$I$5876,Orders!$B$2:$B$5876,H331,Orders!$H$2:$H$5876,"Completed")</f>
        <v>14841.38</v>
      </c>
    </row>
    <row r="332" customFormat="false" ht="15" hidden="false" customHeight="true" outlineLevel="0" collapsed="false">
      <c r="H332" s="1" t="n">
        <v>321</v>
      </c>
      <c r="I332" s="1" t="str">
        <f aca="false">VLOOKUP(H332,Customers!$A$2:$G$501,2,FALSE())</f>
        <v>Karen Hernandez</v>
      </c>
      <c r="J332" s="1" t="str">
        <f aca="false">VLOOKUP(H332,Customers!$A$2:$G$501,6,FALSE())</f>
        <v>Small Business</v>
      </c>
      <c r="K332" s="1" t="n">
        <f aca="false">COUNTIFS(Orders!$B$2:$B$5876,H332,Orders!$H$2:$H$5876,"Completed")</f>
        <v>6</v>
      </c>
      <c r="L332" s="4" t="n">
        <f aca="false">SUMIFS(Orders!$I$2:$I$5876,Orders!$B$2:$B$5876,H332,Orders!$H$2:$H$5876,"Completed")</f>
        <v>7165.35</v>
      </c>
    </row>
    <row r="333" customFormat="false" ht="15" hidden="false" customHeight="true" outlineLevel="0" collapsed="false">
      <c r="H333" s="1" t="n">
        <v>322</v>
      </c>
      <c r="I333" s="1" t="str">
        <f aca="false">VLOOKUP(H333,Customers!$A$2:$G$501,2,FALSE())</f>
        <v>Camila Lopez</v>
      </c>
      <c r="J333" s="1" t="str">
        <f aca="false">VLOOKUP(H333,Customers!$A$2:$G$501,6,FALSE())</f>
        <v>Consumer</v>
      </c>
      <c r="K333" s="1" t="n">
        <f aca="false">COUNTIFS(Orders!$B$2:$B$5876,H333,Orders!$H$2:$H$5876,"Completed")</f>
        <v>13</v>
      </c>
      <c r="L333" s="4" t="n">
        <f aca="false">SUMIFS(Orders!$I$2:$I$5876,Orders!$B$2:$B$5876,H333,Orders!$H$2:$H$5876,"Completed")</f>
        <v>29610.07</v>
      </c>
    </row>
    <row r="334" customFormat="false" ht="15" hidden="false" customHeight="true" outlineLevel="0" collapsed="false">
      <c r="H334" s="1" t="n">
        <v>323</v>
      </c>
      <c r="I334" s="1" t="str">
        <f aca="false">VLOOKUP(H334,Customers!$A$2:$G$501,2,FALSE())</f>
        <v>Mark Smith</v>
      </c>
      <c r="J334" s="1" t="str">
        <f aca="false">VLOOKUP(H334,Customers!$A$2:$G$501,6,FALSE())</f>
        <v>Consumer</v>
      </c>
      <c r="K334" s="1" t="n">
        <f aca="false">COUNTIFS(Orders!$B$2:$B$5876,H334,Orders!$H$2:$H$5876,"Completed")</f>
        <v>11</v>
      </c>
      <c r="L334" s="4" t="n">
        <f aca="false">SUMIFS(Orders!$I$2:$I$5876,Orders!$B$2:$B$5876,H334,Orders!$H$2:$H$5876,"Completed")</f>
        <v>18640.39</v>
      </c>
    </row>
    <row r="335" customFormat="false" ht="15" hidden="false" customHeight="true" outlineLevel="0" collapsed="false">
      <c r="H335" s="1" t="n">
        <v>324</v>
      </c>
      <c r="I335" s="1" t="str">
        <f aca="false">VLOOKUP(H335,Customers!$A$2:$G$501,2,FALSE())</f>
        <v>Anthony Ramirez</v>
      </c>
      <c r="J335" s="1" t="str">
        <f aca="false">VLOOKUP(H335,Customers!$A$2:$G$501,6,FALSE())</f>
        <v>Consumer</v>
      </c>
      <c r="K335" s="1" t="n">
        <f aca="false">COUNTIFS(Orders!$B$2:$B$5876,H335,Orders!$H$2:$H$5876,"Completed")</f>
        <v>8</v>
      </c>
      <c r="L335" s="4" t="n">
        <f aca="false">SUMIFS(Orders!$I$2:$I$5876,Orders!$B$2:$B$5876,H335,Orders!$H$2:$H$5876,"Completed")</f>
        <v>10160.5</v>
      </c>
    </row>
    <row r="336" customFormat="false" ht="15" hidden="false" customHeight="true" outlineLevel="0" collapsed="false">
      <c r="H336" s="1" t="n">
        <v>325</v>
      </c>
      <c r="I336" s="1" t="str">
        <f aca="false">VLOOKUP(H336,Customers!$A$2:$G$501,2,FALSE())</f>
        <v>Jennifer Johnson</v>
      </c>
      <c r="J336" s="1" t="str">
        <f aca="false">VLOOKUP(H336,Customers!$A$2:$G$501,6,FALSE())</f>
        <v>Small Business</v>
      </c>
      <c r="K336" s="1" t="n">
        <f aca="false">COUNTIFS(Orders!$B$2:$B$5876,H336,Orders!$H$2:$H$5876,"Completed")</f>
        <v>15</v>
      </c>
      <c r="L336" s="4" t="n">
        <f aca="false">SUMIFS(Orders!$I$2:$I$5876,Orders!$B$2:$B$5876,H336,Orders!$H$2:$H$5876,"Completed")</f>
        <v>23831.63</v>
      </c>
    </row>
    <row r="337" customFormat="false" ht="15" hidden="false" customHeight="true" outlineLevel="0" collapsed="false">
      <c r="H337" s="1" t="n">
        <v>326</v>
      </c>
      <c r="I337" s="1" t="str">
        <f aca="false">VLOOKUP(H337,Customers!$A$2:$G$501,2,FALSE())</f>
        <v>William Lee</v>
      </c>
      <c r="J337" s="1" t="str">
        <f aca="false">VLOOKUP(H337,Customers!$A$2:$G$501,6,FALSE())</f>
        <v>Corporate</v>
      </c>
      <c r="K337" s="1" t="n">
        <f aca="false">COUNTIFS(Orders!$B$2:$B$5876,H337,Orders!$H$2:$H$5876,"Completed")</f>
        <v>10</v>
      </c>
      <c r="L337" s="4" t="n">
        <f aca="false">SUMIFS(Orders!$I$2:$I$5876,Orders!$B$2:$B$5876,H337,Orders!$H$2:$H$5876,"Completed")</f>
        <v>23261.54</v>
      </c>
    </row>
    <row r="338" customFormat="false" ht="15" hidden="false" customHeight="true" outlineLevel="0" collapsed="false">
      <c r="H338" s="1" t="n">
        <v>327</v>
      </c>
      <c r="I338" s="1" t="str">
        <f aca="false">VLOOKUP(H338,Customers!$A$2:$G$501,2,FALSE())</f>
        <v>Daniel Robinson</v>
      </c>
      <c r="J338" s="1" t="str">
        <f aca="false">VLOOKUP(H338,Customers!$A$2:$G$501,6,FALSE())</f>
        <v>Consumer</v>
      </c>
      <c r="K338" s="1" t="n">
        <f aca="false">COUNTIFS(Orders!$B$2:$B$5876,H338,Orders!$H$2:$H$5876,"Completed")</f>
        <v>9</v>
      </c>
      <c r="L338" s="4" t="n">
        <f aca="false">SUMIFS(Orders!$I$2:$I$5876,Orders!$B$2:$B$5876,H338,Orders!$H$2:$H$5876,"Completed")</f>
        <v>12673.39</v>
      </c>
    </row>
    <row r="339" customFormat="false" ht="15" hidden="false" customHeight="true" outlineLevel="0" collapsed="false">
      <c r="H339" s="1" t="n">
        <v>328</v>
      </c>
      <c r="I339" s="1" t="str">
        <f aca="false">VLOOKUP(H339,Customers!$A$2:$G$501,2,FALSE())</f>
        <v>Mariana Brown</v>
      </c>
      <c r="J339" s="1" t="str">
        <f aca="false">VLOOKUP(H339,Customers!$A$2:$G$501,6,FALSE())</f>
        <v>Consumer</v>
      </c>
      <c r="K339" s="1" t="n">
        <f aca="false">COUNTIFS(Orders!$B$2:$B$5876,H339,Orders!$H$2:$H$5876,"Completed")</f>
        <v>11</v>
      </c>
      <c r="L339" s="4" t="n">
        <f aca="false">SUMIFS(Orders!$I$2:$I$5876,Orders!$B$2:$B$5876,H339,Orders!$H$2:$H$5876,"Completed")</f>
        <v>9850.28</v>
      </c>
    </row>
    <row r="340" customFormat="false" ht="15" hidden="false" customHeight="true" outlineLevel="0" collapsed="false">
      <c r="H340" s="1" t="n">
        <v>329</v>
      </c>
      <c r="I340" s="1" t="str">
        <f aca="false">VLOOKUP(H340,Customers!$A$2:$G$501,2,FALSE())</f>
        <v>Camila Rodriguez</v>
      </c>
      <c r="J340" s="1" t="str">
        <f aca="false">VLOOKUP(H340,Customers!$A$2:$G$501,6,FALSE())</f>
        <v>Consumer</v>
      </c>
      <c r="K340" s="1" t="n">
        <f aca="false">COUNTIFS(Orders!$B$2:$B$5876,H340,Orders!$H$2:$H$5876,"Completed")</f>
        <v>10</v>
      </c>
      <c r="L340" s="4" t="n">
        <f aca="false">SUMIFS(Orders!$I$2:$I$5876,Orders!$B$2:$B$5876,H340,Orders!$H$2:$H$5876,"Completed")</f>
        <v>15478.09</v>
      </c>
    </row>
    <row r="341" customFormat="false" ht="15" hidden="false" customHeight="true" outlineLevel="0" collapsed="false">
      <c r="H341" s="1" t="n">
        <v>330</v>
      </c>
      <c r="I341" s="1" t="str">
        <f aca="false">VLOOKUP(H341,Customers!$A$2:$G$501,2,FALSE())</f>
        <v>Daniel Jones</v>
      </c>
      <c r="J341" s="1" t="str">
        <f aca="false">VLOOKUP(H341,Customers!$A$2:$G$501,6,FALSE())</f>
        <v>Corporate</v>
      </c>
      <c r="K341" s="1" t="n">
        <f aca="false">COUNTIFS(Orders!$B$2:$B$5876,H341,Orders!$H$2:$H$5876,"Completed")</f>
        <v>5</v>
      </c>
      <c r="L341" s="4" t="n">
        <f aca="false">SUMIFS(Orders!$I$2:$I$5876,Orders!$B$2:$B$5876,H341,Orders!$H$2:$H$5876,"Completed")</f>
        <v>6601.1</v>
      </c>
    </row>
    <row r="342" customFormat="false" ht="15" hidden="false" customHeight="true" outlineLevel="0" collapsed="false">
      <c r="H342" s="1" t="n">
        <v>331</v>
      </c>
      <c r="I342" s="1" t="str">
        <f aca="false">VLOOKUP(H342,Customers!$A$2:$G$501,2,FALSE())</f>
        <v>Barbara Smith</v>
      </c>
      <c r="J342" s="1" t="str">
        <f aca="false">VLOOKUP(H342,Customers!$A$2:$G$501,6,FALSE())</f>
        <v>Consumer</v>
      </c>
      <c r="K342" s="1" t="n">
        <f aca="false">COUNTIFS(Orders!$B$2:$B$5876,H342,Orders!$H$2:$H$5876,"Completed")</f>
        <v>10</v>
      </c>
      <c r="L342" s="4" t="n">
        <f aca="false">SUMIFS(Orders!$I$2:$I$5876,Orders!$B$2:$B$5876,H342,Orders!$H$2:$H$5876,"Completed")</f>
        <v>10179.17</v>
      </c>
    </row>
    <row r="343" customFormat="false" ht="15" hidden="false" customHeight="true" outlineLevel="0" collapsed="false">
      <c r="H343" s="1" t="n">
        <v>332</v>
      </c>
      <c r="I343" s="1" t="str">
        <f aca="false">VLOOKUP(H343,Customers!$A$2:$G$501,2,FALSE())</f>
        <v>Patricia Clark</v>
      </c>
      <c r="J343" s="1" t="str">
        <f aca="false">VLOOKUP(H343,Customers!$A$2:$G$501,6,FALSE())</f>
        <v>Consumer</v>
      </c>
      <c r="K343" s="1" t="n">
        <f aca="false">COUNTIFS(Orders!$B$2:$B$5876,H343,Orders!$H$2:$H$5876,"Completed")</f>
        <v>10</v>
      </c>
      <c r="L343" s="4" t="n">
        <f aca="false">SUMIFS(Orders!$I$2:$I$5876,Orders!$B$2:$B$5876,H343,Orders!$H$2:$H$5876,"Completed")</f>
        <v>11906</v>
      </c>
    </row>
    <row r="344" customFormat="false" ht="15" hidden="false" customHeight="true" outlineLevel="0" collapsed="false">
      <c r="H344" s="1" t="n">
        <v>333</v>
      </c>
      <c r="I344" s="1" t="str">
        <f aca="false">VLOOKUP(H344,Customers!$A$2:$G$501,2,FALSE())</f>
        <v>Thomas Robinson</v>
      </c>
      <c r="J344" s="1" t="str">
        <f aca="false">VLOOKUP(H344,Customers!$A$2:$G$501,6,FALSE())</f>
        <v>Consumer</v>
      </c>
      <c r="K344" s="1" t="n">
        <f aca="false">COUNTIFS(Orders!$B$2:$B$5876,H344,Orders!$H$2:$H$5876,"Completed")</f>
        <v>4</v>
      </c>
      <c r="L344" s="4" t="n">
        <f aca="false">SUMIFS(Orders!$I$2:$I$5876,Orders!$B$2:$B$5876,H344,Orders!$H$2:$H$5876,"Completed")</f>
        <v>2758.98</v>
      </c>
    </row>
    <row r="345" customFormat="false" ht="15" hidden="false" customHeight="true" outlineLevel="0" collapsed="false">
      <c r="H345" s="1" t="n">
        <v>334</v>
      </c>
      <c r="I345" s="1" t="str">
        <f aca="false">VLOOKUP(H345,Customers!$A$2:$G$501,2,FALSE())</f>
        <v>Nancy Brown</v>
      </c>
      <c r="J345" s="1" t="str">
        <f aca="false">VLOOKUP(H345,Customers!$A$2:$G$501,6,FALSE())</f>
        <v>Unknown</v>
      </c>
      <c r="K345" s="1" t="n">
        <f aca="false">COUNTIFS(Orders!$B$2:$B$5876,H345,Orders!$H$2:$H$5876,"Completed")</f>
        <v>12</v>
      </c>
      <c r="L345" s="4" t="n">
        <f aca="false">SUMIFS(Orders!$I$2:$I$5876,Orders!$B$2:$B$5876,H345,Orders!$H$2:$H$5876,"Completed")</f>
        <v>21530.72</v>
      </c>
    </row>
    <row r="346" customFormat="false" ht="15" hidden="false" customHeight="true" outlineLevel="0" collapsed="false">
      <c r="H346" s="1" t="n">
        <v>335</v>
      </c>
      <c r="I346" s="1" t="str">
        <f aca="false">VLOOKUP(H346,Customers!$A$2:$G$501,2,FALSE())</f>
        <v>Margaret Garcia</v>
      </c>
      <c r="J346" s="1" t="str">
        <f aca="false">VLOOKUP(H346,Customers!$A$2:$G$501,6,FALSE())</f>
        <v>Small Business</v>
      </c>
      <c r="K346" s="1" t="n">
        <f aca="false">COUNTIFS(Orders!$B$2:$B$5876,H346,Orders!$H$2:$H$5876,"Completed")</f>
        <v>13</v>
      </c>
      <c r="L346" s="4" t="n">
        <f aca="false">SUMIFS(Orders!$I$2:$I$5876,Orders!$B$2:$B$5876,H346,Orders!$H$2:$H$5876,"Completed")</f>
        <v>15948.62</v>
      </c>
    </row>
    <row r="347" customFormat="false" ht="15" hidden="false" customHeight="true" outlineLevel="0" collapsed="false">
      <c r="H347" s="1" t="n">
        <v>336</v>
      </c>
      <c r="I347" s="1" t="str">
        <f aca="false">VLOOKUP(H347,Customers!$A$2:$G$501,2,FALSE())</f>
        <v>Jessica Lee</v>
      </c>
      <c r="J347" s="1" t="str">
        <f aca="false">VLOOKUP(H347,Customers!$A$2:$G$501,6,FALSE())</f>
        <v>Consumer</v>
      </c>
      <c r="K347" s="1" t="n">
        <f aca="false">COUNTIFS(Orders!$B$2:$B$5876,H347,Orders!$H$2:$H$5876,"Completed")</f>
        <v>6</v>
      </c>
      <c r="L347" s="4" t="n">
        <f aca="false">SUMIFS(Orders!$I$2:$I$5876,Orders!$B$2:$B$5876,H347,Orders!$H$2:$H$5876,"Completed")</f>
        <v>8509.16</v>
      </c>
    </row>
    <row r="348" customFormat="false" ht="15" hidden="false" customHeight="true" outlineLevel="0" collapsed="false">
      <c r="H348" s="1" t="n">
        <v>337</v>
      </c>
      <c r="I348" s="1" t="str">
        <f aca="false">VLOOKUP(H348,Customers!$A$2:$G$501,2,FALSE())</f>
        <v>Sofia Davis</v>
      </c>
      <c r="J348" s="1" t="str">
        <f aca="false">VLOOKUP(H348,Customers!$A$2:$G$501,6,FALSE())</f>
        <v>Corporate</v>
      </c>
      <c r="K348" s="1" t="n">
        <f aca="false">COUNTIFS(Orders!$B$2:$B$5876,H348,Orders!$H$2:$H$5876,"Completed")</f>
        <v>5</v>
      </c>
      <c r="L348" s="4" t="n">
        <f aca="false">SUMIFS(Orders!$I$2:$I$5876,Orders!$B$2:$B$5876,H348,Orders!$H$2:$H$5876,"Completed")</f>
        <v>5961.82</v>
      </c>
    </row>
    <row r="349" customFormat="false" ht="15" hidden="false" customHeight="true" outlineLevel="0" collapsed="false">
      <c r="H349" s="1" t="n">
        <v>338</v>
      </c>
      <c r="I349" s="1" t="str">
        <f aca="false">VLOOKUP(H349,Customers!$A$2:$G$501,2,FALSE())</f>
        <v>Diego Taylor</v>
      </c>
      <c r="J349" s="1" t="str">
        <f aca="false">VLOOKUP(H349,Customers!$A$2:$G$501,6,FALSE())</f>
        <v>Corporate</v>
      </c>
      <c r="K349" s="1" t="n">
        <f aca="false">COUNTIFS(Orders!$B$2:$B$5876,H349,Orders!$H$2:$H$5876,"Completed")</f>
        <v>23</v>
      </c>
      <c r="L349" s="4" t="n">
        <f aca="false">SUMIFS(Orders!$I$2:$I$5876,Orders!$B$2:$B$5876,H349,Orders!$H$2:$H$5876,"Completed")</f>
        <v>25652.18</v>
      </c>
    </row>
    <row r="350" customFormat="false" ht="15" hidden="false" customHeight="true" outlineLevel="0" collapsed="false">
      <c r="H350" s="1" t="n">
        <v>339</v>
      </c>
      <c r="I350" s="1" t="str">
        <f aca="false">VLOOKUP(H350,Customers!$A$2:$G$501,2,FALSE())</f>
        <v>Andres Taylor</v>
      </c>
      <c r="J350" s="1" t="str">
        <f aca="false">VLOOKUP(H350,Customers!$A$2:$G$501,6,FALSE())</f>
        <v>Corporate</v>
      </c>
      <c r="K350" s="1" t="n">
        <f aca="false">COUNTIFS(Orders!$B$2:$B$5876,H350,Orders!$H$2:$H$5876,"Completed")</f>
        <v>13</v>
      </c>
      <c r="L350" s="4" t="n">
        <f aca="false">SUMIFS(Orders!$I$2:$I$5876,Orders!$B$2:$B$5876,H350,Orders!$H$2:$H$5876,"Completed")</f>
        <v>17722.9</v>
      </c>
    </row>
    <row r="351" customFormat="false" ht="15" hidden="false" customHeight="true" outlineLevel="0" collapsed="false">
      <c r="H351" s="1" t="n">
        <v>340</v>
      </c>
      <c r="I351" s="1" t="str">
        <f aca="false">VLOOKUP(H351,Customers!$A$2:$G$501,2,FALSE())</f>
        <v>Patricia Harris</v>
      </c>
      <c r="J351" s="1" t="str">
        <f aca="false">VLOOKUP(H351,Customers!$A$2:$G$501,6,FALSE())</f>
        <v>Consumer</v>
      </c>
      <c r="K351" s="1" t="n">
        <f aca="false">COUNTIFS(Orders!$B$2:$B$5876,H351,Orders!$H$2:$H$5876,"Completed")</f>
        <v>13</v>
      </c>
      <c r="L351" s="4" t="n">
        <f aca="false">SUMIFS(Orders!$I$2:$I$5876,Orders!$B$2:$B$5876,H351,Orders!$H$2:$H$5876,"Completed")</f>
        <v>21190.17</v>
      </c>
    </row>
    <row r="352" customFormat="false" ht="15" hidden="false" customHeight="true" outlineLevel="0" collapsed="false">
      <c r="H352" s="1" t="n">
        <v>341</v>
      </c>
      <c r="I352" s="1" t="str">
        <f aca="false">VLOOKUP(H352,Customers!$A$2:$G$501,2,FALSE())</f>
        <v>Mariana Hernandez</v>
      </c>
      <c r="J352" s="1" t="str">
        <f aca="false">VLOOKUP(H352,Customers!$A$2:$G$501,6,FALSE())</f>
        <v>Small Business</v>
      </c>
      <c r="K352" s="1" t="n">
        <f aca="false">COUNTIFS(Orders!$B$2:$B$5876,H352,Orders!$H$2:$H$5876,"Completed")</f>
        <v>13</v>
      </c>
      <c r="L352" s="4" t="n">
        <f aca="false">SUMIFS(Orders!$I$2:$I$5876,Orders!$B$2:$B$5876,H352,Orders!$H$2:$H$5876,"Completed")</f>
        <v>18518.43</v>
      </c>
    </row>
    <row r="353" customFormat="false" ht="15" hidden="false" customHeight="true" outlineLevel="0" collapsed="false">
      <c r="H353" s="1" t="n">
        <v>342</v>
      </c>
      <c r="I353" s="1" t="str">
        <f aca="false">VLOOKUP(H353,Customers!$A$2:$G$501,2,FALSE())</f>
        <v>Valentina Moore</v>
      </c>
      <c r="J353" s="1" t="str">
        <f aca="false">VLOOKUP(H353,Customers!$A$2:$G$501,6,FALSE())</f>
        <v>Small Business</v>
      </c>
      <c r="K353" s="1" t="n">
        <f aca="false">COUNTIFS(Orders!$B$2:$B$5876,H353,Orders!$H$2:$H$5876,"Completed")</f>
        <v>16</v>
      </c>
      <c r="L353" s="4" t="n">
        <f aca="false">SUMIFS(Orders!$I$2:$I$5876,Orders!$B$2:$B$5876,H353,Orders!$H$2:$H$5876,"Completed")</f>
        <v>38263.17</v>
      </c>
    </row>
    <row r="354" customFormat="false" ht="15" hidden="false" customHeight="true" outlineLevel="0" collapsed="false">
      <c r="H354" s="1" t="n">
        <v>343</v>
      </c>
      <c r="I354" s="1" t="str">
        <f aca="false">VLOOKUP(H354,Customers!$A$2:$G$501,2,FALSE())</f>
        <v>Nancy Robinson</v>
      </c>
      <c r="J354" s="1" t="str">
        <f aca="false">VLOOKUP(H354,Customers!$A$2:$G$501,6,FALSE())</f>
        <v>Unknown</v>
      </c>
      <c r="K354" s="1" t="n">
        <f aca="false">COUNTIFS(Orders!$B$2:$B$5876,H354,Orders!$H$2:$H$5876,"Completed")</f>
        <v>10</v>
      </c>
      <c r="L354" s="4" t="n">
        <f aca="false">SUMIFS(Orders!$I$2:$I$5876,Orders!$B$2:$B$5876,H354,Orders!$H$2:$H$5876,"Completed")</f>
        <v>15216.05</v>
      </c>
    </row>
    <row r="355" customFormat="false" ht="15" hidden="false" customHeight="true" outlineLevel="0" collapsed="false">
      <c r="H355" s="1" t="n">
        <v>344</v>
      </c>
      <c r="I355" s="1" t="str">
        <f aca="false">VLOOKUP(H355,Customers!$A$2:$G$501,2,FALSE())</f>
        <v>Mariana Thompson</v>
      </c>
      <c r="J355" s="1" t="str">
        <f aca="false">VLOOKUP(H355,Customers!$A$2:$G$501,6,FALSE())</f>
        <v>Small Business</v>
      </c>
      <c r="K355" s="1" t="n">
        <f aca="false">COUNTIFS(Orders!$B$2:$B$5876,H355,Orders!$H$2:$H$5876,"Completed")</f>
        <v>7</v>
      </c>
      <c r="L355" s="4" t="n">
        <f aca="false">SUMIFS(Orders!$I$2:$I$5876,Orders!$B$2:$B$5876,H355,Orders!$H$2:$H$5876,"Completed")</f>
        <v>9091.69</v>
      </c>
    </row>
    <row r="356" customFormat="false" ht="15" hidden="false" customHeight="true" outlineLevel="0" collapsed="false">
      <c r="H356" s="1" t="n">
        <v>345</v>
      </c>
      <c r="I356" s="1" t="str">
        <f aca="false">VLOOKUP(H356,Customers!$A$2:$G$501,2,FALSE())</f>
        <v>Michael Hernandez</v>
      </c>
      <c r="J356" s="1" t="str">
        <f aca="false">VLOOKUP(H356,Customers!$A$2:$G$501,6,FALSE())</f>
        <v>Corporate</v>
      </c>
      <c r="K356" s="1" t="n">
        <f aca="false">COUNTIFS(Orders!$B$2:$B$5876,H356,Orders!$H$2:$H$5876,"Completed")</f>
        <v>8</v>
      </c>
      <c r="L356" s="4" t="n">
        <f aca="false">SUMIFS(Orders!$I$2:$I$5876,Orders!$B$2:$B$5876,H356,Orders!$H$2:$H$5876,"Completed")</f>
        <v>13722.63</v>
      </c>
    </row>
    <row r="357" customFormat="false" ht="15" hidden="false" customHeight="true" outlineLevel="0" collapsed="false">
      <c r="H357" s="1" t="n">
        <v>346</v>
      </c>
      <c r="I357" s="1" t="str">
        <f aca="false">VLOOKUP(H357,Customers!$A$2:$G$501,2,FALSE())</f>
        <v>Barbara Thompson</v>
      </c>
      <c r="J357" s="1" t="str">
        <f aca="false">VLOOKUP(H357,Customers!$A$2:$G$501,6,FALSE())</f>
        <v>Consumer</v>
      </c>
      <c r="K357" s="1" t="n">
        <f aca="false">COUNTIFS(Orders!$B$2:$B$5876,H357,Orders!$H$2:$H$5876,"Completed")</f>
        <v>10</v>
      </c>
      <c r="L357" s="4" t="n">
        <f aca="false">SUMIFS(Orders!$I$2:$I$5876,Orders!$B$2:$B$5876,H357,Orders!$H$2:$H$5876,"Completed")</f>
        <v>14484.54</v>
      </c>
    </row>
    <row r="358" customFormat="false" ht="15" hidden="false" customHeight="true" outlineLevel="0" collapsed="false">
      <c r="H358" s="1" t="n">
        <v>347</v>
      </c>
      <c r="I358" s="1" t="str">
        <f aca="false">VLOOKUP(H358,Customers!$A$2:$G$501,2,FALSE())</f>
        <v>Charles Jones</v>
      </c>
      <c r="J358" s="1" t="str">
        <f aca="false">VLOOKUP(H358,Customers!$A$2:$G$501,6,FALSE())</f>
        <v>Small Business</v>
      </c>
      <c r="K358" s="1" t="n">
        <f aca="false">COUNTIFS(Orders!$B$2:$B$5876,H358,Orders!$H$2:$H$5876,"Completed")</f>
        <v>9</v>
      </c>
      <c r="L358" s="4" t="n">
        <f aca="false">SUMIFS(Orders!$I$2:$I$5876,Orders!$B$2:$B$5876,H358,Orders!$H$2:$H$5876,"Completed")</f>
        <v>11085.11</v>
      </c>
    </row>
    <row r="359" customFormat="false" ht="15" hidden="false" customHeight="true" outlineLevel="0" collapsed="false">
      <c r="H359" s="1" t="n">
        <v>348</v>
      </c>
      <c r="I359" s="1" t="str">
        <f aca="false">VLOOKUP(H359,Customers!$A$2:$G$501,2,FALSE())</f>
        <v>Miguel Hernandez</v>
      </c>
      <c r="J359" s="1" t="str">
        <f aca="false">VLOOKUP(H359,Customers!$A$2:$G$501,6,FALSE())</f>
        <v>Consumer</v>
      </c>
      <c r="K359" s="1" t="n">
        <f aca="false">COUNTIFS(Orders!$B$2:$B$5876,H359,Orders!$H$2:$H$5876,"Completed")</f>
        <v>8</v>
      </c>
      <c r="L359" s="4" t="n">
        <f aca="false">SUMIFS(Orders!$I$2:$I$5876,Orders!$B$2:$B$5876,H359,Orders!$H$2:$H$5876,"Completed")</f>
        <v>13847.46</v>
      </c>
    </row>
    <row r="360" customFormat="false" ht="15" hidden="false" customHeight="true" outlineLevel="0" collapsed="false">
      <c r="H360" s="1" t="n">
        <v>349</v>
      </c>
      <c r="I360" s="1" t="str">
        <f aca="false">VLOOKUP(H360,Customers!$A$2:$G$501,2,FALSE())</f>
        <v>Daniel Garcia</v>
      </c>
      <c r="J360" s="1" t="str">
        <f aca="false">VLOOKUP(H360,Customers!$A$2:$G$501,6,FALSE())</f>
        <v>Consumer</v>
      </c>
      <c r="K360" s="1" t="n">
        <f aca="false">COUNTIFS(Orders!$B$2:$B$5876,H360,Orders!$H$2:$H$5876,"Completed")</f>
        <v>8</v>
      </c>
      <c r="L360" s="4" t="n">
        <f aca="false">SUMIFS(Orders!$I$2:$I$5876,Orders!$B$2:$B$5876,H360,Orders!$H$2:$H$5876,"Completed")</f>
        <v>15682.98</v>
      </c>
    </row>
    <row r="361" customFormat="false" ht="15" hidden="false" customHeight="true" outlineLevel="0" collapsed="false">
      <c r="H361" s="1" t="n">
        <v>350</v>
      </c>
      <c r="I361" s="1" t="str">
        <f aca="false">VLOOKUP(H361,Customers!$A$2:$G$501,2,FALSE())</f>
        <v>John Lopez</v>
      </c>
      <c r="J361" s="1" t="str">
        <f aca="false">VLOOKUP(H361,Customers!$A$2:$G$501,6,FALSE())</f>
        <v>Consumer</v>
      </c>
      <c r="K361" s="1" t="n">
        <f aca="false">COUNTIFS(Orders!$B$2:$B$5876,H361,Orders!$H$2:$H$5876,"Completed")</f>
        <v>11</v>
      </c>
      <c r="L361" s="4" t="n">
        <f aca="false">SUMIFS(Orders!$I$2:$I$5876,Orders!$B$2:$B$5876,H361,Orders!$H$2:$H$5876,"Completed")</f>
        <v>20227.35</v>
      </c>
    </row>
    <row r="362" customFormat="false" ht="15" hidden="false" customHeight="true" outlineLevel="0" collapsed="false">
      <c r="H362" s="1" t="n">
        <v>351</v>
      </c>
      <c r="I362" s="1" t="str">
        <f aca="false">VLOOKUP(H362,Customers!$A$2:$G$501,2,FALSE())</f>
        <v>Valentina Lewis</v>
      </c>
      <c r="J362" s="1" t="str">
        <f aca="false">VLOOKUP(H362,Customers!$A$2:$G$501,6,FALSE())</f>
        <v>Small Business</v>
      </c>
      <c r="K362" s="1" t="n">
        <f aca="false">COUNTIFS(Orders!$B$2:$B$5876,H362,Orders!$H$2:$H$5876,"Completed")</f>
        <v>14</v>
      </c>
      <c r="L362" s="4" t="n">
        <f aca="false">SUMIFS(Orders!$I$2:$I$5876,Orders!$B$2:$B$5876,H362,Orders!$H$2:$H$5876,"Completed")</f>
        <v>15967.92</v>
      </c>
    </row>
    <row r="363" customFormat="false" ht="15" hidden="false" customHeight="true" outlineLevel="0" collapsed="false">
      <c r="H363" s="1" t="n">
        <v>352</v>
      </c>
      <c r="I363" s="1" t="str">
        <f aca="false">VLOOKUP(H363,Customers!$A$2:$G$501,2,FALSE())</f>
        <v>Joseph Garcia</v>
      </c>
      <c r="J363" s="1" t="str">
        <f aca="false">VLOOKUP(H363,Customers!$A$2:$G$501,6,FALSE())</f>
        <v>Corporate</v>
      </c>
      <c r="K363" s="1" t="n">
        <f aca="false">COUNTIFS(Orders!$B$2:$B$5876,H363,Orders!$H$2:$H$5876,"Completed")</f>
        <v>11</v>
      </c>
      <c r="L363" s="4" t="n">
        <f aca="false">SUMIFS(Orders!$I$2:$I$5876,Orders!$B$2:$B$5876,H363,Orders!$H$2:$H$5876,"Completed")</f>
        <v>13673.34</v>
      </c>
    </row>
    <row r="364" customFormat="false" ht="15" hidden="false" customHeight="true" outlineLevel="0" collapsed="false">
      <c r="H364" s="1" t="n">
        <v>353</v>
      </c>
      <c r="I364" s="1" t="str">
        <f aca="false">VLOOKUP(H364,Customers!$A$2:$G$501,2,FALSE())</f>
        <v>John Hernandez</v>
      </c>
      <c r="J364" s="1" t="str">
        <f aca="false">VLOOKUP(H364,Customers!$A$2:$G$501,6,FALSE())</f>
        <v>Corporate</v>
      </c>
      <c r="K364" s="1" t="n">
        <f aca="false">COUNTIFS(Orders!$B$2:$B$5876,H364,Orders!$H$2:$H$5876,"Completed")</f>
        <v>12</v>
      </c>
      <c r="L364" s="4" t="n">
        <f aca="false">SUMIFS(Orders!$I$2:$I$5876,Orders!$B$2:$B$5876,H364,Orders!$H$2:$H$5876,"Completed")</f>
        <v>15522.51</v>
      </c>
    </row>
    <row r="365" customFormat="false" ht="15" hidden="false" customHeight="true" outlineLevel="0" collapsed="false">
      <c r="H365" s="1" t="n">
        <v>354</v>
      </c>
      <c r="I365" s="1" t="str">
        <f aca="false">VLOOKUP(H365,Customers!$A$2:$G$501,2,FALSE())</f>
        <v>Laura Lewis</v>
      </c>
      <c r="J365" s="1" t="str">
        <f aca="false">VLOOKUP(H365,Customers!$A$2:$G$501,6,FALSE())</f>
        <v>Consumer</v>
      </c>
      <c r="K365" s="1" t="n">
        <f aca="false">COUNTIFS(Orders!$B$2:$B$5876,H365,Orders!$H$2:$H$5876,"Completed")</f>
        <v>16</v>
      </c>
      <c r="L365" s="4" t="n">
        <f aca="false">SUMIFS(Orders!$I$2:$I$5876,Orders!$B$2:$B$5876,H365,Orders!$H$2:$H$5876,"Completed")</f>
        <v>20311.21</v>
      </c>
    </row>
    <row r="366" customFormat="false" ht="15" hidden="false" customHeight="true" outlineLevel="0" collapsed="false">
      <c r="H366" s="1" t="n">
        <v>355</v>
      </c>
      <c r="I366" s="1" t="str">
        <f aca="false">VLOOKUP(H366,Customers!$A$2:$G$501,2,FALSE())</f>
        <v>Nancy Miller</v>
      </c>
      <c r="J366" s="1" t="str">
        <f aca="false">VLOOKUP(H366,Customers!$A$2:$G$501,6,FALSE())</f>
        <v>Corporate</v>
      </c>
      <c r="K366" s="1" t="n">
        <f aca="false">COUNTIFS(Orders!$B$2:$B$5876,H366,Orders!$H$2:$H$5876,"Completed")</f>
        <v>9</v>
      </c>
      <c r="L366" s="4" t="n">
        <f aca="false">SUMIFS(Orders!$I$2:$I$5876,Orders!$B$2:$B$5876,H366,Orders!$H$2:$H$5876,"Completed")</f>
        <v>13155.16</v>
      </c>
    </row>
    <row r="367" customFormat="false" ht="15" hidden="false" customHeight="true" outlineLevel="0" collapsed="false">
      <c r="H367" s="1" t="n">
        <v>356</v>
      </c>
      <c r="I367" s="1" t="str">
        <f aca="false">VLOOKUP(H367,Customers!$A$2:$G$501,2,FALSE())</f>
        <v>Michael Johnson</v>
      </c>
      <c r="J367" s="1" t="str">
        <f aca="false">VLOOKUP(H367,Customers!$A$2:$G$501,6,FALSE())</f>
        <v>Consumer</v>
      </c>
      <c r="K367" s="1" t="n">
        <f aca="false">COUNTIFS(Orders!$B$2:$B$5876,H367,Orders!$H$2:$H$5876,"Completed")</f>
        <v>12</v>
      </c>
      <c r="L367" s="4" t="n">
        <f aca="false">SUMIFS(Orders!$I$2:$I$5876,Orders!$B$2:$B$5876,H367,Orders!$H$2:$H$5876,"Completed")</f>
        <v>13844.38</v>
      </c>
    </row>
    <row r="368" customFormat="false" ht="15" hidden="false" customHeight="true" outlineLevel="0" collapsed="false">
      <c r="H368" s="1" t="n">
        <v>357</v>
      </c>
      <c r="I368" s="1" t="str">
        <f aca="false">VLOOKUP(H368,Customers!$A$2:$G$501,2,FALSE())</f>
        <v>Miguel Thomas</v>
      </c>
      <c r="J368" s="1" t="str">
        <f aca="false">VLOOKUP(H368,Customers!$A$2:$G$501,6,FALSE())</f>
        <v>Consumer</v>
      </c>
      <c r="K368" s="1" t="n">
        <f aca="false">COUNTIFS(Orders!$B$2:$B$5876,H368,Orders!$H$2:$H$5876,"Completed")</f>
        <v>9</v>
      </c>
      <c r="L368" s="4" t="n">
        <f aca="false">SUMIFS(Orders!$I$2:$I$5876,Orders!$B$2:$B$5876,H368,Orders!$H$2:$H$5876,"Completed")</f>
        <v>16295.08</v>
      </c>
    </row>
    <row r="369" customFormat="false" ht="15" hidden="false" customHeight="true" outlineLevel="0" collapsed="false">
      <c r="H369" s="1" t="n">
        <v>358</v>
      </c>
      <c r="I369" s="1" t="str">
        <f aca="false">VLOOKUP(H369,Customers!$A$2:$G$501,2,FALSE())</f>
        <v>Betty Thomas</v>
      </c>
      <c r="J369" s="1" t="str">
        <f aca="false">VLOOKUP(H369,Customers!$A$2:$G$501,6,FALSE())</f>
        <v>Corporate</v>
      </c>
      <c r="K369" s="1" t="n">
        <f aca="false">COUNTIFS(Orders!$B$2:$B$5876,H369,Orders!$H$2:$H$5876,"Completed")</f>
        <v>12</v>
      </c>
      <c r="L369" s="4" t="n">
        <f aca="false">SUMIFS(Orders!$I$2:$I$5876,Orders!$B$2:$B$5876,H369,Orders!$H$2:$H$5876,"Completed")</f>
        <v>10470.83</v>
      </c>
    </row>
    <row r="370" customFormat="false" ht="15" hidden="false" customHeight="true" outlineLevel="0" collapsed="false">
      <c r="H370" s="1" t="n">
        <v>359</v>
      </c>
      <c r="I370" s="1" t="str">
        <f aca="false">VLOOKUP(H370,Customers!$A$2:$G$501,2,FALSE())</f>
        <v>Juan Johnson</v>
      </c>
      <c r="J370" s="1" t="str">
        <f aca="false">VLOOKUP(H370,Customers!$A$2:$G$501,6,FALSE())</f>
        <v>Small Business</v>
      </c>
      <c r="K370" s="1" t="n">
        <f aca="false">COUNTIFS(Orders!$B$2:$B$5876,H370,Orders!$H$2:$H$5876,"Completed")</f>
        <v>11</v>
      </c>
      <c r="L370" s="4" t="n">
        <f aca="false">SUMIFS(Orders!$I$2:$I$5876,Orders!$B$2:$B$5876,H370,Orders!$H$2:$H$5876,"Completed")</f>
        <v>19730.92</v>
      </c>
    </row>
    <row r="371" customFormat="false" ht="15" hidden="false" customHeight="true" outlineLevel="0" collapsed="false">
      <c r="H371" s="1" t="n">
        <v>360</v>
      </c>
      <c r="I371" s="1" t="str">
        <f aca="false">VLOOKUP(H371,Customers!$A$2:$G$501,2,FALSE())</f>
        <v>Jennifer Perez</v>
      </c>
      <c r="J371" s="1" t="str">
        <f aca="false">VLOOKUP(H371,Customers!$A$2:$G$501,6,FALSE())</f>
        <v>Corporate</v>
      </c>
      <c r="K371" s="1" t="n">
        <f aca="false">COUNTIFS(Orders!$B$2:$B$5876,H371,Orders!$H$2:$H$5876,"Completed")</f>
        <v>14</v>
      </c>
      <c r="L371" s="4" t="n">
        <f aca="false">SUMIFS(Orders!$I$2:$I$5876,Orders!$B$2:$B$5876,H371,Orders!$H$2:$H$5876,"Completed")</f>
        <v>12797.37</v>
      </c>
    </row>
    <row r="372" customFormat="false" ht="15" hidden="false" customHeight="true" outlineLevel="0" collapsed="false">
      <c r="H372" s="1" t="n">
        <v>361</v>
      </c>
      <c r="I372" s="1" t="str">
        <f aca="false">VLOOKUP(H372,Customers!$A$2:$G$501,2,FALSE())</f>
        <v>Mark Moore</v>
      </c>
      <c r="J372" s="1" t="str">
        <f aca="false">VLOOKUP(H372,Customers!$A$2:$G$501,6,FALSE())</f>
        <v>Small Business</v>
      </c>
      <c r="K372" s="1" t="n">
        <f aca="false">COUNTIFS(Orders!$B$2:$B$5876,H372,Orders!$H$2:$H$5876,"Completed")</f>
        <v>17</v>
      </c>
      <c r="L372" s="4" t="n">
        <f aca="false">SUMIFS(Orders!$I$2:$I$5876,Orders!$B$2:$B$5876,H372,Orders!$H$2:$H$5876,"Completed")</f>
        <v>15970.76</v>
      </c>
    </row>
    <row r="373" customFormat="false" ht="15" hidden="false" customHeight="true" outlineLevel="0" collapsed="false">
      <c r="H373" s="1" t="n">
        <v>362</v>
      </c>
      <c r="I373" s="1" t="str">
        <f aca="false">VLOOKUP(H373,Customers!$A$2:$G$501,2,FALSE())</f>
        <v>Diego Lewis</v>
      </c>
      <c r="J373" s="1" t="str">
        <f aca="false">VLOOKUP(H373,Customers!$A$2:$G$501,6,FALSE())</f>
        <v>Consumer</v>
      </c>
      <c r="K373" s="1" t="n">
        <f aca="false">COUNTIFS(Orders!$B$2:$B$5876,H373,Orders!$H$2:$H$5876,"Completed")</f>
        <v>4</v>
      </c>
      <c r="L373" s="4" t="n">
        <f aca="false">SUMIFS(Orders!$I$2:$I$5876,Orders!$B$2:$B$5876,H373,Orders!$H$2:$H$5876,"Completed")</f>
        <v>2408.93</v>
      </c>
    </row>
    <row r="374" customFormat="false" ht="15" hidden="false" customHeight="true" outlineLevel="0" collapsed="false">
      <c r="H374" s="1" t="n">
        <v>363</v>
      </c>
      <c r="I374" s="1" t="str">
        <f aca="false">VLOOKUP(H374,Customers!$A$2:$G$501,2,FALSE())</f>
        <v>David Miller</v>
      </c>
      <c r="J374" s="1" t="str">
        <f aca="false">VLOOKUP(H374,Customers!$A$2:$G$501,6,FALSE())</f>
        <v>Small Business</v>
      </c>
      <c r="K374" s="1" t="n">
        <f aca="false">COUNTIFS(Orders!$B$2:$B$5876,H374,Orders!$H$2:$H$5876,"Completed")</f>
        <v>13</v>
      </c>
      <c r="L374" s="4" t="n">
        <f aca="false">SUMIFS(Orders!$I$2:$I$5876,Orders!$B$2:$B$5876,H374,Orders!$H$2:$H$5876,"Completed")</f>
        <v>19634.2</v>
      </c>
    </row>
    <row r="375" customFormat="false" ht="15" hidden="false" customHeight="true" outlineLevel="0" collapsed="false">
      <c r="H375" s="1" t="n">
        <v>364</v>
      </c>
      <c r="I375" s="1" t="str">
        <f aca="false">VLOOKUP(H375,Customers!$A$2:$G$501,2,FALSE())</f>
        <v>Miguel Rodriguez</v>
      </c>
      <c r="J375" s="1" t="str">
        <f aca="false">VLOOKUP(H375,Customers!$A$2:$G$501,6,FALSE())</f>
        <v>Small Business</v>
      </c>
      <c r="K375" s="1" t="n">
        <f aca="false">COUNTIFS(Orders!$B$2:$B$5876,H375,Orders!$H$2:$H$5876,"Completed")</f>
        <v>10</v>
      </c>
      <c r="L375" s="4" t="n">
        <f aca="false">SUMIFS(Orders!$I$2:$I$5876,Orders!$B$2:$B$5876,H375,Orders!$H$2:$H$5876,"Completed")</f>
        <v>11305.38</v>
      </c>
    </row>
    <row r="376" customFormat="false" ht="15" hidden="false" customHeight="true" outlineLevel="0" collapsed="false">
      <c r="H376" s="1" t="n">
        <v>365</v>
      </c>
      <c r="I376" s="1" t="str">
        <f aca="false">VLOOKUP(H376,Customers!$A$2:$G$501,2,FALSE())</f>
        <v>James Sanchez</v>
      </c>
      <c r="J376" s="1" t="str">
        <f aca="false">VLOOKUP(H376,Customers!$A$2:$G$501,6,FALSE())</f>
        <v>Small Business</v>
      </c>
      <c r="K376" s="1" t="n">
        <f aca="false">COUNTIFS(Orders!$B$2:$B$5876,H376,Orders!$H$2:$H$5876,"Completed")</f>
        <v>7</v>
      </c>
      <c r="L376" s="4" t="n">
        <f aca="false">SUMIFS(Orders!$I$2:$I$5876,Orders!$B$2:$B$5876,H376,Orders!$H$2:$H$5876,"Completed")</f>
        <v>7241.97</v>
      </c>
    </row>
    <row r="377" customFormat="false" ht="15" hidden="false" customHeight="true" outlineLevel="0" collapsed="false">
      <c r="H377" s="1" t="n">
        <v>366</v>
      </c>
      <c r="I377" s="1" t="str">
        <f aca="false">VLOOKUP(H377,Customers!$A$2:$G$501,2,FALSE())</f>
        <v>Michael Robinson</v>
      </c>
      <c r="J377" s="1" t="str">
        <f aca="false">VLOOKUP(H377,Customers!$A$2:$G$501,6,FALSE())</f>
        <v>Corporate</v>
      </c>
      <c r="K377" s="1" t="n">
        <f aca="false">COUNTIFS(Orders!$B$2:$B$5876,H377,Orders!$H$2:$H$5876,"Completed")</f>
        <v>11</v>
      </c>
      <c r="L377" s="4" t="n">
        <f aca="false">SUMIFS(Orders!$I$2:$I$5876,Orders!$B$2:$B$5876,H377,Orders!$H$2:$H$5876,"Completed")</f>
        <v>18023.88</v>
      </c>
    </row>
    <row r="378" customFormat="false" ht="15" hidden="false" customHeight="true" outlineLevel="0" collapsed="false">
      <c r="H378" s="1" t="n">
        <v>367</v>
      </c>
      <c r="I378" s="1" t="str">
        <f aca="false">VLOOKUP(H378,Customers!$A$2:$G$501,2,FALSE())</f>
        <v>Valentina Jackson</v>
      </c>
      <c r="J378" s="1" t="str">
        <f aca="false">VLOOKUP(H378,Customers!$A$2:$G$501,6,FALSE())</f>
        <v>Corporate</v>
      </c>
      <c r="K378" s="1" t="n">
        <f aca="false">COUNTIFS(Orders!$B$2:$B$5876,H378,Orders!$H$2:$H$5876,"Completed")</f>
        <v>10</v>
      </c>
      <c r="L378" s="4" t="n">
        <f aca="false">SUMIFS(Orders!$I$2:$I$5876,Orders!$B$2:$B$5876,H378,Orders!$H$2:$H$5876,"Completed")</f>
        <v>14601.87</v>
      </c>
    </row>
    <row r="379" customFormat="false" ht="15" hidden="false" customHeight="true" outlineLevel="0" collapsed="false">
      <c r="H379" s="1" t="n">
        <v>368</v>
      </c>
      <c r="I379" s="1" t="str">
        <f aca="false">VLOOKUP(H379,Customers!$A$2:$G$501,2,FALSE())</f>
        <v>Nancy Thompson</v>
      </c>
      <c r="J379" s="1" t="str">
        <f aca="false">VLOOKUP(H379,Customers!$A$2:$G$501,6,FALSE())</f>
        <v>Corporate</v>
      </c>
      <c r="K379" s="1" t="n">
        <f aca="false">COUNTIFS(Orders!$B$2:$B$5876,H379,Orders!$H$2:$H$5876,"Completed")</f>
        <v>8</v>
      </c>
      <c r="L379" s="4" t="n">
        <f aca="false">SUMIFS(Orders!$I$2:$I$5876,Orders!$B$2:$B$5876,H379,Orders!$H$2:$H$5876,"Completed")</f>
        <v>17303.63</v>
      </c>
    </row>
    <row r="380" customFormat="false" ht="15" hidden="false" customHeight="true" outlineLevel="0" collapsed="false">
      <c r="H380" s="1" t="n">
        <v>369</v>
      </c>
      <c r="I380" s="1" t="str">
        <f aca="false">VLOOKUP(H380,Customers!$A$2:$G$501,2,FALSE())</f>
        <v>Valentina Ramirez</v>
      </c>
      <c r="J380" s="1" t="str">
        <f aca="false">VLOOKUP(H380,Customers!$A$2:$G$501,6,FALSE())</f>
        <v>Corporate</v>
      </c>
      <c r="K380" s="1" t="n">
        <f aca="false">COUNTIFS(Orders!$B$2:$B$5876,H380,Orders!$H$2:$H$5876,"Completed")</f>
        <v>8</v>
      </c>
      <c r="L380" s="4" t="n">
        <f aca="false">SUMIFS(Orders!$I$2:$I$5876,Orders!$B$2:$B$5876,H380,Orders!$H$2:$H$5876,"Completed")</f>
        <v>11699.3</v>
      </c>
    </row>
    <row r="381" customFormat="false" ht="15" hidden="false" customHeight="true" outlineLevel="0" collapsed="false">
      <c r="H381" s="1" t="n">
        <v>370</v>
      </c>
      <c r="I381" s="1" t="str">
        <f aca="false">VLOOKUP(H381,Customers!$A$2:$G$501,2,FALSE())</f>
        <v>Miguel Lee</v>
      </c>
      <c r="J381" s="1" t="str">
        <f aca="false">VLOOKUP(H381,Customers!$A$2:$G$501,6,FALSE())</f>
        <v>Small Business</v>
      </c>
      <c r="K381" s="1" t="n">
        <f aca="false">COUNTIFS(Orders!$B$2:$B$5876,H381,Orders!$H$2:$H$5876,"Completed")</f>
        <v>13</v>
      </c>
      <c r="L381" s="4" t="n">
        <f aca="false">SUMIFS(Orders!$I$2:$I$5876,Orders!$B$2:$B$5876,H381,Orders!$H$2:$H$5876,"Completed")</f>
        <v>16511.57</v>
      </c>
    </row>
    <row r="382" customFormat="false" ht="15" hidden="false" customHeight="true" outlineLevel="0" collapsed="false">
      <c r="H382" s="1" t="n">
        <v>371</v>
      </c>
      <c r="I382" s="1" t="str">
        <f aca="false">VLOOKUP(H382,Customers!$A$2:$G$501,2,FALSE())</f>
        <v>Patricia Taylor</v>
      </c>
      <c r="J382" s="1" t="str">
        <f aca="false">VLOOKUP(H382,Customers!$A$2:$G$501,6,FALSE())</f>
        <v>Unknown</v>
      </c>
      <c r="K382" s="1" t="n">
        <f aca="false">COUNTIFS(Orders!$B$2:$B$5876,H382,Orders!$H$2:$H$5876,"Completed")</f>
        <v>11</v>
      </c>
      <c r="L382" s="4" t="n">
        <f aca="false">SUMIFS(Orders!$I$2:$I$5876,Orders!$B$2:$B$5876,H382,Orders!$H$2:$H$5876,"Completed")</f>
        <v>13699.78</v>
      </c>
    </row>
    <row r="383" customFormat="false" ht="15" hidden="false" customHeight="true" outlineLevel="0" collapsed="false">
      <c r="H383" s="1" t="n">
        <v>372</v>
      </c>
      <c r="I383" s="1" t="str">
        <f aca="false">VLOOKUP(H383,Customers!$A$2:$G$501,2,FALSE())</f>
        <v>Richard Lewis</v>
      </c>
      <c r="J383" s="1" t="str">
        <f aca="false">VLOOKUP(H383,Customers!$A$2:$G$501,6,FALSE())</f>
        <v>Corporate</v>
      </c>
      <c r="K383" s="1" t="n">
        <f aca="false">COUNTIFS(Orders!$B$2:$B$5876,H383,Orders!$H$2:$H$5876,"Completed")</f>
        <v>10</v>
      </c>
      <c r="L383" s="4" t="n">
        <f aca="false">SUMIFS(Orders!$I$2:$I$5876,Orders!$B$2:$B$5876,H383,Orders!$H$2:$H$5876,"Completed")</f>
        <v>13160.24</v>
      </c>
    </row>
    <row r="384" customFormat="false" ht="15" hidden="false" customHeight="true" outlineLevel="0" collapsed="false">
      <c r="H384" s="1" t="n">
        <v>373</v>
      </c>
      <c r="I384" s="1" t="str">
        <f aca="false">VLOOKUP(H384,Customers!$A$2:$G$501,2,FALSE())</f>
        <v>Camila Taylor</v>
      </c>
      <c r="J384" s="1" t="str">
        <f aca="false">VLOOKUP(H384,Customers!$A$2:$G$501,6,FALSE())</f>
        <v>Corporate</v>
      </c>
      <c r="K384" s="1" t="n">
        <f aca="false">COUNTIFS(Orders!$B$2:$B$5876,H384,Orders!$H$2:$H$5876,"Completed")</f>
        <v>16</v>
      </c>
      <c r="L384" s="4" t="n">
        <f aca="false">SUMIFS(Orders!$I$2:$I$5876,Orders!$B$2:$B$5876,H384,Orders!$H$2:$H$5876,"Completed")</f>
        <v>21426.51</v>
      </c>
    </row>
    <row r="385" customFormat="false" ht="15" hidden="false" customHeight="true" outlineLevel="0" collapsed="false">
      <c r="H385" s="1" t="n">
        <v>374</v>
      </c>
      <c r="I385" s="1" t="str">
        <f aca="false">VLOOKUP(H385,Customers!$A$2:$G$501,2,FALSE())</f>
        <v>Andres Jackson</v>
      </c>
      <c r="J385" s="1" t="str">
        <f aca="false">VLOOKUP(H385,Customers!$A$2:$G$501,6,FALSE())</f>
        <v>Consumer</v>
      </c>
      <c r="K385" s="1" t="n">
        <f aca="false">COUNTIFS(Orders!$B$2:$B$5876,H385,Orders!$H$2:$H$5876,"Completed")</f>
        <v>15</v>
      </c>
      <c r="L385" s="4" t="n">
        <f aca="false">SUMIFS(Orders!$I$2:$I$5876,Orders!$B$2:$B$5876,H385,Orders!$H$2:$H$5876,"Completed")</f>
        <v>18831.55</v>
      </c>
    </row>
    <row r="386" customFormat="false" ht="15" hidden="false" customHeight="true" outlineLevel="0" collapsed="false">
      <c r="H386" s="1" t="n">
        <v>375</v>
      </c>
      <c r="I386" s="1" t="str">
        <f aca="false">VLOOKUP(H386,Customers!$A$2:$G$501,2,FALSE())</f>
        <v>Anthony Johnson</v>
      </c>
      <c r="J386" s="1" t="str">
        <f aca="false">VLOOKUP(H386,Customers!$A$2:$G$501,6,FALSE())</f>
        <v>Consumer</v>
      </c>
      <c r="K386" s="1" t="n">
        <f aca="false">COUNTIFS(Orders!$B$2:$B$5876,H386,Orders!$H$2:$H$5876,"Completed")</f>
        <v>7</v>
      </c>
      <c r="L386" s="4" t="n">
        <f aca="false">SUMIFS(Orders!$I$2:$I$5876,Orders!$B$2:$B$5876,H386,Orders!$H$2:$H$5876,"Completed")</f>
        <v>5972.31</v>
      </c>
    </row>
    <row r="387" customFormat="false" ht="15" hidden="false" customHeight="true" outlineLevel="0" collapsed="false">
      <c r="H387" s="1" t="n">
        <v>376</v>
      </c>
      <c r="I387" s="1" t="str">
        <f aca="false">VLOOKUP(H387,Customers!$A$2:$G$501,2,FALSE())</f>
        <v>Mark Taylor</v>
      </c>
      <c r="J387" s="1" t="str">
        <f aca="false">VLOOKUP(H387,Customers!$A$2:$G$501,6,FALSE())</f>
        <v>Consumer</v>
      </c>
      <c r="K387" s="1" t="n">
        <f aca="false">COUNTIFS(Orders!$B$2:$B$5876,H387,Orders!$H$2:$H$5876,"Completed")</f>
        <v>10</v>
      </c>
      <c r="L387" s="4" t="n">
        <f aca="false">SUMIFS(Orders!$I$2:$I$5876,Orders!$B$2:$B$5876,H387,Orders!$H$2:$H$5876,"Completed")</f>
        <v>8965.01</v>
      </c>
    </row>
    <row r="388" customFormat="false" ht="15" hidden="false" customHeight="true" outlineLevel="0" collapsed="false">
      <c r="H388" s="1" t="n">
        <v>377</v>
      </c>
      <c r="I388" s="1" t="str">
        <f aca="false">VLOOKUP(H388,Customers!$A$2:$G$501,2,FALSE())</f>
        <v>Miguel Sanchez</v>
      </c>
      <c r="J388" s="1" t="str">
        <f aca="false">VLOOKUP(H388,Customers!$A$2:$G$501,6,FALSE())</f>
        <v>Corporate</v>
      </c>
      <c r="K388" s="1" t="n">
        <f aca="false">COUNTIFS(Orders!$B$2:$B$5876,H388,Orders!$H$2:$H$5876,"Completed")</f>
        <v>11</v>
      </c>
      <c r="L388" s="4" t="n">
        <f aca="false">SUMIFS(Orders!$I$2:$I$5876,Orders!$B$2:$B$5876,H388,Orders!$H$2:$H$5876,"Completed")</f>
        <v>15373.13</v>
      </c>
    </row>
    <row r="389" customFormat="false" ht="15" hidden="false" customHeight="true" outlineLevel="0" collapsed="false">
      <c r="H389" s="1" t="n">
        <v>378</v>
      </c>
      <c r="I389" s="1" t="str">
        <f aca="false">VLOOKUP(H389,Customers!$A$2:$G$501,2,FALSE())</f>
        <v>Susan Anderson</v>
      </c>
      <c r="J389" s="1" t="str">
        <f aca="false">VLOOKUP(H389,Customers!$A$2:$G$501,6,FALSE())</f>
        <v>Small Business</v>
      </c>
      <c r="K389" s="1" t="n">
        <f aca="false">COUNTIFS(Orders!$B$2:$B$5876,H389,Orders!$H$2:$H$5876,"Completed")</f>
        <v>10</v>
      </c>
      <c r="L389" s="4" t="n">
        <f aca="false">SUMIFS(Orders!$I$2:$I$5876,Orders!$B$2:$B$5876,H389,Orders!$H$2:$H$5876,"Completed")</f>
        <v>18805.61</v>
      </c>
    </row>
    <row r="390" customFormat="false" ht="15" hidden="false" customHeight="true" outlineLevel="0" collapsed="false">
      <c r="H390" s="1" t="n">
        <v>379</v>
      </c>
      <c r="I390" s="1" t="str">
        <f aca="false">VLOOKUP(H390,Customers!$A$2:$G$501,2,FALSE())</f>
        <v>Lisa Moore</v>
      </c>
      <c r="J390" s="1" t="str">
        <f aca="false">VLOOKUP(H390,Customers!$A$2:$G$501,6,FALSE())</f>
        <v>Corporate</v>
      </c>
      <c r="K390" s="1" t="n">
        <f aca="false">COUNTIFS(Orders!$B$2:$B$5876,H390,Orders!$H$2:$H$5876,"Completed")</f>
        <v>10</v>
      </c>
      <c r="L390" s="4" t="n">
        <f aca="false">SUMIFS(Orders!$I$2:$I$5876,Orders!$B$2:$B$5876,H390,Orders!$H$2:$H$5876,"Completed")</f>
        <v>12844.09</v>
      </c>
    </row>
    <row r="391" customFormat="false" ht="15" hidden="false" customHeight="true" outlineLevel="0" collapsed="false">
      <c r="H391" s="1" t="n">
        <v>380</v>
      </c>
      <c r="I391" s="1" t="str">
        <f aca="false">VLOOKUP(H391,Customers!$A$2:$G$501,2,FALSE())</f>
        <v>Thomas Lee</v>
      </c>
      <c r="J391" s="1" t="str">
        <f aca="false">VLOOKUP(H391,Customers!$A$2:$G$501,6,FALSE())</f>
        <v>Small Business</v>
      </c>
      <c r="K391" s="1" t="n">
        <f aca="false">COUNTIFS(Orders!$B$2:$B$5876,H391,Orders!$H$2:$H$5876,"Completed")</f>
        <v>10</v>
      </c>
      <c r="L391" s="4" t="n">
        <f aca="false">SUMIFS(Orders!$I$2:$I$5876,Orders!$B$2:$B$5876,H391,Orders!$H$2:$H$5876,"Completed")</f>
        <v>16629</v>
      </c>
    </row>
    <row r="392" customFormat="false" ht="15" hidden="false" customHeight="true" outlineLevel="0" collapsed="false">
      <c r="H392" s="1" t="n">
        <v>381</v>
      </c>
      <c r="I392" s="1" t="str">
        <f aca="false">VLOOKUP(H392,Customers!$A$2:$G$501,2,FALSE())</f>
        <v>Daniel Perez</v>
      </c>
      <c r="J392" s="1" t="str">
        <f aca="false">VLOOKUP(H392,Customers!$A$2:$G$501,6,FALSE())</f>
        <v>Corporate</v>
      </c>
      <c r="K392" s="1" t="n">
        <f aca="false">COUNTIFS(Orders!$B$2:$B$5876,H392,Orders!$H$2:$H$5876,"Completed")</f>
        <v>12</v>
      </c>
      <c r="L392" s="4" t="n">
        <f aca="false">SUMIFS(Orders!$I$2:$I$5876,Orders!$B$2:$B$5876,H392,Orders!$H$2:$H$5876,"Completed")</f>
        <v>21240.57</v>
      </c>
    </row>
    <row r="393" customFormat="false" ht="15" hidden="false" customHeight="true" outlineLevel="0" collapsed="false">
      <c r="H393" s="1" t="n">
        <v>382</v>
      </c>
      <c r="I393" s="1" t="str">
        <f aca="false">VLOOKUP(H393,Customers!$A$2:$G$501,2,FALSE())</f>
        <v>Mariana Thompson</v>
      </c>
      <c r="J393" s="1" t="str">
        <f aca="false">VLOOKUP(H393,Customers!$A$2:$G$501,6,FALSE())</f>
        <v>Corporate</v>
      </c>
      <c r="K393" s="1" t="n">
        <f aca="false">COUNTIFS(Orders!$B$2:$B$5876,H393,Orders!$H$2:$H$5876,"Completed")</f>
        <v>7</v>
      </c>
      <c r="L393" s="4" t="n">
        <f aca="false">SUMIFS(Orders!$I$2:$I$5876,Orders!$B$2:$B$5876,H393,Orders!$H$2:$H$5876,"Completed")</f>
        <v>12148.17</v>
      </c>
    </row>
    <row r="394" customFormat="false" ht="15" hidden="false" customHeight="true" outlineLevel="0" collapsed="false">
      <c r="H394" s="1" t="n">
        <v>383</v>
      </c>
      <c r="I394" s="1" t="str">
        <f aca="false">VLOOKUP(H394,Customers!$A$2:$G$501,2,FALSE())</f>
        <v>Matthew Taylor</v>
      </c>
      <c r="J394" s="1" t="str">
        <f aca="false">VLOOKUP(H394,Customers!$A$2:$G$501,6,FALSE())</f>
        <v>Consumer</v>
      </c>
      <c r="K394" s="1" t="n">
        <f aca="false">COUNTIFS(Orders!$B$2:$B$5876,H394,Orders!$H$2:$H$5876,"Completed")</f>
        <v>3</v>
      </c>
      <c r="L394" s="4" t="n">
        <f aca="false">SUMIFS(Orders!$I$2:$I$5876,Orders!$B$2:$B$5876,H394,Orders!$H$2:$H$5876,"Completed")</f>
        <v>3201.65</v>
      </c>
    </row>
    <row r="395" customFormat="false" ht="15" hidden="false" customHeight="true" outlineLevel="0" collapsed="false">
      <c r="H395" s="1" t="n">
        <v>384</v>
      </c>
      <c r="I395" s="1" t="str">
        <f aca="false">VLOOKUP(H395,Customers!$A$2:$G$501,2,FALSE())</f>
        <v>Isabella Harris</v>
      </c>
      <c r="J395" s="1" t="str">
        <f aca="false">VLOOKUP(H395,Customers!$A$2:$G$501,6,FALSE())</f>
        <v>Corporate</v>
      </c>
      <c r="K395" s="1" t="n">
        <f aca="false">COUNTIFS(Orders!$B$2:$B$5876,H395,Orders!$H$2:$H$5876,"Completed")</f>
        <v>10</v>
      </c>
      <c r="L395" s="4" t="n">
        <f aca="false">SUMIFS(Orders!$I$2:$I$5876,Orders!$B$2:$B$5876,H395,Orders!$H$2:$H$5876,"Completed")</f>
        <v>13710.95</v>
      </c>
    </row>
    <row r="396" customFormat="false" ht="15" hidden="false" customHeight="true" outlineLevel="0" collapsed="false">
      <c r="H396" s="1" t="n">
        <v>385</v>
      </c>
      <c r="I396" s="1" t="str">
        <f aca="false">VLOOKUP(H396,Customers!$A$2:$G$501,2,FALSE())</f>
        <v>Nancy Lopez</v>
      </c>
      <c r="J396" s="1" t="str">
        <f aca="false">VLOOKUP(H396,Customers!$A$2:$G$501,6,FALSE())</f>
        <v>Small Business</v>
      </c>
      <c r="K396" s="1" t="n">
        <f aca="false">COUNTIFS(Orders!$B$2:$B$5876,H396,Orders!$H$2:$H$5876,"Completed")</f>
        <v>8</v>
      </c>
      <c r="L396" s="4" t="n">
        <f aca="false">SUMIFS(Orders!$I$2:$I$5876,Orders!$B$2:$B$5876,H396,Orders!$H$2:$H$5876,"Completed")</f>
        <v>5638.28</v>
      </c>
    </row>
    <row r="397" customFormat="false" ht="15" hidden="false" customHeight="true" outlineLevel="0" collapsed="false">
      <c r="H397" s="1" t="n">
        <v>386</v>
      </c>
      <c r="I397" s="1" t="str">
        <f aca="false">VLOOKUP(H397,Customers!$A$2:$G$501,2,FALSE())</f>
        <v>Laura Williams</v>
      </c>
      <c r="J397" s="1" t="str">
        <f aca="false">VLOOKUP(H397,Customers!$A$2:$G$501,6,FALSE())</f>
        <v>Consumer</v>
      </c>
      <c r="K397" s="1" t="n">
        <f aca="false">COUNTIFS(Orders!$B$2:$B$5876,H397,Orders!$H$2:$H$5876,"Completed")</f>
        <v>13</v>
      </c>
      <c r="L397" s="4" t="n">
        <f aca="false">SUMIFS(Orders!$I$2:$I$5876,Orders!$B$2:$B$5876,H397,Orders!$H$2:$H$5876,"Completed")</f>
        <v>15455.85</v>
      </c>
    </row>
    <row r="398" customFormat="false" ht="15" hidden="false" customHeight="true" outlineLevel="0" collapsed="false">
      <c r="H398" s="1" t="n">
        <v>387</v>
      </c>
      <c r="I398" s="1" t="str">
        <f aca="false">VLOOKUP(H398,Customers!$A$2:$G$501,2,FALSE())</f>
        <v>Elizabeth Jones</v>
      </c>
      <c r="J398" s="1" t="str">
        <f aca="false">VLOOKUP(H398,Customers!$A$2:$G$501,6,FALSE())</f>
        <v>Corporate</v>
      </c>
      <c r="K398" s="1" t="n">
        <f aca="false">COUNTIFS(Orders!$B$2:$B$5876,H398,Orders!$H$2:$H$5876,"Completed")</f>
        <v>8</v>
      </c>
      <c r="L398" s="4" t="n">
        <f aca="false">SUMIFS(Orders!$I$2:$I$5876,Orders!$B$2:$B$5876,H398,Orders!$H$2:$H$5876,"Completed")</f>
        <v>18502.14</v>
      </c>
    </row>
    <row r="399" customFormat="false" ht="15" hidden="false" customHeight="true" outlineLevel="0" collapsed="false">
      <c r="H399" s="1" t="n">
        <v>388</v>
      </c>
      <c r="I399" s="1" t="str">
        <f aca="false">VLOOKUP(H399,Customers!$A$2:$G$501,2,FALSE())</f>
        <v>Barbara Harris</v>
      </c>
      <c r="J399" s="1" t="str">
        <f aca="false">VLOOKUP(H399,Customers!$A$2:$G$501,6,FALSE())</f>
        <v>Corporate</v>
      </c>
      <c r="K399" s="1" t="n">
        <f aca="false">COUNTIFS(Orders!$B$2:$B$5876,H399,Orders!$H$2:$H$5876,"Completed")</f>
        <v>11</v>
      </c>
      <c r="L399" s="4" t="n">
        <f aca="false">SUMIFS(Orders!$I$2:$I$5876,Orders!$B$2:$B$5876,H399,Orders!$H$2:$H$5876,"Completed")</f>
        <v>14468.03</v>
      </c>
    </row>
    <row r="400" customFormat="false" ht="15" hidden="false" customHeight="true" outlineLevel="0" collapsed="false">
      <c r="H400" s="1" t="n">
        <v>389</v>
      </c>
      <c r="I400" s="1" t="str">
        <f aca="false">VLOOKUP(H400,Customers!$A$2:$G$501,2,FALSE())</f>
        <v>David Jackson</v>
      </c>
      <c r="J400" s="1" t="str">
        <f aca="false">VLOOKUP(H400,Customers!$A$2:$G$501,6,FALSE())</f>
        <v>Corporate</v>
      </c>
      <c r="K400" s="1" t="n">
        <f aca="false">COUNTIFS(Orders!$B$2:$B$5876,H400,Orders!$H$2:$H$5876,"Completed")</f>
        <v>10</v>
      </c>
      <c r="L400" s="4" t="n">
        <f aca="false">SUMIFS(Orders!$I$2:$I$5876,Orders!$B$2:$B$5876,H400,Orders!$H$2:$H$5876,"Completed")</f>
        <v>9829.82</v>
      </c>
    </row>
    <row r="401" customFormat="false" ht="15" hidden="false" customHeight="true" outlineLevel="0" collapsed="false">
      <c r="H401" s="1" t="n">
        <v>390</v>
      </c>
      <c r="I401" s="1" t="str">
        <f aca="false">VLOOKUP(H401,Customers!$A$2:$G$501,2,FALSE())</f>
        <v>Andres Gonzalez</v>
      </c>
      <c r="J401" s="1" t="str">
        <f aca="false">VLOOKUP(H401,Customers!$A$2:$G$501,6,FALSE())</f>
        <v>Small Business</v>
      </c>
      <c r="K401" s="1" t="n">
        <f aca="false">COUNTIFS(Orders!$B$2:$B$5876,H401,Orders!$H$2:$H$5876,"Completed")</f>
        <v>11</v>
      </c>
      <c r="L401" s="4" t="n">
        <f aca="false">SUMIFS(Orders!$I$2:$I$5876,Orders!$B$2:$B$5876,H401,Orders!$H$2:$H$5876,"Completed")</f>
        <v>17177.32</v>
      </c>
    </row>
    <row r="402" customFormat="false" ht="15" hidden="false" customHeight="true" outlineLevel="0" collapsed="false">
      <c r="H402" s="1" t="n">
        <v>391</v>
      </c>
      <c r="I402" s="1" t="str">
        <f aca="false">VLOOKUP(H402,Customers!$A$2:$G$501,2,FALSE())</f>
        <v>James Lee</v>
      </c>
      <c r="J402" s="1" t="str">
        <f aca="false">VLOOKUP(H402,Customers!$A$2:$G$501,6,FALSE())</f>
        <v>Small Business</v>
      </c>
      <c r="K402" s="1" t="n">
        <f aca="false">COUNTIFS(Orders!$B$2:$B$5876,H402,Orders!$H$2:$H$5876,"Completed")</f>
        <v>12</v>
      </c>
      <c r="L402" s="4" t="n">
        <f aca="false">SUMIFS(Orders!$I$2:$I$5876,Orders!$B$2:$B$5876,H402,Orders!$H$2:$H$5876,"Completed")</f>
        <v>18550.26</v>
      </c>
    </row>
    <row r="403" customFormat="false" ht="15" hidden="false" customHeight="true" outlineLevel="0" collapsed="false">
      <c r="H403" s="1" t="n">
        <v>392</v>
      </c>
      <c r="I403" s="1" t="str">
        <f aca="false">VLOOKUP(H403,Customers!$A$2:$G$501,2,FALSE())</f>
        <v>John Clark</v>
      </c>
      <c r="J403" s="1" t="str">
        <f aca="false">VLOOKUP(H403,Customers!$A$2:$G$501,6,FALSE())</f>
        <v>Corporate</v>
      </c>
      <c r="K403" s="1" t="n">
        <f aca="false">COUNTIFS(Orders!$B$2:$B$5876,H403,Orders!$H$2:$H$5876,"Completed")</f>
        <v>14</v>
      </c>
      <c r="L403" s="4" t="n">
        <f aca="false">SUMIFS(Orders!$I$2:$I$5876,Orders!$B$2:$B$5876,H403,Orders!$H$2:$H$5876,"Completed")</f>
        <v>21796.7</v>
      </c>
    </row>
    <row r="404" customFormat="false" ht="15" hidden="false" customHeight="true" outlineLevel="0" collapsed="false">
      <c r="H404" s="1" t="n">
        <v>393</v>
      </c>
      <c r="I404" s="1" t="str">
        <f aca="false">VLOOKUP(H404,Customers!$A$2:$G$501,2,FALSE())</f>
        <v>William Hernandez</v>
      </c>
      <c r="J404" s="1" t="str">
        <f aca="false">VLOOKUP(H404,Customers!$A$2:$G$501,6,FALSE())</f>
        <v>Consumer</v>
      </c>
      <c r="K404" s="1" t="n">
        <f aca="false">COUNTIFS(Orders!$B$2:$B$5876,H404,Orders!$H$2:$H$5876,"Completed")</f>
        <v>12</v>
      </c>
      <c r="L404" s="4" t="n">
        <f aca="false">SUMIFS(Orders!$I$2:$I$5876,Orders!$B$2:$B$5876,H404,Orders!$H$2:$H$5876,"Completed")</f>
        <v>11213.16</v>
      </c>
    </row>
    <row r="405" customFormat="false" ht="15" hidden="false" customHeight="true" outlineLevel="0" collapsed="false">
      <c r="H405" s="1" t="n">
        <v>394</v>
      </c>
      <c r="I405" s="1" t="str">
        <f aca="false">VLOOKUP(H405,Customers!$A$2:$G$501,2,FALSE())</f>
        <v>William Miller</v>
      </c>
      <c r="J405" s="1" t="str">
        <f aca="false">VLOOKUP(H405,Customers!$A$2:$G$501,6,FALSE())</f>
        <v>Corporate</v>
      </c>
      <c r="K405" s="1" t="n">
        <f aca="false">COUNTIFS(Orders!$B$2:$B$5876,H405,Orders!$H$2:$H$5876,"Completed")</f>
        <v>7</v>
      </c>
      <c r="L405" s="4" t="n">
        <f aca="false">SUMIFS(Orders!$I$2:$I$5876,Orders!$B$2:$B$5876,H405,Orders!$H$2:$H$5876,"Completed")</f>
        <v>9836.35</v>
      </c>
    </row>
    <row r="406" customFormat="false" ht="15" hidden="false" customHeight="true" outlineLevel="0" collapsed="false">
      <c r="H406" s="1" t="n">
        <v>395</v>
      </c>
      <c r="I406" s="1" t="str">
        <f aca="false">VLOOKUP(H406,Customers!$A$2:$G$501,2,FALSE())</f>
        <v>Thomas Harris</v>
      </c>
      <c r="J406" s="1" t="str">
        <f aca="false">VLOOKUP(H406,Customers!$A$2:$G$501,6,FALSE())</f>
        <v>Consumer</v>
      </c>
      <c r="K406" s="1" t="n">
        <f aca="false">COUNTIFS(Orders!$B$2:$B$5876,H406,Orders!$H$2:$H$5876,"Completed")</f>
        <v>7</v>
      </c>
      <c r="L406" s="4" t="n">
        <f aca="false">SUMIFS(Orders!$I$2:$I$5876,Orders!$B$2:$B$5876,H406,Orders!$H$2:$H$5876,"Completed")</f>
        <v>14166.95</v>
      </c>
    </row>
    <row r="407" customFormat="false" ht="15" hidden="false" customHeight="true" outlineLevel="0" collapsed="false">
      <c r="H407" s="1" t="n">
        <v>396</v>
      </c>
      <c r="I407" s="1" t="str">
        <f aca="false">VLOOKUP(H407,Customers!$A$2:$G$501,2,FALSE())</f>
        <v>Linda Wilson</v>
      </c>
      <c r="J407" s="1" t="str">
        <f aca="false">VLOOKUP(H407,Customers!$A$2:$G$501,6,FALSE())</f>
        <v>Small Business</v>
      </c>
      <c r="K407" s="1" t="n">
        <f aca="false">COUNTIFS(Orders!$B$2:$B$5876,H407,Orders!$H$2:$H$5876,"Completed")</f>
        <v>13</v>
      </c>
      <c r="L407" s="4" t="n">
        <f aca="false">SUMIFS(Orders!$I$2:$I$5876,Orders!$B$2:$B$5876,H407,Orders!$H$2:$H$5876,"Completed")</f>
        <v>31839.05</v>
      </c>
    </row>
    <row r="408" customFormat="false" ht="15" hidden="false" customHeight="true" outlineLevel="0" collapsed="false">
      <c r="H408" s="1" t="n">
        <v>397</v>
      </c>
      <c r="I408" s="1" t="str">
        <f aca="false">VLOOKUP(H408,Customers!$A$2:$G$501,2,FALSE())</f>
        <v>Karen Wilson</v>
      </c>
      <c r="J408" s="1" t="str">
        <f aca="false">VLOOKUP(H408,Customers!$A$2:$G$501,6,FALSE())</f>
        <v>Consumer</v>
      </c>
      <c r="K408" s="1" t="n">
        <f aca="false">COUNTIFS(Orders!$B$2:$B$5876,H408,Orders!$H$2:$H$5876,"Completed")</f>
        <v>9</v>
      </c>
      <c r="L408" s="4" t="n">
        <f aca="false">SUMIFS(Orders!$I$2:$I$5876,Orders!$B$2:$B$5876,H408,Orders!$H$2:$H$5876,"Completed")</f>
        <v>11213.42</v>
      </c>
    </row>
    <row r="409" customFormat="false" ht="15" hidden="false" customHeight="true" outlineLevel="0" collapsed="false">
      <c r="H409" s="1" t="n">
        <v>398</v>
      </c>
      <c r="I409" s="1" t="str">
        <f aca="false">VLOOKUP(H409,Customers!$A$2:$G$501,2,FALSE())</f>
        <v>Laura Brown</v>
      </c>
      <c r="J409" s="1" t="str">
        <f aca="false">VLOOKUP(H409,Customers!$A$2:$G$501,6,FALSE())</f>
        <v>Small Business</v>
      </c>
      <c r="K409" s="1" t="n">
        <f aca="false">COUNTIFS(Orders!$B$2:$B$5876,H409,Orders!$H$2:$H$5876,"Completed")</f>
        <v>15</v>
      </c>
      <c r="L409" s="4" t="n">
        <f aca="false">SUMIFS(Orders!$I$2:$I$5876,Orders!$B$2:$B$5876,H409,Orders!$H$2:$H$5876,"Completed")</f>
        <v>27986.38</v>
      </c>
    </row>
    <row r="410" customFormat="false" ht="15" hidden="false" customHeight="true" outlineLevel="0" collapsed="false">
      <c r="H410" s="1" t="n">
        <v>399</v>
      </c>
      <c r="I410" s="1" t="str">
        <f aca="false">VLOOKUP(H410,Customers!$A$2:$G$501,2,FALSE())</f>
        <v>Matthew Thompson</v>
      </c>
      <c r="J410" s="1" t="str">
        <f aca="false">VLOOKUP(H410,Customers!$A$2:$G$501,6,FALSE())</f>
        <v>Corporate</v>
      </c>
      <c r="K410" s="1" t="n">
        <f aca="false">COUNTIFS(Orders!$B$2:$B$5876,H410,Orders!$H$2:$H$5876,"Completed")</f>
        <v>14</v>
      </c>
      <c r="L410" s="4" t="n">
        <f aca="false">SUMIFS(Orders!$I$2:$I$5876,Orders!$B$2:$B$5876,H410,Orders!$H$2:$H$5876,"Completed")</f>
        <v>14456.86</v>
      </c>
    </row>
    <row r="411" customFormat="false" ht="15" hidden="false" customHeight="true" outlineLevel="0" collapsed="false">
      <c r="H411" s="1" t="n">
        <v>400</v>
      </c>
      <c r="I411" s="1" t="str">
        <f aca="false">VLOOKUP(H411,Customers!$A$2:$G$501,2,FALSE())</f>
        <v>James Smith</v>
      </c>
      <c r="J411" s="1" t="str">
        <f aca="false">VLOOKUP(H411,Customers!$A$2:$G$501,6,FALSE())</f>
        <v>Small Business</v>
      </c>
      <c r="K411" s="1" t="n">
        <f aca="false">COUNTIFS(Orders!$B$2:$B$5876,H411,Orders!$H$2:$H$5876,"Completed")</f>
        <v>6</v>
      </c>
      <c r="L411" s="4" t="n">
        <f aca="false">SUMIFS(Orders!$I$2:$I$5876,Orders!$B$2:$B$5876,H411,Orders!$H$2:$H$5876,"Completed")</f>
        <v>17913.43</v>
      </c>
    </row>
    <row r="412" customFormat="false" ht="15" hidden="false" customHeight="true" outlineLevel="0" collapsed="false">
      <c r="H412" s="1" t="n">
        <v>401</v>
      </c>
      <c r="I412" s="1" t="str">
        <f aca="false">VLOOKUP(H412,Customers!$A$2:$G$501,2,FALSE())</f>
        <v>Michael Lewis</v>
      </c>
      <c r="J412" s="1" t="str">
        <f aca="false">VLOOKUP(H412,Customers!$A$2:$G$501,6,FALSE())</f>
        <v>Consumer</v>
      </c>
      <c r="K412" s="1" t="n">
        <f aca="false">COUNTIFS(Orders!$B$2:$B$5876,H412,Orders!$H$2:$H$5876,"Completed")</f>
        <v>20</v>
      </c>
      <c r="L412" s="4" t="n">
        <f aca="false">SUMIFS(Orders!$I$2:$I$5876,Orders!$B$2:$B$5876,H412,Orders!$H$2:$H$5876,"Completed")</f>
        <v>25524.87</v>
      </c>
    </row>
    <row r="413" customFormat="false" ht="15" hidden="false" customHeight="true" outlineLevel="0" collapsed="false">
      <c r="H413" s="1" t="n">
        <v>402</v>
      </c>
      <c r="I413" s="1" t="str">
        <f aca="false">VLOOKUP(H413,Customers!$A$2:$G$501,2,FALSE())</f>
        <v>Robert Ramirez</v>
      </c>
      <c r="J413" s="1" t="str">
        <f aca="false">VLOOKUP(H413,Customers!$A$2:$G$501,6,FALSE())</f>
        <v>Unknown</v>
      </c>
      <c r="K413" s="1" t="n">
        <f aca="false">COUNTIFS(Orders!$B$2:$B$5876,H413,Orders!$H$2:$H$5876,"Completed")</f>
        <v>11</v>
      </c>
      <c r="L413" s="4" t="n">
        <f aca="false">SUMIFS(Orders!$I$2:$I$5876,Orders!$B$2:$B$5876,H413,Orders!$H$2:$H$5876,"Completed")</f>
        <v>14675.34</v>
      </c>
    </row>
    <row r="414" customFormat="false" ht="15" hidden="false" customHeight="true" outlineLevel="0" collapsed="false">
      <c r="H414" s="1" t="n">
        <v>403</v>
      </c>
      <c r="I414" s="1" t="str">
        <f aca="false">VLOOKUP(H414,Customers!$A$2:$G$501,2,FALSE())</f>
        <v>William Perez</v>
      </c>
      <c r="J414" s="1" t="str">
        <f aca="false">VLOOKUP(H414,Customers!$A$2:$G$501,6,FALSE())</f>
        <v>Consumer</v>
      </c>
      <c r="K414" s="1" t="n">
        <f aca="false">COUNTIFS(Orders!$B$2:$B$5876,H414,Orders!$H$2:$H$5876,"Completed")</f>
        <v>6</v>
      </c>
      <c r="L414" s="4" t="n">
        <f aca="false">SUMIFS(Orders!$I$2:$I$5876,Orders!$B$2:$B$5876,H414,Orders!$H$2:$H$5876,"Completed")</f>
        <v>11818.37</v>
      </c>
    </row>
    <row r="415" customFormat="false" ht="15" hidden="false" customHeight="true" outlineLevel="0" collapsed="false">
      <c r="H415" s="1" t="n">
        <v>404</v>
      </c>
      <c r="I415" s="1" t="str">
        <f aca="false">VLOOKUP(H415,Customers!$A$2:$G$501,2,FALSE())</f>
        <v>Nancy Garcia</v>
      </c>
      <c r="J415" s="1" t="str">
        <f aca="false">VLOOKUP(H415,Customers!$A$2:$G$501,6,FALSE())</f>
        <v>Corporate</v>
      </c>
      <c r="K415" s="1" t="n">
        <f aca="false">COUNTIFS(Orders!$B$2:$B$5876,H415,Orders!$H$2:$H$5876,"Completed")</f>
        <v>11</v>
      </c>
      <c r="L415" s="4" t="n">
        <f aca="false">SUMIFS(Orders!$I$2:$I$5876,Orders!$B$2:$B$5876,H415,Orders!$H$2:$H$5876,"Completed")</f>
        <v>19044.33</v>
      </c>
    </row>
    <row r="416" customFormat="false" ht="15" hidden="false" customHeight="true" outlineLevel="0" collapsed="false">
      <c r="H416" s="1" t="n">
        <v>405</v>
      </c>
      <c r="I416" s="1" t="str">
        <f aca="false">VLOOKUP(H416,Customers!$A$2:$G$501,2,FALSE())</f>
        <v>David Brown</v>
      </c>
      <c r="J416" s="1" t="str">
        <f aca="false">VLOOKUP(H416,Customers!$A$2:$G$501,6,FALSE())</f>
        <v>Small Business</v>
      </c>
      <c r="K416" s="1" t="n">
        <f aca="false">COUNTIFS(Orders!$B$2:$B$5876,H416,Orders!$H$2:$H$5876,"Completed")</f>
        <v>8</v>
      </c>
      <c r="L416" s="4" t="n">
        <f aca="false">SUMIFS(Orders!$I$2:$I$5876,Orders!$B$2:$B$5876,H416,Orders!$H$2:$H$5876,"Completed")</f>
        <v>8331.39</v>
      </c>
    </row>
    <row r="417" customFormat="false" ht="15" hidden="false" customHeight="true" outlineLevel="0" collapsed="false">
      <c r="H417" s="1" t="n">
        <v>406</v>
      </c>
      <c r="I417" s="1" t="str">
        <f aca="false">VLOOKUP(H417,Customers!$A$2:$G$501,2,FALSE())</f>
        <v>Diego Perez</v>
      </c>
      <c r="J417" s="1" t="str">
        <f aca="false">VLOOKUP(H417,Customers!$A$2:$G$501,6,FALSE())</f>
        <v>Small Business</v>
      </c>
      <c r="K417" s="1" t="n">
        <f aca="false">COUNTIFS(Orders!$B$2:$B$5876,H417,Orders!$H$2:$H$5876,"Completed")</f>
        <v>10</v>
      </c>
      <c r="L417" s="4" t="n">
        <f aca="false">SUMIFS(Orders!$I$2:$I$5876,Orders!$B$2:$B$5876,H417,Orders!$H$2:$H$5876,"Completed")</f>
        <v>9019.3</v>
      </c>
    </row>
    <row r="418" customFormat="false" ht="15" hidden="false" customHeight="true" outlineLevel="0" collapsed="false">
      <c r="H418" s="1" t="n">
        <v>407</v>
      </c>
      <c r="I418" s="1" t="str">
        <f aca="false">VLOOKUP(H418,Customers!$A$2:$G$501,2,FALSE())</f>
        <v>William Thomas</v>
      </c>
      <c r="J418" s="1" t="str">
        <f aca="false">VLOOKUP(H418,Customers!$A$2:$G$501,6,FALSE())</f>
        <v>Consumer</v>
      </c>
      <c r="K418" s="1" t="n">
        <f aca="false">COUNTIFS(Orders!$B$2:$B$5876,H418,Orders!$H$2:$H$5876,"Completed")</f>
        <v>13</v>
      </c>
      <c r="L418" s="4" t="n">
        <f aca="false">SUMIFS(Orders!$I$2:$I$5876,Orders!$B$2:$B$5876,H418,Orders!$H$2:$H$5876,"Completed")</f>
        <v>17069.96</v>
      </c>
    </row>
    <row r="419" customFormat="false" ht="15" hidden="false" customHeight="true" outlineLevel="0" collapsed="false">
      <c r="H419" s="1" t="n">
        <v>408</v>
      </c>
      <c r="I419" s="1" t="str">
        <f aca="false">VLOOKUP(H419,Customers!$A$2:$G$501,2,FALSE())</f>
        <v>Sofia Harris</v>
      </c>
      <c r="J419" s="1" t="str">
        <f aca="false">VLOOKUP(H419,Customers!$A$2:$G$501,6,FALSE())</f>
        <v>Small Business</v>
      </c>
      <c r="K419" s="1" t="n">
        <f aca="false">COUNTIFS(Orders!$B$2:$B$5876,H419,Orders!$H$2:$H$5876,"Completed")</f>
        <v>8</v>
      </c>
      <c r="L419" s="4" t="n">
        <f aca="false">SUMIFS(Orders!$I$2:$I$5876,Orders!$B$2:$B$5876,H419,Orders!$H$2:$H$5876,"Completed")</f>
        <v>7685.19</v>
      </c>
    </row>
    <row r="420" customFormat="false" ht="15" hidden="false" customHeight="true" outlineLevel="0" collapsed="false">
      <c r="H420" s="1" t="n">
        <v>409</v>
      </c>
      <c r="I420" s="1" t="str">
        <f aca="false">VLOOKUP(H420,Customers!$A$2:$G$501,2,FALSE())</f>
        <v>Michael Wilson</v>
      </c>
      <c r="J420" s="1" t="str">
        <f aca="false">VLOOKUP(H420,Customers!$A$2:$G$501,6,FALSE())</f>
        <v>Small Business</v>
      </c>
      <c r="K420" s="1" t="n">
        <f aca="false">COUNTIFS(Orders!$B$2:$B$5876,H420,Orders!$H$2:$H$5876,"Completed")</f>
        <v>8</v>
      </c>
      <c r="L420" s="4" t="n">
        <f aca="false">SUMIFS(Orders!$I$2:$I$5876,Orders!$B$2:$B$5876,H420,Orders!$H$2:$H$5876,"Completed")</f>
        <v>16316.08</v>
      </c>
    </row>
    <row r="421" customFormat="false" ht="15" hidden="false" customHeight="true" outlineLevel="0" collapsed="false">
      <c r="H421" s="1" t="n">
        <v>410</v>
      </c>
      <c r="I421" s="1" t="str">
        <f aca="false">VLOOKUP(H421,Customers!$A$2:$G$501,2,FALSE())</f>
        <v>Laura Johnson</v>
      </c>
      <c r="J421" s="1" t="str">
        <f aca="false">VLOOKUP(H421,Customers!$A$2:$G$501,6,FALSE())</f>
        <v>Consumer</v>
      </c>
      <c r="K421" s="1" t="n">
        <f aca="false">COUNTIFS(Orders!$B$2:$B$5876,H421,Orders!$H$2:$H$5876,"Completed")</f>
        <v>14</v>
      </c>
      <c r="L421" s="4" t="n">
        <f aca="false">SUMIFS(Orders!$I$2:$I$5876,Orders!$B$2:$B$5876,H421,Orders!$H$2:$H$5876,"Completed")</f>
        <v>18409.2</v>
      </c>
    </row>
    <row r="422" customFormat="false" ht="15" hidden="false" customHeight="true" outlineLevel="0" collapsed="false">
      <c r="H422" s="1" t="n">
        <v>411</v>
      </c>
      <c r="I422" s="1" t="str">
        <f aca="false">VLOOKUP(H422,Customers!$A$2:$G$501,2,FALSE())</f>
        <v>Valentina Hernandez</v>
      </c>
      <c r="J422" s="1" t="str">
        <f aca="false">VLOOKUP(H422,Customers!$A$2:$G$501,6,FALSE())</f>
        <v>Corporate</v>
      </c>
      <c r="K422" s="1" t="n">
        <f aca="false">COUNTIFS(Orders!$B$2:$B$5876,H422,Orders!$H$2:$H$5876,"Completed")</f>
        <v>7</v>
      </c>
      <c r="L422" s="4" t="n">
        <f aca="false">SUMIFS(Orders!$I$2:$I$5876,Orders!$B$2:$B$5876,H422,Orders!$H$2:$H$5876,"Completed")</f>
        <v>5638.25</v>
      </c>
    </row>
    <row r="423" customFormat="false" ht="15" hidden="false" customHeight="true" outlineLevel="0" collapsed="false">
      <c r="H423" s="1" t="n">
        <v>412</v>
      </c>
      <c r="I423" s="1" t="str">
        <f aca="false">VLOOKUP(H423,Customers!$A$2:$G$501,2,FALSE())</f>
        <v>Jennifer Anderson</v>
      </c>
      <c r="J423" s="1" t="str">
        <f aca="false">VLOOKUP(H423,Customers!$A$2:$G$501,6,FALSE())</f>
        <v>Corporate</v>
      </c>
      <c r="K423" s="1" t="n">
        <f aca="false">COUNTIFS(Orders!$B$2:$B$5876,H423,Orders!$H$2:$H$5876,"Completed")</f>
        <v>12</v>
      </c>
      <c r="L423" s="4" t="n">
        <f aca="false">SUMIFS(Orders!$I$2:$I$5876,Orders!$B$2:$B$5876,H423,Orders!$H$2:$H$5876,"Completed")</f>
        <v>16922.13</v>
      </c>
    </row>
    <row r="424" customFormat="false" ht="15" hidden="false" customHeight="true" outlineLevel="0" collapsed="false">
      <c r="H424" s="1" t="n">
        <v>413</v>
      </c>
      <c r="I424" s="1" t="str">
        <f aca="false">VLOOKUP(H424,Customers!$A$2:$G$501,2,FALSE())</f>
        <v>Mary Brown</v>
      </c>
      <c r="J424" s="1" t="str">
        <f aca="false">VLOOKUP(H424,Customers!$A$2:$G$501,6,FALSE())</f>
        <v>Small Business</v>
      </c>
      <c r="K424" s="1" t="n">
        <f aca="false">COUNTIFS(Orders!$B$2:$B$5876,H424,Orders!$H$2:$H$5876,"Completed")</f>
        <v>9</v>
      </c>
      <c r="L424" s="4" t="n">
        <f aca="false">SUMIFS(Orders!$I$2:$I$5876,Orders!$B$2:$B$5876,H424,Orders!$H$2:$H$5876,"Completed")</f>
        <v>19819.08</v>
      </c>
    </row>
    <row r="425" customFormat="false" ht="15" hidden="false" customHeight="true" outlineLevel="0" collapsed="false">
      <c r="H425" s="1" t="n">
        <v>414</v>
      </c>
      <c r="I425" s="1" t="str">
        <f aca="false">VLOOKUP(H425,Customers!$A$2:$G$501,2,FALSE())</f>
        <v>Carlos Moore</v>
      </c>
      <c r="J425" s="1" t="str">
        <f aca="false">VLOOKUP(H425,Customers!$A$2:$G$501,6,FALSE())</f>
        <v>Consumer</v>
      </c>
      <c r="K425" s="1" t="n">
        <f aca="false">COUNTIFS(Orders!$B$2:$B$5876,H425,Orders!$H$2:$H$5876,"Completed")</f>
        <v>11</v>
      </c>
      <c r="L425" s="4" t="n">
        <f aca="false">SUMIFS(Orders!$I$2:$I$5876,Orders!$B$2:$B$5876,H425,Orders!$H$2:$H$5876,"Completed")</f>
        <v>17358.32</v>
      </c>
    </row>
    <row r="426" customFormat="false" ht="15" hidden="false" customHeight="true" outlineLevel="0" collapsed="false">
      <c r="H426" s="1" t="n">
        <v>415</v>
      </c>
      <c r="I426" s="1" t="str">
        <f aca="false">VLOOKUP(H426,Customers!$A$2:$G$501,2,FALSE())</f>
        <v>Nancy Moore</v>
      </c>
      <c r="J426" s="1" t="str">
        <f aca="false">VLOOKUP(H426,Customers!$A$2:$G$501,6,FALSE())</f>
        <v>Consumer</v>
      </c>
      <c r="K426" s="1" t="n">
        <f aca="false">COUNTIFS(Orders!$B$2:$B$5876,H426,Orders!$H$2:$H$5876,"Completed")</f>
        <v>9</v>
      </c>
      <c r="L426" s="4" t="n">
        <f aca="false">SUMIFS(Orders!$I$2:$I$5876,Orders!$B$2:$B$5876,H426,Orders!$H$2:$H$5876,"Completed")</f>
        <v>10528.82</v>
      </c>
    </row>
    <row r="427" customFormat="false" ht="15" hidden="false" customHeight="true" outlineLevel="0" collapsed="false">
      <c r="H427" s="1" t="n">
        <v>416</v>
      </c>
      <c r="I427" s="1" t="str">
        <f aca="false">VLOOKUP(H427,Customers!$A$2:$G$501,2,FALSE())</f>
        <v>Charles Moore</v>
      </c>
      <c r="J427" s="1" t="str">
        <f aca="false">VLOOKUP(H427,Customers!$A$2:$G$501,6,FALSE())</f>
        <v>Small Business</v>
      </c>
      <c r="K427" s="1" t="n">
        <f aca="false">COUNTIFS(Orders!$B$2:$B$5876,H427,Orders!$H$2:$H$5876,"Completed")</f>
        <v>6</v>
      </c>
      <c r="L427" s="4" t="n">
        <f aca="false">SUMIFS(Orders!$I$2:$I$5876,Orders!$B$2:$B$5876,H427,Orders!$H$2:$H$5876,"Completed")</f>
        <v>4313.38</v>
      </c>
    </row>
    <row r="428" customFormat="false" ht="15" hidden="false" customHeight="true" outlineLevel="0" collapsed="false">
      <c r="H428" s="1" t="n">
        <v>417</v>
      </c>
      <c r="I428" s="1" t="str">
        <f aca="false">VLOOKUP(H428,Customers!$A$2:$G$501,2,FALSE())</f>
        <v>Mark Brown</v>
      </c>
      <c r="J428" s="1" t="str">
        <f aca="false">VLOOKUP(H428,Customers!$A$2:$G$501,6,FALSE())</f>
        <v>Consumer</v>
      </c>
      <c r="K428" s="1" t="n">
        <f aca="false">COUNTIFS(Orders!$B$2:$B$5876,H428,Orders!$H$2:$H$5876,"Completed")</f>
        <v>7</v>
      </c>
      <c r="L428" s="4" t="n">
        <f aca="false">SUMIFS(Orders!$I$2:$I$5876,Orders!$B$2:$B$5876,H428,Orders!$H$2:$H$5876,"Completed")</f>
        <v>6916.02</v>
      </c>
    </row>
    <row r="429" customFormat="false" ht="15" hidden="false" customHeight="true" outlineLevel="0" collapsed="false">
      <c r="H429" s="1" t="n">
        <v>418</v>
      </c>
      <c r="I429" s="1" t="str">
        <f aca="false">VLOOKUP(H429,Customers!$A$2:$G$501,2,FALSE())</f>
        <v>Michael Harris</v>
      </c>
      <c r="J429" s="1" t="str">
        <f aca="false">VLOOKUP(H429,Customers!$A$2:$G$501,6,FALSE())</f>
        <v>Corporate</v>
      </c>
      <c r="K429" s="1" t="n">
        <f aca="false">COUNTIFS(Orders!$B$2:$B$5876,H429,Orders!$H$2:$H$5876,"Completed")</f>
        <v>11</v>
      </c>
      <c r="L429" s="4" t="n">
        <f aca="false">SUMIFS(Orders!$I$2:$I$5876,Orders!$B$2:$B$5876,H429,Orders!$H$2:$H$5876,"Completed")</f>
        <v>17990.35</v>
      </c>
    </row>
    <row r="430" customFormat="false" ht="15" hidden="false" customHeight="true" outlineLevel="0" collapsed="false">
      <c r="H430" s="1" t="n">
        <v>419</v>
      </c>
      <c r="I430" s="1" t="str">
        <f aca="false">VLOOKUP(H430,Customers!$A$2:$G$501,2,FALSE())</f>
        <v>Mariana Taylor</v>
      </c>
      <c r="J430" s="1" t="str">
        <f aca="false">VLOOKUP(H430,Customers!$A$2:$G$501,6,FALSE())</f>
        <v>Small Business</v>
      </c>
      <c r="K430" s="1" t="n">
        <f aca="false">COUNTIFS(Orders!$B$2:$B$5876,H430,Orders!$H$2:$H$5876,"Completed")</f>
        <v>9</v>
      </c>
      <c r="L430" s="4" t="n">
        <f aca="false">SUMIFS(Orders!$I$2:$I$5876,Orders!$B$2:$B$5876,H430,Orders!$H$2:$H$5876,"Completed")</f>
        <v>13971.75</v>
      </c>
    </row>
    <row r="431" customFormat="false" ht="15" hidden="false" customHeight="true" outlineLevel="0" collapsed="false">
      <c r="H431" s="1" t="n">
        <v>420</v>
      </c>
      <c r="I431" s="1" t="str">
        <f aca="false">VLOOKUP(H431,Customers!$A$2:$G$501,2,FALSE())</f>
        <v>Carlos Harris</v>
      </c>
      <c r="J431" s="1" t="str">
        <f aca="false">VLOOKUP(H431,Customers!$A$2:$G$501,6,FALSE())</f>
        <v>Small Business</v>
      </c>
      <c r="K431" s="1" t="n">
        <f aca="false">COUNTIFS(Orders!$B$2:$B$5876,H431,Orders!$H$2:$H$5876,"Completed")</f>
        <v>12</v>
      </c>
      <c r="L431" s="4" t="n">
        <f aca="false">SUMIFS(Orders!$I$2:$I$5876,Orders!$B$2:$B$5876,H431,Orders!$H$2:$H$5876,"Completed")</f>
        <v>14760.5</v>
      </c>
    </row>
    <row r="432" customFormat="false" ht="15" hidden="false" customHeight="true" outlineLevel="0" collapsed="false">
      <c r="H432" s="1" t="n">
        <v>421</v>
      </c>
      <c r="I432" s="1" t="str">
        <f aca="false">VLOOKUP(H432,Customers!$A$2:$G$501,2,FALSE())</f>
        <v>Daniel Taylor</v>
      </c>
      <c r="J432" s="1" t="str">
        <f aca="false">VLOOKUP(H432,Customers!$A$2:$G$501,6,FALSE())</f>
        <v>Corporate</v>
      </c>
      <c r="K432" s="1" t="n">
        <f aca="false">COUNTIFS(Orders!$B$2:$B$5876,H432,Orders!$H$2:$H$5876,"Completed")</f>
        <v>6</v>
      </c>
      <c r="L432" s="4" t="n">
        <f aca="false">SUMIFS(Orders!$I$2:$I$5876,Orders!$B$2:$B$5876,H432,Orders!$H$2:$H$5876,"Completed")</f>
        <v>7450.73</v>
      </c>
    </row>
    <row r="433" customFormat="false" ht="15" hidden="false" customHeight="true" outlineLevel="0" collapsed="false">
      <c r="H433" s="1" t="n">
        <v>422</v>
      </c>
      <c r="I433" s="1" t="str">
        <f aca="false">VLOOKUP(H433,Customers!$A$2:$G$501,2,FALSE())</f>
        <v>Juan Sanchez</v>
      </c>
      <c r="J433" s="1" t="str">
        <f aca="false">VLOOKUP(H433,Customers!$A$2:$G$501,6,FALSE())</f>
        <v>Small Business</v>
      </c>
      <c r="K433" s="1" t="n">
        <f aca="false">COUNTIFS(Orders!$B$2:$B$5876,H433,Orders!$H$2:$H$5876,"Completed")</f>
        <v>5</v>
      </c>
      <c r="L433" s="4" t="n">
        <f aca="false">SUMIFS(Orders!$I$2:$I$5876,Orders!$B$2:$B$5876,H433,Orders!$H$2:$H$5876,"Completed")</f>
        <v>1672.86</v>
      </c>
    </row>
    <row r="434" customFormat="false" ht="15" hidden="false" customHeight="true" outlineLevel="0" collapsed="false">
      <c r="H434" s="1" t="n">
        <v>423</v>
      </c>
      <c r="I434" s="1" t="str">
        <f aca="false">VLOOKUP(H434,Customers!$A$2:$G$501,2,FALSE())</f>
        <v>Daniel Thompson</v>
      </c>
      <c r="J434" s="1" t="str">
        <f aca="false">VLOOKUP(H434,Customers!$A$2:$G$501,6,FALSE())</f>
        <v>Small Business</v>
      </c>
      <c r="K434" s="1" t="n">
        <f aca="false">COUNTIFS(Orders!$B$2:$B$5876,H434,Orders!$H$2:$H$5876,"Completed")</f>
        <v>14</v>
      </c>
      <c r="L434" s="4" t="n">
        <f aca="false">SUMIFS(Orders!$I$2:$I$5876,Orders!$B$2:$B$5876,H434,Orders!$H$2:$H$5876,"Completed")</f>
        <v>15760.23</v>
      </c>
    </row>
    <row r="435" customFormat="false" ht="15" hidden="false" customHeight="true" outlineLevel="0" collapsed="false">
      <c r="H435" s="1" t="n">
        <v>424</v>
      </c>
      <c r="I435" s="1" t="str">
        <f aca="false">VLOOKUP(H435,Customers!$A$2:$G$501,2,FALSE())</f>
        <v>Barbara Taylor</v>
      </c>
      <c r="J435" s="1" t="str">
        <f aca="false">VLOOKUP(H435,Customers!$A$2:$G$501,6,FALSE())</f>
        <v>Small Business</v>
      </c>
      <c r="K435" s="1" t="n">
        <f aca="false">COUNTIFS(Orders!$B$2:$B$5876,H435,Orders!$H$2:$H$5876,"Completed")</f>
        <v>11</v>
      </c>
      <c r="L435" s="4" t="n">
        <f aca="false">SUMIFS(Orders!$I$2:$I$5876,Orders!$B$2:$B$5876,H435,Orders!$H$2:$H$5876,"Completed")</f>
        <v>10466.98</v>
      </c>
    </row>
    <row r="436" customFormat="false" ht="15" hidden="false" customHeight="true" outlineLevel="0" collapsed="false">
      <c r="H436" s="1" t="n">
        <v>425</v>
      </c>
      <c r="I436" s="1" t="str">
        <f aca="false">VLOOKUP(H436,Customers!$A$2:$G$501,2,FALSE())</f>
        <v>Mark Perez</v>
      </c>
      <c r="J436" s="1" t="str">
        <f aca="false">VLOOKUP(H436,Customers!$A$2:$G$501,6,FALSE())</f>
        <v>Unknown</v>
      </c>
      <c r="K436" s="1" t="n">
        <f aca="false">COUNTIFS(Orders!$B$2:$B$5876,H436,Orders!$H$2:$H$5876,"Completed")</f>
        <v>11</v>
      </c>
      <c r="L436" s="4" t="n">
        <f aca="false">SUMIFS(Orders!$I$2:$I$5876,Orders!$B$2:$B$5876,H436,Orders!$H$2:$H$5876,"Completed")</f>
        <v>16443.11</v>
      </c>
    </row>
    <row r="437" customFormat="false" ht="15" hidden="false" customHeight="true" outlineLevel="0" collapsed="false">
      <c r="H437" s="1" t="n">
        <v>426</v>
      </c>
      <c r="I437" s="1" t="str">
        <f aca="false">VLOOKUP(H437,Customers!$A$2:$G$501,2,FALSE())</f>
        <v>Elizabeth Johnson</v>
      </c>
      <c r="J437" s="1" t="str">
        <f aca="false">VLOOKUP(H437,Customers!$A$2:$G$501,6,FALSE())</f>
        <v>Consumer</v>
      </c>
      <c r="K437" s="1" t="n">
        <f aca="false">COUNTIFS(Orders!$B$2:$B$5876,H437,Orders!$H$2:$H$5876,"Completed")</f>
        <v>15</v>
      </c>
      <c r="L437" s="4" t="n">
        <f aca="false">SUMIFS(Orders!$I$2:$I$5876,Orders!$B$2:$B$5876,H437,Orders!$H$2:$H$5876,"Completed")</f>
        <v>23856.47</v>
      </c>
    </row>
    <row r="438" customFormat="false" ht="15" hidden="false" customHeight="true" outlineLevel="0" collapsed="false">
      <c r="H438" s="1" t="n">
        <v>427</v>
      </c>
      <c r="I438" s="1" t="str">
        <f aca="false">VLOOKUP(H438,Customers!$A$2:$G$501,2,FALSE())</f>
        <v>Charles Miller</v>
      </c>
      <c r="J438" s="1" t="str">
        <f aca="false">VLOOKUP(H438,Customers!$A$2:$G$501,6,FALSE())</f>
        <v>Small Business</v>
      </c>
      <c r="K438" s="1" t="n">
        <f aca="false">COUNTIFS(Orders!$B$2:$B$5876,H438,Orders!$H$2:$H$5876,"Completed")</f>
        <v>12</v>
      </c>
      <c r="L438" s="4" t="n">
        <f aca="false">SUMIFS(Orders!$I$2:$I$5876,Orders!$B$2:$B$5876,H438,Orders!$H$2:$H$5876,"Completed")</f>
        <v>17468.1</v>
      </c>
    </row>
    <row r="439" customFormat="false" ht="15" hidden="false" customHeight="true" outlineLevel="0" collapsed="false">
      <c r="H439" s="1" t="n">
        <v>428</v>
      </c>
      <c r="I439" s="1" t="str">
        <f aca="false">VLOOKUP(H439,Customers!$A$2:$G$501,2,FALSE())</f>
        <v>Isabella Gonzalez</v>
      </c>
      <c r="J439" s="1" t="str">
        <f aca="false">VLOOKUP(H439,Customers!$A$2:$G$501,6,FALSE())</f>
        <v>Corporate</v>
      </c>
      <c r="K439" s="1" t="n">
        <f aca="false">COUNTIFS(Orders!$B$2:$B$5876,H439,Orders!$H$2:$H$5876,"Completed")</f>
        <v>8</v>
      </c>
      <c r="L439" s="4" t="n">
        <f aca="false">SUMIFS(Orders!$I$2:$I$5876,Orders!$B$2:$B$5876,H439,Orders!$H$2:$H$5876,"Completed")</f>
        <v>8203.46</v>
      </c>
    </row>
    <row r="440" customFormat="false" ht="15" hidden="false" customHeight="true" outlineLevel="0" collapsed="false">
      <c r="H440" s="1" t="n">
        <v>429</v>
      </c>
      <c r="I440" s="1" t="str">
        <f aca="false">VLOOKUP(H440,Customers!$A$2:$G$501,2,FALSE())</f>
        <v>Daniel Moore</v>
      </c>
      <c r="J440" s="1" t="str">
        <f aca="false">VLOOKUP(H440,Customers!$A$2:$G$501,6,FALSE())</f>
        <v>Corporate</v>
      </c>
      <c r="K440" s="1" t="n">
        <f aca="false">COUNTIFS(Orders!$B$2:$B$5876,H440,Orders!$H$2:$H$5876,"Completed")</f>
        <v>12</v>
      </c>
      <c r="L440" s="4" t="n">
        <f aca="false">SUMIFS(Orders!$I$2:$I$5876,Orders!$B$2:$B$5876,H440,Orders!$H$2:$H$5876,"Completed")</f>
        <v>14020.86</v>
      </c>
    </row>
    <row r="441" customFormat="false" ht="15" hidden="false" customHeight="true" outlineLevel="0" collapsed="false">
      <c r="H441" s="1" t="n">
        <v>430</v>
      </c>
      <c r="I441" s="1" t="str">
        <f aca="false">VLOOKUP(H441,Customers!$A$2:$G$501,2,FALSE())</f>
        <v>Lisa Harris</v>
      </c>
      <c r="J441" s="1" t="str">
        <f aca="false">VLOOKUP(H441,Customers!$A$2:$G$501,6,FALSE())</f>
        <v>Corporate</v>
      </c>
      <c r="K441" s="1" t="n">
        <f aca="false">COUNTIFS(Orders!$B$2:$B$5876,H441,Orders!$H$2:$H$5876,"Completed")</f>
        <v>11</v>
      </c>
      <c r="L441" s="4" t="n">
        <f aca="false">SUMIFS(Orders!$I$2:$I$5876,Orders!$B$2:$B$5876,H441,Orders!$H$2:$H$5876,"Completed")</f>
        <v>14264.18</v>
      </c>
    </row>
    <row r="442" customFormat="false" ht="15" hidden="false" customHeight="true" outlineLevel="0" collapsed="false">
      <c r="H442" s="1" t="n">
        <v>431</v>
      </c>
      <c r="I442" s="1" t="str">
        <f aca="false">VLOOKUP(H442,Customers!$A$2:$G$501,2,FALSE())</f>
        <v>John Garcia</v>
      </c>
      <c r="J442" s="1" t="str">
        <f aca="false">VLOOKUP(H442,Customers!$A$2:$G$501,6,FALSE())</f>
        <v>Consumer</v>
      </c>
      <c r="K442" s="1" t="n">
        <f aca="false">COUNTIFS(Orders!$B$2:$B$5876,H442,Orders!$H$2:$H$5876,"Completed")</f>
        <v>11</v>
      </c>
      <c r="L442" s="4" t="n">
        <f aca="false">SUMIFS(Orders!$I$2:$I$5876,Orders!$B$2:$B$5876,H442,Orders!$H$2:$H$5876,"Completed")</f>
        <v>16322.54</v>
      </c>
    </row>
    <row r="443" customFormat="false" ht="15" hidden="false" customHeight="true" outlineLevel="0" collapsed="false">
      <c r="H443" s="1" t="n">
        <v>432</v>
      </c>
      <c r="I443" s="1" t="str">
        <f aca="false">VLOOKUP(H443,Customers!$A$2:$G$501,2,FALSE())</f>
        <v>Thomas Smith</v>
      </c>
      <c r="J443" s="1" t="str">
        <f aca="false">VLOOKUP(H443,Customers!$A$2:$G$501,6,FALSE())</f>
        <v>Consumer</v>
      </c>
      <c r="K443" s="1" t="n">
        <f aca="false">COUNTIFS(Orders!$B$2:$B$5876,H443,Orders!$H$2:$H$5876,"Completed")</f>
        <v>7</v>
      </c>
      <c r="L443" s="4" t="n">
        <f aca="false">SUMIFS(Orders!$I$2:$I$5876,Orders!$B$2:$B$5876,H443,Orders!$H$2:$H$5876,"Completed")</f>
        <v>6845.65</v>
      </c>
    </row>
    <row r="444" customFormat="false" ht="15" hidden="false" customHeight="true" outlineLevel="0" collapsed="false">
      <c r="H444" s="1" t="n">
        <v>433</v>
      </c>
      <c r="I444" s="1" t="str">
        <f aca="false">VLOOKUP(H444,Customers!$A$2:$G$501,2,FALSE())</f>
        <v>Laura Clark</v>
      </c>
      <c r="J444" s="1" t="str">
        <f aca="false">VLOOKUP(H444,Customers!$A$2:$G$501,6,FALSE())</f>
        <v>Small Business</v>
      </c>
      <c r="K444" s="1" t="n">
        <f aca="false">COUNTIFS(Orders!$B$2:$B$5876,H444,Orders!$H$2:$H$5876,"Completed")</f>
        <v>4</v>
      </c>
      <c r="L444" s="4" t="n">
        <f aca="false">SUMIFS(Orders!$I$2:$I$5876,Orders!$B$2:$B$5876,H444,Orders!$H$2:$H$5876,"Completed")</f>
        <v>3786.3</v>
      </c>
    </row>
    <row r="445" customFormat="false" ht="15" hidden="false" customHeight="true" outlineLevel="0" collapsed="false">
      <c r="H445" s="1" t="n">
        <v>434</v>
      </c>
      <c r="I445" s="1" t="str">
        <f aca="false">VLOOKUP(H445,Customers!$A$2:$G$501,2,FALSE())</f>
        <v>Barbara Taylor</v>
      </c>
      <c r="J445" s="1" t="str">
        <f aca="false">VLOOKUP(H445,Customers!$A$2:$G$501,6,FALSE())</f>
        <v>Consumer</v>
      </c>
      <c r="K445" s="1" t="n">
        <f aca="false">COUNTIFS(Orders!$B$2:$B$5876,H445,Orders!$H$2:$H$5876,"Completed")</f>
        <v>12</v>
      </c>
      <c r="L445" s="4" t="n">
        <f aca="false">SUMIFS(Orders!$I$2:$I$5876,Orders!$B$2:$B$5876,H445,Orders!$H$2:$H$5876,"Completed")</f>
        <v>19844.82</v>
      </c>
    </row>
    <row r="446" customFormat="false" ht="15" hidden="false" customHeight="true" outlineLevel="0" collapsed="false">
      <c r="H446" s="1" t="n">
        <v>435</v>
      </c>
      <c r="I446" s="1" t="str">
        <f aca="false">VLOOKUP(H446,Customers!$A$2:$G$501,2,FALSE())</f>
        <v>Nancy Lopez</v>
      </c>
      <c r="J446" s="1" t="str">
        <f aca="false">VLOOKUP(H446,Customers!$A$2:$G$501,6,FALSE())</f>
        <v>Unknown</v>
      </c>
      <c r="K446" s="1" t="n">
        <f aca="false">COUNTIFS(Orders!$B$2:$B$5876,H446,Orders!$H$2:$H$5876,"Completed")</f>
        <v>9</v>
      </c>
      <c r="L446" s="4" t="n">
        <f aca="false">SUMIFS(Orders!$I$2:$I$5876,Orders!$B$2:$B$5876,H446,Orders!$H$2:$H$5876,"Completed")</f>
        <v>24734.34</v>
      </c>
    </row>
    <row r="447" customFormat="false" ht="15" hidden="false" customHeight="true" outlineLevel="0" collapsed="false">
      <c r="H447" s="1" t="n">
        <v>436</v>
      </c>
      <c r="I447" s="1" t="str">
        <f aca="false">VLOOKUP(H447,Customers!$A$2:$G$501,2,FALSE())</f>
        <v>Matthew Anderson</v>
      </c>
      <c r="J447" s="1" t="str">
        <f aca="false">VLOOKUP(H447,Customers!$A$2:$G$501,6,FALSE())</f>
        <v>Corporate</v>
      </c>
      <c r="K447" s="1" t="n">
        <f aca="false">COUNTIFS(Orders!$B$2:$B$5876,H447,Orders!$H$2:$H$5876,"Completed")</f>
        <v>15</v>
      </c>
      <c r="L447" s="4" t="n">
        <f aca="false">SUMIFS(Orders!$I$2:$I$5876,Orders!$B$2:$B$5876,H447,Orders!$H$2:$H$5876,"Completed")</f>
        <v>22629.84</v>
      </c>
    </row>
    <row r="448" customFormat="false" ht="15" hidden="false" customHeight="true" outlineLevel="0" collapsed="false">
      <c r="H448" s="1" t="n">
        <v>437</v>
      </c>
      <c r="I448" s="1" t="str">
        <f aca="false">VLOOKUP(H448,Customers!$A$2:$G$501,2,FALSE())</f>
        <v>Linda Gonzalez</v>
      </c>
      <c r="J448" s="1" t="str">
        <f aca="false">VLOOKUP(H448,Customers!$A$2:$G$501,6,FALSE())</f>
        <v>Small Business</v>
      </c>
      <c r="K448" s="1" t="n">
        <f aca="false">COUNTIFS(Orders!$B$2:$B$5876,H448,Orders!$H$2:$H$5876,"Completed")</f>
        <v>9</v>
      </c>
      <c r="L448" s="4" t="n">
        <f aca="false">SUMIFS(Orders!$I$2:$I$5876,Orders!$B$2:$B$5876,H448,Orders!$H$2:$H$5876,"Completed")</f>
        <v>10829.59</v>
      </c>
    </row>
    <row r="449" customFormat="false" ht="15" hidden="false" customHeight="true" outlineLevel="0" collapsed="false">
      <c r="H449" s="1" t="n">
        <v>438</v>
      </c>
      <c r="I449" s="1" t="str">
        <f aca="false">VLOOKUP(H449,Customers!$A$2:$G$501,2,FALSE())</f>
        <v>Juan Thomas</v>
      </c>
      <c r="J449" s="1" t="str">
        <f aca="false">VLOOKUP(H449,Customers!$A$2:$G$501,6,FALSE())</f>
        <v>Consumer</v>
      </c>
      <c r="K449" s="1" t="n">
        <f aca="false">COUNTIFS(Orders!$B$2:$B$5876,H449,Orders!$H$2:$H$5876,"Completed")</f>
        <v>9</v>
      </c>
      <c r="L449" s="4" t="n">
        <f aca="false">SUMIFS(Orders!$I$2:$I$5876,Orders!$B$2:$B$5876,H449,Orders!$H$2:$H$5876,"Completed")</f>
        <v>18384.15</v>
      </c>
    </row>
    <row r="450" customFormat="false" ht="15" hidden="false" customHeight="true" outlineLevel="0" collapsed="false">
      <c r="H450" s="1" t="n">
        <v>439</v>
      </c>
      <c r="I450" s="1" t="str">
        <f aca="false">VLOOKUP(H450,Customers!$A$2:$G$501,2,FALSE())</f>
        <v>Luis Moore</v>
      </c>
      <c r="J450" s="1" t="str">
        <f aca="false">VLOOKUP(H450,Customers!$A$2:$G$501,6,FALSE())</f>
        <v>Corporate</v>
      </c>
      <c r="K450" s="1" t="n">
        <f aca="false">COUNTIFS(Orders!$B$2:$B$5876,H450,Orders!$H$2:$H$5876,"Completed")</f>
        <v>15</v>
      </c>
      <c r="L450" s="4" t="n">
        <f aca="false">SUMIFS(Orders!$I$2:$I$5876,Orders!$B$2:$B$5876,H450,Orders!$H$2:$H$5876,"Completed")</f>
        <v>16923.39</v>
      </c>
    </row>
    <row r="451" customFormat="false" ht="15" hidden="false" customHeight="true" outlineLevel="0" collapsed="false">
      <c r="H451" s="1" t="n">
        <v>440</v>
      </c>
      <c r="I451" s="1" t="str">
        <f aca="false">VLOOKUP(H451,Customers!$A$2:$G$501,2,FALSE())</f>
        <v>Susan Moore</v>
      </c>
      <c r="J451" s="1" t="str">
        <f aca="false">VLOOKUP(H451,Customers!$A$2:$G$501,6,FALSE())</f>
        <v>Small Business</v>
      </c>
      <c r="K451" s="1" t="n">
        <f aca="false">COUNTIFS(Orders!$B$2:$B$5876,H451,Orders!$H$2:$H$5876,"Completed")</f>
        <v>12</v>
      </c>
      <c r="L451" s="4" t="n">
        <f aca="false">SUMIFS(Orders!$I$2:$I$5876,Orders!$B$2:$B$5876,H451,Orders!$H$2:$H$5876,"Completed")</f>
        <v>19972.49</v>
      </c>
    </row>
    <row r="452" customFormat="false" ht="15" hidden="false" customHeight="true" outlineLevel="0" collapsed="false">
      <c r="H452" s="1" t="n">
        <v>441</v>
      </c>
      <c r="I452" s="1" t="str">
        <f aca="false">VLOOKUP(H452,Customers!$A$2:$G$501,2,FALSE())</f>
        <v>Jennifer Williams</v>
      </c>
      <c r="J452" s="1" t="str">
        <f aca="false">VLOOKUP(H452,Customers!$A$2:$G$501,6,FALSE())</f>
        <v>Corporate</v>
      </c>
      <c r="K452" s="1" t="n">
        <f aca="false">COUNTIFS(Orders!$B$2:$B$5876,H452,Orders!$H$2:$H$5876,"Completed")</f>
        <v>8</v>
      </c>
      <c r="L452" s="4" t="n">
        <f aca="false">SUMIFS(Orders!$I$2:$I$5876,Orders!$B$2:$B$5876,H452,Orders!$H$2:$H$5876,"Completed")</f>
        <v>12205.67</v>
      </c>
    </row>
    <row r="453" customFormat="false" ht="15" hidden="false" customHeight="true" outlineLevel="0" collapsed="false">
      <c r="H453" s="1" t="n">
        <v>442</v>
      </c>
      <c r="I453" s="1" t="str">
        <f aca="false">VLOOKUP(H453,Customers!$A$2:$G$501,2,FALSE())</f>
        <v>Juan Lee</v>
      </c>
      <c r="J453" s="1" t="str">
        <f aca="false">VLOOKUP(H453,Customers!$A$2:$G$501,6,FALSE())</f>
        <v>Small Business</v>
      </c>
      <c r="K453" s="1" t="n">
        <f aca="false">COUNTIFS(Orders!$B$2:$B$5876,H453,Orders!$H$2:$H$5876,"Completed")</f>
        <v>13</v>
      </c>
      <c r="L453" s="4" t="n">
        <f aca="false">SUMIFS(Orders!$I$2:$I$5876,Orders!$B$2:$B$5876,H453,Orders!$H$2:$H$5876,"Completed")</f>
        <v>17063.76</v>
      </c>
    </row>
    <row r="454" customFormat="false" ht="15" hidden="false" customHeight="true" outlineLevel="0" collapsed="false">
      <c r="H454" s="1" t="n">
        <v>443</v>
      </c>
      <c r="I454" s="1" t="str">
        <f aca="false">VLOOKUP(H454,Customers!$A$2:$G$501,2,FALSE())</f>
        <v>Mariana Johnson</v>
      </c>
      <c r="J454" s="1" t="str">
        <f aca="false">VLOOKUP(H454,Customers!$A$2:$G$501,6,FALSE())</f>
        <v>Consumer</v>
      </c>
      <c r="K454" s="1" t="n">
        <f aca="false">COUNTIFS(Orders!$B$2:$B$5876,H454,Orders!$H$2:$H$5876,"Completed")</f>
        <v>11</v>
      </c>
      <c r="L454" s="4" t="n">
        <f aca="false">SUMIFS(Orders!$I$2:$I$5876,Orders!$B$2:$B$5876,H454,Orders!$H$2:$H$5876,"Completed")</f>
        <v>18447.67</v>
      </c>
    </row>
    <row r="455" customFormat="false" ht="15" hidden="false" customHeight="true" outlineLevel="0" collapsed="false">
      <c r="H455" s="1" t="n">
        <v>444</v>
      </c>
      <c r="I455" s="1" t="str">
        <f aca="false">VLOOKUP(H455,Customers!$A$2:$G$501,2,FALSE())</f>
        <v>Juan Gonzalez</v>
      </c>
      <c r="J455" s="1" t="str">
        <f aca="false">VLOOKUP(H455,Customers!$A$2:$G$501,6,FALSE())</f>
        <v>Small Business</v>
      </c>
      <c r="K455" s="1" t="n">
        <f aca="false">COUNTIFS(Orders!$B$2:$B$5876,H455,Orders!$H$2:$H$5876,"Completed")</f>
        <v>10</v>
      </c>
      <c r="L455" s="4" t="n">
        <f aca="false">SUMIFS(Orders!$I$2:$I$5876,Orders!$B$2:$B$5876,H455,Orders!$H$2:$H$5876,"Completed")</f>
        <v>8356.56</v>
      </c>
    </row>
    <row r="456" customFormat="false" ht="15" hidden="false" customHeight="true" outlineLevel="0" collapsed="false">
      <c r="H456" s="1" t="n">
        <v>445</v>
      </c>
      <c r="I456" s="1" t="str">
        <f aca="false">VLOOKUP(H456,Customers!$A$2:$G$501,2,FALSE())</f>
        <v>Elizabeth Martinez</v>
      </c>
      <c r="J456" s="1" t="str">
        <f aca="false">VLOOKUP(H456,Customers!$A$2:$G$501,6,FALSE())</f>
        <v>Small Business</v>
      </c>
      <c r="K456" s="1" t="n">
        <f aca="false">COUNTIFS(Orders!$B$2:$B$5876,H456,Orders!$H$2:$H$5876,"Completed")</f>
        <v>5</v>
      </c>
      <c r="L456" s="4" t="n">
        <f aca="false">SUMIFS(Orders!$I$2:$I$5876,Orders!$B$2:$B$5876,H456,Orders!$H$2:$H$5876,"Completed")</f>
        <v>8822.98</v>
      </c>
    </row>
    <row r="457" customFormat="false" ht="15" hidden="false" customHeight="true" outlineLevel="0" collapsed="false">
      <c r="H457" s="1" t="n">
        <v>446</v>
      </c>
      <c r="I457" s="1" t="str">
        <f aca="false">VLOOKUP(H457,Customers!$A$2:$G$501,2,FALSE())</f>
        <v>Isabella Williams</v>
      </c>
      <c r="J457" s="1" t="str">
        <f aca="false">VLOOKUP(H457,Customers!$A$2:$G$501,6,FALSE())</f>
        <v>Small Business</v>
      </c>
      <c r="K457" s="1" t="n">
        <f aca="false">COUNTIFS(Orders!$B$2:$B$5876,H457,Orders!$H$2:$H$5876,"Completed")</f>
        <v>13</v>
      </c>
      <c r="L457" s="4" t="n">
        <f aca="false">SUMIFS(Orders!$I$2:$I$5876,Orders!$B$2:$B$5876,H457,Orders!$H$2:$H$5876,"Completed")</f>
        <v>16132.19</v>
      </c>
    </row>
    <row r="458" customFormat="false" ht="15" hidden="false" customHeight="true" outlineLevel="0" collapsed="false">
      <c r="H458" s="1" t="n">
        <v>447</v>
      </c>
      <c r="I458" s="1" t="str">
        <f aca="false">VLOOKUP(H458,Customers!$A$2:$G$501,2,FALSE())</f>
        <v>Elizabeth Garcia</v>
      </c>
      <c r="J458" s="1" t="str">
        <f aca="false">VLOOKUP(H458,Customers!$A$2:$G$501,6,FALSE())</f>
        <v>Small Business</v>
      </c>
      <c r="K458" s="1" t="n">
        <f aca="false">COUNTIFS(Orders!$B$2:$B$5876,H458,Orders!$H$2:$H$5876,"Completed")</f>
        <v>9</v>
      </c>
      <c r="L458" s="4" t="n">
        <f aca="false">SUMIFS(Orders!$I$2:$I$5876,Orders!$B$2:$B$5876,H458,Orders!$H$2:$H$5876,"Completed")</f>
        <v>12262.07</v>
      </c>
    </row>
    <row r="459" customFormat="false" ht="15" hidden="false" customHeight="true" outlineLevel="0" collapsed="false">
      <c r="H459" s="1" t="n">
        <v>448</v>
      </c>
      <c r="I459" s="1" t="str">
        <f aca="false">VLOOKUP(H459,Customers!$A$2:$G$501,2,FALSE())</f>
        <v>Isabella Anderson</v>
      </c>
      <c r="J459" s="1" t="str">
        <f aca="false">VLOOKUP(H459,Customers!$A$2:$G$501,6,FALSE())</f>
        <v>Corporate</v>
      </c>
      <c r="K459" s="1" t="n">
        <f aca="false">COUNTIFS(Orders!$B$2:$B$5876,H459,Orders!$H$2:$H$5876,"Completed")</f>
        <v>9</v>
      </c>
      <c r="L459" s="4" t="n">
        <f aca="false">SUMIFS(Orders!$I$2:$I$5876,Orders!$B$2:$B$5876,H459,Orders!$H$2:$H$5876,"Completed")</f>
        <v>12801.78</v>
      </c>
    </row>
    <row r="460" customFormat="false" ht="15" hidden="false" customHeight="true" outlineLevel="0" collapsed="false">
      <c r="H460" s="1" t="n">
        <v>449</v>
      </c>
      <c r="I460" s="1" t="str">
        <f aca="false">VLOOKUP(H460,Customers!$A$2:$G$501,2,FALSE())</f>
        <v>Matthew Jones</v>
      </c>
      <c r="J460" s="1" t="str">
        <f aca="false">VLOOKUP(H460,Customers!$A$2:$G$501,6,FALSE())</f>
        <v>Corporate</v>
      </c>
      <c r="K460" s="1" t="n">
        <f aca="false">COUNTIFS(Orders!$B$2:$B$5876,H460,Orders!$H$2:$H$5876,"Completed")</f>
        <v>11</v>
      </c>
      <c r="L460" s="4" t="n">
        <f aca="false">SUMIFS(Orders!$I$2:$I$5876,Orders!$B$2:$B$5876,H460,Orders!$H$2:$H$5876,"Completed")</f>
        <v>15975.9</v>
      </c>
    </row>
    <row r="461" customFormat="false" ht="15" hidden="false" customHeight="true" outlineLevel="0" collapsed="false">
      <c r="H461" s="1" t="n">
        <v>450</v>
      </c>
      <c r="I461" s="1" t="str">
        <f aca="false">VLOOKUP(H461,Customers!$A$2:$G$501,2,FALSE())</f>
        <v>Karen Thompson</v>
      </c>
      <c r="J461" s="1" t="str">
        <f aca="false">VLOOKUP(H461,Customers!$A$2:$G$501,6,FALSE())</f>
        <v>Consumer</v>
      </c>
      <c r="K461" s="1" t="n">
        <f aca="false">COUNTIFS(Orders!$B$2:$B$5876,H461,Orders!$H$2:$H$5876,"Completed")</f>
        <v>19</v>
      </c>
      <c r="L461" s="4" t="n">
        <f aca="false">SUMIFS(Orders!$I$2:$I$5876,Orders!$B$2:$B$5876,H461,Orders!$H$2:$H$5876,"Completed")</f>
        <v>15331.87</v>
      </c>
    </row>
    <row r="462" customFormat="false" ht="15" hidden="false" customHeight="true" outlineLevel="0" collapsed="false">
      <c r="H462" s="1" t="n">
        <v>451</v>
      </c>
      <c r="I462" s="1" t="str">
        <f aca="false">VLOOKUP(H462,Customers!$A$2:$G$501,2,FALSE())</f>
        <v>Joseph Thompson</v>
      </c>
      <c r="J462" s="1" t="str">
        <f aca="false">VLOOKUP(H462,Customers!$A$2:$G$501,6,FALSE())</f>
        <v>Corporate</v>
      </c>
      <c r="K462" s="1" t="n">
        <f aca="false">COUNTIFS(Orders!$B$2:$B$5876,H462,Orders!$H$2:$H$5876,"Completed")</f>
        <v>10</v>
      </c>
      <c r="L462" s="4" t="n">
        <f aca="false">SUMIFS(Orders!$I$2:$I$5876,Orders!$B$2:$B$5876,H462,Orders!$H$2:$H$5876,"Completed")</f>
        <v>19626.95</v>
      </c>
    </row>
    <row r="463" customFormat="false" ht="15" hidden="false" customHeight="true" outlineLevel="0" collapsed="false">
      <c r="H463" s="1" t="n">
        <v>452</v>
      </c>
      <c r="I463" s="1" t="str">
        <f aca="false">VLOOKUP(H463,Customers!$A$2:$G$501,2,FALSE())</f>
        <v>Karen Thomas</v>
      </c>
      <c r="J463" s="1" t="str">
        <f aca="false">VLOOKUP(H463,Customers!$A$2:$G$501,6,FALSE())</f>
        <v>Consumer</v>
      </c>
      <c r="K463" s="1" t="n">
        <f aca="false">COUNTIFS(Orders!$B$2:$B$5876,H463,Orders!$H$2:$H$5876,"Completed")</f>
        <v>8</v>
      </c>
      <c r="L463" s="4" t="n">
        <f aca="false">SUMIFS(Orders!$I$2:$I$5876,Orders!$B$2:$B$5876,H463,Orders!$H$2:$H$5876,"Completed")</f>
        <v>8771.59</v>
      </c>
    </row>
    <row r="464" customFormat="false" ht="15" hidden="false" customHeight="true" outlineLevel="0" collapsed="false">
      <c r="H464" s="1" t="n">
        <v>453</v>
      </c>
      <c r="I464" s="1" t="str">
        <f aca="false">VLOOKUP(H464,Customers!$A$2:$G$501,2,FALSE())</f>
        <v>Richard Rodriguez</v>
      </c>
      <c r="J464" s="1" t="str">
        <f aca="false">VLOOKUP(H464,Customers!$A$2:$G$501,6,FALSE())</f>
        <v>Small Business</v>
      </c>
      <c r="K464" s="1" t="n">
        <f aca="false">COUNTIFS(Orders!$B$2:$B$5876,H464,Orders!$H$2:$H$5876,"Completed")</f>
        <v>10</v>
      </c>
      <c r="L464" s="4" t="n">
        <f aca="false">SUMIFS(Orders!$I$2:$I$5876,Orders!$B$2:$B$5876,H464,Orders!$H$2:$H$5876,"Completed")</f>
        <v>6417.72</v>
      </c>
    </row>
    <row r="465" customFormat="false" ht="15" hidden="false" customHeight="true" outlineLevel="0" collapsed="false">
      <c r="H465" s="1" t="n">
        <v>454</v>
      </c>
      <c r="I465" s="1" t="str">
        <f aca="false">VLOOKUP(H465,Customers!$A$2:$G$501,2,FALSE())</f>
        <v>Mariana Miller</v>
      </c>
      <c r="J465" s="1" t="str">
        <f aca="false">VLOOKUP(H465,Customers!$A$2:$G$501,6,FALSE())</f>
        <v>Consumer</v>
      </c>
      <c r="K465" s="1" t="n">
        <f aca="false">COUNTIFS(Orders!$B$2:$B$5876,H465,Orders!$H$2:$H$5876,"Completed")</f>
        <v>10</v>
      </c>
      <c r="L465" s="4" t="n">
        <f aca="false">SUMIFS(Orders!$I$2:$I$5876,Orders!$B$2:$B$5876,H465,Orders!$H$2:$H$5876,"Completed")</f>
        <v>13468.08</v>
      </c>
    </row>
    <row r="466" customFormat="false" ht="15" hidden="false" customHeight="true" outlineLevel="0" collapsed="false">
      <c r="H466" s="1" t="n">
        <v>455</v>
      </c>
      <c r="I466" s="1" t="str">
        <f aca="false">VLOOKUP(H466,Customers!$A$2:$G$501,2,FALSE())</f>
        <v>Joseph Lewis</v>
      </c>
      <c r="J466" s="1" t="str">
        <f aca="false">VLOOKUP(H466,Customers!$A$2:$G$501,6,FALSE())</f>
        <v>Consumer</v>
      </c>
      <c r="K466" s="1" t="n">
        <f aca="false">COUNTIFS(Orders!$B$2:$B$5876,H466,Orders!$H$2:$H$5876,"Completed")</f>
        <v>8</v>
      </c>
      <c r="L466" s="4" t="n">
        <f aca="false">SUMIFS(Orders!$I$2:$I$5876,Orders!$B$2:$B$5876,H466,Orders!$H$2:$H$5876,"Completed")</f>
        <v>9408.5</v>
      </c>
    </row>
    <row r="467" customFormat="false" ht="15" hidden="false" customHeight="true" outlineLevel="0" collapsed="false">
      <c r="H467" s="1" t="n">
        <v>456</v>
      </c>
      <c r="I467" s="1" t="str">
        <f aca="false">VLOOKUP(H467,Customers!$A$2:$G$501,2,FALSE())</f>
        <v>Laura Perez</v>
      </c>
      <c r="J467" s="1" t="str">
        <f aca="false">VLOOKUP(H467,Customers!$A$2:$G$501,6,FALSE())</f>
        <v>Consumer</v>
      </c>
      <c r="K467" s="1" t="n">
        <f aca="false">COUNTIFS(Orders!$B$2:$B$5876,H467,Orders!$H$2:$H$5876,"Completed")</f>
        <v>11</v>
      </c>
      <c r="L467" s="4" t="n">
        <f aca="false">SUMIFS(Orders!$I$2:$I$5876,Orders!$B$2:$B$5876,H467,Orders!$H$2:$H$5876,"Completed")</f>
        <v>13241.45</v>
      </c>
    </row>
    <row r="468" customFormat="false" ht="15" hidden="false" customHeight="true" outlineLevel="0" collapsed="false">
      <c r="H468" s="1" t="n">
        <v>457</v>
      </c>
      <c r="I468" s="1" t="str">
        <f aca="false">VLOOKUP(H468,Customers!$A$2:$G$501,2,FALSE())</f>
        <v>Andres Lopez</v>
      </c>
      <c r="J468" s="1" t="str">
        <f aca="false">VLOOKUP(H468,Customers!$A$2:$G$501,6,FALSE())</f>
        <v>Small Business</v>
      </c>
      <c r="K468" s="1" t="n">
        <f aca="false">COUNTIFS(Orders!$B$2:$B$5876,H468,Orders!$H$2:$H$5876,"Completed")</f>
        <v>5</v>
      </c>
      <c r="L468" s="4" t="n">
        <f aca="false">SUMIFS(Orders!$I$2:$I$5876,Orders!$B$2:$B$5876,H468,Orders!$H$2:$H$5876,"Completed")</f>
        <v>4860.4</v>
      </c>
    </row>
    <row r="469" customFormat="false" ht="15" hidden="false" customHeight="true" outlineLevel="0" collapsed="false">
      <c r="H469" s="1" t="n">
        <v>458</v>
      </c>
      <c r="I469" s="1" t="str">
        <f aca="false">VLOOKUP(H469,Customers!$A$2:$G$501,2,FALSE())</f>
        <v>Lisa Gonzalez</v>
      </c>
      <c r="J469" s="1" t="str">
        <f aca="false">VLOOKUP(H469,Customers!$A$2:$G$501,6,FALSE())</f>
        <v>Small Business</v>
      </c>
      <c r="K469" s="1" t="n">
        <f aca="false">COUNTIFS(Orders!$B$2:$B$5876,H469,Orders!$H$2:$H$5876,"Completed")</f>
        <v>9</v>
      </c>
      <c r="L469" s="4" t="n">
        <f aca="false">SUMIFS(Orders!$I$2:$I$5876,Orders!$B$2:$B$5876,H469,Orders!$H$2:$H$5876,"Completed")</f>
        <v>15882.67</v>
      </c>
    </row>
    <row r="470" customFormat="false" ht="15" hidden="false" customHeight="true" outlineLevel="0" collapsed="false">
      <c r="H470" s="1" t="n">
        <v>459</v>
      </c>
      <c r="I470" s="1" t="str">
        <f aca="false">VLOOKUP(H470,Customers!$A$2:$G$501,2,FALSE())</f>
        <v>Sarah Clark</v>
      </c>
      <c r="J470" s="1" t="str">
        <f aca="false">VLOOKUP(H470,Customers!$A$2:$G$501,6,FALSE())</f>
        <v>Small Business</v>
      </c>
      <c r="K470" s="1" t="n">
        <f aca="false">COUNTIFS(Orders!$B$2:$B$5876,H470,Orders!$H$2:$H$5876,"Completed")</f>
        <v>10</v>
      </c>
      <c r="L470" s="4" t="n">
        <f aca="false">SUMIFS(Orders!$I$2:$I$5876,Orders!$B$2:$B$5876,H470,Orders!$H$2:$H$5876,"Completed")</f>
        <v>12045.85</v>
      </c>
    </row>
    <row r="471" customFormat="false" ht="15" hidden="false" customHeight="true" outlineLevel="0" collapsed="false">
      <c r="H471" s="1" t="n">
        <v>460</v>
      </c>
      <c r="I471" s="1" t="str">
        <f aca="false">VLOOKUP(H471,Customers!$A$2:$G$501,2,FALSE())</f>
        <v>John Taylor</v>
      </c>
      <c r="J471" s="1" t="str">
        <f aca="false">VLOOKUP(H471,Customers!$A$2:$G$501,6,FALSE())</f>
        <v>Corporate</v>
      </c>
      <c r="K471" s="1" t="n">
        <f aca="false">COUNTIFS(Orders!$B$2:$B$5876,H471,Orders!$H$2:$H$5876,"Completed")</f>
        <v>12</v>
      </c>
      <c r="L471" s="4" t="n">
        <f aca="false">SUMIFS(Orders!$I$2:$I$5876,Orders!$B$2:$B$5876,H471,Orders!$H$2:$H$5876,"Completed")</f>
        <v>23295.72</v>
      </c>
    </row>
    <row r="472" customFormat="false" ht="15" hidden="false" customHeight="true" outlineLevel="0" collapsed="false">
      <c r="H472" s="1" t="n">
        <v>461</v>
      </c>
      <c r="I472" s="1" t="str">
        <f aca="false">VLOOKUP(H472,Customers!$A$2:$G$501,2,FALSE())</f>
        <v>Andres Lewis</v>
      </c>
      <c r="J472" s="1" t="str">
        <f aca="false">VLOOKUP(H472,Customers!$A$2:$G$501,6,FALSE())</f>
        <v>Corporate</v>
      </c>
      <c r="K472" s="1" t="n">
        <f aca="false">COUNTIFS(Orders!$B$2:$B$5876,H472,Orders!$H$2:$H$5876,"Completed")</f>
        <v>4</v>
      </c>
      <c r="L472" s="4" t="n">
        <f aca="false">SUMIFS(Orders!$I$2:$I$5876,Orders!$B$2:$B$5876,H472,Orders!$H$2:$H$5876,"Completed")</f>
        <v>5072.02</v>
      </c>
    </row>
    <row r="473" customFormat="false" ht="15" hidden="false" customHeight="true" outlineLevel="0" collapsed="false">
      <c r="H473" s="1" t="n">
        <v>462</v>
      </c>
      <c r="I473" s="1" t="str">
        <f aca="false">VLOOKUP(H473,Customers!$A$2:$G$501,2,FALSE())</f>
        <v>Barbara Garcia</v>
      </c>
      <c r="J473" s="1" t="str">
        <f aca="false">VLOOKUP(H473,Customers!$A$2:$G$501,6,FALSE())</f>
        <v>Small Business</v>
      </c>
      <c r="K473" s="1" t="n">
        <f aca="false">COUNTIFS(Orders!$B$2:$B$5876,H473,Orders!$H$2:$H$5876,"Completed")</f>
        <v>6</v>
      </c>
      <c r="L473" s="4" t="n">
        <f aca="false">SUMIFS(Orders!$I$2:$I$5876,Orders!$B$2:$B$5876,H473,Orders!$H$2:$H$5876,"Completed")</f>
        <v>5059.73</v>
      </c>
    </row>
    <row r="474" customFormat="false" ht="15" hidden="false" customHeight="true" outlineLevel="0" collapsed="false">
      <c r="H474" s="1" t="n">
        <v>463</v>
      </c>
      <c r="I474" s="1" t="str">
        <f aca="false">VLOOKUP(H474,Customers!$A$2:$G$501,2,FALSE())</f>
        <v>Andres Thomas</v>
      </c>
      <c r="J474" s="1" t="str">
        <f aca="false">VLOOKUP(H474,Customers!$A$2:$G$501,6,FALSE())</f>
        <v>Consumer</v>
      </c>
      <c r="K474" s="1" t="n">
        <f aca="false">COUNTIFS(Orders!$B$2:$B$5876,H474,Orders!$H$2:$H$5876,"Completed")</f>
        <v>16</v>
      </c>
      <c r="L474" s="4" t="n">
        <f aca="false">SUMIFS(Orders!$I$2:$I$5876,Orders!$B$2:$B$5876,H474,Orders!$H$2:$H$5876,"Completed")</f>
        <v>30372.47</v>
      </c>
    </row>
    <row r="475" customFormat="false" ht="15" hidden="false" customHeight="true" outlineLevel="0" collapsed="false">
      <c r="H475" s="1" t="n">
        <v>464</v>
      </c>
      <c r="I475" s="1" t="str">
        <f aca="false">VLOOKUP(H475,Customers!$A$2:$G$501,2,FALSE())</f>
        <v>Mariana Garcia</v>
      </c>
      <c r="J475" s="1" t="str">
        <f aca="false">VLOOKUP(H475,Customers!$A$2:$G$501,6,FALSE())</f>
        <v>Consumer</v>
      </c>
      <c r="K475" s="1" t="n">
        <f aca="false">COUNTIFS(Orders!$B$2:$B$5876,H475,Orders!$H$2:$H$5876,"Completed")</f>
        <v>9</v>
      </c>
      <c r="L475" s="4" t="n">
        <f aca="false">SUMIFS(Orders!$I$2:$I$5876,Orders!$B$2:$B$5876,H475,Orders!$H$2:$H$5876,"Completed")</f>
        <v>10472.37</v>
      </c>
    </row>
    <row r="476" customFormat="false" ht="15" hidden="false" customHeight="true" outlineLevel="0" collapsed="false">
      <c r="H476" s="1" t="n">
        <v>465</v>
      </c>
      <c r="I476" s="1" t="str">
        <f aca="false">VLOOKUP(H476,Customers!$A$2:$G$501,2,FALSE())</f>
        <v>Betty Martin</v>
      </c>
      <c r="J476" s="1" t="str">
        <f aca="false">VLOOKUP(H476,Customers!$A$2:$G$501,6,FALSE())</f>
        <v>Consumer</v>
      </c>
      <c r="K476" s="1" t="n">
        <f aca="false">COUNTIFS(Orders!$B$2:$B$5876,H476,Orders!$H$2:$H$5876,"Completed")</f>
        <v>4</v>
      </c>
      <c r="L476" s="4" t="n">
        <f aca="false">SUMIFS(Orders!$I$2:$I$5876,Orders!$B$2:$B$5876,H476,Orders!$H$2:$H$5876,"Completed")</f>
        <v>12309.86</v>
      </c>
    </row>
    <row r="477" customFormat="false" ht="15" hidden="false" customHeight="true" outlineLevel="0" collapsed="false">
      <c r="H477" s="1" t="n">
        <v>466</v>
      </c>
      <c r="I477" s="1" t="str">
        <f aca="false">VLOOKUP(H477,Customers!$A$2:$G$501,2,FALSE())</f>
        <v>Miguel Thomas</v>
      </c>
      <c r="J477" s="1" t="str">
        <f aca="false">VLOOKUP(H477,Customers!$A$2:$G$501,6,FALSE())</f>
        <v>Consumer</v>
      </c>
      <c r="K477" s="1" t="n">
        <f aca="false">COUNTIFS(Orders!$B$2:$B$5876,H477,Orders!$H$2:$H$5876,"Completed")</f>
        <v>9</v>
      </c>
      <c r="L477" s="4" t="n">
        <f aca="false">SUMIFS(Orders!$I$2:$I$5876,Orders!$B$2:$B$5876,H477,Orders!$H$2:$H$5876,"Completed")</f>
        <v>7819.27</v>
      </c>
    </row>
    <row r="478" customFormat="false" ht="15" hidden="false" customHeight="true" outlineLevel="0" collapsed="false">
      <c r="H478" s="1" t="n">
        <v>467</v>
      </c>
      <c r="I478" s="1" t="str">
        <f aca="false">VLOOKUP(H478,Customers!$A$2:$G$501,2,FALSE())</f>
        <v>Carlos Rodriguez</v>
      </c>
      <c r="J478" s="1" t="str">
        <f aca="false">VLOOKUP(H478,Customers!$A$2:$G$501,6,FALSE())</f>
        <v>Corporate</v>
      </c>
      <c r="K478" s="1" t="n">
        <f aca="false">COUNTIFS(Orders!$B$2:$B$5876,H478,Orders!$H$2:$H$5876,"Completed")</f>
        <v>13</v>
      </c>
      <c r="L478" s="4" t="n">
        <f aca="false">SUMIFS(Orders!$I$2:$I$5876,Orders!$B$2:$B$5876,H478,Orders!$H$2:$H$5876,"Completed")</f>
        <v>12364.53</v>
      </c>
    </row>
    <row r="479" customFormat="false" ht="15" hidden="false" customHeight="true" outlineLevel="0" collapsed="false">
      <c r="H479" s="1" t="n">
        <v>468</v>
      </c>
      <c r="I479" s="1" t="str">
        <f aca="false">VLOOKUP(H479,Customers!$A$2:$G$501,2,FALSE())</f>
        <v>Mary Miller</v>
      </c>
      <c r="J479" s="1" t="str">
        <f aca="false">VLOOKUP(H479,Customers!$A$2:$G$501,6,FALSE())</f>
        <v>Small Business</v>
      </c>
      <c r="K479" s="1" t="n">
        <f aca="false">COUNTIFS(Orders!$B$2:$B$5876,H479,Orders!$H$2:$H$5876,"Completed")</f>
        <v>16</v>
      </c>
      <c r="L479" s="4" t="n">
        <f aca="false">SUMIFS(Orders!$I$2:$I$5876,Orders!$B$2:$B$5876,H479,Orders!$H$2:$H$5876,"Completed")</f>
        <v>26979.25</v>
      </c>
    </row>
    <row r="480" customFormat="false" ht="15" hidden="false" customHeight="true" outlineLevel="0" collapsed="false">
      <c r="H480" s="1" t="n">
        <v>469</v>
      </c>
      <c r="I480" s="1" t="str">
        <f aca="false">VLOOKUP(H480,Customers!$A$2:$G$501,2,FALSE())</f>
        <v>Luis Taylor</v>
      </c>
      <c r="J480" s="1" t="str">
        <f aca="false">VLOOKUP(H480,Customers!$A$2:$G$501,6,FALSE())</f>
        <v>Small Business</v>
      </c>
      <c r="K480" s="1" t="n">
        <f aca="false">COUNTIFS(Orders!$B$2:$B$5876,H480,Orders!$H$2:$H$5876,"Completed")</f>
        <v>7</v>
      </c>
      <c r="L480" s="4" t="n">
        <f aca="false">SUMIFS(Orders!$I$2:$I$5876,Orders!$B$2:$B$5876,H480,Orders!$H$2:$H$5876,"Completed")</f>
        <v>15833.44</v>
      </c>
    </row>
    <row r="481" customFormat="false" ht="15" hidden="false" customHeight="true" outlineLevel="0" collapsed="false">
      <c r="H481" s="1" t="n">
        <v>470</v>
      </c>
      <c r="I481" s="1" t="str">
        <f aca="false">VLOOKUP(H481,Customers!$A$2:$G$501,2,FALSE())</f>
        <v>Sofia Wilson</v>
      </c>
      <c r="J481" s="1" t="str">
        <f aca="false">VLOOKUP(H481,Customers!$A$2:$G$501,6,FALSE())</f>
        <v>Corporate</v>
      </c>
      <c r="K481" s="1" t="n">
        <f aca="false">COUNTIFS(Orders!$B$2:$B$5876,H481,Orders!$H$2:$H$5876,"Completed")</f>
        <v>14</v>
      </c>
      <c r="L481" s="4" t="n">
        <f aca="false">SUMIFS(Orders!$I$2:$I$5876,Orders!$B$2:$B$5876,H481,Orders!$H$2:$H$5876,"Completed")</f>
        <v>24772.7</v>
      </c>
    </row>
    <row r="482" customFormat="false" ht="15" hidden="false" customHeight="true" outlineLevel="0" collapsed="false">
      <c r="H482" s="1" t="n">
        <v>471</v>
      </c>
      <c r="I482" s="1" t="str">
        <f aca="false">VLOOKUP(H482,Customers!$A$2:$G$501,2,FALSE())</f>
        <v>Diego Brown</v>
      </c>
      <c r="J482" s="1" t="str">
        <f aca="false">VLOOKUP(H482,Customers!$A$2:$G$501,6,FALSE())</f>
        <v>Small Business</v>
      </c>
      <c r="K482" s="1" t="n">
        <f aca="false">COUNTIFS(Orders!$B$2:$B$5876,H482,Orders!$H$2:$H$5876,"Completed")</f>
        <v>16</v>
      </c>
      <c r="L482" s="4" t="n">
        <f aca="false">SUMIFS(Orders!$I$2:$I$5876,Orders!$B$2:$B$5876,H482,Orders!$H$2:$H$5876,"Completed")</f>
        <v>23794.62</v>
      </c>
    </row>
    <row r="483" customFormat="false" ht="15" hidden="false" customHeight="true" outlineLevel="0" collapsed="false">
      <c r="H483" s="1" t="n">
        <v>472</v>
      </c>
      <c r="I483" s="1" t="str">
        <f aca="false">VLOOKUP(H483,Customers!$A$2:$G$501,2,FALSE())</f>
        <v>Mark Rodriguez</v>
      </c>
      <c r="J483" s="1" t="str">
        <f aca="false">VLOOKUP(H483,Customers!$A$2:$G$501,6,FALSE())</f>
        <v>Consumer</v>
      </c>
      <c r="K483" s="1" t="n">
        <f aca="false">COUNTIFS(Orders!$B$2:$B$5876,H483,Orders!$H$2:$H$5876,"Completed")</f>
        <v>13</v>
      </c>
      <c r="L483" s="4" t="n">
        <f aca="false">SUMIFS(Orders!$I$2:$I$5876,Orders!$B$2:$B$5876,H483,Orders!$H$2:$H$5876,"Completed")</f>
        <v>16978.52</v>
      </c>
    </row>
    <row r="484" customFormat="false" ht="15" hidden="false" customHeight="true" outlineLevel="0" collapsed="false">
      <c r="H484" s="1" t="n">
        <v>473</v>
      </c>
      <c r="I484" s="1" t="str">
        <f aca="false">VLOOKUP(H484,Customers!$A$2:$G$501,2,FALSE())</f>
        <v>Susan Thompson</v>
      </c>
      <c r="J484" s="1" t="str">
        <f aca="false">VLOOKUP(H484,Customers!$A$2:$G$501,6,FALSE())</f>
        <v>Small Business</v>
      </c>
      <c r="K484" s="1" t="n">
        <f aca="false">COUNTIFS(Orders!$B$2:$B$5876,H484,Orders!$H$2:$H$5876,"Completed")</f>
        <v>17</v>
      </c>
      <c r="L484" s="4" t="n">
        <f aca="false">SUMIFS(Orders!$I$2:$I$5876,Orders!$B$2:$B$5876,H484,Orders!$H$2:$H$5876,"Completed")</f>
        <v>30422.42</v>
      </c>
    </row>
    <row r="485" customFormat="false" ht="15" hidden="false" customHeight="true" outlineLevel="0" collapsed="false">
      <c r="H485" s="1" t="n">
        <v>474</v>
      </c>
      <c r="I485" s="1" t="str">
        <f aca="false">VLOOKUP(H485,Customers!$A$2:$G$501,2,FALSE())</f>
        <v>Lisa Martin</v>
      </c>
      <c r="J485" s="1" t="str">
        <f aca="false">VLOOKUP(H485,Customers!$A$2:$G$501,6,FALSE())</f>
        <v>Consumer</v>
      </c>
      <c r="K485" s="1" t="n">
        <f aca="false">COUNTIFS(Orders!$B$2:$B$5876,H485,Orders!$H$2:$H$5876,"Completed")</f>
        <v>13</v>
      </c>
      <c r="L485" s="4" t="n">
        <f aca="false">SUMIFS(Orders!$I$2:$I$5876,Orders!$B$2:$B$5876,H485,Orders!$H$2:$H$5876,"Completed")</f>
        <v>19445.62</v>
      </c>
    </row>
    <row r="486" customFormat="false" ht="15" hidden="false" customHeight="true" outlineLevel="0" collapsed="false">
      <c r="H486" s="1" t="n">
        <v>475</v>
      </c>
      <c r="I486" s="1" t="str">
        <f aca="false">VLOOKUP(H486,Customers!$A$2:$G$501,2,FALSE())</f>
        <v>Isabella Thomas</v>
      </c>
      <c r="J486" s="1" t="str">
        <f aca="false">VLOOKUP(H486,Customers!$A$2:$G$501,6,FALSE())</f>
        <v>Small Business</v>
      </c>
      <c r="K486" s="1" t="n">
        <f aca="false">COUNTIFS(Orders!$B$2:$B$5876,H486,Orders!$H$2:$H$5876,"Completed")</f>
        <v>14</v>
      </c>
      <c r="L486" s="4" t="n">
        <f aca="false">SUMIFS(Orders!$I$2:$I$5876,Orders!$B$2:$B$5876,H486,Orders!$H$2:$H$5876,"Completed")</f>
        <v>21106.12</v>
      </c>
    </row>
    <row r="487" customFormat="false" ht="15" hidden="false" customHeight="true" outlineLevel="0" collapsed="false">
      <c r="H487" s="1" t="n">
        <v>476</v>
      </c>
      <c r="I487" s="1" t="str">
        <f aca="false">VLOOKUP(H487,Customers!$A$2:$G$501,2,FALSE())</f>
        <v>Joseph Anderson</v>
      </c>
      <c r="J487" s="1" t="str">
        <f aca="false">VLOOKUP(H487,Customers!$A$2:$G$501,6,FALSE())</f>
        <v>Small Business</v>
      </c>
      <c r="K487" s="1" t="n">
        <f aca="false">COUNTIFS(Orders!$B$2:$B$5876,H487,Orders!$H$2:$H$5876,"Completed")</f>
        <v>10</v>
      </c>
      <c r="L487" s="4" t="n">
        <f aca="false">SUMIFS(Orders!$I$2:$I$5876,Orders!$B$2:$B$5876,H487,Orders!$H$2:$H$5876,"Completed")</f>
        <v>13787.16</v>
      </c>
    </row>
    <row r="488" customFormat="false" ht="15" hidden="false" customHeight="true" outlineLevel="0" collapsed="false">
      <c r="H488" s="1" t="n">
        <v>477</v>
      </c>
      <c r="I488" s="1" t="str">
        <f aca="false">VLOOKUP(H488,Customers!$A$2:$G$501,2,FALSE())</f>
        <v>Patricia Garcia</v>
      </c>
      <c r="J488" s="1" t="str">
        <f aca="false">VLOOKUP(H488,Customers!$A$2:$G$501,6,FALSE())</f>
        <v>Corporate</v>
      </c>
      <c r="K488" s="1" t="n">
        <f aca="false">COUNTIFS(Orders!$B$2:$B$5876,H488,Orders!$H$2:$H$5876,"Completed")</f>
        <v>15</v>
      </c>
      <c r="L488" s="4" t="n">
        <f aca="false">SUMIFS(Orders!$I$2:$I$5876,Orders!$B$2:$B$5876,H488,Orders!$H$2:$H$5876,"Completed")</f>
        <v>20329.74</v>
      </c>
    </row>
    <row r="489" customFormat="false" ht="15" hidden="false" customHeight="true" outlineLevel="0" collapsed="false">
      <c r="H489" s="1" t="n">
        <v>478</v>
      </c>
      <c r="I489" s="1" t="str">
        <f aca="false">VLOOKUP(H489,Customers!$A$2:$G$501,2,FALSE())</f>
        <v>Thomas Davis</v>
      </c>
      <c r="J489" s="1" t="str">
        <f aca="false">VLOOKUP(H489,Customers!$A$2:$G$501,6,FALSE())</f>
        <v>Small Business</v>
      </c>
      <c r="K489" s="1" t="n">
        <f aca="false">COUNTIFS(Orders!$B$2:$B$5876,H489,Orders!$H$2:$H$5876,"Completed")</f>
        <v>6</v>
      </c>
      <c r="L489" s="4" t="n">
        <f aca="false">SUMIFS(Orders!$I$2:$I$5876,Orders!$B$2:$B$5876,H489,Orders!$H$2:$H$5876,"Completed")</f>
        <v>2019.5</v>
      </c>
    </row>
    <row r="490" customFormat="false" ht="15" hidden="false" customHeight="true" outlineLevel="0" collapsed="false">
      <c r="H490" s="1" t="n">
        <v>479</v>
      </c>
      <c r="I490" s="1" t="str">
        <f aca="false">VLOOKUP(H490,Customers!$A$2:$G$501,2,FALSE())</f>
        <v>Miguel Johnson</v>
      </c>
      <c r="J490" s="1" t="str">
        <f aca="false">VLOOKUP(H490,Customers!$A$2:$G$501,6,FALSE())</f>
        <v>Small Business</v>
      </c>
      <c r="K490" s="1" t="n">
        <f aca="false">COUNTIFS(Orders!$B$2:$B$5876,H490,Orders!$H$2:$H$5876,"Completed")</f>
        <v>12</v>
      </c>
      <c r="L490" s="4" t="n">
        <f aca="false">SUMIFS(Orders!$I$2:$I$5876,Orders!$B$2:$B$5876,H490,Orders!$H$2:$H$5876,"Completed")</f>
        <v>13369.55</v>
      </c>
    </row>
    <row r="491" customFormat="false" ht="15" hidden="false" customHeight="true" outlineLevel="0" collapsed="false">
      <c r="H491" s="1" t="n">
        <v>480</v>
      </c>
      <c r="I491" s="1" t="str">
        <f aca="false">VLOOKUP(H491,Customers!$A$2:$G$501,2,FALSE())</f>
        <v>Robert Sanchez</v>
      </c>
      <c r="J491" s="1" t="str">
        <f aca="false">VLOOKUP(H491,Customers!$A$2:$G$501,6,FALSE())</f>
        <v>Unknown</v>
      </c>
      <c r="K491" s="1" t="n">
        <f aca="false">COUNTIFS(Orders!$B$2:$B$5876,H491,Orders!$H$2:$H$5876,"Completed")</f>
        <v>12</v>
      </c>
      <c r="L491" s="4" t="n">
        <f aca="false">SUMIFS(Orders!$I$2:$I$5876,Orders!$B$2:$B$5876,H491,Orders!$H$2:$H$5876,"Completed")</f>
        <v>14768.56</v>
      </c>
    </row>
    <row r="492" customFormat="false" ht="15" hidden="false" customHeight="true" outlineLevel="0" collapsed="false">
      <c r="H492" s="1" t="n">
        <v>481</v>
      </c>
      <c r="I492" s="1" t="str">
        <f aca="false">VLOOKUP(H492,Customers!$A$2:$G$501,2,FALSE())</f>
        <v>David Williams</v>
      </c>
      <c r="J492" s="1" t="str">
        <f aca="false">VLOOKUP(H492,Customers!$A$2:$G$501,6,FALSE())</f>
        <v>Small Business</v>
      </c>
      <c r="K492" s="1" t="n">
        <f aca="false">COUNTIFS(Orders!$B$2:$B$5876,H492,Orders!$H$2:$H$5876,"Completed")</f>
        <v>12</v>
      </c>
      <c r="L492" s="4" t="n">
        <f aca="false">SUMIFS(Orders!$I$2:$I$5876,Orders!$B$2:$B$5876,H492,Orders!$H$2:$H$5876,"Completed")</f>
        <v>8054.99</v>
      </c>
    </row>
    <row r="493" customFormat="false" ht="15" hidden="false" customHeight="true" outlineLevel="0" collapsed="false">
      <c r="H493" s="1" t="n">
        <v>482</v>
      </c>
      <c r="I493" s="1" t="str">
        <f aca="false">VLOOKUP(H493,Customers!$A$2:$G$501,2,FALSE())</f>
        <v>Jennifer Moore</v>
      </c>
      <c r="J493" s="1" t="str">
        <f aca="false">VLOOKUP(H493,Customers!$A$2:$G$501,6,FALSE())</f>
        <v>Small Business</v>
      </c>
      <c r="K493" s="1" t="n">
        <f aca="false">COUNTIFS(Orders!$B$2:$B$5876,H493,Orders!$H$2:$H$5876,"Completed")</f>
        <v>10</v>
      </c>
      <c r="L493" s="4" t="n">
        <f aca="false">SUMIFS(Orders!$I$2:$I$5876,Orders!$B$2:$B$5876,H493,Orders!$H$2:$H$5876,"Completed")</f>
        <v>16503.27</v>
      </c>
    </row>
    <row r="494" customFormat="false" ht="15" hidden="false" customHeight="true" outlineLevel="0" collapsed="false">
      <c r="H494" s="1" t="n">
        <v>483</v>
      </c>
      <c r="I494" s="1" t="str">
        <f aca="false">VLOOKUP(H494,Customers!$A$2:$G$501,2,FALSE())</f>
        <v>Camila Robinson</v>
      </c>
      <c r="J494" s="1" t="str">
        <f aca="false">VLOOKUP(H494,Customers!$A$2:$G$501,6,FALSE())</f>
        <v>Small Business</v>
      </c>
      <c r="K494" s="1" t="n">
        <f aca="false">COUNTIFS(Orders!$B$2:$B$5876,H494,Orders!$H$2:$H$5876,"Completed")</f>
        <v>8</v>
      </c>
      <c r="L494" s="4" t="n">
        <f aca="false">SUMIFS(Orders!$I$2:$I$5876,Orders!$B$2:$B$5876,H494,Orders!$H$2:$H$5876,"Completed")</f>
        <v>15005.85</v>
      </c>
    </row>
    <row r="495" customFormat="false" ht="15" hidden="false" customHeight="true" outlineLevel="0" collapsed="false">
      <c r="H495" s="1" t="n">
        <v>484</v>
      </c>
      <c r="I495" s="1" t="str">
        <f aca="false">VLOOKUP(H495,Customers!$A$2:$G$501,2,FALSE())</f>
        <v>Linda Sanchez</v>
      </c>
      <c r="J495" s="1" t="str">
        <f aca="false">VLOOKUP(H495,Customers!$A$2:$G$501,6,FALSE())</f>
        <v>Corporate</v>
      </c>
      <c r="K495" s="1" t="n">
        <f aca="false">COUNTIFS(Orders!$B$2:$B$5876,H495,Orders!$H$2:$H$5876,"Completed")</f>
        <v>10</v>
      </c>
      <c r="L495" s="4" t="n">
        <f aca="false">SUMIFS(Orders!$I$2:$I$5876,Orders!$B$2:$B$5876,H495,Orders!$H$2:$H$5876,"Completed")</f>
        <v>12937.64</v>
      </c>
    </row>
    <row r="496" customFormat="false" ht="15" hidden="false" customHeight="true" outlineLevel="0" collapsed="false">
      <c r="H496" s="1" t="n">
        <v>485</v>
      </c>
      <c r="I496" s="1" t="str">
        <f aca="false">VLOOKUP(H496,Customers!$A$2:$G$501,2,FALSE())</f>
        <v>Jessica Harris</v>
      </c>
      <c r="J496" s="1" t="str">
        <f aca="false">VLOOKUP(H496,Customers!$A$2:$G$501,6,FALSE())</f>
        <v>Corporate</v>
      </c>
      <c r="K496" s="1" t="n">
        <f aca="false">COUNTIFS(Orders!$B$2:$B$5876,H496,Orders!$H$2:$H$5876,"Completed")</f>
        <v>12</v>
      </c>
      <c r="L496" s="4" t="n">
        <f aca="false">SUMIFS(Orders!$I$2:$I$5876,Orders!$B$2:$B$5876,H496,Orders!$H$2:$H$5876,"Completed")</f>
        <v>20114.84</v>
      </c>
    </row>
    <row r="497" customFormat="false" ht="15" hidden="false" customHeight="true" outlineLevel="0" collapsed="false">
      <c r="H497" s="1" t="n">
        <v>486</v>
      </c>
      <c r="I497" s="1" t="str">
        <f aca="false">VLOOKUP(H497,Customers!$A$2:$G$501,2,FALSE())</f>
        <v>Joseph Perez</v>
      </c>
      <c r="J497" s="1" t="str">
        <f aca="false">VLOOKUP(H497,Customers!$A$2:$G$501,6,FALSE())</f>
        <v>Corporate</v>
      </c>
      <c r="K497" s="1" t="n">
        <f aca="false">COUNTIFS(Orders!$B$2:$B$5876,H497,Orders!$H$2:$H$5876,"Completed")</f>
        <v>10</v>
      </c>
      <c r="L497" s="4" t="n">
        <f aca="false">SUMIFS(Orders!$I$2:$I$5876,Orders!$B$2:$B$5876,H497,Orders!$H$2:$H$5876,"Completed")</f>
        <v>16046.72</v>
      </c>
    </row>
    <row r="498" customFormat="false" ht="15" hidden="false" customHeight="true" outlineLevel="0" collapsed="false">
      <c r="H498" s="1" t="n">
        <v>487</v>
      </c>
      <c r="I498" s="1" t="str">
        <f aca="false">VLOOKUP(H498,Customers!$A$2:$G$501,2,FALSE())</f>
        <v>Jennifer Gonzalez</v>
      </c>
      <c r="J498" s="1" t="str">
        <f aca="false">VLOOKUP(H498,Customers!$A$2:$G$501,6,FALSE())</f>
        <v>Small Business</v>
      </c>
      <c r="K498" s="1" t="n">
        <f aca="false">COUNTIFS(Orders!$B$2:$B$5876,H498,Orders!$H$2:$H$5876,"Completed")</f>
        <v>5</v>
      </c>
      <c r="L498" s="4" t="n">
        <f aca="false">SUMIFS(Orders!$I$2:$I$5876,Orders!$B$2:$B$5876,H498,Orders!$H$2:$H$5876,"Completed")</f>
        <v>3812.94</v>
      </c>
    </row>
    <row r="499" customFormat="false" ht="15" hidden="false" customHeight="true" outlineLevel="0" collapsed="false">
      <c r="H499" s="1" t="n">
        <v>488</v>
      </c>
      <c r="I499" s="1" t="str">
        <f aca="false">VLOOKUP(H499,Customers!$A$2:$G$501,2,FALSE())</f>
        <v>Richard Thomas</v>
      </c>
      <c r="J499" s="1" t="str">
        <f aca="false">VLOOKUP(H499,Customers!$A$2:$G$501,6,FALSE())</f>
        <v>Consumer</v>
      </c>
      <c r="K499" s="1" t="n">
        <f aca="false">COUNTIFS(Orders!$B$2:$B$5876,H499,Orders!$H$2:$H$5876,"Completed")</f>
        <v>11</v>
      </c>
      <c r="L499" s="4" t="n">
        <f aca="false">SUMIFS(Orders!$I$2:$I$5876,Orders!$B$2:$B$5876,H499,Orders!$H$2:$H$5876,"Completed")</f>
        <v>12187.11</v>
      </c>
    </row>
    <row r="500" customFormat="false" ht="15" hidden="false" customHeight="true" outlineLevel="0" collapsed="false">
      <c r="H500" s="1" t="n">
        <v>489</v>
      </c>
      <c r="I500" s="1" t="str">
        <f aca="false">VLOOKUP(H500,Customers!$A$2:$G$501,2,FALSE())</f>
        <v>Matthew Jones</v>
      </c>
      <c r="J500" s="1" t="str">
        <f aca="false">VLOOKUP(H500,Customers!$A$2:$G$501,6,FALSE())</f>
        <v>Small Business</v>
      </c>
      <c r="K500" s="1" t="n">
        <f aca="false">COUNTIFS(Orders!$B$2:$B$5876,H500,Orders!$H$2:$H$5876,"Completed")</f>
        <v>8</v>
      </c>
      <c r="L500" s="4" t="n">
        <f aca="false">SUMIFS(Orders!$I$2:$I$5876,Orders!$B$2:$B$5876,H500,Orders!$H$2:$H$5876,"Completed")</f>
        <v>13318.35</v>
      </c>
    </row>
    <row r="501" customFormat="false" ht="15" hidden="false" customHeight="true" outlineLevel="0" collapsed="false">
      <c r="H501" s="1" t="n">
        <v>490</v>
      </c>
      <c r="I501" s="1" t="str">
        <f aca="false">VLOOKUP(H501,Customers!$A$2:$G$501,2,FALSE())</f>
        <v>Andres Lopez</v>
      </c>
      <c r="J501" s="1" t="str">
        <f aca="false">VLOOKUP(H501,Customers!$A$2:$G$501,6,FALSE())</f>
        <v>Consumer</v>
      </c>
      <c r="K501" s="1" t="n">
        <f aca="false">COUNTIFS(Orders!$B$2:$B$5876,H501,Orders!$H$2:$H$5876,"Completed")</f>
        <v>10</v>
      </c>
      <c r="L501" s="4" t="n">
        <f aca="false">SUMIFS(Orders!$I$2:$I$5876,Orders!$B$2:$B$5876,H501,Orders!$H$2:$H$5876,"Completed")</f>
        <v>13247.25</v>
      </c>
    </row>
    <row r="502" customFormat="false" ht="15" hidden="false" customHeight="true" outlineLevel="0" collapsed="false">
      <c r="H502" s="1" t="n">
        <v>491</v>
      </c>
      <c r="I502" s="1" t="str">
        <f aca="false">VLOOKUP(H502,Customers!$A$2:$G$501,2,FALSE())</f>
        <v>Carlos Rodriguez</v>
      </c>
      <c r="J502" s="1" t="str">
        <f aca="false">VLOOKUP(H502,Customers!$A$2:$G$501,6,FALSE())</f>
        <v>Small Business</v>
      </c>
      <c r="K502" s="1" t="n">
        <f aca="false">COUNTIFS(Orders!$B$2:$B$5876,H502,Orders!$H$2:$H$5876,"Completed")</f>
        <v>15</v>
      </c>
      <c r="L502" s="4" t="n">
        <f aca="false">SUMIFS(Orders!$I$2:$I$5876,Orders!$B$2:$B$5876,H502,Orders!$H$2:$H$5876,"Completed")</f>
        <v>16189.42</v>
      </c>
    </row>
    <row r="503" customFormat="false" ht="15" hidden="false" customHeight="true" outlineLevel="0" collapsed="false">
      <c r="H503" s="1" t="n">
        <v>492</v>
      </c>
      <c r="I503" s="1" t="str">
        <f aca="false">VLOOKUP(H503,Customers!$A$2:$G$501,2,FALSE())</f>
        <v>Matthew Gonzalez</v>
      </c>
      <c r="J503" s="1" t="str">
        <f aca="false">VLOOKUP(H503,Customers!$A$2:$G$501,6,FALSE())</f>
        <v>Consumer</v>
      </c>
      <c r="K503" s="1" t="n">
        <f aca="false">COUNTIFS(Orders!$B$2:$B$5876,H503,Orders!$H$2:$H$5876,"Completed")</f>
        <v>12</v>
      </c>
      <c r="L503" s="4" t="n">
        <f aca="false">SUMIFS(Orders!$I$2:$I$5876,Orders!$B$2:$B$5876,H503,Orders!$H$2:$H$5876,"Completed")</f>
        <v>19454.02</v>
      </c>
    </row>
    <row r="504" customFormat="false" ht="15" hidden="false" customHeight="true" outlineLevel="0" collapsed="false">
      <c r="H504" s="1" t="n">
        <v>493</v>
      </c>
      <c r="I504" s="1" t="str">
        <f aca="false">VLOOKUP(H504,Customers!$A$2:$G$501,2,FALSE())</f>
        <v>Anthony Jackson</v>
      </c>
      <c r="J504" s="1" t="str">
        <f aca="false">VLOOKUP(H504,Customers!$A$2:$G$501,6,FALSE())</f>
        <v>Corporate</v>
      </c>
      <c r="K504" s="1" t="n">
        <f aca="false">COUNTIFS(Orders!$B$2:$B$5876,H504,Orders!$H$2:$H$5876,"Completed")</f>
        <v>9</v>
      </c>
      <c r="L504" s="4" t="n">
        <f aca="false">SUMIFS(Orders!$I$2:$I$5876,Orders!$B$2:$B$5876,H504,Orders!$H$2:$H$5876,"Completed")</f>
        <v>12171.65</v>
      </c>
    </row>
    <row r="505" customFormat="false" ht="15" hidden="false" customHeight="true" outlineLevel="0" collapsed="false">
      <c r="H505" s="1" t="n">
        <v>494</v>
      </c>
      <c r="I505" s="1" t="str">
        <f aca="false">VLOOKUP(H505,Customers!$A$2:$G$501,2,FALSE())</f>
        <v>Laura Hernandez</v>
      </c>
      <c r="J505" s="1" t="str">
        <f aca="false">VLOOKUP(H505,Customers!$A$2:$G$501,6,FALSE())</f>
        <v>Corporate</v>
      </c>
      <c r="K505" s="1" t="n">
        <f aca="false">COUNTIFS(Orders!$B$2:$B$5876,H505,Orders!$H$2:$H$5876,"Completed")</f>
        <v>8</v>
      </c>
      <c r="L505" s="4" t="n">
        <f aca="false">SUMIFS(Orders!$I$2:$I$5876,Orders!$B$2:$B$5876,H505,Orders!$H$2:$H$5876,"Completed")</f>
        <v>10982.73</v>
      </c>
    </row>
    <row r="506" customFormat="false" ht="15" hidden="false" customHeight="true" outlineLevel="0" collapsed="false">
      <c r="H506" s="1" t="n">
        <v>495</v>
      </c>
      <c r="I506" s="1" t="str">
        <f aca="false">VLOOKUP(H506,Customers!$A$2:$G$501,2,FALSE())</f>
        <v>Barbara Jackson</v>
      </c>
      <c r="J506" s="1" t="str">
        <f aca="false">VLOOKUP(H506,Customers!$A$2:$G$501,6,FALSE())</f>
        <v>Small Business</v>
      </c>
      <c r="K506" s="1" t="n">
        <f aca="false">COUNTIFS(Orders!$B$2:$B$5876,H506,Orders!$H$2:$H$5876,"Completed")</f>
        <v>9</v>
      </c>
      <c r="L506" s="4" t="n">
        <f aca="false">SUMIFS(Orders!$I$2:$I$5876,Orders!$B$2:$B$5876,H506,Orders!$H$2:$H$5876,"Completed")</f>
        <v>5482.42</v>
      </c>
    </row>
    <row r="507" customFormat="false" ht="15" hidden="false" customHeight="true" outlineLevel="0" collapsed="false">
      <c r="H507" s="1" t="n">
        <v>496</v>
      </c>
      <c r="I507" s="1" t="str">
        <f aca="false">VLOOKUP(H507,Customers!$A$2:$G$501,2,FALSE())</f>
        <v>Anthony Miller</v>
      </c>
      <c r="J507" s="1" t="str">
        <f aca="false">VLOOKUP(H507,Customers!$A$2:$G$501,6,FALSE())</f>
        <v>Small Business</v>
      </c>
      <c r="K507" s="1" t="n">
        <f aca="false">COUNTIFS(Orders!$B$2:$B$5876,H507,Orders!$H$2:$H$5876,"Completed")</f>
        <v>7</v>
      </c>
      <c r="L507" s="4" t="n">
        <f aca="false">SUMIFS(Orders!$I$2:$I$5876,Orders!$B$2:$B$5876,H507,Orders!$H$2:$H$5876,"Completed")</f>
        <v>8994.51</v>
      </c>
    </row>
    <row r="508" customFormat="false" ht="15" hidden="false" customHeight="true" outlineLevel="0" collapsed="false">
      <c r="H508" s="1" t="n">
        <v>497</v>
      </c>
      <c r="I508" s="1" t="str">
        <f aca="false">VLOOKUP(H508,Customers!$A$2:$G$501,2,FALSE())</f>
        <v>Daniel Sanchez</v>
      </c>
      <c r="J508" s="1" t="str">
        <f aca="false">VLOOKUP(H508,Customers!$A$2:$G$501,6,FALSE())</f>
        <v>Consumer</v>
      </c>
      <c r="K508" s="1" t="n">
        <f aca="false">COUNTIFS(Orders!$B$2:$B$5876,H508,Orders!$H$2:$H$5876,"Completed")</f>
        <v>10</v>
      </c>
      <c r="L508" s="4" t="n">
        <f aca="false">SUMIFS(Orders!$I$2:$I$5876,Orders!$B$2:$B$5876,H508,Orders!$H$2:$H$5876,"Completed")</f>
        <v>7285.62</v>
      </c>
    </row>
    <row r="509" customFormat="false" ht="15" hidden="false" customHeight="true" outlineLevel="0" collapsed="false">
      <c r="H509" s="1" t="n">
        <v>498</v>
      </c>
      <c r="I509" s="1" t="str">
        <f aca="false">VLOOKUP(H509,Customers!$A$2:$G$501,2,FALSE())</f>
        <v>Thomas Thomas</v>
      </c>
      <c r="J509" s="1" t="str">
        <f aca="false">VLOOKUP(H509,Customers!$A$2:$G$501,6,FALSE())</f>
        <v>Corporate</v>
      </c>
      <c r="K509" s="1" t="n">
        <f aca="false">COUNTIFS(Orders!$B$2:$B$5876,H509,Orders!$H$2:$H$5876,"Completed")</f>
        <v>3</v>
      </c>
      <c r="L509" s="4" t="n">
        <f aca="false">SUMIFS(Orders!$I$2:$I$5876,Orders!$B$2:$B$5876,H509,Orders!$H$2:$H$5876,"Completed")</f>
        <v>6738.82</v>
      </c>
    </row>
    <row r="510" customFormat="false" ht="15" hidden="false" customHeight="true" outlineLevel="0" collapsed="false">
      <c r="H510" s="1" t="n">
        <v>499</v>
      </c>
      <c r="I510" s="1" t="str">
        <f aca="false">VLOOKUP(H510,Customers!$A$2:$G$501,2,FALSE())</f>
        <v>Mark Brown</v>
      </c>
      <c r="J510" s="1" t="str">
        <f aca="false">VLOOKUP(H510,Customers!$A$2:$G$501,6,FALSE())</f>
        <v>Consumer</v>
      </c>
      <c r="K510" s="1" t="n">
        <f aca="false">COUNTIFS(Orders!$B$2:$B$5876,H510,Orders!$H$2:$H$5876,"Completed")</f>
        <v>6</v>
      </c>
      <c r="L510" s="4" t="n">
        <f aca="false">SUMIFS(Orders!$I$2:$I$5876,Orders!$B$2:$B$5876,H510,Orders!$H$2:$H$5876,"Completed")</f>
        <v>14681.63</v>
      </c>
    </row>
    <row r="511" customFormat="false" ht="15" hidden="false" customHeight="true" outlineLevel="0" collapsed="false">
      <c r="H511" s="1" t="n">
        <v>500</v>
      </c>
      <c r="I511" s="1" t="str">
        <f aca="false">VLOOKUP(H511,Customers!$A$2:$G$501,2,FALSE())</f>
        <v>Charles Lopez</v>
      </c>
      <c r="J511" s="1" t="str">
        <f aca="false">VLOOKUP(H511,Customers!$A$2:$G$501,6,FALSE())</f>
        <v>Small Business</v>
      </c>
      <c r="K511" s="1" t="n">
        <f aca="false">COUNTIFS(Orders!$B$2:$B$5876,H511,Orders!$H$2:$H$5876,"Completed")</f>
        <v>2</v>
      </c>
      <c r="L511" s="4" t="n">
        <f aca="false">SUMIFS(Orders!$I$2:$I$5876,Orders!$B$2:$B$5876,H511,Orders!$H$2:$H$5876,"Completed")</f>
        <v>913.39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5" min="4" style="1" width="12"/>
    <col collapsed="false" customWidth="true" hidden="false" outlineLevel="0" max="8" min="6" style="1" width="14"/>
  </cols>
  <sheetData>
    <row r="1" customFormat="false" ht="15" hidden="false" customHeight="true" outlineLevel="0" collapsed="false">
      <c r="A1" s="3" t="s">
        <v>1738</v>
      </c>
    </row>
    <row r="3" customFormat="false" ht="15" hidden="false" customHeight="true" outlineLevel="0" collapsed="false">
      <c r="A3" s="6" t="s">
        <v>1739</v>
      </c>
    </row>
    <row r="4" customFormat="false" ht="15" hidden="false" customHeight="true" outlineLevel="0" collapsed="false">
      <c r="A4" s="2" t="s">
        <v>1292</v>
      </c>
      <c r="B4" s="2" t="s">
        <v>1293</v>
      </c>
      <c r="C4" s="2" t="s">
        <v>1294</v>
      </c>
      <c r="D4" s="2" t="s">
        <v>1295</v>
      </c>
      <c r="E4" s="2" t="s">
        <v>1740</v>
      </c>
      <c r="F4" s="2" t="s">
        <v>1706</v>
      </c>
      <c r="G4" s="2" t="s">
        <v>1741</v>
      </c>
      <c r="H4" s="2" t="s">
        <v>1742</v>
      </c>
    </row>
    <row r="5" customFormat="false" ht="15" hidden="false" customHeight="true" outlineLevel="0" collapsed="false">
      <c r="A5" s="1" t="n">
        <v>1</v>
      </c>
      <c r="B5" s="1" t="str">
        <f aca="false">VLOOKUP(A5,Products!$A$2:$E$61,2,FALSE())</f>
        <v>Wireless Mouse</v>
      </c>
      <c r="C5" s="1" t="str">
        <f aca="false">VLOOKUP(A5,Products!$A$2:$E$61,3,FALSE())</f>
        <v>Electronics</v>
      </c>
      <c r="D5" s="7" t="n">
        <f aca="false">VLOOKUP(A5,Products!$A$2:$E$61,4,FALSE())</f>
        <v>152.94</v>
      </c>
      <c r="E5" s="1" t="n">
        <f aca="false">SUMIFS(Orders!$E$2:$E$5876,Orders!$C$2:$C$5876,A5,Orders!$H$2:$H$5876,"Completed")</f>
        <v>437</v>
      </c>
      <c r="F5" s="4" t="n">
        <f aca="false">SUMIFS(Orders!$I$2:$I$5876,Orders!$C$2:$C$5876,A5,Orders!$H$2:$H$5876,"Completed")</f>
        <v>133104.69</v>
      </c>
      <c r="G5" s="4" t="n">
        <f aca="false">D5*E5</f>
        <v>66834.78</v>
      </c>
      <c r="H5" s="4" t="n">
        <f aca="false">F5-G5</f>
        <v>66269.91</v>
      </c>
    </row>
    <row r="6" customFormat="false" ht="15" hidden="false" customHeight="true" outlineLevel="0" collapsed="false">
      <c r="A6" s="1" t="n">
        <v>2</v>
      </c>
      <c r="B6" s="1" t="str">
        <f aca="false">VLOOKUP(A6,Products!$A$2:$E$61,2,FALSE())</f>
        <v>Mechanical Keyboard</v>
      </c>
      <c r="C6" s="1" t="str">
        <f aca="false">VLOOKUP(A6,Products!$A$2:$E$61,3,FALSE())</f>
        <v>Electronics</v>
      </c>
      <c r="D6" s="7" t="n">
        <f aca="false">VLOOKUP(A6,Products!$A$2:$E$61,4,FALSE())</f>
        <v>294.14</v>
      </c>
      <c r="E6" s="1" t="n">
        <f aca="false">SUMIFS(Orders!$E$2:$E$5876,Orders!$C$2:$C$5876,A6,Orders!$H$2:$H$5876,"Completed")</f>
        <v>393</v>
      </c>
      <c r="F6" s="4" t="n">
        <f aca="false">SUMIFS(Orders!$I$2:$I$5876,Orders!$C$2:$C$5876,A6,Orders!$H$2:$H$5876,"Completed")</f>
        <v>180380.13</v>
      </c>
      <c r="G6" s="4" t="n">
        <f aca="false">D6*E6</f>
        <v>115597.02</v>
      </c>
      <c r="H6" s="4" t="n">
        <f aca="false">F6-G6</f>
        <v>64783.11</v>
      </c>
    </row>
    <row r="7" customFormat="false" ht="15" hidden="false" customHeight="true" outlineLevel="0" collapsed="false">
      <c r="A7" s="1" t="n">
        <v>3</v>
      </c>
      <c r="B7" s="1" t="str">
        <f aca="false">VLOOKUP(A7,Products!$A$2:$E$61,2,FALSE())</f>
        <v>USB-C Hub</v>
      </c>
      <c r="C7" s="1" t="str">
        <f aca="false">VLOOKUP(A7,Products!$A$2:$E$61,3,FALSE())</f>
        <v>Electronics</v>
      </c>
      <c r="D7" s="7" t="n">
        <f aca="false">VLOOKUP(A7,Products!$A$2:$E$61,4,FALSE())</f>
        <v>66.63</v>
      </c>
      <c r="E7" s="1" t="n">
        <f aca="false">SUMIFS(Orders!$E$2:$E$5876,Orders!$C$2:$C$5876,A7,Orders!$H$2:$H$5876,"Completed")</f>
        <v>396</v>
      </c>
      <c r="F7" s="4" t="n">
        <f aca="false">SUMIFS(Orders!$I$2:$I$5876,Orders!$C$2:$C$5876,A7,Orders!$H$2:$H$5876,"Completed")</f>
        <v>33355.86</v>
      </c>
      <c r="G7" s="4" t="n">
        <f aca="false">D7*E7</f>
        <v>26385.48</v>
      </c>
      <c r="H7" s="4" t="n">
        <f aca="false">F7-G7</f>
        <v>6970.38</v>
      </c>
    </row>
    <row r="8" customFormat="false" ht="15" hidden="false" customHeight="true" outlineLevel="0" collapsed="false">
      <c r="A8" s="1" t="n">
        <v>4</v>
      </c>
      <c r="B8" s="1" t="str">
        <f aca="false">VLOOKUP(A8,Products!$A$2:$E$61,2,FALSE())</f>
        <v>27in Monitor</v>
      </c>
      <c r="C8" s="1" t="str">
        <f aca="false">VLOOKUP(A8,Products!$A$2:$E$61,3,FALSE())</f>
        <v>Electronics</v>
      </c>
      <c r="D8" s="7" t="n">
        <f aca="false">VLOOKUP(A8,Products!$A$2:$E$61,4,FALSE())</f>
        <v>27.94</v>
      </c>
      <c r="E8" s="1" t="n">
        <f aca="false">SUMIFS(Orders!$E$2:$E$5876,Orders!$C$2:$C$5876,A8,Orders!$H$2:$H$5876,"Completed")</f>
        <v>353</v>
      </c>
      <c r="F8" s="4" t="n">
        <f aca="false">SUMIFS(Orders!$I$2:$I$5876,Orders!$C$2:$C$5876,A8,Orders!$H$2:$H$5876,"Completed")</f>
        <v>18533.92</v>
      </c>
      <c r="G8" s="4" t="n">
        <f aca="false">D8*E8</f>
        <v>9862.82</v>
      </c>
      <c r="H8" s="4" t="n">
        <f aca="false">F8-G8</f>
        <v>8671.1</v>
      </c>
    </row>
    <row r="9" customFormat="false" ht="15" hidden="false" customHeight="true" outlineLevel="0" collapsed="false">
      <c r="A9" s="1" t="n">
        <v>5</v>
      </c>
      <c r="B9" s="1" t="str">
        <f aca="false">VLOOKUP(A9,Products!$A$2:$E$61,2,FALSE())</f>
        <v>Webcam HD</v>
      </c>
      <c r="C9" s="1" t="str">
        <f aca="false">VLOOKUP(A9,Products!$A$2:$E$61,3,FALSE())</f>
        <v>Electronics</v>
      </c>
      <c r="D9" s="7" t="n">
        <f aca="false">VLOOKUP(A9,Products!$A$2:$E$61,4,FALSE())</f>
        <v>242.44</v>
      </c>
      <c r="E9" s="1" t="n">
        <f aca="false">SUMIFS(Orders!$E$2:$E$5876,Orders!$C$2:$C$5876,A9,Orders!$H$2:$H$5876,"Completed")</f>
        <v>399</v>
      </c>
      <c r="F9" s="4" t="n">
        <f aca="false">SUMIFS(Orders!$I$2:$I$5876,Orders!$C$2:$C$5876,A9,Orders!$H$2:$H$5876,"Completed")</f>
        <v>163659.59</v>
      </c>
      <c r="G9" s="4" t="n">
        <f aca="false">D9*E9</f>
        <v>96733.56</v>
      </c>
      <c r="H9" s="4" t="n">
        <f aca="false">F9-G9</f>
        <v>66926.03</v>
      </c>
    </row>
    <row r="10" customFormat="false" ht="15" hidden="false" customHeight="true" outlineLevel="0" collapsed="false">
      <c r="A10" s="1" t="n">
        <v>6</v>
      </c>
      <c r="B10" s="1" t="str">
        <f aca="false">VLOOKUP(A10,Products!$A$2:$E$61,2,FALSE())</f>
        <v>Noise Cancelling Headset</v>
      </c>
      <c r="C10" s="1" t="str">
        <f aca="false">VLOOKUP(A10,Products!$A$2:$E$61,3,FALSE())</f>
        <v>Electronics</v>
      </c>
      <c r="D10" s="7" t="n">
        <f aca="false">VLOOKUP(A10,Products!$A$2:$E$61,4,FALSE())</f>
        <v>13.13</v>
      </c>
      <c r="E10" s="1" t="n">
        <f aca="false">SUMIFS(Orders!$E$2:$E$5876,Orders!$C$2:$C$5876,A10,Orders!$H$2:$H$5876,"Completed")</f>
        <v>401</v>
      </c>
      <c r="F10" s="4" t="n">
        <f aca="false">SUMIFS(Orders!$I$2:$I$5876,Orders!$C$2:$C$5876,A10,Orders!$H$2:$H$5876,"Completed")</f>
        <v>10483.12</v>
      </c>
      <c r="G10" s="4" t="n">
        <f aca="false">D10*E10</f>
        <v>5265.13</v>
      </c>
      <c r="H10" s="4" t="n">
        <f aca="false">F10-G10</f>
        <v>5217.99</v>
      </c>
    </row>
    <row r="11" customFormat="false" ht="15" hidden="false" customHeight="true" outlineLevel="0" collapsed="false">
      <c r="A11" s="1" t="n">
        <v>7</v>
      </c>
      <c r="B11" s="1" t="str">
        <f aca="false">VLOOKUP(A11,Products!$A$2:$E$61,2,FALSE())</f>
        <v>Portable SSD 1TB</v>
      </c>
      <c r="C11" s="1" t="str">
        <f aca="false">VLOOKUP(A11,Products!$A$2:$E$61,3,FALSE())</f>
        <v>Electronics</v>
      </c>
      <c r="D11" s="7" t="n">
        <f aca="false">VLOOKUP(A11,Products!$A$2:$E$61,4,FALSE())</f>
        <v>333.81</v>
      </c>
      <c r="E11" s="1" t="n">
        <f aca="false">SUMIFS(Orders!$E$2:$E$5876,Orders!$C$2:$C$5876,A11,Orders!$H$2:$H$5876,"Completed")</f>
        <v>451</v>
      </c>
      <c r="F11" s="4" t="n">
        <f aca="false">SUMIFS(Orders!$I$2:$I$5876,Orders!$C$2:$C$5876,A11,Orders!$H$2:$H$5876,"Completed")</f>
        <v>194396</v>
      </c>
      <c r="G11" s="4" t="n">
        <f aca="false">D11*E11</f>
        <v>150548.31</v>
      </c>
      <c r="H11" s="4" t="n">
        <f aca="false">F11-G11</f>
        <v>43847.69</v>
      </c>
    </row>
    <row r="12" customFormat="false" ht="15" hidden="false" customHeight="true" outlineLevel="0" collapsed="false">
      <c r="A12" s="1" t="n">
        <v>8</v>
      </c>
      <c r="B12" s="1" t="str">
        <f aca="false">VLOOKUP(A12,Products!$A$2:$E$61,2,FALSE())</f>
        <v>Laptop Stand</v>
      </c>
      <c r="C12" s="1" t="str">
        <f aca="false">VLOOKUP(A12,Products!$A$2:$E$61,3,FALSE())</f>
        <v>Electronics</v>
      </c>
      <c r="D12" s="7" t="n">
        <f aca="false">VLOOKUP(A12,Products!$A$2:$E$61,4,FALSE())</f>
        <v>76.82</v>
      </c>
      <c r="E12" s="1" t="n">
        <f aca="false">SUMIFS(Orders!$E$2:$E$5876,Orders!$C$2:$C$5876,A12,Orders!$H$2:$H$5876,"Completed")</f>
        <v>491</v>
      </c>
      <c r="F12" s="4" t="n">
        <f aca="false">SUMIFS(Orders!$I$2:$I$5876,Orders!$C$2:$C$5876,A12,Orders!$H$2:$H$5876,"Completed")</f>
        <v>47434.14</v>
      </c>
      <c r="G12" s="4" t="n">
        <f aca="false">D12*E12</f>
        <v>37718.62</v>
      </c>
      <c r="H12" s="4" t="n">
        <f aca="false">F12-G12</f>
        <v>9715.52</v>
      </c>
    </row>
    <row r="13" customFormat="false" ht="15" hidden="false" customHeight="true" outlineLevel="0" collapsed="false">
      <c r="A13" s="1" t="n">
        <v>9</v>
      </c>
      <c r="B13" s="1" t="str">
        <f aca="false">VLOOKUP(A13,Products!$A$2:$E$61,2,FALSE())</f>
        <v>Bluetooth Speaker</v>
      </c>
      <c r="C13" s="1" t="str">
        <f aca="false">VLOOKUP(A13,Products!$A$2:$E$61,3,FALSE())</f>
        <v>Electronics</v>
      </c>
      <c r="D13" s="7" t="n">
        <f aca="false">VLOOKUP(A13,Products!$A$2:$E$61,4,FALSE())</f>
        <v>125.18</v>
      </c>
      <c r="E13" s="1" t="n">
        <f aca="false">SUMIFS(Orders!$E$2:$E$5876,Orders!$C$2:$C$5876,A13,Orders!$H$2:$H$5876,"Completed")</f>
        <v>554</v>
      </c>
      <c r="F13" s="4" t="n">
        <f aca="false">SUMIFS(Orders!$I$2:$I$5876,Orders!$C$2:$C$5876,A13,Orders!$H$2:$H$5876,"Completed")</f>
        <v>104169.97</v>
      </c>
      <c r="G13" s="4" t="n">
        <f aca="false">D13*E13</f>
        <v>69349.72</v>
      </c>
      <c r="H13" s="4" t="n">
        <f aca="false">F13-G13</f>
        <v>34820.25</v>
      </c>
    </row>
    <row r="14" customFormat="false" ht="15" hidden="false" customHeight="true" outlineLevel="0" collapsed="false">
      <c r="A14" s="1" t="n">
        <v>10</v>
      </c>
      <c r="B14" s="1" t="str">
        <f aca="false">VLOOKUP(A14,Products!$A$2:$E$61,2,FALSE())</f>
        <v>Wireless Mouse</v>
      </c>
      <c r="C14" s="1" t="str">
        <f aca="false">VLOOKUP(A14,Products!$A$2:$E$61,3,FALSE())</f>
        <v>Electronics</v>
      </c>
      <c r="D14" s="7" t="n">
        <f aca="false">VLOOKUP(A14,Products!$A$2:$E$61,4,FALSE())</f>
        <v>175.62</v>
      </c>
      <c r="E14" s="1" t="n">
        <f aca="false">SUMIFS(Orders!$E$2:$E$5876,Orders!$C$2:$C$5876,A14,Orders!$H$2:$H$5876,"Completed")</f>
        <v>467</v>
      </c>
      <c r="F14" s="4" t="n">
        <f aca="false">SUMIFS(Orders!$I$2:$I$5876,Orders!$C$2:$C$5876,A14,Orders!$H$2:$H$5876,"Completed")</f>
        <v>109550.52</v>
      </c>
      <c r="G14" s="4" t="n">
        <f aca="false">D14*E14</f>
        <v>82014.54</v>
      </c>
      <c r="H14" s="4" t="n">
        <f aca="false">F14-G14</f>
        <v>27535.98</v>
      </c>
    </row>
    <row r="15" customFormat="false" ht="15" hidden="false" customHeight="true" outlineLevel="0" collapsed="false">
      <c r="A15" s="1" t="n">
        <v>11</v>
      </c>
      <c r="B15" s="1" t="str">
        <f aca="false">VLOOKUP(A15,Products!$A$2:$E$61,2,FALSE())</f>
        <v>Mechanical Keyboard</v>
      </c>
      <c r="C15" s="1" t="str">
        <f aca="false">VLOOKUP(A15,Products!$A$2:$E$61,3,FALSE())</f>
        <v>Electronics</v>
      </c>
      <c r="D15" s="7" t="n">
        <f aca="false">VLOOKUP(A15,Products!$A$2:$E$61,4,FALSE())</f>
        <v>246.68</v>
      </c>
      <c r="E15" s="1" t="n">
        <f aca="false">SUMIFS(Orders!$E$2:$E$5876,Orders!$C$2:$C$5876,A15,Orders!$H$2:$H$5876,"Completed")</f>
        <v>420</v>
      </c>
      <c r="F15" s="4" t="n">
        <f aca="false">SUMIFS(Orders!$I$2:$I$5876,Orders!$C$2:$C$5876,A15,Orders!$H$2:$H$5876,"Completed")</f>
        <v>127710.82</v>
      </c>
      <c r="G15" s="4" t="n">
        <f aca="false">D15*E15</f>
        <v>103605.6</v>
      </c>
      <c r="H15" s="4" t="n">
        <f aca="false">F15-G15</f>
        <v>24105.22</v>
      </c>
    </row>
    <row r="16" customFormat="false" ht="15" hidden="false" customHeight="true" outlineLevel="0" collapsed="false">
      <c r="A16" s="1" t="n">
        <v>12</v>
      </c>
      <c r="B16" s="1" t="str">
        <f aca="false">VLOOKUP(A16,Products!$A$2:$E$61,2,FALSE())</f>
        <v>USB-C Hub</v>
      </c>
      <c r="C16" s="1" t="str">
        <f aca="false">VLOOKUP(A16,Products!$A$2:$E$61,3,FALSE())</f>
        <v>Electronics</v>
      </c>
      <c r="D16" s="7" t="n">
        <f aca="false">VLOOKUP(A16,Products!$A$2:$E$61,4,FALSE())</f>
        <v>120.4</v>
      </c>
      <c r="E16" s="1" t="n">
        <f aca="false">SUMIFS(Orders!$E$2:$E$5876,Orders!$C$2:$C$5876,A16,Orders!$H$2:$H$5876,"Completed")</f>
        <v>401</v>
      </c>
      <c r="F16" s="4" t="n">
        <f aca="false">SUMIFS(Orders!$I$2:$I$5876,Orders!$C$2:$C$5876,A16,Orders!$H$2:$H$5876,"Completed")</f>
        <v>66691.47</v>
      </c>
      <c r="G16" s="4" t="n">
        <f aca="false">D16*E16</f>
        <v>48280.4</v>
      </c>
      <c r="H16" s="4" t="n">
        <f aca="false">F16-G16</f>
        <v>18411.07</v>
      </c>
    </row>
    <row r="17" customFormat="false" ht="15" hidden="false" customHeight="true" outlineLevel="0" collapsed="false">
      <c r="A17" s="1" t="n">
        <v>13</v>
      </c>
      <c r="B17" s="1" t="str">
        <f aca="false">VLOOKUP(A17,Products!$A$2:$E$61,2,FALSE())</f>
        <v>27in Monitor</v>
      </c>
      <c r="C17" s="1" t="str">
        <f aca="false">VLOOKUP(A17,Products!$A$2:$E$61,3,FALSE())</f>
        <v>Electronics</v>
      </c>
      <c r="D17" s="7" t="n">
        <f aca="false">VLOOKUP(A17,Products!$A$2:$E$61,4,FALSE())</f>
        <v>185.15</v>
      </c>
      <c r="E17" s="1" t="n">
        <f aca="false">SUMIFS(Orders!$E$2:$E$5876,Orders!$C$2:$C$5876,A17,Orders!$H$2:$H$5876,"Completed")</f>
        <v>313</v>
      </c>
      <c r="F17" s="4" t="n">
        <f aca="false">SUMIFS(Orders!$I$2:$I$5876,Orders!$C$2:$C$5876,A17,Orders!$H$2:$H$5876,"Completed")</f>
        <v>103047.44</v>
      </c>
      <c r="G17" s="4" t="n">
        <f aca="false">D17*E17</f>
        <v>57951.95</v>
      </c>
      <c r="H17" s="4" t="n">
        <f aca="false">F17-G17</f>
        <v>45095.49</v>
      </c>
    </row>
    <row r="18" customFormat="false" ht="15" hidden="false" customHeight="true" outlineLevel="0" collapsed="false">
      <c r="A18" s="1" t="n">
        <v>14</v>
      </c>
      <c r="B18" s="1" t="str">
        <f aca="false">VLOOKUP(A18,Products!$A$2:$E$61,2,FALSE())</f>
        <v>Webcam HD</v>
      </c>
      <c r="C18" s="1" t="str">
        <f aca="false">VLOOKUP(A18,Products!$A$2:$E$61,3,FALSE())</f>
        <v>Electronics</v>
      </c>
      <c r="D18" s="7" t="n">
        <f aca="false">VLOOKUP(A18,Products!$A$2:$E$61,4,FALSE())</f>
        <v>83.87</v>
      </c>
      <c r="E18" s="1" t="n">
        <f aca="false">SUMIFS(Orders!$E$2:$E$5876,Orders!$C$2:$C$5876,A18,Orders!$H$2:$H$5876,"Completed")</f>
        <v>401</v>
      </c>
      <c r="F18" s="4" t="n">
        <f aca="false">SUMIFS(Orders!$I$2:$I$5876,Orders!$C$2:$C$5876,A18,Orders!$H$2:$H$5876,"Completed")</f>
        <v>50780.41</v>
      </c>
      <c r="G18" s="4" t="n">
        <f aca="false">D18*E18</f>
        <v>33631.87</v>
      </c>
      <c r="H18" s="4" t="n">
        <f aca="false">F18-G18</f>
        <v>17148.54</v>
      </c>
    </row>
    <row r="19" customFormat="false" ht="15" hidden="false" customHeight="true" outlineLevel="0" collapsed="false">
      <c r="A19" s="1" t="n">
        <v>15</v>
      </c>
      <c r="B19" s="1" t="str">
        <f aca="false">VLOOKUP(A19,Products!$A$2:$E$61,2,FALSE())</f>
        <v>Noise Cancelling Headset</v>
      </c>
      <c r="C19" s="1" t="str">
        <f aca="false">VLOOKUP(A19,Products!$A$2:$E$61,3,FALSE())</f>
        <v>Electronics</v>
      </c>
      <c r="D19" s="7" t="n">
        <f aca="false">VLOOKUP(A19,Products!$A$2:$E$61,4,FALSE())</f>
        <v>239</v>
      </c>
      <c r="E19" s="1" t="n">
        <f aca="false">SUMIFS(Orders!$E$2:$E$5876,Orders!$C$2:$C$5876,A19,Orders!$H$2:$H$5876,"Completed")</f>
        <v>384</v>
      </c>
      <c r="F19" s="4" t="n">
        <f aca="false">SUMIFS(Orders!$I$2:$I$5876,Orders!$C$2:$C$5876,A19,Orders!$H$2:$H$5876,"Completed")</f>
        <v>109034.86</v>
      </c>
      <c r="G19" s="4" t="n">
        <f aca="false">D19*E19</f>
        <v>91776</v>
      </c>
      <c r="H19" s="4" t="n">
        <f aca="false">F19-G19</f>
        <v>17258.86</v>
      </c>
    </row>
    <row r="20" customFormat="false" ht="15" hidden="false" customHeight="true" outlineLevel="0" collapsed="false">
      <c r="A20" s="1" t="n">
        <v>16</v>
      </c>
      <c r="B20" s="1" t="str">
        <f aca="false">VLOOKUP(A20,Products!$A$2:$E$61,2,FALSE())</f>
        <v>Portable SSD 1TB</v>
      </c>
      <c r="C20" s="1" t="str">
        <f aca="false">VLOOKUP(A20,Products!$A$2:$E$61,3,FALSE())</f>
        <v>Electronics</v>
      </c>
      <c r="D20" s="7" t="n">
        <f aca="false">VLOOKUP(A20,Products!$A$2:$E$61,4,FALSE())</f>
        <v>244.98</v>
      </c>
      <c r="E20" s="1" t="n">
        <f aca="false">SUMIFS(Orders!$E$2:$E$5876,Orders!$C$2:$C$5876,A20,Orders!$H$2:$H$5876,"Completed")</f>
        <v>446</v>
      </c>
      <c r="F20" s="4" t="n">
        <f aca="false">SUMIFS(Orders!$I$2:$I$5876,Orders!$C$2:$C$5876,A20,Orders!$H$2:$H$5876,"Completed")</f>
        <v>136434.17</v>
      </c>
      <c r="G20" s="4" t="n">
        <f aca="false">D20*E20</f>
        <v>109261.08</v>
      </c>
      <c r="H20" s="4" t="n">
        <f aca="false">F20-G20</f>
        <v>27173.09</v>
      </c>
    </row>
    <row r="21" customFormat="false" ht="15" hidden="false" customHeight="true" outlineLevel="0" collapsed="false">
      <c r="A21" s="1" t="n">
        <v>17</v>
      </c>
      <c r="B21" s="1" t="str">
        <f aca="false">VLOOKUP(A21,Products!$A$2:$E$61,2,FALSE())</f>
        <v>Laptop Stand</v>
      </c>
      <c r="C21" s="1" t="str">
        <f aca="false">VLOOKUP(A21,Products!$A$2:$E$61,3,FALSE())</f>
        <v>Electronics</v>
      </c>
      <c r="D21" s="7" t="n">
        <f aca="false">VLOOKUP(A21,Products!$A$2:$E$61,4,FALSE())</f>
        <v>30.7</v>
      </c>
      <c r="E21" s="1" t="n">
        <f aca="false">SUMIFS(Orders!$E$2:$E$5876,Orders!$C$2:$C$5876,A21,Orders!$H$2:$H$5876,"Completed")</f>
        <v>372</v>
      </c>
      <c r="F21" s="4" t="n">
        <f aca="false">SUMIFS(Orders!$I$2:$I$5876,Orders!$C$2:$C$5876,A21,Orders!$H$2:$H$5876,"Completed")</f>
        <v>22865.12</v>
      </c>
      <c r="G21" s="4" t="n">
        <f aca="false">D21*E21</f>
        <v>11420.4</v>
      </c>
      <c r="H21" s="4" t="n">
        <f aca="false">F21-G21</f>
        <v>11444.72</v>
      </c>
    </row>
    <row r="22" customFormat="false" ht="15" hidden="false" customHeight="true" outlineLevel="0" collapsed="false">
      <c r="A22" s="1" t="n">
        <v>18</v>
      </c>
      <c r="B22" s="1" t="str">
        <f aca="false">VLOOKUP(A22,Products!$A$2:$E$61,2,FALSE())</f>
        <v>Bluetooth Speaker</v>
      </c>
      <c r="C22" s="1" t="str">
        <f aca="false">VLOOKUP(A22,Products!$A$2:$E$61,3,FALSE())</f>
        <v>Electronics</v>
      </c>
      <c r="D22" s="7" t="n">
        <f aca="false">VLOOKUP(A22,Products!$A$2:$E$61,4,FALSE())</f>
        <v>386.42</v>
      </c>
      <c r="E22" s="1" t="n">
        <f aca="false">SUMIFS(Orders!$E$2:$E$5876,Orders!$C$2:$C$5876,A22,Orders!$H$2:$H$5876,"Completed")</f>
        <v>430</v>
      </c>
      <c r="F22" s="4" t="n">
        <f aca="false">SUMIFS(Orders!$I$2:$I$5876,Orders!$C$2:$C$5876,A22,Orders!$H$2:$H$5876,"Completed")</f>
        <v>295049.85</v>
      </c>
      <c r="G22" s="4" t="n">
        <f aca="false">D22*E22</f>
        <v>166160.6</v>
      </c>
      <c r="H22" s="4" t="n">
        <f aca="false">F22-G22</f>
        <v>128889.25</v>
      </c>
    </row>
    <row r="23" customFormat="false" ht="15" hidden="false" customHeight="true" outlineLevel="0" collapsed="false">
      <c r="A23" s="1" t="n">
        <v>19</v>
      </c>
      <c r="B23" s="1" t="str">
        <f aca="false">VLOOKUP(A23,Products!$A$2:$E$61,2,FALSE())</f>
        <v>Ergonomic Chair</v>
      </c>
      <c r="C23" s="1" t="str">
        <f aca="false">VLOOKUP(A23,Products!$A$2:$E$61,3,FALSE())</f>
        <v>Office Supplies</v>
      </c>
      <c r="D23" s="7" t="n">
        <f aca="false">VLOOKUP(A23,Products!$A$2:$E$61,4,FALSE())</f>
        <v>125.32</v>
      </c>
      <c r="E23" s="1" t="n">
        <f aca="false">SUMIFS(Orders!$E$2:$E$5876,Orders!$C$2:$C$5876,A23,Orders!$H$2:$H$5876,"Completed")</f>
        <v>356</v>
      </c>
      <c r="F23" s="4" t="n">
        <f aca="false">SUMIFS(Orders!$I$2:$I$5876,Orders!$C$2:$C$5876,A23,Orders!$H$2:$H$5876,"Completed")</f>
        <v>53845.75</v>
      </c>
      <c r="G23" s="4" t="n">
        <f aca="false">D23*E23</f>
        <v>44613.92</v>
      </c>
      <c r="H23" s="4" t="n">
        <f aca="false">F23-G23</f>
        <v>9231.83</v>
      </c>
    </row>
    <row r="24" customFormat="false" ht="15" hidden="false" customHeight="true" outlineLevel="0" collapsed="false">
      <c r="A24" s="1" t="n">
        <v>20</v>
      </c>
      <c r="B24" s="1" t="str">
        <f aca="false">VLOOKUP(A24,Products!$A$2:$E$61,2,FALSE())</f>
        <v>Standing Desk</v>
      </c>
      <c r="C24" s="1" t="str">
        <f aca="false">VLOOKUP(A24,Products!$A$2:$E$61,3,FALSE())</f>
        <v>Office Supplies</v>
      </c>
      <c r="D24" s="7" t="n">
        <f aca="false">VLOOKUP(A24,Products!$A$2:$E$61,4,FALSE())</f>
        <v>275.27</v>
      </c>
      <c r="E24" s="1" t="n">
        <f aca="false">SUMIFS(Orders!$E$2:$E$5876,Orders!$C$2:$C$5876,A24,Orders!$H$2:$H$5876,"Completed")</f>
        <v>398</v>
      </c>
      <c r="F24" s="4" t="n">
        <f aca="false">SUMIFS(Orders!$I$2:$I$5876,Orders!$C$2:$C$5876,A24,Orders!$H$2:$H$5876,"Completed")</f>
        <v>153669.66</v>
      </c>
      <c r="G24" s="4" t="n">
        <f aca="false">D24*E24</f>
        <v>109557.46</v>
      </c>
      <c r="H24" s="4" t="n">
        <f aca="false">F24-G24</f>
        <v>44112.2</v>
      </c>
    </row>
    <row r="25" customFormat="false" ht="15" hidden="false" customHeight="true" outlineLevel="0" collapsed="false">
      <c r="A25" s="1" t="n">
        <v>21</v>
      </c>
      <c r="B25" s="1" t="str">
        <f aca="false">VLOOKUP(A25,Products!$A$2:$E$61,2,FALSE())</f>
        <v>Desk Lamp</v>
      </c>
      <c r="C25" s="1" t="str">
        <f aca="false">VLOOKUP(A25,Products!$A$2:$E$61,3,FALSE())</f>
        <v>Office Supplies</v>
      </c>
      <c r="D25" s="7" t="n">
        <f aca="false">VLOOKUP(A25,Products!$A$2:$E$61,4,FALSE())</f>
        <v>53.21</v>
      </c>
      <c r="E25" s="1" t="n">
        <f aca="false">SUMIFS(Orders!$E$2:$E$5876,Orders!$C$2:$C$5876,A25,Orders!$H$2:$H$5876,"Completed")</f>
        <v>403</v>
      </c>
      <c r="F25" s="4" t="n">
        <f aca="false">SUMIFS(Orders!$I$2:$I$5876,Orders!$C$2:$C$5876,A25,Orders!$H$2:$H$5876,"Completed")</f>
        <v>31786.06</v>
      </c>
      <c r="G25" s="4" t="n">
        <f aca="false">D25*E25</f>
        <v>21443.63</v>
      </c>
      <c r="H25" s="4" t="n">
        <f aca="false">F25-G25</f>
        <v>10342.43</v>
      </c>
    </row>
    <row r="26" customFormat="false" ht="15" hidden="false" customHeight="true" outlineLevel="0" collapsed="false">
      <c r="A26" s="1" t="n">
        <v>22</v>
      </c>
      <c r="B26" s="1" t="str">
        <f aca="false">VLOOKUP(A26,Products!$A$2:$E$61,2,FALSE())</f>
        <v>Notebook Set</v>
      </c>
      <c r="C26" s="1" t="str">
        <f aca="false">VLOOKUP(A26,Products!$A$2:$E$61,3,FALSE())</f>
        <v>Office Supplies</v>
      </c>
      <c r="D26" s="7" t="n">
        <f aca="false">VLOOKUP(A26,Products!$A$2:$E$61,4,FALSE())</f>
        <v>18.58</v>
      </c>
      <c r="E26" s="1" t="n">
        <f aca="false">SUMIFS(Orders!$E$2:$E$5876,Orders!$C$2:$C$5876,A26,Orders!$H$2:$H$5876,"Completed")</f>
        <v>439</v>
      </c>
      <c r="F26" s="4" t="n">
        <f aca="false">SUMIFS(Orders!$I$2:$I$5876,Orders!$C$2:$C$5876,A26,Orders!$H$2:$H$5876,"Completed")</f>
        <v>15904.3</v>
      </c>
      <c r="G26" s="4" t="n">
        <f aca="false">D26*E26</f>
        <v>8156.62</v>
      </c>
      <c r="H26" s="4" t="n">
        <f aca="false">F26-G26</f>
        <v>7747.68</v>
      </c>
    </row>
    <row r="27" customFormat="false" ht="15" hidden="false" customHeight="true" outlineLevel="0" collapsed="false">
      <c r="A27" s="1" t="n">
        <v>23</v>
      </c>
      <c r="B27" s="1" t="str">
        <f aca="false">VLOOKUP(A27,Products!$A$2:$E$61,2,FALSE())</f>
        <v>Whiteboard</v>
      </c>
      <c r="C27" s="1" t="str">
        <f aca="false">VLOOKUP(A27,Products!$A$2:$E$61,3,FALSE())</f>
        <v>Office Supplies</v>
      </c>
      <c r="D27" s="7" t="n">
        <f aca="false">VLOOKUP(A27,Products!$A$2:$E$61,4,FALSE())</f>
        <v>107.22</v>
      </c>
      <c r="E27" s="1" t="n">
        <f aca="false">SUMIFS(Orders!$E$2:$E$5876,Orders!$C$2:$C$5876,A27,Orders!$H$2:$H$5876,"Completed")</f>
        <v>369</v>
      </c>
      <c r="F27" s="4" t="n">
        <f aca="false">SUMIFS(Orders!$I$2:$I$5876,Orders!$C$2:$C$5876,A27,Orders!$H$2:$H$5876,"Completed")</f>
        <v>64583.37</v>
      </c>
      <c r="G27" s="4" t="n">
        <f aca="false">D27*E27</f>
        <v>39564.18</v>
      </c>
      <c r="H27" s="4" t="n">
        <f aca="false">F27-G27</f>
        <v>25019.19</v>
      </c>
    </row>
    <row r="28" customFormat="false" ht="15" hidden="false" customHeight="true" outlineLevel="0" collapsed="false">
      <c r="A28" s="1" t="n">
        <v>24</v>
      </c>
      <c r="B28" s="1" t="str">
        <f aca="false">VLOOKUP(A28,Products!$A$2:$E$61,2,FALSE())</f>
        <v>Filing Cabinet</v>
      </c>
      <c r="C28" s="1" t="str">
        <f aca="false">VLOOKUP(A28,Products!$A$2:$E$61,3,FALSE())</f>
        <v>Office Supplies</v>
      </c>
      <c r="D28" s="7" t="n">
        <f aca="false">VLOOKUP(A28,Products!$A$2:$E$61,4,FALSE())</f>
        <v>128.13</v>
      </c>
      <c r="E28" s="1" t="n">
        <f aca="false">SUMIFS(Orders!$E$2:$E$5876,Orders!$C$2:$C$5876,A28,Orders!$H$2:$H$5876,"Completed")</f>
        <v>426</v>
      </c>
      <c r="F28" s="4" t="n">
        <f aca="false">SUMIFS(Orders!$I$2:$I$5876,Orders!$C$2:$C$5876,A28,Orders!$H$2:$H$5876,"Completed")</f>
        <v>82116.99</v>
      </c>
      <c r="G28" s="4" t="n">
        <f aca="false">D28*E28</f>
        <v>54583.38</v>
      </c>
      <c r="H28" s="4" t="n">
        <f aca="false">F28-G28</f>
        <v>27533.61</v>
      </c>
    </row>
    <row r="29" customFormat="false" ht="15" hidden="false" customHeight="true" outlineLevel="0" collapsed="false">
      <c r="A29" s="1" t="n">
        <v>25</v>
      </c>
      <c r="B29" s="1" t="str">
        <f aca="false">VLOOKUP(A29,Products!$A$2:$E$61,2,FALSE())</f>
        <v>Stapler</v>
      </c>
      <c r="C29" s="1" t="str">
        <f aca="false">VLOOKUP(A29,Products!$A$2:$E$61,3,FALSE())</f>
        <v>Office Supplies</v>
      </c>
      <c r="D29" s="7" t="n">
        <f aca="false">VLOOKUP(A29,Products!$A$2:$E$61,4,FALSE())</f>
        <v>220.95</v>
      </c>
      <c r="E29" s="1" t="n">
        <f aca="false">SUMIFS(Orders!$E$2:$E$5876,Orders!$C$2:$C$5876,A29,Orders!$H$2:$H$5876,"Completed")</f>
        <v>435</v>
      </c>
      <c r="F29" s="4" t="n">
        <f aca="false">SUMIFS(Orders!$I$2:$I$5876,Orders!$C$2:$C$5876,A29,Orders!$H$2:$H$5876,"Completed")</f>
        <v>120766.96</v>
      </c>
      <c r="G29" s="4" t="n">
        <f aca="false">D29*E29</f>
        <v>96113.25</v>
      </c>
      <c r="H29" s="4" t="n">
        <f aca="false">F29-G29</f>
        <v>24653.71</v>
      </c>
    </row>
    <row r="30" customFormat="false" ht="15" hidden="false" customHeight="true" outlineLevel="0" collapsed="false">
      <c r="A30" s="1" t="n">
        <v>26</v>
      </c>
      <c r="B30" s="1" t="str">
        <f aca="false">VLOOKUP(A30,Products!$A$2:$E$61,2,FALSE())</f>
        <v>Printer Paper (Box)</v>
      </c>
      <c r="C30" s="1" t="str">
        <f aca="false">VLOOKUP(A30,Products!$A$2:$E$61,3,FALSE())</f>
        <v>Office Supplies</v>
      </c>
      <c r="D30" s="7" t="n">
        <f aca="false">VLOOKUP(A30,Products!$A$2:$E$61,4,FALSE())</f>
        <v>387.99</v>
      </c>
      <c r="E30" s="1" t="n">
        <f aca="false">SUMIFS(Orders!$E$2:$E$5876,Orders!$C$2:$C$5876,A30,Orders!$H$2:$H$5876,"Completed")</f>
        <v>461</v>
      </c>
      <c r="F30" s="4" t="n">
        <f aca="false">SUMIFS(Orders!$I$2:$I$5876,Orders!$C$2:$C$5876,A30,Orders!$H$2:$H$5876,"Completed")</f>
        <v>321719.83</v>
      </c>
      <c r="G30" s="4" t="n">
        <f aca="false">D30*E30</f>
        <v>178863.39</v>
      </c>
      <c r="H30" s="4" t="n">
        <f aca="false">F30-G30</f>
        <v>142856.44</v>
      </c>
    </row>
    <row r="31" customFormat="false" ht="15" hidden="false" customHeight="true" outlineLevel="0" collapsed="false">
      <c r="A31" s="1" t="n">
        <v>27</v>
      </c>
      <c r="B31" s="1" t="str">
        <f aca="false">VLOOKUP(A31,Products!$A$2:$E$61,2,FALSE())</f>
        <v>Ergonomic Chair</v>
      </c>
      <c r="C31" s="1" t="str">
        <f aca="false">VLOOKUP(A31,Products!$A$2:$E$61,3,FALSE())</f>
        <v>Office Supplies</v>
      </c>
      <c r="D31" s="7" t="n">
        <f aca="false">VLOOKUP(A31,Products!$A$2:$E$61,4,FALSE())</f>
        <v>376.1</v>
      </c>
      <c r="E31" s="1" t="n">
        <f aca="false">SUMIFS(Orders!$E$2:$E$5876,Orders!$C$2:$C$5876,A31,Orders!$H$2:$H$5876,"Completed")</f>
        <v>448</v>
      </c>
      <c r="F31" s="4" t="n">
        <f aca="false">SUMIFS(Orders!$I$2:$I$5876,Orders!$C$2:$C$5876,A31,Orders!$H$2:$H$5876,"Completed")</f>
        <v>316873.66</v>
      </c>
      <c r="G31" s="4" t="n">
        <f aca="false">D31*E31</f>
        <v>168492.8</v>
      </c>
      <c r="H31" s="4" t="n">
        <f aca="false">F31-G31</f>
        <v>148380.86</v>
      </c>
    </row>
    <row r="32" customFormat="false" ht="15" hidden="false" customHeight="true" outlineLevel="0" collapsed="false">
      <c r="A32" s="1" t="n">
        <v>28</v>
      </c>
      <c r="B32" s="1" t="str">
        <f aca="false">VLOOKUP(A32,Products!$A$2:$E$61,2,FALSE())</f>
        <v>Standing Desk</v>
      </c>
      <c r="C32" s="1" t="str">
        <f aca="false">VLOOKUP(A32,Products!$A$2:$E$61,3,FALSE())</f>
        <v>Office Supplies</v>
      </c>
      <c r="D32" s="7" t="n">
        <f aca="false">VLOOKUP(A32,Products!$A$2:$E$61,4,FALSE())</f>
        <v>241.17</v>
      </c>
      <c r="E32" s="1" t="n">
        <f aca="false">SUMIFS(Orders!$E$2:$E$5876,Orders!$C$2:$C$5876,A32,Orders!$H$2:$H$5876,"Completed")</f>
        <v>518</v>
      </c>
      <c r="F32" s="4" t="n">
        <f aca="false">SUMIFS(Orders!$I$2:$I$5876,Orders!$C$2:$C$5876,A32,Orders!$H$2:$H$5876,"Completed")</f>
        <v>244127.15</v>
      </c>
      <c r="G32" s="4" t="n">
        <f aca="false">D32*E32</f>
        <v>124926.06</v>
      </c>
      <c r="H32" s="4" t="n">
        <f aca="false">F32-G32</f>
        <v>119201.09</v>
      </c>
    </row>
    <row r="33" customFormat="false" ht="15" hidden="false" customHeight="true" outlineLevel="0" collapsed="false">
      <c r="A33" s="1" t="n">
        <v>29</v>
      </c>
      <c r="B33" s="1" t="str">
        <f aca="false">VLOOKUP(A33,Products!$A$2:$E$61,2,FALSE())</f>
        <v>Desk Lamp</v>
      </c>
      <c r="C33" s="1" t="str">
        <f aca="false">VLOOKUP(A33,Products!$A$2:$E$61,3,FALSE())</f>
        <v>Office Supplies</v>
      </c>
      <c r="D33" s="7" t="n">
        <f aca="false">VLOOKUP(A33,Products!$A$2:$E$61,4,FALSE())</f>
        <v>39.95</v>
      </c>
      <c r="E33" s="1" t="n">
        <f aca="false">SUMIFS(Orders!$E$2:$E$5876,Orders!$C$2:$C$5876,A33,Orders!$H$2:$H$5876,"Completed")</f>
        <v>464</v>
      </c>
      <c r="F33" s="4" t="n">
        <f aca="false">SUMIFS(Orders!$I$2:$I$5876,Orders!$C$2:$C$5876,A33,Orders!$H$2:$H$5876,"Completed")</f>
        <v>23983.62</v>
      </c>
      <c r="G33" s="4" t="n">
        <f aca="false">D33*E33</f>
        <v>18536.8</v>
      </c>
      <c r="H33" s="4" t="n">
        <f aca="false">F33-G33</f>
        <v>5446.82</v>
      </c>
    </row>
    <row r="34" customFormat="false" ht="15" hidden="false" customHeight="true" outlineLevel="0" collapsed="false">
      <c r="A34" s="1" t="n">
        <v>30</v>
      </c>
      <c r="B34" s="1" t="str">
        <f aca="false">VLOOKUP(A34,Products!$A$2:$E$61,2,FALSE())</f>
        <v>Notebook Set</v>
      </c>
      <c r="C34" s="1" t="str">
        <f aca="false">VLOOKUP(A34,Products!$A$2:$E$61,3,FALSE())</f>
        <v>Office Supplies</v>
      </c>
      <c r="D34" s="7" t="n">
        <f aca="false">VLOOKUP(A34,Products!$A$2:$E$61,4,FALSE())</f>
        <v>22.86</v>
      </c>
      <c r="E34" s="1" t="n">
        <f aca="false">SUMIFS(Orders!$E$2:$E$5876,Orders!$C$2:$C$5876,A34,Orders!$H$2:$H$5876,"Completed")</f>
        <v>396</v>
      </c>
      <c r="F34" s="4" t="n">
        <f aca="false">SUMIFS(Orders!$I$2:$I$5876,Orders!$C$2:$C$5876,A34,Orders!$H$2:$H$5876,"Completed")</f>
        <v>12295.09</v>
      </c>
      <c r="G34" s="4" t="n">
        <f aca="false">D34*E34</f>
        <v>9052.56</v>
      </c>
      <c r="H34" s="4" t="n">
        <f aca="false">F34-G34</f>
        <v>3242.53</v>
      </c>
    </row>
    <row r="35" customFormat="false" ht="15" hidden="false" customHeight="true" outlineLevel="0" collapsed="false">
      <c r="A35" s="1" t="n">
        <v>31</v>
      </c>
      <c r="B35" s="1" t="str">
        <f aca="false">VLOOKUP(A35,Products!$A$2:$E$61,2,FALSE())</f>
        <v>Whiteboard</v>
      </c>
      <c r="C35" s="1" t="str">
        <f aca="false">VLOOKUP(A35,Products!$A$2:$E$61,3,FALSE())</f>
        <v>Office Supplies</v>
      </c>
      <c r="D35" s="7" t="n">
        <f aca="false">VLOOKUP(A35,Products!$A$2:$E$61,4,FALSE())</f>
        <v>158.53</v>
      </c>
      <c r="E35" s="1" t="n">
        <f aca="false">SUMIFS(Orders!$E$2:$E$5876,Orders!$C$2:$C$5876,A35,Orders!$H$2:$H$5876,"Completed")</f>
        <v>478</v>
      </c>
      <c r="F35" s="4" t="n">
        <f aca="false">SUMIFS(Orders!$I$2:$I$5876,Orders!$C$2:$C$5876,A35,Orders!$H$2:$H$5876,"Completed")</f>
        <v>99815.4</v>
      </c>
      <c r="G35" s="4" t="n">
        <f aca="false">D35*E35</f>
        <v>75777.34</v>
      </c>
      <c r="H35" s="4" t="n">
        <f aca="false">F35-G35</f>
        <v>24038.06</v>
      </c>
    </row>
    <row r="36" customFormat="false" ht="15" hidden="false" customHeight="true" outlineLevel="0" collapsed="false">
      <c r="A36" s="1" t="n">
        <v>32</v>
      </c>
      <c r="B36" s="1" t="str">
        <f aca="false">VLOOKUP(A36,Products!$A$2:$E$61,2,FALSE())</f>
        <v>Filing Cabinet</v>
      </c>
      <c r="C36" s="1" t="str">
        <f aca="false">VLOOKUP(A36,Products!$A$2:$E$61,3,FALSE())</f>
        <v>Office Supplies</v>
      </c>
      <c r="D36" s="7" t="n">
        <f aca="false">VLOOKUP(A36,Products!$A$2:$E$61,4,FALSE())</f>
        <v>332.35</v>
      </c>
      <c r="E36" s="1" t="n">
        <f aca="false">SUMIFS(Orders!$E$2:$E$5876,Orders!$C$2:$C$5876,A36,Orders!$H$2:$H$5876,"Completed")</f>
        <v>465</v>
      </c>
      <c r="F36" s="4" t="n">
        <f aca="false">SUMIFS(Orders!$I$2:$I$5876,Orders!$C$2:$C$5876,A36,Orders!$H$2:$H$5876,"Completed")</f>
        <v>215663.5</v>
      </c>
      <c r="G36" s="4" t="n">
        <f aca="false">D36*E36</f>
        <v>154542.75</v>
      </c>
      <c r="H36" s="4" t="n">
        <f aca="false">F36-G36</f>
        <v>61120.75</v>
      </c>
    </row>
    <row r="37" customFormat="false" ht="15" hidden="false" customHeight="true" outlineLevel="0" collapsed="false">
      <c r="A37" s="1" t="n">
        <v>33</v>
      </c>
      <c r="B37" s="1" t="str">
        <f aca="false">VLOOKUP(A37,Products!$A$2:$E$61,2,FALSE())</f>
        <v>Stapler</v>
      </c>
      <c r="C37" s="1" t="str">
        <f aca="false">VLOOKUP(A37,Products!$A$2:$E$61,3,FALSE())</f>
        <v>Office Supplies</v>
      </c>
      <c r="D37" s="7" t="n">
        <f aca="false">VLOOKUP(A37,Products!$A$2:$E$61,4,FALSE())</f>
        <v>115.97</v>
      </c>
      <c r="E37" s="1" t="n">
        <f aca="false">SUMIFS(Orders!$E$2:$E$5876,Orders!$C$2:$C$5876,A37,Orders!$H$2:$H$5876,"Completed")</f>
        <v>440</v>
      </c>
      <c r="F37" s="4" t="n">
        <f aca="false">SUMIFS(Orders!$I$2:$I$5876,Orders!$C$2:$C$5876,A37,Orders!$H$2:$H$5876,"Completed")</f>
        <v>78996.01</v>
      </c>
      <c r="G37" s="4" t="n">
        <f aca="false">D37*E37</f>
        <v>51026.8</v>
      </c>
      <c r="H37" s="4" t="n">
        <f aca="false">F37-G37</f>
        <v>27969.21</v>
      </c>
    </row>
    <row r="38" customFormat="false" ht="15" hidden="false" customHeight="true" outlineLevel="0" collapsed="false">
      <c r="A38" s="1" t="n">
        <v>34</v>
      </c>
      <c r="B38" s="1" t="str">
        <f aca="false">VLOOKUP(A38,Products!$A$2:$E$61,2,FALSE())</f>
        <v>Printer Paper (Box)</v>
      </c>
      <c r="C38" s="1" t="str">
        <f aca="false">VLOOKUP(A38,Products!$A$2:$E$61,3,FALSE())</f>
        <v>Office Supplies</v>
      </c>
      <c r="D38" s="7" t="n">
        <f aca="false">VLOOKUP(A38,Products!$A$2:$E$61,4,FALSE())</f>
        <v>60.67</v>
      </c>
      <c r="E38" s="1" t="n">
        <f aca="false">SUMIFS(Orders!$E$2:$E$5876,Orders!$C$2:$C$5876,A38,Orders!$H$2:$H$5876,"Completed")</f>
        <v>411</v>
      </c>
      <c r="F38" s="4" t="n">
        <f aca="false">SUMIFS(Orders!$I$2:$I$5876,Orders!$C$2:$C$5876,A38,Orders!$H$2:$H$5876,"Completed")</f>
        <v>45069.04</v>
      </c>
      <c r="G38" s="4" t="n">
        <f aca="false">D38*E38</f>
        <v>24935.37</v>
      </c>
      <c r="H38" s="4" t="n">
        <f aca="false">F38-G38</f>
        <v>20133.67</v>
      </c>
    </row>
    <row r="39" customFormat="false" ht="15" hidden="false" customHeight="true" outlineLevel="0" collapsed="false">
      <c r="A39" s="1" t="n">
        <v>35</v>
      </c>
      <c r="B39" s="1" t="str">
        <f aca="false">VLOOKUP(A39,Products!$A$2:$E$61,2,FALSE())</f>
        <v>Analytics Suite License</v>
      </c>
      <c r="C39" s="1" t="str">
        <f aca="false">VLOOKUP(A39,Products!$A$2:$E$61,3,FALSE())</f>
        <v>Software</v>
      </c>
      <c r="D39" s="7" t="n">
        <f aca="false">VLOOKUP(A39,Products!$A$2:$E$61,4,FALSE())</f>
        <v>34.45</v>
      </c>
      <c r="E39" s="1" t="n">
        <f aca="false">SUMIFS(Orders!$E$2:$E$5876,Orders!$C$2:$C$5876,A39,Orders!$H$2:$H$5876,"Completed")</f>
        <v>360</v>
      </c>
      <c r="F39" s="4" t="n">
        <f aca="false">SUMIFS(Orders!$I$2:$I$5876,Orders!$C$2:$C$5876,A39,Orders!$H$2:$H$5876,"Completed")</f>
        <v>25829.62</v>
      </c>
      <c r="G39" s="4" t="n">
        <f aca="false">D39*E39</f>
        <v>12402</v>
      </c>
      <c r="H39" s="4" t="n">
        <f aca="false">F39-G39</f>
        <v>13427.62</v>
      </c>
    </row>
    <row r="40" customFormat="false" ht="15" hidden="false" customHeight="true" outlineLevel="0" collapsed="false">
      <c r="A40" s="1" t="n">
        <v>36</v>
      </c>
      <c r="B40" s="1" t="str">
        <f aca="false">VLOOKUP(A40,Products!$A$2:$E$61,2,FALSE())</f>
        <v>CRM Subscription (Annual)</v>
      </c>
      <c r="C40" s="1" t="str">
        <f aca="false">VLOOKUP(A40,Products!$A$2:$E$61,3,FALSE())</f>
        <v>Software</v>
      </c>
      <c r="D40" s="7" t="n">
        <f aca="false">VLOOKUP(A40,Products!$A$2:$E$61,4,FALSE())</f>
        <v>310.04</v>
      </c>
      <c r="E40" s="1" t="n">
        <f aca="false">SUMIFS(Orders!$E$2:$E$5876,Orders!$C$2:$C$5876,A40,Orders!$H$2:$H$5876,"Completed")</f>
        <v>391</v>
      </c>
      <c r="F40" s="4" t="n">
        <f aca="false">SUMIFS(Orders!$I$2:$I$5876,Orders!$C$2:$C$5876,A40,Orders!$H$2:$H$5876,"Completed")</f>
        <v>155178.87</v>
      </c>
      <c r="G40" s="4" t="n">
        <f aca="false">D40*E40</f>
        <v>121225.64</v>
      </c>
      <c r="H40" s="4" t="n">
        <f aca="false">F40-G40</f>
        <v>33953.23</v>
      </c>
    </row>
    <row r="41" customFormat="false" ht="15" hidden="false" customHeight="true" outlineLevel="0" collapsed="false">
      <c r="A41" s="1" t="n">
        <v>37</v>
      </c>
      <c r="B41" s="1" t="str">
        <f aca="false">VLOOKUP(A41,Products!$A$2:$E$61,2,FALSE())</f>
        <v>Antivirus Bundle</v>
      </c>
      <c r="C41" s="1" t="str">
        <f aca="false">VLOOKUP(A41,Products!$A$2:$E$61,3,FALSE())</f>
        <v>Software</v>
      </c>
      <c r="D41" s="7" t="n">
        <f aca="false">VLOOKUP(A41,Products!$A$2:$E$61,4,FALSE())</f>
        <v>7.18</v>
      </c>
      <c r="E41" s="1" t="n">
        <f aca="false">SUMIFS(Orders!$E$2:$E$5876,Orders!$C$2:$C$5876,A41,Orders!$H$2:$H$5876,"Completed")</f>
        <v>473</v>
      </c>
      <c r="F41" s="4" t="n">
        <f aca="false">SUMIFS(Orders!$I$2:$I$5876,Orders!$C$2:$C$5876,A41,Orders!$H$2:$H$5876,"Completed")</f>
        <v>6100.29</v>
      </c>
      <c r="G41" s="4" t="n">
        <f aca="false">D41*E41</f>
        <v>3396.14</v>
      </c>
      <c r="H41" s="4" t="n">
        <f aca="false">F41-G41</f>
        <v>2704.15</v>
      </c>
    </row>
    <row r="42" customFormat="false" ht="15" hidden="false" customHeight="true" outlineLevel="0" collapsed="false">
      <c r="A42" s="1" t="n">
        <v>38</v>
      </c>
      <c r="B42" s="1" t="str">
        <f aca="false">VLOOKUP(A42,Products!$A$2:$E$61,2,FALSE())</f>
        <v>Cloud Storage Plan</v>
      </c>
      <c r="C42" s="1" t="str">
        <f aca="false">VLOOKUP(A42,Products!$A$2:$E$61,3,FALSE())</f>
        <v>Software</v>
      </c>
      <c r="D42" s="7" t="n">
        <f aca="false">VLOOKUP(A42,Products!$A$2:$E$61,4,FALSE())</f>
        <v>284.21</v>
      </c>
      <c r="E42" s="1" t="n">
        <f aca="false">SUMIFS(Orders!$E$2:$E$5876,Orders!$C$2:$C$5876,A42,Orders!$H$2:$H$5876,"Completed")</f>
        <v>396</v>
      </c>
      <c r="F42" s="4" t="n">
        <f aca="false">SUMIFS(Orders!$I$2:$I$5876,Orders!$C$2:$C$5876,A42,Orders!$H$2:$H$5876,"Completed")</f>
        <v>193263.94</v>
      </c>
      <c r="G42" s="4" t="n">
        <f aca="false">D42*E42</f>
        <v>112547.16</v>
      </c>
      <c r="H42" s="4" t="n">
        <f aca="false">F42-G42</f>
        <v>80716.78</v>
      </c>
    </row>
    <row r="43" customFormat="false" ht="15" hidden="false" customHeight="true" outlineLevel="0" collapsed="false">
      <c r="A43" s="1" t="n">
        <v>39</v>
      </c>
      <c r="B43" s="1" t="str">
        <f aca="false">VLOOKUP(A43,Products!$A$2:$E$61,2,FALSE())</f>
        <v>Project Mgmt Tool</v>
      </c>
      <c r="C43" s="1" t="str">
        <f aca="false">VLOOKUP(A43,Products!$A$2:$E$61,3,FALSE())</f>
        <v>Software</v>
      </c>
      <c r="D43" s="7" t="n">
        <f aca="false">VLOOKUP(A43,Products!$A$2:$E$61,4,FALSE())</f>
        <v>309.65</v>
      </c>
      <c r="E43" s="1" t="n">
        <f aca="false">SUMIFS(Orders!$E$2:$E$5876,Orders!$C$2:$C$5876,A43,Orders!$H$2:$H$5876,"Completed")</f>
        <v>403</v>
      </c>
      <c r="F43" s="4" t="n">
        <f aca="false">SUMIFS(Orders!$I$2:$I$5876,Orders!$C$2:$C$5876,A43,Orders!$H$2:$H$5876,"Completed")</f>
        <v>148987.4</v>
      </c>
      <c r="G43" s="4" t="n">
        <f aca="false">D43*E43</f>
        <v>124788.95</v>
      </c>
      <c r="H43" s="4" t="n">
        <f aca="false">F43-G43</f>
        <v>24198.45</v>
      </c>
    </row>
    <row r="44" customFormat="false" ht="15" hidden="false" customHeight="true" outlineLevel="0" collapsed="false">
      <c r="A44" s="1" t="n">
        <v>40</v>
      </c>
      <c r="B44" s="1" t="str">
        <f aca="false">VLOOKUP(A44,Products!$A$2:$E$61,2,FALSE())</f>
        <v>Analytics Suite License</v>
      </c>
      <c r="C44" s="1" t="str">
        <f aca="false">VLOOKUP(A44,Products!$A$2:$E$61,3,FALSE())</f>
        <v>Software</v>
      </c>
      <c r="D44" s="7" t="n">
        <f aca="false">VLOOKUP(A44,Products!$A$2:$E$61,4,FALSE())</f>
        <v>146.59</v>
      </c>
      <c r="E44" s="1" t="n">
        <f aca="false">SUMIFS(Orders!$E$2:$E$5876,Orders!$C$2:$C$5876,A44,Orders!$H$2:$H$5876,"Completed")</f>
        <v>454</v>
      </c>
      <c r="F44" s="4" t="n">
        <f aca="false">SUMIFS(Orders!$I$2:$I$5876,Orders!$C$2:$C$5876,A44,Orders!$H$2:$H$5876,"Completed")</f>
        <v>81743.95</v>
      </c>
      <c r="G44" s="4" t="n">
        <f aca="false">D44*E44</f>
        <v>66551.86</v>
      </c>
      <c r="H44" s="4" t="n">
        <f aca="false">F44-G44</f>
        <v>15192.09</v>
      </c>
    </row>
    <row r="45" customFormat="false" ht="15" hidden="false" customHeight="true" outlineLevel="0" collapsed="false">
      <c r="A45" s="1" t="n">
        <v>41</v>
      </c>
      <c r="B45" s="1" t="str">
        <f aca="false">VLOOKUP(A45,Products!$A$2:$E$61,2,FALSE())</f>
        <v>CRM Subscription (Annual)</v>
      </c>
      <c r="C45" s="1" t="str">
        <f aca="false">VLOOKUP(A45,Products!$A$2:$E$61,3,FALSE())</f>
        <v>Software</v>
      </c>
      <c r="D45" s="7" t="n">
        <f aca="false">VLOOKUP(A45,Products!$A$2:$E$61,4,FALSE())</f>
        <v>345.93</v>
      </c>
      <c r="E45" s="1" t="n">
        <f aca="false">SUMIFS(Orders!$E$2:$E$5876,Orders!$C$2:$C$5876,A45,Orders!$H$2:$H$5876,"Completed")</f>
        <v>431</v>
      </c>
      <c r="F45" s="4" t="n">
        <f aca="false">SUMIFS(Orders!$I$2:$I$5876,Orders!$C$2:$C$5876,A45,Orders!$H$2:$H$5876,"Completed")</f>
        <v>238499.74</v>
      </c>
      <c r="G45" s="4" t="n">
        <f aca="false">D45*E45</f>
        <v>149095.83</v>
      </c>
      <c r="H45" s="4" t="n">
        <f aca="false">F45-G45</f>
        <v>89403.91</v>
      </c>
    </row>
    <row r="46" customFormat="false" ht="15" hidden="false" customHeight="true" outlineLevel="0" collapsed="false">
      <c r="A46" s="1" t="n">
        <v>42</v>
      </c>
      <c r="B46" s="1" t="str">
        <f aca="false">VLOOKUP(A46,Products!$A$2:$E$61,2,FALSE())</f>
        <v>Antivirus Bundle</v>
      </c>
      <c r="C46" s="1" t="str">
        <f aca="false">VLOOKUP(A46,Products!$A$2:$E$61,3,FALSE())</f>
        <v>Software</v>
      </c>
      <c r="D46" s="7" t="n">
        <f aca="false">VLOOKUP(A46,Products!$A$2:$E$61,4,FALSE())</f>
        <v>135.7</v>
      </c>
      <c r="E46" s="1" t="n">
        <f aca="false">SUMIFS(Orders!$E$2:$E$5876,Orders!$C$2:$C$5876,A46,Orders!$H$2:$H$5876,"Completed")</f>
        <v>442</v>
      </c>
      <c r="F46" s="4" t="n">
        <f aca="false">SUMIFS(Orders!$I$2:$I$5876,Orders!$C$2:$C$5876,A46,Orders!$H$2:$H$5876,"Completed")</f>
        <v>72409.18</v>
      </c>
      <c r="G46" s="4" t="n">
        <f aca="false">D46*E46</f>
        <v>59979.4</v>
      </c>
      <c r="H46" s="4" t="n">
        <f aca="false">F46-G46</f>
        <v>12429.78</v>
      </c>
    </row>
    <row r="47" customFormat="false" ht="15" hidden="false" customHeight="true" outlineLevel="0" collapsed="false">
      <c r="A47" s="1" t="n">
        <v>43</v>
      </c>
      <c r="B47" s="1" t="str">
        <f aca="false">VLOOKUP(A47,Products!$A$2:$E$61,2,FALSE())</f>
        <v>Cloud Storage Plan</v>
      </c>
      <c r="C47" s="1" t="str">
        <f aca="false">VLOOKUP(A47,Products!$A$2:$E$61,3,FALSE())</f>
        <v>Software</v>
      </c>
      <c r="D47" s="7" t="n">
        <f aca="false">VLOOKUP(A47,Products!$A$2:$E$61,4,FALSE())</f>
        <v>127.84</v>
      </c>
      <c r="E47" s="1" t="n">
        <f aca="false">SUMIFS(Orders!$E$2:$E$5876,Orders!$C$2:$C$5876,A47,Orders!$H$2:$H$5876,"Completed")</f>
        <v>376</v>
      </c>
      <c r="F47" s="4" t="n">
        <f aca="false">SUMIFS(Orders!$I$2:$I$5876,Orders!$C$2:$C$5876,A47,Orders!$H$2:$H$5876,"Completed")</f>
        <v>65748.81</v>
      </c>
      <c r="G47" s="4" t="n">
        <f aca="false">D47*E47</f>
        <v>48067.84</v>
      </c>
      <c r="H47" s="4" t="n">
        <f aca="false">F47-G47</f>
        <v>17680.97</v>
      </c>
    </row>
    <row r="48" customFormat="false" ht="15" hidden="false" customHeight="true" outlineLevel="0" collapsed="false">
      <c r="A48" s="1" t="n">
        <v>44</v>
      </c>
      <c r="B48" s="1" t="str">
        <f aca="false">VLOOKUP(A48,Products!$A$2:$E$61,2,FALSE())</f>
        <v>Project Mgmt Tool</v>
      </c>
      <c r="C48" s="1" t="str">
        <f aca="false">VLOOKUP(A48,Products!$A$2:$E$61,3,FALSE())</f>
        <v>Software</v>
      </c>
      <c r="D48" s="7" t="n">
        <f aca="false">VLOOKUP(A48,Products!$A$2:$E$61,4,FALSE())</f>
        <v>293.19</v>
      </c>
      <c r="E48" s="1" t="n">
        <f aca="false">SUMIFS(Orders!$E$2:$E$5876,Orders!$C$2:$C$5876,A48,Orders!$H$2:$H$5876,"Completed")</f>
        <v>392</v>
      </c>
      <c r="F48" s="4" t="n">
        <f aca="false">SUMIFS(Orders!$I$2:$I$5876,Orders!$C$2:$C$5876,A48,Orders!$H$2:$H$5876,"Completed")</f>
        <v>187649.61</v>
      </c>
      <c r="G48" s="4" t="n">
        <f aca="false">D48*E48</f>
        <v>114930.48</v>
      </c>
      <c r="H48" s="4" t="n">
        <f aca="false">F48-G48</f>
        <v>72719.13</v>
      </c>
    </row>
    <row r="49" customFormat="false" ht="15" hidden="false" customHeight="true" outlineLevel="0" collapsed="false">
      <c r="A49" s="1" t="n">
        <v>45</v>
      </c>
      <c r="B49" s="1" t="str">
        <f aca="false">VLOOKUP(A49,Products!$A$2:$E$61,2,FALSE())</f>
        <v>Analytics Suite License</v>
      </c>
      <c r="C49" s="1" t="str">
        <f aca="false">VLOOKUP(A49,Products!$A$2:$E$61,3,FALSE())</f>
        <v>Software</v>
      </c>
      <c r="D49" s="7" t="n">
        <f aca="false">VLOOKUP(A49,Products!$A$2:$E$61,4,FALSE())</f>
        <v>355.45</v>
      </c>
      <c r="E49" s="1" t="n">
        <f aca="false">SUMIFS(Orders!$E$2:$E$5876,Orders!$C$2:$C$5876,A49,Orders!$H$2:$H$5876,"Completed")</f>
        <v>480</v>
      </c>
      <c r="F49" s="4" t="n">
        <f aca="false">SUMIFS(Orders!$I$2:$I$5876,Orders!$C$2:$C$5876,A49,Orders!$H$2:$H$5876,"Completed")</f>
        <v>249820.49</v>
      </c>
      <c r="G49" s="4" t="n">
        <f aca="false">D49*E49</f>
        <v>170616</v>
      </c>
      <c r="H49" s="4" t="n">
        <f aca="false">F49-G49</f>
        <v>79204.49</v>
      </c>
    </row>
    <row r="50" customFormat="false" ht="15" hidden="false" customHeight="true" outlineLevel="0" collapsed="false">
      <c r="A50" s="1" t="n">
        <v>46</v>
      </c>
      <c r="B50" s="1" t="str">
        <f aca="false">VLOOKUP(A50,Products!$A$2:$E$61,2,FALSE())</f>
        <v>CRM Subscription (Annual)</v>
      </c>
      <c r="C50" s="1" t="str">
        <f aca="false">VLOOKUP(A50,Products!$A$2:$E$61,3,FALSE())</f>
        <v>Software</v>
      </c>
      <c r="D50" s="7" t="n">
        <f aca="false">VLOOKUP(A50,Products!$A$2:$E$61,4,FALSE())</f>
        <v>52.24</v>
      </c>
      <c r="E50" s="1" t="n">
        <f aca="false">SUMIFS(Orders!$E$2:$E$5876,Orders!$C$2:$C$5876,A50,Orders!$H$2:$H$5876,"Completed")</f>
        <v>457</v>
      </c>
      <c r="F50" s="4" t="n">
        <f aca="false">SUMIFS(Orders!$I$2:$I$5876,Orders!$C$2:$C$5876,A50,Orders!$H$2:$H$5876,"Completed")</f>
        <v>40820.35</v>
      </c>
      <c r="G50" s="4" t="n">
        <f aca="false">D50*E50</f>
        <v>23873.68</v>
      </c>
      <c r="H50" s="4" t="n">
        <f aca="false">F50-G50</f>
        <v>16946.67</v>
      </c>
    </row>
    <row r="51" customFormat="false" ht="15" hidden="false" customHeight="true" outlineLevel="0" collapsed="false">
      <c r="A51" s="1" t="n">
        <v>47</v>
      </c>
      <c r="B51" s="1" t="str">
        <f aca="false">VLOOKUP(A51,Products!$A$2:$E$61,2,FALSE())</f>
        <v>Antivirus Bundle</v>
      </c>
      <c r="C51" s="1" t="str">
        <f aca="false">VLOOKUP(A51,Products!$A$2:$E$61,3,FALSE())</f>
        <v>Software</v>
      </c>
      <c r="D51" s="7" t="n">
        <f aca="false">VLOOKUP(A51,Products!$A$2:$E$61,4,FALSE())</f>
        <v>305.51</v>
      </c>
      <c r="E51" s="1" t="n">
        <f aca="false">SUMIFS(Orders!$E$2:$E$5876,Orders!$C$2:$C$5876,A51,Orders!$H$2:$H$5876,"Completed")</f>
        <v>360</v>
      </c>
      <c r="F51" s="4" t="n">
        <f aca="false">SUMIFS(Orders!$I$2:$I$5876,Orders!$C$2:$C$5876,A51,Orders!$H$2:$H$5876,"Completed")</f>
        <v>171016.26</v>
      </c>
      <c r="G51" s="4" t="n">
        <f aca="false">D51*E51</f>
        <v>109983.6</v>
      </c>
      <c r="H51" s="4" t="n">
        <f aca="false">F51-G51</f>
        <v>61032.66</v>
      </c>
    </row>
    <row r="52" customFormat="false" ht="15" hidden="false" customHeight="true" outlineLevel="0" collapsed="false">
      <c r="A52" s="1" t="n">
        <v>48</v>
      </c>
      <c r="B52" s="1" t="str">
        <f aca="false">VLOOKUP(A52,Products!$A$2:$E$61,2,FALSE())</f>
        <v>Cloud Storage Plan</v>
      </c>
      <c r="C52" s="1" t="str">
        <f aca="false">VLOOKUP(A52,Products!$A$2:$E$61,3,FALSE())</f>
        <v>Software</v>
      </c>
      <c r="D52" s="7" t="n">
        <f aca="false">VLOOKUP(A52,Products!$A$2:$E$61,4,FALSE())</f>
        <v>309.53</v>
      </c>
      <c r="E52" s="1" t="n">
        <f aca="false">SUMIFS(Orders!$E$2:$E$5876,Orders!$C$2:$C$5876,A52,Orders!$H$2:$H$5876,"Completed")</f>
        <v>431</v>
      </c>
      <c r="F52" s="4" t="n">
        <f aca="false">SUMIFS(Orders!$I$2:$I$5876,Orders!$C$2:$C$5876,A52,Orders!$H$2:$H$5876,"Completed")</f>
        <v>197387.28</v>
      </c>
      <c r="G52" s="4" t="n">
        <f aca="false">D52*E52</f>
        <v>133407.43</v>
      </c>
      <c r="H52" s="4" t="n">
        <f aca="false">F52-G52</f>
        <v>63979.85</v>
      </c>
    </row>
    <row r="53" customFormat="false" ht="15" hidden="false" customHeight="true" outlineLevel="0" collapsed="false">
      <c r="A53" s="1" t="n">
        <v>49</v>
      </c>
      <c r="B53" s="1" t="str">
        <f aca="false">VLOOKUP(A53,Products!$A$2:$E$61,2,FALSE())</f>
        <v>Project Mgmt Tool</v>
      </c>
      <c r="C53" s="1" t="str">
        <f aca="false">VLOOKUP(A53,Products!$A$2:$E$61,3,FALSE())</f>
        <v>Software</v>
      </c>
      <c r="D53" s="7" t="n">
        <f aca="false">VLOOKUP(A53,Products!$A$2:$E$61,4,FALSE())</f>
        <v>211.48</v>
      </c>
      <c r="E53" s="1" t="n">
        <f aca="false">SUMIFS(Orders!$E$2:$E$5876,Orders!$C$2:$C$5876,A53,Orders!$H$2:$H$5876,"Completed")</f>
        <v>416</v>
      </c>
      <c r="F53" s="4" t="n">
        <f aca="false">SUMIFS(Orders!$I$2:$I$5876,Orders!$C$2:$C$5876,A53,Orders!$H$2:$H$5876,"Completed")</f>
        <v>125580.6</v>
      </c>
      <c r="G53" s="4" t="n">
        <f aca="false">D53*E53</f>
        <v>87975.68</v>
      </c>
      <c r="H53" s="4" t="n">
        <f aca="false">F53-G53</f>
        <v>37604.92</v>
      </c>
    </row>
    <row r="54" customFormat="false" ht="15" hidden="false" customHeight="true" outlineLevel="0" collapsed="false">
      <c r="A54" s="1" t="n">
        <v>50</v>
      </c>
      <c r="B54" s="1" t="str">
        <f aca="false">VLOOKUP(A54,Products!$A$2:$E$61,2,FALSE())</f>
        <v>Analytics Suite License</v>
      </c>
      <c r="C54" s="1" t="str">
        <f aca="false">VLOOKUP(A54,Products!$A$2:$E$61,3,FALSE())</f>
        <v>Software</v>
      </c>
      <c r="D54" s="7" t="n">
        <f aca="false">VLOOKUP(A54,Products!$A$2:$E$61,4,FALSE())</f>
        <v>15.04</v>
      </c>
      <c r="E54" s="1" t="n">
        <f aca="false">SUMIFS(Orders!$E$2:$E$5876,Orders!$C$2:$C$5876,A54,Orders!$H$2:$H$5876,"Completed")</f>
        <v>413</v>
      </c>
      <c r="F54" s="4" t="n">
        <f aca="false">SUMIFS(Orders!$I$2:$I$5876,Orders!$C$2:$C$5876,A54,Orders!$H$2:$H$5876,"Completed")</f>
        <v>7536.84</v>
      </c>
      <c r="G54" s="4" t="n">
        <f aca="false">D54*E54</f>
        <v>6211.52</v>
      </c>
      <c r="H54" s="4" t="n">
        <f aca="false">F54-G54</f>
        <v>1325.32</v>
      </c>
    </row>
    <row r="55" customFormat="false" ht="15" hidden="false" customHeight="true" outlineLevel="0" collapsed="false">
      <c r="A55" s="1" t="n">
        <v>51</v>
      </c>
      <c r="B55" s="1" t="str">
        <f aca="false">VLOOKUP(A55,Products!$A$2:$E$61,2,FALSE())</f>
        <v>CRM Subscription (Annual)</v>
      </c>
      <c r="C55" s="1" t="str">
        <f aca="false">VLOOKUP(A55,Products!$A$2:$E$61,3,FALSE())</f>
        <v>Software</v>
      </c>
      <c r="D55" s="7" t="n">
        <f aca="false">VLOOKUP(A55,Products!$A$2:$E$61,4,FALSE())</f>
        <v>17.41</v>
      </c>
      <c r="E55" s="1" t="n">
        <f aca="false">SUMIFS(Orders!$E$2:$E$5876,Orders!$C$2:$C$5876,A55,Orders!$H$2:$H$5876,"Completed")</f>
        <v>451</v>
      </c>
      <c r="F55" s="4" t="n">
        <f aca="false">SUMIFS(Orders!$I$2:$I$5876,Orders!$C$2:$C$5876,A55,Orders!$H$2:$H$5876,"Completed")</f>
        <v>12946.17</v>
      </c>
      <c r="G55" s="4" t="n">
        <f aca="false">D55*E55</f>
        <v>7851.91</v>
      </c>
      <c r="H55" s="4" t="n">
        <f aca="false">F55-G55</f>
        <v>5094.26</v>
      </c>
    </row>
    <row r="56" customFormat="false" ht="15" hidden="false" customHeight="true" outlineLevel="0" collapsed="false">
      <c r="A56" s="1" t="n">
        <v>52</v>
      </c>
      <c r="B56" s="1" t="str">
        <f aca="false">VLOOKUP(A56,Products!$A$2:$E$61,2,FALSE())</f>
        <v>Antivirus Bundle</v>
      </c>
      <c r="C56" s="1" t="str">
        <f aca="false">VLOOKUP(A56,Products!$A$2:$E$61,3,FALSE())</f>
        <v>Software</v>
      </c>
      <c r="D56" s="7" t="n">
        <f aca="false">VLOOKUP(A56,Products!$A$2:$E$61,4,FALSE())</f>
        <v>129.17</v>
      </c>
      <c r="E56" s="1" t="n">
        <f aca="false">SUMIFS(Orders!$E$2:$E$5876,Orders!$C$2:$C$5876,A56,Orders!$H$2:$H$5876,"Completed")</f>
        <v>506</v>
      </c>
      <c r="F56" s="4" t="n">
        <f aca="false">SUMIFS(Orders!$I$2:$I$5876,Orders!$C$2:$C$5876,A56,Orders!$H$2:$H$5876,"Completed")</f>
        <v>98861.36</v>
      </c>
      <c r="G56" s="4" t="n">
        <f aca="false">D56*E56</f>
        <v>65360.02</v>
      </c>
      <c r="H56" s="4" t="n">
        <f aca="false">F56-G56</f>
        <v>33501.34</v>
      </c>
    </row>
    <row r="57" customFormat="false" ht="15" hidden="false" customHeight="true" outlineLevel="0" collapsed="false">
      <c r="A57" s="1" t="n">
        <v>53</v>
      </c>
      <c r="B57" s="1" t="str">
        <f aca="false">VLOOKUP(A57,Products!$A$2:$E$61,2,FALSE())</f>
        <v>Cloud Storage Plan</v>
      </c>
      <c r="C57" s="1" t="str">
        <f aca="false">VLOOKUP(A57,Products!$A$2:$E$61,3,FALSE())</f>
        <v>Software</v>
      </c>
      <c r="D57" s="7" t="n">
        <f aca="false">VLOOKUP(A57,Products!$A$2:$E$61,4,FALSE())</f>
        <v>363.49</v>
      </c>
      <c r="E57" s="1" t="n">
        <f aca="false">SUMIFS(Orders!$E$2:$E$5876,Orders!$C$2:$C$5876,A57,Orders!$H$2:$H$5876,"Completed")</f>
        <v>362</v>
      </c>
      <c r="F57" s="4" t="n">
        <f aca="false">SUMIFS(Orders!$I$2:$I$5876,Orders!$C$2:$C$5876,A57,Orders!$H$2:$H$5876,"Completed")</f>
        <v>173673.7</v>
      </c>
      <c r="G57" s="4" t="n">
        <f aca="false">D57*E57</f>
        <v>131583.38</v>
      </c>
      <c r="H57" s="4" t="n">
        <f aca="false">F57-G57</f>
        <v>42090.32</v>
      </c>
    </row>
    <row r="58" customFormat="false" ht="15" hidden="false" customHeight="true" outlineLevel="0" collapsed="false">
      <c r="A58" s="1" t="n">
        <v>54</v>
      </c>
      <c r="B58" s="1" t="str">
        <f aca="false">VLOOKUP(A58,Products!$A$2:$E$61,2,FALSE())</f>
        <v>Project Mgmt Tool</v>
      </c>
      <c r="C58" s="1" t="str">
        <f aca="false">VLOOKUP(A58,Products!$A$2:$E$61,3,FALSE())</f>
        <v>Software</v>
      </c>
      <c r="D58" s="7" t="n">
        <f aca="false">VLOOKUP(A58,Products!$A$2:$E$61,4,FALSE())</f>
        <v>167.1</v>
      </c>
      <c r="E58" s="1" t="n">
        <f aca="false">SUMIFS(Orders!$E$2:$E$5876,Orders!$C$2:$C$5876,A58,Orders!$H$2:$H$5876,"Completed")</f>
        <v>459</v>
      </c>
      <c r="F58" s="4" t="n">
        <f aca="false">SUMIFS(Orders!$I$2:$I$5876,Orders!$C$2:$C$5876,A58,Orders!$H$2:$H$5876,"Completed")</f>
        <v>134725.97</v>
      </c>
      <c r="G58" s="4" t="n">
        <f aca="false">D58*E58</f>
        <v>76698.9</v>
      </c>
      <c r="H58" s="4" t="n">
        <f aca="false">F58-G58</f>
        <v>58027.07</v>
      </c>
    </row>
    <row r="59" customFormat="false" ht="15" hidden="false" customHeight="true" outlineLevel="0" collapsed="false">
      <c r="A59" s="1" t="n">
        <v>55</v>
      </c>
      <c r="B59" s="1" t="str">
        <f aca="false">VLOOKUP(A59,Products!$A$2:$E$61,2,FALSE())</f>
        <v>Bookshelf</v>
      </c>
      <c r="C59" s="1" t="str">
        <f aca="false">VLOOKUP(A59,Products!$A$2:$E$61,3,FALSE())</f>
        <v>Furniture</v>
      </c>
      <c r="D59" s="7" t="n">
        <f aca="false">VLOOKUP(A59,Products!$A$2:$E$61,4,FALSE())</f>
        <v>95.38</v>
      </c>
      <c r="E59" s="1" t="n">
        <f aca="false">SUMIFS(Orders!$E$2:$E$5876,Orders!$C$2:$C$5876,A59,Orders!$H$2:$H$5876,"Completed")</f>
        <v>420</v>
      </c>
      <c r="F59" s="4" t="n">
        <f aca="false">SUMIFS(Orders!$I$2:$I$5876,Orders!$C$2:$C$5876,A59,Orders!$H$2:$H$5876,"Completed")</f>
        <v>48463.63</v>
      </c>
      <c r="G59" s="4" t="n">
        <f aca="false">D59*E59</f>
        <v>40059.6</v>
      </c>
      <c r="H59" s="4" t="n">
        <f aca="false">F59-G59</f>
        <v>8404.03</v>
      </c>
    </row>
    <row r="60" customFormat="false" ht="15" hidden="false" customHeight="true" outlineLevel="0" collapsed="false">
      <c r="A60" s="1" t="n">
        <v>56</v>
      </c>
      <c r="B60" s="1" t="str">
        <f aca="false">VLOOKUP(A60,Products!$A$2:$E$61,2,FALSE())</f>
        <v>Conference Table</v>
      </c>
      <c r="C60" s="1" t="str">
        <f aca="false">VLOOKUP(A60,Products!$A$2:$E$61,3,FALSE())</f>
        <v>Furniture</v>
      </c>
      <c r="D60" s="7" t="n">
        <f aca="false">VLOOKUP(A60,Products!$A$2:$E$61,4,FALSE())</f>
        <v>119.45</v>
      </c>
      <c r="E60" s="1" t="n">
        <f aca="false">SUMIFS(Orders!$E$2:$E$5876,Orders!$C$2:$C$5876,A60,Orders!$H$2:$H$5876,"Completed")</f>
        <v>450</v>
      </c>
      <c r="F60" s="4" t="n">
        <f aca="false">SUMIFS(Orders!$I$2:$I$5876,Orders!$C$2:$C$5876,A60,Orders!$H$2:$H$5876,"Completed")</f>
        <v>67420.62</v>
      </c>
      <c r="G60" s="4" t="n">
        <f aca="false">D60*E60</f>
        <v>53752.5</v>
      </c>
      <c r="H60" s="4" t="n">
        <f aca="false">F60-G60</f>
        <v>13668.12</v>
      </c>
    </row>
    <row r="61" customFormat="false" ht="15" hidden="false" customHeight="true" outlineLevel="0" collapsed="false">
      <c r="A61" s="1" t="n">
        <v>57</v>
      </c>
      <c r="B61" s="1" t="str">
        <f aca="false">VLOOKUP(A61,Products!$A$2:$E$61,2,FALSE())</f>
        <v>Office Cabinet</v>
      </c>
      <c r="C61" s="1" t="str">
        <f aca="false">VLOOKUP(A61,Products!$A$2:$E$61,3,FALSE())</f>
        <v>Furniture</v>
      </c>
      <c r="D61" s="7" t="n">
        <f aca="false">VLOOKUP(A61,Products!$A$2:$E$61,4,FALSE())</f>
        <v>372.23</v>
      </c>
      <c r="E61" s="1" t="n">
        <f aca="false">SUMIFS(Orders!$E$2:$E$5876,Orders!$C$2:$C$5876,A61,Orders!$H$2:$H$5876,"Completed")</f>
        <v>441</v>
      </c>
      <c r="F61" s="4" t="n">
        <f aca="false">SUMIFS(Orders!$I$2:$I$5876,Orders!$C$2:$C$5876,A61,Orders!$H$2:$H$5876,"Completed")</f>
        <v>294633.77</v>
      </c>
      <c r="G61" s="4" t="n">
        <f aca="false">D61*E61</f>
        <v>164153.43</v>
      </c>
      <c r="H61" s="4" t="n">
        <f aca="false">F61-G61</f>
        <v>130480.34</v>
      </c>
    </row>
    <row r="62" customFormat="false" ht="15" hidden="false" customHeight="true" outlineLevel="0" collapsed="false">
      <c r="A62" s="1" t="n">
        <v>58</v>
      </c>
      <c r="B62" s="1" t="str">
        <f aca="false">VLOOKUP(A62,Products!$A$2:$E$61,2,FALSE())</f>
        <v>Reception Sofa</v>
      </c>
      <c r="C62" s="1" t="str">
        <f aca="false">VLOOKUP(A62,Products!$A$2:$E$61,3,FALSE())</f>
        <v>Furniture</v>
      </c>
      <c r="D62" s="7" t="n">
        <f aca="false">VLOOKUP(A62,Products!$A$2:$E$61,4,FALSE())</f>
        <v>255.19</v>
      </c>
      <c r="E62" s="1" t="n">
        <f aca="false">SUMIFS(Orders!$E$2:$E$5876,Orders!$C$2:$C$5876,A62,Orders!$H$2:$H$5876,"Completed")</f>
        <v>463</v>
      </c>
      <c r="F62" s="4" t="n">
        <f aca="false">SUMIFS(Orders!$I$2:$I$5876,Orders!$C$2:$C$5876,A62,Orders!$H$2:$H$5876,"Completed")</f>
        <v>224212.69</v>
      </c>
      <c r="G62" s="4" t="n">
        <f aca="false">D62*E62</f>
        <v>118152.97</v>
      </c>
      <c r="H62" s="4" t="n">
        <f aca="false">F62-G62</f>
        <v>106059.72</v>
      </c>
    </row>
    <row r="63" customFormat="false" ht="15" hidden="false" customHeight="true" outlineLevel="0" collapsed="false">
      <c r="A63" s="1" t="n">
        <v>59</v>
      </c>
      <c r="B63" s="1" t="str">
        <f aca="false">VLOOKUP(A63,Products!$A$2:$E$61,2,FALSE())</f>
        <v>Bookshelf</v>
      </c>
      <c r="C63" s="1" t="str">
        <f aca="false">VLOOKUP(A63,Products!$A$2:$E$61,3,FALSE())</f>
        <v>Furniture</v>
      </c>
      <c r="D63" s="7" t="n">
        <f aca="false">VLOOKUP(A63,Products!$A$2:$E$61,4,FALSE())</f>
        <v>322.45</v>
      </c>
      <c r="E63" s="1" t="n">
        <f aca="false">SUMIFS(Orders!$E$2:$E$5876,Orders!$C$2:$C$5876,A63,Orders!$H$2:$H$5876,"Completed")</f>
        <v>465</v>
      </c>
      <c r="F63" s="4" t="n">
        <f aca="false">SUMIFS(Orders!$I$2:$I$5876,Orders!$C$2:$C$5876,A63,Orders!$H$2:$H$5876,"Completed")</f>
        <v>190171.08</v>
      </c>
      <c r="G63" s="4" t="n">
        <f aca="false">D63*E63</f>
        <v>149939.25</v>
      </c>
      <c r="H63" s="4" t="n">
        <f aca="false">F63-G63</f>
        <v>40231.83</v>
      </c>
    </row>
    <row r="64" customFormat="false" ht="15" hidden="false" customHeight="true" outlineLevel="0" collapsed="false">
      <c r="A64" s="1" t="n">
        <v>60</v>
      </c>
      <c r="B64" s="1" t="str">
        <f aca="false">VLOOKUP(A64,Products!$A$2:$E$61,2,FALSE())</f>
        <v>Conference Table</v>
      </c>
      <c r="C64" s="1" t="str">
        <f aca="false">VLOOKUP(A64,Products!$A$2:$E$61,3,FALSE())</f>
        <v>Furniture</v>
      </c>
      <c r="D64" s="7" t="n">
        <f aca="false">VLOOKUP(A64,Products!$A$2:$E$61,4,FALSE())</f>
        <v>357.56</v>
      </c>
      <c r="E64" s="1" t="n">
        <f aca="false">SUMIFS(Orders!$E$2:$E$5876,Orders!$C$2:$C$5876,A64,Orders!$H$2:$H$5876,"Completed")</f>
        <v>511</v>
      </c>
      <c r="F64" s="4" t="n">
        <f aca="false">SUMIFS(Orders!$I$2:$I$5876,Orders!$C$2:$C$5876,A64,Orders!$H$2:$H$5876,"Completed")</f>
        <v>277602.24</v>
      </c>
      <c r="G64" s="4" t="n">
        <f aca="false">D64*E64</f>
        <v>182713.16</v>
      </c>
      <c r="H64" s="4" t="n">
        <f aca="false">F64-G64</f>
        <v>94889.08</v>
      </c>
    </row>
    <row r="66" customFormat="false" ht="15" hidden="false" customHeight="true" outlineLevel="0" collapsed="false">
      <c r="A66" s="6" t="s">
        <v>1743</v>
      </c>
    </row>
    <row r="67" customFormat="false" ht="15" hidden="false" customHeight="true" outlineLevel="0" collapsed="false">
      <c r="A67" s="2" t="s">
        <v>1294</v>
      </c>
      <c r="B67" s="2" t="s">
        <v>1706</v>
      </c>
      <c r="C67" s="2" t="s">
        <v>1742</v>
      </c>
    </row>
    <row r="68" customFormat="false" ht="15" hidden="false" customHeight="true" outlineLevel="0" collapsed="false">
      <c r="A68" s="1" t="s">
        <v>1298</v>
      </c>
      <c r="B68" s="4" t="n">
        <f aca="false">SUMIF($C$5:$C$64,A68,$F$5:$F$64)</f>
        <v>1906682.08</v>
      </c>
      <c r="C68" s="4" t="n">
        <f aca="false">SUMIF($C$5:$C$64,A68,$H$5:$H$64)</f>
        <v>624284.2</v>
      </c>
    </row>
    <row r="69" customFormat="false" ht="15" hidden="false" customHeight="true" outlineLevel="0" collapsed="false">
      <c r="A69" s="1" t="s">
        <v>1323</v>
      </c>
      <c r="B69" s="4" t="n">
        <f aca="false">SUMIF($C$5:$C$64,A69,$F$5:$F$64)</f>
        <v>1102504.03</v>
      </c>
      <c r="C69" s="4" t="n">
        <f aca="false">SUMIF($C$5:$C$64,A69,$H$5:$H$64)</f>
        <v>393733.12</v>
      </c>
    </row>
    <row r="70" customFormat="false" ht="15" hidden="false" customHeight="true" outlineLevel="0" collapsed="false">
      <c r="A70" s="1" t="s">
        <v>1308</v>
      </c>
      <c r="B70" s="4" t="n">
        <f aca="false">SUMIF($C$5:$C$64,A70,$F$5:$F$64)</f>
        <v>1881216.39</v>
      </c>
      <c r="C70" s="4" t="n">
        <f aca="false">SUMIF($C$5:$C$64,A70,$H$5:$H$64)</f>
        <v>701030.08</v>
      </c>
    </row>
    <row r="71" customFormat="false" ht="15" hidden="false" customHeight="true" outlineLevel="0" collapsed="false">
      <c r="A71" s="1" t="s">
        <v>1317</v>
      </c>
      <c r="B71" s="4" t="n">
        <f aca="false">SUMIF($C$5:$C$64,A71,$F$5:$F$64)</f>
        <v>2387780.43</v>
      </c>
      <c r="C71" s="4" t="n">
        <f aca="false">SUMIF($C$5:$C$64,A71,$H$5:$H$64)</f>
        <v>761233.01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</cols>
  <sheetData>
    <row r="1" customFormat="false" ht="15" hidden="false" customHeight="true" outlineLevel="0" collapsed="false">
      <c r="A1" s="3" t="s">
        <v>1744</v>
      </c>
    </row>
    <row r="3" customFormat="false" ht="15" hidden="false" customHeight="true" outlineLevel="0" collapsed="false">
      <c r="A3" s="2" t="s">
        <v>5</v>
      </c>
      <c r="B3" s="2" t="s">
        <v>1707</v>
      </c>
      <c r="C3" s="2" t="s">
        <v>1706</v>
      </c>
    </row>
    <row r="4" customFormat="false" ht="15" hidden="false" customHeight="true" outlineLevel="0" collapsed="false">
      <c r="A4" s="1" t="s">
        <v>11</v>
      </c>
      <c r="B4" s="1" t="n">
        <f aca="false">COUNTIFS(Orders!$J$2:$J$5876,A4,Orders!$H$2:$H$5876,"Completed")</f>
        <v>1620</v>
      </c>
      <c r="C4" s="4" t="n">
        <f aca="false">SUMIFS(Orders!$I$2:$I$5876,Orders!$J$2:$J$5876,A4,Orders!$H$2:$H$5876,"Completed")</f>
        <v>2349333.88</v>
      </c>
    </row>
    <row r="5" customFormat="false" ht="15" hidden="false" customHeight="true" outlineLevel="0" collapsed="false">
      <c r="A5" s="1" t="s">
        <v>23</v>
      </c>
      <c r="B5" s="1" t="n">
        <f aca="false">COUNTIFS(Orders!$J$2:$J$5876,A5,Orders!$H$2:$H$5876,"Completed")</f>
        <v>1707</v>
      </c>
      <c r="C5" s="4" t="n">
        <f aca="false">SUMIFS(Orders!$I$2:$I$5876,Orders!$J$2:$J$5876,A5,Orders!$H$2:$H$5876,"Completed")</f>
        <v>2365056.28</v>
      </c>
    </row>
    <row r="6" customFormat="false" ht="15" hidden="false" customHeight="true" outlineLevel="0" collapsed="false">
      <c r="A6" s="1" t="s">
        <v>17</v>
      </c>
      <c r="B6" s="1" t="n">
        <f aca="false">COUNTIFS(Orders!$J$2:$J$5876,A6,Orders!$H$2:$H$5876,"Completed")</f>
        <v>1670</v>
      </c>
      <c r="C6" s="4" t="n">
        <f aca="false">SUMIFS(Orders!$I$2:$I$5876,Orders!$J$2:$J$5876,A6,Orders!$H$2:$H$5876,"Completed")</f>
        <v>2356324.21</v>
      </c>
    </row>
    <row r="7" customFormat="false" ht="15" hidden="false" customHeight="true" outlineLevel="0" collapsed="false">
      <c r="A7" s="1" t="s">
        <v>123</v>
      </c>
      <c r="B7" s="1" t="n">
        <f aca="false">COUNTIFS(Orders!$J$2:$J$5876,A7,Orders!$H$2:$H$5876,"Completed")</f>
        <v>136</v>
      </c>
      <c r="C7" s="4" t="n">
        <f aca="false">SUMIFS(Orders!$I$2:$I$5876,Orders!$J$2:$J$5876,A7,Orders!$H$2:$H$5876,"Completed")</f>
        <v>207468.56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4"/>
  </cols>
  <sheetData>
    <row r="1" customFormat="false" ht="15" hidden="false" customHeight="true" outlineLevel="0" collapsed="false">
      <c r="A1" s="3" t="s">
        <v>1745</v>
      </c>
    </row>
    <row r="3" customFormat="false" ht="15" hidden="false" customHeight="true" outlineLevel="0" collapsed="false">
      <c r="A3" s="2" t="s">
        <v>1331</v>
      </c>
      <c r="B3" s="2" t="s">
        <v>1707</v>
      </c>
      <c r="C3" s="2" t="s">
        <v>1746</v>
      </c>
    </row>
    <row r="4" customFormat="false" ht="15" hidden="false" customHeight="true" outlineLevel="0" collapsed="false">
      <c r="A4" s="1" t="s">
        <v>1336</v>
      </c>
      <c r="B4" s="1" t="n">
        <f aca="false">COUNTIF(Orders!$H$2:$H$5876,A4)</f>
        <v>5133</v>
      </c>
      <c r="C4" s="5" t="n">
        <f aca="false">B4/COUNTA(Orders!$H$2:$H$5876)</f>
        <v>0.873702127659574</v>
      </c>
    </row>
    <row r="5" customFormat="false" ht="15" hidden="false" customHeight="true" outlineLevel="0" collapsed="false">
      <c r="A5" s="1" t="s">
        <v>1346</v>
      </c>
      <c r="B5" s="1" t="n">
        <f aca="false">COUNTIF(Orders!$H$2:$H$5876,A5)</f>
        <v>370</v>
      </c>
      <c r="C5" s="5" t="n">
        <f aca="false">B5/COUNTA(Orders!$H$2:$H$5876)</f>
        <v>0.0629787234042553</v>
      </c>
    </row>
    <row r="6" customFormat="false" ht="15" hidden="false" customHeight="true" outlineLevel="0" collapsed="false">
      <c r="A6" s="1" t="s">
        <v>1370</v>
      </c>
      <c r="B6" s="1" t="n">
        <f aca="false">COUNTIF(Orders!$H$2:$H$5876,A6)</f>
        <v>372</v>
      </c>
      <c r="C6" s="5" t="n">
        <f aca="false">B6/COUNTA(Orders!$H$2:$H$5876)</f>
        <v>0.0633191489361702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2026-07-09T17:22:35Z</dcterms:created>
  <dc:creator>openpyxl</dc:creator>
  <dc:description/>
  <dc:language>en-US</dc:language>
  <cp:lastModifiedBy/>
  <dcterms:modified xsi:type="dcterms:W3CDTF">2026-07-09T17:25:44Z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