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20ac04b6d1c6f834/Documents/Data Analysis Projects/Excel/industry_operations_cost/"/>
    </mc:Choice>
  </mc:AlternateContent>
  <xr:revisionPtr revIDLastSave="0" documentId="11_22E8198C0B731D359499D0EC30F8296FD1312901" xr6:coauthVersionLast="47" xr6:coauthVersionMax="47" xr10:uidLastSave="{00000000-0000-0000-0000-000000000000}"/>
  <bookViews>
    <workbookView xWindow="-120" yWindow="-120" windowWidth="20730" windowHeight="11040" tabRatio="500" activeTab="3" xr2:uid="{00000000-000D-0000-FFFF-FFFF00000000}"/>
  </bookViews>
  <sheets>
    <sheet name="Lines" sheetId="1" r:id="rId1"/>
    <sheet name="Production Log" sheetId="2" r:id="rId2"/>
    <sheet name="Monthly Costs" sheetId="3" r:id="rId3"/>
    <sheet name="OEE by Line" sheetId="4" r:id="rId4"/>
    <sheet name="Downtime Reasons" sheetId="5" r:id="rId5"/>
    <sheet name="Cost per Unit" sheetId="6" r:id="rId6"/>
    <sheet name="Cost by Category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4" l="1"/>
  <c r="B7" i="7"/>
  <c r="B6" i="7"/>
  <c r="B5" i="7"/>
  <c r="B4" i="7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E51" i="6" s="1"/>
  <c r="C51" i="6"/>
  <c r="D50" i="6"/>
  <c r="E50" i="6" s="1"/>
  <c r="C50" i="6"/>
  <c r="D49" i="6"/>
  <c r="E49" i="6" s="1"/>
  <c r="C49" i="6"/>
  <c r="D48" i="6"/>
  <c r="E48" i="6" s="1"/>
  <c r="C48" i="6"/>
  <c r="D47" i="6"/>
  <c r="E47" i="6" s="1"/>
  <c r="C47" i="6"/>
  <c r="D46" i="6"/>
  <c r="E46" i="6" s="1"/>
  <c r="C46" i="6"/>
  <c r="D45" i="6"/>
  <c r="E45" i="6" s="1"/>
  <c r="C45" i="6"/>
  <c r="D44" i="6"/>
  <c r="E44" i="6" s="1"/>
  <c r="C44" i="6"/>
  <c r="D43" i="6"/>
  <c r="E43" i="6" s="1"/>
  <c r="C43" i="6"/>
  <c r="D42" i="6"/>
  <c r="E42" i="6" s="1"/>
  <c r="C42" i="6"/>
  <c r="D41" i="6"/>
  <c r="E41" i="6" s="1"/>
  <c r="C41" i="6"/>
  <c r="D40" i="6"/>
  <c r="E40" i="6" s="1"/>
  <c r="C40" i="6"/>
  <c r="D39" i="6"/>
  <c r="D38" i="6"/>
  <c r="D37" i="6"/>
  <c r="D36" i="6"/>
  <c r="D35" i="6"/>
  <c r="D34" i="6"/>
  <c r="D33" i="6"/>
  <c r="D32" i="6"/>
  <c r="D31" i="6"/>
  <c r="D30" i="6"/>
  <c r="E30" i="6" s="1"/>
  <c r="C30" i="6"/>
  <c r="D29" i="6"/>
  <c r="E29" i="6" s="1"/>
  <c r="C29" i="6"/>
  <c r="D28" i="6"/>
  <c r="E28" i="6" s="1"/>
  <c r="C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E7" i="6" s="1"/>
  <c r="C7" i="6"/>
  <c r="D6" i="6"/>
  <c r="E6" i="6" s="1"/>
  <c r="C6" i="6"/>
  <c r="D5" i="6"/>
  <c r="E5" i="6" s="1"/>
  <c r="C5" i="6"/>
  <c r="D4" i="6"/>
  <c r="E4" i="6" s="1"/>
  <c r="C4" i="6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F9" i="4"/>
  <c r="E9" i="4"/>
  <c r="D9" i="4"/>
  <c r="C9" i="4"/>
  <c r="G9" i="4" s="1"/>
  <c r="B9" i="4"/>
  <c r="F8" i="4"/>
  <c r="E8" i="4"/>
  <c r="D8" i="4"/>
  <c r="C8" i="4"/>
  <c r="G8" i="4" s="1"/>
  <c r="B8" i="4"/>
  <c r="F7" i="4"/>
  <c r="E7" i="4"/>
  <c r="D7" i="4"/>
  <c r="C7" i="4"/>
  <c r="G7" i="4" s="1"/>
  <c r="B7" i="4"/>
  <c r="F6" i="4"/>
  <c r="E6" i="4"/>
  <c r="D6" i="4"/>
  <c r="C6" i="4"/>
  <c r="G6" i="4" s="1"/>
  <c r="B6" i="4"/>
  <c r="F5" i="4"/>
  <c r="E5" i="4"/>
  <c r="D5" i="4"/>
  <c r="C5" i="4"/>
  <c r="G5" i="4" s="1"/>
  <c r="B5" i="4"/>
  <c r="F4" i="4"/>
  <c r="E4" i="4"/>
  <c r="D4" i="4"/>
  <c r="C4" i="4"/>
  <c r="G4" i="4" s="1"/>
  <c r="I2197" i="2"/>
  <c r="I2196" i="2"/>
  <c r="I2195" i="2"/>
  <c r="I2194" i="2"/>
  <c r="I2193" i="2"/>
  <c r="I2192" i="2"/>
  <c r="I2191" i="2"/>
  <c r="I2190" i="2"/>
  <c r="I2189" i="2"/>
  <c r="I2188" i="2"/>
  <c r="I2187" i="2"/>
  <c r="I2186" i="2"/>
  <c r="I2185" i="2"/>
  <c r="I2184" i="2"/>
  <c r="I2183" i="2"/>
  <c r="I2182" i="2"/>
  <c r="I2181" i="2"/>
  <c r="I2180" i="2"/>
  <c r="I2179" i="2"/>
  <c r="I2178" i="2"/>
  <c r="I2177" i="2"/>
  <c r="I2176" i="2"/>
  <c r="I2175" i="2"/>
  <c r="I2174" i="2"/>
  <c r="I2173" i="2"/>
  <c r="I2172" i="2"/>
  <c r="I2171" i="2"/>
  <c r="I2170" i="2"/>
  <c r="I2169" i="2"/>
  <c r="I2168" i="2"/>
  <c r="I2167" i="2"/>
  <c r="I2166" i="2"/>
  <c r="I2165" i="2"/>
  <c r="I2164" i="2"/>
  <c r="I2163" i="2"/>
  <c r="I2162" i="2"/>
  <c r="I2161" i="2"/>
  <c r="I2160" i="2"/>
  <c r="I2159" i="2"/>
  <c r="I2158" i="2"/>
  <c r="I2157" i="2"/>
  <c r="I2156" i="2"/>
  <c r="I2155" i="2"/>
  <c r="I2154" i="2"/>
  <c r="I2153" i="2"/>
  <c r="I2152" i="2"/>
  <c r="I2151" i="2"/>
  <c r="I2150" i="2"/>
  <c r="I2149" i="2"/>
  <c r="I2148" i="2"/>
  <c r="I2147" i="2"/>
  <c r="I2146" i="2"/>
  <c r="I2145" i="2"/>
  <c r="I2144" i="2"/>
  <c r="I2143" i="2"/>
  <c r="I2142" i="2"/>
  <c r="I2141" i="2"/>
  <c r="I2140" i="2"/>
  <c r="I2139" i="2"/>
  <c r="I2138" i="2"/>
  <c r="I2137" i="2"/>
  <c r="I2136" i="2"/>
  <c r="I2135" i="2"/>
  <c r="I2134" i="2"/>
  <c r="I2133" i="2"/>
  <c r="I2132" i="2"/>
  <c r="I2131" i="2"/>
  <c r="I2130" i="2"/>
  <c r="I2129" i="2"/>
  <c r="I2128" i="2"/>
  <c r="I2127" i="2"/>
  <c r="I2126" i="2"/>
  <c r="I2125" i="2"/>
  <c r="I2124" i="2"/>
  <c r="I2123" i="2"/>
  <c r="I2122" i="2"/>
  <c r="I2121" i="2"/>
  <c r="I2120" i="2"/>
  <c r="I2119" i="2"/>
  <c r="I2118" i="2"/>
  <c r="I2117" i="2"/>
  <c r="I2116" i="2"/>
  <c r="I2115" i="2"/>
  <c r="I2114" i="2"/>
  <c r="I2113" i="2"/>
  <c r="I2112" i="2"/>
  <c r="I2111" i="2"/>
  <c r="I2110" i="2"/>
  <c r="I2109" i="2"/>
  <c r="I2108" i="2"/>
  <c r="I2107" i="2"/>
  <c r="I2106" i="2"/>
  <c r="I2105" i="2"/>
  <c r="I2104" i="2"/>
  <c r="I2103" i="2"/>
  <c r="I2102" i="2"/>
  <c r="I2101" i="2"/>
  <c r="I2100" i="2"/>
  <c r="I2099" i="2"/>
  <c r="I2098" i="2"/>
  <c r="I2097" i="2"/>
  <c r="I2096" i="2"/>
  <c r="I2095" i="2"/>
  <c r="I2094" i="2"/>
  <c r="I2093" i="2"/>
  <c r="I2092" i="2"/>
  <c r="I2091" i="2"/>
  <c r="I2090" i="2"/>
  <c r="I2089" i="2"/>
  <c r="I2088" i="2"/>
  <c r="I2087" i="2"/>
  <c r="I2086" i="2"/>
  <c r="I2085" i="2"/>
  <c r="I2084" i="2"/>
  <c r="I2083" i="2"/>
  <c r="I2082" i="2"/>
  <c r="I2081" i="2"/>
  <c r="I2080" i="2"/>
  <c r="I2079" i="2"/>
  <c r="I2078" i="2"/>
  <c r="I2077" i="2"/>
  <c r="I2076" i="2"/>
  <c r="I2075" i="2"/>
  <c r="I2074" i="2"/>
  <c r="I2073" i="2"/>
  <c r="I2072" i="2"/>
  <c r="I2071" i="2"/>
  <c r="I2070" i="2"/>
  <c r="I2069" i="2"/>
  <c r="I2068" i="2"/>
  <c r="I2067" i="2"/>
  <c r="I2066" i="2"/>
  <c r="I2065" i="2"/>
  <c r="I2064" i="2"/>
  <c r="I2063" i="2"/>
  <c r="I2062" i="2"/>
  <c r="I2061" i="2"/>
  <c r="I2060" i="2"/>
  <c r="I2059" i="2"/>
  <c r="I2058" i="2"/>
  <c r="I2057" i="2"/>
  <c r="I2056" i="2"/>
  <c r="I2055" i="2"/>
  <c r="I2054" i="2"/>
  <c r="I2053" i="2"/>
  <c r="I2052" i="2"/>
  <c r="I2051" i="2"/>
  <c r="I2050" i="2"/>
  <c r="I2049" i="2"/>
  <c r="I2048" i="2"/>
  <c r="I2047" i="2"/>
  <c r="I2046" i="2"/>
  <c r="I2045" i="2"/>
  <c r="I2044" i="2"/>
  <c r="I2043" i="2"/>
  <c r="I2042" i="2"/>
  <c r="I2041" i="2"/>
  <c r="I2040" i="2"/>
  <c r="I2039" i="2"/>
  <c r="I2038" i="2"/>
  <c r="I2037" i="2"/>
  <c r="I2036" i="2"/>
  <c r="I2035" i="2"/>
  <c r="I2034" i="2"/>
  <c r="I2033" i="2"/>
  <c r="I2032" i="2"/>
  <c r="I2031" i="2"/>
  <c r="I2030" i="2"/>
  <c r="I2029" i="2"/>
  <c r="I2028" i="2"/>
  <c r="I2027" i="2"/>
  <c r="I2026" i="2"/>
  <c r="I2025" i="2"/>
  <c r="I2024" i="2"/>
  <c r="I2023" i="2"/>
  <c r="I2022" i="2"/>
  <c r="I2021" i="2"/>
  <c r="I2020" i="2"/>
  <c r="I2019" i="2"/>
  <c r="I2018" i="2"/>
  <c r="I2017" i="2"/>
  <c r="I2016" i="2"/>
  <c r="I2015" i="2"/>
  <c r="I2014" i="2"/>
  <c r="I2013" i="2"/>
  <c r="I2012" i="2"/>
  <c r="I2011" i="2"/>
  <c r="I2010" i="2"/>
  <c r="I2009" i="2"/>
  <c r="I2008" i="2"/>
  <c r="I2007" i="2"/>
  <c r="I2006" i="2"/>
  <c r="I2005" i="2"/>
  <c r="I2004" i="2"/>
  <c r="I2003" i="2"/>
  <c r="I2002" i="2"/>
  <c r="I2001" i="2"/>
  <c r="I2000" i="2"/>
  <c r="I1999" i="2"/>
  <c r="I1998" i="2"/>
  <c r="I1997" i="2"/>
  <c r="I1996" i="2"/>
  <c r="I1995" i="2"/>
  <c r="I1994" i="2"/>
  <c r="I1993" i="2"/>
  <c r="I1992" i="2"/>
  <c r="I1991" i="2"/>
  <c r="I1990" i="2"/>
  <c r="I1989" i="2"/>
  <c r="I1988" i="2"/>
  <c r="I1987" i="2"/>
  <c r="I1986" i="2"/>
  <c r="I1985" i="2"/>
  <c r="I1984" i="2"/>
  <c r="I1983" i="2"/>
  <c r="I1982" i="2"/>
  <c r="I1981" i="2"/>
  <c r="I1980" i="2"/>
  <c r="I1979" i="2"/>
  <c r="I1978" i="2"/>
  <c r="I1977" i="2"/>
  <c r="I1976" i="2"/>
  <c r="I1975" i="2"/>
  <c r="I1974" i="2"/>
  <c r="I1973" i="2"/>
  <c r="I1972" i="2"/>
  <c r="I1971" i="2"/>
  <c r="I1970" i="2"/>
  <c r="I1969" i="2"/>
  <c r="I1968" i="2"/>
  <c r="I1967" i="2"/>
  <c r="I1966" i="2"/>
  <c r="I1965" i="2"/>
  <c r="I1964" i="2"/>
  <c r="I1963" i="2"/>
  <c r="I1962" i="2"/>
  <c r="I1961" i="2"/>
  <c r="I1960" i="2"/>
  <c r="I1959" i="2"/>
  <c r="I1958" i="2"/>
  <c r="I1957" i="2"/>
  <c r="I1956" i="2"/>
  <c r="I1955" i="2"/>
  <c r="I1954" i="2"/>
  <c r="I1953" i="2"/>
  <c r="I1952" i="2"/>
  <c r="I1951" i="2"/>
  <c r="I1950" i="2"/>
  <c r="I1949" i="2"/>
  <c r="I1948" i="2"/>
  <c r="I1947" i="2"/>
  <c r="I1946" i="2"/>
  <c r="I1945" i="2"/>
  <c r="I1944" i="2"/>
  <c r="I1943" i="2"/>
  <c r="I1942" i="2"/>
  <c r="I1941" i="2"/>
  <c r="I1940" i="2"/>
  <c r="I1939" i="2"/>
  <c r="I1938" i="2"/>
  <c r="I1937" i="2"/>
  <c r="I1936" i="2"/>
  <c r="I1935" i="2"/>
  <c r="I1934" i="2"/>
  <c r="I1933" i="2"/>
  <c r="I1932" i="2"/>
  <c r="I1931" i="2"/>
  <c r="I1930" i="2"/>
  <c r="I1929" i="2"/>
  <c r="I1928" i="2"/>
  <c r="I1927" i="2"/>
  <c r="I1926" i="2"/>
  <c r="I1925" i="2"/>
  <c r="I1924" i="2"/>
  <c r="I1923" i="2"/>
  <c r="I1922" i="2"/>
  <c r="I1921" i="2"/>
  <c r="I1920" i="2"/>
  <c r="I1919" i="2"/>
  <c r="I1918" i="2"/>
  <c r="I1917" i="2"/>
  <c r="I1916" i="2"/>
  <c r="I1915" i="2"/>
  <c r="I1914" i="2"/>
  <c r="I1913" i="2"/>
  <c r="I1912" i="2"/>
  <c r="I1911" i="2"/>
  <c r="I1910" i="2"/>
  <c r="I1909" i="2"/>
  <c r="I1908" i="2"/>
  <c r="I1907" i="2"/>
  <c r="I1906" i="2"/>
  <c r="I1905" i="2"/>
  <c r="I1904" i="2"/>
  <c r="I1903" i="2"/>
  <c r="I1902" i="2"/>
  <c r="I1901" i="2"/>
  <c r="I1900" i="2"/>
  <c r="I1899" i="2"/>
  <c r="I1898" i="2"/>
  <c r="I1897" i="2"/>
  <c r="I1896" i="2"/>
  <c r="I1895" i="2"/>
  <c r="I1894" i="2"/>
  <c r="I1893" i="2"/>
  <c r="I1892" i="2"/>
  <c r="I1891" i="2"/>
  <c r="I1890" i="2"/>
  <c r="I1889" i="2"/>
  <c r="I1888" i="2"/>
  <c r="I1887" i="2"/>
  <c r="I1886" i="2"/>
  <c r="I1885" i="2"/>
  <c r="I1884" i="2"/>
  <c r="I1883" i="2"/>
  <c r="I1882" i="2"/>
  <c r="I1881" i="2"/>
  <c r="I1880" i="2"/>
  <c r="I1879" i="2"/>
  <c r="I1878" i="2"/>
  <c r="I1877" i="2"/>
  <c r="I1876" i="2"/>
  <c r="I1875" i="2"/>
  <c r="I1874" i="2"/>
  <c r="I1873" i="2"/>
  <c r="I1872" i="2"/>
  <c r="I1871" i="2"/>
  <c r="I1870" i="2"/>
  <c r="I1869" i="2"/>
  <c r="I1868" i="2"/>
  <c r="I1867" i="2"/>
  <c r="I1866" i="2"/>
  <c r="I1865" i="2"/>
  <c r="I1864" i="2"/>
  <c r="I1863" i="2"/>
  <c r="I1862" i="2"/>
  <c r="I1861" i="2"/>
  <c r="I1860" i="2"/>
  <c r="I1859" i="2"/>
  <c r="I1858" i="2"/>
  <c r="I1857" i="2"/>
  <c r="I1856" i="2"/>
  <c r="I1855" i="2"/>
  <c r="I1854" i="2"/>
  <c r="I1853" i="2"/>
  <c r="I1852" i="2"/>
  <c r="I1851" i="2"/>
  <c r="I1850" i="2"/>
  <c r="I1849" i="2"/>
  <c r="I1848" i="2"/>
  <c r="I1847" i="2"/>
  <c r="I1846" i="2"/>
  <c r="I1845" i="2"/>
  <c r="I1844" i="2"/>
  <c r="I1843" i="2"/>
  <c r="I1842" i="2"/>
  <c r="I1841" i="2"/>
  <c r="I1840" i="2"/>
  <c r="I1839" i="2"/>
  <c r="I1838" i="2"/>
  <c r="I1837" i="2"/>
  <c r="I1836" i="2"/>
  <c r="I1835" i="2"/>
  <c r="I1834" i="2"/>
  <c r="I1833" i="2"/>
  <c r="I1832" i="2"/>
  <c r="I1831" i="2"/>
  <c r="I1830" i="2"/>
  <c r="I1829" i="2"/>
  <c r="I1828" i="2"/>
  <c r="I1827" i="2"/>
  <c r="I1826" i="2"/>
  <c r="I1825" i="2"/>
  <c r="I1824" i="2"/>
  <c r="I1823" i="2"/>
  <c r="I1822" i="2"/>
  <c r="I1821" i="2"/>
  <c r="I1820" i="2"/>
  <c r="I1819" i="2"/>
  <c r="I1818" i="2"/>
  <c r="I1817" i="2"/>
  <c r="I1816" i="2"/>
  <c r="I1815" i="2"/>
  <c r="I1814" i="2"/>
  <c r="I1813" i="2"/>
  <c r="I1812" i="2"/>
  <c r="I1811" i="2"/>
  <c r="I1810" i="2"/>
  <c r="I1809" i="2"/>
  <c r="I1808" i="2"/>
  <c r="I1807" i="2"/>
  <c r="I1806" i="2"/>
  <c r="I1805" i="2"/>
  <c r="I1804" i="2"/>
  <c r="I1803" i="2"/>
  <c r="I1802" i="2"/>
  <c r="I1801" i="2"/>
  <c r="I1800" i="2"/>
  <c r="I1799" i="2"/>
  <c r="I1798" i="2"/>
  <c r="I1797" i="2"/>
  <c r="I1796" i="2"/>
  <c r="I1795" i="2"/>
  <c r="I1794" i="2"/>
  <c r="I1793" i="2"/>
  <c r="I1792" i="2"/>
  <c r="I1791" i="2"/>
  <c r="I1790" i="2"/>
  <c r="I1789" i="2"/>
  <c r="I1788" i="2"/>
  <c r="I1787" i="2"/>
  <c r="I1786" i="2"/>
  <c r="I1785" i="2"/>
  <c r="I1784" i="2"/>
  <c r="I1783" i="2"/>
  <c r="I1782" i="2"/>
  <c r="I1781" i="2"/>
  <c r="I1780" i="2"/>
  <c r="I1779" i="2"/>
  <c r="I1778" i="2"/>
  <c r="I1777" i="2"/>
  <c r="I1776" i="2"/>
  <c r="I1775" i="2"/>
  <c r="I1774" i="2"/>
  <c r="I1773" i="2"/>
  <c r="I1772" i="2"/>
  <c r="I1771" i="2"/>
  <c r="I1770" i="2"/>
  <c r="I1769" i="2"/>
  <c r="I1768" i="2"/>
  <c r="I1767" i="2"/>
  <c r="I1766" i="2"/>
  <c r="I1765" i="2"/>
  <c r="I1764" i="2"/>
  <c r="I1763" i="2"/>
  <c r="I1762" i="2"/>
  <c r="I1761" i="2"/>
  <c r="I1760" i="2"/>
  <c r="I1759" i="2"/>
  <c r="I1758" i="2"/>
  <c r="I1757" i="2"/>
  <c r="I1756" i="2"/>
  <c r="I1755" i="2"/>
  <c r="I1754" i="2"/>
  <c r="I1753" i="2"/>
  <c r="I1752" i="2"/>
  <c r="I1751" i="2"/>
  <c r="I1750" i="2"/>
  <c r="I1749" i="2"/>
  <c r="I1748" i="2"/>
  <c r="I1747" i="2"/>
  <c r="I1746" i="2"/>
  <c r="I1745" i="2"/>
  <c r="I1744" i="2"/>
  <c r="I1743" i="2"/>
  <c r="I1742" i="2"/>
  <c r="I1741" i="2"/>
  <c r="I1740" i="2"/>
  <c r="I1739" i="2"/>
  <c r="I1738" i="2"/>
  <c r="I1737" i="2"/>
  <c r="I1736" i="2"/>
  <c r="I1735" i="2"/>
  <c r="I1734" i="2"/>
  <c r="I1733" i="2"/>
  <c r="I1732" i="2"/>
  <c r="I1731" i="2"/>
  <c r="I1730" i="2"/>
  <c r="I1729" i="2"/>
  <c r="I1728" i="2"/>
  <c r="I1727" i="2"/>
  <c r="I1726" i="2"/>
  <c r="I1725" i="2"/>
  <c r="I1724" i="2"/>
  <c r="I1723" i="2"/>
  <c r="I1722" i="2"/>
  <c r="I1721" i="2"/>
  <c r="I1720" i="2"/>
  <c r="I1719" i="2"/>
  <c r="I1718" i="2"/>
  <c r="I1717" i="2"/>
  <c r="I1716" i="2"/>
  <c r="I1715" i="2"/>
  <c r="I1714" i="2"/>
  <c r="I1713" i="2"/>
  <c r="I1712" i="2"/>
  <c r="I1711" i="2"/>
  <c r="I1710" i="2"/>
  <c r="I1709" i="2"/>
  <c r="I1708" i="2"/>
  <c r="I1707" i="2"/>
  <c r="I1706" i="2"/>
  <c r="I1705" i="2"/>
  <c r="I1704" i="2"/>
  <c r="I1703" i="2"/>
  <c r="I1702" i="2"/>
  <c r="I1701" i="2"/>
  <c r="I1700" i="2"/>
  <c r="I1699" i="2"/>
  <c r="I1698" i="2"/>
  <c r="I1697" i="2"/>
  <c r="I1696" i="2"/>
  <c r="I1695" i="2"/>
  <c r="I1694" i="2"/>
  <c r="I1693" i="2"/>
  <c r="I1692" i="2"/>
  <c r="I1691" i="2"/>
  <c r="I1690" i="2"/>
  <c r="I1689" i="2"/>
  <c r="I1688" i="2"/>
  <c r="I1687" i="2"/>
  <c r="I1686" i="2"/>
  <c r="I1685" i="2"/>
  <c r="I1684" i="2"/>
  <c r="I1683" i="2"/>
  <c r="I1682" i="2"/>
  <c r="I1681" i="2"/>
  <c r="I1680" i="2"/>
  <c r="I1679" i="2"/>
  <c r="I1678" i="2"/>
  <c r="I1677" i="2"/>
  <c r="I1676" i="2"/>
  <c r="I1675" i="2"/>
  <c r="I1674" i="2"/>
  <c r="I1673" i="2"/>
  <c r="I1672" i="2"/>
  <c r="I1671" i="2"/>
  <c r="I1670" i="2"/>
  <c r="I1669" i="2"/>
  <c r="I1668" i="2"/>
  <c r="I1667" i="2"/>
  <c r="I1666" i="2"/>
  <c r="I1665" i="2"/>
  <c r="I1664" i="2"/>
  <c r="I1663" i="2"/>
  <c r="I1662" i="2"/>
  <c r="I1661" i="2"/>
  <c r="I1660" i="2"/>
  <c r="I1659" i="2"/>
  <c r="I1658" i="2"/>
  <c r="I1657" i="2"/>
  <c r="I1656" i="2"/>
  <c r="I1655" i="2"/>
  <c r="I1654" i="2"/>
  <c r="I1653" i="2"/>
  <c r="I1652" i="2"/>
  <c r="I1651" i="2"/>
  <c r="I1650" i="2"/>
  <c r="I1649" i="2"/>
  <c r="I1648" i="2"/>
  <c r="I1647" i="2"/>
  <c r="I1646" i="2"/>
  <c r="I1645" i="2"/>
  <c r="I1644" i="2"/>
  <c r="I1643" i="2"/>
  <c r="I1642" i="2"/>
  <c r="I1641" i="2"/>
  <c r="I1640" i="2"/>
  <c r="I1639" i="2"/>
  <c r="I1638" i="2"/>
  <c r="I1637" i="2"/>
  <c r="I1636" i="2"/>
  <c r="I1635" i="2"/>
  <c r="I1634" i="2"/>
  <c r="I1633" i="2"/>
  <c r="I1632" i="2"/>
  <c r="I1631" i="2"/>
  <c r="I1630" i="2"/>
  <c r="I1629" i="2"/>
  <c r="I1628" i="2"/>
  <c r="I1627" i="2"/>
  <c r="I1626" i="2"/>
  <c r="I1625" i="2"/>
  <c r="I1624" i="2"/>
  <c r="I1623" i="2"/>
  <c r="I1622" i="2"/>
  <c r="I1621" i="2"/>
  <c r="I1620" i="2"/>
  <c r="I1619" i="2"/>
  <c r="I1618" i="2"/>
  <c r="I1617" i="2"/>
  <c r="I1616" i="2"/>
  <c r="I1615" i="2"/>
  <c r="I1614" i="2"/>
  <c r="I1613" i="2"/>
  <c r="I1612" i="2"/>
  <c r="I1611" i="2"/>
  <c r="I1610" i="2"/>
  <c r="I1609" i="2"/>
  <c r="I1608" i="2"/>
  <c r="I1607" i="2"/>
  <c r="I1606" i="2"/>
  <c r="I1605" i="2"/>
  <c r="I1604" i="2"/>
  <c r="I1603" i="2"/>
  <c r="I1602" i="2"/>
  <c r="I1601" i="2"/>
  <c r="I1600" i="2"/>
  <c r="I1599" i="2"/>
  <c r="I1598" i="2"/>
  <c r="I1597" i="2"/>
  <c r="I1596" i="2"/>
  <c r="I1595" i="2"/>
  <c r="I1594" i="2"/>
  <c r="I1593" i="2"/>
  <c r="I1592" i="2"/>
  <c r="I1591" i="2"/>
  <c r="I1590" i="2"/>
  <c r="I1589" i="2"/>
  <c r="I1588" i="2"/>
  <c r="I1587" i="2"/>
  <c r="I1586" i="2"/>
  <c r="I1585" i="2"/>
  <c r="I1584" i="2"/>
  <c r="I1583" i="2"/>
  <c r="I1582" i="2"/>
  <c r="I1581" i="2"/>
  <c r="I1580" i="2"/>
  <c r="I1579" i="2"/>
  <c r="I1578" i="2"/>
  <c r="I1577" i="2"/>
  <c r="I1576" i="2"/>
  <c r="I1575" i="2"/>
  <c r="I1574" i="2"/>
  <c r="I1573" i="2"/>
  <c r="I1572" i="2"/>
  <c r="I1571" i="2"/>
  <c r="I1570" i="2"/>
  <c r="I1569" i="2"/>
  <c r="I1568" i="2"/>
  <c r="I1567" i="2"/>
  <c r="I1566" i="2"/>
  <c r="I1565" i="2"/>
  <c r="I1564" i="2"/>
  <c r="I1563" i="2"/>
  <c r="I1562" i="2"/>
  <c r="I1561" i="2"/>
  <c r="I1560" i="2"/>
  <c r="I1559" i="2"/>
  <c r="I1558" i="2"/>
  <c r="I1557" i="2"/>
  <c r="I1556" i="2"/>
  <c r="I1555" i="2"/>
  <c r="I1554" i="2"/>
  <c r="I1553" i="2"/>
  <c r="I1552" i="2"/>
  <c r="I1551" i="2"/>
  <c r="I1550" i="2"/>
  <c r="I1549" i="2"/>
  <c r="I1548" i="2"/>
  <c r="I1547" i="2"/>
  <c r="I1546" i="2"/>
  <c r="I1545" i="2"/>
  <c r="I1544" i="2"/>
  <c r="I1543" i="2"/>
  <c r="I1542" i="2"/>
  <c r="I1541" i="2"/>
  <c r="I1540" i="2"/>
  <c r="I1539" i="2"/>
  <c r="I1538" i="2"/>
  <c r="I1537" i="2"/>
  <c r="I1536" i="2"/>
  <c r="I1535" i="2"/>
  <c r="I1534" i="2"/>
  <c r="I1533" i="2"/>
  <c r="I1532" i="2"/>
  <c r="I1531" i="2"/>
  <c r="I1530" i="2"/>
  <c r="I1529" i="2"/>
  <c r="I1528" i="2"/>
  <c r="I1527" i="2"/>
  <c r="I1526" i="2"/>
  <c r="I1525" i="2"/>
  <c r="I1524" i="2"/>
  <c r="I1523" i="2"/>
  <c r="I1522" i="2"/>
  <c r="I1521" i="2"/>
  <c r="I1520" i="2"/>
  <c r="I1519" i="2"/>
  <c r="I1518" i="2"/>
  <c r="I1517" i="2"/>
  <c r="I1516" i="2"/>
  <c r="I1515" i="2"/>
  <c r="I1514" i="2"/>
  <c r="I1513" i="2"/>
  <c r="I1512" i="2"/>
  <c r="I1511" i="2"/>
  <c r="I1510" i="2"/>
  <c r="I1509" i="2"/>
  <c r="I1508" i="2"/>
  <c r="I1507" i="2"/>
  <c r="I1506" i="2"/>
  <c r="I1505" i="2"/>
  <c r="I1504" i="2"/>
  <c r="I1503" i="2"/>
  <c r="I1502" i="2"/>
  <c r="I1501" i="2"/>
  <c r="I1500" i="2"/>
  <c r="I1499" i="2"/>
  <c r="I1498" i="2"/>
  <c r="I1497" i="2"/>
  <c r="I1496" i="2"/>
  <c r="I1495" i="2"/>
  <c r="I1494" i="2"/>
  <c r="I1493" i="2"/>
  <c r="I1492" i="2"/>
  <c r="I1491" i="2"/>
  <c r="I1490" i="2"/>
  <c r="I1489" i="2"/>
  <c r="I1488" i="2"/>
  <c r="I1487" i="2"/>
  <c r="I1486" i="2"/>
  <c r="I1485" i="2"/>
  <c r="I1484" i="2"/>
  <c r="I1483" i="2"/>
  <c r="I1482" i="2"/>
  <c r="I1481" i="2"/>
  <c r="I1480" i="2"/>
  <c r="I1479" i="2"/>
  <c r="I1478" i="2"/>
  <c r="I1477" i="2"/>
  <c r="I1476" i="2"/>
  <c r="I1475" i="2"/>
  <c r="I1474" i="2"/>
  <c r="I1473" i="2"/>
  <c r="I1472" i="2"/>
  <c r="I1471" i="2"/>
  <c r="I1470" i="2"/>
  <c r="I1469" i="2"/>
  <c r="I1468" i="2"/>
  <c r="I1467" i="2"/>
  <c r="I1466" i="2"/>
  <c r="I1465" i="2"/>
  <c r="I1464" i="2"/>
  <c r="I1463" i="2"/>
  <c r="I1462" i="2"/>
  <c r="I1461" i="2"/>
  <c r="I1460" i="2"/>
  <c r="I1459" i="2"/>
  <c r="I1458" i="2"/>
  <c r="I1457" i="2"/>
  <c r="I1456" i="2"/>
  <c r="I1455" i="2"/>
  <c r="I1454" i="2"/>
  <c r="I1453" i="2"/>
  <c r="I1452" i="2"/>
  <c r="I1451" i="2"/>
  <c r="I1450" i="2"/>
  <c r="I1449" i="2"/>
  <c r="I1448" i="2"/>
  <c r="I1447" i="2"/>
  <c r="I1446" i="2"/>
  <c r="I1445" i="2"/>
  <c r="I1444" i="2"/>
  <c r="I1443" i="2"/>
  <c r="I1442" i="2"/>
  <c r="I1441" i="2"/>
  <c r="I1440" i="2"/>
  <c r="I1439" i="2"/>
  <c r="I1438" i="2"/>
  <c r="I1437" i="2"/>
  <c r="I1436" i="2"/>
  <c r="I1435" i="2"/>
  <c r="I1434" i="2"/>
  <c r="I1433" i="2"/>
  <c r="I1432" i="2"/>
  <c r="I1431" i="2"/>
  <c r="I1430" i="2"/>
  <c r="I1429" i="2"/>
  <c r="I1428" i="2"/>
  <c r="I1427" i="2"/>
  <c r="I1426" i="2"/>
  <c r="I1425" i="2"/>
  <c r="I1424" i="2"/>
  <c r="I1423" i="2"/>
  <c r="I1422" i="2"/>
  <c r="I1421" i="2"/>
  <c r="I1420" i="2"/>
  <c r="I1419" i="2"/>
  <c r="I1418" i="2"/>
  <c r="I1417" i="2"/>
  <c r="I1416" i="2"/>
  <c r="I1415" i="2"/>
  <c r="I1414" i="2"/>
  <c r="I1413" i="2"/>
  <c r="I1412" i="2"/>
  <c r="I1411" i="2"/>
  <c r="I1410" i="2"/>
  <c r="I1409" i="2"/>
  <c r="I1408" i="2"/>
  <c r="I1407" i="2"/>
  <c r="I1406" i="2"/>
  <c r="I1405" i="2"/>
  <c r="I1404" i="2"/>
  <c r="I1403" i="2"/>
  <c r="I1402" i="2"/>
  <c r="I1401" i="2"/>
  <c r="I1400" i="2"/>
  <c r="I1399" i="2"/>
  <c r="I1398" i="2"/>
  <c r="I1397" i="2"/>
  <c r="I1396" i="2"/>
  <c r="I1395" i="2"/>
  <c r="I1394" i="2"/>
  <c r="I1393" i="2"/>
  <c r="I1392" i="2"/>
  <c r="I1391" i="2"/>
  <c r="I1390" i="2"/>
  <c r="I1389" i="2"/>
  <c r="I1388" i="2"/>
  <c r="I1387" i="2"/>
  <c r="I1386" i="2"/>
  <c r="I1385" i="2"/>
  <c r="I1384" i="2"/>
  <c r="I1383" i="2"/>
  <c r="I1382" i="2"/>
  <c r="I1381" i="2"/>
  <c r="I1380" i="2"/>
  <c r="I1379" i="2"/>
  <c r="I1378" i="2"/>
  <c r="I1377" i="2"/>
  <c r="I1376" i="2"/>
  <c r="I1375" i="2"/>
  <c r="I1374" i="2"/>
  <c r="I1373" i="2"/>
  <c r="I1372" i="2"/>
  <c r="I1371" i="2"/>
  <c r="I1370" i="2"/>
  <c r="I1369" i="2"/>
  <c r="I1368" i="2"/>
  <c r="I1367" i="2"/>
  <c r="I1366" i="2"/>
  <c r="I1365" i="2"/>
  <c r="I1364" i="2"/>
  <c r="I1363" i="2"/>
  <c r="I1362" i="2"/>
  <c r="I1361" i="2"/>
  <c r="I1360" i="2"/>
  <c r="I1359" i="2"/>
  <c r="I1358" i="2"/>
  <c r="I1357" i="2"/>
  <c r="I1356" i="2"/>
  <c r="I1355" i="2"/>
  <c r="I1354" i="2"/>
  <c r="I1353" i="2"/>
  <c r="I1352" i="2"/>
  <c r="I1351" i="2"/>
  <c r="I1350" i="2"/>
  <c r="I1349" i="2"/>
  <c r="I1348" i="2"/>
  <c r="I1347" i="2"/>
  <c r="I1346" i="2"/>
  <c r="I1345" i="2"/>
  <c r="I1344" i="2"/>
  <c r="I1343" i="2"/>
  <c r="I1342" i="2"/>
  <c r="I1341" i="2"/>
  <c r="I1340" i="2"/>
  <c r="I1339" i="2"/>
  <c r="I1338" i="2"/>
  <c r="I1337" i="2"/>
  <c r="I1336" i="2"/>
  <c r="I1335" i="2"/>
  <c r="I1334" i="2"/>
  <c r="I1333" i="2"/>
  <c r="I1332" i="2"/>
  <c r="I1331" i="2"/>
  <c r="I1330" i="2"/>
  <c r="I1329" i="2"/>
  <c r="I1328" i="2"/>
  <c r="I1327" i="2"/>
  <c r="I1326" i="2"/>
  <c r="I1325" i="2"/>
  <c r="I1324" i="2"/>
  <c r="I1323" i="2"/>
  <c r="I1322" i="2"/>
  <c r="I1321" i="2"/>
  <c r="I1320" i="2"/>
  <c r="I1319" i="2"/>
  <c r="I1318" i="2"/>
  <c r="I1317" i="2"/>
  <c r="I1316" i="2"/>
  <c r="I1315" i="2"/>
  <c r="I1314" i="2"/>
  <c r="I1313" i="2"/>
  <c r="I1312" i="2"/>
  <c r="I1311" i="2"/>
  <c r="I1310" i="2"/>
  <c r="I1309" i="2"/>
  <c r="I1308" i="2"/>
  <c r="I1307" i="2"/>
  <c r="I1306" i="2"/>
  <c r="I1305" i="2"/>
  <c r="I1304" i="2"/>
  <c r="I1303" i="2"/>
  <c r="I1302" i="2"/>
  <c r="I1301" i="2"/>
  <c r="I1300" i="2"/>
  <c r="I1299" i="2"/>
  <c r="I1298" i="2"/>
  <c r="I1297" i="2"/>
  <c r="I1296" i="2"/>
  <c r="I1295" i="2"/>
  <c r="I1294" i="2"/>
  <c r="I1293" i="2"/>
  <c r="I1292" i="2"/>
  <c r="I1291" i="2"/>
  <c r="I1290" i="2"/>
  <c r="I1289" i="2"/>
  <c r="I1288" i="2"/>
  <c r="I1287" i="2"/>
  <c r="I1286" i="2"/>
  <c r="I1285" i="2"/>
  <c r="I1284" i="2"/>
  <c r="I1283" i="2"/>
  <c r="I1282" i="2"/>
  <c r="I1281" i="2"/>
  <c r="I1280" i="2"/>
  <c r="I1279" i="2"/>
  <c r="I1278" i="2"/>
  <c r="I1277" i="2"/>
  <c r="I1276" i="2"/>
  <c r="I1275" i="2"/>
  <c r="I1274" i="2"/>
  <c r="I1273" i="2"/>
  <c r="I1272" i="2"/>
  <c r="I1271" i="2"/>
  <c r="I1270" i="2"/>
  <c r="I1269" i="2"/>
  <c r="I1268" i="2"/>
  <c r="I1267" i="2"/>
  <c r="I1266" i="2"/>
  <c r="I1265" i="2"/>
  <c r="I1264" i="2"/>
  <c r="I1263" i="2"/>
  <c r="I1262" i="2"/>
  <c r="I1261" i="2"/>
  <c r="I1260" i="2"/>
  <c r="I1259" i="2"/>
  <c r="I1258" i="2"/>
  <c r="I1257" i="2"/>
  <c r="I1256" i="2"/>
  <c r="I1255" i="2"/>
  <c r="I1254" i="2"/>
  <c r="I1253" i="2"/>
  <c r="I1252" i="2"/>
  <c r="I1251" i="2"/>
  <c r="I1250" i="2"/>
  <c r="I1249" i="2"/>
  <c r="I1248" i="2"/>
  <c r="I1247" i="2"/>
  <c r="I1246" i="2"/>
  <c r="I1245" i="2"/>
  <c r="I1244" i="2"/>
  <c r="I1243" i="2"/>
  <c r="I1242" i="2"/>
  <c r="I1241" i="2"/>
  <c r="I1240" i="2"/>
  <c r="I1239" i="2"/>
  <c r="I1238" i="2"/>
  <c r="I1237" i="2"/>
  <c r="I1236" i="2"/>
  <c r="I1235" i="2"/>
  <c r="I1234" i="2"/>
  <c r="I1233" i="2"/>
  <c r="I1232" i="2"/>
  <c r="I1231" i="2"/>
  <c r="I1230" i="2"/>
  <c r="I1229" i="2"/>
  <c r="I1228" i="2"/>
  <c r="I1227" i="2"/>
  <c r="I1226" i="2"/>
  <c r="I1225" i="2"/>
  <c r="I1224" i="2"/>
  <c r="I1223" i="2"/>
  <c r="I1222" i="2"/>
  <c r="I1221" i="2"/>
  <c r="I1220" i="2"/>
  <c r="I1219" i="2"/>
  <c r="I1218" i="2"/>
  <c r="I1217" i="2"/>
  <c r="I1216" i="2"/>
  <c r="I1215" i="2"/>
  <c r="I1214" i="2"/>
  <c r="I1213" i="2"/>
  <c r="I1212" i="2"/>
  <c r="I1211" i="2"/>
  <c r="I1210" i="2"/>
  <c r="I1209" i="2"/>
  <c r="I1208" i="2"/>
  <c r="I1207" i="2"/>
  <c r="I1206" i="2"/>
  <c r="I1205" i="2"/>
  <c r="I1204" i="2"/>
  <c r="I1203" i="2"/>
  <c r="I1202" i="2"/>
  <c r="I1201" i="2"/>
  <c r="I1200" i="2"/>
  <c r="I1199" i="2"/>
  <c r="I1198" i="2"/>
  <c r="I1197" i="2"/>
  <c r="I1196" i="2"/>
  <c r="I1195" i="2"/>
  <c r="I1194" i="2"/>
  <c r="I1193" i="2"/>
  <c r="I1192" i="2"/>
  <c r="I1191" i="2"/>
  <c r="I1190" i="2"/>
  <c r="I1189" i="2"/>
  <c r="I1188" i="2"/>
  <c r="I1187" i="2"/>
  <c r="I1186" i="2"/>
  <c r="I1185" i="2"/>
  <c r="I1184" i="2"/>
  <c r="I1183" i="2"/>
  <c r="I1182" i="2"/>
  <c r="I1181" i="2"/>
  <c r="I1180" i="2"/>
  <c r="I1179" i="2"/>
  <c r="I1178" i="2"/>
  <c r="I1177" i="2"/>
  <c r="I1176" i="2"/>
  <c r="I1175" i="2"/>
  <c r="I1174" i="2"/>
  <c r="I1173" i="2"/>
  <c r="I1172" i="2"/>
  <c r="I1171" i="2"/>
  <c r="I1170" i="2"/>
  <c r="I1169" i="2"/>
  <c r="I1168" i="2"/>
  <c r="I1167" i="2"/>
  <c r="I1166" i="2"/>
  <c r="I1165" i="2"/>
  <c r="I1164" i="2"/>
  <c r="I1163" i="2"/>
  <c r="I1162" i="2"/>
  <c r="I1161" i="2"/>
  <c r="I1160" i="2"/>
  <c r="I1159" i="2"/>
  <c r="I1158" i="2"/>
  <c r="I1157" i="2"/>
  <c r="I1156" i="2"/>
  <c r="I1155" i="2"/>
  <c r="I1154" i="2"/>
  <c r="I1153" i="2"/>
  <c r="I1152" i="2"/>
  <c r="I1151" i="2"/>
  <c r="I1150" i="2"/>
  <c r="I1149" i="2"/>
  <c r="I1148" i="2"/>
  <c r="I1147" i="2"/>
  <c r="I1146" i="2"/>
  <c r="I1145" i="2"/>
  <c r="I1144" i="2"/>
  <c r="I1143" i="2"/>
  <c r="I1142" i="2"/>
  <c r="I1141" i="2"/>
  <c r="I1140" i="2"/>
  <c r="I1139" i="2"/>
  <c r="I1138" i="2"/>
  <c r="I1137" i="2"/>
  <c r="I1136" i="2"/>
  <c r="I1135" i="2"/>
  <c r="I1134" i="2"/>
  <c r="I1133" i="2"/>
  <c r="I1132" i="2"/>
  <c r="I1131" i="2"/>
  <c r="I1130" i="2"/>
  <c r="I1129" i="2"/>
  <c r="I1128" i="2"/>
  <c r="I1127" i="2"/>
  <c r="I1126" i="2"/>
  <c r="I1125" i="2"/>
  <c r="I1124" i="2"/>
  <c r="I1123" i="2"/>
  <c r="I1122" i="2"/>
  <c r="I1121" i="2"/>
  <c r="I1120" i="2"/>
  <c r="I1119" i="2"/>
  <c r="I1118" i="2"/>
  <c r="I1117" i="2"/>
  <c r="I1116" i="2"/>
  <c r="I1115" i="2"/>
  <c r="I1114" i="2"/>
  <c r="I1113" i="2"/>
  <c r="I1112" i="2"/>
  <c r="I1111" i="2"/>
  <c r="I1110" i="2"/>
  <c r="I1109" i="2"/>
  <c r="I1108" i="2"/>
  <c r="I1107" i="2"/>
  <c r="I1106" i="2"/>
  <c r="I1105" i="2"/>
  <c r="I1104" i="2"/>
  <c r="I1103" i="2"/>
  <c r="I1102" i="2"/>
  <c r="I1101" i="2"/>
  <c r="I1100" i="2"/>
  <c r="I1099" i="2"/>
  <c r="I1098" i="2"/>
  <c r="I1097" i="2"/>
  <c r="I1096" i="2"/>
  <c r="I1095" i="2"/>
  <c r="I1094" i="2"/>
  <c r="I1093" i="2"/>
  <c r="I1092" i="2"/>
  <c r="I1091" i="2"/>
  <c r="I1090" i="2"/>
  <c r="I1089" i="2"/>
  <c r="I1088" i="2"/>
  <c r="I1087" i="2"/>
  <c r="I1086" i="2"/>
  <c r="I1085" i="2"/>
  <c r="I1084" i="2"/>
  <c r="I1083" i="2"/>
  <c r="I1082" i="2"/>
  <c r="I1081" i="2"/>
  <c r="I1080" i="2"/>
  <c r="I1079" i="2"/>
  <c r="I1078" i="2"/>
  <c r="I1077" i="2"/>
  <c r="I1076" i="2"/>
  <c r="I1075" i="2"/>
  <c r="I1074" i="2"/>
  <c r="I1073" i="2"/>
  <c r="I1072" i="2"/>
  <c r="I1071" i="2"/>
  <c r="I1070" i="2"/>
  <c r="I1069" i="2"/>
  <c r="I1068" i="2"/>
  <c r="I1067" i="2"/>
  <c r="I1066" i="2"/>
  <c r="I1065" i="2"/>
  <c r="I1064" i="2"/>
  <c r="I1063" i="2"/>
  <c r="I1062" i="2"/>
  <c r="I1061" i="2"/>
  <c r="I1060" i="2"/>
  <c r="I1059" i="2"/>
  <c r="I1058" i="2"/>
  <c r="I1057" i="2"/>
  <c r="I1056" i="2"/>
  <c r="I1055" i="2"/>
  <c r="I1054" i="2"/>
  <c r="I1053" i="2"/>
  <c r="I1052" i="2"/>
  <c r="I1051" i="2"/>
  <c r="I1050" i="2"/>
  <c r="I1049" i="2"/>
  <c r="I1048" i="2"/>
  <c r="I1047" i="2"/>
  <c r="I1046" i="2"/>
  <c r="I1045" i="2"/>
  <c r="I1044" i="2"/>
  <c r="I1043" i="2"/>
  <c r="I1042" i="2"/>
  <c r="I1041" i="2"/>
  <c r="I1040" i="2"/>
  <c r="I1039" i="2"/>
  <c r="I1038" i="2"/>
  <c r="I1037" i="2"/>
  <c r="I1036" i="2"/>
  <c r="I1035" i="2"/>
  <c r="I1034" i="2"/>
  <c r="I1033" i="2"/>
  <c r="I1032" i="2"/>
  <c r="I1031" i="2"/>
  <c r="I1030" i="2"/>
  <c r="I1029" i="2"/>
  <c r="I1028" i="2"/>
  <c r="I1027" i="2"/>
  <c r="I1026" i="2"/>
  <c r="I1025" i="2"/>
  <c r="I1024" i="2"/>
  <c r="I1023" i="2"/>
  <c r="I1022" i="2"/>
  <c r="I1021" i="2"/>
  <c r="I1020" i="2"/>
  <c r="I1019" i="2"/>
  <c r="I1018" i="2"/>
  <c r="I1017" i="2"/>
  <c r="I1016" i="2"/>
  <c r="I1015" i="2"/>
  <c r="I1014" i="2"/>
  <c r="I1013" i="2"/>
  <c r="I1012" i="2"/>
  <c r="I1011" i="2"/>
  <c r="I1010" i="2"/>
  <c r="I1009" i="2"/>
  <c r="I1008" i="2"/>
  <c r="I1007" i="2"/>
  <c r="I1006" i="2"/>
  <c r="I1005" i="2"/>
  <c r="I1004" i="2"/>
  <c r="I1003" i="2"/>
  <c r="I1002" i="2"/>
  <c r="I1001" i="2"/>
  <c r="I1000" i="2"/>
  <c r="I999" i="2"/>
  <c r="I998" i="2"/>
  <c r="I997" i="2"/>
  <c r="I996" i="2"/>
  <c r="I995" i="2"/>
  <c r="I994" i="2"/>
  <c r="I993" i="2"/>
  <c r="I992" i="2"/>
  <c r="I991" i="2"/>
  <c r="I990" i="2"/>
  <c r="I989" i="2"/>
  <c r="I988" i="2"/>
  <c r="I987" i="2"/>
  <c r="I986" i="2"/>
  <c r="I985" i="2"/>
  <c r="I984" i="2"/>
  <c r="I983" i="2"/>
  <c r="I982" i="2"/>
  <c r="I981" i="2"/>
  <c r="I980" i="2"/>
  <c r="I979" i="2"/>
  <c r="I978" i="2"/>
  <c r="I977" i="2"/>
  <c r="I976" i="2"/>
  <c r="I975" i="2"/>
  <c r="I974" i="2"/>
  <c r="I973" i="2"/>
  <c r="I972" i="2"/>
  <c r="I971" i="2"/>
  <c r="I970" i="2"/>
  <c r="I969" i="2"/>
  <c r="I968" i="2"/>
  <c r="I967" i="2"/>
  <c r="I966" i="2"/>
  <c r="I965" i="2"/>
  <c r="I964" i="2"/>
  <c r="I963" i="2"/>
  <c r="I962" i="2"/>
  <c r="I961" i="2"/>
  <c r="I960" i="2"/>
  <c r="I959" i="2"/>
  <c r="I958" i="2"/>
  <c r="I957" i="2"/>
  <c r="I956" i="2"/>
  <c r="I955" i="2"/>
  <c r="I954" i="2"/>
  <c r="I953" i="2"/>
  <c r="I952" i="2"/>
  <c r="I951" i="2"/>
  <c r="I950" i="2"/>
  <c r="I949" i="2"/>
  <c r="I948" i="2"/>
  <c r="I947" i="2"/>
  <c r="I946" i="2"/>
  <c r="I945" i="2"/>
  <c r="I944" i="2"/>
  <c r="I943" i="2"/>
  <c r="I942" i="2"/>
  <c r="I941" i="2"/>
  <c r="I940" i="2"/>
  <c r="I939" i="2"/>
  <c r="I938" i="2"/>
  <c r="I937" i="2"/>
  <c r="I936" i="2"/>
  <c r="I935" i="2"/>
  <c r="I934" i="2"/>
  <c r="I933" i="2"/>
  <c r="I932" i="2"/>
  <c r="I931" i="2"/>
  <c r="I930" i="2"/>
  <c r="I929" i="2"/>
  <c r="I928" i="2"/>
  <c r="I927" i="2"/>
  <c r="I926" i="2"/>
  <c r="I925" i="2"/>
  <c r="I924" i="2"/>
  <c r="I923" i="2"/>
  <c r="I922" i="2"/>
  <c r="I921" i="2"/>
  <c r="I920" i="2"/>
  <c r="I919" i="2"/>
  <c r="I918" i="2"/>
  <c r="I917" i="2"/>
  <c r="I916" i="2"/>
  <c r="I915" i="2"/>
  <c r="I914" i="2"/>
  <c r="I913" i="2"/>
  <c r="I912" i="2"/>
  <c r="I911" i="2"/>
  <c r="I910" i="2"/>
  <c r="I909" i="2"/>
  <c r="I908" i="2"/>
  <c r="I907" i="2"/>
  <c r="I906" i="2"/>
  <c r="I905" i="2"/>
  <c r="I904" i="2"/>
  <c r="I903" i="2"/>
  <c r="I902" i="2"/>
  <c r="I901" i="2"/>
  <c r="I900" i="2"/>
  <c r="I899" i="2"/>
  <c r="I898" i="2"/>
  <c r="I897" i="2"/>
  <c r="I896" i="2"/>
  <c r="I895" i="2"/>
  <c r="I894" i="2"/>
  <c r="I893" i="2"/>
  <c r="I892" i="2"/>
  <c r="I891" i="2"/>
  <c r="I890" i="2"/>
  <c r="I889" i="2"/>
  <c r="I888" i="2"/>
  <c r="I887" i="2"/>
  <c r="I886" i="2"/>
  <c r="I885" i="2"/>
  <c r="I884" i="2"/>
  <c r="I883" i="2"/>
  <c r="I882" i="2"/>
  <c r="I881" i="2"/>
  <c r="I880" i="2"/>
  <c r="I879" i="2"/>
  <c r="I878" i="2"/>
  <c r="I877" i="2"/>
  <c r="I876" i="2"/>
  <c r="I875" i="2"/>
  <c r="I874" i="2"/>
  <c r="I873" i="2"/>
  <c r="I872" i="2"/>
  <c r="I871" i="2"/>
  <c r="I870" i="2"/>
  <c r="I869" i="2"/>
  <c r="I868" i="2"/>
  <c r="I867" i="2"/>
  <c r="I866" i="2"/>
  <c r="I865" i="2"/>
  <c r="I864" i="2"/>
  <c r="I863" i="2"/>
  <c r="I862" i="2"/>
  <c r="I861" i="2"/>
  <c r="I860" i="2"/>
  <c r="I859" i="2"/>
  <c r="I858" i="2"/>
  <c r="I857" i="2"/>
  <c r="I856" i="2"/>
  <c r="I855" i="2"/>
  <c r="I854" i="2"/>
  <c r="I853" i="2"/>
  <c r="I852" i="2"/>
  <c r="I851" i="2"/>
  <c r="I850" i="2"/>
  <c r="I849" i="2"/>
  <c r="I848" i="2"/>
  <c r="I847" i="2"/>
  <c r="I846" i="2"/>
  <c r="I845" i="2"/>
  <c r="I844" i="2"/>
  <c r="I843" i="2"/>
  <c r="I842" i="2"/>
  <c r="I841" i="2"/>
  <c r="I840" i="2"/>
  <c r="I839" i="2"/>
  <c r="I838" i="2"/>
  <c r="I837" i="2"/>
  <c r="I836" i="2"/>
  <c r="I835" i="2"/>
  <c r="I834" i="2"/>
  <c r="I833" i="2"/>
  <c r="I832" i="2"/>
  <c r="I831" i="2"/>
  <c r="I830" i="2"/>
  <c r="I829" i="2"/>
  <c r="I828" i="2"/>
  <c r="I827" i="2"/>
  <c r="I826" i="2"/>
  <c r="I825" i="2"/>
  <c r="I824" i="2"/>
  <c r="I823" i="2"/>
  <c r="I822" i="2"/>
  <c r="I821" i="2"/>
  <c r="I820" i="2"/>
  <c r="I819" i="2"/>
  <c r="I818" i="2"/>
  <c r="I817" i="2"/>
  <c r="I816" i="2"/>
  <c r="I815" i="2"/>
  <c r="I814" i="2"/>
  <c r="I813" i="2"/>
  <c r="I812" i="2"/>
  <c r="I811" i="2"/>
  <c r="I810" i="2"/>
  <c r="I809" i="2"/>
  <c r="I808" i="2"/>
  <c r="I807" i="2"/>
  <c r="I806" i="2"/>
  <c r="I805" i="2"/>
  <c r="I804" i="2"/>
  <c r="I803" i="2"/>
  <c r="I802" i="2"/>
  <c r="I801" i="2"/>
  <c r="I800" i="2"/>
  <c r="I799" i="2"/>
  <c r="I798" i="2"/>
  <c r="I797" i="2"/>
  <c r="I796" i="2"/>
  <c r="I795" i="2"/>
  <c r="I794" i="2"/>
  <c r="I793" i="2"/>
  <c r="I792" i="2"/>
  <c r="I791" i="2"/>
  <c r="I790" i="2"/>
  <c r="I789" i="2"/>
  <c r="I788" i="2"/>
  <c r="I787" i="2"/>
  <c r="I786" i="2"/>
  <c r="I785" i="2"/>
  <c r="I784" i="2"/>
  <c r="I783" i="2"/>
  <c r="I782" i="2"/>
  <c r="I781" i="2"/>
  <c r="I780" i="2"/>
  <c r="I779" i="2"/>
  <c r="I778" i="2"/>
  <c r="I777" i="2"/>
  <c r="I776" i="2"/>
  <c r="I775" i="2"/>
  <c r="I774" i="2"/>
  <c r="I773" i="2"/>
  <c r="I772" i="2"/>
  <c r="I771" i="2"/>
  <c r="I770" i="2"/>
  <c r="I769" i="2"/>
  <c r="I768" i="2"/>
  <c r="I767" i="2"/>
  <c r="I766" i="2"/>
  <c r="I765" i="2"/>
  <c r="I764" i="2"/>
  <c r="I763" i="2"/>
  <c r="I762" i="2"/>
  <c r="I761" i="2"/>
  <c r="I760" i="2"/>
  <c r="I759" i="2"/>
  <c r="I758" i="2"/>
  <c r="I757" i="2"/>
  <c r="I756" i="2"/>
  <c r="I755" i="2"/>
  <c r="I754" i="2"/>
  <c r="I753" i="2"/>
  <c r="I752" i="2"/>
  <c r="I751" i="2"/>
  <c r="I750" i="2"/>
  <c r="I749" i="2"/>
  <c r="I748" i="2"/>
  <c r="I747" i="2"/>
  <c r="I746" i="2"/>
  <c r="I745" i="2"/>
  <c r="I744" i="2"/>
  <c r="I743" i="2"/>
  <c r="I742" i="2"/>
  <c r="I741" i="2"/>
  <c r="I740" i="2"/>
  <c r="I739" i="2"/>
  <c r="I738" i="2"/>
  <c r="I737" i="2"/>
  <c r="I736" i="2"/>
  <c r="I735" i="2"/>
  <c r="I734" i="2"/>
  <c r="I733" i="2"/>
  <c r="I732" i="2"/>
  <c r="I731" i="2"/>
  <c r="I730" i="2"/>
  <c r="I729" i="2"/>
  <c r="I728" i="2"/>
  <c r="I727" i="2"/>
  <c r="I726" i="2"/>
  <c r="I725" i="2"/>
  <c r="I724" i="2"/>
  <c r="I723" i="2"/>
  <c r="I722" i="2"/>
  <c r="I721" i="2"/>
  <c r="I720" i="2"/>
  <c r="I719" i="2"/>
  <c r="I718" i="2"/>
  <c r="I717" i="2"/>
  <c r="I716" i="2"/>
  <c r="I715" i="2"/>
  <c r="I714" i="2"/>
  <c r="I713" i="2"/>
  <c r="I712" i="2"/>
  <c r="I711" i="2"/>
  <c r="I710" i="2"/>
  <c r="I709" i="2"/>
  <c r="I708" i="2"/>
  <c r="I707" i="2"/>
  <c r="I706" i="2"/>
  <c r="I705" i="2"/>
  <c r="I704" i="2"/>
  <c r="I703" i="2"/>
  <c r="I702" i="2"/>
  <c r="I701" i="2"/>
  <c r="I700" i="2"/>
  <c r="I699" i="2"/>
  <c r="I698" i="2"/>
  <c r="I697" i="2"/>
  <c r="I696" i="2"/>
  <c r="I695" i="2"/>
  <c r="I694" i="2"/>
  <c r="I693" i="2"/>
  <c r="I692" i="2"/>
  <c r="I691" i="2"/>
  <c r="I690" i="2"/>
  <c r="I689" i="2"/>
  <c r="I688" i="2"/>
  <c r="I687" i="2"/>
  <c r="I686" i="2"/>
  <c r="I685" i="2"/>
  <c r="I684" i="2"/>
  <c r="I683" i="2"/>
  <c r="I682" i="2"/>
  <c r="I681" i="2"/>
  <c r="I680" i="2"/>
  <c r="I679" i="2"/>
  <c r="I678" i="2"/>
  <c r="I677" i="2"/>
  <c r="I676" i="2"/>
  <c r="I675" i="2"/>
  <c r="I674" i="2"/>
  <c r="I673" i="2"/>
  <c r="I672" i="2"/>
  <c r="I671" i="2"/>
  <c r="I670" i="2"/>
  <c r="I669" i="2"/>
  <c r="I668" i="2"/>
  <c r="I667" i="2"/>
  <c r="I666" i="2"/>
  <c r="I665" i="2"/>
  <c r="I664" i="2"/>
  <c r="I663" i="2"/>
  <c r="I662" i="2"/>
  <c r="I661" i="2"/>
  <c r="I660" i="2"/>
  <c r="I659" i="2"/>
  <c r="I658" i="2"/>
  <c r="I657" i="2"/>
  <c r="I656" i="2"/>
  <c r="I655" i="2"/>
  <c r="I654" i="2"/>
  <c r="I653" i="2"/>
  <c r="I652" i="2"/>
  <c r="I651" i="2"/>
  <c r="I650" i="2"/>
  <c r="I649" i="2"/>
  <c r="I648" i="2"/>
  <c r="I647" i="2"/>
  <c r="I646" i="2"/>
  <c r="I645" i="2"/>
  <c r="I644" i="2"/>
  <c r="I643" i="2"/>
  <c r="I642" i="2"/>
  <c r="I641" i="2"/>
  <c r="I640" i="2"/>
  <c r="I639" i="2"/>
  <c r="I638" i="2"/>
  <c r="I637" i="2"/>
  <c r="I636" i="2"/>
  <c r="I635" i="2"/>
  <c r="I634" i="2"/>
  <c r="I633" i="2"/>
  <c r="I632" i="2"/>
  <c r="I631" i="2"/>
  <c r="I630" i="2"/>
  <c r="I629" i="2"/>
  <c r="I628" i="2"/>
  <c r="I627" i="2"/>
  <c r="I626" i="2"/>
  <c r="I625" i="2"/>
  <c r="I624" i="2"/>
  <c r="I623" i="2"/>
  <c r="I622" i="2"/>
  <c r="I621" i="2"/>
  <c r="I620" i="2"/>
  <c r="I619" i="2"/>
  <c r="I618" i="2"/>
  <c r="I617" i="2"/>
  <c r="I616" i="2"/>
  <c r="I615" i="2"/>
  <c r="I614" i="2"/>
  <c r="I613" i="2"/>
  <c r="I612" i="2"/>
  <c r="I611" i="2"/>
  <c r="I610" i="2"/>
  <c r="I609" i="2"/>
  <c r="I608" i="2"/>
  <c r="I607" i="2"/>
  <c r="I606" i="2"/>
  <c r="I605" i="2"/>
  <c r="I604" i="2"/>
  <c r="I603" i="2"/>
  <c r="I602" i="2"/>
  <c r="I601" i="2"/>
  <c r="I600" i="2"/>
  <c r="I599" i="2"/>
  <c r="I598" i="2"/>
  <c r="I597" i="2"/>
  <c r="I596" i="2"/>
  <c r="I595" i="2"/>
  <c r="I594" i="2"/>
  <c r="I593" i="2"/>
  <c r="I592" i="2"/>
  <c r="I591" i="2"/>
  <c r="I590" i="2"/>
  <c r="I589" i="2"/>
  <c r="I588" i="2"/>
  <c r="I587" i="2"/>
  <c r="I586" i="2"/>
  <c r="I585" i="2"/>
  <c r="I584" i="2"/>
  <c r="I583" i="2"/>
  <c r="I582" i="2"/>
  <c r="I581" i="2"/>
  <c r="I580" i="2"/>
  <c r="I579" i="2"/>
  <c r="I578" i="2"/>
  <c r="I577" i="2"/>
  <c r="I576" i="2"/>
  <c r="I575" i="2"/>
  <c r="I574" i="2"/>
  <c r="I573" i="2"/>
  <c r="I572" i="2"/>
  <c r="I571" i="2"/>
  <c r="I570" i="2"/>
  <c r="I569" i="2"/>
  <c r="I568" i="2"/>
  <c r="I567" i="2"/>
  <c r="I566" i="2"/>
  <c r="I565" i="2"/>
  <c r="I564" i="2"/>
  <c r="I563" i="2"/>
  <c r="I562" i="2"/>
  <c r="I561" i="2"/>
  <c r="I560" i="2"/>
  <c r="I559" i="2"/>
  <c r="I558" i="2"/>
  <c r="I557" i="2"/>
  <c r="I556" i="2"/>
  <c r="I555" i="2"/>
  <c r="I554" i="2"/>
  <c r="I553" i="2"/>
  <c r="I552" i="2"/>
  <c r="I551" i="2"/>
  <c r="I550" i="2"/>
  <c r="I549" i="2"/>
  <c r="I548" i="2"/>
  <c r="I547" i="2"/>
  <c r="I546" i="2"/>
  <c r="I545" i="2"/>
  <c r="I544" i="2"/>
  <c r="I543" i="2"/>
  <c r="I542" i="2"/>
  <c r="I541" i="2"/>
  <c r="I540" i="2"/>
  <c r="I539" i="2"/>
  <c r="I538" i="2"/>
  <c r="I537" i="2"/>
  <c r="I536" i="2"/>
  <c r="I535" i="2"/>
  <c r="I534" i="2"/>
  <c r="I533" i="2"/>
  <c r="I532" i="2"/>
  <c r="I531" i="2"/>
  <c r="I530" i="2"/>
  <c r="I529" i="2"/>
  <c r="I528" i="2"/>
  <c r="I527" i="2"/>
  <c r="I526" i="2"/>
  <c r="I525" i="2"/>
  <c r="I524" i="2"/>
  <c r="I523" i="2"/>
  <c r="I522" i="2"/>
  <c r="I521" i="2"/>
  <c r="I520" i="2"/>
  <c r="I519" i="2"/>
  <c r="I518" i="2"/>
  <c r="I517" i="2"/>
  <c r="I516" i="2"/>
  <c r="I515" i="2"/>
  <c r="I514" i="2"/>
  <c r="I513" i="2"/>
  <c r="I512" i="2"/>
  <c r="I511" i="2"/>
  <c r="I510" i="2"/>
  <c r="I509" i="2"/>
  <c r="I508" i="2"/>
  <c r="I507" i="2"/>
  <c r="I506" i="2"/>
  <c r="I505" i="2"/>
  <c r="I504" i="2"/>
  <c r="I503" i="2"/>
  <c r="I502" i="2"/>
  <c r="I501" i="2"/>
  <c r="I500" i="2"/>
  <c r="I499" i="2"/>
  <c r="I498" i="2"/>
  <c r="I497" i="2"/>
  <c r="I496" i="2"/>
  <c r="I495" i="2"/>
  <c r="I494" i="2"/>
  <c r="I493" i="2"/>
  <c r="I492" i="2"/>
  <c r="I491" i="2"/>
  <c r="I490" i="2"/>
  <c r="I489" i="2"/>
  <c r="I488" i="2"/>
  <c r="I487" i="2"/>
  <c r="I486" i="2"/>
  <c r="I485" i="2"/>
  <c r="I484" i="2"/>
  <c r="I483" i="2"/>
  <c r="I482" i="2"/>
  <c r="I481" i="2"/>
  <c r="I480" i="2"/>
  <c r="I479" i="2"/>
  <c r="I478" i="2"/>
  <c r="I477" i="2"/>
  <c r="I476" i="2"/>
  <c r="I475" i="2"/>
  <c r="I474" i="2"/>
  <c r="I473" i="2"/>
  <c r="I472" i="2"/>
  <c r="I471" i="2"/>
  <c r="I470" i="2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8" i="2"/>
  <c r="I437" i="2"/>
  <c r="I436" i="2"/>
  <c r="I435" i="2"/>
  <c r="I434" i="2"/>
  <c r="I433" i="2"/>
  <c r="I432" i="2"/>
  <c r="I431" i="2"/>
  <c r="I430" i="2"/>
  <c r="I429" i="2"/>
  <c r="I428" i="2"/>
  <c r="I427" i="2"/>
  <c r="I426" i="2"/>
  <c r="I425" i="2"/>
  <c r="I424" i="2"/>
  <c r="I423" i="2"/>
  <c r="I422" i="2"/>
  <c r="I421" i="2"/>
  <c r="I420" i="2"/>
  <c r="I419" i="2"/>
  <c r="I418" i="2"/>
  <c r="I417" i="2"/>
  <c r="I416" i="2"/>
  <c r="I415" i="2"/>
  <c r="I414" i="2"/>
  <c r="I413" i="2"/>
  <c r="I412" i="2"/>
  <c r="I411" i="2"/>
  <c r="I410" i="2"/>
  <c r="I409" i="2"/>
  <c r="I408" i="2"/>
  <c r="I407" i="2"/>
  <c r="I406" i="2"/>
  <c r="I405" i="2"/>
  <c r="I404" i="2"/>
  <c r="I403" i="2"/>
  <c r="I402" i="2"/>
  <c r="I401" i="2"/>
  <c r="I400" i="2"/>
  <c r="I399" i="2"/>
  <c r="I398" i="2"/>
  <c r="I397" i="2"/>
  <c r="I396" i="2"/>
  <c r="I395" i="2"/>
  <c r="I394" i="2"/>
  <c r="I393" i="2"/>
  <c r="I392" i="2"/>
  <c r="I391" i="2"/>
  <c r="I390" i="2"/>
  <c r="I389" i="2"/>
  <c r="I388" i="2"/>
  <c r="I387" i="2"/>
  <c r="I386" i="2"/>
  <c r="I385" i="2"/>
  <c r="I384" i="2"/>
  <c r="I383" i="2"/>
  <c r="I382" i="2"/>
  <c r="I381" i="2"/>
  <c r="I380" i="2"/>
  <c r="I379" i="2"/>
  <c r="I378" i="2"/>
  <c r="I377" i="2"/>
  <c r="I376" i="2"/>
  <c r="I375" i="2"/>
  <c r="I374" i="2"/>
  <c r="I373" i="2"/>
  <c r="I372" i="2"/>
  <c r="I371" i="2"/>
  <c r="I370" i="2"/>
  <c r="I369" i="2"/>
  <c r="I368" i="2"/>
  <c r="I367" i="2"/>
  <c r="I366" i="2"/>
  <c r="I365" i="2"/>
  <c r="I364" i="2"/>
  <c r="I363" i="2"/>
  <c r="I362" i="2"/>
  <c r="I361" i="2"/>
  <c r="I360" i="2"/>
  <c r="I359" i="2"/>
  <c r="I358" i="2"/>
  <c r="I357" i="2"/>
  <c r="I356" i="2"/>
  <c r="I355" i="2"/>
  <c r="I354" i="2"/>
  <c r="I353" i="2"/>
  <c r="I352" i="2"/>
  <c r="I351" i="2"/>
  <c r="I350" i="2"/>
  <c r="I349" i="2"/>
  <c r="I348" i="2"/>
  <c r="I347" i="2"/>
  <c r="I346" i="2"/>
  <c r="I345" i="2"/>
  <c r="I344" i="2"/>
  <c r="I343" i="2"/>
  <c r="I342" i="2"/>
  <c r="I341" i="2"/>
  <c r="I340" i="2"/>
  <c r="I339" i="2"/>
  <c r="I338" i="2"/>
  <c r="I337" i="2"/>
  <c r="I336" i="2"/>
  <c r="I335" i="2"/>
  <c r="I334" i="2"/>
  <c r="I333" i="2"/>
  <c r="I332" i="2"/>
  <c r="I331" i="2"/>
  <c r="I330" i="2"/>
  <c r="I329" i="2"/>
  <c r="I328" i="2"/>
  <c r="I327" i="2"/>
  <c r="I326" i="2"/>
  <c r="I325" i="2"/>
  <c r="I324" i="2"/>
  <c r="I323" i="2"/>
  <c r="I322" i="2"/>
  <c r="I321" i="2"/>
  <c r="I320" i="2"/>
  <c r="I319" i="2"/>
  <c r="I318" i="2"/>
  <c r="I317" i="2"/>
  <c r="I316" i="2"/>
  <c r="I315" i="2"/>
  <c r="I314" i="2"/>
  <c r="I313" i="2"/>
  <c r="I312" i="2"/>
  <c r="I311" i="2"/>
  <c r="I310" i="2"/>
  <c r="I309" i="2"/>
  <c r="I308" i="2"/>
  <c r="I307" i="2"/>
  <c r="I306" i="2"/>
  <c r="I305" i="2"/>
  <c r="I304" i="2"/>
  <c r="I303" i="2"/>
  <c r="I302" i="2"/>
  <c r="I301" i="2"/>
  <c r="I300" i="2"/>
  <c r="I299" i="2"/>
  <c r="I298" i="2"/>
  <c r="I297" i="2"/>
  <c r="I296" i="2"/>
  <c r="I295" i="2"/>
  <c r="I294" i="2"/>
  <c r="I293" i="2"/>
  <c r="I292" i="2"/>
  <c r="I291" i="2"/>
  <c r="I290" i="2"/>
  <c r="I289" i="2"/>
  <c r="I288" i="2"/>
  <c r="I287" i="2"/>
  <c r="I286" i="2"/>
  <c r="I285" i="2"/>
  <c r="I284" i="2"/>
  <c r="I283" i="2"/>
  <c r="I282" i="2"/>
  <c r="I281" i="2"/>
  <c r="I280" i="2"/>
  <c r="I279" i="2"/>
  <c r="I278" i="2"/>
  <c r="I277" i="2"/>
  <c r="I276" i="2"/>
  <c r="I275" i="2"/>
  <c r="I274" i="2"/>
  <c r="I273" i="2"/>
  <c r="I272" i="2"/>
  <c r="I271" i="2"/>
  <c r="I270" i="2"/>
  <c r="I269" i="2"/>
  <c r="I268" i="2"/>
  <c r="I267" i="2"/>
  <c r="I266" i="2"/>
  <c r="I265" i="2"/>
  <c r="I264" i="2"/>
  <c r="I263" i="2"/>
  <c r="I262" i="2"/>
  <c r="I261" i="2"/>
  <c r="I260" i="2"/>
  <c r="I259" i="2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9" i="4" l="1"/>
  <c r="H9" i="4"/>
  <c r="J9" i="4" s="1"/>
  <c r="I8" i="4"/>
  <c r="H8" i="4"/>
  <c r="J8" i="4" s="1"/>
  <c r="I7" i="4"/>
  <c r="H7" i="4"/>
  <c r="J7" i="4" s="1"/>
  <c r="I6" i="4"/>
  <c r="H6" i="4"/>
  <c r="H5" i="4"/>
  <c r="I5" i="4"/>
  <c r="I4" i="4"/>
  <c r="H4" i="4"/>
  <c r="J4" i="4" s="1"/>
  <c r="C68" i="6"/>
  <c r="E68" i="6" s="1"/>
  <c r="C65" i="6"/>
  <c r="E65" i="6" s="1"/>
  <c r="C64" i="6"/>
  <c r="E64" i="6" s="1"/>
  <c r="C73" i="6"/>
  <c r="E73" i="6" s="1"/>
  <c r="C69" i="6"/>
  <c r="E69" i="6" s="1"/>
  <c r="C71" i="6"/>
  <c r="E71" i="6" s="1"/>
  <c r="C74" i="6"/>
  <c r="E74" i="6" s="1"/>
  <c r="C66" i="6"/>
  <c r="E66" i="6" s="1"/>
  <c r="C67" i="6"/>
  <c r="E67" i="6" s="1"/>
  <c r="C70" i="6"/>
  <c r="E70" i="6" s="1"/>
  <c r="C72" i="6"/>
  <c r="E72" i="6" s="1"/>
  <c r="C75" i="6"/>
  <c r="E75" i="6" s="1"/>
  <c r="C53" i="6"/>
  <c r="E53" i="6" s="1"/>
  <c r="C55" i="6"/>
  <c r="E55" i="6" s="1"/>
  <c r="C58" i="6"/>
  <c r="E58" i="6" s="1"/>
  <c r="C63" i="6"/>
  <c r="E63" i="6" s="1"/>
  <c r="C57" i="6"/>
  <c r="E57" i="6" s="1"/>
  <c r="C62" i="6"/>
  <c r="E62" i="6" s="1"/>
  <c r="C61" i="6"/>
  <c r="E61" i="6" s="1"/>
  <c r="C56" i="6"/>
  <c r="E56" i="6" s="1"/>
  <c r="C54" i="6"/>
  <c r="E54" i="6" s="1"/>
  <c r="C59" i="6"/>
  <c r="E59" i="6" s="1"/>
  <c r="C52" i="6"/>
  <c r="E52" i="6" s="1"/>
  <c r="C60" i="6"/>
  <c r="E60" i="6" s="1"/>
  <c r="C35" i="6"/>
  <c r="E35" i="6" s="1"/>
  <c r="C39" i="6"/>
  <c r="E39" i="6" s="1"/>
  <c r="C37" i="6"/>
  <c r="E37" i="6" s="1"/>
  <c r="C34" i="6"/>
  <c r="E34" i="6" s="1"/>
  <c r="C31" i="6"/>
  <c r="E31" i="6" s="1"/>
  <c r="C33" i="6"/>
  <c r="E33" i="6" s="1"/>
  <c r="C32" i="6"/>
  <c r="E32" i="6" s="1"/>
  <c r="C38" i="6"/>
  <c r="E38" i="6" s="1"/>
  <c r="C36" i="6"/>
  <c r="E36" i="6" s="1"/>
  <c r="C17" i="6"/>
  <c r="E17" i="6" s="1"/>
  <c r="C22" i="6"/>
  <c r="E22" i="6" s="1"/>
  <c r="C26" i="6"/>
  <c r="E26" i="6" s="1"/>
  <c r="C16" i="6"/>
  <c r="E16" i="6" s="1"/>
  <c r="C23" i="6"/>
  <c r="E23" i="6" s="1"/>
  <c r="C25" i="6"/>
  <c r="E25" i="6" s="1"/>
  <c r="C24" i="6"/>
  <c r="E24" i="6" s="1"/>
  <c r="C21" i="6"/>
  <c r="E21" i="6" s="1"/>
  <c r="C19" i="6"/>
  <c r="E19" i="6" s="1"/>
  <c r="C27" i="6"/>
  <c r="E27" i="6" s="1"/>
  <c r="C18" i="6"/>
  <c r="E18" i="6" s="1"/>
  <c r="C20" i="6"/>
  <c r="E20" i="6" s="1"/>
  <c r="C9" i="6"/>
  <c r="E9" i="6" s="1"/>
  <c r="C13" i="6"/>
  <c r="E13" i="6" s="1"/>
  <c r="C12" i="6"/>
  <c r="E12" i="6" s="1"/>
  <c r="C8" i="6"/>
  <c r="E8" i="6" s="1"/>
  <c r="C14" i="6"/>
  <c r="E14" i="6" s="1"/>
  <c r="C10" i="6"/>
  <c r="E10" i="6" s="1"/>
  <c r="C11" i="6"/>
  <c r="E11" i="6" s="1"/>
  <c r="C15" i="6"/>
  <c r="E15" i="6" s="1"/>
  <c r="J6" i="4" l="1"/>
  <c r="J5" i="4"/>
</calcChain>
</file>

<file path=xl/sharedStrings.xml><?xml version="1.0" encoding="utf-8"?>
<sst xmlns="http://schemas.openxmlformats.org/spreadsheetml/2006/main" count="5104" uniqueCount="429">
  <si>
    <t>line_id</t>
  </si>
  <si>
    <t>line_name</t>
  </si>
  <si>
    <t>area</t>
  </si>
  <si>
    <t>target_units_per_hour</t>
  </si>
  <si>
    <t>Line 1</t>
  </si>
  <si>
    <t>Machining</t>
  </si>
  <si>
    <t>Line 2</t>
  </si>
  <si>
    <t>Assembly</t>
  </si>
  <si>
    <t>Line 3</t>
  </si>
  <si>
    <t>Packaging</t>
  </si>
  <si>
    <t>Line 4</t>
  </si>
  <si>
    <t>Line 5</t>
  </si>
  <si>
    <t>Line 6</t>
  </si>
  <si>
    <t>log_id</t>
  </si>
  <si>
    <t>production_date</t>
  </si>
  <si>
    <t>planned_minutes</t>
  </si>
  <si>
    <t>downtime_minutes</t>
  </si>
  <si>
    <t>downtime_reason</t>
  </si>
  <si>
    <t>units_produced</t>
  </si>
  <si>
    <t>units_defective</t>
  </si>
  <si>
    <t>log_month</t>
  </si>
  <si>
    <t>2024-01-01</t>
  </si>
  <si>
    <t>Operator Break</t>
  </si>
  <si>
    <t>2024-01-02</t>
  </si>
  <si>
    <t>Mechanical Failure</t>
  </si>
  <si>
    <t>2024-01-03</t>
  </si>
  <si>
    <t>2024-01-04</t>
  </si>
  <si>
    <t>Changeover</t>
  </si>
  <si>
    <t>2024-01-05</t>
  </si>
  <si>
    <t>Material Shortage</t>
  </si>
  <si>
    <t>2024-01-06</t>
  </si>
  <si>
    <t>2024-01-07</t>
  </si>
  <si>
    <t>2024-01-08</t>
  </si>
  <si>
    <t>Unspecified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</si>
  <si>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</si>
  <si>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</si>
  <si>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</si>
  <si>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</si>
  <si>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</si>
  <si>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</si>
  <si>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</si>
  <si>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</si>
  <si>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</si>
  <si>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</si>
  <si>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</si>
  <si>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Planned Maintenance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</si>
  <si>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</si>
  <si>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</si>
  <si>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</si>
  <si>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</si>
  <si>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</si>
  <si>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</si>
  <si>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</si>
  <si>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</si>
  <si>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</si>
  <si>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</si>
  <si>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</si>
  <si>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</si>
  <si>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</si>
  <si>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</si>
  <si>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</si>
  <si>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</si>
  <si>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</si>
  <si>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</si>
  <si>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</si>
  <si>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</si>
  <si>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</si>
  <si>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</si>
  <si>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</si>
  <si>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</si>
  <si>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</si>
  <si>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</si>
  <si>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</si>
  <si>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</si>
  <si>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</si>
  <si>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</si>
  <si>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</si>
  <si>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</si>
  <si>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</si>
  <si>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</si>
  <si>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</si>
  <si>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</si>
  <si>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</si>
  <si>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</si>
  <si>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</si>
  <si>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</si>
  <si>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</si>
  <si>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</si>
  <si>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</si>
  <si>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</si>
  <si>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</si>
  <si>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</si>
  <si>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</si>
  <si>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</si>
  <si>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</si>
  <si>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</si>
  <si>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</si>
  <si>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</si>
  <si>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</si>
  <si>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</si>
  <si>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</si>
  <si>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</si>
  <si>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</si>
  <si>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</si>
  <si>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</si>
  <si>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</si>
  <si>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</si>
  <si>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</si>
  <si>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</si>
  <si>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</si>
  <si>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</si>
  <si>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</si>
  <si>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</si>
  <si>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</si>
  <si>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</si>
  <si>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</si>
  <si>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</si>
  <si>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</si>
  <si>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</si>
  <si>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</si>
  <si>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</si>
  <si>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</si>
  <si>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</si>
  <si>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</si>
  <si>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</si>
  <si>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</si>
  <si>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</si>
  <si>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</si>
  <si>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</si>
  <si>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</si>
  <si>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</si>
  <si>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</si>
  <si>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</si>
  <si>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</si>
  <si>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</si>
  <si>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</si>
  <si>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</si>
  <si>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</si>
  <si>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</si>
  <si>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</si>
  <si>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</si>
  <si>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</si>
  <si>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</si>
  <si>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</si>
  <si>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</si>
  <si>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</si>
  <si>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</si>
  <si>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</si>
  <si>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</si>
  <si>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</si>
  <si>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</si>
  <si>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</si>
  <si>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</si>
  <si>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</si>
  <si>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</si>
  <si>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</si>
  <si>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</si>
  <si>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</si>
  <si>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</si>
  <si>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</si>
  <si>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</si>
  <si>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</si>
  <si>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</si>
  <si>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</si>
  <si>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</si>
  <si>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</si>
  <si>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</si>
  <si>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</si>
  <si>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</si>
  <si>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</si>
  <si>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</si>
  <si>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</si>
  <si>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</si>
  <si>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</si>
  <si>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</si>
  <si>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</si>
  <si>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</si>
  <si>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</si>
  <si>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</si>
  <si>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</si>
  <si>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</si>
  <si>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</si>
  <si>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</si>
  <si>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</si>
  <si>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</si>
  <si>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</si>
  <si>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</si>
  <si>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</si>
  <si>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</si>
  <si>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</si>
  <si>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</si>
  <si>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</si>
  <si>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</si>
  <si>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</si>
  <si>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</si>
  <si>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</si>
  <si>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</si>
  <si>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</si>
  <si>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</si>
  <si>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</si>
  <si>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</si>
  <si>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</si>
  <si>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</si>
  <si>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</si>
  <si>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</si>
  <si>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</si>
  <si>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</si>
  <si>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</si>
  <si>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</si>
  <si>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</si>
  <si>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</si>
  <si>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</si>
  <si>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</si>
  <si>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</si>
  <si>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</si>
  <si>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</si>
  <si>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</si>
  <si>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</si>
  <si>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</si>
  <si>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</si>
  <si>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</si>
  <si>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</si>
  <si>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</si>
  <si>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</si>
  <si>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</si>
  <si>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</si>
  <si>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</si>
  <si>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</si>
  <si>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</si>
  <si>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</si>
  <si>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</si>
  <si>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</si>
  <si>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</si>
  <si>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</si>
  <si>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</si>
  <si>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</si>
  <si>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</si>
  <si>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</si>
  <si>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</si>
  <si>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</si>
  <si>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</si>
  <si>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</si>
  <si>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</si>
  <si>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</si>
  <si>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</si>
  <si>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</si>
  <si>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</si>
  <si>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</si>
  <si>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</si>
  <si>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</si>
  <si>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</si>
  <si>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</si>
  <si>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</si>
  <si>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</si>
  <si>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</si>
  <si>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</si>
  <si>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</si>
  <si>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</si>
  <si>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</si>
  <si>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</si>
  <si>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</si>
  <si>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</si>
  <si>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</si>
  <si>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</si>
  <si>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</si>
  <si>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</si>
  <si>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</si>
  <si>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</si>
  <si>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</si>
  <si>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</si>
  <si>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</si>
  <si>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</si>
  <si>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</si>
  <si>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</si>
  <si>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</si>
  <si>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</si>
  <si>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</si>
  <si>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</si>
  <si>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</si>
  <si>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</si>
  <si>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</si>
  <si>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</si>
  <si>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</si>
  <si>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</si>
  <si>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</si>
  <si>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</si>
  <si>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</si>
  <si>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</si>
  <si>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</si>
  <si>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</si>
  <si>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</si>
  <si>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</si>
  <si>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</si>
  <si>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</si>
  <si>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</si>
  <si>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</si>
  <si>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</si>
  <si>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</si>
  <si>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</si>
  <si>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</si>
  <si>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</si>
  <si>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</si>
  <si>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</si>
  <si>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</si>
  <si>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</si>
  <si>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</si>
  <si>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</si>
  <si>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</si>
  <si>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</si>
  <si>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</si>
  <si>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</si>
  <si>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</si>
  <si>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</si>
  <si>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</si>
  <si>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</si>
  <si>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</si>
  <si>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</si>
  <si>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</si>
  <si>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</si>
  <si>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</si>
  <si>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</si>
  <si>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</si>
  <si>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</si>
  <si>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</si>
  <si>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</si>
  <si>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</si>
  <si>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</si>
  <si>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</si>
  <si>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</si>
  <si>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</si>
  <si>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</si>
  <si>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</si>
  <si>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</si>
  <si>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</si>
  <si>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</si>
  <si>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</si>
  <si>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</si>
  <si>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</si>
  <si>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</si>
  <si>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</si>
  <si>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</si>
  <si>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</si>
  <si>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</si>
  <si>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</si>
  <si>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</si>
  <si>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</si>
  <si>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</si>
  <si>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</si>
  <si>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</si>
  <si>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</si>
  <si>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</si>
  <si>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</si>
  <si>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</si>
  <si>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</si>
  <si>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</si>
  <si>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</si>
  <si>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</si>
  <si>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</si>
  <si>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</si>
  <si>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</si>
  <si>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</si>
  <si>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</si>
  <si>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</si>
  <si>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</si>
  <si>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</si>
  <si>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</si>
  <si>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</si>
  <si>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</si>
  <si>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</si>
  <si>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</si>
  <si>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</si>
  <si>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</si>
  <si>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</si>
  <si>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</si>
  <si>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</si>
  <si>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</si>
  <si>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</si>
  <si>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</si>
  <si>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</si>
  <si>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</si>
  <si>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</si>
  <si>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</si>
  <si>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</si>
  <si>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</si>
  <si>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</si>
  <si>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</si>
  <si>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</si>
  <si>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</si>
  <si>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</si>
  <si>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</si>
  <si>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</si>
  <si>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</si>
  <si>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</si>
  <si>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cost_id</t>
  </si>
  <si>
    <t>cost_month</t>
  </si>
  <si>
    <t>cost_type</t>
  </si>
  <si>
    <t>amount</t>
  </si>
  <si>
    <t>2024-01</t>
  </si>
  <si>
    <t>Labor</t>
  </si>
  <si>
    <t>Energy</t>
  </si>
  <si>
    <t>Maintenance</t>
  </si>
  <si>
    <t>Materials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</si>
  <si>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</si>
  <si>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</si>
  <si>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</si>
  <si>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</si>
  <si>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</si>
  <si>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</si>
  <si>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</si>
  <si>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</si>
  <si>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</si>
  <si>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</si>
  <si>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</si>
  <si>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Objective: OEE (Availability x Performance x Quality) per production line.</t>
  </si>
  <si>
    <t>total_planned_min</t>
  </si>
  <si>
    <t>total_downtime_min</t>
  </si>
  <si>
    <t>total_units</t>
  </si>
  <si>
    <t>total_defects</t>
  </si>
  <si>
    <t>availability</t>
  </si>
  <si>
    <t>quality</t>
  </si>
  <si>
    <t>performance</t>
  </si>
  <si>
    <t>oee</t>
  </si>
  <si>
    <t>Objective: total minutes lost per downtime reason, ranked worst first.</t>
  </si>
  <si>
    <t>total_minutes_lost</t>
  </si>
  <si>
    <t>rank</t>
  </si>
  <si>
    <t>Objective: cost per unit produced, per line per month (production rolled up from daily to monthly).</t>
  </si>
  <si>
    <t>total_cost</t>
  </si>
  <si>
    <t>cost_per_unit</t>
  </si>
  <si>
    <t>Objective: total spend by cost type (Labor, Energy, Maintenance, Materials).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</si>
</sst>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$#,##0"/>
    <numFmt numFmtId="166" formatCode="\$#,##0.00"/>
  </numFmts>
  <fonts count="3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  <font>
      <i/>
      <sz val="10"/>
      <color rgb="FF595959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zoomScaleNormal="100" workbookViewId="0">
      <pane ySplit="1" topLeftCell="A2" activePane="bottomLeft" state="frozen"/>
      <selection pane="bottomLeft" activeCell="D2" sqref="D2"/>
    </sheetView>
  </sheetViews>
  <sheetFormatPr baseColWidth="10" defaultColWidth="8.7109375" defaultRowHeight="15" x14ac:dyDescent="0.25"/>
  <cols>
    <col min="1" max="1" width="10" customWidth="1"/>
    <col min="2" max="3" width="12" customWidth="1"/>
    <col min="4" max="4" width="20" customWidth="1"/>
  </cols>
  <sheetData>
    <row r="1" spans="1:4" ht="15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15" customHeight="1" x14ac:dyDescent="0.25">
      <c r="A2">
        <v>1</v>
      </c>
      <c r="B2" t="s">
        <v>4</v>
      </c>
      <c r="C2" t="s">
        <v>5</v>
      </c>
      <c r="D2">
        <v>94</v>
      </c>
    </row>
    <row r="3" spans="1:4" ht="15" customHeight="1" x14ac:dyDescent="0.25">
      <c r="A3">
        <v>2</v>
      </c>
      <c r="B3" t="s">
        <v>6</v>
      </c>
      <c r="C3" t="s">
        <v>7</v>
      </c>
      <c r="D3">
        <v>174</v>
      </c>
    </row>
    <row r="4" spans="1:4" ht="15" customHeight="1" x14ac:dyDescent="0.25">
      <c r="A4">
        <v>3</v>
      </c>
      <c r="B4" t="s">
        <v>8</v>
      </c>
      <c r="C4" t="s">
        <v>9</v>
      </c>
      <c r="D4">
        <v>111</v>
      </c>
    </row>
    <row r="5" spans="1:4" ht="15" customHeight="1" x14ac:dyDescent="0.25">
      <c r="A5">
        <v>4</v>
      </c>
      <c r="B5" t="s">
        <v>10</v>
      </c>
      <c r="C5" t="s">
        <v>7</v>
      </c>
      <c r="D5">
        <v>97</v>
      </c>
    </row>
    <row r="6" spans="1:4" ht="15" customHeight="1" x14ac:dyDescent="0.25">
      <c r="A6">
        <v>5</v>
      </c>
      <c r="B6" t="s">
        <v>11</v>
      </c>
      <c r="C6" t="s">
        <v>5</v>
      </c>
      <c r="D6">
        <v>93</v>
      </c>
    </row>
    <row r="7" spans="1:4" ht="15" customHeight="1" x14ac:dyDescent="0.25">
      <c r="A7">
        <v>6</v>
      </c>
      <c r="B7" t="s">
        <v>12</v>
      </c>
      <c r="C7" t="s">
        <v>5</v>
      </c>
      <c r="D7">
        <v>174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197"/>
  <sheetViews>
    <sheetView zoomScaleNormal="100" workbookViewId="0">
      <pane ySplit="1" topLeftCell="A2" activePane="bottomLeft" state="frozen"/>
      <selection pane="bottomLeft" activeCell="I2" sqref="I2"/>
    </sheetView>
  </sheetViews>
  <sheetFormatPr baseColWidth="10" defaultColWidth="8.7109375" defaultRowHeight="15" x14ac:dyDescent="0.25"/>
  <cols>
    <col min="1" max="2" width="8" customWidth="1"/>
    <col min="3" max="4" width="14" customWidth="1"/>
    <col min="5" max="5" width="16" customWidth="1"/>
    <col min="6" max="6" width="18" customWidth="1"/>
    <col min="7" max="7" width="14" customWidth="1"/>
    <col min="8" max="8" width="15" customWidth="1"/>
    <col min="9" max="9" width="11" customWidth="1"/>
  </cols>
  <sheetData>
    <row r="1" spans="1:9" ht="15" customHeight="1" x14ac:dyDescent="0.25">
      <c r="A1" s="1" t="s">
        <v>13</v>
      </c>
      <c r="B1" s="1" t="s">
        <v>0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</row>
    <row r="2" spans="1:9" ht="15" customHeight="1" x14ac:dyDescent="0.25">
      <c r="A2">
        <v>1</v>
      </c>
      <c r="B2">
        <v>1</v>
      </c>
      <c r="C2" t="s">
        <v>21</v>
      </c>
      <c r="D2">
        <v>480</v>
      </c>
      <c r="E2">
        <v>59</v>
      </c>
      <c r="F2" t="s">
        <v>22</v>
      </c>
      <c r="G2">
        <v>639</v>
      </c>
      <c r="H2">
        <v>24</v>
      </c>
      <c r="I2" t="str">
        <f t="shared" ref="I2:I65" si="0">TEXT(C2,"yyyy-mm")</f>
        <v>2024-01</v>
      </c>
    </row>
    <row r="3" spans="1:9" ht="15" customHeight="1" x14ac:dyDescent="0.25">
      <c r="A3">
        <v>2</v>
      </c>
      <c r="B3">
        <v>1</v>
      </c>
      <c r="C3" t="s">
        <v>23</v>
      </c>
      <c r="D3">
        <v>480</v>
      </c>
      <c r="E3">
        <v>7</v>
      </c>
      <c r="F3" t="s">
        <v>24</v>
      </c>
      <c r="G3">
        <v>638</v>
      </c>
      <c r="H3">
        <v>50</v>
      </c>
      <c r="I3" t="str">
        <f t="shared" si="0"/>
        <v>2024-01</v>
      </c>
    </row>
    <row r="4" spans="1:9" ht="15" customHeight="1" x14ac:dyDescent="0.25">
      <c r="A4">
        <v>3</v>
      </c>
      <c r="B4">
        <v>1</v>
      </c>
      <c r="C4" t="s">
        <v>25</v>
      </c>
      <c r="D4">
        <v>480</v>
      </c>
      <c r="E4">
        <v>41</v>
      </c>
      <c r="F4" t="s">
        <v>22</v>
      </c>
      <c r="G4">
        <v>681</v>
      </c>
      <c r="H4">
        <v>20</v>
      </c>
      <c r="I4" t="str">
        <f t="shared" si="0"/>
        <v>2024-01</v>
      </c>
    </row>
    <row r="5" spans="1:9" ht="15" customHeight="1" x14ac:dyDescent="0.25">
      <c r="A5">
        <v>4</v>
      </c>
      <c r="B5">
        <v>1</v>
      </c>
      <c r="C5" t="s">
        <v>26</v>
      </c>
      <c r="D5">
        <v>480</v>
      </c>
      <c r="E5">
        <v>157</v>
      </c>
      <c r="F5" t="s">
        <v>27</v>
      </c>
      <c r="G5">
        <v>514</v>
      </c>
      <c r="H5">
        <v>21</v>
      </c>
      <c r="I5" t="str">
        <f t="shared" si="0"/>
        <v>2024-01</v>
      </c>
    </row>
    <row r="6" spans="1:9" ht="15" customHeight="1" x14ac:dyDescent="0.25">
      <c r="A6">
        <v>5</v>
      </c>
      <c r="B6">
        <v>1</v>
      </c>
      <c r="C6" t="s">
        <v>28</v>
      </c>
      <c r="D6">
        <v>480</v>
      </c>
      <c r="E6">
        <v>9</v>
      </c>
      <c r="F6" t="s">
        <v>29</v>
      </c>
      <c r="G6">
        <v>654</v>
      </c>
      <c r="H6">
        <v>30</v>
      </c>
      <c r="I6" t="str">
        <f t="shared" si="0"/>
        <v>2024-01</v>
      </c>
    </row>
    <row r="7" spans="1:9" ht="15" customHeight="1" x14ac:dyDescent="0.25">
      <c r="A7">
        <v>6</v>
      </c>
      <c r="B7">
        <v>1</v>
      </c>
      <c r="C7" t="s">
        <v>30</v>
      </c>
      <c r="D7">
        <v>480</v>
      </c>
      <c r="E7">
        <v>33</v>
      </c>
      <c r="F7" t="s">
        <v>27</v>
      </c>
      <c r="G7">
        <v>655</v>
      </c>
      <c r="H7">
        <v>29</v>
      </c>
      <c r="I7" t="str">
        <f t="shared" si="0"/>
        <v>2024-01</v>
      </c>
    </row>
    <row r="8" spans="1:9" ht="15" customHeight="1" x14ac:dyDescent="0.25">
      <c r="A8">
        <v>7</v>
      </c>
      <c r="B8">
        <v>1</v>
      </c>
      <c r="C8" t="s">
        <v>31</v>
      </c>
      <c r="D8">
        <v>480</v>
      </c>
      <c r="E8">
        <v>42</v>
      </c>
      <c r="F8" t="s">
        <v>29</v>
      </c>
      <c r="G8">
        <v>602</v>
      </c>
      <c r="H8">
        <v>27</v>
      </c>
      <c r="I8" t="str">
        <f t="shared" si="0"/>
        <v>2024-01</v>
      </c>
    </row>
    <row r="9" spans="1:9" ht="15" customHeight="1" x14ac:dyDescent="0.25">
      <c r="A9">
        <v>8</v>
      </c>
      <c r="B9">
        <v>1</v>
      </c>
      <c r="C9" t="s">
        <v>32</v>
      </c>
      <c r="D9">
        <v>480</v>
      </c>
      <c r="E9">
        <v>20</v>
      </c>
      <c r="F9" t="s">
        <v>33</v>
      </c>
      <c r="G9">
        <v>678</v>
      </c>
      <c r="H9">
        <v>50</v>
      </c>
      <c r="I9" t="str">
        <f t="shared" si="0"/>
        <v>2024-01</v>
      </c>
    </row>
    <row r="10" spans="1:9" ht="15" customHeight="1" x14ac:dyDescent="0.25">
      <c r="A10">
        <v>9</v>
      </c>
      <c r="B10">
        <v>1</v>
      </c>
      <c r="C10" t="s">
        <v>34</v>
      </c>
      <c r="D10">
        <v>480</v>
      </c>
      <c r="E10">
        <v>10</v>
      </c>
      <c r="F10" t="s">
        <v>29</v>
      </c>
      <c r="G10">
        <v>701</v>
      </c>
      <c r="H10">
        <v>44</v>
      </c>
      <c r="I10" t="str">
        <f t="shared" si="0"/>
        <v>2024-01</v>
      </c>
    </row>
    <row r="11" spans="1:9" ht="15" customHeight="1" x14ac:dyDescent="0.25">
      <c r="A11">
        <v>10</v>
      </c>
      <c r="B11">
        <v>1</v>
      </c>
      <c r="C11" t="s">
        <v>35</v>
      </c>
      <c r="D11">
        <v>480</v>
      </c>
      <c r="E11">
        <v>2</v>
      </c>
      <c r="F11" t="s">
        <v>24</v>
      </c>
      <c r="G11">
        <v>727</v>
      </c>
      <c r="H11">
        <v>28</v>
      </c>
      <c r="I11" t="str">
        <f t="shared" si="0"/>
        <v>2024-01</v>
      </c>
    </row>
    <row r="12" spans="1:9" ht="15" customHeight="1" x14ac:dyDescent="0.25">
      <c r="A12">
        <v>11</v>
      </c>
      <c r="B12">
        <v>1</v>
      </c>
      <c r="C12" t="s">
        <v>36</v>
      </c>
      <c r="D12">
        <v>480</v>
      </c>
      <c r="E12">
        <v>3</v>
      </c>
      <c r="F12" t="s">
        <v>27</v>
      </c>
      <c r="G12">
        <v>777</v>
      </c>
      <c r="H12">
        <v>65</v>
      </c>
      <c r="I12" t="str">
        <f t="shared" si="0"/>
        <v>2024-01</v>
      </c>
    </row>
    <row r="13" spans="1:9" ht="15" customHeight="1" x14ac:dyDescent="0.25">
      <c r="A13">
        <v>12</v>
      </c>
      <c r="B13">
        <v>1</v>
      </c>
      <c r="C13" t="s">
        <v>37</v>
      </c>
      <c r="D13">
        <v>480</v>
      </c>
      <c r="E13">
        <v>74</v>
      </c>
      <c r="F13" t="s">
        <v>24</v>
      </c>
      <c r="G13">
        <v>579</v>
      </c>
      <c r="H13">
        <v>19</v>
      </c>
      <c r="I13" t="str">
        <f t="shared" si="0"/>
        <v>2024-01</v>
      </c>
    </row>
    <row r="14" spans="1:9" ht="15" customHeight="1" x14ac:dyDescent="0.25">
      <c r="A14">
        <v>13</v>
      </c>
      <c r="B14">
        <v>1</v>
      </c>
      <c r="C14" t="s">
        <v>38</v>
      </c>
      <c r="D14">
        <v>480</v>
      </c>
      <c r="E14">
        <v>51</v>
      </c>
      <c r="F14" t="s">
        <v>27</v>
      </c>
      <c r="G14">
        <v>630</v>
      </c>
      <c r="H14">
        <v>22</v>
      </c>
      <c r="I14" t="str">
        <f t="shared" si="0"/>
        <v>2024-01</v>
      </c>
    </row>
    <row r="15" spans="1:9" ht="15" customHeight="1" x14ac:dyDescent="0.25">
      <c r="A15">
        <v>14</v>
      </c>
      <c r="B15">
        <v>1</v>
      </c>
      <c r="C15" t="s">
        <v>39</v>
      </c>
      <c r="D15">
        <v>480</v>
      </c>
      <c r="E15">
        <v>30</v>
      </c>
      <c r="F15" t="s">
        <v>24</v>
      </c>
      <c r="G15">
        <v>604</v>
      </c>
      <c r="H15">
        <v>48</v>
      </c>
      <c r="I15" t="str">
        <f t="shared" si="0"/>
        <v>2024-01</v>
      </c>
    </row>
    <row r="16" spans="1:9" ht="15" customHeight="1" x14ac:dyDescent="0.25">
      <c r="A16">
        <v>15</v>
      </c>
      <c r="B16">
        <v>1</v>
      </c>
      <c r="C16" t="s">
        <v>40</v>
      </c>
      <c r="D16">
        <v>480</v>
      </c>
      <c r="E16">
        <v>13</v>
      </c>
      <c r="F16" t="s">
        <v>22</v>
      </c>
      <c r="G16">
        <v>718</v>
      </c>
      <c r="H16">
        <v>33</v>
      </c>
      <c r="I16" t="str">
        <f t="shared" si="0"/>
        <v>2024-01</v>
      </c>
    </row>
    <row r="17" spans="1:9" ht="15" customHeight="1" x14ac:dyDescent="0.25">
      <c r="A17">
        <v>16</v>
      </c>
      <c r="B17">
        <v>1</v>
      </c>
      <c r="C17" t="s">
        <v>41</v>
      </c>
      <c r="D17">
        <v>480</v>
      </c>
      <c r="E17">
        <v>33</v>
      </c>
      <c r="F17" t="s">
        <v>27</v>
      </c>
      <c r="G17">
        <v>671</v>
      </c>
      <c r="H17">
        <v>26</v>
      </c>
      <c r="I17" t="str">
        <f t="shared" si="0"/>
        <v>2024-01</v>
      </c>
    </row>
    <row r="18" spans="1:9" ht="15" customHeight="1" x14ac:dyDescent="0.25">
      <c r="A18">
        <v>17</v>
      </c>
      <c r="B18">
        <v>1</v>
      </c>
      <c r="C18" t="s">
        <v>42</v>
      </c>
      <c r="D18">
        <v>480</v>
      </c>
      <c r="E18">
        <v>157</v>
      </c>
      <c r="F18" t="s">
        <v>33</v>
      </c>
      <c r="G18">
        <v>508</v>
      </c>
      <c r="H18">
        <v>42</v>
      </c>
      <c r="I18" t="str">
        <f t="shared" si="0"/>
        <v>2024-01</v>
      </c>
    </row>
    <row r="19" spans="1:9" ht="15" customHeight="1" x14ac:dyDescent="0.25">
      <c r="A19">
        <v>18</v>
      </c>
      <c r="B19">
        <v>1</v>
      </c>
      <c r="C19" t="s">
        <v>43</v>
      </c>
      <c r="D19">
        <v>480</v>
      </c>
      <c r="E19">
        <v>101</v>
      </c>
      <c r="F19" t="s">
        <v>29</v>
      </c>
      <c r="G19">
        <v>575</v>
      </c>
      <c r="H19">
        <v>47</v>
      </c>
      <c r="I19" t="str">
        <f t="shared" si="0"/>
        <v>2024-01</v>
      </c>
    </row>
    <row r="20" spans="1:9" ht="15" customHeight="1" x14ac:dyDescent="0.25">
      <c r="A20">
        <v>19</v>
      </c>
      <c r="B20">
        <v>1</v>
      </c>
      <c r="C20" t="s">
        <v>44</v>
      </c>
      <c r="D20">
        <v>480</v>
      </c>
      <c r="E20">
        <v>4</v>
      </c>
      <c r="F20" t="s">
        <v>45</v>
      </c>
      <c r="G20">
        <v>663</v>
      </c>
      <c r="H20">
        <v>20</v>
      </c>
      <c r="I20" t="str">
        <f t="shared" si="0"/>
        <v>2024-01</v>
      </c>
    </row>
    <row r="21" spans="1:9" ht="15" customHeight="1" x14ac:dyDescent="0.25">
      <c r="A21">
        <v>20</v>
      </c>
      <c r="B21">
        <v>1</v>
      </c>
      <c r="C21" t="s">
        <v>46</v>
      </c>
      <c r="D21">
        <v>480</v>
      </c>
      <c r="E21">
        <v>17</v>
      </c>
      <c r="F21" t="s">
        <v>22</v>
      </c>
      <c r="G21">
        <v>672</v>
      </c>
      <c r="H21">
        <v>29</v>
      </c>
      <c r="I21" t="str">
        <f t="shared" si="0"/>
        <v>2024-01</v>
      </c>
    </row>
    <row r="22" spans="1:9" ht="15" customHeight="1" x14ac:dyDescent="0.25">
      <c r="A22">
        <v>21</v>
      </c>
      <c r="B22">
        <v>1</v>
      </c>
      <c r="C22" t="s">
        <v>47</v>
      </c>
      <c r="D22">
        <v>480</v>
      </c>
      <c r="E22">
        <v>79</v>
      </c>
      <c r="F22" t="s">
        <v>45</v>
      </c>
      <c r="G22">
        <v>578</v>
      </c>
      <c r="H22">
        <v>25</v>
      </c>
      <c r="I22" t="str">
        <f t="shared" si="0"/>
        <v>2024-01</v>
      </c>
    </row>
    <row r="23" spans="1:9" ht="15" customHeight="1" x14ac:dyDescent="0.25">
      <c r="A23">
        <v>22</v>
      </c>
      <c r="B23">
        <v>1</v>
      </c>
      <c r="C23" t="s">
        <v>48</v>
      </c>
      <c r="D23">
        <v>480</v>
      </c>
      <c r="E23">
        <v>35</v>
      </c>
      <c r="F23" t="s">
        <v>45</v>
      </c>
      <c r="G23">
        <v>612</v>
      </c>
      <c r="H23">
        <v>45</v>
      </c>
      <c r="I23" t="str">
        <f t="shared" si="0"/>
        <v>2024-01</v>
      </c>
    </row>
    <row r="24" spans="1:9" ht="15" customHeight="1" x14ac:dyDescent="0.25">
      <c r="A24">
        <v>23</v>
      </c>
      <c r="B24">
        <v>1</v>
      </c>
      <c r="C24" t="s">
        <v>49</v>
      </c>
      <c r="D24">
        <v>480</v>
      </c>
      <c r="E24">
        <v>3</v>
      </c>
      <c r="F24" t="s">
        <v>24</v>
      </c>
      <c r="G24">
        <v>782</v>
      </c>
      <c r="H24">
        <v>57</v>
      </c>
      <c r="I24" t="str">
        <f t="shared" si="0"/>
        <v>2024-01</v>
      </c>
    </row>
    <row r="25" spans="1:9" ht="15" customHeight="1" x14ac:dyDescent="0.25">
      <c r="A25">
        <v>24</v>
      </c>
      <c r="B25">
        <v>1</v>
      </c>
      <c r="C25" t="s">
        <v>50</v>
      </c>
      <c r="D25">
        <v>480</v>
      </c>
      <c r="E25">
        <v>9</v>
      </c>
      <c r="F25" t="s">
        <v>45</v>
      </c>
      <c r="G25">
        <v>628</v>
      </c>
      <c r="H25">
        <v>47</v>
      </c>
      <c r="I25" t="str">
        <f t="shared" si="0"/>
        <v>2024-01</v>
      </c>
    </row>
    <row r="26" spans="1:9" ht="15" customHeight="1" x14ac:dyDescent="0.25">
      <c r="A26">
        <v>25</v>
      </c>
      <c r="B26">
        <v>1</v>
      </c>
      <c r="C26" t="s">
        <v>51</v>
      </c>
      <c r="D26">
        <v>480</v>
      </c>
      <c r="E26">
        <v>55</v>
      </c>
      <c r="F26" t="s">
        <v>22</v>
      </c>
      <c r="G26">
        <v>663</v>
      </c>
      <c r="H26">
        <v>48</v>
      </c>
      <c r="I26" t="str">
        <f t="shared" si="0"/>
        <v>2024-01</v>
      </c>
    </row>
    <row r="27" spans="1:9" ht="15" customHeight="1" x14ac:dyDescent="0.25">
      <c r="A27">
        <v>26</v>
      </c>
      <c r="B27">
        <v>1</v>
      </c>
      <c r="C27" t="s">
        <v>52</v>
      </c>
      <c r="D27">
        <v>480</v>
      </c>
      <c r="E27">
        <v>3</v>
      </c>
      <c r="F27" t="s">
        <v>22</v>
      </c>
      <c r="G27">
        <v>688</v>
      </c>
      <c r="H27">
        <v>24</v>
      </c>
      <c r="I27" t="str">
        <f t="shared" si="0"/>
        <v>2024-01</v>
      </c>
    </row>
    <row r="28" spans="1:9" ht="15" customHeight="1" x14ac:dyDescent="0.25">
      <c r="A28">
        <v>27</v>
      </c>
      <c r="B28">
        <v>1</v>
      </c>
      <c r="C28" t="s">
        <v>53</v>
      </c>
      <c r="D28">
        <v>480</v>
      </c>
      <c r="E28">
        <v>89</v>
      </c>
      <c r="F28" t="s">
        <v>29</v>
      </c>
      <c r="G28">
        <v>597</v>
      </c>
      <c r="H28">
        <v>28</v>
      </c>
      <c r="I28" t="str">
        <f t="shared" si="0"/>
        <v>2024-01</v>
      </c>
    </row>
    <row r="29" spans="1:9" ht="15" customHeight="1" x14ac:dyDescent="0.25">
      <c r="A29">
        <v>28</v>
      </c>
      <c r="B29">
        <v>1</v>
      </c>
      <c r="C29" t="s">
        <v>54</v>
      </c>
      <c r="D29">
        <v>480</v>
      </c>
      <c r="E29">
        <v>2</v>
      </c>
      <c r="F29" t="s">
        <v>29</v>
      </c>
      <c r="G29">
        <v>683</v>
      </c>
      <c r="H29">
        <v>32</v>
      </c>
      <c r="I29" t="str">
        <f t="shared" si="0"/>
        <v>2024-01</v>
      </c>
    </row>
    <row r="30" spans="1:9" ht="15" customHeight="1" x14ac:dyDescent="0.25">
      <c r="A30">
        <v>29</v>
      </c>
      <c r="B30">
        <v>1</v>
      </c>
      <c r="C30" t="s">
        <v>55</v>
      </c>
      <c r="D30">
        <v>480</v>
      </c>
      <c r="E30">
        <v>58</v>
      </c>
      <c r="F30" t="s">
        <v>27</v>
      </c>
      <c r="G30">
        <v>646</v>
      </c>
      <c r="H30">
        <v>51</v>
      </c>
      <c r="I30" t="str">
        <f t="shared" si="0"/>
        <v>2024-01</v>
      </c>
    </row>
    <row r="31" spans="1:9" ht="15" customHeight="1" x14ac:dyDescent="0.25">
      <c r="A31">
        <v>30</v>
      </c>
      <c r="B31">
        <v>1</v>
      </c>
      <c r="C31" t="s">
        <v>56</v>
      </c>
      <c r="D31">
        <v>480</v>
      </c>
      <c r="E31">
        <v>28</v>
      </c>
      <c r="F31" t="s">
        <v>22</v>
      </c>
      <c r="G31">
        <v>618</v>
      </c>
      <c r="H31">
        <v>43</v>
      </c>
      <c r="I31" t="str">
        <f t="shared" si="0"/>
        <v>2024-01</v>
      </c>
    </row>
    <row r="32" spans="1:9" ht="15" customHeight="1" x14ac:dyDescent="0.25">
      <c r="A32">
        <v>31</v>
      </c>
      <c r="B32">
        <v>1</v>
      </c>
      <c r="C32" t="s">
        <v>57</v>
      </c>
      <c r="D32">
        <v>480</v>
      </c>
      <c r="E32">
        <v>64</v>
      </c>
      <c r="F32" t="s">
        <v>22</v>
      </c>
      <c r="G32">
        <v>627</v>
      </c>
      <c r="H32">
        <v>45</v>
      </c>
      <c r="I32" t="str">
        <f t="shared" si="0"/>
        <v>2024-01</v>
      </c>
    </row>
    <row r="33" spans="1:9" ht="15" customHeight="1" x14ac:dyDescent="0.25">
      <c r="A33">
        <v>32</v>
      </c>
      <c r="B33">
        <v>1</v>
      </c>
      <c r="C33" t="s">
        <v>58</v>
      </c>
      <c r="D33">
        <v>480</v>
      </c>
      <c r="E33">
        <v>30</v>
      </c>
      <c r="F33" t="s">
        <v>27</v>
      </c>
      <c r="G33">
        <v>672</v>
      </c>
      <c r="H33">
        <v>35</v>
      </c>
      <c r="I33" t="str">
        <f t="shared" si="0"/>
        <v>2024-02</v>
      </c>
    </row>
    <row r="34" spans="1:9" ht="15" customHeight="1" x14ac:dyDescent="0.25">
      <c r="A34">
        <v>33</v>
      </c>
      <c r="B34">
        <v>1</v>
      </c>
      <c r="C34" t="s">
        <v>59</v>
      </c>
      <c r="D34">
        <v>480</v>
      </c>
      <c r="E34">
        <v>1</v>
      </c>
      <c r="F34" t="s">
        <v>29</v>
      </c>
      <c r="G34">
        <v>654</v>
      </c>
      <c r="H34">
        <v>19</v>
      </c>
      <c r="I34" t="str">
        <f t="shared" si="0"/>
        <v>2024-02</v>
      </c>
    </row>
    <row r="35" spans="1:9" ht="15" customHeight="1" x14ac:dyDescent="0.25">
      <c r="A35">
        <v>34</v>
      </c>
      <c r="B35">
        <v>1</v>
      </c>
      <c r="C35" t="s">
        <v>60</v>
      </c>
      <c r="D35">
        <v>480</v>
      </c>
      <c r="E35">
        <v>45</v>
      </c>
      <c r="F35" t="s">
        <v>27</v>
      </c>
      <c r="G35">
        <v>622</v>
      </c>
      <c r="H35">
        <v>36</v>
      </c>
      <c r="I35" t="str">
        <f t="shared" si="0"/>
        <v>2024-02</v>
      </c>
    </row>
    <row r="36" spans="1:9" ht="15" customHeight="1" x14ac:dyDescent="0.25">
      <c r="A36">
        <v>35</v>
      </c>
      <c r="B36">
        <v>1</v>
      </c>
      <c r="C36" t="s">
        <v>61</v>
      </c>
      <c r="D36">
        <v>480</v>
      </c>
      <c r="E36">
        <v>107</v>
      </c>
      <c r="F36" t="s">
        <v>22</v>
      </c>
      <c r="G36">
        <v>525</v>
      </c>
      <c r="H36">
        <v>27</v>
      </c>
      <c r="I36" t="str">
        <f t="shared" si="0"/>
        <v>2024-02</v>
      </c>
    </row>
    <row r="37" spans="1:9" ht="15" customHeight="1" x14ac:dyDescent="0.25">
      <c r="A37">
        <v>36</v>
      </c>
      <c r="B37">
        <v>1</v>
      </c>
      <c r="C37" t="s">
        <v>62</v>
      </c>
      <c r="D37">
        <v>480</v>
      </c>
      <c r="E37">
        <v>63</v>
      </c>
      <c r="F37" t="s">
        <v>22</v>
      </c>
      <c r="G37">
        <v>585</v>
      </c>
      <c r="H37">
        <v>19</v>
      </c>
      <c r="I37" t="str">
        <f t="shared" si="0"/>
        <v>2024-02</v>
      </c>
    </row>
    <row r="38" spans="1:9" ht="15" customHeight="1" x14ac:dyDescent="0.25">
      <c r="A38">
        <v>37</v>
      </c>
      <c r="B38">
        <v>1</v>
      </c>
      <c r="C38" t="s">
        <v>63</v>
      </c>
      <c r="D38">
        <v>480</v>
      </c>
      <c r="E38">
        <v>15</v>
      </c>
      <c r="F38" t="s">
        <v>24</v>
      </c>
      <c r="G38">
        <v>642</v>
      </c>
      <c r="H38">
        <v>52</v>
      </c>
      <c r="I38" t="str">
        <f t="shared" si="0"/>
        <v>2024-02</v>
      </c>
    </row>
    <row r="39" spans="1:9" ht="15" customHeight="1" x14ac:dyDescent="0.25">
      <c r="A39">
        <v>38</v>
      </c>
      <c r="B39">
        <v>1</v>
      </c>
      <c r="C39" t="s">
        <v>64</v>
      </c>
      <c r="D39">
        <v>480</v>
      </c>
      <c r="E39">
        <v>74</v>
      </c>
      <c r="F39" t="s">
        <v>29</v>
      </c>
      <c r="G39">
        <v>621</v>
      </c>
      <c r="H39">
        <v>49</v>
      </c>
      <c r="I39" t="str">
        <f t="shared" si="0"/>
        <v>2024-02</v>
      </c>
    </row>
    <row r="40" spans="1:9" ht="15" customHeight="1" x14ac:dyDescent="0.25">
      <c r="A40">
        <v>39</v>
      </c>
      <c r="B40">
        <v>1</v>
      </c>
      <c r="C40" t="s">
        <v>65</v>
      </c>
      <c r="D40">
        <v>480</v>
      </c>
      <c r="E40">
        <v>73</v>
      </c>
      <c r="F40" t="s">
        <v>22</v>
      </c>
      <c r="G40">
        <v>565</v>
      </c>
      <c r="H40">
        <v>45</v>
      </c>
      <c r="I40" t="str">
        <f t="shared" si="0"/>
        <v>2024-02</v>
      </c>
    </row>
    <row r="41" spans="1:9" ht="15" customHeight="1" x14ac:dyDescent="0.25">
      <c r="A41">
        <v>40</v>
      </c>
      <c r="B41">
        <v>1</v>
      </c>
      <c r="C41" t="s">
        <v>66</v>
      </c>
      <c r="D41">
        <v>480</v>
      </c>
      <c r="E41">
        <v>34</v>
      </c>
      <c r="F41" t="s">
        <v>27</v>
      </c>
      <c r="G41">
        <v>706</v>
      </c>
      <c r="H41">
        <v>56</v>
      </c>
      <c r="I41" t="str">
        <f t="shared" si="0"/>
        <v>2024-02</v>
      </c>
    </row>
    <row r="42" spans="1:9" ht="15" customHeight="1" x14ac:dyDescent="0.25">
      <c r="A42">
        <v>41</v>
      </c>
      <c r="B42">
        <v>1</v>
      </c>
      <c r="C42" t="s">
        <v>67</v>
      </c>
      <c r="D42">
        <v>480</v>
      </c>
      <c r="E42">
        <v>17</v>
      </c>
      <c r="F42" t="s">
        <v>27</v>
      </c>
      <c r="G42">
        <v>632</v>
      </c>
      <c r="H42">
        <v>26</v>
      </c>
      <c r="I42" t="str">
        <f t="shared" si="0"/>
        <v>2024-02</v>
      </c>
    </row>
    <row r="43" spans="1:9" ht="15" customHeight="1" x14ac:dyDescent="0.25">
      <c r="A43">
        <v>42</v>
      </c>
      <c r="B43">
        <v>1</v>
      </c>
      <c r="C43" t="s">
        <v>68</v>
      </c>
      <c r="D43">
        <v>480</v>
      </c>
      <c r="E43">
        <v>25</v>
      </c>
      <c r="F43" t="s">
        <v>27</v>
      </c>
      <c r="G43">
        <v>722</v>
      </c>
      <c r="H43">
        <v>56</v>
      </c>
      <c r="I43" t="str">
        <f t="shared" si="0"/>
        <v>2024-02</v>
      </c>
    </row>
    <row r="44" spans="1:9" ht="15" customHeight="1" x14ac:dyDescent="0.25">
      <c r="A44">
        <v>43</v>
      </c>
      <c r="B44">
        <v>1</v>
      </c>
      <c r="C44" t="s">
        <v>69</v>
      </c>
      <c r="D44">
        <v>480</v>
      </c>
      <c r="E44">
        <v>0</v>
      </c>
      <c r="F44" t="s">
        <v>33</v>
      </c>
      <c r="G44">
        <v>716</v>
      </c>
      <c r="H44">
        <v>37</v>
      </c>
      <c r="I44" t="str">
        <f t="shared" si="0"/>
        <v>2024-02</v>
      </c>
    </row>
    <row r="45" spans="1:9" ht="15" customHeight="1" x14ac:dyDescent="0.25">
      <c r="A45">
        <v>44</v>
      </c>
      <c r="B45">
        <v>1</v>
      </c>
      <c r="C45" t="s">
        <v>70</v>
      </c>
      <c r="D45">
        <v>480</v>
      </c>
      <c r="E45">
        <v>11</v>
      </c>
      <c r="F45" t="s">
        <v>24</v>
      </c>
      <c r="G45">
        <v>642</v>
      </c>
      <c r="H45">
        <v>30</v>
      </c>
      <c r="I45" t="str">
        <f t="shared" si="0"/>
        <v>2024-02</v>
      </c>
    </row>
    <row r="46" spans="1:9" ht="15" customHeight="1" x14ac:dyDescent="0.25">
      <c r="A46">
        <v>45</v>
      </c>
      <c r="B46">
        <v>1</v>
      </c>
      <c r="C46" t="s">
        <v>71</v>
      </c>
      <c r="D46">
        <v>480</v>
      </c>
      <c r="E46">
        <v>128</v>
      </c>
      <c r="F46" t="s">
        <v>24</v>
      </c>
      <c r="G46">
        <v>504</v>
      </c>
      <c r="H46">
        <v>29</v>
      </c>
      <c r="I46" t="str">
        <f t="shared" si="0"/>
        <v>2024-02</v>
      </c>
    </row>
    <row r="47" spans="1:9" ht="15" customHeight="1" x14ac:dyDescent="0.25">
      <c r="A47">
        <v>46</v>
      </c>
      <c r="B47">
        <v>1</v>
      </c>
      <c r="C47" t="s">
        <v>72</v>
      </c>
      <c r="D47">
        <v>480</v>
      </c>
      <c r="E47">
        <v>54</v>
      </c>
      <c r="F47" t="s">
        <v>27</v>
      </c>
      <c r="G47">
        <v>615</v>
      </c>
      <c r="H47">
        <v>52</v>
      </c>
      <c r="I47" t="str">
        <f t="shared" si="0"/>
        <v>2024-02</v>
      </c>
    </row>
    <row r="48" spans="1:9" ht="15" customHeight="1" x14ac:dyDescent="0.25">
      <c r="A48">
        <v>47</v>
      </c>
      <c r="B48">
        <v>1</v>
      </c>
      <c r="C48" t="s">
        <v>73</v>
      </c>
      <c r="D48">
        <v>480</v>
      </c>
      <c r="E48">
        <v>147</v>
      </c>
      <c r="F48" t="s">
        <v>27</v>
      </c>
      <c r="G48">
        <v>469</v>
      </c>
      <c r="H48">
        <v>26</v>
      </c>
      <c r="I48" t="str">
        <f t="shared" si="0"/>
        <v>2024-02</v>
      </c>
    </row>
    <row r="49" spans="1:9" ht="15" customHeight="1" x14ac:dyDescent="0.25">
      <c r="A49">
        <v>48</v>
      </c>
      <c r="B49">
        <v>1</v>
      </c>
      <c r="C49" t="s">
        <v>74</v>
      </c>
      <c r="D49">
        <v>480</v>
      </c>
      <c r="E49">
        <v>16</v>
      </c>
      <c r="F49" t="s">
        <v>45</v>
      </c>
      <c r="G49">
        <v>659</v>
      </c>
      <c r="H49">
        <v>20</v>
      </c>
      <c r="I49" t="str">
        <f t="shared" si="0"/>
        <v>2024-02</v>
      </c>
    </row>
    <row r="50" spans="1:9" ht="15" customHeight="1" x14ac:dyDescent="0.25">
      <c r="A50">
        <v>49</v>
      </c>
      <c r="B50">
        <v>1</v>
      </c>
      <c r="C50" t="s">
        <v>75</v>
      </c>
      <c r="D50">
        <v>480</v>
      </c>
      <c r="E50">
        <v>42</v>
      </c>
      <c r="F50" t="s">
        <v>24</v>
      </c>
      <c r="G50">
        <v>652</v>
      </c>
      <c r="H50">
        <v>20</v>
      </c>
      <c r="I50" t="str">
        <f t="shared" si="0"/>
        <v>2024-02</v>
      </c>
    </row>
    <row r="51" spans="1:9" ht="15" customHeight="1" x14ac:dyDescent="0.25">
      <c r="A51">
        <v>50</v>
      </c>
      <c r="B51">
        <v>1</v>
      </c>
      <c r="C51" t="s">
        <v>76</v>
      </c>
      <c r="D51">
        <v>480</v>
      </c>
      <c r="E51">
        <v>14</v>
      </c>
      <c r="F51" t="s">
        <v>29</v>
      </c>
      <c r="G51">
        <v>753</v>
      </c>
      <c r="H51">
        <v>32</v>
      </c>
      <c r="I51" t="str">
        <f t="shared" si="0"/>
        <v>2024-02</v>
      </c>
    </row>
    <row r="52" spans="1:9" ht="15" customHeight="1" x14ac:dyDescent="0.25">
      <c r="A52">
        <v>51</v>
      </c>
      <c r="B52">
        <v>1</v>
      </c>
      <c r="C52" t="s">
        <v>77</v>
      </c>
      <c r="D52">
        <v>480</v>
      </c>
      <c r="E52">
        <v>7</v>
      </c>
      <c r="F52" t="s">
        <v>22</v>
      </c>
      <c r="G52">
        <v>702</v>
      </c>
      <c r="H52">
        <v>60</v>
      </c>
      <c r="I52" t="str">
        <f t="shared" si="0"/>
        <v>2024-02</v>
      </c>
    </row>
    <row r="53" spans="1:9" ht="15" customHeight="1" x14ac:dyDescent="0.25">
      <c r="A53">
        <v>52</v>
      </c>
      <c r="B53">
        <v>1</v>
      </c>
      <c r="C53" t="s">
        <v>78</v>
      </c>
      <c r="D53">
        <v>480</v>
      </c>
      <c r="E53">
        <v>12</v>
      </c>
      <c r="F53" t="s">
        <v>27</v>
      </c>
      <c r="G53">
        <v>721</v>
      </c>
      <c r="H53">
        <v>52</v>
      </c>
      <c r="I53" t="str">
        <f t="shared" si="0"/>
        <v>2024-02</v>
      </c>
    </row>
    <row r="54" spans="1:9" ht="15" customHeight="1" x14ac:dyDescent="0.25">
      <c r="A54">
        <v>53</v>
      </c>
      <c r="B54">
        <v>1</v>
      </c>
      <c r="C54" t="s">
        <v>79</v>
      </c>
      <c r="D54">
        <v>480</v>
      </c>
      <c r="E54">
        <v>12</v>
      </c>
      <c r="F54" t="s">
        <v>24</v>
      </c>
      <c r="G54">
        <v>730</v>
      </c>
      <c r="H54">
        <v>36</v>
      </c>
      <c r="I54" t="str">
        <f t="shared" si="0"/>
        <v>2024-02</v>
      </c>
    </row>
    <row r="55" spans="1:9" ht="15" customHeight="1" x14ac:dyDescent="0.25">
      <c r="A55">
        <v>54</v>
      </c>
      <c r="B55">
        <v>1</v>
      </c>
      <c r="C55" t="s">
        <v>80</v>
      </c>
      <c r="D55">
        <v>480</v>
      </c>
      <c r="E55">
        <v>44</v>
      </c>
      <c r="F55" t="s">
        <v>27</v>
      </c>
      <c r="G55">
        <v>667</v>
      </c>
      <c r="H55">
        <v>39</v>
      </c>
      <c r="I55" t="str">
        <f t="shared" si="0"/>
        <v>2024-02</v>
      </c>
    </row>
    <row r="56" spans="1:9" ht="15" customHeight="1" x14ac:dyDescent="0.25">
      <c r="A56">
        <v>55</v>
      </c>
      <c r="B56">
        <v>1</v>
      </c>
      <c r="C56" t="s">
        <v>81</v>
      </c>
      <c r="D56">
        <v>480</v>
      </c>
      <c r="E56">
        <v>4</v>
      </c>
      <c r="F56" t="s">
        <v>45</v>
      </c>
      <c r="G56">
        <v>758</v>
      </c>
      <c r="H56">
        <v>35</v>
      </c>
      <c r="I56" t="str">
        <f t="shared" si="0"/>
        <v>2024-02</v>
      </c>
    </row>
    <row r="57" spans="1:9" ht="15" customHeight="1" x14ac:dyDescent="0.25">
      <c r="A57">
        <v>56</v>
      </c>
      <c r="B57">
        <v>1</v>
      </c>
      <c r="C57" t="s">
        <v>82</v>
      </c>
      <c r="D57">
        <v>480</v>
      </c>
      <c r="E57">
        <v>9</v>
      </c>
      <c r="F57" t="s">
        <v>22</v>
      </c>
      <c r="G57">
        <v>633</v>
      </c>
      <c r="H57">
        <v>39</v>
      </c>
      <c r="I57" t="str">
        <f t="shared" si="0"/>
        <v>2024-02</v>
      </c>
    </row>
    <row r="58" spans="1:9" ht="15" customHeight="1" x14ac:dyDescent="0.25">
      <c r="A58">
        <v>57</v>
      </c>
      <c r="B58">
        <v>1</v>
      </c>
      <c r="C58" t="s">
        <v>83</v>
      </c>
      <c r="D58">
        <v>480</v>
      </c>
      <c r="E58">
        <v>50</v>
      </c>
      <c r="F58" t="s">
        <v>24</v>
      </c>
      <c r="G58">
        <v>574</v>
      </c>
      <c r="H58">
        <v>33</v>
      </c>
      <c r="I58" t="str">
        <f t="shared" si="0"/>
        <v>2024-02</v>
      </c>
    </row>
    <row r="59" spans="1:9" ht="15" customHeight="1" x14ac:dyDescent="0.25">
      <c r="A59">
        <v>58</v>
      </c>
      <c r="B59">
        <v>1</v>
      </c>
      <c r="C59" t="s">
        <v>84</v>
      </c>
      <c r="D59">
        <v>480</v>
      </c>
      <c r="E59">
        <v>11</v>
      </c>
      <c r="F59" t="s">
        <v>33</v>
      </c>
      <c r="G59">
        <v>719</v>
      </c>
      <c r="H59">
        <v>27</v>
      </c>
      <c r="I59" t="str">
        <f t="shared" si="0"/>
        <v>2024-02</v>
      </c>
    </row>
    <row r="60" spans="1:9" ht="15" customHeight="1" x14ac:dyDescent="0.25">
      <c r="A60">
        <v>59</v>
      </c>
      <c r="B60">
        <v>1</v>
      </c>
      <c r="C60" t="s">
        <v>85</v>
      </c>
      <c r="D60">
        <v>480</v>
      </c>
      <c r="E60">
        <v>52</v>
      </c>
      <c r="F60" t="s">
        <v>22</v>
      </c>
      <c r="G60">
        <v>621</v>
      </c>
      <c r="H60">
        <v>51</v>
      </c>
      <c r="I60" t="str">
        <f t="shared" si="0"/>
        <v>2024-02</v>
      </c>
    </row>
    <row r="61" spans="1:9" ht="15" customHeight="1" x14ac:dyDescent="0.25">
      <c r="A61">
        <v>60</v>
      </c>
      <c r="B61">
        <v>1</v>
      </c>
      <c r="C61" t="s">
        <v>86</v>
      </c>
      <c r="D61">
        <v>480</v>
      </c>
      <c r="E61">
        <v>6</v>
      </c>
      <c r="F61" t="s">
        <v>33</v>
      </c>
      <c r="G61">
        <v>681</v>
      </c>
      <c r="H61">
        <v>24</v>
      </c>
      <c r="I61" t="str">
        <f t="shared" si="0"/>
        <v>2024-02</v>
      </c>
    </row>
    <row r="62" spans="1:9" ht="15" customHeight="1" x14ac:dyDescent="0.25">
      <c r="A62">
        <v>61</v>
      </c>
      <c r="B62">
        <v>1</v>
      </c>
      <c r="C62" t="s">
        <v>87</v>
      </c>
      <c r="D62">
        <v>480</v>
      </c>
      <c r="E62">
        <v>116</v>
      </c>
      <c r="F62" t="s">
        <v>45</v>
      </c>
      <c r="G62">
        <v>584</v>
      </c>
      <c r="H62">
        <v>25</v>
      </c>
      <c r="I62" t="str">
        <f t="shared" si="0"/>
        <v>2024-03</v>
      </c>
    </row>
    <row r="63" spans="1:9" ht="15" customHeight="1" x14ac:dyDescent="0.25">
      <c r="A63">
        <v>62</v>
      </c>
      <c r="B63">
        <v>1</v>
      </c>
      <c r="C63" t="s">
        <v>88</v>
      </c>
      <c r="D63">
        <v>480</v>
      </c>
      <c r="E63">
        <v>48</v>
      </c>
      <c r="F63" t="s">
        <v>33</v>
      </c>
      <c r="G63">
        <v>685</v>
      </c>
      <c r="H63">
        <v>41</v>
      </c>
      <c r="I63" t="str">
        <f t="shared" si="0"/>
        <v>2024-03</v>
      </c>
    </row>
    <row r="64" spans="1:9" ht="15" customHeight="1" x14ac:dyDescent="0.25">
      <c r="A64">
        <v>63</v>
      </c>
      <c r="B64">
        <v>1</v>
      </c>
      <c r="C64" t="s">
        <v>89</v>
      </c>
      <c r="D64">
        <v>480</v>
      </c>
      <c r="E64">
        <v>33</v>
      </c>
      <c r="F64" t="s">
        <v>22</v>
      </c>
      <c r="G64">
        <v>629</v>
      </c>
      <c r="H64">
        <v>21</v>
      </c>
      <c r="I64" t="str">
        <f t="shared" si="0"/>
        <v>2024-03</v>
      </c>
    </row>
    <row r="65" spans="1:9" ht="15" customHeight="1" x14ac:dyDescent="0.25">
      <c r="A65">
        <v>64</v>
      </c>
      <c r="B65">
        <v>1</v>
      </c>
      <c r="C65" t="s">
        <v>90</v>
      </c>
      <c r="D65">
        <v>480</v>
      </c>
      <c r="E65">
        <v>102</v>
      </c>
      <c r="F65" t="s">
        <v>29</v>
      </c>
      <c r="G65">
        <v>610</v>
      </c>
      <c r="H65">
        <v>39</v>
      </c>
      <c r="I65" t="str">
        <f t="shared" si="0"/>
        <v>2024-03</v>
      </c>
    </row>
    <row r="66" spans="1:9" ht="15" customHeight="1" x14ac:dyDescent="0.25">
      <c r="A66">
        <v>65</v>
      </c>
      <c r="B66">
        <v>1</v>
      </c>
      <c r="C66" t="s">
        <v>91</v>
      </c>
      <c r="D66">
        <v>480</v>
      </c>
      <c r="E66">
        <v>18</v>
      </c>
      <c r="F66" t="s">
        <v>29</v>
      </c>
      <c r="G66">
        <v>665</v>
      </c>
      <c r="H66">
        <v>46</v>
      </c>
      <c r="I66" t="str">
        <f t="shared" ref="I66:I129" si="1">TEXT(C66,"yyyy-mm")</f>
        <v>2024-03</v>
      </c>
    </row>
    <row r="67" spans="1:9" ht="15" customHeight="1" x14ac:dyDescent="0.25">
      <c r="A67">
        <v>66</v>
      </c>
      <c r="B67">
        <v>1</v>
      </c>
      <c r="C67" t="s">
        <v>92</v>
      </c>
      <c r="D67">
        <v>480</v>
      </c>
      <c r="E67">
        <v>102</v>
      </c>
      <c r="F67" t="s">
        <v>27</v>
      </c>
      <c r="G67">
        <v>608</v>
      </c>
      <c r="H67">
        <v>44</v>
      </c>
      <c r="I67" t="str">
        <f t="shared" si="1"/>
        <v>2024-03</v>
      </c>
    </row>
    <row r="68" spans="1:9" ht="15" customHeight="1" x14ac:dyDescent="0.25">
      <c r="A68">
        <v>67</v>
      </c>
      <c r="B68">
        <v>1</v>
      </c>
      <c r="C68" t="s">
        <v>93</v>
      </c>
      <c r="D68">
        <v>480</v>
      </c>
      <c r="E68">
        <v>46</v>
      </c>
      <c r="F68" t="s">
        <v>27</v>
      </c>
      <c r="G68">
        <v>589</v>
      </c>
      <c r="H68">
        <v>22</v>
      </c>
      <c r="I68" t="str">
        <f t="shared" si="1"/>
        <v>2024-03</v>
      </c>
    </row>
    <row r="69" spans="1:9" ht="15" customHeight="1" x14ac:dyDescent="0.25">
      <c r="A69">
        <v>68</v>
      </c>
      <c r="B69">
        <v>1</v>
      </c>
      <c r="C69" t="s">
        <v>94</v>
      </c>
      <c r="D69">
        <v>480</v>
      </c>
      <c r="E69">
        <v>102</v>
      </c>
      <c r="F69" t="s">
        <v>29</v>
      </c>
      <c r="G69">
        <v>575</v>
      </c>
      <c r="H69">
        <v>16</v>
      </c>
      <c r="I69" t="str">
        <f t="shared" si="1"/>
        <v>2024-03</v>
      </c>
    </row>
    <row r="70" spans="1:9" ht="15" customHeight="1" x14ac:dyDescent="0.25">
      <c r="A70">
        <v>69</v>
      </c>
      <c r="B70">
        <v>1</v>
      </c>
      <c r="C70" t="s">
        <v>95</v>
      </c>
      <c r="D70">
        <v>480</v>
      </c>
      <c r="E70">
        <v>4</v>
      </c>
      <c r="F70" t="s">
        <v>24</v>
      </c>
      <c r="G70">
        <v>732</v>
      </c>
      <c r="H70">
        <v>21</v>
      </c>
      <c r="I70" t="str">
        <f t="shared" si="1"/>
        <v>2024-03</v>
      </c>
    </row>
    <row r="71" spans="1:9" ht="15" customHeight="1" x14ac:dyDescent="0.25">
      <c r="A71">
        <v>70</v>
      </c>
      <c r="B71">
        <v>1</v>
      </c>
      <c r="C71" t="s">
        <v>96</v>
      </c>
      <c r="D71">
        <v>480</v>
      </c>
      <c r="E71">
        <v>7</v>
      </c>
      <c r="F71" t="s">
        <v>33</v>
      </c>
      <c r="G71">
        <v>711</v>
      </c>
      <c r="H71">
        <v>48</v>
      </c>
      <c r="I71" t="str">
        <f t="shared" si="1"/>
        <v>2024-03</v>
      </c>
    </row>
    <row r="72" spans="1:9" ht="15" customHeight="1" x14ac:dyDescent="0.25">
      <c r="A72">
        <v>71</v>
      </c>
      <c r="B72">
        <v>1</v>
      </c>
      <c r="C72" t="s">
        <v>97</v>
      </c>
      <c r="D72">
        <v>480</v>
      </c>
      <c r="E72">
        <v>47</v>
      </c>
      <c r="F72" t="s">
        <v>27</v>
      </c>
      <c r="G72">
        <v>607</v>
      </c>
      <c r="H72">
        <v>42</v>
      </c>
      <c r="I72" t="str">
        <f t="shared" si="1"/>
        <v>2024-03</v>
      </c>
    </row>
    <row r="73" spans="1:9" ht="15" customHeight="1" x14ac:dyDescent="0.25">
      <c r="A73">
        <v>72</v>
      </c>
      <c r="B73">
        <v>1</v>
      </c>
      <c r="C73" t="s">
        <v>98</v>
      </c>
      <c r="D73">
        <v>480</v>
      </c>
      <c r="E73">
        <v>12</v>
      </c>
      <c r="F73" t="s">
        <v>27</v>
      </c>
      <c r="G73">
        <v>670</v>
      </c>
      <c r="H73">
        <v>48</v>
      </c>
      <c r="I73" t="str">
        <f t="shared" si="1"/>
        <v>2024-03</v>
      </c>
    </row>
    <row r="74" spans="1:9" ht="15" customHeight="1" x14ac:dyDescent="0.25">
      <c r="A74">
        <v>73</v>
      </c>
      <c r="B74">
        <v>1</v>
      </c>
      <c r="C74" t="s">
        <v>99</v>
      </c>
      <c r="D74">
        <v>480</v>
      </c>
      <c r="E74">
        <v>47</v>
      </c>
      <c r="F74" t="s">
        <v>24</v>
      </c>
      <c r="G74">
        <v>691</v>
      </c>
      <c r="H74">
        <v>46</v>
      </c>
      <c r="I74" t="str">
        <f t="shared" si="1"/>
        <v>2024-03</v>
      </c>
    </row>
    <row r="75" spans="1:9" ht="15" customHeight="1" x14ac:dyDescent="0.25">
      <c r="A75">
        <v>74</v>
      </c>
      <c r="B75">
        <v>1</v>
      </c>
      <c r="C75" t="s">
        <v>100</v>
      </c>
      <c r="D75">
        <v>480</v>
      </c>
      <c r="E75">
        <v>37</v>
      </c>
      <c r="F75" t="s">
        <v>29</v>
      </c>
      <c r="G75">
        <v>602</v>
      </c>
      <c r="H75">
        <v>30</v>
      </c>
      <c r="I75" t="str">
        <f t="shared" si="1"/>
        <v>2024-03</v>
      </c>
    </row>
    <row r="76" spans="1:9" ht="15" customHeight="1" x14ac:dyDescent="0.25">
      <c r="A76">
        <v>75</v>
      </c>
      <c r="B76">
        <v>1</v>
      </c>
      <c r="C76" t="s">
        <v>101</v>
      </c>
      <c r="D76">
        <v>480</v>
      </c>
      <c r="E76">
        <v>13</v>
      </c>
      <c r="F76" t="s">
        <v>27</v>
      </c>
      <c r="G76">
        <v>657</v>
      </c>
      <c r="H76">
        <v>55</v>
      </c>
      <c r="I76" t="str">
        <f t="shared" si="1"/>
        <v>2024-03</v>
      </c>
    </row>
    <row r="77" spans="1:9" ht="15" customHeight="1" x14ac:dyDescent="0.25">
      <c r="A77">
        <v>76</v>
      </c>
      <c r="B77">
        <v>1</v>
      </c>
      <c r="C77" t="s">
        <v>102</v>
      </c>
      <c r="D77">
        <v>480</v>
      </c>
      <c r="E77">
        <v>22</v>
      </c>
      <c r="F77" t="s">
        <v>27</v>
      </c>
      <c r="G77">
        <v>737</v>
      </c>
      <c r="H77">
        <v>47</v>
      </c>
      <c r="I77" t="str">
        <f t="shared" si="1"/>
        <v>2024-03</v>
      </c>
    </row>
    <row r="78" spans="1:9" ht="15" customHeight="1" x14ac:dyDescent="0.25">
      <c r="A78">
        <v>77</v>
      </c>
      <c r="B78">
        <v>1</v>
      </c>
      <c r="C78" t="s">
        <v>103</v>
      </c>
      <c r="D78">
        <v>480</v>
      </c>
      <c r="E78">
        <v>71</v>
      </c>
      <c r="F78" t="s">
        <v>24</v>
      </c>
      <c r="G78">
        <v>609</v>
      </c>
      <c r="H78">
        <v>37</v>
      </c>
      <c r="I78" t="str">
        <f t="shared" si="1"/>
        <v>2024-03</v>
      </c>
    </row>
    <row r="79" spans="1:9" ht="15" customHeight="1" x14ac:dyDescent="0.25">
      <c r="A79">
        <v>78</v>
      </c>
      <c r="B79">
        <v>1</v>
      </c>
      <c r="C79" t="s">
        <v>104</v>
      </c>
      <c r="D79">
        <v>480</v>
      </c>
      <c r="E79">
        <v>30</v>
      </c>
      <c r="F79" t="s">
        <v>27</v>
      </c>
      <c r="G79">
        <v>626</v>
      </c>
      <c r="H79">
        <v>44</v>
      </c>
      <c r="I79" t="str">
        <f t="shared" si="1"/>
        <v>2024-03</v>
      </c>
    </row>
    <row r="80" spans="1:9" ht="15" customHeight="1" x14ac:dyDescent="0.25">
      <c r="A80">
        <v>79</v>
      </c>
      <c r="B80">
        <v>1</v>
      </c>
      <c r="C80" t="s">
        <v>105</v>
      </c>
      <c r="D80">
        <v>480</v>
      </c>
      <c r="E80">
        <v>14</v>
      </c>
      <c r="F80" t="s">
        <v>24</v>
      </c>
      <c r="G80">
        <v>624</v>
      </c>
      <c r="H80">
        <v>41</v>
      </c>
      <c r="I80" t="str">
        <f t="shared" si="1"/>
        <v>2024-03</v>
      </c>
    </row>
    <row r="81" spans="1:9" ht="15" customHeight="1" x14ac:dyDescent="0.25">
      <c r="A81">
        <v>80</v>
      </c>
      <c r="B81">
        <v>1</v>
      </c>
      <c r="C81" t="s">
        <v>106</v>
      </c>
      <c r="D81">
        <v>480</v>
      </c>
      <c r="E81">
        <v>8</v>
      </c>
      <c r="F81" t="s">
        <v>24</v>
      </c>
      <c r="G81">
        <v>767</v>
      </c>
      <c r="H81">
        <v>64</v>
      </c>
      <c r="I81" t="str">
        <f t="shared" si="1"/>
        <v>2024-03</v>
      </c>
    </row>
    <row r="82" spans="1:9" ht="15" customHeight="1" x14ac:dyDescent="0.25">
      <c r="A82">
        <v>81</v>
      </c>
      <c r="B82">
        <v>1</v>
      </c>
      <c r="C82" t="s">
        <v>107</v>
      </c>
      <c r="D82">
        <v>480</v>
      </c>
      <c r="E82">
        <v>110</v>
      </c>
      <c r="F82" t="s">
        <v>27</v>
      </c>
      <c r="G82">
        <v>535</v>
      </c>
      <c r="H82">
        <v>15</v>
      </c>
      <c r="I82" t="str">
        <f t="shared" si="1"/>
        <v>2024-03</v>
      </c>
    </row>
    <row r="83" spans="1:9" ht="15" customHeight="1" x14ac:dyDescent="0.25">
      <c r="A83">
        <v>82</v>
      </c>
      <c r="B83">
        <v>1</v>
      </c>
      <c r="C83" t="s">
        <v>108</v>
      </c>
      <c r="D83">
        <v>480</v>
      </c>
      <c r="E83">
        <v>118</v>
      </c>
      <c r="F83" t="s">
        <v>27</v>
      </c>
      <c r="G83">
        <v>530</v>
      </c>
      <c r="H83">
        <v>44</v>
      </c>
      <c r="I83" t="str">
        <f t="shared" si="1"/>
        <v>2024-03</v>
      </c>
    </row>
    <row r="84" spans="1:9" ht="15" customHeight="1" x14ac:dyDescent="0.25">
      <c r="A84">
        <v>83</v>
      </c>
      <c r="B84">
        <v>1</v>
      </c>
      <c r="C84" t="s">
        <v>109</v>
      </c>
      <c r="D84">
        <v>480</v>
      </c>
      <c r="E84">
        <v>148</v>
      </c>
      <c r="F84" t="s">
        <v>22</v>
      </c>
      <c r="G84">
        <v>530</v>
      </c>
      <c r="H84">
        <v>24</v>
      </c>
      <c r="I84" t="str">
        <f t="shared" si="1"/>
        <v>2024-03</v>
      </c>
    </row>
    <row r="85" spans="1:9" ht="15" customHeight="1" x14ac:dyDescent="0.25">
      <c r="A85">
        <v>84</v>
      </c>
      <c r="B85">
        <v>1</v>
      </c>
      <c r="C85" t="s">
        <v>110</v>
      </c>
      <c r="D85">
        <v>480</v>
      </c>
      <c r="E85">
        <v>21</v>
      </c>
      <c r="F85" t="s">
        <v>24</v>
      </c>
      <c r="G85">
        <v>733</v>
      </c>
      <c r="H85">
        <v>34</v>
      </c>
      <c r="I85" t="str">
        <f t="shared" si="1"/>
        <v>2024-03</v>
      </c>
    </row>
    <row r="86" spans="1:9" ht="15" customHeight="1" x14ac:dyDescent="0.25">
      <c r="A86">
        <v>85</v>
      </c>
      <c r="B86">
        <v>1</v>
      </c>
      <c r="C86" t="s">
        <v>111</v>
      </c>
      <c r="D86">
        <v>480</v>
      </c>
      <c r="E86">
        <v>8</v>
      </c>
      <c r="F86" t="s">
        <v>27</v>
      </c>
      <c r="G86">
        <v>710</v>
      </c>
      <c r="H86">
        <v>58</v>
      </c>
      <c r="I86" t="str">
        <f t="shared" si="1"/>
        <v>2024-03</v>
      </c>
    </row>
    <row r="87" spans="1:9" ht="15" customHeight="1" x14ac:dyDescent="0.25">
      <c r="A87">
        <v>86</v>
      </c>
      <c r="B87">
        <v>1</v>
      </c>
      <c r="C87" t="s">
        <v>112</v>
      </c>
      <c r="D87">
        <v>480</v>
      </c>
      <c r="E87">
        <v>53</v>
      </c>
      <c r="F87" t="s">
        <v>45</v>
      </c>
      <c r="G87">
        <v>644</v>
      </c>
      <c r="H87">
        <v>22</v>
      </c>
      <c r="I87" t="str">
        <f t="shared" si="1"/>
        <v>2024-03</v>
      </c>
    </row>
    <row r="88" spans="1:9" ht="15" customHeight="1" x14ac:dyDescent="0.25">
      <c r="A88">
        <v>87</v>
      </c>
      <c r="B88">
        <v>1</v>
      </c>
      <c r="C88" t="s">
        <v>113</v>
      </c>
      <c r="D88">
        <v>480</v>
      </c>
      <c r="E88">
        <v>42</v>
      </c>
      <c r="F88" t="s">
        <v>29</v>
      </c>
      <c r="G88">
        <v>719</v>
      </c>
      <c r="H88">
        <v>26</v>
      </c>
      <c r="I88" t="str">
        <f t="shared" si="1"/>
        <v>2024-03</v>
      </c>
    </row>
    <row r="89" spans="1:9" ht="15" customHeight="1" x14ac:dyDescent="0.25">
      <c r="A89">
        <v>88</v>
      </c>
      <c r="B89">
        <v>1</v>
      </c>
      <c r="C89" t="s">
        <v>114</v>
      </c>
      <c r="D89">
        <v>480</v>
      </c>
      <c r="E89">
        <v>32</v>
      </c>
      <c r="F89" t="s">
        <v>27</v>
      </c>
      <c r="G89">
        <v>719</v>
      </c>
      <c r="H89">
        <v>51</v>
      </c>
      <c r="I89" t="str">
        <f t="shared" si="1"/>
        <v>2024-03</v>
      </c>
    </row>
    <row r="90" spans="1:9" ht="15" customHeight="1" x14ac:dyDescent="0.25">
      <c r="A90">
        <v>89</v>
      </c>
      <c r="B90">
        <v>1</v>
      </c>
      <c r="C90" t="s">
        <v>115</v>
      </c>
      <c r="D90">
        <v>480</v>
      </c>
      <c r="E90">
        <v>53</v>
      </c>
      <c r="F90" t="s">
        <v>45</v>
      </c>
      <c r="G90">
        <v>662</v>
      </c>
      <c r="H90">
        <v>32</v>
      </c>
      <c r="I90" t="str">
        <f t="shared" si="1"/>
        <v>2024-03</v>
      </c>
    </row>
    <row r="91" spans="1:9" ht="15" customHeight="1" x14ac:dyDescent="0.25">
      <c r="A91">
        <v>90</v>
      </c>
      <c r="B91">
        <v>1</v>
      </c>
      <c r="C91" t="s">
        <v>116</v>
      </c>
      <c r="D91">
        <v>480</v>
      </c>
      <c r="E91">
        <v>15</v>
      </c>
      <c r="F91" t="s">
        <v>33</v>
      </c>
      <c r="G91">
        <v>737</v>
      </c>
      <c r="H91">
        <v>55</v>
      </c>
      <c r="I91" t="str">
        <f t="shared" si="1"/>
        <v>2024-03</v>
      </c>
    </row>
    <row r="92" spans="1:9" ht="15" customHeight="1" x14ac:dyDescent="0.25">
      <c r="A92">
        <v>91</v>
      </c>
      <c r="B92">
        <v>1</v>
      </c>
      <c r="C92" t="s">
        <v>117</v>
      </c>
      <c r="D92">
        <v>480</v>
      </c>
      <c r="E92">
        <v>90</v>
      </c>
      <c r="F92" t="s">
        <v>27</v>
      </c>
      <c r="G92">
        <v>630</v>
      </c>
      <c r="H92">
        <v>36</v>
      </c>
      <c r="I92" t="str">
        <f t="shared" si="1"/>
        <v>2024-03</v>
      </c>
    </row>
    <row r="93" spans="1:9" ht="15" customHeight="1" x14ac:dyDescent="0.25">
      <c r="A93">
        <v>92</v>
      </c>
      <c r="B93">
        <v>1</v>
      </c>
      <c r="C93" t="s">
        <v>118</v>
      </c>
      <c r="D93">
        <v>480</v>
      </c>
      <c r="E93">
        <v>31</v>
      </c>
      <c r="F93" t="s">
        <v>45</v>
      </c>
      <c r="G93">
        <v>710</v>
      </c>
      <c r="H93">
        <v>46</v>
      </c>
      <c r="I93" t="str">
        <f t="shared" si="1"/>
        <v>2024-04</v>
      </c>
    </row>
    <row r="94" spans="1:9" ht="15" customHeight="1" x14ac:dyDescent="0.25">
      <c r="A94">
        <v>93</v>
      </c>
      <c r="B94">
        <v>1</v>
      </c>
      <c r="C94" t="s">
        <v>119</v>
      </c>
      <c r="D94">
        <v>480</v>
      </c>
      <c r="E94">
        <v>54</v>
      </c>
      <c r="F94" t="s">
        <v>27</v>
      </c>
      <c r="G94">
        <v>673</v>
      </c>
      <c r="H94">
        <v>53</v>
      </c>
      <c r="I94" t="str">
        <f t="shared" si="1"/>
        <v>2024-04</v>
      </c>
    </row>
    <row r="95" spans="1:9" ht="15" customHeight="1" x14ac:dyDescent="0.25">
      <c r="A95">
        <v>94</v>
      </c>
      <c r="B95">
        <v>1</v>
      </c>
      <c r="C95" t="s">
        <v>120</v>
      </c>
      <c r="D95">
        <v>480</v>
      </c>
      <c r="E95">
        <v>18</v>
      </c>
      <c r="F95" t="s">
        <v>33</v>
      </c>
      <c r="G95">
        <v>669</v>
      </c>
      <c r="H95">
        <v>22</v>
      </c>
      <c r="I95" t="str">
        <f t="shared" si="1"/>
        <v>2024-04</v>
      </c>
    </row>
    <row r="96" spans="1:9" ht="15" customHeight="1" x14ac:dyDescent="0.25">
      <c r="A96">
        <v>95</v>
      </c>
      <c r="B96">
        <v>1</v>
      </c>
      <c r="C96" t="s">
        <v>121</v>
      </c>
      <c r="D96">
        <v>480</v>
      </c>
      <c r="E96">
        <v>38</v>
      </c>
      <c r="F96" t="s">
        <v>29</v>
      </c>
      <c r="G96">
        <v>593</v>
      </c>
      <c r="H96">
        <v>32</v>
      </c>
      <c r="I96" t="str">
        <f t="shared" si="1"/>
        <v>2024-04</v>
      </c>
    </row>
    <row r="97" spans="1:9" ht="15" customHeight="1" x14ac:dyDescent="0.25">
      <c r="A97">
        <v>96</v>
      </c>
      <c r="B97">
        <v>1</v>
      </c>
      <c r="C97" t="s">
        <v>122</v>
      </c>
      <c r="D97">
        <v>480</v>
      </c>
      <c r="E97">
        <v>35</v>
      </c>
      <c r="F97" t="s">
        <v>22</v>
      </c>
      <c r="G97">
        <v>632</v>
      </c>
      <c r="H97">
        <v>39</v>
      </c>
      <c r="I97" t="str">
        <f t="shared" si="1"/>
        <v>2024-04</v>
      </c>
    </row>
    <row r="98" spans="1:9" ht="15" customHeight="1" x14ac:dyDescent="0.25">
      <c r="A98">
        <v>97</v>
      </c>
      <c r="B98">
        <v>1</v>
      </c>
      <c r="C98" t="s">
        <v>123</v>
      </c>
      <c r="D98">
        <v>480</v>
      </c>
      <c r="E98">
        <v>1</v>
      </c>
      <c r="F98" t="s">
        <v>22</v>
      </c>
      <c r="G98">
        <v>643</v>
      </c>
      <c r="H98">
        <v>48</v>
      </c>
      <c r="I98" t="str">
        <f t="shared" si="1"/>
        <v>2024-04</v>
      </c>
    </row>
    <row r="99" spans="1:9" ht="15" customHeight="1" x14ac:dyDescent="0.25">
      <c r="A99">
        <v>98</v>
      </c>
      <c r="B99">
        <v>1</v>
      </c>
      <c r="C99" t="s">
        <v>124</v>
      </c>
      <c r="D99">
        <v>480</v>
      </c>
      <c r="E99">
        <v>20</v>
      </c>
      <c r="F99" t="s">
        <v>24</v>
      </c>
      <c r="G99">
        <v>630</v>
      </c>
      <c r="H99">
        <v>37</v>
      </c>
      <c r="I99" t="str">
        <f t="shared" si="1"/>
        <v>2024-04</v>
      </c>
    </row>
    <row r="100" spans="1:9" ht="15" customHeight="1" x14ac:dyDescent="0.25">
      <c r="A100">
        <v>99</v>
      </c>
      <c r="B100">
        <v>1</v>
      </c>
      <c r="C100" t="s">
        <v>125</v>
      </c>
      <c r="D100">
        <v>480</v>
      </c>
      <c r="E100">
        <v>66</v>
      </c>
      <c r="F100" t="s">
        <v>29</v>
      </c>
      <c r="G100">
        <v>579</v>
      </c>
      <c r="H100">
        <v>37</v>
      </c>
      <c r="I100" t="str">
        <f t="shared" si="1"/>
        <v>2024-04</v>
      </c>
    </row>
    <row r="101" spans="1:9" ht="15" customHeight="1" x14ac:dyDescent="0.25">
      <c r="A101">
        <v>100</v>
      </c>
      <c r="B101">
        <v>1</v>
      </c>
      <c r="C101" t="s">
        <v>126</v>
      </c>
      <c r="D101">
        <v>480</v>
      </c>
      <c r="E101">
        <v>4</v>
      </c>
      <c r="F101" t="s">
        <v>29</v>
      </c>
      <c r="G101">
        <v>641</v>
      </c>
      <c r="H101">
        <v>38</v>
      </c>
      <c r="I101" t="str">
        <f t="shared" si="1"/>
        <v>2024-04</v>
      </c>
    </row>
    <row r="102" spans="1:9" ht="15" customHeight="1" x14ac:dyDescent="0.25">
      <c r="A102">
        <v>101</v>
      </c>
      <c r="B102">
        <v>1</v>
      </c>
      <c r="C102" t="s">
        <v>127</v>
      </c>
      <c r="D102">
        <v>480</v>
      </c>
      <c r="E102">
        <v>34</v>
      </c>
      <c r="F102" t="s">
        <v>29</v>
      </c>
      <c r="G102">
        <v>683</v>
      </c>
      <c r="H102">
        <v>48</v>
      </c>
      <c r="I102" t="str">
        <f t="shared" si="1"/>
        <v>2024-04</v>
      </c>
    </row>
    <row r="103" spans="1:9" ht="15" customHeight="1" x14ac:dyDescent="0.25">
      <c r="A103">
        <v>102</v>
      </c>
      <c r="B103">
        <v>1</v>
      </c>
      <c r="C103" t="s">
        <v>128</v>
      </c>
      <c r="D103">
        <v>480</v>
      </c>
      <c r="E103">
        <v>167</v>
      </c>
      <c r="F103" t="s">
        <v>45</v>
      </c>
      <c r="G103">
        <v>467</v>
      </c>
      <c r="H103">
        <v>22</v>
      </c>
      <c r="I103" t="str">
        <f t="shared" si="1"/>
        <v>2024-04</v>
      </c>
    </row>
    <row r="104" spans="1:9" ht="15" customHeight="1" x14ac:dyDescent="0.25">
      <c r="A104">
        <v>103</v>
      </c>
      <c r="B104">
        <v>1</v>
      </c>
      <c r="C104" t="s">
        <v>129</v>
      </c>
      <c r="D104">
        <v>480</v>
      </c>
      <c r="E104">
        <v>71</v>
      </c>
      <c r="F104" t="s">
        <v>29</v>
      </c>
      <c r="G104">
        <v>579</v>
      </c>
      <c r="H104">
        <v>31</v>
      </c>
      <c r="I104" t="str">
        <f t="shared" si="1"/>
        <v>2024-04</v>
      </c>
    </row>
    <row r="105" spans="1:9" ht="15" customHeight="1" x14ac:dyDescent="0.25">
      <c r="A105">
        <v>104</v>
      </c>
      <c r="B105">
        <v>1</v>
      </c>
      <c r="C105" t="s">
        <v>130</v>
      </c>
      <c r="D105">
        <v>480</v>
      </c>
      <c r="E105">
        <v>3</v>
      </c>
      <c r="F105" t="s">
        <v>24</v>
      </c>
      <c r="G105">
        <v>638</v>
      </c>
      <c r="H105">
        <v>53</v>
      </c>
      <c r="I105" t="str">
        <f t="shared" si="1"/>
        <v>2024-04</v>
      </c>
    </row>
    <row r="106" spans="1:9" ht="15" customHeight="1" x14ac:dyDescent="0.25">
      <c r="A106">
        <v>105</v>
      </c>
      <c r="B106">
        <v>1</v>
      </c>
      <c r="C106" t="s">
        <v>131</v>
      </c>
      <c r="D106">
        <v>480</v>
      </c>
      <c r="E106">
        <v>81</v>
      </c>
      <c r="F106" t="s">
        <v>45</v>
      </c>
      <c r="G106">
        <v>618</v>
      </c>
      <c r="H106">
        <v>32</v>
      </c>
      <c r="I106" t="str">
        <f t="shared" si="1"/>
        <v>2024-04</v>
      </c>
    </row>
    <row r="107" spans="1:9" ht="15" customHeight="1" x14ac:dyDescent="0.25">
      <c r="A107">
        <v>106</v>
      </c>
      <c r="B107">
        <v>1</v>
      </c>
      <c r="C107" t="s">
        <v>132</v>
      </c>
      <c r="D107">
        <v>480</v>
      </c>
      <c r="E107">
        <v>8</v>
      </c>
      <c r="F107" t="s">
        <v>24</v>
      </c>
      <c r="G107">
        <v>651</v>
      </c>
      <c r="H107">
        <v>28</v>
      </c>
      <c r="I107" t="str">
        <f t="shared" si="1"/>
        <v>2024-04</v>
      </c>
    </row>
    <row r="108" spans="1:9" ht="15" customHeight="1" x14ac:dyDescent="0.25">
      <c r="A108">
        <v>107</v>
      </c>
      <c r="B108">
        <v>1</v>
      </c>
      <c r="C108" t="s">
        <v>133</v>
      </c>
      <c r="D108">
        <v>480</v>
      </c>
      <c r="E108">
        <v>35</v>
      </c>
      <c r="F108" t="s">
        <v>22</v>
      </c>
      <c r="G108">
        <v>692</v>
      </c>
      <c r="H108">
        <v>46</v>
      </c>
      <c r="I108" t="str">
        <f t="shared" si="1"/>
        <v>2024-04</v>
      </c>
    </row>
    <row r="109" spans="1:9" ht="15" customHeight="1" x14ac:dyDescent="0.25">
      <c r="A109">
        <v>108</v>
      </c>
      <c r="B109">
        <v>1</v>
      </c>
      <c r="C109" t="s">
        <v>134</v>
      </c>
      <c r="D109">
        <v>480</v>
      </c>
      <c r="E109">
        <v>14</v>
      </c>
      <c r="F109" t="s">
        <v>29</v>
      </c>
      <c r="G109">
        <v>759</v>
      </c>
      <c r="H109">
        <v>54</v>
      </c>
      <c r="I109" t="str">
        <f t="shared" si="1"/>
        <v>2024-04</v>
      </c>
    </row>
    <row r="110" spans="1:9" ht="15" customHeight="1" x14ac:dyDescent="0.25">
      <c r="A110">
        <v>109</v>
      </c>
      <c r="B110">
        <v>1</v>
      </c>
      <c r="C110" t="s">
        <v>135</v>
      </c>
      <c r="D110">
        <v>480</v>
      </c>
      <c r="E110">
        <v>36</v>
      </c>
      <c r="F110" t="s">
        <v>24</v>
      </c>
      <c r="G110">
        <v>676</v>
      </c>
      <c r="H110">
        <v>35</v>
      </c>
      <c r="I110" t="str">
        <f t="shared" si="1"/>
        <v>2024-04</v>
      </c>
    </row>
    <row r="111" spans="1:9" ht="15" customHeight="1" x14ac:dyDescent="0.25">
      <c r="A111">
        <v>110</v>
      </c>
      <c r="B111">
        <v>1</v>
      </c>
      <c r="C111" t="s">
        <v>136</v>
      </c>
      <c r="D111">
        <v>480</v>
      </c>
      <c r="E111">
        <v>12</v>
      </c>
      <c r="F111" t="s">
        <v>45</v>
      </c>
      <c r="G111">
        <v>675</v>
      </c>
      <c r="H111">
        <v>48</v>
      </c>
      <c r="I111" t="str">
        <f t="shared" si="1"/>
        <v>2024-04</v>
      </c>
    </row>
    <row r="112" spans="1:9" ht="15" customHeight="1" x14ac:dyDescent="0.25">
      <c r="A112">
        <v>111</v>
      </c>
      <c r="B112">
        <v>1</v>
      </c>
      <c r="C112" t="s">
        <v>137</v>
      </c>
      <c r="D112">
        <v>480</v>
      </c>
      <c r="E112">
        <v>0</v>
      </c>
      <c r="F112" t="s">
        <v>33</v>
      </c>
      <c r="G112">
        <v>656</v>
      </c>
      <c r="H112">
        <v>20</v>
      </c>
      <c r="I112" t="str">
        <f t="shared" si="1"/>
        <v>2024-04</v>
      </c>
    </row>
    <row r="113" spans="1:9" ht="15" customHeight="1" x14ac:dyDescent="0.25">
      <c r="A113">
        <v>112</v>
      </c>
      <c r="B113">
        <v>1</v>
      </c>
      <c r="C113" t="s">
        <v>138</v>
      </c>
      <c r="D113">
        <v>480</v>
      </c>
      <c r="E113">
        <v>1</v>
      </c>
      <c r="F113" t="s">
        <v>24</v>
      </c>
      <c r="G113">
        <v>766</v>
      </c>
      <c r="H113">
        <v>53</v>
      </c>
      <c r="I113" t="str">
        <f t="shared" si="1"/>
        <v>2024-04</v>
      </c>
    </row>
    <row r="114" spans="1:9" ht="15" customHeight="1" x14ac:dyDescent="0.25">
      <c r="A114">
        <v>113</v>
      </c>
      <c r="B114">
        <v>1</v>
      </c>
      <c r="C114" t="s">
        <v>139</v>
      </c>
      <c r="D114">
        <v>480</v>
      </c>
      <c r="E114">
        <v>28</v>
      </c>
      <c r="F114" t="s">
        <v>27</v>
      </c>
      <c r="G114">
        <v>615</v>
      </c>
      <c r="H114">
        <v>35</v>
      </c>
      <c r="I114" t="str">
        <f t="shared" si="1"/>
        <v>2024-04</v>
      </c>
    </row>
    <row r="115" spans="1:9" ht="15" customHeight="1" x14ac:dyDescent="0.25">
      <c r="A115">
        <v>114</v>
      </c>
      <c r="B115">
        <v>1</v>
      </c>
      <c r="C115" t="s">
        <v>140</v>
      </c>
      <c r="D115">
        <v>480</v>
      </c>
      <c r="E115">
        <v>28</v>
      </c>
      <c r="F115" t="s">
        <v>22</v>
      </c>
      <c r="G115">
        <v>626</v>
      </c>
      <c r="H115">
        <v>33</v>
      </c>
      <c r="I115" t="str">
        <f t="shared" si="1"/>
        <v>2024-04</v>
      </c>
    </row>
    <row r="116" spans="1:9" ht="15" customHeight="1" x14ac:dyDescent="0.25">
      <c r="A116">
        <v>115</v>
      </c>
      <c r="B116">
        <v>1</v>
      </c>
      <c r="C116" t="s">
        <v>141</v>
      </c>
      <c r="D116">
        <v>480</v>
      </c>
      <c r="E116">
        <v>22</v>
      </c>
      <c r="F116" t="s">
        <v>27</v>
      </c>
      <c r="G116">
        <v>698</v>
      </c>
      <c r="H116">
        <v>45</v>
      </c>
      <c r="I116" t="str">
        <f t="shared" si="1"/>
        <v>2024-04</v>
      </c>
    </row>
    <row r="117" spans="1:9" ht="15" customHeight="1" x14ac:dyDescent="0.25">
      <c r="A117">
        <v>116</v>
      </c>
      <c r="B117">
        <v>1</v>
      </c>
      <c r="C117" t="s">
        <v>142</v>
      </c>
      <c r="D117">
        <v>480</v>
      </c>
      <c r="E117">
        <v>2</v>
      </c>
      <c r="F117" t="s">
        <v>22</v>
      </c>
      <c r="G117">
        <v>692</v>
      </c>
      <c r="H117">
        <v>44</v>
      </c>
      <c r="I117" t="str">
        <f t="shared" si="1"/>
        <v>2024-04</v>
      </c>
    </row>
    <row r="118" spans="1:9" ht="15" customHeight="1" x14ac:dyDescent="0.25">
      <c r="A118">
        <v>117</v>
      </c>
      <c r="B118">
        <v>1</v>
      </c>
      <c r="C118" t="s">
        <v>143</v>
      </c>
      <c r="D118">
        <v>480</v>
      </c>
      <c r="E118">
        <v>31</v>
      </c>
      <c r="F118" t="s">
        <v>22</v>
      </c>
      <c r="G118">
        <v>718</v>
      </c>
      <c r="H118">
        <v>47</v>
      </c>
      <c r="I118" t="str">
        <f t="shared" si="1"/>
        <v>2024-04</v>
      </c>
    </row>
    <row r="119" spans="1:9" ht="15" customHeight="1" x14ac:dyDescent="0.25">
      <c r="A119">
        <v>118</v>
      </c>
      <c r="B119">
        <v>1</v>
      </c>
      <c r="C119" t="s">
        <v>144</v>
      </c>
      <c r="D119">
        <v>480</v>
      </c>
      <c r="E119">
        <v>7</v>
      </c>
      <c r="F119" t="s">
        <v>22</v>
      </c>
      <c r="G119">
        <v>640</v>
      </c>
      <c r="H119">
        <v>42</v>
      </c>
      <c r="I119" t="str">
        <f t="shared" si="1"/>
        <v>2024-04</v>
      </c>
    </row>
    <row r="120" spans="1:9" ht="15" customHeight="1" x14ac:dyDescent="0.25">
      <c r="A120">
        <v>119</v>
      </c>
      <c r="B120">
        <v>1</v>
      </c>
      <c r="C120" t="s">
        <v>145</v>
      </c>
      <c r="D120">
        <v>480</v>
      </c>
      <c r="E120">
        <v>1</v>
      </c>
      <c r="F120" t="s">
        <v>45</v>
      </c>
      <c r="G120">
        <v>725</v>
      </c>
      <c r="H120">
        <v>60</v>
      </c>
      <c r="I120" t="str">
        <f t="shared" si="1"/>
        <v>2024-04</v>
      </c>
    </row>
    <row r="121" spans="1:9" ht="15" customHeight="1" x14ac:dyDescent="0.25">
      <c r="A121">
        <v>120</v>
      </c>
      <c r="B121">
        <v>1</v>
      </c>
      <c r="C121" t="s">
        <v>146</v>
      </c>
      <c r="D121">
        <v>480</v>
      </c>
      <c r="E121">
        <v>38</v>
      </c>
      <c r="F121" t="s">
        <v>22</v>
      </c>
      <c r="G121">
        <v>642</v>
      </c>
      <c r="H121">
        <v>42</v>
      </c>
      <c r="I121" t="str">
        <f t="shared" si="1"/>
        <v>2024-04</v>
      </c>
    </row>
    <row r="122" spans="1:9" ht="15" customHeight="1" x14ac:dyDescent="0.25">
      <c r="A122">
        <v>121</v>
      </c>
      <c r="B122">
        <v>1</v>
      </c>
      <c r="C122" t="s">
        <v>147</v>
      </c>
      <c r="D122">
        <v>480</v>
      </c>
      <c r="E122">
        <v>27</v>
      </c>
      <c r="F122" t="s">
        <v>29</v>
      </c>
      <c r="G122">
        <v>680</v>
      </c>
      <c r="H122">
        <v>56</v>
      </c>
      <c r="I122" t="str">
        <f t="shared" si="1"/>
        <v>2024-04</v>
      </c>
    </row>
    <row r="123" spans="1:9" ht="15" customHeight="1" x14ac:dyDescent="0.25">
      <c r="A123">
        <v>122</v>
      </c>
      <c r="B123">
        <v>1</v>
      </c>
      <c r="C123" t="s">
        <v>148</v>
      </c>
      <c r="D123">
        <v>480</v>
      </c>
      <c r="E123">
        <v>21</v>
      </c>
      <c r="F123" t="s">
        <v>27</v>
      </c>
      <c r="G123">
        <v>749</v>
      </c>
      <c r="H123">
        <v>60</v>
      </c>
      <c r="I123" t="str">
        <f t="shared" si="1"/>
        <v>2024-05</v>
      </c>
    </row>
    <row r="124" spans="1:9" ht="15" customHeight="1" x14ac:dyDescent="0.25">
      <c r="A124">
        <v>123</v>
      </c>
      <c r="B124">
        <v>1</v>
      </c>
      <c r="C124" t="s">
        <v>149</v>
      </c>
      <c r="D124">
        <v>480</v>
      </c>
      <c r="E124">
        <v>9</v>
      </c>
      <c r="F124" t="s">
        <v>33</v>
      </c>
      <c r="G124">
        <v>637</v>
      </c>
      <c r="H124">
        <v>22</v>
      </c>
      <c r="I124" t="str">
        <f t="shared" si="1"/>
        <v>2024-05</v>
      </c>
    </row>
    <row r="125" spans="1:9" ht="15" customHeight="1" x14ac:dyDescent="0.25">
      <c r="A125">
        <v>124</v>
      </c>
      <c r="B125">
        <v>1</v>
      </c>
      <c r="C125" t="s">
        <v>150</v>
      </c>
      <c r="D125">
        <v>480</v>
      </c>
      <c r="E125">
        <v>0</v>
      </c>
      <c r="F125" t="s">
        <v>33</v>
      </c>
      <c r="G125">
        <v>653</v>
      </c>
      <c r="H125">
        <v>44</v>
      </c>
      <c r="I125" t="str">
        <f t="shared" si="1"/>
        <v>2024-05</v>
      </c>
    </row>
    <row r="126" spans="1:9" ht="15" customHeight="1" x14ac:dyDescent="0.25">
      <c r="A126">
        <v>125</v>
      </c>
      <c r="B126">
        <v>1</v>
      </c>
      <c r="C126" t="s">
        <v>151</v>
      </c>
      <c r="D126">
        <v>480</v>
      </c>
      <c r="E126">
        <v>3</v>
      </c>
      <c r="F126" t="s">
        <v>45</v>
      </c>
      <c r="G126">
        <v>682</v>
      </c>
      <c r="H126">
        <v>52</v>
      </c>
      <c r="I126" t="str">
        <f t="shared" si="1"/>
        <v>2024-05</v>
      </c>
    </row>
    <row r="127" spans="1:9" ht="15" customHeight="1" x14ac:dyDescent="0.25">
      <c r="A127">
        <v>126</v>
      </c>
      <c r="B127">
        <v>1</v>
      </c>
      <c r="C127" t="s">
        <v>152</v>
      </c>
      <c r="D127">
        <v>480</v>
      </c>
      <c r="E127">
        <v>1</v>
      </c>
      <c r="F127" t="s">
        <v>27</v>
      </c>
      <c r="G127">
        <v>760</v>
      </c>
      <c r="H127">
        <v>34</v>
      </c>
      <c r="I127" t="str">
        <f t="shared" si="1"/>
        <v>2024-05</v>
      </c>
    </row>
    <row r="128" spans="1:9" ht="15" customHeight="1" x14ac:dyDescent="0.25">
      <c r="A128">
        <v>127</v>
      </c>
      <c r="B128">
        <v>1</v>
      </c>
      <c r="C128" t="s">
        <v>153</v>
      </c>
      <c r="D128">
        <v>480</v>
      </c>
      <c r="E128">
        <v>5</v>
      </c>
      <c r="F128" t="s">
        <v>27</v>
      </c>
      <c r="G128">
        <v>736</v>
      </c>
      <c r="H128">
        <v>47</v>
      </c>
      <c r="I128" t="str">
        <f t="shared" si="1"/>
        <v>2024-05</v>
      </c>
    </row>
    <row r="129" spans="1:9" ht="15" customHeight="1" x14ac:dyDescent="0.25">
      <c r="A129">
        <v>128</v>
      </c>
      <c r="B129">
        <v>1</v>
      </c>
      <c r="C129" t="s">
        <v>154</v>
      </c>
      <c r="D129">
        <v>480</v>
      </c>
      <c r="E129">
        <v>94</v>
      </c>
      <c r="F129" t="s">
        <v>45</v>
      </c>
      <c r="G129">
        <v>602</v>
      </c>
      <c r="H129">
        <v>45</v>
      </c>
      <c r="I129" t="str">
        <f t="shared" si="1"/>
        <v>2024-05</v>
      </c>
    </row>
    <row r="130" spans="1:9" ht="15" customHeight="1" x14ac:dyDescent="0.25">
      <c r="A130">
        <v>129</v>
      </c>
      <c r="B130">
        <v>1</v>
      </c>
      <c r="C130" t="s">
        <v>155</v>
      </c>
      <c r="D130">
        <v>480</v>
      </c>
      <c r="E130">
        <v>14</v>
      </c>
      <c r="F130" t="s">
        <v>24</v>
      </c>
      <c r="G130">
        <v>646</v>
      </c>
      <c r="H130">
        <v>46</v>
      </c>
      <c r="I130" t="str">
        <f t="shared" ref="I130:I193" si="2">TEXT(C130,"yyyy-mm")</f>
        <v>2024-05</v>
      </c>
    </row>
    <row r="131" spans="1:9" ht="15" customHeight="1" x14ac:dyDescent="0.25">
      <c r="A131">
        <v>130</v>
      </c>
      <c r="B131">
        <v>1</v>
      </c>
      <c r="C131" t="s">
        <v>156</v>
      </c>
      <c r="D131">
        <v>480</v>
      </c>
      <c r="E131">
        <v>73</v>
      </c>
      <c r="F131" t="s">
        <v>45</v>
      </c>
      <c r="G131">
        <v>668</v>
      </c>
      <c r="H131">
        <v>35</v>
      </c>
      <c r="I131" t="str">
        <f t="shared" si="2"/>
        <v>2024-05</v>
      </c>
    </row>
    <row r="132" spans="1:9" ht="15" customHeight="1" x14ac:dyDescent="0.25">
      <c r="A132">
        <v>131</v>
      </c>
      <c r="B132">
        <v>1</v>
      </c>
      <c r="C132" t="s">
        <v>157</v>
      </c>
      <c r="D132">
        <v>480</v>
      </c>
      <c r="E132">
        <v>20</v>
      </c>
      <c r="F132" t="s">
        <v>24</v>
      </c>
      <c r="G132">
        <v>724</v>
      </c>
      <c r="H132">
        <v>35</v>
      </c>
      <c r="I132" t="str">
        <f t="shared" si="2"/>
        <v>2024-05</v>
      </c>
    </row>
    <row r="133" spans="1:9" ht="15" customHeight="1" x14ac:dyDescent="0.25">
      <c r="A133">
        <v>132</v>
      </c>
      <c r="B133">
        <v>1</v>
      </c>
      <c r="C133" t="s">
        <v>158</v>
      </c>
      <c r="D133">
        <v>480</v>
      </c>
      <c r="E133">
        <v>120</v>
      </c>
      <c r="F133" t="s">
        <v>33</v>
      </c>
      <c r="G133">
        <v>576</v>
      </c>
      <c r="H133">
        <v>30</v>
      </c>
      <c r="I133" t="str">
        <f t="shared" si="2"/>
        <v>2024-05</v>
      </c>
    </row>
    <row r="134" spans="1:9" ht="15" customHeight="1" x14ac:dyDescent="0.25">
      <c r="A134">
        <v>133</v>
      </c>
      <c r="B134">
        <v>1</v>
      </c>
      <c r="C134" t="s">
        <v>159</v>
      </c>
      <c r="D134">
        <v>480</v>
      </c>
      <c r="E134">
        <v>62</v>
      </c>
      <c r="F134" t="s">
        <v>27</v>
      </c>
      <c r="G134">
        <v>655</v>
      </c>
      <c r="H134">
        <v>22</v>
      </c>
      <c r="I134" t="str">
        <f t="shared" si="2"/>
        <v>2024-05</v>
      </c>
    </row>
    <row r="135" spans="1:9" ht="15" customHeight="1" x14ac:dyDescent="0.25">
      <c r="A135">
        <v>134</v>
      </c>
      <c r="B135">
        <v>1</v>
      </c>
      <c r="C135" t="s">
        <v>160</v>
      </c>
      <c r="D135">
        <v>480</v>
      </c>
      <c r="E135">
        <v>104</v>
      </c>
      <c r="F135" t="s">
        <v>33</v>
      </c>
      <c r="G135">
        <v>560</v>
      </c>
      <c r="H135">
        <v>42</v>
      </c>
      <c r="I135" t="str">
        <f t="shared" si="2"/>
        <v>2024-05</v>
      </c>
    </row>
    <row r="136" spans="1:9" ht="15" customHeight="1" x14ac:dyDescent="0.25">
      <c r="A136">
        <v>135</v>
      </c>
      <c r="B136">
        <v>1</v>
      </c>
      <c r="C136" t="s">
        <v>161</v>
      </c>
      <c r="D136">
        <v>480</v>
      </c>
      <c r="E136">
        <v>17</v>
      </c>
      <c r="F136" t="s">
        <v>29</v>
      </c>
      <c r="G136">
        <v>746</v>
      </c>
      <c r="H136">
        <v>38</v>
      </c>
      <c r="I136" t="str">
        <f t="shared" si="2"/>
        <v>2024-05</v>
      </c>
    </row>
    <row r="137" spans="1:9" ht="15" customHeight="1" x14ac:dyDescent="0.25">
      <c r="A137">
        <v>136</v>
      </c>
      <c r="B137">
        <v>1</v>
      </c>
      <c r="C137" t="s">
        <v>162</v>
      </c>
      <c r="D137">
        <v>480</v>
      </c>
      <c r="E137">
        <v>0</v>
      </c>
      <c r="F137" t="s">
        <v>33</v>
      </c>
      <c r="G137">
        <v>775</v>
      </c>
      <c r="H137">
        <v>26</v>
      </c>
      <c r="I137" t="str">
        <f t="shared" si="2"/>
        <v>2024-05</v>
      </c>
    </row>
    <row r="138" spans="1:9" ht="15" customHeight="1" x14ac:dyDescent="0.25">
      <c r="A138">
        <v>137</v>
      </c>
      <c r="B138">
        <v>1</v>
      </c>
      <c r="C138" t="s">
        <v>163</v>
      </c>
      <c r="D138">
        <v>480</v>
      </c>
      <c r="E138">
        <v>17</v>
      </c>
      <c r="F138" t="s">
        <v>27</v>
      </c>
      <c r="G138">
        <v>754</v>
      </c>
      <c r="H138">
        <v>62</v>
      </c>
      <c r="I138" t="str">
        <f t="shared" si="2"/>
        <v>2024-05</v>
      </c>
    </row>
    <row r="139" spans="1:9" ht="15" customHeight="1" x14ac:dyDescent="0.25">
      <c r="A139">
        <v>138</v>
      </c>
      <c r="B139">
        <v>1</v>
      </c>
      <c r="C139" t="s">
        <v>164</v>
      </c>
      <c r="D139">
        <v>480</v>
      </c>
      <c r="E139">
        <v>38</v>
      </c>
      <c r="F139" t="s">
        <v>29</v>
      </c>
      <c r="G139">
        <v>676</v>
      </c>
      <c r="H139">
        <v>36</v>
      </c>
      <c r="I139" t="str">
        <f t="shared" si="2"/>
        <v>2024-05</v>
      </c>
    </row>
    <row r="140" spans="1:9" ht="15" customHeight="1" x14ac:dyDescent="0.25">
      <c r="A140">
        <v>139</v>
      </c>
      <c r="B140">
        <v>1</v>
      </c>
      <c r="C140" t="s">
        <v>165</v>
      </c>
      <c r="D140">
        <v>480</v>
      </c>
      <c r="E140">
        <v>15</v>
      </c>
      <c r="F140" t="s">
        <v>27</v>
      </c>
      <c r="G140">
        <v>667</v>
      </c>
      <c r="H140">
        <v>44</v>
      </c>
      <c r="I140" t="str">
        <f t="shared" si="2"/>
        <v>2024-05</v>
      </c>
    </row>
    <row r="141" spans="1:9" ht="15" customHeight="1" x14ac:dyDescent="0.25">
      <c r="A141">
        <v>140</v>
      </c>
      <c r="B141">
        <v>1</v>
      </c>
      <c r="C141" t="s">
        <v>166</v>
      </c>
      <c r="D141">
        <v>480</v>
      </c>
      <c r="E141">
        <v>62</v>
      </c>
      <c r="F141" t="s">
        <v>27</v>
      </c>
      <c r="G141">
        <v>660</v>
      </c>
      <c r="H141">
        <v>48</v>
      </c>
      <c r="I141" t="str">
        <f t="shared" si="2"/>
        <v>2024-05</v>
      </c>
    </row>
    <row r="142" spans="1:9" ht="15" customHeight="1" x14ac:dyDescent="0.25">
      <c r="A142">
        <v>141</v>
      </c>
      <c r="B142">
        <v>1</v>
      </c>
      <c r="C142" t="s">
        <v>167</v>
      </c>
      <c r="D142">
        <v>480</v>
      </c>
      <c r="E142">
        <v>4</v>
      </c>
      <c r="F142" t="s">
        <v>27</v>
      </c>
      <c r="G142">
        <v>707</v>
      </c>
      <c r="H142">
        <v>22</v>
      </c>
      <c r="I142" t="str">
        <f t="shared" si="2"/>
        <v>2024-05</v>
      </c>
    </row>
    <row r="143" spans="1:9" ht="15" customHeight="1" x14ac:dyDescent="0.25">
      <c r="A143">
        <v>142</v>
      </c>
      <c r="B143">
        <v>1</v>
      </c>
      <c r="C143" t="s">
        <v>168</v>
      </c>
      <c r="D143">
        <v>480</v>
      </c>
      <c r="E143">
        <v>35</v>
      </c>
      <c r="F143" t="s">
        <v>29</v>
      </c>
      <c r="G143">
        <v>654</v>
      </c>
      <c r="H143">
        <v>52</v>
      </c>
      <c r="I143" t="str">
        <f t="shared" si="2"/>
        <v>2024-05</v>
      </c>
    </row>
    <row r="144" spans="1:9" ht="15" customHeight="1" x14ac:dyDescent="0.25">
      <c r="A144">
        <v>143</v>
      </c>
      <c r="B144">
        <v>1</v>
      </c>
      <c r="C144" t="s">
        <v>169</v>
      </c>
      <c r="D144">
        <v>480</v>
      </c>
      <c r="E144">
        <v>19</v>
      </c>
      <c r="F144" t="s">
        <v>27</v>
      </c>
      <c r="G144">
        <v>630</v>
      </c>
      <c r="H144">
        <v>23</v>
      </c>
      <c r="I144" t="str">
        <f t="shared" si="2"/>
        <v>2024-05</v>
      </c>
    </row>
    <row r="145" spans="1:9" ht="15" customHeight="1" x14ac:dyDescent="0.25">
      <c r="A145">
        <v>144</v>
      </c>
      <c r="B145">
        <v>1</v>
      </c>
      <c r="C145" t="s">
        <v>170</v>
      </c>
      <c r="D145">
        <v>480</v>
      </c>
      <c r="E145">
        <v>64</v>
      </c>
      <c r="F145" t="s">
        <v>33</v>
      </c>
      <c r="G145">
        <v>634</v>
      </c>
      <c r="H145">
        <v>21</v>
      </c>
      <c r="I145" t="str">
        <f t="shared" si="2"/>
        <v>2024-05</v>
      </c>
    </row>
    <row r="146" spans="1:9" ht="15" customHeight="1" x14ac:dyDescent="0.25">
      <c r="A146">
        <v>145</v>
      </c>
      <c r="B146">
        <v>1</v>
      </c>
      <c r="C146" t="s">
        <v>171</v>
      </c>
      <c r="D146">
        <v>480</v>
      </c>
      <c r="E146">
        <v>3</v>
      </c>
      <c r="F146" t="s">
        <v>45</v>
      </c>
      <c r="G146">
        <v>739</v>
      </c>
      <c r="H146">
        <v>24</v>
      </c>
      <c r="I146" t="str">
        <f t="shared" si="2"/>
        <v>2024-05</v>
      </c>
    </row>
    <row r="147" spans="1:9" ht="15" customHeight="1" x14ac:dyDescent="0.25">
      <c r="A147">
        <v>146</v>
      </c>
      <c r="B147">
        <v>1</v>
      </c>
      <c r="C147" t="s">
        <v>172</v>
      </c>
      <c r="D147">
        <v>480</v>
      </c>
      <c r="E147">
        <v>77</v>
      </c>
      <c r="F147" t="s">
        <v>24</v>
      </c>
      <c r="G147">
        <v>625</v>
      </c>
      <c r="H147">
        <v>20</v>
      </c>
      <c r="I147" t="str">
        <f t="shared" si="2"/>
        <v>2024-05</v>
      </c>
    </row>
    <row r="148" spans="1:9" ht="15" customHeight="1" x14ac:dyDescent="0.25">
      <c r="A148">
        <v>147</v>
      </c>
      <c r="B148">
        <v>1</v>
      </c>
      <c r="C148" t="s">
        <v>173</v>
      </c>
      <c r="D148">
        <v>480</v>
      </c>
      <c r="E148">
        <v>3</v>
      </c>
      <c r="F148" t="s">
        <v>22</v>
      </c>
      <c r="G148">
        <v>782</v>
      </c>
      <c r="H148">
        <v>39</v>
      </c>
      <c r="I148" t="str">
        <f t="shared" si="2"/>
        <v>2024-05</v>
      </c>
    </row>
    <row r="149" spans="1:9" ht="15" customHeight="1" x14ac:dyDescent="0.25">
      <c r="A149">
        <v>148</v>
      </c>
      <c r="B149">
        <v>1</v>
      </c>
      <c r="C149" t="s">
        <v>174</v>
      </c>
      <c r="D149">
        <v>480</v>
      </c>
      <c r="E149">
        <v>20</v>
      </c>
      <c r="F149" t="s">
        <v>27</v>
      </c>
      <c r="G149">
        <v>729</v>
      </c>
      <c r="H149">
        <v>60</v>
      </c>
      <c r="I149" t="str">
        <f t="shared" si="2"/>
        <v>2024-05</v>
      </c>
    </row>
    <row r="150" spans="1:9" ht="15" customHeight="1" x14ac:dyDescent="0.25">
      <c r="A150">
        <v>149</v>
      </c>
      <c r="B150">
        <v>1</v>
      </c>
      <c r="C150" t="s">
        <v>175</v>
      </c>
      <c r="D150">
        <v>480</v>
      </c>
      <c r="E150">
        <v>191</v>
      </c>
      <c r="F150" t="s">
        <v>22</v>
      </c>
      <c r="G150">
        <v>453</v>
      </c>
      <c r="H150">
        <v>22</v>
      </c>
      <c r="I150" t="str">
        <f t="shared" si="2"/>
        <v>2024-05</v>
      </c>
    </row>
    <row r="151" spans="1:9" ht="15" customHeight="1" x14ac:dyDescent="0.25">
      <c r="A151">
        <v>150</v>
      </c>
      <c r="B151">
        <v>1</v>
      </c>
      <c r="C151" t="s">
        <v>176</v>
      </c>
      <c r="D151">
        <v>480</v>
      </c>
      <c r="E151">
        <v>3</v>
      </c>
      <c r="F151" t="s">
        <v>45</v>
      </c>
      <c r="G151">
        <v>751</v>
      </c>
      <c r="H151">
        <v>45</v>
      </c>
      <c r="I151" t="str">
        <f t="shared" si="2"/>
        <v>2024-05</v>
      </c>
    </row>
    <row r="152" spans="1:9" ht="15" customHeight="1" x14ac:dyDescent="0.25">
      <c r="A152">
        <v>151</v>
      </c>
      <c r="B152">
        <v>1</v>
      </c>
      <c r="C152" t="s">
        <v>177</v>
      </c>
      <c r="D152">
        <v>480</v>
      </c>
      <c r="E152">
        <v>24</v>
      </c>
      <c r="F152" t="s">
        <v>45</v>
      </c>
      <c r="G152">
        <v>736</v>
      </c>
      <c r="H152">
        <v>25</v>
      </c>
      <c r="I152" t="str">
        <f t="shared" si="2"/>
        <v>2024-05</v>
      </c>
    </row>
    <row r="153" spans="1:9" ht="15" customHeight="1" x14ac:dyDescent="0.25">
      <c r="A153">
        <v>152</v>
      </c>
      <c r="B153">
        <v>1</v>
      </c>
      <c r="C153" t="s">
        <v>178</v>
      </c>
      <c r="D153">
        <v>480</v>
      </c>
      <c r="E153">
        <v>30</v>
      </c>
      <c r="F153" t="s">
        <v>29</v>
      </c>
      <c r="G153">
        <v>600</v>
      </c>
      <c r="H153">
        <v>33</v>
      </c>
      <c r="I153" t="str">
        <f t="shared" si="2"/>
        <v>2024-05</v>
      </c>
    </row>
    <row r="154" spans="1:9" ht="15" customHeight="1" x14ac:dyDescent="0.25">
      <c r="A154">
        <v>153</v>
      </c>
      <c r="B154">
        <v>1</v>
      </c>
      <c r="C154" t="s">
        <v>179</v>
      </c>
      <c r="D154">
        <v>480</v>
      </c>
      <c r="E154">
        <v>2</v>
      </c>
      <c r="F154" t="s">
        <v>45</v>
      </c>
      <c r="G154">
        <v>654</v>
      </c>
      <c r="H154">
        <v>23</v>
      </c>
      <c r="I154" t="str">
        <f t="shared" si="2"/>
        <v>2024-06</v>
      </c>
    </row>
    <row r="155" spans="1:9" ht="15" customHeight="1" x14ac:dyDescent="0.25">
      <c r="A155">
        <v>154</v>
      </c>
      <c r="B155">
        <v>1</v>
      </c>
      <c r="C155" t="s">
        <v>180</v>
      </c>
      <c r="D155">
        <v>480</v>
      </c>
      <c r="E155">
        <v>47</v>
      </c>
      <c r="F155" t="s">
        <v>24</v>
      </c>
      <c r="G155">
        <v>677</v>
      </c>
      <c r="H155">
        <v>42</v>
      </c>
      <c r="I155" t="str">
        <f t="shared" si="2"/>
        <v>2024-06</v>
      </c>
    </row>
    <row r="156" spans="1:9" ht="15" customHeight="1" x14ac:dyDescent="0.25">
      <c r="A156">
        <v>155</v>
      </c>
      <c r="B156">
        <v>1</v>
      </c>
      <c r="C156" t="s">
        <v>181</v>
      </c>
      <c r="D156">
        <v>480</v>
      </c>
      <c r="E156">
        <v>147</v>
      </c>
      <c r="F156" t="s">
        <v>24</v>
      </c>
      <c r="G156">
        <v>482</v>
      </c>
      <c r="H156">
        <v>21</v>
      </c>
      <c r="I156" t="str">
        <f t="shared" si="2"/>
        <v>2024-06</v>
      </c>
    </row>
    <row r="157" spans="1:9" ht="15" customHeight="1" x14ac:dyDescent="0.25">
      <c r="A157">
        <v>156</v>
      </c>
      <c r="B157">
        <v>1</v>
      </c>
      <c r="C157" t="s">
        <v>182</v>
      </c>
      <c r="D157">
        <v>480</v>
      </c>
      <c r="E157">
        <v>91</v>
      </c>
      <c r="F157" t="s">
        <v>33</v>
      </c>
      <c r="G157">
        <v>545</v>
      </c>
      <c r="H157">
        <v>45</v>
      </c>
      <c r="I157" t="str">
        <f t="shared" si="2"/>
        <v>2024-06</v>
      </c>
    </row>
    <row r="158" spans="1:9" ht="15" customHeight="1" x14ac:dyDescent="0.25">
      <c r="A158">
        <v>157</v>
      </c>
      <c r="B158">
        <v>1</v>
      </c>
      <c r="C158" t="s">
        <v>183</v>
      </c>
      <c r="D158">
        <v>480</v>
      </c>
      <c r="E158">
        <v>0</v>
      </c>
      <c r="F158" t="s">
        <v>33</v>
      </c>
      <c r="G158">
        <v>785</v>
      </c>
      <c r="H158">
        <v>24</v>
      </c>
      <c r="I158" t="str">
        <f t="shared" si="2"/>
        <v>2024-06</v>
      </c>
    </row>
    <row r="159" spans="1:9" ht="15" customHeight="1" x14ac:dyDescent="0.25">
      <c r="A159">
        <v>158</v>
      </c>
      <c r="B159">
        <v>1</v>
      </c>
      <c r="C159" t="s">
        <v>184</v>
      </c>
      <c r="D159">
        <v>480</v>
      </c>
      <c r="E159">
        <v>99</v>
      </c>
      <c r="F159" t="s">
        <v>29</v>
      </c>
      <c r="G159">
        <v>570</v>
      </c>
      <c r="H159">
        <v>48</v>
      </c>
      <c r="I159" t="str">
        <f t="shared" si="2"/>
        <v>2024-06</v>
      </c>
    </row>
    <row r="160" spans="1:9" ht="15" customHeight="1" x14ac:dyDescent="0.25">
      <c r="A160">
        <v>159</v>
      </c>
      <c r="B160">
        <v>1</v>
      </c>
      <c r="C160" t="s">
        <v>185</v>
      </c>
      <c r="D160">
        <v>480</v>
      </c>
      <c r="E160">
        <v>3</v>
      </c>
      <c r="F160" t="s">
        <v>33</v>
      </c>
      <c r="G160">
        <v>717</v>
      </c>
      <c r="H160">
        <v>60</v>
      </c>
      <c r="I160" t="str">
        <f t="shared" si="2"/>
        <v>2024-06</v>
      </c>
    </row>
    <row r="161" spans="1:9" ht="15" customHeight="1" x14ac:dyDescent="0.25">
      <c r="A161">
        <v>160</v>
      </c>
      <c r="B161">
        <v>1</v>
      </c>
      <c r="C161" t="s">
        <v>186</v>
      </c>
      <c r="D161">
        <v>480</v>
      </c>
      <c r="E161">
        <v>33</v>
      </c>
      <c r="F161" t="s">
        <v>45</v>
      </c>
      <c r="G161">
        <v>683</v>
      </c>
      <c r="H161">
        <v>46</v>
      </c>
      <c r="I161" t="str">
        <f t="shared" si="2"/>
        <v>2024-06</v>
      </c>
    </row>
    <row r="162" spans="1:9" ht="15" customHeight="1" x14ac:dyDescent="0.25">
      <c r="A162">
        <v>161</v>
      </c>
      <c r="B162">
        <v>1</v>
      </c>
      <c r="C162" t="s">
        <v>187</v>
      </c>
      <c r="D162">
        <v>480</v>
      </c>
      <c r="E162">
        <v>27</v>
      </c>
      <c r="F162" t="s">
        <v>45</v>
      </c>
      <c r="G162">
        <v>692</v>
      </c>
      <c r="H162">
        <v>43</v>
      </c>
      <c r="I162" t="str">
        <f t="shared" si="2"/>
        <v>2024-06</v>
      </c>
    </row>
    <row r="163" spans="1:9" ht="15" customHeight="1" x14ac:dyDescent="0.25">
      <c r="A163">
        <v>162</v>
      </c>
      <c r="B163">
        <v>1</v>
      </c>
      <c r="C163" t="s">
        <v>188</v>
      </c>
      <c r="D163">
        <v>480</v>
      </c>
      <c r="E163">
        <v>104</v>
      </c>
      <c r="F163" t="s">
        <v>45</v>
      </c>
      <c r="G163">
        <v>506</v>
      </c>
      <c r="H163">
        <v>22</v>
      </c>
      <c r="I163" t="str">
        <f t="shared" si="2"/>
        <v>2024-06</v>
      </c>
    </row>
    <row r="164" spans="1:9" ht="15" customHeight="1" x14ac:dyDescent="0.25">
      <c r="A164">
        <v>163</v>
      </c>
      <c r="B164">
        <v>1</v>
      </c>
      <c r="C164" t="s">
        <v>189</v>
      </c>
      <c r="D164">
        <v>480</v>
      </c>
      <c r="E164">
        <v>135</v>
      </c>
      <c r="F164" t="s">
        <v>45</v>
      </c>
      <c r="G164">
        <v>555</v>
      </c>
      <c r="H164">
        <v>30</v>
      </c>
      <c r="I164" t="str">
        <f t="shared" si="2"/>
        <v>2024-06</v>
      </c>
    </row>
    <row r="165" spans="1:9" ht="15" customHeight="1" x14ac:dyDescent="0.25">
      <c r="A165">
        <v>164</v>
      </c>
      <c r="B165">
        <v>1</v>
      </c>
      <c r="C165" t="s">
        <v>190</v>
      </c>
      <c r="D165">
        <v>480</v>
      </c>
      <c r="E165">
        <v>43</v>
      </c>
      <c r="F165" t="s">
        <v>22</v>
      </c>
      <c r="G165">
        <v>619</v>
      </c>
      <c r="H165">
        <v>24</v>
      </c>
      <c r="I165" t="str">
        <f t="shared" si="2"/>
        <v>2024-06</v>
      </c>
    </row>
    <row r="166" spans="1:9" ht="15" customHeight="1" x14ac:dyDescent="0.25">
      <c r="A166">
        <v>165</v>
      </c>
      <c r="B166">
        <v>1</v>
      </c>
      <c r="C166" t="s">
        <v>191</v>
      </c>
      <c r="D166">
        <v>480</v>
      </c>
      <c r="E166">
        <v>28</v>
      </c>
      <c r="F166" t="s">
        <v>29</v>
      </c>
      <c r="G166">
        <v>651</v>
      </c>
      <c r="H166">
        <v>40</v>
      </c>
      <c r="I166" t="str">
        <f t="shared" si="2"/>
        <v>2024-06</v>
      </c>
    </row>
    <row r="167" spans="1:9" ht="15" customHeight="1" x14ac:dyDescent="0.25">
      <c r="A167">
        <v>166</v>
      </c>
      <c r="B167">
        <v>1</v>
      </c>
      <c r="C167" t="s">
        <v>192</v>
      </c>
      <c r="D167">
        <v>480</v>
      </c>
      <c r="E167">
        <v>3</v>
      </c>
      <c r="F167" t="s">
        <v>22</v>
      </c>
      <c r="G167">
        <v>780</v>
      </c>
      <c r="H167">
        <v>66</v>
      </c>
      <c r="I167" t="str">
        <f t="shared" si="2"/>
        <v>2024-06</v>
      </c>
    </row>
    <row r="168" spans="1:9" ht="15" customHeight="1" x14ac:dyDescent="0.25">
      <c r="A168">
        <v>167</v>
      </c>
      <c r="B168">
        <v>1</v>
      </c>
      <c r="C168" t="s">
        <v>193</v>
      </c>
      <c r="D168">
        <v>480</v>
      </c>
      <c r="E168">
        <v>53</v>
      </c>
      <c r="F168" t="s">
        <v>45</v>
      </c>
      <c r="G168">
        <v>640</v>
      </c>
      <c r="H168">
        <v>29</v>
      </c>
      <c r="I168" t="str">
        <f t="shared" si="2"/>
        <v>2024-06</v>
      </c>
    </row>
    <row r="169" spans="1:9" ht="15" customHeight="1" x14ac:dyDescent="0.25">
      <c r="A169">
        <v>168</v>
      </c>
      <c r="B169">
        <v>1</v>
      </c>
      <c r="C169" t="s">
        <v>194</v>
      </c>
      <c r="D169">
        <v>480</v>
      </c>
      <c r="E169">
        <v>75</v>
      </c>
      <c r="F169" t="s">
        <v>22</v>
      </c>
      <c r="G169">
        <v>626</v>
      </c>
      <c r="H169">
        <v>23</v>
      </c>
      <c r="I169" t="str">
        <f t="shared" si="2"/>
        <v>2024-06</v>
      </c>
    </row>
    <row r="170" spans="1:9" ht="15" customHeight="1" x14ac:dyDescent="0.25">
      <c r="A170">
        <v>169</v>
      </c>
      <c r="B170">
        <v>1</v>
      </c>
      <c r="C170" t="s">
        <v>195</v>
      </c>
      <c r="D170">
        <v>480</v>
      </c>
      <c r="E170">
        <v>108</v>
      </c>
      <c r="F170" t="s">
        <v>24</v>
      </c>
      <c r="G170">
        <v>591</v>
      </c>
      <c r="H170">
        <v>49</v>
      </c>
      <c r="I170" t="str">
        <f t="shared" si="2"/>
        <v>2024-06</v>
      </c>
    </row>
    <row r="171" spans="1:9" ht="15" customHeight="1" x14ac:dyDescent="0.25">
      <c r="A171">
        <v>170</v>
      </c>
      <c r="B171">
        <v>1</v>
      </c>
      <c r="C171" t="s">
        <v>196</v>
      </c>
      <c r="D171">
        <v>480</v>
      </c>
      <c r="E171">
        <v>58</v>
      </c>
      <c r="F171" t="s">
        <v>24</v>
      </c>
      <c r="G171">
        <v>643</v>
      </c>
      <c r="H171">
        <v>33</v>
      </c>
      <c r="I171" t="str">
        <f t="shared" si="2"/>
        <v>2024-06</v>
      </c>
    </row>
    <row r="172" spans="1:9" ht="15" customHeight="1" x14ac:dyDescent="0.25">
      <c r="A172">
        <v>171</v>
      </c>
      <c r="B172">
        <v>1</v>
      </c>
      <c r="C172" t="s">
        <v>197</v>
      </c>
      <c r="D172">
        <v>480</v>
      </c>
      <c r="E172">
        <v>121</v>
      </c>
      <c r="F172" t="s">
        <v>24</v>
      </c>
      <c r="G172">
        <v>575</v>
      </c>
      <c r="H172">
        <v>18</v>
      </c>
      <c r="I172" t="str">
        <f t="shared" si="2"/>
        <v>2024-06</v>
      </c>
    </row>
    <row r="173" spans="1:9" ht="15" customHeight="1" x14ac:dyDescent="0.25">
      <c r="A173">
        <v>172</v>
      </c>
      <c r="B173">
        <v>1</v>
      </c>
      <c r="C173" t="s">
        <v>198</v>
      </c>
      <c r="D173">
        <v>480</v>
      </c>
      <c r="E173">
        <v>1</v>
      </c>
      <c r="F173" t="s">
        <v>27</v>
      </c>
      <c r="G173">
        <v>694</v>
      </c>
      <c r="H173">
        <v>52</v>
      </c>
      <c r="I173" t="str">
        <f t="shared" si="2"/>
        <v>2024-06</v>
      </c>
    </row>
    <row r="174" spans="1:9" ht="15" customHeight="1" x14ac:dyDescent="0.25">
      <c r="A174">
        <v>173</v>
      </c>
      <c r="B174">
        <v>1</v>
      </c>
      <c r="C174" t="s">
        <v>199</v>
      </c>
      <c r="D174">
        <v>480</v>
      </c>
      <c r="E174">
        <v>196</v>
      </c>
      <c r="F174" t="s">
        <v>24</v>
      </c>
      <c r="G174">
        <v>391</v>
      </c>
      <c r="H174">
        <v>24</v>
      </c>
      <c r="I174" t="str">
        <f t="shared" si="2"/>
        <v>2024-06</v>
      </c>
    </row>
    <row r="175" spans="1:9" ht="15" customHeight="1" x14ac:dyDescent="0.25">
      <c r="A175">
        <v>174</v>
      </c>
      <c r="B175">
        <v>1</v>
      </c>
      <c r="C175" t="s">
        <v>200</v>
      </c>
      <c r="D175">
        <v>480</v>
      </c>
      <c r="E175">
        <v>21</v>
      </c>
      <c r="F175" t="s">
        <v>27</v>
      </c>
      <c r="G175">
        <v>750</v>
      </c>
      <c r="H175">
        <v>57</v>
      </c>
      <c r="I175" t="str">
        <f t="shared" si="2"/>
        <v>2024-06</v>
      </c>
    </row>
    <row r="176" spans="1:9" ht="15" customHeight="1" x14ac:dyDescent="0.25">
      <c r="A176">
        <v>175</v>
      </c>
      <c r="B176">
        <v>1</v>
      </c>
      <c r="C176" t="s">
        <v>201</v>
      </c>
      <c r="D176">
        <v>480</v>
      </c>
      <c r="E176">
        <v>81</v>
      </c>
      <c r="F176" t="s">
        <v>27</v>
      </c>
      <c r="G176">
        <v>589</v>
      </c>
      <c r="H176">
        <v>31</v>
      </c>
      <c r="I176" t="str">
        <f t="shared" si="2"/>
        <v>2024-06</v>
      </c>
    </row>
    <row r="177" spans="1:9" ht="15" customHeight="1" x14ac:dyDescent="0.25">
      <c r="A177">
        <v>176</v>
      </c>
      <c r="B177">
        <v>1</v>
      </c>
      <c r="C177" t="s">
        <v>202</v>
      </c>
      <c r="D177">
        <v>480</v>
      </c>
      <c r="E177">
        <v>14</v>
      </c>
      <c r="F177" t="s">
        <v>27</v>
      </c>
      <c r="G177">
        <v>628</v>
      </c>
      <c r="H177">
        <v>49</v>
      </c>
      <c r="I177" t="str">
        <f t="shared" si="2"/>
        <v>2024-06</v>
      </c>
    </row>
    <row r="178" spans="1:9" ht="15" customHeight="1" x14ac:dyDescent="0.25">
      <c r="A178">
        <v>177</v>
      </c>
      <c r="B178">
        <v>1</v>
      </c>
      <c r="C178" t="s">
        <v>203</v>
      </c>
      <c r="D178">
        <v>480</v>
      </c>
      <c r="E178">
        <v>75</v>
      </c>
      <c r="F178" t="s">
        <v>22</v>
      </c>
      <c r="G178">
        <v>666</v>
      </c>
      <c r="H178">
        <v>57</v>
      </c>
      <c r="I178" t="str">
        <f t="shared" si="2"/>
        <v>2024-06</v>
      </c>
    </row>
    <row r="179" spans="1:9" ht="15" customHeight="1" x14ac:dyDescent="0.25">
      <c r="A179">
        <v>178</v>
      </c>
      <c r="B179">
        <v>1</v>
      </c>
      <c r="C179" t="s">
        <v>204</v>
      </c>
      <c r="D179">
        <v>480</v>
      </c>
      <c r="E179">
        <v>36</v>
      </c>
      <c r="F179" t="s">
        <v>45</v>
      </c>
      <c r="G179">
        <v>698</v>
      </c>
      <c r="H179">
        <v>58</v>
      </c>
      <c r="I179" t="str">
        <f t="shared" si="2"/>
        <v>2024-06</v>
      </c>
    </row>
    <row r="180" spans="1:9" ht="15" customHeight="1" x14ac:dyDescent="0.25">
      <c r="A180">
        <v>179</v>
      </c>
      <c r="B180">
        <v>1</v>
      </c>
      <c r="C180" t="s">
        <v>205</v>
      </c>
      <c r="D180">
        <v>480</v>
      </c>
      <c r="E180">
        <v>85</v>
      </c>
      <c r="F180" t="s">
        <v>45</v>
      </c>
      <c r="G180">
        <v>556</v>
      </c>
      <c r="H180">
        <v>30</v>
      </c>
      <c r="I180" t="str">
        <f t="shared" si="2"/>
        <v>2024-06</v>
      </c>
    </row>
    <row r="181" spans="1:9" ht="15" customHeight="1" x14ac:dyDescent="0.25">
      <c r="A181">
        <v>180</v>
      </c>
      <c r="B181">
        <v>1</v>
      </c>
      <c r="C181" t="s">
        <v>206</v>
      </c>
      <c r="D181">
        <v>480</v>
      </c>
      <c r="E181">
        <v>6</v>
      </c>
      <c r="F181" t="s">
        <v>27</v>
      </c>
      <c r="G181">
        <v>772</v>
      </c>
      <c r="H181">
        <v>49</v>
      </c>
      <c r="I181" t="str">
        <f t="shared" si="2"/>
        <v>2024-06</v>
      </c>
    </row>
    <row r="182" spans="1:9" ht="15" customHeight="1" x14ac:dyDescent="0.25">
      <c r="A182">
        <v>181</v>
      </c>
      <c r="B182">
        <v>1</v>
      </c>
      <c r="C182" t="s">
        <v>207</v>
      </c>
      <c r="D182">
        <v>480</v>
      </c>
      <c r="E182">
        <v>11</v>
      </c>
      <c r="F182" t="s">
        <v>27</v>
      </c>
      <c r="G182">
        <v>723</v>
      </c>
      <c r="H182">
        <v>46</v>
      </c>
      <c r="I182" t="str">
        <f t="shared" si="2"/>
        <v>2024-06</v>
      </c>
    </row>
    <row r="183" spans="1:9" ht="15" customHeight="1" x14ac:dyDescent="0.25">
      <c r="A183">
        <v>182</v>
      </c>
      <c r="B183">
        <v>1</v>
      </c>
      <c r="C183" t="s">
        <v>208</v>
      </c>
      <c r="D183">
        <v>480</v>
      </c>
      <c r="E183">
        <v>19</v>
      </c>
      <c r="F183" t="s">
        <v>27</v>
      </c>
      <c r="G183">
        <v>630</v>
      </c>
      <c r="H183">
        <v>42</v>
      </c>
      <c r="I183" t="str">
        <f t="shared" si="2"/>
        <v>2024-06</v>
      </c>
    </row>
    <row r="184" spans="1:9" ht="15" customHeight="1" x14ac:dyDescent="0.25">
      <c r="A184">
        <v>183</v>
      </c>
      <c r="B184">
        <v>1</v>
      </c>
      <c r="C184" t="s">
        <v>209</v>
      </c>
      <c r="D184">
        <v>480</v>
      </c>
      <c r="E184">
        <v>33</v>
      </c>
      <c r="F184" t="s">
        <v>27</v>
      </c>
      <c r="G184">
        <v>703</v>
      </c>
      <c r="H184">
        <v>41</v>
      </c>
      <c r="I184" t="str">
        <f t="shared" si="2"/>
        <v>2024-07</v>
      </c>
    </row>
    <row r="185" spans="1:9" ht="15" customHeight="1" x14ac:dyDescent="0.25">
      <c r="A185">
        <v>184</v>
      </c>
      <c r="B185">
        <v>1</v>
      </c>
      <c r="C185" t="s">
        <v>210</v>
      </c>
      <c r="D185">
        <v>480</v>
      </c>
      <c r="E185">
        <v>85</v>
      </c>
      <c r="F185" t="s">
        <v>33</v>
      </c>
      <c r="G185">
        <v>594</v>
      </c>
      <c r="H185">
        <v>36</v>
      </c>
      <c r="I185" t="str">
        <f t="shared" si="2"/>
        <v>2024-07</v>
      </c>
    </row>
    <row r="186" spans="1:9" ht="15" customHeight="1" x14ac:dyDescent="0.25">
      <c r="A186">
        <v>185</v>
      </c>
      <c r="B186">
        <v>1</v>
      </c>
      <c r="C186" t="s">
        <v>211</v>
      </c>
      <c r="D186">
        <v>480</v>
      </c>
      <c r="E186">
        <v>94</v>
      </c>
      <c r="F186" t="s">
        <v>22</v>
      </c>
      <c r="G186">
        <v>562</v>
      </c>
      <c r="H186">
        <v>20</v>
      </c>
      <c r="I186" t="str">
        <f t="shared" si="2"/>
        <v>2024-07</v>
      </c>
    </row>
    <row r="187" spans="1:9" ht="15" customHeight="1" x14ac:dyDescent="0.25">
      <c r="A187">
        <v>186</v>
      </c>
      <c r="B187">
        <v>1</v>
      </c>
      <c r="C187" t="s">
        <v>212</v>
      </c>
      <c r="D187">
        <v>480</v>
      </c>
      <c r="E187">
        <v>1</v>
      </c>
      <c r="F187" t="s">
        <v>22</v>
      </c>
      <c r="G187">
        <v>751</v>
      </c>
      <c r="H187">
        <v>48</v>
      </c>
      <c r="I187" t="str">
        <f t="shared" si="2"/>
        <v>2024-07</v>
      </c>
    </row>
    <row r="188" spans="1:9" ht="15" customHeight="1" x14ac:dyDescent="0.25">
      <c r="A188">
        <v>187</v>
      </c>
      <c r="B188">
        <v>1</v>
      </c>
      <c r="C188" t="s">
        <v>213</v>
      </c>
      <c r="D188">
        <v>480</v>
      </c>
      <c r="E188">
        <v>54</v>
      </c>
      <c r="F188" t="s">
        <v>33</v>
      </c>
      <c r="G188">
        <v>595</v>
      </c>
      <c r="H188">
        <v>21</v>
      </c>
      <c r="I188" t="str">
        <f t="shared" si="2"/>
        <v>2024-07</v>
      </c>
    </row>
    <row r="189" spans="1:9" ht="15" customHeight="1" x14ac:dyDescent="0.25">
      <c r="A189">
        <v>188</v>
      </c>
      <c r="B189">
        <v>1</v>
      </c>
      <c r="C189" t="s">
        <v>214</v>
      </c>
      <c r="D189">
        <v>480</v>
      </c>
      <c r="E189">
        <v>0</v>
      </c>
      <c r="F189" t="s">
        <v>33</v>
      </c>
      <c r="G189">
        <v>691</v>
      </c>
      <c r="H189">
        <v>43</v>
      </c>
      <c r="I189" t="str">
        <f t="shared" si="2"/>
        <v>2024-07</v>
      </c>
    </row>
    <row r="190" spans="1:9" ht="15" customHeight="1" x14ac:dyDescent="0.25">
      <c r="A190">
        <v>189</v>
      </c>
      <c r="B190">
        <v>1</v>
      </c>
      <c r="C190" t="s">
        <v>215</v>
      </c>
      <c r="D190">
        <v>480</v>
      </c>
      <c r="E190">
        <v>22</v>
      </c>
      <c r="F190" t="s">
        <v>29</v>
      </c>
      <c r="G190">
        <v>672</v>
      </c>
      <c r="H190">
        <v>54</v>
      </c>
      <c r="I190" t="str">
        <f t="shared" si="2"/>
        <v>2024-07</v>
      </c>
    </row>
    <row r="191" spans="1:9" ht="15" customHeight="1" x14ac:dyDescent="0.25">
      <c r="A191">
        <v>190</v>
      </c>
      <c r="B191">
        <v>1</v>
      </c>
      <c r="C191" t="s">
        <v>216</v>
      </c>
      <c r="D191">
        <v>480</v>
      </c>
      <c r="E191">
        <v>19</v>
      </c>
      <c r="F191" t="s">
        <v>45</v>
      </c>
      <c r="G191">
        <v>688</v>
      </c>
      <c r="H191">
        <v>50</v>
      </c>
      <c r="I191" t="str">
        <f t="shared" si="2"/>
        <v>2024-07</v>
      </c>
    </row>
    <row r="192" spans="1:9" ht="15" customHeight="1" x14ac:dyDescent="0.25">
      <c r="A192">
        <v>191</v>
      </c>
      <c r="B192">
        <v>1</v>
      </c>
      <c r="C192" t="s">
        <v>217</v>
      </c>
      <c r="D192">
        <v>480</v>
      </c>
      <c r="E192">
        <v>22</v>
      </c>
      <c r="F192" t="s">
        <v>27</v>
      </c>
      <c r="G192">
        <v>699</v>
      </c>
      <c r="H192">
        <v>54</v>
      </c>
      <c r="I192" t="str">
        <f t="shared" si="2"/>
        <v>2024-07</v>
      </c>
    </row>
    <row r="193" spans="1:9" ht="15" customHeight="1" x14ac:dyDescent="0.25">
      <c r="A193">
        <v>192</v>
      </c>
      <c r="B193">
        <v>1</v>
      </c>
      <c r="C193" t="s">
        <v>218</v>
      </c>
      <c r="D193">
        <v>480</v>
      </c>
      <c r="E193">
        <v>134</v>
      </c>
      <c r="F193" t="s">
        <v>22</v>
      </c>
      <c r="G193">
        <v>476</v>
      </c>
      <c r="H193">
        <v>39</v>
      </c>
      <c r="I193" t="str">
        <f t="shared" si="2"/>
        <v>2024-07</v>
      </c>
    </row>
    <row r="194" spans="1:9" ht="15" customHeight="1" x14ac:dyDescent="0.25">
      <c r="A194">
        <v>193</v>
      </c>
      <c r="B194">
        <v>1</v>
      </c>
      <c r="C194" t="s">
        <v>219</v>
      </c>
      <c r="D194">
        <v>480</v>
      </c>
      <c r="E194">
        <v>30</v>
      </c>
      <c r="F194" t="s">
        <v>22</v>
      </c>
      <c r="G194">
        <v>635</v>
      </c>
      <c r="H194">
        <v>35</v>
      </c>
      <c r="I194" t="str">
        <f t="shared" ref="I194:I257" si="3">TEXT(C194,"yyyy-mm")</f>
        <v>2024-07</v>
      </c>
    </row>
    <row r="195" spans="1:9" ht="15" customHeight="1" x14ac:dyDescent="0.25">
      <c r="A195">
        <v>194</v>
      </c>
      <c r="B195">
        <v>1</v>
      </c>
      <c r="C195" t="s">
        <v>220</v>
      </c>
      <c r="D195">
        <v>480</v>
      </c>
      <c r="E195">
        <v>175</v>
      </c>
      <c r="F195" t="s">
        <v>29</v>
      </c>
      <c r="G195">
        <v>453</v>
      </c>
      <c r="H195">
        <v>21</v>
      </c>
      <c r="I195" t="str">
        <f t="shared" si="3"/>
        <v>2024-07</v>
      </c>
    </row>
    <row r="196" spans="1:9" ht="15" customHeight="1" x14ac:dyDescent="0.25">
      <c r="A196">
        <v>195</v>
      </c>
      <c r="B196">
        <v>1</v>
      </c>
      <c r="C196" t="s">
        <v>221</v>
      </c>
      <c r="D196">
        <v>480</v>
      </c>
      <c r="E196">
        <v>45</v>
      </c>
      <c r="F196" t="s">
        <v>22</v>
      </c>
      <c r="G196">
        <v>612</v>
      </c>
      <c r="H196">
        <v>20</v>
      </c>
      <c r="I196" t="str">
        <f t="shared" si="3"/>
        <v>2024-07</v>
      </c>
    </row>
    <row r="197" spans="1:9" ht="15" customHeight="1" x14ac:dyDescent="0.25">
      <c r="A197">
        <v>196</v>
      </c>
      <c r="B197">
        <v>1</v>
      </c>
      <c r="C197" t="s">
        <v>222</v>
      </c>
      <c r="D197">
        <v>480</v>
      </c>
      <c r="E197">
        <v>6</v>
      </c>
      <c r="F197" t="s">
        <v>22</v>
      </c>
      <c r="G197">
        <v>650</v>
      </c>
      <c r="H197">
        <v>24</v>
      </c>
      <c r="I197" t="str">
        <f t="shared" si="3"/>
        <v>2024-07</v>
      </c>
    </row>
    <row r="198" spans="1:9" ht="15" customHeight="1" x14ac:dyDescent="0.25">
      <c r="A198">
        <v>197</v>
      </c>
      <c r="B198">
        <v>1</v>
      </c>
      <c r="C198" t="s">
        <v>223</v>
      </c>
      <c r="D198">
        <v>480</v>
      </c>
      <c r="E198">
        <v>6</v>
      </c>
      <c r="F198" t="s">
        <v>45</v>
      </c>
      <c r="G198">
        <v>726</v>
      </c>
      <c r="H198">
        <v>28</v>
      </c>
      <c r="I198" t="str">
        <f t="shared" si="3"/>
        <v>2024-07</v>
      </c>
    </row>
    <row r="199" spans="1:9" ht="15" customHeight="1" x14ac:dyDescent="0.25">
      <c r="A199">
        <v>198</v>
      </c>
      <c r="B199">
        <v>1</v>
      </c>
      <c r="C199" t="s">
        <v>224</v>
      </c>
      <c r="D199">
        <v>480</v>
      </c>
      <c r="E199">
        <v>19</v>
      </c>
      <c r="F199" t="s">
        <v>24</v>
      </c>
      <c r="G199">
        <v>743</v>
      </c>
      <c r="H199">
        <v>41</v>
      </c>
      <c r="I199" t="str">
        <f t="shared" si="3"/>
        <v>2024-07</v>
      </c>
    </row>
    <row r="200" spans="1:9" ht="15" customHeight="1" x14ac:dyDescent="0.25">
      <c r="A200">
        <v>199</v>
      </c>
      <c r="B200">
        <v>1</v>
      </c>
      <c r="C200" t="s">
        <v>225</v>
      </c>
      <c r="D200">
        <v>480</v>
      </c>
      <c r="E200">
        <v>49</v>
      </c>
      <c r="F200" t="s">
        <v>45</v>
      </c>
      <c r="G200">
        <v>597</v>
      </c>
      <c r="H200">
        <v>23</v>
      </c>
      <c r="I200" t="str">
        <f t="shared" si="3"/>
        <v>2024-07</v>
      </c>
    </row>
    <row r="201" spans="1:9" ht="15" customHeight="1" x14ac:dyDescent="0.25">
      <c r="A201">
        <v>200</v>
      </c>
      <c r="B201">
        <v>1</v>
      </c>
      <c r="C201" t="s">
        <v>226</v>
      </c>
      <c r="D201">
        <v>480</v>
      </c>
      <c r="E201">
        <v>1</v>
      </c>
      <c r="F201" t="s">
        <v>29</v>
      </c>
      <c r="G201">
        <v>663</v>
      </c>
      <c r="H201">
        <v>29</v>
      </c>
      <c r="I201" t="str">
        <f t="shared" si="3"/>
        <v>2024-07</v>
      </c>
    </row>
    <row r="202" spans="1:9" ht="15" customHeight="1" x14ac:dyDescent="0.25">
      <c r="A202">
        <v>201</v>
      </c>
      <c r="B202">
        <v>1</v>
      </c>
      <c r="C202" t="s">
        <v>227</v>
      </c>
      <c r="D202">
        <v>480</v>
      </c>
      <c r="E202">
        <v>8</v>
      </c>
      <c r="F202" t="s">
        <v>22</v>
      </c>
      <c r="G202">
        <v>641</v>
      </c>
      <c r="H202">
        <v>22</v>
      </c>
      <c r="I202" t="str">
        <f t="shared" si="3"/>
        <v>2024-07</v>
      </c>
    </row>
    <row r="203" spans="1:9" ht="15" customHeight="1" x14ac:dyDescent="0.25">
      <c r="A203">
        <v>202</v>
      </c>
      <c r="B203">
        <v>1</v>
      </c>
      <c r="C203" t="s">
        <v>228</v>
      </c>
      <c r="D203">
        <v>480</v>
      </c>
      <c r="E203">
        <v>27</v>
      </c>
      <c r="F203" t="s">
        <v>45</v>
      </c>
      <c r="G203">
        <v>632</v>
      </c>
      <c r="H203">
        <v>31</v>
      </c>
      <c r="I203" t="str">
        <f t="shared" si="3"/>
        <v>2024-07</v>
      </c>
    </row>
    <row r="204" spans="1:9" ht="15" customHeight="1" x14ac:dyDescent="0.25">
      <c r="A204">
        <v>203</v>
      </c>
      <c r="B204">
        <v>1</v>
      </c>
      <c r="C204" t="s">
        <v>229</v>
      </c>
      <c r="D204">
        <v>480</v>
      </c>
      <c r="E204">
        <v>31</v>
      </c>
      <c r="F204" t="s">
        <v>45</v>
      </c>
      <c r="G204">
        <v>695</v>
      </c>
      <c r="H204">
        <v>21</v>
      </c>
      <c r="I204" t="str">
        <f t="shared" si="3"/>
        <v>2024-07</v>
      </c>
    </row>
    <row r="205" spans="1:9" ht="15" customHeight="1" x14ac:dyDescent="0.25">
      <c r="A205">
        <v>204</v>
      </c>
      <c r="B205">
        <v>1</v>
      </c>
      <c r="C205" t="s">
        <v>230</v>
      </c>
      <c r="D205">
        <v>480</v>
      </c>
      <c r="E205">
        <v>72</v>
      </c>
      <c r="F205" t="s">
        <v>22</v>
      </c>
      <c r="G205">
        <v>623</v>
      </c>
      <c r="H205">
        <v>20</v>
      </c>
      <c r="I205" t="str">
        <f t="shared" si="3"/>
        <v>2024-07</v>
      </c>
    </row>
    <row r="206" spans="1:9" ht="15" customHeight="1" x14ac:dyDescent="0.25">
      <c r="A206">
        <v>205</v>
      </c>
      <c r="B206">
        <v>1</v>
      </c>
      <c r="C206" t="s">
        <v>231</v>
      </c>
      <c r="D206">
        <v>480</v>
      </c>
      <c r="E206">
        <v>92</v>
      </c>
      <c r="F206" t="s">
        <v>45</v>
      </c>
      <c r="G206">
        <v>628</v>
      </c>
      <c r="H206">
        <v>20</v>
      </c>
      <c r="I206" t="str">
        <f t="shared" si="3"/>
        <v>2024-07</v>
      </c>
    </row>
    <row r="207" spans="1:9" ht="15" customHeight="1" x14ac:dyDescent="0.25">
      <c r="A207">
        <v>206</v>
      </c>
      <c r="B207">
        <v>1</v>
      </c>
      <c r="C207" t="s">
        <v>232</v>
      </c>
      <c r="D207">
        <v>480</v>
      </c>
      <c r="E207">
        <v>14</v>
      </c>
      <c r="F207" t="s">
        <v>24</v>
      </c>
      <c r="G207">
        <v>738</v>
      </c>
      <c r="H207">
        <v>738</v>
      </c>
      <c r="I207" t="str">
        <f t="shared" si="3"/>
        <v>2024-07</v>
      </c>
    </row>
    <row r="208" spans="1:9" ht="15" customHeight="1" x14ac:dyDescent="0.25">
      <c r="A208">
        <v>207</v>
      </c>
      <c r="B208">
        <v>1</v>
      </c>
      <c r="C208" t="s">
        <v>233</v>
      </c>
      <c r="D208">
        <v>480</v>
      </c>
      <c r="E208">
        <v>9</v>
      </c>
      <c r="F208" t="s">
        <v>45</v>
      </c>
      <c r="G208">
        <v>658</v>
      </c>
      <c r="H208">
        <v>32</v>
      </c>
      <c r="I208" t="str">
        <f t="shared" si="3"/>
        <v>2024-07</v>
      </c>
    </row>
    <row r="209" spans="1:9" ht="15" customHeight="1" x14ac:dyDescent="0.25">
      <c r="A209">
        <v>208</v>
      </c>
      <c r="B209">
        <v>1</v>
      </c>
      <c r="C209" t="s">
        <v>234</v>
      </c>
      <c r="D209">
        <v>480</v>
      </c>
      <c r="E209">
        <v>29</v>
      </c>
      <c r="F209" t="s">
        <v>45</v>
      </c>
      <c r="G209">
        <v>687</v>
      </c>
      <c r="H209">
        <v>34</v>
      </c>
      <c r="I209" t="str">
        <f t="shared" si="3"/>
        <v>2024-07</v>
      </c>
    </row>
    <row r="210" spans="1:9" ht="15" customHeight="1" x14ac:dyDescent="0.25">
      <c r="A210">
        <v>209</v>
      </c>
      <c r="B210">
        <v>1</v>
      </c>
      <c r="C210" t="s">
        <v>235</v>
      </c>
      <c r="D210">
        <v>480</v>
      </c>
      <c r="E210">
        <v>27</v>
      </c>
      <c r="F210" t="s">
        <v>29</v>
      </c>
      <c r="G210">
        <v>709</v>
      </c>
      <c r="H210">
        <v>21</v>
      </c>
      <c r="I210" t="str">
        <f t="shared" si="3"/>
        <v>2024-07</v>
      </c>
    </row>
    <row r="211" spans="1:9" ht="15" customHeight="1" x14ac:dyDescent="0.25">
      <c r="A211">
        <v>210</v>
      </c>
      <c r="B211">
        <v>1</v>
      </c>
      <c r="C211" t="s">
        <v>236</v>
      </c>
      <c r="D211">
        <v>480</v>
      </c>
      <c r="E211">
        <v>13</v>
      </c>
      <c r="F211" t="s">
        <v>45</v>
      </c>
      <c r="G211">
        <v>726</v>
      </c>
      <c r="H211">
        <v>58</v>
      </c>
      <c r="I211" t="str">
        <f t="shared" si="3"/>
        <v>2024-07</v>
      </c>
    </row>
    <row r="212" spans="1:9" ht="15" customHeight="1" x14ac:dyDescent="0.25">
      <c r="A212">
        <v>211</v>
      </c>
      <c r="B212">
        <v>1</v>
      </c>
      <c r="C212" t="s">
        <v>237</v>
      </c>
      <c r="D212">
        <v>480</v>
      </c>
      <c r="E212">
        <v>32</v>
      </c>
      <c r="F212" t="s">
        <v>22</v>
      </c>
      <c r="G212">
        <v>671</v>
      </c>
      <c r="H212">
        <v>23</v>
      </c>
      <c r="I212" t="str">
        <f t="shared" si="3"/>
        <v>2024-07</v>
      </c>
    </row>
    <row r="213" spans="1:9" ht="15" customHeight="1" x14ac:dyDescent="0.25">
      <c r="A213">
        <v>212</v>
      </c>
      <c r="B213">
        <v>1</v>
      </c>
      <c r="C213" t="s">
        <v>238</v>
      </c>
      <c r="D213">
        <v>480</v>
      </c>
      <c r="E213">
        <v>26</v>
      </c>
      <c r="F213" t="s">
        <v>29</v>
      </c>
      <c r="G213">
        <v>680</v>
      </c>
      <c r="H213">
        <v>29</v>
      </c>
      <c r="I213" t="str">
        <f t="shared" si="3"/>
        <v>2024-07</v>
      </c>
    </row>
    <row r="214" spans="1:9" ht="15" customHeight="1" x14ac:dyDescent="0.25">
      <c r="A214">
        <v>213</v>
      </c>
      <c r="B214">
        <v>1</v>
      </c>
      <c r="C214" t="s">
        <v>239</v>
      </c>
      <c r="D214">
        <v>480</v>
      </c>
      <c r="E214">
        <v>14</v>
      </c>
      <c r="F214" t="s">
        <v>22</v>
      </c>
      <c r="G214">
        <v>675</v>
      </c>
      <c r="H214">
        <v>20</v>
      </c>
      <c r="I214" t="str">
        <f t="shared" si="3"/>
        <v>2024-07</v>
      </c>
    </row>
    <row r="215" spans="1:9" ht="15" customHeight="1" x14ac:dyDescent="0.25">
      <c r="A215">
        <v>214</v>
      </c>
      <c r="B215">
        <v>1</v>
      </c>
      <c r="C215" t="s">
        <v>240</v>
      </c>
      <c r="D215">
        <v>480</v>
      </c>
      <c r="E215">
        <v>17</v>
      </c>
      <c r="F215" t="s">
        <v>22</v>
      </c>
      <c r="G215">
        <v>647</v>
      </c>
      <c r="H215">
        <v>30</v>
      </c>
      <c r="I215" t="str">
        <f t="shared" si="3"/>
        <v>2024-08</v>
      </c>
    </row>
    <row r="216" spans="1:9" ht="15" customHeight="1" x14ac:dyDescent="0.25">
      <c r="A216">
        <v>215</v>
      </c>
      <c r="B216">
        <v>1</v>
      </c>
      <c r="C216" t="s">
        <v>241</v>
      </c>
      <c r="D216">
        <v>480</v>
      </c>
      <c r="E216">
        <v>5</v>
      </c>
      <c r="F216" t="s">
        <v>45</v>
      </c>
      <c r="G216">
        <v>765</v>
      </c>
      <c r="H216">
        <v>48</v>
      </c>
      <c r="I216" t="str">
        <f t="shared" si="3"/>
        <v>2024-08</v>
      </c>
    </row>
    <row r="217" spans="1:9" ht="15" customHeight="1" x14ac:dyDescent="0.25">
      <c r="A217">
        <v>216</v>
      </c>
      <c r="B217">
        <v>1</v>
      </c>
      <c r="C217" t="s">
        <v>242</v>
      </c>
      <c r="D217">
        <v>480</v>
      </c>
      <c r="E217">
        <v>51</v>
      </c>
      <c r="F217" t="s">
        <v>22</v>
      </c>
      <c r="G217">
        <v>677</v>
      </c>
      <c r="H217">
        <v>38</v>
      </c>
      <c r="I217" t="str">
        <f t="shared" si="3"/>
        <v>2024-08</v>
      </c>
    </row>
    <row r="218" spans="1:9" ht="15" customHeight="1" x14ac:dyDescent="0.25">
      <c r="A218">
        <v>217</v>
      </c>
      <c r="B218">
        <v>1</v>
      </c>
      <c r="C218" t="s">
        <v>243</v>
      </c>
      <c r="D218">
        <v>480</v>
      </c>
      <c r="E218">
        <v>4</v>
      </c>
      <c r="F218" t="s">
        <v>24</v>
      </c>
      <c r="G218">
        <v>713</v>
      </c>
      <c r="H218">
        <v>44</v>
      </c>
      <c r="I218" t="str">
        <f t="shared" si="3"/>
        <v>2024-08</v>
      </c>
    </row>
    <row r="219" spans="1:9" ht="15" customHeight="1" x14ac:dyDescent="0.25">
      <c r="A219">
        <v>218</v>
      </c>
      <c r="B219">
        <v>1</v>
      </c>
      <c r="C219" t="s">
        <v>244</v>
      </c>
      <c r="D219">
        <v>480</v>
      </c>
      <c r="E219">
        <v>61</v>
      </c>
      <c r="F219" t="s">
        <v>27</v>
      </c>
      <c r="G219">
        <v>614</v>
      </c>
      <c r="H219">
        <v>22</v>
      </c>
      <c r="I219" t="str">
        <f t="shared" si="3"/>
        <v>2024-08</v>
      </c>
    </row>
    <row r="220" spans="1:9" ht="15" customHeight="1" x14ac:dyDescent="0.25">
      <c r="A220">
        <v>219</v>
      </c>
      <c r="B220">
        <v>1</v>
      </c>
      <c r="C220" t="s">
        <v>245</v>
      </c>
      <c r="D220">
        <v>480</v>
      </c>
      <c r="E220">
        <v>15</v>
      </c>
      <c r="F220" t="s">
        <v>45</v>
      </c>
      <c r="G220">
        <v>672</v>
      </c>
      <c r="H220">
        <v>44</v>
      </c>
      <c r="I220" t="str">
        <f t="shared" si="3"/>
        <v>2024-08</v>
      </c>
    </row>
    <row r="221" spans="1:9" ht="15" customHeight="1" x14ac:dyDescent="0.25">
      <c r="A221">
        <v>220</v>
      </c>
      <c r="B221">
        <v>1</v>
      </c>
      <c r="C221" t="s">
        <v>246</v>
      </c>
      <c r="D221">
        <v>480</v>
      </c>
      <c r="E221">
        <v>38</v>
      </c>
      <c r="F221" t="s">
        <v>24</v>
      </c>
      <c r="G221">
        <v>637</v>
      </c>
      <c r="H221">
        <v>54</v>
      </c>
      <c r="I221" t="str">
        <f t="shared" si="3"/>
        <v>2024-08</v>
      </c>
    </row>
    <row r="222" spans="1:9" ht="15" customHeight="1" x14ac:dyDescent="0.25">
      <c r="A222">
        <v>221</v>
      </c>
      <c r="B222">
        <v>1</v>
      </c>
      <c r="C222" t="s">
        <v>247</v>
      </c>
      <c r="D222">
        <v>480</v>
      </c>
      <c r="E222">
        <v>41</v>
      </c>
      <c r="F222" t="s">
        <v>22</v>
      </c>
      <c r="G222">
        <v>617</v>
      </c>
      <c r="H222">
        <v>21</v>
      </c>
      <c r="I222" t="str">
        <f t="shared" si="3"/>
        <v>2024-08</v>
      </c>
    </row>
    <row r="223" spans="1:9" ht="15" customHeight="1" x14ac:dyDescent="0.25">
      <c r="A223">
        <v>222</v>
      </c>
      <c r="B223">
        <v>1</v>
      </c>
      <c r="C223" t="s">
        <v>248</v>
      </c>
      <c r="D223">
        <v>480</v>
      </c>
      <c r="E223">
        <v>7</v>
      </c>
      <c r="F223" t="s">
        <v>27</v>
      </c>
      <c r="G223">
        <v>666</v>
      </c>
      <c r="H223">
        <v>25</v>
      </c>
      <c r="I223" t="str">
        <f t="shared" si="3"/>
        <v>2024-08</v>
      </c>
    </row>
    <row r="224" spans="1:9" ht="15" customHeight="1" x14ac:dyDescent="0.25">
      <c r="A224">
        <v>223</v>
      </c>
      <c r="B224">
        <v>1</v>
      </c>
      <c r="C224" t="s">
        <v>249</v>
      </c>
      <c r="D224">
        <v>480</v>
      </c>
      <c r="E224">
        <v>9</v>
      </c>
      <c r="F224" t="s">
        <v>45</v>
      </c>
      <c r="G224">
        <v>669</v>
      </c>
      <c r="H224">
        <v>25</v>
      </c>
      <c r="I224" t="str">
        <f t="shared" si="3"/>
        <v>2024-08</v>
      </c>
    </row>
    <row r="225" spans="1:9" ht="15" customHeight="1" x14ac:dyDescent="0.25">
      <c r="A225">
        <v>224</v>
      </c>
      <c r="B225">
        <v>1</v>
      </c>
      <c r="C225" t="s">
        <v>250</v>
      </c>
      <c r="D225">
        <v>480</v>
      </c>
      <c r="E225">
        <v>102</v>
      </c>
      <c r="F225" t="s">
        <v>29</v>
      </c>
      <c r="G225">
        <v>512</v>
      </c>
      <c r="H225">
        <v>30</v>
      </c>
      <c r="I225" t="str">
        <f t="shared" si="3"/>
        <v>2024-08</v>
      </c>
    </row>
    <row r="226" spans="1:9" ht="15" customHeight="1" x14ac:dyDescent="0.25">
      <c r="A226">
        <v>225</v>
      </c>
      <c r="B226">
        <v>1</v>
      </c>
      <c r="C226" t="s">
        <v>251</v>
      </c>
      <c r="D226">
        <v>480</v>
      </c>
      <c r="E226">
        <v>23</v>
      </c>
      <c r="F226" t="s">
        <v>29</v>
      </c>
      <c r="G226">
        <v>749</v>
      </c>
      <c r="H226">
        <v>26</v>
      </c>
      <c r="I226" t="str">
        <f t="shared" si="3"/>
        <v>2024-08</v>
      </c>
    </row>
    <row r="227" spans="1:9" ht="15" customHeight="1" x14ac:dyDescent="0.25">
      <c r="A227">
        <v>226</v>
      </c>
      <c r="B227">
        <v>1</v>
      </c>
      <c r="C227" t="s">
        <v>252</v>
      </c>
      <c r="D227">
        <v>480</v>
      </c>
      <c r="E227">
        <v>22</v>
      </c>
      <c r="F227" t="s">
        <v>29</v>
      </c>
      <c r="G227">
        <v>749</v>
      </c>
      <c r="H227">
        <v>58</v>
      </c>
      <c r="I227" t="str">
        <f t="shared" si="3"/>
        <v>2024-08</v>
      </c>
    </row>
    <row r="228" spans="1:9" ht="15" customHeight="1" x14ac:dyDescent="0.25">
      <c r="A228">
        <v>227</v>
      </c>
      <c r="B228">
        <v>1</v>
      </c>
      <c r="C228" t="s">
        <v>253</v>
      </c>
      <c r="D228">
        <v>480</v>
      </c>
      <c r="E228">
        <v>76</v>
      </c>
      <c r="F228" t="s">
        <v>33</v>
      </c>
      <c r="G228">
        <v>570</v>
      </c>
      <c r="H228">
        <v>22</v>
      </c>
      <c r="I228" t="str">
        <f t="shared" si="3"/>
        <v>2024-08</v>
      </c>
    </row>
    <row r="229" spans="1:9" ht="15" customHeight="1" x14ac:dyDescent="0.25">
      <c r="A229">
        <v>228</v>
      </c>
      <c r="B229">
        <v>1</v>
      </c>
      <c r="C229" t="s">
        <v>254</v>
      </c>
      <c r="D229">
        <v>480</v>
      </c>
      <c r="E229">
        <v>49</v>
      </c>
      <c r="F229" t="s">
        <v>29</v>
      </c>
      <c r="G229">
        <v>699</v>
      </c>
      <c r="H229">
        <v>42</v>
      </c>
      <c r="I229" t="str">
        <f t="shared" si="3"/>
        <v>2024-08</v>
      </c>
    </row>
    <row r="230" spans="1:9" ht="15" customHeight="1" x14ac:dyDescent="0.25">
      <c r="A230">
        <v>229</v>
      </c>
      <c r="B230">
        <v>1</v>
      </c>
      <c r="C230" t="s">
        <v>255</v>
      </c>
      <c r="D230">
        <v>480</v>
      </c>
      <c r="E230">
        <v>38</v>
      </c>
      <c r="F230" t="s">
        <v>27</v>
      </c>
      <c r="G230">
        <v>627</v>
      </c>
      <c r="H230">
        <v>45</v>
      </c>
      <c r="I230" t="str">
        <f t="shared" si="3"/>
        <v>2024-08</v>
      </c>
    </row>
    <row r="231" spans="1:9" ht="15" customHeight="1" x14ac:dyDescent="0.25">
      <c r="A231">
        <v>230</v>
      </c>
      <c r="B231">
        <v>1</v>
      </c>
      <c r="C231" t="s">
        <v>256</v>
      </c>
      <c r="D231">
        <v>480</v>
      </c>
      <c r="E231">
        <v>9</v>
      </c>
      <c r="F231" t="s">
        <v>24</v>
      </c>
      <c r="G231">
        <v>674</v>
      </c>
      <c r="H231">
        <v>35</v>
      </c>
      <c r="I231" t="str">
        <f t="shared" si="3"/>
        <v>2024-08</v>
      </c>
    </row>
    <row r="232" spans="1:9" ht="15" customHeight="1" x14ac:dyDescent="0.25">
      <c r="A232">
        <v>231</v>
      </c>
      <c r="B232">
        <v>1</v>
      </c>
      <c r="C232" t="s">
        <v>257</v>
      </c>
      <c r="D232">
        <v>480</v>
      </c>
      <c r="E232">
        <v>31</v>
      </c>
      <c r="F232" t="s">
        <v>27</v>
      </c>
      <c r="G232">
        <v>632</v>
      </c>
      <c r="H232">
        <v>22</v>
      </c>
      <c r="I232" t="str">
        <f t="shared" si="3"/>
        <v>2024-08</v>
      </c>
    </row>
    <row r="233" spans="1:9" ht="15" customHeight="1" x14ac:dyDescent="0.25">
      <c r="A233">
        <v>232</v>
      </c>
      <c r="B233">
        <v>1</v>
      </c>
      <c r="C233" t="s">
        <v>258</v>
      </c>
      <c r="D233">
        <v>480</v>
      </c>
      <c r="E233">
        <v>42</v>
      </c>
      <c r="F233" t="s">
        <v>22</v>
      </c>
      <c r="G233">
        <v>622</v>
      </c>
      <c r="H233">
        <v>38</v>
      </c>
      <c r="I233" t="str">
        <f t="shared" si="3"/>
        <v>2024-08</v>
      </c>
    </row>
    <row r="234" spans="1:9" ht="15" customHeight="1" x14ac:dyDescent="0.25">
      <c r="A234">
        <v>233</v>
      </c>
      <c r="B234">
        <v>1</v>
      </c>
      <c r="C234" t="s">
        <v>259</v>
      </c>
      <c r="D234">
        <v>480</v>
      </c>
      <c r="E234">
        <v>7</v>
      </c>
      <c r="F234" t="s">
        <v>33</v>
      </c>
      <c r="G234">
        <v>701</v>
      </c>
      <c r="H234">
        <v>41</v>
      </c>
      <c r="I234" t="str">
        <f t="shared" si="3"/>
        <v>2024-08</v>
      </c>
    </row>
    <row r="235" spans="1:9" ht="15" customHeight="1" x14ac:dyDescent="0.25">
      <c r="A235">
        <v>234</v>
      </c>
      <c r="B235">
        <v>1</v>
      </c>
      <c r="C235" t="s">
        <v>260</v>
      </c>
      <c r="D235">
        <v>480</v>
      </c>
      <c r="E235">
        <v>2</v>
      </c>
      <c r="F235" t="s">
        <v>24</v>
      </c>
      <c r="G235">
        <v>686</v>
      </c>
      <c r="H235">
        <v>25</v>
      </c>
      <c r="I235" t="str">
        <f t="shared" si="3"/>
        <v>2024-08</v>
      </c>
    </row>
    <row r="236" spans="1:9" ht="15" customHeight="1" x14ac:dyDescent="0.25">
      <c r="A236">
        <v>235</v>
      </c>
      <c r="B236">
        <v>1</v>
      </c>
      <c r="C236" t="s">
        <v>261</v>
      </c>
      <c r="D236">
        <v>480</v>
      </c>
      <c r="E236">
        <v>2</v>
      </c>
      <c r="F236" t="s">
        <v>29</v>
      </c>
      <c r="G236">
        <v>784</v>
      </c>
      <c r="H236">
        <v>37</v>
      </c>
      <c r="I236" t="str">
        <f t="shared" si="3"/>
        <v>2024-08</v>
      </c>
    </row>
    <row r="237" spans="1:9" ht="15" customHeight="1" x14ac:dyDescent="0.25">
      <c r="A237">
        <v>236</v>
      </c>
      <c r="B237">
        <v>1</v>
      </c>
      <c r="C237" t="s">
        <v>262</v>
      </c>
      <c r="D237">
        <v>480</v>
      </c>
      <c r="E237">
        <v>74</v>
      </c>
      <c r="F237" t="s">
        <v>45</v>
      </c>
      <c r="G237">
        <v>573</v>
      </c>
      <c r="H237">
        <v>38</v>
      </c>
      <c r="I237" t="str">
        <f t="shared" si="3"/>
        <v>2024-08</v>
      </c>
    </row>
    <row r="238" spans="1:9" ht="15" customHeight="1" x14ac:dyDescent="0.25">
      <c r="A238">
        <v>237</v>
      </c>
      <c r="B238">
        <v>1</v>
      </c>
      <c r="C238" t="s">
        <v>263</v>
      </c>
      <c r="D238">
        <v>480</v>
      </c>
      <c r="E238">
        <v>64</v>
      </c>
      <c r="F238" t="s">
        <v>45</v>
      </c>
      <c r="G238">
        <v>631</v>
      </c>
      <c r="H238">
        <v>35</v>
      </c>
      <c r="I238" t="str">
        <f t="shared" si="3"/>
        <v>2024-08</v>
      </c>
    </row>
    <row r="239" spans="1:9" ht="15" customHeight="1" x14ac:dyDescent="0.25">
      <c r="A239">
        <v>238</v>
      </c>
      <c r="B239">
        <v>1</v>
      </c>
      <c r="C239" t="s">
        <v>264</v>
      </c>
      <c r="D239">
        <v>480</v>
      </c>
      <c r="E239">
        <v>23</v>
      </c>
      <c r="F239" t="s">
        <v>45</v>
      </c>
      <c r="G239">
        <v>658</v>
      </c>
      <c r="H239">
        <v>54</v>
      </c>
      <c r="I239" t="str">
        <f t="shared" si="3"/>
        <v>2024-08</v>
      </c>
    </row>
    <row r="240" spans="1:9" ht="15" customHeight="1" x14ac:dyDescent="0.25">
      <c r="A240">
        <v>239</v>
      </c>
      <c r="B240">
        <v>1</v>
      </c>
      <c r="C240" t="s">
        <v>265</v>
      </c>
      <c r="D240">
        <v>480</v>
      </c>
      <c r="E240">
        <v>79</v>
      </c>
      <c r="F240" t="s">
        <v>45</v>
      </c>
      <c r="G240">
        <v>655</v>
      </c>
      <c r="H240">
        <v>23</v>
      </c>
      <c r="I240" t="str">
        <f t="shared" si="3"/>
        <v>2024-08</v>
      </c>
    </row>
    <row r="241" spans="1:9" ht="15" customHeight="1" x14ac:dyDescent="0.25">
      <c r="A241">
        <v>240</v>
      </c>
      <c r="B241">
        <v>1</v>
      </c>
      <c r="C241" t="s">
        <v>266</v>
      </c>
      <c r="D241">
        <v>480</v>
      </c>
      <c r="E241">
        <v>59</v>
      </c>
      <c r="F241" t="s">
        <v>29</v>
      </c>
      <c r="G241">
        <v>684</v>
      </c>
      <c r="H241">
        <v>26</v>
      </c>
      <c r="I241" t="str">
        <f t="shared" si="3"/>
        <v>2024-08</v>
      </c>
    </row>
    <row r="242" spans="1:9" ht="15" customHeight="1" x14ac:dyDescent="0.25">
      <c r="A242">
        <v>241</v>
      </c>
      <c r="B242">
        <v>1</v>
      </c>
      <c r="C242" t="s">
        <v>267</v>
      </c>
      <c r="D242">
        <v>480</v>
      </c>
      <c r="E242">
        <v>3</v>
      </c>
      <c r="F242" t="s">
        <v>45</v>
      </c>
      <c r="G242">
        <v>745</v>
      </c>
      <c r="H242">
        <v>46</v>
      </c>
      <c r="I242" t="str">
        <f t="shared" si="3"/>
        <v>2024-08</v>
      </c>
    </row>
    <row r="243" spans="1:9" ht="15" customHeight="1" x14ac:dyDescent="0.25">
      <c r="A243">
        <v>242</v>
      </c>
      <c r="B243">
        <v>1</v>
      </c>
      <c r="C243" t="s">
        <v>268</v>
      </c>
      <c r="D243">
        <v>480</v>
      </c>
      <c r="E243">
        <v>82</v>
      </c>
      <c r="F243" t="s">
        <v>27</v>
      </c>
      <c r="G243">
        <v>547</v>
      </c>
      <c r="H243">
        <v>40</v>
      </c>
      <c r="I243" t="str">
        <f t="shared" si="3"/>
        <v>2024-08</v>
      </c>
    </row>
    <row r="244" spans="1:9" ht="15" customHeight="1" x14ac:dyDescent="0.25">
      <c r="A244">
        <v>243</v>
      </c>
      <c r="B244">
        <v>1</v>
      </c>
      <c r="C244" t="s">
        <v>269</v>
      </c>
      <c r="D244">
        <v>480</v>
      </c>
      <c r="E244">
        <v>10</v>
      </c>
      <c r="F244" t="s">
        <v>29</v>
      </c>
      <c r="G244">
        <v>649</v>
      </c>
      <c r="H244">
        <v>24</v>
      </c>
      <c r="I244" t="str">
        <f t="shared" si="3"/>
        <v>2024-08</v>
      </c>
    </row>
    <row r="245" spans="1:9" ht="15" customHeight="1" x14ac:dyDescent="0.25">
      <c r="A245">
        <v>244</v>
      </c>
      <c r="B245">
        <v>1</v>
      </c>
      <c r="C245" t="s">
        <v>270</v>
      </c>
      <c r="D245">
        <v>480</v>
      </c>
      <c r="E245">
        <v>75</v>
      </c>
      <c r="F245" t="s">
        <v>24</v>
      </c>
      <c r="G245">
        <v>623</v>
      </c>
      <c r="H245">
        <v>36</v>
      </c>
      <c r="I245" t="str">
        <f t="shared" si="3"/>
        <v>2024-08</v>
      </c>
    </row>
    <row r="246" spans="1:9" ht="15" customHeight="1" x14ac:dyDescent="0.25">
      <c r="A246">
        <v>245</v>
      </c>
      <c r="B246">
        <v>1</v>
      </c>
      <c r="C246" t="s">
        <v>271</v>
      </c>
      <c r="D246">
        <v>480</v>
      </c>
      <c r="E246">
        <v>19</v>
      </c>
      <c r="F246" t="s">
        <v>24</v>
      </c>
      <c r="G246">
        <v>740</v>
      </c>
      <c r="H246">
        <v>37</v>
      </c>
      <c r="I246" t="str">
        <f t="shared" si="3"/>
        <v>2024-09</v>
      </c>
    </row>
    <row r="247" spans="1:9" ht="15" customHeight="1" x14ac:dyDescent="0.25">
      <c r="A247">
        <v>246</v>
      </c>
      <c r="B247">
        <v>1</v>
      </c>
      <c r="C247" t="s">
        <v>272</v>
      </c>
      <c r="D247">
        <v>480</v>
      </c>
      <c r="E247">
        <v>76</v>
      </c>
      <c r="F247" t="s">
        <v>29</v>
      </c>
      <c r="G247">
        <v>593</v>
      </c>
      <c r="H247">
        <v>29</v>
      </c>
      <c r="I247" t="str">
        <f t="shared" si="3"/>
        <v>2024-09</v>
      </c>
    </row>
    <row r="248" spans="1:9" ht="15" customHeight="1" x14ac:dyDescent="0.25">
      <c r="A248">
        <v>247</v>
      </c>
      <c r="B248">
        <v>1</v>
      </c>
      <c r="C248" t="s">
        <v>273</v>
      </c>
      <c r="D248">
        <v>480</v>
      </c>
      <c r="E248">
        <v>27</v>
      </c>
      <c r="F248" t="s">
        <v>24</v>
      </c>
      <c r="G248">
        <v>646</v>
      </c>
      <c r="H248">
        <v>46</v>
      </c>
      <c r="I248" t="str">
        <f t="shared" si="3"/>
        <v>2024-09</v>
      </c>
    </row>
    <row r="249" spans="1:9" ht="15" customHeight="1" x14ac:dyDescent="0.25">
      <c r="A249">
        <v>248</v>
      </c>
      <c r="B249">
        <v>1</v>
      </c>
      <c r="C249" t="s">
        <v>274</v>
      </c>
      <c r="D249">
        <v>480</v>
      </c>
      <c r="E249">
        <v>31</v>
      </c>
      <c r="F249" t="s">
        <v>24</v>
      </c>
      <c r="G249">
        <v>630</v>
      </c>
      <c r="H249">
        <v>50</v>
      </c>
      <c r="I249" t="str">
        <f t="shared" si="3"/>
        <v>2024-09</v>
      </c>
    </row>
    <row r="250" spans="1:9" ht="15" customHeight="1" x14ac:dyDescent="0.25">
      <c r="A250">
        <v>249</v>
      </c>
      <c r="B250">
        <v>1</v>
      </c>
      <c r="C250" t="s">
        <v>275</v>
      </c>
      <c r="D250">
        <v>480</v>
      </c>
      <c r="E250">
        <v>21</v>
      </c>
      <c r="F250" t="s">
        <v>29</v>
      </c>
      <c r="G250">
        <v>689</v>
      </c>
      <c r="H250">
        <v>55</v>
      </c>
      <c r="I250" t="str">
        <f t="shared" si="3"/>
        <v>2024-09</v>
      </c>
    </row>
    <row r="251" spans="1:9" ht="15" customHeight="1" x14ac:dyDescent="0.25">
      <c r="A251">
        <v>250</v>
      </c>
      <c r="B251">
        <v>1</v>
      </c>
      <c r="C251" t="s">
        <v>276</v>
      </c>
      <c r="D251">
        <v>480</v>
      </c>
      <c r="E251">
        <v>44</v>
      </c>
      <c r="F251" t="s">
        <v>29</v>
      </c>
      <c r="G251">
        <v>596</v>
      </c>
      <c r="H251">
        <v>49</v>
      </c>
      <c r="I251" t="str">
        <f t="shared" si="3"/>
        <v>2024-09</v>
      </c>
    </row>
    <row r="252" spans="1:9" ht="15" customHeight="1" x14ac:dyDescent="0.25">
      <c r="A252">
        <v>251</v>
      </c>
      <c r="B252">
        <v>1</v>
      </c>
      <c r="C252" t="s">
        <v>277</v>
      </c>
      <c r="D252">
        <v>480</v>
      </c>
      <c r="E252">
        <v>44</v>
      </c>
      <c r="F252" t="s">
        <v>29</v>
      </c>
      <c r="G252">
        <v>626</v>
      </c>
      <c r="H252">
        <v>23</v>
      </c>
      <c r="I252" t="str">
        <f t="shared" si="3"/>
        <v>2024-09</v>
      </c>
    </row>
    <row r="253" spans="1:9" ht="15" customHeight="1" x14ac:dyDescent="0.25">
      <c r="A253">
        <v>252</v>
      </c>
      <c r="B253">
        <v>1</v>
      </c>
      <c r="C253" t="s">
        <v>278</v>
      </c>
      <c r="D253">
        <v>480</v>
      </c>
      <c r="E253">
        <v>71</v>
      </c>
      <c r="F253" t="s">
        <v>27</v>
      </c>
      <c r="G253">
        <v>624</v>
      </c>
      <c r="H253">
        <v>37</v>
      </c>
      <c r="I253" t="str">
        <f t="shared" si="3"/>
        <v>2024-09</v>
      </c>
    </row>
    <row r="254" spans="1:9" ht="15" customHeight="1" x14ac:dyDescent="0.25">
      <c r="A254">
        <v>253</v>
      </c>
      <c r="B254">
        <v>1</v>
      </c>
      <c r="C254" t="s">
        <v>279</v>
      </c>
      <c r="D254">
        <v>480</v>
      </c>
      <c r="E254">
        <v>100</v>
      </c>
      <c r="F254" t="s">
        <v>45</v>
      </c>
      <c r="G254">
        <v>599</v>
      </c>
      <c r="H254">
        <v>22</v>
      </c>
      <c r="I254" t="str">
        <f t="shared" si="3"/>
        <v>2024-09</v>
      </c>
    </row>
    <row r="255" spans="1:9" ht="15" customHeight="1" x14ac:dyDescent="0.25">
      <c r="A255">
        <v>254</v>
      </c>
      <c r="B255">
        <v>1</v>
      </c>
      <c r="C255" t="s">
        <v>280</v>
      </c>
      <c r="D255">
        <v>480</v>
      </c>
      <c r="E255">
        <v>16</v>
      </c>
      <c r="F255" t="s">
        <v>33</v>
      </c>
      <c r="G255">
        <v>654</v>
      </c>
      <c r="H255">
        <v>46</v>
      </c>
      <c r="I255" t="str">
        <f t="shared" si="3"/>
        <v>2024-09</v>
      </c>
    </row>
    <row r="256" spans="1:9" ht="15" customHeight="1" x14ac:dyDescent="0.25">
      <c r="A256">
        <v>255</v>
      </c>
      <c r="B256">
        <v>1</v>
      </c>
      <c r="C256" t="s">
        <v>281</v>
      </c>
      <c r="D256">
        <v>480</v>
      </c>
      <c r="E256">
        <v>1</v>
      </c>
      <c r="F256" t="s">
        <v>29</v>
      </c>
      <c r="G256">
        <v>723</v>
      </c>
      <c r="H256">
        <v>52</v>
      </c>
      <c r="I256" t="str">
        <f t="shared" si="3"/>
        <v>2024-09</v>
      </c>
    </row>
    <row r="257" spans="1:9" ht="15" customHeight="1" x14ac:dyDescent="0.25">
      <c r="A257">
        <v>256</v>
      </c>
      <c r="B257">
        <v>1</v>
      </c>
      <c r="C257" t="s">
        <v>282</v>
      </c>
      <c r="D257">
        <v>480</v>
      </c>
      <c r="E257">
        <v>94</v>
      </c>
      <c r="F257" t="s">
        <v>27</v>
      </c>
      <c r="G257">
        <v>555</v>
      </c>
      <c r="H257">
        <v>42</v>
      </c>
      <c r="I257" t="str">
        <f t="shared" si="3"/>
        <v>2024-09</v>
      </c>
    </row>
    <row r="258" spans="1:9" ht="15" customHeight="1" x14ac:dyDescent="0.25">
      <c r="A258">
        <v>257</v>
      </c>
      <c r="B258">
        <v>1</v>
      </c>
      <c r="C258" t="s">
        <v>283</v>
      </c>
      <c r="D258">
        <v>480</v>
      </c>
      <c r="E258">
        <v>5</v>
      </c>
      <c r="F258" t="s">
        <v>22</v>
      </c>
      <c r="G258">
        <v>758</v>
      </c>
      <c r="H258">
        <v>27</v>
      </c>
      <c r="I258" t="str">
        <f t="shared" ref="I258:I321" si="4">TEXT(C258,"yyyy-mm")</f>
        <v>2024-09</v>
      </c>
    </row>
    <row r="259" spans="1:9" ht="15" customHeight="1" x14ac:dyDescent="0.25">
      <c r="A259">
        <v>258</v>
      </c>
      <c r="B259">
        <v>1</v>
      </c>
      <c r="C259" t="s">
        <v>284</v>
      </c>
      <c r="D259">
        <v>480</v>
      </c>
      <c r="E259">
        <v>22</v>
      </c>
      <c r="F259" t="s">
        <v>45</v>
      </c>
      <c r="G259">
        <v>724</v>
      </c>
      <c r="H259">
        <v>27</v>
      </c>
      <c r="I259" t="str">
        <f t="shared" si="4"/>
        <v>2024-09</v>
      </c>
    </row>
    <row r="260" spans="1:9" ht="15" customHeight="1" x14ac:dyDescent="0.25">
      <c r="A260">
        <v>259</v>
      </c>
      <c r="B260">
        <v>1</v>
      </c>
      <c r="C260" t="s">
        <v>285</v>
      </c>
      <c r="D260">
        <v>480</v>
      </c>
      <c r="E260">
        <v>11</v>
      </c>
      <c r="F260" t="s">
        <v>33</v>
      </c>
      <c r="G260">
        <v>730</v>
      </c>
      <c r="H260">
        <v>51</v>
      </c>
      <c r="I260" t="str">
        <f t="shared" si="4"/>
        <v>2024-09</v>
      </c>
    </row>
    <row r="261" spans="1:9" ht="15" customHeight="1" x14ac:dyDescent="0.25">
      <c r="A261">
        <v>260</v>
      </c>
      <c r="B261">
        <v>1</v>
      </c>
      <c r="C261" t="s">
        <v>286</v>
      </c>
      <c r="D261">
        <v>480</v>
      </c>
      <c r="E261">
        <v>46</v>
      </c>
      <c r="F261" t="s">
        <v>27</v>
      </c>
      <c r="G261">
        <v>672</v>
      </c>
      <c r="H261">
        <v>40</v>
      </c>
      <c r="I261" t="str">
        <f t="shared" si="4"/>
        <v>2024-09</v>
      </c>
    </row>
    <row r="262" spans="1:9" ht="15" customHeight="1" x14ac:dyDescent="0.25">
      <c r="A262">
        <v>261</v>
      </c>
      <c r="B262">
        <v>1</v>
      </c>
      <c r="C262" t="s">
        <v>287</v>
      </c>
      <c r="D262">
        <v>480</v>
      </c>
      <c r="E262">
        <v>13</v>
      </c>
      <c r="F262" t="s">
        <v>45</v>
      </c>
      <c r="G262">
        <v>672</v>
      </c>
      <c r="H262">
        <v>26</v>
      </c>
      <c r="I262" t="str">
        <f t="shared" si="4"/>
        <v>2024-09</v>
      </c>
    </row>
    <row r="263" spans="1:9" ht="15" customHeight="1" x14ac:dyDescent="0.25">
      <c r="A263">
        <v>262</v>
      </c>
      <c r="B263">
        <v>1</v>
      </c>
      <c r="C263" t="s">
        <v>288</v>
      </c>
      <c r="D263">
        <v>480</v>
      </c>
      <c r="E263">
        <v>107</v>
      </c>
      <c r="F263" t="s">
        <v>22</v>
      </c>
      <c r="G263">
        <v>564</v>
      </c>
      <c r="H263">
        <v>29</v>
      </c>
      <c r="I263" t="str">
        <f t="shared" si="4"/>
        <v>2024-09</v>
      </c>
    </row>
    <row r="264" spans="1:9" ht="15" customHeight="1" x14ac:dyDescent="0.25">
      <c r="A264">
        <v>263</v>
      </c>
      <c r="B264">
        <v>1</v>
      </c>
      <c r="C264" t="s">
        <v>289</v>
      </c>
      <c r="D264">
        <v>480</v>
      </c>
      <c r="E264">
        <v>27</v>
      </c>
      <c r="F264" t="s">
        <v>45</v>
      </c>
      <c r="G264">
        <v>737</v>
      </c>
      <c r="H264">
        <v>27</v>
      </c>
      <c r="I264" t="str">
        <f t="shared" si="4"/>
        <v>2024-09</v>
      </c>
    </row>
    <row r="265" spans="1:9" ht="15" customHeight="1" x14ac:dyDescent="0.25">
      <c r="A265">
        <v>264</v>
      </c>
      <c r="B265">
        <v>1</v>
      </c>
      <c r="C265" t="s">
        <v>290</v>
      </c>
      <c r="D265">
        <v>480</v>
      </c>
      <c r="E265">
        <v>39</v>
      </c>
      <c r="F265" t="s">
        <v>33</v>
      </c>
      <c r="G265">
        <v>657</v>
      </c>
      <c r="H265">
        <v>42</v>
      </c>
      <c r="I265" t="str">
        <f t="shared" si="4"/>
        <v>2024-09</v>
      </c>
    </row>
    <row r="266" spans="1:9" ht="15" customHeight="1" x14ac:dyDescent="0.25">
      <c r="A266">
        <v>265</v>
      </c>
      <c r="B266">
        <v>1</v>
      </c>
      <c r="C266" t="s">
        <v>291</v>
      </c>
      <c r="D266">
        <v>480</v>
      </c>
      <c r="E266">
        <v>0</v>
      </c>
      <c r="F266" t="s">
        <v>33</v>
      </c>
      <c r="G266">
        <v>770</v>
      </c>
      <c r="H266">
        <v>63</v>
      </c>
      <c r="I266" t="str">
        <f t="shared" si="4"/>
        <v>2024-09</v>
      </c>
    </row>
    <row r="267" spans="1:9" ht="15" customHeight="1" x14ac:dyDescent="0.25">
      <c r="A267">
        <v>266</v>
      </c>
      <c r="B267">
        <v>1</v>
      </c>
      <c r="C267" t="s">
        <v>292</v>
      </c>
      <c r="D267">
        <v>480</v>
      </c>
      <c r="E267">
        <v>37</v>
      </c>
      <c r="F267" t="s">
        <v>27</v>
      </c>
      <c r="G267">
        <v>686</v>
      </c>
      <c r="H267">
        <v>56</v>
      </c>
      <c r="I267" t="str">
        <f t="shared" si="4"/>
        <v>2024-09</v>
      </c>
    </row>
    <row r="268" spans="1:9" ht="15" customHeight="1" x14ac:dyDescent="0.25">
      <c r="A268">
        <v>267</v>
      </c>
      <c r="B268">
        <v>1</v>
      </c>
      <c r="C268" t="s">
        <v>293</v>
      </c>
      <c r="D268">
        <v>480</v>
      </c>
      <c r="E268">
        <v>55</v>
      </c>
      <c r="F268" t="s">
        <v>33</v>
      </c>
      <c r="G268">
        <v>586</v>
      </c>
      <c r="H268">
        <v>36</v>
      </c>
      <c r="I268" t="str">
        <f t="shared" si="4"/>
        <v>2024-09</v>
      </c>
    </row>
    <row r="269" spans="1:9" ht="15" customHeight="1" x14ac:dyDescent="0.25">
      <c r="A269">
        <v>268</v>
      </c>
      <c r="B269">
        <v>1</v>
      </c>
      <c r="C269" t="s">
        <v>294</v>
      </c>
      <c r="D269">
        <v>480</v>
      </c>
      <c r="E269">
        <v>41</v>
      </c>
      <c r="F269" t="s">
        <v>45</v>
      </c>
      <c r="G269">
        <v>642</v>
      </c>
      <c r="H269">
        <v>45</v>
      </c>
      <c r="I269" t="str">
        <f t="shared" si="4"/>
        <v>2024-09</v>
      </c>
    </row>
    <row r="270" spans="1:9" ht="15" customHeight="1" x14ac:dyDescent="0.25">
      <c r="A270">
        <v>269</v>
      </c>
      <c r="B270">
        <v>1</v>
      </c>
      <c r="C270" t="s">
        <v>295</v>
      </c>
      <c r="D270">
        <v>480</v>
      </c>
      <c r="E270">
        <v>122</v>
      </c>
      <c r="F270" t="s">
        <v>33</v>
      </c>
      <c r="G270">
        <v>580</v>
      </c>
      <c r="H270">
        <v>31</v>
      </c>
      <c r="I270" t="str">
        <f t="shared" si="4"/>
        <v>2024-09</v>
      </c>
    </row>
    <row r="271" spans="1:9" ht="15" customHeight="1" x14ac:dyDescent="0.25">
      <c r="A271">
        <v>270</v>
      </c>
      <c r="B271">
        <v>1</v>
      </c>
      <c r="C271" t="s">
        <v>296</v>
      </c>
      <c r="D271">
        <v>480</v>
      </c>
      <c r="E271">
        <v>5</v>
      </c>
      <c r="F271" t="s">
        <v>22</v>
      </c>
      <c r="G271">
        <v>779</v>
      </c>
      <c r="H271">
        <v>60</v>
      </c>
      <c r="I271" t="str">
        <f t="shared" si="4"/>
        <v>2024-09</v>
      </c>
    </row>
    <row r="272" spans="1:9" ht="15" customHeight="1" x14ac:dyDescent="0.25">
      <c r="A272">
        <v>271</v>
      </c>
      <c r="B272">
        <v>1</v>
      </c>
      <c r="C272" t="s">
        <v>297</v>
      </c>
      <c r="D272">
        <v>480</v>
      </c>
      <c r="E272">
        <v>5</v>
      </c>
      <c r="F272" t="s">
        <v>22</v>
      </c>
      <c r="G272">
        <v>769</v>
      </c>
      <c r="H272">
        <v>60</v>
      </c>
      <c r="I272" t="str">
        <f t="shared" si="4"/>
        <v>2024-09</v>
      </c>
    </row>
    <row r="273" spans="1:9" ht="15" customHeight="1" x14ac:dyDescent="0.25">
      <c r="A273">
        <v>272</v>
      </c>
      <c r="B273">
        <v>1</v>
      </c>
      <c r="C273" t="s">
        <v>298</v>
      </c>
      <c r="D273">
        <v>480</v>
      </c>
      <c r="E273">
        <v>32</v>
      </c>
      <c r="F273" t="s">
        <v>24</v>
      </c>
      <c r="G273">
        <v>679</v>
      </c>
      <c r="H273">
        <v>35</v>
      </c>
      <c r="I273" t="str">
        <f t="shared" si="4"/>
        <v>2024-09</v>
      </c>
    </row>
    <row r="274" spans="1:9" ht="15" customHeight="1" x14ac:dyDescent="0.25">
      <c r="A274">
        <v>273</v>
      </c>
      <c r="B274">
        <v>1</v>
      </c>
      <c r="C274" t="s">
        <v>299</v>
      </c>
      <c r="D274">
        <v>480</v>
      </c>
      <c r="E274">
        <v>2</v>
      </c>
      <c r="F274" t="s">
        <v>24</v>
      </c>
      <c r="G274">
        <v>686</v>
      </c>
      <c r="H274">
        <v>51</v>
      </c>
      <c r="I274" t="str">
        <f t="shared" si="4"/>
        <v>2024-09</v>
      </c>
    </row>
    <row r="275" spans="1:9" ht="15" customHeight="1" x14ac:dyDescent="0.25">
      <c r="A275">
        <v>274</v>
      </c>
      <c r="B275">
        <v>1</v>
      </c>
      <c r="C275" t="s">
        <v>300</v>
      </c>
      <c r="D275">
        <v>480</v>
      </c>
      <c r="E275">
        <v>0</v>
      </c>
      <c r="F275" t="s">
        <v>33</v>
      </c>
      <c r="G275">
        <v>689</v>
      </c>
      <c r="H275">
        <v>35</v>
      </c>
      <c r="I275" t="str">
        <f t="shared" si="4"/>
        <v>2024-09</v>
      </c>
    </row>
    <row r="276" spans="1:9" ht="15" customHeight="1" x14ac:dyDescent="0.25">
      <c r="A276">
        <v>275</v>
      </c>
      <c r="B276">
        <v>1</v>
      </c>
      <c r="C276" t="s">
        <v>301</v>
      </c>
      <c r="D276">
        <v>480</v>
      </c>
      <c r="E276">
        <v>34</v>
      </c>
      <c r="F276" t="s">
        <v>33</v>
      </c>
      <c r="G276">
        <v>722</v>
      </c>
      <c r="H276">
        <v>35</v>
      </c>
      <c r="I276" t="str">
        <f t="shared" si="4"/>
        <v>2024-10</v>
      </c>
    </row>
    <row r="277" spans="1:9" ht="15" customHeight="1" x14ac:dyDescent="0.25">
      <c r="A277">
        <v>276</v>
      </c>
      <c r="B277">
        <v>1</v>
      </c>
      <c r="C277" t="s">
        <v>302</v>
      </c>
      <c r="D277">
        <v>480</v>
      </c>
      <c r="E277">
        <v>19</v>
      </c>
      <c r="F277" t="s">
        <v>33</v>
      </c>
      <c r="G277">
        <v>720</v>
      </c>
      <c r="H277">
        <v>39</v>
      </c>
      <c r="I277" t="str">
        <f t="shared" si="4"/>
        <v>2024-10</v>
      </c>
    </row>
    <row r="278" spans="1:9" ht="15" customHeight="1" x14ac:dyDescent="0.25">
      <c r="A278">
        <v>277</v>
      </c>
      <c r="B278">
        <v>1</v>
      </c>
      <c r="C278" t="s">
        <v>303</v>
      </c>
      <c r="D278">
        <v>480</v>
      </c>
      <c r="E278">
        <v>11</v>
      </c>
      <c r="F278" t="s">
        <v>45</v>
      </c>
      <c r="G278">
        <v>691</v>
      </c>
      <c r="H278">
        <v>25</v>
      </c>
      <c r="I278" t="str">
        <f t="shared" si="4"/>
        <v>2024-10</v>
      </c>
    </row>
    <row r="279" spans="1:9" ht="15" customHeight="1" x14ac:dyDescent="0.25">
      <c r="A279">
        <v>278</v>
      </c>
      <c r="B279">
        <v>1</v>
      </c>
      <c r="C279" t="s">
        <v>304</v>
      </c>
      <c r="D279">
        <v>480</v>
      </c>
      <c r="E279">
        <v>8</v>
      </c>
      <c r="F279" t="s">
        <v>29</v>
      </c>
      <c r="G279">
        <v>702</v>
      </c>
      <c r="H279">
        <v>37</v>
      </c>
      <c r="I279" t="str">
        <f t="shared" si="4"/>
        <v>2024-10</v>
      </c>
    </row>
    <row r="280" spans="1:9" ht="15" customHeight="1" x14ac:dyDescent="0.25">
      <c r="A280">
        <v>279</v>
      </c>
      <c r="B280">
        <v>1</v>
      </c>
      <c r="C280" t="s">
        <v>305</v>
      </c>
      <c r="D280">
        <v>480</v>
      </c>
      <c r="E280">
        <v>110</v>
      </c>
      <c r="F280" t="s">
        <v>33</v>
      </c>
      <c r="G280">
        <v>534</v>
      </c>
      <c r="H280">
        <v>33</v>
      </c>
      <c r="I280" t="str">
        <f t="shared" si="4"/>
        <v>2024-10</v>
      </c>
    </row>
    <row r="281" spans="1:9" ht="15" customHeight="1" x14ac:dyDescent="0.25">
      <c r="A281">
        <v>280</v>
      </c>
      <c r="B281">
        <v>1</v>
      </c>
      <c r="C281" t="s">
        <v>306</v>
      </c>
      <c r="D281">
        <v>480</v>
      </c>
      <c r="E281">
        <v>44</v>
      </c>
      <c r="F281" t="s">
        <v>22</v>
      </c>
      <c r="G281">
        <v>582</v>
      </c>
      <c r="H281">
        <v>38</v>
      </c>
      <c r="I281" t="str">
        <f t="shared" si="4"/>
        <v>2024-10</v>
      </c>
    </row>
    <row r="282" spans="1:9" ht="15" customHeight="1" x14ac:dyDescent="0.25">
      <c r="A282">
        <v>281</v>
      </c>
      <c r="B282">
        <v>1</v>
      </c>
      <c r="C282" t="s">
        <v>307</v>
      </c>
      <c r="D282">
        <v>480</v>
      </c>
      <c r="E282">
        <v>8</v>
      </c>
      <c r="F282" t="s">
        <v>45</v>
      </c>
      <c r="G282">
        <v>770</v>
      </c>
      <c r="H282">
        <v>28</v>
      </c>
      <c r="I282" t="str">
        <f t="shared" si="4"/>
        <v>2024-10</v>
      </c>
    </row>
    <row r="283" spans="1:9" ht="15" customHeight="1" x14ac:dyDescent="0.25">
      <c r="A283">
        <v>282</v>
      </c>
      <c r="B283">
        <v>1</v>
      </c>
      <c r="C283" t="s">
        <v>308</v>
      </c>
      <c r="D283">
        <v>480</v>
      </c>
      <c r="E283">
        <v>24</v>
      </c>
      <c r="F283" t="s">
        <v>33</v>
      </c>
      <c r="G283">
        <v>619</v>
      </c>
      <c r="H283">
        <v>53</v>
      </c>
      <c r="I283" t="str">
        <f t="shared" si="4"/>
        <v>2024-10</v>
      </c>
    </row>
    <row r="284" spans="1:9" ht="15" customHeight="1" x14ac:dyDescent="0.25">
      <c r="A284">
        <v>283</v>
      </c>
      <c r="B284">
        <v>1</v>
      </c>
      <c r="C284" t="s">
        <v>309</v>
      </c>
      <c r="D284">
        <v>480</v>
      </c>
      <c r="E284">
        <v>31</v>
      </c>
      <c r="F284" t="s">
        <v>27</v>
      </c>
      <c r="G284">
        <v>681</v>
      </c>
      <c r="H284">
        <v>22</v>
      </c>
      <c r="I284" t="str">
        <f t="shared" si="4"/>
        <v>2024-10</v>
      </c>
    </row>
    <row r="285" spans="1:9" ht="15" customHeight="1" x14ac:dyDescent="0.25">
      <c r="A285">
        <v>284</v>
      </c>
      <c r="B285">
        <v>1</v>
      </c>
      <c r="C285" t="s">
        <v>310</v>
      </c>
      <c r="D285">
        <v>480</v>
      </c>
      <c r="E285">
        <v>62</v>
      </c>
      <c r="F285" t="s">
        <v>29</v>
      </c>
      <c r="G285">
        <v>584</v>
      </c>
      <c r="H285">
        <v>46</v>
      </c>
      <c r="I285" t="str">
        <f t="shared" si="4"/>
        <v>2024-10</v>
      </c>
    </row>
    <row r="286" spans="1:9" ht="15" customHeight="1" x14ac:dyDescent="0.25">
      <c r="A286">
        <v>285</v>
      </c>
      <c r="B286">
        <v>1</v>
      </c>
      <c r="C286" t="s">
        <v>311</v>
      </c>
      <c r="D286">
        <v>480</v>
      </c>
      <c r="E286">
        <v>10</v>
      </c>
      <c r="F286" t="s">
        <v>22</v>
      </c>
      <c r="G286">
        <v>653</v>
      </c>
      <c r="H286">
        <v>20</v>
      </c>
      <c r="I286" t="str">
        <f t="shared" si="4"/>
        <v>2024-10</v>
      </c>
    </row>
    <row r="287" spans="1:9" ht="15" customHeight="1" x14ac:dyDescent="0.25">
      <c r="A287">
        <v>286</v>
      </c>
      <c r="B287">
        <v>1</v>
      </c>
      <c r="C287" t="s">
        <v>312</v>
      </c>
      <c r="D287">
        <v>480</v>
      </c>
      <c r="E287">
        <v>28</v>
      </c>
      <c r="F287" t="s">
        <v>22</v>
      </c>
      <c r="G287">
        <v>681</v>
      </c>
      <c r="H287">
        <v>22</v>
      </c>
      <c r="I287" t="str">
        <f t="shared" si="4"/>
        <v>2024-10</v>
      </c>
    </row>
    <row r="288" spans="1:9" ht="15" customHeight="1" x14ac:dyDescent="0.25">
      <c r="A288">
        <v>287</v>
      </c>
      <c r="B288">
        <v>1</v>
      </c>
      <c r="C288" t="s">
        <v>313</v>
      </c>
      <c r="D288">
        <v>480</v>
      </c>
      <c r="E288">
        <v>67</v>
      </c>
      <c r="F288" t="s">
        <v>24</v>
      </c>
      <c r="G288">
        <v>608</v>
      </c>
      <c r="H288">
        <v>35</v>
      </c>
      <c r="I288" t="str">
        <f t="shared" si="4"/>
        <v>2024-10</v>
      </c>
    </row>
    <row r="289" spans="1:9" ht="15" customHeight="1" x14ac:dyDescent="0.25">
      <c r="A289">
        <v>288</v>
      </c>
      <c r="B289">
        <v>1</v>
      </c>
      <c r="C289" t="s">
        <v>314</v>
      </c>
      <c r="D289">
        <v>480</v>
      </c>
      <c r="E289">
        <v>26</v>
      </c>
      <c r="F289" t="s">
        <v>27</v>
      </c>
      <c r="G289">
        <v>661</v>
      </c>
      <c r="H289">
        <v>40</v>
      </c>
      <c r="I289" t="str">
        <f t="shared" si="4"/>
        <v>2024-10</v>
      </c>
    </row>
    <row r="290" spans="1:9" ht="15" customHeight="1" x14ac:dyDescent="0.25">
      <c r="A290">
        <v>289</v>
      </c>
      <c r="B290">
        <v>1</v>
      </c>
      <c r="C290" t="s">
        <v>315</v>
      </c>
      <c r="D290">
        <v>480</v>
      </c>
      <c r="E290">
        <v>7</v>
      </c>
      <c r="F290" t="s">
        <v>24</v>
      </c>
      <c r="G290">
        <v>656</v>
      </c>
      <c r="H290">
        <v>51</v>
      </c>
      <c r="I290" t="str">
        <f t="shared" si="4"/>
        <v>2024-10</v>
      </c>
    </row>
    <row r="291" spans="1:9" ht="15" customHeight="1" x14ac:dyDescent="0.25">
      <c r="A291">
        <v>290</v>
      </c>
      <c r="B291">
        <v>1</v>
      </c>
      <c r="C291" t="s">
        <v>316</v>
      </c>
      <c r="D291">
        <v>480</v>
      </c>
      <c r="E291">
        <v>131</v>
      </c>
      <c r="F291" t="s">
        <v>27</v>
      </c>
      <c r="G291">
        <v>505</v>
      </c>
      <c r="H291">
        <v>22</v>
      </c>
      <c r="I291" t="str">
        <f t="shared" si="4"/>
        <v>2024-10</v>
      </c>
    </row>
    <row r="292" spans="1:9" ht="15" customHeight="1" x14ac:dyDescent="0.25">
      <c r="A292">
        <v>291</v>
      </c>
      <c r="B292">
        <v>1</v>
      </c>
      <c r="C292" t="s">
        <v>317</v>
      </c>
      <c r="D292">
        <v>480</v>
      </c>
      <c r="E292">
        <v>46</v>
      </c>
      <c r="F292" t="s">
        <v>24</v>
      </c>
      <c r="G292">
        <v>633</v>
      </c>
      <c r="H292">
        <v>19</v>
      </c>
      <c r="I292" t="str">
        <f t="shared" si="4"/>
        <v>2024-10</v>
      </c>
    </row>
    <row r="293" spans="1:9" ht="15" customHeight="1" x14ac:dyDescent="0.25">
      <c r="A293">
        <v>292</v>
      </c>
      <c r="B293">
        <v>1</v>
      </c>
      <c r="C293" t="s">
        <v>318</v>
      </c>
      <c r="D293">
        <v>480</v>
      </c>
      <c r="E293">
        <v>7</v>
      </c>
      <c r="F293" t="s">
        <v>29</v>
      </c>
      <c r="G293">
        <v>735</v>
      </c>
      <c r="H293">
        <v>49</v>
      </c>
      <c r="I293" t="str">
        <f t="shared" si="4"/>
        <v>2024-10</v>
      </c>
    </row>
    <row r="294" spans="1:9" ht="15" customHeight="1" x14ac:dyDescent="0.25">
      <c r="A294">
        <v>293</v>
      </c>
      <c r="B294">
        <v>1</v>
      </c>
      <c r="C294" t="s">
        <v>319</v>
      </c>
      <c r="D294">
        <v>480</v>
      </c>
      <c r="E294">
        <v>1</v>
      </c>
      <c r="F294" t="s">
        <v>45</v>
      </c>
      <c r="G294">
        <v>671</v>
      </c>
      <c r="H294">
        <v>28</v>
      </c>
      <c r="I294" t="str">
        <f t="shared" si="4"/>
        <v>2024-10</v>
      </c>
    </row>
    <row r="295" spans="1:9" ht="15" customHeight="1" x14ac:dyDescent="0.25">
      <c r="A295">
        <v>294</v>
      </c>
      <c r="B295">
        <v>1</v>
      </c>
      <c r="C295" t="s">
        <v>320</v>
      </c>
      <c r="D295">
        <v>480</v>
      </c>
      <c r="E295">
        <v>50</v>
      </c>
      <c r="F295" t="s">
        <v>22</v>
      </c>
      <c r="G295">
        <v>575</v>
      </c>
      <c r="H295">
        <v>19</v>
      </c>
      <c r="I295" t="str">
        <f t="shared" si="4"/>
        <v>2024-10</v>
      </c>
    </row>
    <row r="296" spans="1:9" ht="15" customHeight="1" x14ac:dyDescent="0.25">
      <c r="A296">
        <v>295</v>
      </c>
      <c r="B296">
        <v>1</v>
      </c>
      <c r="C296" t="s">
        <v>321</v>
      </c>
      <c r="D296">
        <v>480</v>
      </c>
      <c r="E296">
        <v>72</v>
      </c>
      <c r="F296" t="s">
        <v>24</v>
      </c>
      <c r="G296">
        <v>566</v>
      </c>
      <c r="H296">
        <v>37</v>
      </c>
      <c r="I296" t="str">
        <f t="shared" si="4"/>
        <v>2024-10</v>
      </c>
    </row>
    <row r="297" spans="1:9" ht="15" customHeight="1" x14ac:dyDescent="0.25">
      <c r="A297">
        <v>296</v>
      </c>
      <c r="B297">
        <v>1</v>
      </c>
      <c r="C297" t="s">
        <v>322</v>
      </c>
      <c r="D297">
        <v>480</v>
      </c>
      <c r="E297">
        <v>12</v>
      </c>
      <c r="F297" t="s">
        <v>22</v>
      </c>
      <c r="G297">
        <v>637</v>
      </c>
      <c r="H297">
        <v>27</v>
      </c>
      <c r="I297" t="str">
        <f t="shared" si="4"/>
        <v>2024-10</v>
      </c>
    </row>
    <row r="298" spans="1:9" ht="15" customHeight="1" x14ac:dyDescent="0.25">
      <c r="A298">
        <v>297</v>
      </c>
      <c r="B298">
        <v>1</v>
      </c>
      <c r="C298" t="s">
        <v>323</v>
      </c>
      <c r="D298">
        <v>480</v>
      </c>
      <c r="E298">
        <v>57</v>
      </c>
      <c r="F298" t="s">
        <v>45</v>
      </c>
      <c r="G298">
        <v>676</v>
      </c>
      <c r="H298">
        <v>51</v>
      </c>
      <c r="I298" t="str">
        <f t="shared" si="4"/>
        <v>2024-10</v>
      </c>
    </row>
    <row r="299" spans="1:9" ht="15" customHeight="1" x14ac:dyDescent="0.25">
      <c r="A299">
        <v>298</v>
      </c>
      <c r="B299">
        <v>1</v>
      </c>
      <c r="C299" t="s">
        <v>324</v>
      </c>
      <c r="D299">
        <v>480</v>
      </c>
      <c r="E299">
        <v>22</v>
      </c>
      <c r="F299" t="s">
        <v>22</v>
      </c>
      <c r="G299">
        <v>705</v>
      </c>
      <c r="H299">
        <v>28</v>
      </c>
      <c r="I299" t="str">
        <f t="shared" si="4"/>
        <v>2024-10</v>
      </c>
    </row>
    <row r="300" spans="1:9" ht="15" customHeight="1" x14ac:dyDescent="0.25">
      <c r="A300">
        <v>299</v>
      </c>
      <c r="B300">
        <v>1</v>
      </c>
      <c r="C300" t="s">
        <v>325</v>
      </c>
      <c r="D300">
        <v>480</v>
      </c>
      <c r="E300">
        <v>15</v>
      </c>
      <c r="F300" t="s">
        <v>33</v>
      </c>
      <c r="G300">
        <v>749</v>
      </c>
      <c r="H300">
        <v>22</v>
      </c>
      <c r="I300" t="str">
        <f t="shared" si="4"/>
        <v>2024-10</v>
      </c>
    </row>
    <row r="301" spans="1:9" ht="15" customHeight="1" x14ac:dyDescent="0.25">
      <c r="A301">
        <v>300</v>
      </c>
      <c r="B301">
        <v>1</v>
      </c>
      <c r="C301" t="s">
        <v>326</v>
      </c>
      <c r="D301">
        <v>480</v>
      </c>
      <c r="E301">
        <v>4</v>
      </c>
      <c r="F301" t="s">
        <v>29</v>
      </c>
      <c r="G301">
        <v>664</v>
      </c>
      <c r="H301">
        <v>20</v>
      </c>
      <c r="I301" t="str">
        <f t="shared" si="4"/>
        <v>2024-10</v>
      </c>
    </row>
    <row r="302" spans="1:9" ht="15" customHeight="1" x14ac:dyDescent="0.25">
      <c r="A302">
        <v>301</v>
      </c>
      <c r="B302">
        <v>1</v>
      </c>
      <c r="C302" t="s">
        <v>327</v>
      </c>
      <c r="D302">
        <v>480</v>
      </c>
      <c r="E302">
        <v>9</v>
      </c>
      <c r="F302" t="s">
        <v>33</v>
      </c>
      <c r="G302">
        <v>713</v>
      </c>
      <c r="H302">
        <v>37</v>
      </c>
      <c r="I302" t="str">
        <f t="shared" si="4"/>
        <v>2024-10</v>
      </c>
    </row>
    <row r="303" spans="1:9" ht="15" customHeight="1" x14ac:dyDescent="0.25">
      <c r="A303">
        <v>302</v>
      </c>
      <c r="B303">
        <v>1</v>
      </c>
      <c r="C303" t="s">
        <v>328</v>
      </c>
      <c r="D303">
        <v>480</v>
      </c>
      <c r="E303">
        <v>100</v>
      </c>
      <c r="F303" t="s">
        <v>27</v>
      </c>
      <c r="G303">
        <v>603</v>
      </c>
      <c r="H303">
        <v>29</v>
      </c>
      <c r="I303" t="str">
        <f t="shared" si="4"/>
        <v>2024-10</v>
      </c>
    </row>
    <row r="304" spans="1:9" ht="15" customHeight="1" x14ac:dyDescent="0.25">
      <c r="A304">
        <v>303</v>
      </c>
      <c r="B304">
        <v>1</v>
      </c>
      <c r="C304" t="s">
        <v>329</v>
      </c>
      <c r="D304">
        <v>480</v>
      </c>
      <c r="E304">
        <v>13</v>
      </c>
      <c r="F304" t="s">
        <v>29</v>
      </c>
      <c r="G304">
        <v>677</v>
      </c>
      <c r="H304">
        <v>42</v>
      </c>
      <c r="I304" t="str">
        <f t="shared" si="4"/>
        <v>2024-10</v>
      </c>
    </row>
    <row r="305" spans="1:9" ht="15" customHeight="1" x14ac:dyDescent="0.25">
      <c r="A305">
        <v>304</v>
      </c>
      <c r="B305">
        <v>1</v>
      </c>
      <c r="C305" t="s">
        <v>330</v>
      </c>
      <c r="D305">
        <v>480</v>
      </c>
      <c r="E305">
        <v>14</v>
      </c>
      <c r="F305" t="s">
        <v>22</v>
      </c>
      <c r="G305">
        <v>711</v>
      </c>
      <c r="H305">
        <v>37</v>
      </c>
      <c r="I305" t="str">
        <f t="shared" si="4"/>
        <v>2024-10</v>
      </c>
    </row>
    <row r="306" spans="1:9" ht="15" customHeight="1" x14ac:dyDescent="0.25">
      <c r="A306">
        <v>305</v>
      </c>
      <c r="B306">
        <v>1</v>
      </c>
      <c r="C306" t="s">
        <v>331</v>
      </c>
      <c r="D306">
        <v>480</v>
      </c>
      <c r="E306">
        <v>36</v>
      </c>
      <c r="F306" t="s">
        <v>33</v>
      </c>
      <c r="G306">
        <v>651</v>
      </c>
      <c r="H306">
        <v>29</v>
      </c>
      <c r="I306" t="str">
        <f t="shared" si="4"/>
        <v>2024-10</v>
      </c>
    </row>
    <row r="307" spans="1:9" ht="15" customHeight="1" x14ac:dyDescent="0.25">
      <c r="A307">
        <v>306</v>
      </c>
      <c r="B307">
        <v>1</v>
      </c>
      <c r="C307" t="s">
        <v>332</v>
      </c>
      <c r="D307">
        <v>480</v>
      </c>
      <c r="E307">
        <v>133</v>
      </c>
      <c r="F307" t="s">
        <v>45</v>
      </c>
      <c r="G307">
        <v>545</v>
      </c>
      <c r="H307">
        <v>20</v>
      </c>
      <c r="I307" t="str">
        <f t="shared" si="4"/>
        <v>2024-11</v>
      </c>
    </row>
    <row r="308" spans="1:9" ht="15" customHeight="1" x14ac:dyDescent="0.25">
      <c r="A308">
        <v>307</v>
      </c>
      <c r="B308">
        <v>1</v>
      </c>
      <c r="C308" t="s">
        <v>333</v>
      </c>
      <c r="D308">
        <v>480</v>
      </c>
      <c r="E308">
        <v>91</v>
      </c>
      <c r="F308" t="s">
        <v>22</v>
      </c>
      <c r="G308">
        <v>577</v>
      </c>
      <c r="H308">
        <v>46</v>
      </c>
      <c r="I308" t="str">
        <f t="shared" si="4"/>
        <v>2024-11</v>
      </c>
    </row>
    <row r="309" spans="1:9" ht="15" customHeight="1" x14ac:dyDescent="0.25">
      <c r="A309">
        <v>308</v>
      </c>
      <c r="B309">
        <v>1</v>
      </c>
      <c r="C309" t="s">
        <v>334</v>
      </c>
      <c r="D309">
        <v>480</v>
      </c>
      <c r="E309">
        <v>72</v>
      </c>
      <c r="F309" t="s">
        <v>22</v>
      </c>
      <c r="G309">
        <v>597</v>
      </c>
      <c r="H309">
        <v>17</v>
      </c>
      <c r="I309" t="str">
        <f t="shared" si="4"/>
        <v>2024-11</v>
      </c>
    </row>
    <row r="310" spans="1:9" ht="15" customHeight="1" x14ac:dyDescent="0.25">
      <c r="A310">
        <v>309</v>
      </c>
      <c r="B310">
        <v>1</v>
      </c>
      <c r="C310" t="s">
        <v>335</v>
      </c>
      <c r="D310">
        <v>480</v>
      </c>
      <c r="E310">
        <v>14</v>
      </c>
      <c r="F310" t="s">
        <v>45</v>
      </c>
      <c r="G310">
        <v>699</v>
      </c>
      <c r="H310">
        <v>45</v>
      </c>
      <c r="I310" t="str">
        <f t="shared" si="4"/>
        <v>2024-11</v>
      </c>
    </row>
    <row r="311" spans="1:9" ht="15" customHeight="1" x14ac:dyDescent="0.25">
      <c r="A311">
        <v>310</v>
      </c>
      <c r="B311">
        <v>1</v>
      </c>
      <c r="C311" t="s">
        <v>336</v>
      </c>
      <c r="D311">
        <v>480</v>
      </c>
      <c r="E311">
        <v>13</v>
      </c>
      <c r="F311" t="s">
        <v>24</v>
      </c>
      <c r="G311">
        <v>642</v>
      </c>
      <c r="H311">
        <v>49</v>
      </c>
      <c r="I311" t="str">
        <f t="shared" si="4"/>
        <v>2024-11</v>
      </c>
    </row>
    <row r="312" spans="1:9" ht="15" customHeight="1" x14ac:dyDescent="0.25">
      <c r="A312">
        <v>311</v>
      </c>
      <c r="B312">
        <v>1</v>
      </c>
      <c r="C312" t="s">
        <v>337</v>
      </c>
      <c r="D312">
        <v>480</v>
      </c>
      <c r="E312">
        <v>187</v>
      </c>
      <c r="F312" t="s">
        <v>33</v>
      </c>
      <c r="G312">
        <v>438</v>
      </c>
      <c r="H312">
        <v>16</v>
      </c>
      <c r="I312" t="str">
        <f t="shared" si="4"/>
        <v>2024-11</v>
      </c>
    </row>
    <row r="313" spans="1:9" ht="15" customHeight="1" x14ac:dyDescent="0.25">
      <c r="A313">
        <v>312</v>
      </c>
      <c r="B313">
        <v>1</v>
      </c>
      <c r="C313" t="s">
        <v>338</v>
      </c>
      <c r="D313">
        <v>480</v>
      </c>
      <c r="E313">
        <v>14</v>
      </c>
      <c r="F313" t="s">
        <v>45</v>
      </c>
      <c r="G313">
        <v>623</v>
      </c>
      <c r="H313">
        <v>50</v>
      </c>
      <c r="I313" t="str">
        <f t="shared" si="4"/>
        <v>2024-11</v>
      </c>
    </row>
    <row r="314" spans="1:9" ht="15" customHeight="1" x14ac:dyDescent="0.25">
      <c r="A314">
        <v>313</v>
      </c>
      <c r="B314">
        <v>1</v>
      </c>
      <c r="C314" t="s">
        <v>339</v>
      </c>
      <c r="D314">
        <v>480</v>
      </c>
      <c r="E314">
        <v>5</v>
      </c>
      <c r="F314" t="s">
        <v>33</v>
      </c>
      <c r="G314">
        <v>718</v>
      </c>
      <c r="H314">
        <v>31</v>
      </c>
      <c r="I314" t="str">
        <f t="shared" si="4"/>
        <v>2024-11</v>
      </c>
    </row>
    <row r="315" spans="1:9" ht="15" customHeight="1" x14ac:dyDescent="0.25">
      <c r="A315">
        <v>314</v>
      </c>
      <c r="B315">
        <v>1</v>
      </c>
      <c r="C315" t="s">
        <v>340</v>
      </c>
      <c r="D315">
        <v>480</v>
      </c>
      <c r="E315">
        <v>36</v>
      </c>
      <c r="F315" t="s">
        <v>27</v>
      </c>
      <c r="G315">
        <v>681</v>
      </c>
      <c r="H315">
        <v>52</v>
      </c>
      <c r="I315" t="str">
        <f t="shared" si="4"/>
        <v>2024-11</v>
      </c>
    </row>
    <row r="316" spans="1:9" ht="15" customHeight="1" x14ac:dyDescent="0.25">
      <c r="A316">
        <v>315</v>
      </c>
      <c r="B316">
        <v>1</v>
      </c>
      <c r="C316" t="s">
        <v>341</v>
      </c>
      <c r="D316">
        <v>480</v>
      </c>
      <c r="E316">
        <v>10</v>
      </c>
      <c r="F316" t="s">
        <v>45</v>
      </c>
      <c r="G316">
        <v>627</v>
      </c>
      <c r="H316">
        <v>22</v>
      </c>
      <c r="I316" t="str">
        <f t="shared" si="4"/>
        <v>2024-11</v>
      </c>
    </row>
    <row r="317" spans="1:9" ht="15" customHeight="1" x14ac:dyDescent="0.25">
      <c r="A317">
        <v>316</v>
      </c>
      <c r="B317">
        <v>1</v>
      </c>
      <c r="C317" t="s">
        <v>342</v>
      </c>
      <c r="D317">
        <v>480</v>
      </c>
      <c r="E317">
        <v>103</v>
      </c>
      <c r="F317" t="s">
        <v>27</v>
      </c>
      <c r="G317">
        <v>605</v>
      </c>
      <c r="H317">
        <v>38</v>
      </c>
      <c r="I317" t="str">
        <f t="shared" si="4"/>
        <v>2024-11</v>
      </c>
    </row>
    <row r="318" spans="1:9" ht="15" customHeight="1" x14ac:dyDescent="0.25">
      <c r="A318">
        <v>317</v>
      </c>
      <c r="B318">
        <v>1</v>
      </c>
      <c r="C318" t="s">
        <v>343</v>
      </c>
      <c r="D318">
        <v>480</v>
      </c>
      <c r="E318">
        <v>41</v>
      </c>
      <c r="F318" t="s">
        <v>22</v>
      </c>
      <c r="G318">
        <v>676</v>
      </c>
      <c r="H318">
        <v>26</v>
      </c>
      <c r="I318" t="str">
        <f t="shared" si="4"/>
        <v>2024-11</v>
      </c>
    </row>
    <row r="319" spans="1:9" ht="15" customHeight="1" x14ac:dyDescent="0.25">
      <c r="A319">
        <v>318</v>
      </c>
      <c r="B319">
        <v>1</v>
      </c>
      <c r="C319" t="s">
        <v>344</v>
      </c>
      <c r="D319">
        <v>480</v>
      </c>
      <c r="E319">
        <v>110</v>
      </c>
      <c r="F319" t="s">
        <v>45</v>
      </c>
      <c r="G319">
        <v>541</v>
      </c>
      <c r="H319">
        <v>27</v>
      </c>
      <c r="I319" t="str">
        <f t="shared" si="4"/>
        <v>2024-11</v>
      </c>
    </row>
    <row r="320" spans="1:9" ht="15" customHeight="1" x14ac:dyDescent="0.25">
      <c r="A320">
        <v>319</v>
      </c>
      <c r="B320">
        <v>1</v>
      </c>
      <c r="C320" t="s">
        <v>345</v>
      </c>
      <c r="D320">
        <v>480</v>
      </c>
      <c r="E320">
        <v>32</v>
      </c>
      <c r="F320" t="s">
        <v>33</v>
      </c>
      <c r="G320">
        <v>603</v>
      </c>
      <c r="H320">
        <v>23</v>
      </c>
      <c r="I320" t="str">
        <f t="shared" si="4"/>
        <v>2024-11</v>
      </c>
    </row>
    <row r="321" spans="1:9" ht="15" customHeight="1" x14ac:dyDescent="0.25">
      <c r="A321">
        <v>320</v>
      </c>
      <c r="B321">
        <v>1</v>
      </c>
      <c r="C321" t="s">
        <v>346</v>
      </c>
      <c r="D321">
        <v>480</v>
      </c>
      <c r="E321">
        <v>60</v>
      </c>
      <c r="F321" t="s">
        <v>24</v>
      </c>
      <c r="G321">
        <v>570</v>
      </c>
      <c r="H321">
        <v>36</v>
      </c>
      <c r="I321" t="str">
        <f t="shared" si="4"/>
        <v>2024-11</v>
      </c>
    </row>
    <row r="322" spans="1:9" ht="15" customHeight="1" x14ac:dyDescent="0.25">
      <c r="A322">
        <v>321</v>
      </c>
      <c r="B322">
        <v>1</v>
      </c>
      <c r="C322" t="s">
        <v>347</v>
      </c>
      <c r="D322">
        <v>480</v>
      </c>
      <c r="E322">
        <v>12</v>
      </c>
      <c r="F322" t="s">
        <v>27</v>
      </c>
      <c r="G322">
        <v>680</v>
      </c>
      <c r="H322">
        <v>30</v>
      </c>
      <c r="I322" t="str">
        <f t="shared" ref="I322:I385" si="5">TEXT(C322,"yyyy-mm")</f>
        <v>2024-11</v>
      </c>
    </row>
    <row r="323" spans="1:9" ht="15" customHeight="1" x14ac:dyDescent="0.25">
      <c r="A323">
        <v>322</v>
      </c>
      <c r="B323">
        <v>1</v>
      </c>
      <c r="C323" t="s">
        <v>348</v>
      </c>
      <c r="D323">
        <v>480</v>
      </c>
      <c r="E323">
        <v>19</v>
      </c>
      <c r="F323" t="s">
        <v>29</v>
      </c>
      <c r="G323">
        <v>717</v>
      </c>
      <c r="H323">
        <v>32</v>
      </c>
      <c r="I323" t="str">
        <f t="shared" si="5"/>
        <v>2024-11</v>
      </c>
    </row>
    <row r="324" spans="1:9" ht="15" customHeight="1" x14ac:dyDescent="0.25">
      <c r="A324">
        <v>323</v>
      </c>
      <c r="B324">
        <v>1</v>
      </c>
      <c r="C324" t="s">
        <v>349</v>
      </c>
      <c r="D324">
        <v>480</v>
      </c>
      <c r="E324">
        <v>37</v>
      </c>
      <c r="F324" t="s">
        <v>24</v>
      </c>
      <c r="G324">
        <v>656</v>
      </c>
      <c r="H324">
        <v>43</v>
      </c>
      <c r="I324" t="str">
        <f t="shared" si="5"/>
        <v>2024-11</v>
      </c>
    </row>
    <row r="325" spans="1:9" ht="15" customHeight="1" x14ac:dyDescent="0.25">
      <c r="A325">
        <v>324</v>
      </c>
      <c r="B325">
        <v>1</v>
      </c>
      <c r="C325" t="s">
        <v>350</v>
      </c>
      <c r="D325">
        <v>480</v>
      </c>
      <c r="E325">
        <v>124</v>
      </c>
      <c r="F325" t="s">
        <v>24</v>
      </c>
      <c r="G325">
        <v>555</v>
      </c>
      <c r="H325">
        <v>22</v>
      </c>
      <c r="I325" t="str">
        <f t="shared" si="5"/>
        <v>2024-11</v>
      </c>
    </row>
    <row r="326" spans="1:9" ht="15" customHeight="1" x14ac:dyDescent="0.25">
      <c r="A326">
        <v>325</v>
      </c>
      <c r="B326">
        <v>1</v>
      </c>
      <c r="C326" t="s">
        <v>351</v>
      </c>
      <c r="D326">
        <v>480</v>
      </c>
      <c r="E326">
        <v>1</v>
      </c>
      <c r="F326" t="s">
        <v>45</v>
      </c>
      <c r="G326">
        <v>677</v>
      </c>
      <c r="H326">
        <v>42</v>
      </c>
      <c r="I326" t="str">
        <f t="shared" si="5"/>
        <v>2024-11</v>
      </c>
    </row>
    <row r="327" spans="1:9" ht="15" customHeight="1" x14ac:dyDescent="0.25">
      <c r="A327">
        <v>326</v>
      </c>
      <c r="B327">
        <v>1</v>
      </c>
      <c r="C327" t="s">
        <v>352</v>
      </c>
      <c r="D327">
        <v>480</v>
      </c>
      <c r="E327">
        <v>2</v>
      </c>
      <c r="F327" t="s">
        <v>22</v>
      </c>
      <c r="G327">
        <v>710</v>
      </c>
      <c r="H327">
        <v>44</v>
      </c>
      <c r="I327" t="str">
        <f t="shared" si="5"/>
        <v>2024-11</v>
      </c>
    </row>
    <row r="328" spans="1:9" ht="15" customHeight="1" x14ac:dyDescent="0.25">
      <c r="A328">
        <v>327</v>
      </c>
      <c r="B328">
        <v>1</v>
      </c>
      <c r="C328" t="s">
        <v>353</v>
      </c>
      <c r="D328">
        <v>480</v>
      </c>
      <c r="E328">
        <v>18</v>
      </c>
      <c r="F328" t="s">
        <v>29</v>
      </c>
      <c r="G328">
        <v>726</v>
      </c>
      <c r="H328">
        <v>25</v>
      </c>
      <c r="I328" t="str">
        <f t="shared" si="5"/>
        <v>2024-11</v>
      </c>
    </row>
    <row r="329" spans="1:9" ht="15" customHeight="1" x14ac:dyDescent="0.25">
      <c r="A329">
        <v>328</v>
      </c>
      <c r="B329">
        <v>1</v>
      </c>
      <c r="C329" t="s">
        <v>354</v>
      </c>
      <c r="D329">
        <v>480</v>
      </c>
      <c r="E329">
        <v>3</v>
      </c>
      <c r="F329" t="s">
        <v>29</v>
      </c>
      <c r="G329">
        <v>744</v>
      </c>
      <c r="H329">
        <v>42</v>
      </c>
      <c r="I329" t="str">
        <f t="shared" si="5"/>
        <v>2024-11</v>
      </c>
    </row>
    <row r="330" spans="1:9" ht="15" customHeight="1" x14ac:dyDescent="0.25">
      <c r="A330">
        <v>329</v>
      </c>
      <c r="B330">
        <v>1</v>
      </c>
      <c r="C330" t="s">
        <v>355</v>
      </c>
      <c r="D330">
        <v>480</v>
      </c>
      <c r="E330">
        <v>52</v>
      </c>
      <c r="F330" t="s">
        <v>27</v>
      </c>
      <c r="G330">
        <v>628</v>
      </c>
      <c r="H330">
        <v>26</v>
      </c>
      <c r="I330" t="str">
        <f t="shared" si="5"/>
        <v>2024-11</v>
      </c>
    </row>
    <row r="331" spans="1:9" ht="15" customHeight="1" x14ac:dyDescent="0.25">
      <c r="A331">
        <v>330</v>
      </c>
      <c r="B331">
        <v>1</v>
      </c>
      <c r="C331" t="s">
        <v>356</v>
      </c>
      <c r="D331">
        <v>480</v>
      </c>
      <c r="E331">
        <v>76</v>
      </c>
      <c r="F331" t="s">
        <v>33</v>
      </c>
      <c r="G331">
        <v>639</v>
      </c>
      <c r="H331">
        <v>43</v>
      </c>
      <c r="I331" t="str">
        <f t="shared" si="5"/>
        <v>2024-11</v>
      </c>
    </row>
    <row r="332" spans="1:9" ht="15" customHeight="1" x14ac:dyDescent="0.25">
      <c r="A332">
        <v>331</v>
      </c>
      <c r="B332">
        <v>1</v>
      </c>
      <c r="C332" t="s">
        <v>357</v>
      </c>
      <c r="D332">
        <v>480</v>
      </c>
      <c r="E332">
        <v>14</v>
      </c>
      <c r="F332" t="s">
        <v>22</v>
      </c>
      <c r="G332">
        <v>706</v>
      </c>
      <c r="H332">
        <v>34</v>
      </c>
      <c r="I332" t="str">
        <f t="shared" si="5"/>
        <v>2024-11</v>
      </c>
    </row>
    <row r="333" spans="1:9" ht="15" customHeight="1" x14ac:dyDescent="0.25">
      <c r="A333">
        <v>332</v>
      </c>
      <c r="B333">
        <v>1</v>
      </c>
      <c r="C333" t="s">
        <v>358</v>
      </c>
      <c r="D333">
        <v>480</v>
      </c>
      <c r="E333">
        <v>4</v>
      </c>
      <c r="F333" t="s">
        <v>27</v>
      </c>
      <c r="G333">
        <v>770</v>
      </c>
      <c r="H333">
        <v>28</v>
      </c>
      <c r="I333" t="str">
        <f t="shared" si="5"/>
        <v>2024-11</v>
      </c>
    </row>
    <row r="334" spans="1:9" ht="15" customHeight="1" x14ac:dyDescent="0.25">
      <c r="A334">
        <v>333</v>
      </c>
      <c r="B334">
        <v>1</v>
      </c>
      <c r="C334" t="s">
        <v>359</v>
      </c>
      <c r="D334">
        <v>480</v>
      </c>
      <c r="E334">
        <v>134</v>
      </c>
      <c r="F334" t="s">
        <v>29</v>
      </c>
      <c r="G334">
        <v>509</v>
      </c>
      <c r="H334">
        <v>20</v>
      </c>
      <c r="I334" t="str">
        <f t="shared" si="5"/>
        <v>2024-11</v>
      </c>
    </row>
    <row r="335" spans="1:9" ht="15" customHeight="1" x14ac:dyDescent="0.25">
      <c r="A335">
        <v>334</v>
      </c>
      <c r="B335">
        <v>1</v>
      </c>
      <c r="C335" t="s">
        <v>360</v>
      </c>
      <c r="D335">
        <v>480</v>
      </c>
      <c r="E335">
        <v>35</v>
      </c>
      <c r="F335" t="s">
        <v>45</v>
      </c>
      <c r="G335">
        <v>714</v>
      </c>
      <c r="H335">
        <v>50</v>
      </c>
      <c r="I335" t="str">
        <f t="shared" si="5"/>
        <v>2024-11</v>
      </c>
    </row>
    <row r="336" spans="1:9" ht="15" customHeight="1" x14ac:dyDescent="0.25">
      <c r="A336">
        <v>335</v>
      </c>
      <c r="B336">
        <v>1</v>
      </c>
      <c r="C336" t="s">
        <v>361</v>
      </c>
      <c r="D336">
        <v>480</v>
      </c>
      <c r="E336">
        <v>73</v>
      </c>
      <c r="F336" t="s">
        <v>27</v>
      </c>
      <c r="G336">
        <v>626</v>
      </c>
      <c r="H336">
        <v>42</v>
      </c>
      <c r="I336" t="str">
        <f t="shared" si="5"/>
        <v>2024-11</v>
      </c>
    </row>
    <row r="337" spans="1:9" ht="15" customHeight="1" x14ac:dyDescent="0.25">
      <c r="A337">
        <v>336</v>
      </c>
      <c r="B337">
        <v>1</v>
      </c>
      <c r="C337" t="s">
        <v>362</v>
      </c>
      <c r="D337">
        <v>480</v>
      </c>
      <c r="E337">
        <v>85</v>
      </c>
      <c r="F337" t="s">
        <v>45</v>
      </c>
      <c r="G337">
        <v>556</v>
      </c>
      <c r="H337">
        <v>31</v>
      </c>
      <c r="I337" t="str">
        <f t="shared" si="5"/>
        <v>2024-12</v>
      </c>
    </row>
    <row r="338" spans="1:9" ht="15" customHeight="1" x14ac:dyDescent="0.25">
      <c r="A338">
        <v>337</v>
      </c>
      <c r="B338">
        <v>1</v>
      </c>
      <c r="C338" t="s">
        <v>363</v>
      </c>
      <c r="D338">
        <v>480</v>
      </c>
      <c r="E338">
        <v>11</v>
      </c>
      <c r="F338" t="s">
        <v>29</v>
      </c>
      <c r="G338">
        <v>769</v>
      </c>
      <c r="H338">
        <v>63</v>
      </c>
      <c r="I338" t="str">
        <f t="shared" si="5"/>
        <v>2024-12</v>
      </c>
    </row>
    <row r="339" spans="1:9" ht="15" customHeight="1" x14ac:dyDescent="0.25">
      <c r="A339">
        <v>338</v>
      </c>
      <c r="B339">
        <v>1</v>
      </c>
      <c r="C339" t="s">
        <v>364</v>
      </c>
      <c r="D339">
        <v>480</v>
      </c>
      <c r="E339">
        <v>1</v>
      </c>
      <c r="F339" t="s">
        <v>29</v>
      </c>
      <c r="G339">
        <v>743</v>
      </c>
      <c r="H339">
        <v>60</v>
      </c>
      <c r="I339" t="str">
        <f t="shared" si="5"/>
        <v>2024-12</v>
      </c>
    </row>
    <row r="340" spans="1:9" ht="15" customHeight="1" x14ac:dyDescent="0.25">
      <c r="A340">
        <v>339</v>
      </c>
      <c r="B340">
        <v>1</v>
      </c>
      <c r="C340" t="s">
        <v>365</v>
      </c>
      <c r="D340">
        <v>480</v>
      </c>
      <c r="E340">
        <v>8</v>
      </c>
      <c r="F340" t="s">
        <v>33</v>
      </c>
      <c r="G340">
        <v>712</v>
      </c>
      <c r="H340">
        <v>57</v>
      </c>
      <c r="I340" t="str">
        <f t="shared" si="5"/>
        <v>2024-12</v>
      </c>
    </row>
    <row r="341" spans="1:9" ht="15" customHeight="1" x14ac:dyDescent="0.25">
      <c r="A341">
        <v>340</v>
      </c>
      <c r="B341">
        <v>1</v>
      </c>
      <c r="C341" t="s">
        <v>366</v>
      </c>
      <c r="D341">
        <v>480</v>
      </c>
      <c r="E341">
        <v>1</v>
      </c>
      <c r="F341" t="s">
        <v>29</v>
      </c>
      <c r="G341">
        <v>742</v>
      </c>
      <c r="H341">
        <v>34</v>
      </c>
      <c r="I341" t="str">
        <f t="shared" si="5"/>
        <v>2024-12</v>
      </c>
    </row>
    <row r="342" spans="1:9" ht="15" customHeight="1" x14ac:dyDescent="0.25">
      <c r="A342">
        <v>341</v>
      </c>
      <c r="B342">
        <v>1</v>
      </c>
      <c r="C342" t="s">
        <v>367</v>
      </c>
      <c r="D342">
        <v>480</v>
      </c>
      <c r="E342">
        <v>116</v>
      </c>
      <c r="F342" t="s">
        <v>22</v>
      </c>
      <c r="G342">
        <v>595</v>
      </c>
      <c r="H342">
        <v>49</v>
      </c>
      <c r="I342" t="str">
        <f t="shared" si="5"/>
        <v>2024-12</v>
      </c>
    </row>
    <row r="343" spans="1:9" ht="15" customHeight="1" x14ac:dyDescent="0.25">
      <c r="A343">
        <v>342</v>
      </c>
      <c r="B343">
        <v>1</v>
      </c>
      <c r="C343" t="s">
        <v>368</v>
      </c>
      <c r="D343">
        <v>480</v>
      </c>
      <c r="E343">
        <v>28</v>
      </c>
      <c r="F343" t="s">
        <v>24</v>
      </c>
      <c r="G343">
        <v>724</v>
      </c>
      <c r="H343">
        <v>56</v>
      </c>
      <c r="I343" t="str">
        <f t="shared" si="5"/>
        <v>2024-12</v>
      </c>
    </row>
    <row r="344" spans="1:9" ht="15" customHeight="1" x14ac:dyDescent="0.25">
      <c r="A344">
        <v>343</v>
      </c>
      <c r="B344">
        <v>1</v>
      </c>
      <c r="C344" t="s">
        <v>369</v>
      </c>
      <c r="D344">
        <v>480</v>
      </c>
      <c r="E344">
        <v>17</v>
      </c>
      <c r="F344" t="s">
        <v>45</v>
      </c>
      <c r="G344">
        <v>736</v>
      </c>
      <c r="H344">
        <v>22</v>
      </c>
      <c r="I344" t="str">
        <f t="shared" si="5"/>
        <v>2024-12</v>
      </c>
    </row>
    <row r="345" spans="1:9" ht="15" customHeight="1" x14ac:dyDescent="0.25">
      <c r="A345">
        <v>344</v>
      </c>
      <c r="B345">
        <v>1</v>
      </c>
      <c r="C345" t="s">
        <v>370</v>
      </c>
      <c r="D345">
        <v>480</v>
      </c>
      <c r="E345">
        <v>40</v>
      </c>
      <c r="F345" t="s">
        <v>22</v>
      </c>
      <c r="G345">
        <v>617</v>
      </c>
      <c r="H345">
        <v>22</v>
      </c>
      <c r="I345" t="str">
        <f t="shared" si="5"/>
        <v>2024-12</v>
      </c>
    </row>
    <row r="346" spans="1:9" ht="15" customHeight="1" x14ac:dyDescent="0.25">
      <c r="A346">
        <v>345</v>
      </c>
      <c r="B346">
        <v>1</v>
      </c>
      <c r="C346" t="s">
        <v>371</v>
      </c>
      <c r="D346">
        <v>480</v>
      </c>
      <c r="E346">
        <v>3</v>
      </c>
      <c r="F346" t="s">
        <v>22</v>
      </c>
      <c r="G346">
        <v>739</v>
      </c>
      <c r="H346">
        <v>35</v>
      </c>
      <c r="I346" t="str">
        <f t="shared" si="5"/>
        <v>2024-12</v>
      </c>
    </row>
    <row r="347" spans="1:9" ht="15" customHeight="1" x14ac:dyDescent="0.25">
      <c r="A347">
        <v>346</v>
      </c>
      <c r="B347">
        <v>1</v>
      </c>
      <c r="C347" t="s">
        <v>372</v>
      </c>
      <c r="D347">
        <v>480</v>
      </c>
      <c r="E347">
        <v>58</v>
      </c>
      <c r="F347" t="s">
        <v>27</v>
      </c>
      <c r="G347">
        <v>570</v>
      </c>
      <c r="H347">
        <v>26</v>
      </c>
      <c r="I347" t="str">
        <f t="shared" si="5"/>
        <v>2024-12</v>
      </c>
    </row>
    <row r="348" spans="1:9" ht="15" customHeight="1" x14ac:dyDescent="0.25">
      <c r="A348">
        <v>347</v>
      </c>
      <c r="B348">
        <v>1</v>
      </c>
      <c r="C348" t="s">
        <v>373</v>
      </c>
      <c r="D348">
        <v>480</v>
      </c>
      <c r="E348">
        <v>34</v>
      </c>
      <c r="F348" t="s">
        <v>45</v>
      </c>
      <c r="G348">
        <v>704</v>
      </c>
      <c r="H348">
        <v>33</v>
      </c>
      <c r="I348" t="str">
        <f t="shared" si="5"/>
        <v>2024-12</v>
      </c>
    </row>
    <row r="349" spans="1:9" ht="15" customHeight="1" x14ac:dyDescent="0.25">
      <c r="A349">
        <v>348</v>
      </c>
      <c r="B349">
        <v>1</v>
      </c>
      <c r="C349" t="s">
        <v>374</v>
      </c>
      <c r="D349">
        <v>480</v>
      </c>
      <c r="E349">
        <v>44</v>
      </c>
      <c r="F349" t="s">
        <v>29</v>
      </c>
      <c r="G349">
        <v>701</v>
      </c>
      <c r="H349">
        <v>45</v>
      </c>
      <c r="I349" t="str">
        <f t="shared" si="5"/>
        <v>2024-12</v>
      </c>
    </row>
    <row r="350" spans="1:9" ht="15" customHeight="1" x14ac:dyDescent="0.25">
      <c r="A350">
        <v>349</v>
      </c>
      <c r="B350">
        <v>1</v>
      </c>
      <c r="C350" t="s">
        <v>375</v>
      </c>
      <c r="D350">
        <v>480</v>
      </c>
      <c r="E350">
        <v>11</v>
      </c>
      <c r="F350" t="s">
        <v>33</v>
      </c>
      <c r="G350">
        <v>628</v>
      </c>
      <c r="H350">
        <v>49</v>
      </c>
      <c r="I350" t="str">
        <f t="shared" si="5"/>
        <v>2024-12</v>
      </c>
    </row>
    <row r="351" spans="1:9" ht="15" customHeight="1" x14ac:dyDescent="0.25">
      <c r="A351">
        <v>350</v>
      </c>
      <c r="B351">
        <v>1</v>
      </c>
      <c r="C351" t="s">
        <v>376</v>
      </c>
      <c r="D351">
        <v>480</v>
      </c>
      <c r="E351">
        <v>0</v>
      </c>
      <c r="F351" t="s">
        <v>33</v>
      </c>
      <c r="G351">
        <v>770</v>
      </c>
      <c r="H351">
        <v>45</v>
      </c>
      <c r="I351" t="str">
        <f t="shared" si="5"/>
        <v>2024-12</v>
      </c>
    </row>
    <row r="352" spans="1:9" ht="15" customHeight="1" x14ac:dyDescent="0.25">
      <c r="A352">
        <v>351</v>
      </c>
      <c r="B352">
        <v>1</v>
      </c>
      <c r="C352" t="s">
        <v>377</v>
      </c>
      <c r="D352">
        <v>480</v>
      </c>
      <c r="E352">
        <v>125</v>
      </c>
      <c r="F352" t="s">
        <v>24</v>
      </c>
      <c r="G352">
        <v>561</v>
      </c>
      <c r="H352">
        <v>48</v>
      </c>
      <c r="I352" t="str">
        <f t="shared" si="5"/>
        <v>2024-12</v>
      </c>
    </row>
    <row r="353" spans="1:9" ht="15" customHeight="1" x14ac:dyDescent="0.25">
      <c r="A353">
        <v>352</v>
      </c>
      <c r="B353">
        <v>1</v>
      </c>
      <c r="C353" t="s">
        <v>378</v>
      </c>
      <c r="D353">
        <v>480</v>
      </c>
      <c r="E353">
        <v>19</v>
      </c>
      <c r="F353" t="s">
        <v>24</v>
      </c>
      <c r="G353">
        <v>724</v>
      </c>
      <c r="H353">
        <v>37</v>
      </c>
      <c r="I353" t="str">
        <f t="shared" si="5"/>
        <v>2024-12</v>
      </c>
    </row>
    <row r="354" spans="1:9" ht="15" customHeight="1" x14ac:dyDescent="0.25">
      <c r="A354">
        <v>353</v>
      </c>
      <c r="B354">
        <v>1</v>
      </c>
      <c r="C354" t="s">
        <v>379</v>
      </c>
      <c r="D354">
        <v>480</v>
      </c>
      <c r="E354">
        <v>29</v>
      </c>
      <c r="F354" t="s">
        <v>24</v>
      </c>
      <c r="G354">
        <v>689</v>
      </c>
      <c r="H354">
        <v>54</v>
      </c>
      <c r="I354" t="str">
        <f t="shared" si="5"/>
        <v>2024-12</v>
      </c>
    </row>
    <row r="355" spans="1:9" ht="15" customHeight="1" x14ac:dyDescent="0.25">
      <c r="A355">
        <v>354</v>
      </c>
      <c r="B355">
        <v>1</v>
      </c>
      <c r="C355" t="s">
        <v>380</v>
      </c>
      <c r="D355">
        <v>480</v>
      </c>
      <c r="E355">
        <v>186</v>
      </c>
      <c r="F355" t="s">
        <v>45</v>
      </c>
      <c r="G355">
        <v>462</v>
      </c>
      <c r="H355">
        <v>24</v>
      </c>
      <c r="I355" t="str">
        <f t="shared" si="5"/>
        <v>2024-12</v>
      </c>
    </row>
    <row r="356" spans="1:9" ht="15" customHeight="1" x14ac:dyDescent="0.25">
      <c r="A356">
        <v>355</v>
      </c>
      <c r="B356">
        <v>1</v>
      </c>
      <c r="C356" t="s">
        <v>381</v>
      </c>
      <c r="D356">
        <v>480</v>
      </c>
      <c r="E356">
        <v>24</v>
      </c>
      <c r="F356" t="s">
        <v>45</v>
      </c>
      <c r="G356">
        <v>712</v>
      </c>
      <c r="H356">
        <v>30</v>
      </c>
      <c r="I356" t="str">
        <f t="shared" si="5"/>
        <v>2024-12</v>
      </c>
    </row>
    <row r="357" spans="1:9" ht="15" customHeight="1" x14ac:dyDescent="0.25">
      <c r="A357">
        <v>356</v>
      </c>
      <c r="B357">
        <v>1</v>
      </c>
      <c r="C357" t="s">
        <v>382</v>
      </c>
      <c r="D357">
        <v>480</v>
      </c>
      <c r="E357">
        <v>5</v>
      </c>
      <c r="F357" t="s">
        <v>22</v>
      </c>
      <c r="G357">
        <v>685</v>
      </c>
      <c r="H357">
        <v>31</v>
      </c>
      <c r="I357" t="str">
        <f t="shared" si="5"/>
        <v>2024-12</v>
      </c>
    </row>
    <row r="358" spans="1:9" ht="15" customHeight="1" x14ac:dyDescent="0.25">
      <c r="A358">
        <v>357</v>
      </c>
      <c r="B358">
        <v>1</v>
      </c>
      <c r="C358" t="s">
        <v>383</v>
      </c>
      <c r="D358">
        <v>480</v>
      </c>
      <c r="E358">
        <v>15</v>
      </c>
      <c r="F358" t="s">
        <v>45</v>
      </c>
      <c r="G358">
        <v>653</v>
      </c>
      <c r="H358">
        <v>20</v>
      </c>
      <c r="I358" t="str">
        <f t="shared" si="5"/>
        <v>2024-12</v>
      </c>
    </row>
    <row r="359" spans="1:9" ht="15" customHeight="1" x14ac:dyDescent="0.25">
      <c r="A359">
        <v>358</v>
      </c>
      <c r="B359">
        <v>1</v>
      </c>
      <c r="C359" t="s">
        <v>384</v>
      </c>
      <c r="D359">
        <v>480</v>
      </c>
      <c r="E359">
        <v>0</v>
      </c>
      <c r="F359" t="s">
        <v>33</v>
      </c>
      <c r="G359">
        <v>787</v>
      </c>
      <c r="H359">
        <v>42</v>
      </c>
      <c r="I359" t="str">
        <f t="shared" si="5"/>
        <v>2024-12</v>
      </c>
    </row>
    <row r="360" spans="1:9" ht="15" customHeight="1" x14ac:dyDescent="0.25">
      <c r="A360">
        <v>359</v>
      </c>
      <c r="B360">
        <v>1</v>
      </c>
      <c r="C360" t="s">
        <v>385</v>
      </c>
      <c r="D360">
        <v>480</v>
      </c>
      <c r="E360">
        <v>21</v>
      </c>
      <c r="F360" t="s">
        <v>33</v>
      </c>
      <c r="G360">
        <v>708</v>
      </c>
      <c r="H360">
        <v>29</v>
      </c>
      <c r="I360" t="str">
        <f t="shared" si="5"/>
        <v>2024-12</v>
      </c>
    </row>
    <row r="361" spans="1:9" ht="15" customHeight="1" x14ac:dyDescent="0.25">
      <c r="A361">
        <v>360</v>
      </c>
      <c r="B361">
        <v>1</v>
      </c>
      <c r="C361" t="s">
        <v>386</v>
      </c>
      <c r="D361">
        <v>480</v>
      </c>
      <c r="E361">
        <v>134</v>
      </c>
      <c r="F361" t="s">
        <v>27</v>
      </c>
      <c r="G361">
        <v>546</v>
      </c>
      <c r="H361">
        <v>18</v>
      </c>
      <c r="I361" t="str">
        <f t="shared" si="5"/>
        <v>2024-12</v>
      </c>
    </row>
    <row r="362" spans="1:9" ht="15" customHeight="1" x14ac:dyDescent="0.25">
      <c r="A362">
        <v>361</v>
      </c>
      <c r="B362">
        <v>1</v>
      </c>
      <c r="C362" t="s">
        <v>387</v>
      </c>
      <c r="D362">
        <v>480</v>
      </c>
      <c r="E362">
        <v>24</v>
      </c>
      <c r="F362" t="s">
        <v>27</v>
      </c>
      <c r="G362">
        <v>732</v>
      </c>
      <c r="H362">
        <v>60</v>
      </c>
      <c r="I362" t="str">
        <f t="shared" si="5"/>
        <v>2024-12</v>
      </c>
    </row>
    <row r="363" spans="1:9" ht="15" customHeight="1" x14ac:dyDescent="0.25">
      <c r="A363">
        <v>362</v>
      </c>
      <c r="B363">
        <v>1</v>
      </c>
      <c r="C363" t="s">
        <v>388</v>
      </c>
      <c r="D363">
        <v>480</v>
      </c>
      <c r="E363">
        <v>28</v>
      </c>
      <c r="F363" t="s">
        <v>24</v>
      </c>
      <c r="G363">
        <v>688</v>
      </c>
      <c r="H363">
        <v>26</v>
      </c>
      <c r="I363" t="str">
        <f t="shared" si="5"/>
        <v>2024-12</v>
      </c>
    </row>
    <row r="364" spans="1:9" ht="15" customHeight="1" x14ac:dyDescent="0.25">
      <c r="A364">
        <v>363</v>
      </c>
      <c r="B364">
        <v>1</v>
      </c>
      <c r="C364" t="s">
        <v>389</v>
      </c>
      <c r="D364">
        <v>480</v>
      </c>
      <c r="E364">
        <v>212</v>
      </c>
      <c r="F364" t="s">
        <v>45</v>
      </c>
      <c r="G364">
        <v>376</v>
      </c>
      <c r="H364">
        <v>31</v>
      </c>
      <c r="I364" t="str">
        <f t="shared" si="5"/>
        <v>2024-12</v>
      </c>
    </row>
    <row r="365" spans="1:9" ht="15" customHeight="1" x14ac:dyDescent="0.25">
      <c r="A365">
        <v>364</v>
      </c>
      <c r="B365">
        <v>1</v>
      </c>
      <c r="C365" t="s">
        <v>390</v>
      </c>
      <c r="D365">
        <v>480</v>
      </c>
      <c r="E365">
        <v>47</v>
      </c>
      <c r="F365" t="s">
        <v>45</v>
      </c>
      <c r="G365">
        <v>659</v>
      </c>
      <c r="H365">
        <v>38</v>
      </c>
      <c r="I365" t="str">
        <f t="shared" si="5"/>
        <v>2024-12</v>
      </c>
    </row>
    <row r="366" spans="1:9" ht="15" customHeight="1" x14ac:dyDescent="0.25">
      <c r="A366">
        <v>365</v>
      </c>
      <c r="B366">
        <v>1</v>
      </c>
      <c r="C366" t="s">
        <v>391</v>
      </c>
      <c r="D366">
        <v>480</v>
      </c>
      <c r="E366">
        <v>11</v>
      </c>
      <c r="F366" t="s">
        <v>29</v>
      </c>
      <c r="G366">
        <v>650</v>
      </c>
      <c r="H366">
        <v>26</v>
      </c>
      <c r="I366" t="str">
        <f t="shared" si="5"/>
        <v>2024-12</v>
      </c>
    </row>
    <row r="367" spans="1:9" ht="15" customHeight="1" x14ac:dyDescent="0.25">
      <c r="A367">
        <v>366</v>
      </c>
      <c r="B367">
        <v>1</v>
      </c>
      <c r="C367" t="s">
        <v>392</v>
      </c>
      <c r="D367">
        <v>480</v>
      </c>
      <c r="E367">
        <v>9</v>
      </c>
      <c r="F367" t="s">
        <v>29</v>
      </c>
      <c r="G367">
        <v>742</v>
      </c>
      <c r="H367">
        <v>36</v>
      </c>
      <c r="I367" t="str">
        <f t="shared" si="5"/>
        <v>2024-12</v>
      </c>
    </row>
    <row r="368" spans="1:9" ht="15" customHeight="1" x14ac:dyDescent="0.25">
      <c r="A368">
        <v>367</v>
      </c>
      <c r="B368">
        <v>2</v>
      </c>
      <c r="C368" t="s">
        <v>21</v>
      </c>
      <c r="D368">
        <v>480</v>
      </c>
      <c r="E368">
        <v>41</v>
      </c>
      <c r="F368" t="s">
        <v>45</v>
      </c>
      <c r="G368">
        <v>1318</v>
      </c>
      <c r="H368">
        <v>115</v>
      </c>
      <c r="I368" t="str">
        <f t="shared" si="5"/>
        <v>2024-01</v>
      </c>
    </row>
    <row r="369" spans="1:9" ht="15" customHeight="1" x14ac:dyDescent="0.25">
      <c r="A369">
        <v>368</v>
      </c>
      <c r="B369">
        <v>2</v>
      </c>
      <c r="C369" t="s">
        <v>23</v>
      </c>
      <c r="D369">
        <v>480</v>
      </c>
      <c r="E369">
        <v>3</v>
      </c>
      <c r="F369" t="s">
        <v>45</v>
      </c>
      <c r="G369">
        <v>1285</v>
      </c>
      <c r="H369">
        <v>94</v>
      </c>
      <c r="I369" t="str">
        <f t="shared" si="5"/>
        <v>2024-01</v>
      </c>
    </row>
    <row r="370" spans="1:9" ht="15" customHeight="1" x14ac:dyDescent="0.25">
      <c r="A370">
        <v>369</v>
      </c>
      <c r="B370">
        <v>2</v>
      </c>
      <c r="C370" t="s">
        <v>25</v>
      </c>
      <c r="D370">
        <v>480</v>
      </c>
      <c r="E370">
        <v>22</v>
      </c>
      <c r="F370" t="s">
        <v>24</v>
      </c>
      <c r="G370">
        <v>1169</v>
      </c>
      <c r="H370">
        <v>89</v>
      </c>
      <c r="I370" t="str">
        <f t="shared" si="5"/>
        <v>2024-01</v>
      </c>
    </row>
    <row r="371" spans="1:9" ht="15" customHeight="1" x14ac:dyDescent="0.25">
      <c r="A371">
        <v>370</v>
      </c>
      <c r="B371">
        <v>2</v>
      </c>
      <c r="C371" t="s">
        <v>26</v>
      </c>
      <c r="D371">
        <v>480</v>
      </c>
      <c r="E371">
        <v>4</v>
      </c>
      <c r="F371" t="s">
        <v>22</v>
      </c>
      <c r="G371">
        <v>1235</v>
      </c>
      <c r="H371">
        <v>74</v>
      </c>
      <c r="I371" t="str">
        <f t="shared" si="5"/>
        <v>2024-01</v>
      </c>
    </row>
    <row r="372" spans="1:9" ht="15" customHeight="1" x14ac:dyDescent="0.25">
      <c r="A372">
        <v>371</v>
      </c>
      <c r="B372">
        <v>2</v>
      </c>
      <c r="C372" t="s">
        <v>28</v>
      </c>
      <c r="D372">
        <v>480</v>
      </c>
      <c r="E372">
        <v>17</v>
      </c>
      <c r="F372" t="s">
        <v>33</v>
      </c>
      <c r="G372">
        <v>1297</v>
      </c>
      <c r="H372">
        <v>44</v>
      </c>
      <c r="I372" t="str">
        <f t="shared" si="5"/>
        <v>2024-01</v>
      </c>
    </row>
    <row r="373" spans="1:9" ht="15" customHeight="1" x14ac:dyDescent="0.25">
      <c r="A373">
        <v>372</v>
      </c>
      <c r="B373">
        <v>2</v>
      </c>
      <c r="C373" t="s">
        <v>30</v>
      </c>
      <c r="D373">
        <v>480</v>
      </c>
      <c r="E373">
        <v>40</v>
      </c>
      <c r="F373" t="s">
        <v>33</v>
      </c>
      <c r="G373">
        <v>1152</v>
      </c>
      <c r="H373">
        <v>42</v>
      </c>
      <c r="I373" t="str">
        <f t="shared" si="5"/>
        <v>2024-01</v>
      </c>
    </row>
    <row r="374" spans="1:9" ht="15" customHeight="1" x14ac:dyDescent="0.25">
      <c r="A374">
        <v>373</v>
      </c>
      <c r="B374">
        <v>2</v>
      </c>
      <c r="C374" t="s">
        <v>31</v>
      </c>
      <c r="D374">
        <v>480</v>
      </c>
      <c r="E374">
        <v>41</v>
      </c>
      <c r="F374" t="s">
        <v>33</v>
      </c>
      <c r="G374">
        <v>1325</v>
      </c>
      <c r="H374">
        <v>105</v>
      </c>
      <c r="I374" t="str">
        <f t="shared" si="5"/>
        <v>2024-01</v>
      </c>
    </row>
    <row r="375" spans="1:9" ht="15" customHeight="1" x14ac:dyDescent="0.25">
      <c r="A375">
        <v>374</v>
      </c>
      <c r="B375">
        <v>2</v>
      </c>
      <c r="C375" t="s">
        <v>32</v>
      </c>
      <c r="D375">
        <v>480</v>
      </c>
      <c r="E375">
        <v>31</v>
      </c>
      <c r="F375" t="s">
        <v>24</v>
      </c>
      <c r="G375">
        <v>1277</v>
      </c>
      <c r="H375">
        <v>78</v>
      </c>
      <c r="I375" t="str">
        <f t="shared" si="5"/>
        <v>2024-01</v>
      </c>
    </row>
    <row r="376" spans="1:9" ht="15" customHeight="1" x14ac:dyDescent="0.25">
      <c r="A376">
        <v>375</v>
      </c>
      <c r="B376">
        <v>2</v>
      </c>
      <c r="C376" t="s">
        <v>34</v>
      </c>
      <c r="D376">
        <v>480</v>
      </c>
      <c r="E376">
        <v>1</v>
      </c>
      <c r="F376" t="s">
        <v>22</v>
      </c>
      <c r="G376">
        <v>1294</v>
      </c>
      <c r="H376">
        <v>66</v>
      </c>
      <c r="I376" t="str">
        <f t="shared" si="5"/>
        <v>2024-01</v>
      </c>
    </row>
    <row r="377" spans="1:9" ht="15" customHeight="1" x14ac:dyDescent="0.25">
      <c r="A377">
        <v>376</v>
      </c>
      <c r="B377">
        <v>2</v>
      </c>
      <c r="C377" t="s">
        <v>35</v>
      </c>
      <c r="D377">
        <v>480</v>
      </c>
      <c r="E377">
        <v>5</v>
      </c>
      <c r="F377" t="s">
        <v>33</v>
      </c>
      <c r="G377">
        <v>1370</v>
      </c>
      <c r="H377">
        <v>79</v>
      </c>
      <c r="I377" t="str">
        <f t="shared" si="5"/>
        <v>2024-01</v>
      </c>
    </row>
    <row r="378" spans="1:9" ht="15" customHeight="1" x14ac:dyDescent="0.25">
      <c r="A378">
        <v>377</v>
      </c>
      <c r="B378">
        <v>2</v>
      </c>
      <c r="C378" t="s">
        <v>36</v>
      </c>
      <c r="D378">
        <v>480</v>
      </c>
      <c r="E378">
        <v>1</v>
      </c>
      <c r="F378" t="s">
        <v>22</v>
      </c>
      <c r="G378">
        <v>1241</v>
      </c>
      <c r="H378">
        <v>85</v>
      </c>
      <c r="I378" t="str">
        <f t="shared" si="5"/>
        <v>2024-01</v>
      </c>
    </row>
    <row r="379" spans="1:9" ht="15" customHeight="1" x14ac:dyDescent="0.25">
      <c r="A379">
        <v>378</v>
      </c>
      <c r="B379">
        <v>2</v>
      </c>
      <c r="C379" t="s">
        <v>37</v>
      </c>
      <c r="D379">
        <v>480</v>
      </c>
      <c r="E379">
        <v>1</v>
      </c>
      <c r="F379" t="s">
        <v>45</v>
      </c>
      <c r="G379">
        <v>1417</v>
      </c>
      <c r="H379">
        <v>82</v>
      </c>
      <c r="I379" t="str">
        <f t="shared" si="5"/>
        <v>2024-01</v>
      </c>
    </row>
    <row r="380" spans="1:9" ht="15" customHeight="1" x14ac:dyDescent="0.25">
      <c r="A380">
        <v>379</v>
      </c>
      <c r="B380">
        <v>2</v>
      </c>
      <c r="C380" t="s">
        <v>38</v>
      </c>
      <c r="D380">
        <v>480</v>
      </c>
      <c r="E380">
        <v>12</v>
      </c>
      <c r="F380" t="s">
        <v>27</v>
      </c>
      <c r="G380">
        <v>1314</v>
      </c>
      <c r="H380">
        <v>101</v>
      </c>
      <c r="I380" t="str">
        <f t="shared" si="5"/>
        <v>2024-01</v>
      </c>
    </row>
    <row r="381" spans="1:9" ht="15" customHeight="1" x14ac:dyDescent="0.25">
      <c r="A381">
        <v>380</v>
      </c>
      <c r="B381">
        <v>2</v>
      </c>
      <c r="C381" t="s">
        <v>39</v>
      </c>
      <c r="D381">
        <v>480</v>
      </c>
      <c r="E381">
        <v>8</v>
      </c>
      <c r="F381" t="s">
        <v>22</v>
      </c>
      <c r="G381">
        <v>1349</v>
      </c>
      <c r="H381">
        <v>84</v>
      </c>
      <c r="I381" t="str">
        <f t="shared" si="5"/>
        <v>2024-01</v>
      </c>
    </row>
    <row r="382" spans="1:9" ht="15" customHeight="1" x14ac:dyDescent="0.25">
      <c r="A382">
        <v>381</v>
      </c>
      <c r="B382">
        <v>2</v>
      </c>
      <c r="C382" t="s">
        <v>40</v>
      </c>
      <c r="D382">
        <v>480</v>
      </c>
      <c r="E382">
        <v>5</v>
      </c>
      <c r="F382" t="s">
        <v>22</v>
      </c>
      <c r="G382">
        <v>1412</v>
      </c>
      <c r="H382">
        <v>107</v>
      </c>
      <c r="I382" t="str">
        <f t="shared" si="5"/>
        <v>2024-01</v>
      </c>
    </row>
    <row r="383" spans="1:9" ht="15" customHeight="1" x14ac:dyDescent="0.25">
      <c r="A383">
        <v>382</v>
      </c>
      <c r="B383">
        <v>2</v>
      </c>
      <c r="C383" t="s">
        <v>41</v>
      </c>
      <c r="D383">
        <v>480</v>
      </c>
      <c r="E383">
        <v>20</v>
      </c>
      <c r="F383" t="s">
        <v>45</v>
      </c>
      <c r="G383">
        <v>1360</v>
      </c>
      <c r="H383">
        <v>108</v>
      </c>
      <c r="I383" t="str">
        <f t="shared" si="5"/>
        <v>2024-01</v>
      </c>
    </row>
    <row r="384" spans="1:9" ht="15" customHeight="1" x14ac:dyDescent="0.25">
      <c r="A384">
        <v>383</v>
      </c>
      <c r="B384">
        <v>2</v>
      </c>
      <c r="C384" t="s">
        <v>42</v>
      </c>
      <c r="D384">
        <v>480</v>
      </c>
      <c r="E384">
        <v>23</v>
      </c>
      <c r="F384" t="s">
        <v>33</v>
      </c>
      <c r="G384">
        <v>1348</v>
      </c>
      <c r="H384">
        <v>94</v>
      </c>
      <c r="I384" t="str">
        <f t="shared" si="5"/>
        <v>2024-01</v>
      </c>
    </row>
    <row r="385" spans="1:9" ht="15" customHeight="1" x14ac:dyDescent="0.25">
      <c r="A385">
        <v>384</v>
      </c>
      <c r="B385">
        <v>2</v>
      </c>
      <c r="C385" t="s">
        <v>43</v>
      </c>
      <c r="D385">
        <v>480</v>
      </c>
      <c r="E385">
        <v>21</v>
      </c>
      <c r="F385" t="s">
        <v>29</v>
      </c>
      <c r="G385">
        <v>1296</v>
      </c>
      <c r="H385">
        <v>94</v>
      </c>
      <c r="I385" t="str">
        <f t="shared" si="5"/>
        <v>2024-01</v>
      </c>
    </row>
    <row r="386" spans="1:9" ht="15" customHeight="1" x14ac:dyDescent="0.25">
      <c r="A386">
        <v>385</v>
      </c>
      <c r="B386">
        <v>2</v>
      </c>
      <c r="C386" t="s">
        <v>44</v>
      </c>
      <c r="D386">
        <v>480</v>
      </c>
      <c r="E386">
        <v>3</v>
      </c>
      <c r="F386" t="s">
        <v>29</v>
      </c>
      <c r="G386">
        <v>1419</v>
      </c>
      <c r="H386">
        <v>113</v>
      </c>
      <c r="I386" t="str">
        <f t="shared" ref="I386:I449" si="6">TEXT(C386,"yyyy-mm")</f>
        <v>2024-01</v>
      </c>
    </row>
    <row r="387" spans="1:9" ht="15" customHeight="1" x14ac:dyDescent="0.25">
      <c r="A387">
        <v>386</v>
      </c>
      <c r="B387">
        <v>2</v>
      </c>
      <c r="C387" t="s">
        <v>46</v>
      </c>
      <c r="D387">
        <v>480</v>
      </c>
      <c r="E387">
        <v>0</v>
      </c>
      <c r="F387" t="s">
        <v>33</v>
      </c>
      <c r="G387">
        <v>1413</v>
      </c>
      <c r="H387">
        <v>51</v>
      </c>
      <c r="I387" t="str">
        <f t="shared" si="6"/>
        <v>2024-01</v>
      </c>
    </row>
    <row r="388" spans="1:9" ht="15" customHeight="1" x14ac:dyDescent="0.25">
      <c r="A388">
        <v>387</v>
      </c>
      <c r="B388">
        <v>2</v>
      </c>
      <c r="C388" t="s">
        <v>47</v>
      </c>
      <c r="D388">
        <v>480</v>
      </c>
      <c r="E388">
        <v>7</v>
      </c>
      <c r="F388" t="s">
        <v>24</v>
      </c>
      <c r="G388">
        <v>1369</v>
      </c>
      <c r="H388">
        <v>52</v>
      </c>
      <c r="I388" t="str">
        <f t="shared" si="6"/>
        <v>2024-01</v>
      </c>
    </row>
    <row r="389" spans="1:9" ht="15" customHeight="1" x14ac:dyDescent="0.25">
      <c r="A389">
        <v>388</v>
      </c>
      <c r="B389">
        <v>2</v>
      </c>
      <c r="C389" t="s">
        <v>48</v>
      </c>
      <c r="D389">
        <v>480</v>
      </c>
      <c r="E389">
        <v>32</v>
      </c>
      <c r="F389" t="s">
        <v>29</v>
      </c>
      <c r="G389">
        <v>1320</v>
      </c>
      <c r="H389">
        <v>77</v>
      </c>
      <c r="I389" t="str">
        <f t="shared" si="6"/>
        <v>2024-01</v>
      </c>
    </row>
    <row r="390" spans="1:9" ht="15" customHeight="1" x14ac:dyDescent="0.25">
      <c r="A390">
        <v>389</v>
      </c>
      <c r="B390">
        <v>2</v>
      </c>
      <c r="C390" t="s">
        <v>49</v>
      </c>
      <c r="D390">
        <v>480</v>
      </c>
      <c r="E390">
        <v>0</v>
      </c>
      <c r="F390" t="s">
        <v>33</v>
      </c>
      <c r="G390">
        <v>1263</v>
      </c>
      <c r="H390">
        <v>82</v>
      </c>
      <c r="I390" t="str">
        <f t="shared" si="6"/>
        <v>2024-01</v>
      </c>
    </row>
    <row r="391" spans="1:9" ht="15" customHeight="1" x14ac:dyDescent="0.25">
      <c r="A391">
        <v>390</v>
      </c>
      <c r="B391">
        <v>2</v>
      </c>
      <c r="C391" t="s">
        <v>50</v>
      </c>
      <c r="D391">
        <v>480</v>
      </c>
      <c r="E391">
        <v>75</v>
      </c>
      <c r="F391" t="s">
        <v>45</v>
      </c>
      <c r="G391">
        <v>1146</v>
      </c>
      <c r="H391">
        <v>50</v>
      </c>
      <c r="I391" t="str">
        <f t="shared" si="6"/>
        <v>2024-01</v>
      </c>
    </row>
    <row r="392" spans="1:9" ht="15" customHeight="1" x14ac:dyDescent="0.25">
      <c r="A392">
        <v>391</v>
      </c>
      <c r="B392">
        <v>2</v>
      </c>
      <c r="C392" t="s">
        <v>51</v>
      </c>
      <c r="D392">
        <v>480</v>
      </c>
      <c r="E392">
        <v>19</v>
      </c>
      <c r="F392" t="s">
        <v>29</v>
      </c>
      <c r="G392">
        <v>1280</v>
      </c>
      <c r="H392">
        <v>95</v>
      </c>
      <c r="I392" t="str">
        <f t="shared" si="6"/>
        <v>2024-01</v>
      </c>
    </row>
    <row r="393" spans="1:9" ht="15" customHeight="1" x14ac:dyDescent="0.25">
      <c r="A393">
        <v>392</v>
      </c>
      <c r="B393">
        <v>2</v>
      </c>
      <c r="C393" t="s">
        <v>52</v>
      </c>
      <c r="D393">
        <v>480</v>
      </c>
      <c r="E393">
        <v>2</v>
      </c>
      <c r="F393" t="s">
        <v>33</v>
      </c>
      <c r="G393">
        <v>1389</v>
      </c>
      <c r="H393">
        <v>84</v>
      </c>
      <c r="I393" t="str">
        <f t="shared" si="6"/>
        <v>2024-01</v>
      </c>
    </row>
    <row r="394" spans="1:9" ht="15" customHeight="1" x14ac:dyDescent="0.25">
      <c r="A394">
        <v>393</v>
      </c>
      <c r="B394">
        <v>2</v>
      </c>
      <c r="C394" t="s">
        <v>53</v>
      </c>
      <c r="D394">
        <v>480</v>
      </c>
      <c r="E394">
        <v>63</v>
      </c>
      <c r="F394" t="s">
        <v>22</v>
      </c>
      <c r="G394">
        <v>1110</v>
      </c>
      <c r="H394">
        <v>73</v>
      </c>
      <c r="I394" t="str">
        <f t="shared" si="6"/>
        <v>2024-01</v>
      </c>
    </row>
    <row r="395" spans="1:9" ht="15" customHeight="1" x14ac:dyDescent="0.25">
      <c r="A395">
        <v>394</v>
      </c>
      <c r="B395">
        <v>2</v>
      </c>
      <c r="C395" t="s">
        <v>54</v>
      </c>
      <c r="D395">
        <v>480</v>
      </c>
      <c r="E395">
        <v>51</v>
      </c>
      <c r="F395" t="s">
        <v>29</v>
      </c>
      <c r="G395">
        <v>1082</v>
      </c>
      <c r="H395">
        <v>90</v>
      </c>
      <c r="I395" t="str">
        <f t="shared" si="6"/>
        <v>2024-01</v>
      </c>
    </row>
    <row r="396" spans="1:9" ht="15" customHeight="1" x14ac:dyDescent="0.25">
      <c r="A396">
        <v>395</v>
      </c>
      <c r="B396">
        <v>2</v>
      </c>
      <c r="C396" t="s">
        <v>55</v>
      </c>
      <c r="D396">
        <v>480</v>
      </c>
      <c r="E396">
        <v>22</v>
      </c>
      <c r="F396" t="s">
        <v>45</v>
      </c>
      <c r="G396">
        <v>1146</v>
      </c>
      <c r="H396">
        <v>53</v>
      </c>
      <c r="I396" t="str">
        <f t="shared" si="6"/>
        <v>2024-01</v>
      </c>
    </row>
    <row r="397" spans="1:9" ht="15" customHeight="1" x14ac:dyDescent="0.25">
      <c r="A397">
        <v>396</v>
      </c>
      <c r="B397">
        <v>2</v>
      </c>
      <c r="C397" t="s">
        <v>56</v>
      </c>
      <c r="D397">
        <v>480</v>
      </c>
      <c r="E397">
        <v>23</v>
      </c>
      <c r="F397" t="s">
        <v>29</v>
      </c>
      <c r="G397">
        <v>1144</v>
      </c>
      <c r="H397">
        <v>72</v>
      </c>
      <c r="I397" t="str">
        <f t="shared" si="6"/>
        <v>2024-01</v>
      </c>
    </row>
    <row r="398" spans="1:9" ht="15" customHeight="1" x14ac:dyDescent="0.25">
      <c r="A398">
        <v>397</v>
      </c>
      <c r="B398">
        <v>2</v>
      </c>
      <c r="C398" t="s">
        <v>57</v>
      </c>
      <c r="D398">
        <v>480</v>
      </c>
      <c r="E398">
        <v>8</v>
      </c>
      <c r="F398" t="s">
        <v>33</v>
      </c>
      <c r="G398">
        <v>1333</v>
      </c>
      <c r="H398">
        <v>42</v>
      </c>
      <c r="I398" t="str">
        <f t="shared" si="6"/>
        <v>2024-01</v>
      </c>
    </row>
    <row r="399" spans="1:9" ht="15" customHeight="1" x14ac:dyDescent="0.25">
      <c r="A399">
        <v>398</v>
      </c>
      <c r="B399">
        <v>2</v>
      </c>
      <c r="C399" t="s">
        <v>58</v>
      </c>
      <c r="D399">
        <v>480</v>
      </c>
      <c r="E399">
        <v>39</v>
      </c>
      <c r="F399" t="s">
        <v>24</v>
      </c>
      <c r="G399">
        <v>1336</v>
      </c>
      <c r="H399">
        <v>114</v>
      </c>
      <c r="I399" t="str">
        <f t="shared" si="6"/>
        <v>2024-02</v>
      </c>
    </row>
    <row r="400" spans="1:9" ht="15" customHeight="1" x14ac:dyDescent="0.25">
      <c r="A400">
        <v>399</v>
      </c>
      <c r="B400">
        <v>2</v>
      </c>
      <c r="C400" t="s">
        <v>59</v>
      </c>
      <c r="D400">
        <v>480</v>
      </c>
      <c r="E400">
        <v>26</v>
      </c>
      <c r="F400" t="s">
        <v>33</v>
      </c>
      <c r="G400">
        <v>1153</v>
      </c>
      <c r="H400">
        <v>84</v>
      </c>
      <c r="I400" t="str">
        <f t="shared" si="6"/>
        <v>2024-02</v>
      </c>
    </row>
    <row r="401" spans="1:9" ht="15" customHeight="1" x14ac:dyDescent="0.25">
      <c r="A401">
        <v>400</v>
      </c>
      <c r="B401">
        <v>2</v>
      </c>
      <c r="C401" t="s">
        <v>60</v>
      </c>
      <c r="D401">
        <v>480</v>
      </c>
      <c r="E401">
        <v>0</v>
      </c>
      <c r="F401" t="s">
        <v>33</v>
      </c>
      <c r="G401">
        <v>1189</v>
      </c>
      <c r="H401">
        <v>57</v>
      </c>
      <c r="I401" t="str">
        <f t="shared" si="6"/>
        <v>2024-02</v>
      </c>
    </row>
    <row r="402" spans="1:9" ht="15" customHeight="1" x14ac:dyDescent="0.25">
      <c r="A402">
        <v>401</v>
      </c>
      <c r="B402">
        <v>2</v>
      </c>
      <c r="C402" t="s">
        <v>61</v>
      </c>
      <c r="D402">
        <v>480</v>
      </c>
      <c r="E402">
        <v>12</v>
      </c>
      <c r="F402" t="s">
        <v>33</v>
      </c>
      <c r="G402">
        <v>1362</v>
      </c>
      <c r="H402">
        <v>94</v>
      </c>
      <c r="I402" t="str">
        <f t="shared" si="6"/>
        <v>2024-02</v>
      </c>
    </row>
    <row r="403" spans="1:9" ht="15" customHeight="1" x14ac:dyDescent="0.25">
      <c r="A403">
        <v>402</v>
      </c>
      <c r="B403">
        <v>2</v>
      </c>
      <c r="C403" t="s">
        <v>62</v>
      </c>
      <c r="D403">
        <v>480</v>
      </c>
      <c r="E403">
        <v>11</v>
      </c>
      <c r="F403" t="s">
        <v>29</v>
      </c>
      <c r="G403">
        <v>1230</v>
      </c>
      <c r="H403">
        <v>107</v>
      </c>
      <c r="I403" t="str">
        <f t="shared" si="6"/>
        <v>2024-02</v>
      </c>
    </row>
    <row r="404" spans="1:9" ht="15" customHeight="1" x14ac:dyDescent="0.25">
      <c r="A404">
        <v>403</v>
      </c>
      <c r="B404">
        <v>2</v>
      </c>
      <c r="C404" t="s">
        <v>63</v>
      </c>
      <c r="D404">
        <v>480</v>
      </c>
      <c r="E404">
        <v>10</v>
      </c>
      <c r="F404" t="s">
        <v>22</v>
      </c>
      <c r="G404">
        <v>1281</v>
      </c>
      <c r="H404">
        <v>49</v>
      </c>
      <c r="I404" t="str">
        <f t="shared" si="6"/>
        <v>2024-02</v>
      </c>
    </row>
    <row r="405" spans="1:9" ht="15" customHeight="1" x14ac:dyDescent="0.25">
      <c r="A405">
        <v>404</v>
      </c>
      <c r="B405">
        <v>2</v>
      </c>
      <c r="C405" t="s">
        <v>64</v>
      </c>
      <c r="D405">
        <v>480</v>
      </c>
      <c r="E405">
        <v>30</v>
      </c>
      <c r="F405" t="s">
        <v>33</v>
      </c>
      <c r="G405">
        <v>1290</v>
      </c>
      <c r="H405">
        <v>54</v>
      </c>
      <c r="I405" t="str">
        <f t="shared" si="6"/>
        <v>2024-02</v>
      </c>
    </row>
    <row r="406" spans="1:9" ht="15" customHeight="1" x14ac:dyDescent="0.25">
      <c r="A406">
        <v>405</v>
      </c>
      <c r="B406">
        <v>2</v>
      </c>
      <c r="C406" t="s">
        <v>65</v>
      </c>
      <c r="D406">
        <v>480</v>
      </c>
      <c r="E406">
        <v>1</v>
      </c>
      <c r="F406" t="s">
        <v>22</v>
      </c>
      <c r="G406">
        <v>1369</v>
      </c>
      <c r="H406">
        <v>92</v>
      </c>
      <c r="I406" t="str">
        <f t="shared" si="6"/>
        <v>2024-02</v>
      </c>
    </row>
    <row r="407" spans="1:9" ht="15" customHeight="1" x14ac:dyDescent="0.25">
      <c r="A407">
        <v>406</v>
      </c>
      <c r="B407">
        <v>2</v>
      </c>
      <c r="C407" t="s">
        <v>66</v>
      </c>
      <c r="D407">
        <v>480</v>
      </c>
      <c r="E407">
        <v>6</v>
      </c>
      <c r="F407" t="s">
        <v>24</v>
      </c>
      <c r="G407">
        <v>1429</v>
      </c>
      <c r="H407">
        <v>54</v>
      </c>
      <c r="I407" t="str">
        <f t="shared" si="6"/>
        <v>2024-02</v>
      </c>
    </row>
    <row r="408" spans="1:9" ht="15" customHeight="1" x14ac:dyDescent="0.25">
      <c r="A408">
        <v>407</v>
      </c>
      <c r="B408">
        <v>2</v>
      </c>
      <c r="C408" t="s">
        <v>67</v>
      </c>
      <c r="D408">
        <v>480</v>
      </c>
      <c r="E408">
        <v>10</v>
      </c>
      <c r="F408" t="s">
        <v>45</v>
      </c>
      <c r="G408">
        <v>1415</v>
      </c>
      <c r="H408">
        <v>76</v>
      </c>
      <c r="I408" t="str">
        <f t="shared" si="6"/>
        <v>2024-02</v>
      </c>
    </row>
    <row r="409" spans="1:9" ht="15" customHeight="1" x14ac:dyDescent="0.25">
      <c r="A409">
        <v>408</v>
      </c>
      <c r="B409">
        <v>2</v>
      </c>
      <c r="C409" t="s">
        <v>68</v>
      </c>
      <c r="D409">
        <v>480</v>
      </c>
      <c r="E409">
        <v>19</v>
      </c>
      <c r="F409" t="s">
        <v>24</v>
      </c>
      <c r="G409">
        <v>1242</v>
      </c>
      <c r="H409">
        <v>56</v>
      </c>
      <c r="I409" t="str">
        <f t="shared" si="6"/>
        <v>2024-02</v>
      </c>
    </row>
    <row r="410" spans="1:9" ht="15" customHeight="1" x14ac:dyDescent="0.25">
      <c r="A410">
        <v>409</v>
      </c>
      <c r="B410">
        <v>2</v>
      </c>
      <c r="C410" t="s">
        <v>69</v>
      </c>
      <c r="D410">
        <v>480</v>
      </c>
      <c r="E410">
        <v>79</v>
      </c>
      <c r="F410" t="s">
        <v>29</v>
      </c>
      <c r="G410">
        <v>1083</v>
      </c>
      <c r="H410">
        <v>88</v>
      </c>
      <c r="I410" t="str">
        <f t="shared" si="6"/>
        <v>2024-02</v>
      </c>
    </row>
    <row r="411" spans="1:9" ht="15" customHeight="1" x14ac:dyDescent="0.25">
      <c r="A411">
        <v>410</v>
      </c>
      <c r="B411">
        <v>2</v>
      </c>
      <c r="C411" t="s">
        <v>70</v>
      </c>
      <c r="D411">
        <v>480</v>
      </c>
      <c r="E411">
        <v>4</v>
      </c>
      <c r="F411" t="s">
        <v>29</v>
      </c>
      <c r="G411">
        <v>1232</v>
      </c>
      <c r="H411">
        <v>38</v>
      </c>
      <c r="I411" t="str">
        <f t="shared" si="6"/>
        <v>2024-02</v>
      </c>
    </row>
    <row r="412" spans="1:9" ht="15" customHeight="1" x14ac:dyDescent="0.25">
      <c r="A412">
        <v>411</v>
      </c>
      <c r="B412">
        <v>2</v>
      </c>
      <c r="C412" t="s">
        <v>71</v>
      </c>
      <c r="D412">
        <v>480</v>
      </c>
      <c r="E412">
        <v>20</v>
      </c>
      <c r="F412" t="s">
        <v>24</v>
      </c>
      <c r="G412">
        <v>1232</v>
      </c>
      <c r="H412">
        <v>98</v>
      </c>
      <c r="I412" t="str">
        <f t="shared" si="6"/>
        <v>2024-02</v>
      </c>
    </row>
    <row r="413" spans="1:9" ht="15" customHeight="1" x14ac:dyDescent="0.25">
      <c r="A413">
        <v>412</v>
      </c>
      <c r="B413">
        <v>2</v>
      </c>
      <c r="C413" t="s">
        <v>72</v>
      </c>
      <c r="D413">
        <v>480</v>
      </c>
      <c r="E413">
        <v>12</v>
      </c>
      <c r="F413" t="s">
        <v>24</v>
      </c>
      <c r="G413">
        <v>1416</v>
      </c>
      <c r="H413">
        <v>56</v>
      </c>
      <c r="I413" t="str">
        <f t="shared" si="6"/>
        <v>2024-02</v>
      </c>
    </row>
    <row r="414" spans="1:9" ht="15" customHeight="1" x14ac:dyDescent="0.25">
      <c r="A414">
        <v>413</v>
      </c>
      <c r="B414">
        <v>2</v>
      </c>
      <c r="C414" t="s">
        <v>73</v>
      </c>
      <c r="D414">
        <v>480</v>
      </c>
      <c r="E414">
        <v>38</v>
      </c>
      <c r="F414" t="s">
        <v>29</v>
      </c>
      <c r="G414">
        <v>1288</v>
      </c>
      <c r="H414">
        <v>95</v>
      </c>
      <c r="I414" t="str">
        <f t="shared" si="6"/>
        <v>2024-02</v>
      </c>
    </row>
    <row r="415" spans="1:9" ht="15" customHeight="1" x14ac:dyDescent="0.25">
      <c r="A415">
        <v>414</v>
      </c>
      <c r="B415">
        <v>2</v>
      </c>
      <c r="C415" t="s">
        <v>74</v>
      </c>
      <c r="D415">
        <v>480</v>
      </c>
      <c r="E415">
        <v>35</v>
      </c>
      <c r="F415" t="s">
        <v>22</v>
      </c>
      <c r="G415">
        <v>1293</v>
      </c>
      <c r="H415">
        <v>85</v>
      </c>
      <c r="I415" t="str">
        <f t="shared" si="6"/>
        <v>2024-02</v>
      </c>
    </row>
    <row r="416" spans="1:9" ht="15" customHeight="1" x14ac:dyDescent="0.25">
      <c r="A416">
        <v>415</v>
      </c>
      <c r="B416">
        <v>2</v>
      </c>
      <c r="C416" t="s">
        <v>75</v>
      </c>
      <c r="D416">
        <v>480</v>
      </c>
      <c r="E416">
        <v>2</v>
      </c>
      <c r="F416" t="s">
        <v>45</v>
      </c>
      <c r="G416">
        <v>1187</v>
      </c>
      <c r="H416">
        <v>98</v>
      </c>
      <c r="I416" t="str">
        <f t="shared" si="6"/>
        <v>2024-02</v>
      </c>
    </row>
    <row r="417" spans="1:9" ht="15" customHeight="1" x14ac:dyDescent="0.25">
      <c r="A417">
        <v>416</v>
      </c>
      <c r="B417">
        <v>2</v>
      </c>
      <c r="C417" t="s">
        <v>76</v>
      </c>
      <c r="D417">
        <v>480</v>
      </c>
      <c r="E417">
        <v>18</v>
      </c>
      <c r="F417" t="s">
        <v>45</v>
      </c>
      <c r="G417">
        <v>1352</v>
      </c>
      <c r="H417">
        <v>77</v>
      </c>
      <c r="I417" t="str">
        <f t="shared" si="6"/>
        <v>2024-02</v>
      </c>
    </row>
    <row r="418" spans="1:9" ht="15" customHeight="1" x14ac:dyDescent="0.25">
      <c r="A418">
        <v>417</v>
      </c>
      <c r="B418">
        <v>2</v>
      </c>
      <c r="C418" t="s">
        <v>77</v>
      </c>
      <c r="D418">
        <v>480</v>
      </c>
      <c r="E418">
        <v>2</v>
      </c>
      <c r="F418" t="s">
        <v>27</v>
      </c>
      <c r="G418">
        <v>1212</v>
      </c>
      <c r="H418">
        <v>83</v>
      </c>
      <c r="I418" t="str">
        <f t="shared" si="6"/>
        <v>2024-02</v>
      </c>
    </row>
    <row r="419" spans="1:9" ht="15" customHeight="1" x14ac:dyDescent="0.25">
      <c r="A419">
        <v>418</v>
      </c>
      <c r="B419">
        <v>2</v>
      </c>
      <c r="C419" t="s">
        <v>78</v>
      </c>
      <c r="D419">
        <v>480</v>
      </c>
      <c r="E419">
        <v>10</v>
      </c>
      <c r="F419" t="s">
        <v>22</v>
      </c>
      <c r="G419">
        <v>1213</v>
      </c>
      <c r="H419">
        <v>70</v>
      </c>
      <c r="I419" t="str">
        <f t="shared" si="6"/>
        <v>2024-02</v>
      </c>
    </row>
    <row r="420" spans="1:9" ht="15" customHeight="1" x14ac:dyDescent="0.25">
      <c r="A420">
        <v>419</v>
      </c>
      <c r="B420">
        <v>2</v>
      </c>
      <c r="C420" t="s">
        <v>79</v>
      </c>
      <c r="D420">
        <v>480</v>
      </c>
      <c r="E420">
        <v>1</v>
      </c>
      <c r="F420" t="s">
        <v>45</v>
      </c>
      <c r="G420">
        <v>1342</v>
      </c>
      <c r="H420">
        <v>60</v>
      </c>
      <c r="I420" t="str">
        <f t="shared" si="6"/>
        <v>2024-02</v>
      </c>
    </row>
    <row r="421" spans="1:9" ht="15" customHeight="1" x14ac:dyDescent="0.25">
      <c r="A421">
        <v>420</v>
      </c>
      <c r="B421">
        <v>2</v>
      </c>
      <c r="C421" t="s">
        <v>80</v>
      </c>
      <c r="D421">
        <v>480</v>
      </c>
      <c r="E421">
        <v>30</v>
      </c>
      <c r="F421" t="s">
        <v>22</v>
      </c>
      <c r="G421">
        <v>1190</v>
      </c>
      <c r="H421">
        <v>66</v>
      </c>
      <c r="I421" t="str">
        <f t="shared" si="6"/>
        <v>2024-02</v>
      </c>
    </row>
    <row r="422" spans="1:9" ht="15" customHeight="1" x14ac:dyDescent="0.25">
      <c r="A422">
        <v>421</v>
      </c>
      <c r="B422">
        <v>2</v>
      </c>
      <c r="C422" t="s">
        <v>81</v>
      </c>
      <c r="D422">
        <v>480</v>
      </c>
      <c r="E422">
        <v>0</v>
      </c>
      <c r="F422" t="s">
        <v>33</v>
      </c>
      <c r="G422">
        <v>1203</v>
      </c>
      <c r="H422">
        <v>62</v>
      </c>
      <c r="I422" t="str">
        <f t="shared" si="6"/>
        <v>2024-02</v>
      </c>
    </row>
    <row r="423" spans="1:9" ht="15" customHeight="1" x14ac:dyDescent="0.25">
      <c r="A423">
        <v>422</v>
      </c>
      <c r="B423">
        <v>2</v>
      </c>
      <c r="C423" t="s">
        <v>82</v>
      </c>
      <c r="D423">
        <v>480</v>
      </c>
      <c r="E423">
        <v>12</v>
      </c>
      <c r="F423" t="s">
        <v>22</v>
      </c>
      <c r="G423">
        <v>1316</v>
      </c>
      <c r="H423">
        <v>60</v>
      </c>
      <c r="I423" t="str">
        <f t="shared" si="6"/>
        <v>2024-02</v>
      </c>
    </row>
    <row r="424" spans="1:9" ht="15" customHeight="1" x14ac:dyDescent="0.25">
      <c r="A424">
        <v>423</v>
      </c>
      <c r="B424">
        <v>2</v>
      </c>
      <c r="C424" t="s">
        <v>83</v>
      </c>
      <c r="D424">
        <v>480</v>
      </c>
      <c r="E424">
        <v>22</v>
      </c>
      <c r="F424" t="s">
        <v>22</v>
      </c>
      <c r="G424">
        <v>1357</v>
      </c>
      <c r="H424">
        <v>101</v>
      </c>
      <c r="I424" t="str">
        <f t="shared" si="6"/>
        <v>2024-02</v>
      </c>
    </row>
    <row r="425" spans="1:9" ht="15" customHeight="1" x14ac:dyDescent="0.25">
      <c r="A425">
        <v>424</v>
      </c>
      <c r="B425">
        <v>2</v>
      </c>
      <c r="C425" t="s">
        <v>84</v>
      </c>
      <c r="D425">
        <v>480</v>
      </c>
      <c r="E425">
        <v>0</v>
      </c>
      <c r="F425" t="s">
        <v>33</v>
      </c>
      <c r="G425">
        <v>1316</v>
      </c>
      <c r="H425">
        <v>46</v>
      </c>
      <c r="I425" t="str">
        <f t="shared" si="6"/>
        <v>2024-02</v>
      </c>
    </row>
    <row r="426" spans="1:9" ht="15" customHeight="1" x14ac:dyDescent="0.25">
      <c r="A426">
        <v>425</v>
      </c>
      <c r="B426">
        <v>2</v>
      </c>
      <c r="C426" t="s">
        <v>85</v>
      </c>
      <c r="D426">
        <v>480</v>
      </c>
      <c r="E426">
        <v>5</v>
      </c>
      <c r="F426" t="s">
        <v>22</v>
      </c>
      <c r="G426">
        <v>1442</v>
      </c>
      <c r="H426">
        <v>54</v>
      </c>
      <c r="I426" t="str">
        <f t="shared" si="6"/>
        <v>2024-02</v>
      </c>
    </row>
    <row r="427" spans="1:9" ht="15" customHeight="1" x14ac:dyDescent="0.25">
      <c r="A427">
        <v>426</v>
      </c>
      <c r="B427">
        <v>2</v>
      </c>
      <c r="C427" t="s">
        <v>86</v>
      </c>
      <c r="D427">
        <v>480</v>
      </c>
      <c r="E427">
        <v>13</v>
      </c>
      <c r="F427" t="s">
        <v>22</v>
      </c>
      <c r="G427">
        <v>1318</v>
      </c>
      <c r="H427">
        <v>92</v>
      </c>
      <c r="I427" t="str">
        <f t="shared" si="6"/>
        <v>2024-02</v>
      </c>
    </row>
    <row r="428" spans="1:9" ht="15" customHeight="1" x14ac:dyDescent="0.25">
      <c r="A428">
        <v>427</v>
      </c>
      <c r="B428">
        <v>2</v>
      </c>
      <c r="C428" t="s">
        <v>87</v>
      </c>
      <c r="D428">
        <v>480</v>
      </c>
      <c r="E428">
        <v>15</v>
      </c>
      <c r="F428" t="s">
        <v>27</v>
      </c>
      <c r="G428">
        <v>1148</v>
      </c>
      <c r="H428">
        <v>55</v>
      </c>
      <c r="I428" t="str">
        <f t="shared" si="6"/>
        <v>2024-03</v>
      </c>
    </row>
    <row r="429" spans="1:9" ht="15" customHeight="1" x14ac:dyDescent="0.25">
      <c r="A429">
        <v>428</v>
      </c>
      <c r="B429">
        <v>2</v>
      </c>
      <c r="C429" t="s">
        <v>88</v>
      </c>
      <c r="D429">
        <v>480</v>
      </c>
      <c r="E429">
        <v>13</v>
      </c>
      <c r="F429" t="s">
        <v>29</v>
      </c>
      <c r="G429">
        <v>1174</v>
      </c>
      <c r="H429">
        <v>58</v>
      </c>
      <c r="I429" t="str">
        <f t="shared" si="6"/>
        <v>2024-03</v>
      </c>
    </row>
    <row r="430" spans="1:9" ht="15" customHeight="1" x14ac:dyDescent="0.25">
      <c r="A430">
        <v>429</v>
      </c>
      <c r="B430">
        <v>2</v>
      </c>
      <c r="C430" t="s">
        <v>89</v>
      </c>
      <c r="D430">
        <v>480</v>
      </c>
      <c r="E430">
        <v>0</v>
      </c>
      <c r="F430" t="s">
        <v>33</v>
      </c>
      <c r="G430">
        <v>1205</v>
      </c>
      <c r="H430">
        <v>63</v>
      </c>
      <c r="I430" t="str">
        <f t="shared" si="6"/>
        <v>2024-03</v>
      </c>
    </row>
    <row r="431" spans="1:9" ht="15" customHeight="1" x14ac:dyDescent="0.25">
      <c r="A431">
        <v>430</v>
      </c>
      <c r="B431">
        <v>2</v>
      </c>
      <c r="C431" t="s">
        <v>90</v>
      </c>
      <c r="D431">
        <v>480</v>
      </c>
      <c r="E431">
        <v>2</v>
      </c>
      <c r="F431" t="s">
        <v>22</v>
      </c>
      <c r="G431">
        <v>1335</v>
      </c>
      <c r="H431">
        <v>92</v>
      </c>
      <c r="I431" t="str">
        <f t="shared" si="6"/>
        <v>2024-03</v>
      </c>
    </row>
    <row r="432" spans="1:9" ht="15" customHeight="1" x14ac:dyDescent="0.25">
      <c r="A432">
        <v>431</v>
      </c>
      <c r="B432">
        <v>2</v>
      </c>
      <c r="C432" t="s">
        <v>91</v>
      </c>
      <c r="D432">
        <v>480</v>
      </c>
      <c r="E432">
        <v>30</v>
      </c>
      <c r="F432" t="s">
        <v>45</v>
      </c>
      <c r="G432">
        <v>1161</v>
      </c>
      <c r="H432">
        <v>45</v>
      </c>
      <c r="I432" t="str">
        <f t="shared" si="6"/>
        <v>2024-03</v>
      </c>
    </row>
    <row r="433" spans="1:9" ht="15" customHeight="1" x14ac:dyDescent="0.25">
      <c r="A433">
        <v>432</v>
      </c>
      <c r="B433">
        <v>2</v>
      </c>
      <c r="C433" t="s">
        <v>92</v>
      </c>
      <c r="D433">
        <v>480</v>
      </c>
      <c r="E433">
        <v>2</v>
      </c>
      <c r="F433" t="s">
        <v>45</v>
      </c>
      <c r="G433">
        <v>1354</v>
      </c>
      <c r="H433">
        <v>95</v>
      </c>
      <c r="I433" t="str">
        <f t="shared" si="6"/>
        <v>2024-03</v>
      </c>
    </row>
    <row r="434" spans="1:9" ht="15" customHeight="1" x14ac:dyDescent="0.25">
      <c r="A434">
        <v>433</v>
      </c>
      <c r="B434">
        <v>2</v>
      </c>
      <c r="C434" t="s">
        <v>93</v>
      </c>
      <c r="D434">
        <v>480</v>
      </c>
      <c r="E434">
        <v>0</v>
      </c>
      <c r="F434" t="s">
        <v>33</v>
      </c>
      <c r="G434">
        <v>1443</v>
      </c>
      <c r="H434">
        <v>46</v>
      </c>
      <c r="I434" t="str">
        <f t="shared" si="6"/>
        <v>2024-03</v>
      </c>
    </row>
    <row r="435" spans="1:9" ht="15" customHeight="1" x14ac:dyDescent="0.25">
      <c r="A435">
        <v>434</v>
      </c>
      <c r="B435">
        <v>2</v>
      </c>
      <c r="C435" t="s">
        <v>94</v>
      </c>
      <c r="D435">
        <v>480</v>
      </c>
      <c r="E435">
        <v>14</v>
      </c>
      <c r="F435" t="s">
        <v>29</v>
      </c>
      <c r="G435">
        <v>1340</v>
      </c>
      <c r="H435">
        <v>107</v>
      </c>
      <c r="I435" t="str">
        <f t="shared" si="6"/>
        <v>2024-03</v>
      </c>
    </row>
    <row r="436" spans="1:9" ht="15" customHeight="1" x14ac:dyDescent="0.25">
      <c r="A436">
        <v>435</v>
      </c>
      <c r="B436">
        <v>2</v>
      </c>
      <c r="C436" t="s">
        <v>95</v>
      </c>
      <c r="D436">
        <v>480</v>
      </c>
      <c r="E436">
        <v>23</v>
      </c>
      <c r="F436" t="s">
        <v>24</v>
      </c>
      <c r="G436">
        <v>1339</v>
      </c>
      <c r="H436">
        <v>65</v>
      </c>
      <c r="I436" t="str">
        <f t="shared" si="6"/>
        <v>2024-03</v>
      </c>
    </row>
    <row r="437" spans="1:9" ht="15" customHeight="1" x14ac:dyDescent="0.25">
      <c r="A437">
        <v>436</v>
      </c>
      <c r="B437">
        <v>2</v>
      </c>
      <c r="C437" t="s">
        <v>96</v>
      </c>
      <c r="D437">
        <v>480</v>
      </c>
      <c r="E437">
        <v>32</v>
      </c>
      <c r="F437" t="s">
        <v>24</v>
      </c>
      <c r="G437">
        <v>1125</v>
      </c>
      <c r="H437">
        <v>91</v>
      </c>
      <c r="I437" t="str">
        <f t="shared" si="6"/>
        <v>2024-03</v>
      </c>
    </row>
    <row r="438" spans="1:9" ht="15" customHeight="1" x14ac:dyDescent="0.25">
      <c r="A438">
        <v>437</v>
      </c>
      <c r="B438">
        <v>2</v>
      </c>
      <c r="C438" t="s">
        <v>97</v>
      </c>
      <c r="D438">
        <v>480</v>
      </c>
      <c r="E438">
        <v>15</v>
      </c>
      <c r="F438" t="s">
        <v>33</v>
      </c>
      <c r="G438">
        <v>1366</v>
      </c>
      <c r="H438">
        <v>76</v>
      </c>
      <c r="I438" t="str">
        <f t="shared" si="6"/>
        <v>2024-03</v>
      </c>
    </row>
    <row r="439" spans="1:9" ht="15" customHeight="1" x14ac:dyDescent="0.25">
      <c r="A439">
        <v>438</v>
      </c>
      <c r="B439">
        <v>2</v>
      </c>
      <c r="C439" t="s">
        <v>98</v>
      </c>
      <c r="D439">
        <v>480</v>
      </c>
      <c r="E439">
        <v>19</v>
      </c>
      <c r="F439" t="s">
        <v>45</v>
      </c>
      <c r="G439">
        <v>1277</v>
      </c>
      <c r="H439">
        <v>91</v>
      </c>
      <c r="I439" t="str">
        <f t="shared" si="6"/>
        <v>2024-03</v>
      </c>
    </row>
    <row r="440" spans="1:9" ht="15" customHeight="1" x14ac:dyDescent="0.25">
      <c r="A440">
        <v>439</v>
      </c>
      <c r="B440">
        <v>2</v>
      </c>
      <c r="C440" t="s">
        <v>99</v>
      </c>
      <c r="D440">
        <v>480</v>
      </c>
      <c r="E440">
        <v>1</v>
      </c>
      <c r="F440" t="s">
        <v>29</v>
      </c>
      <c r="G440">
        <v>1197</v>
      </c>
      <c r="H440">
        <v>52</v>
      </c>
      <c r="I440" t="str">
        <f t="shared" si="6"/>
        <v>2024-03</v>
      </c>
    </row>
    <row r="441" spans="1:9" ht="15" customHeight="1" x14ac:dyDescent="0.25">
      <c r="A441">
        <v>440</v>
      </c>
      <c r="B441">
        <v>2</v>
      </c>
      <c r="C441" t="s">
        <v>100</v>
      </c>
      <c r="D441">
        <v>480</v>
      </c>
      <c r="E441">
        <v>3</v>
      </c>
      <c r="F441" t="s">
        <v>24</v>
      </c>
      <c r="G441">
        <v>1416</v>
      </c>
      <c r="H441">
        <v>59</v>
      </c>
      <c r="I441" t="str">
        <f t="shared" si="6"/>
        <v>2024-03</v>
      </c>
    </row>
    <row r="442" spans="1:9" ht="15" customHeight="1" x14ac:dyDescent="0.25">
      <c r="A442">
        <v>441</v>
      </c>
      <c r="B442">
        <v>2</v>
      </c>
      <c r="C442" t="s">
        <v>101</v>
      </c>
      <c r="D442">
        <v>480</v>
      </c>
      <c r="E442">
        <v>71</v>
      </c>
      <c r="F442" t="s">
        <v>29</v>
      </c>
      <c r="G442">
        <v>1088</v>
      </c>
      <c r="H442">
        <v>43</v>
      </c>
      <c r="I442" t="str">
        <f t="shared" si="6"/>
        <v>2024-03</v>
      </c>
    </row>
    <row r="443" spans="1:9" ht="15" customHeight="1" x14ac:dyDescent="0.25">
      <c r="A443">
        <v>442</v>
      </c>
      <c r="B443">
        <v>2</v>
      </c>
      <c r="C443" t="s">
        <v>102</v>
      </c>
      <c r="D443">
        <v>480</v>
      </c>
      <c r="E443">
        <v>29</v>
      </c>
      <c r="F443" t="s">
        <v>45</v>
      </c>
      <c r="G443">
        <v>1284</v>
      </c>
      <c r="H443">
        <v>74</v>
      </c>
      <c r="I443" t="str">
        <f t="shared" si="6"/>
        <v>2024-03</v>
      </c>
    </row>
    <row r="444" spans="1:9" ht="15" customHeight="1" x14ac:dyDescent="0.25">
      <c r="A444">
        <v>443</v>
      </c>
      <c r="B444">
        <v>2</v>
      </c>
      <c r="C444" t="s">
        <v>103</v>
      </c>
      <c r="D444">
        <v>480</v>
      </c>
      <c r="E444">
        <v>15</v>
      </c>
      <c r="F444" t="s">
        <v>27</v>
      </c>
      <c r="G444">
        <v>1340</v>
      </c>
      <c r="H444">
        <v>57</v>
      </c>
      <c r="I444" t="str">
        <f t="shared" si="6"/>
        <v>2024-03</v>
      </c>
    </row>
    <row r="445" spans="1:9" ht="15" customHeight="1" x14ac:dyDescent="0.25">
      <c r="A445">
        <v>444</v>
      </c>
      <c r="B445">
        <v>2</v>
      </c>
      <c r="C445" t="s">
        <v>104</v>
      </c>
      <c r="D445">
        <v>480</v>
      </c>
      <c r="E445">
        <v>107</v>
      </c>
      <c r="F445" t="s">
        <v>45</v>
      </c>
      <c r="G445">
        <v>1130</v>
      </c>
      <c r="H445">
        <v>75</v>
      </c>
      <c r="I445" t="str">
        <f t="shared" si="6"/>
        <v>2024-03</v>
      </c>
    </row>
    <row r="446" spans="1:9" ht="15" customHeight="1" x14ac:dyDescent="0.25">
      <c r="A446">
        <v>445</v>
      </c>
      <c r="B446">
        <v>2</v>
      </c>
      <c r="C446" t="s">
        <v>105</v>
      </c>
      <c r="D446">
        <v>480</v>
      </c>
      <c r="E446">
        <v>4</v>
      </c>
      <c r="F446" t="s">
        <v>24</v>
      </c>
      <c r="G446">
        <v>1361</v>
      </c>
      <c r="H446">
        <v>45</v>
      </c>
      <c r="I446" t="str">
        <f t="shared" si="6"/>
        <v>2024-03</v>
      </c>
    </row>
    <row r="447" spans="1:9" ht="15" customHeight="1" x14ac:dyDescent="0.25">
      <c r="A447">
        <v>446</v>
      </c>
      <c r="B447">
        <v>2</v>
      </c>
      <c r="C447" t="s">
        <v>106</v>
      </c>
      <c r="D447">
        <v>480</v>
      </c>
      <c r="E447">
        <v>0</v>
      </c>
      <c r="F447" t="s">
        <v>33</v>
      </c>
      <c r="G447">
        <v>1254</v>
      </c>
      <c r="H447">
        <v>70</v>
      </c>
      <c r="I447" t="str">
        <f t="shared" si="6"/>
        <v>2024-03</v>
      </c>
    </row>
    <row r="448" spans="1:9" ht="15" customHeight="1" x14ac:dyDescent="0.25">
      <c r="A448">
        <v>447</v>
      </c>
      <c r="B448">
        <v>2</v>
      </c>
      <c r="C448" t="s">
        <v>107</v>
      </c>
      <c r="D448">
        <v>480</v>
      </c>
      <c r="E448">
        <v>38</v>
      </c>
      <c r="F448" t="s">
        <v>22</v>
      </c>
      <c r="G448">
        <v>1275</v>
      </c>
      <c r="H448">
        <v>92</v>
      </c>
      <c r="I448" t="str">
        <f t="shared" si="6"/>
        <v>2024-03</v>
      </c>
    </row>
    <row r="449" spans="1:9" ht="15" customHeight="1" x14ac:dyDescent="0.25">
      <c r="A449">
        <v>448</v>
      </c>
      <c r="B449">
        <v>2</v>
      </c>
      <c r="C449" t="s">
        <v>108</v>
      </c>
      <c r="D449">
        <v>480</v>
      </c>
      <c r="E449">
        <v>10</v>
      </c>
      <c r="F449" t="s">
        <v>45</v>
      </c>
      <c r="G449">
        <v>1252</v>
      </c>
      <c r="H449">
        <v>63</v>
      </c>
      <c r="I449" t="str">
        <f t="shared" si="6"/>
        <v>2024-03</v>
      </c>
    </row>
    <row r="450" spans="1:9" ht="15" customHeight="1" x14ac:dyDescent="0.25">
      <c r="A450">
        <v>449</v>
      </c>
      <c r="B450">
        <v>2</v>
      </c>
      <c r="C450" t="s">
        <v>109</v>
      </c>
      <c r="D450">
        <v>480</v>
      </c>
      <c r="E450">
        <v>84</v>
      </c>
      <c r="F450" t="s">
        <v>22</v>
      </c>
      <c r="G450">
        <v>985</v>
      </c>
      <c r="H450">
        <v>78</v>
      </c>
      <c r="I450" t="str">
        <f t="shared" ref="I450:I513" si="7">TEXT(C450,"yyyy-mm")</f>
        <v>2024-03</v>
      </c>
    </row>
    <row r="451" spans="1:9" ht="15" customHeight="1" x14ac:dyDescent="0.25">
      <c r="A451">
        <v>450</v>
      </c>
      <c r="B451">
        <v>2</v>
      </c>
      <c r="C451" t="s">
        <v>110</v>
      </c>
      <c r="D451">
        <v>480</v>
      </c>
      <c r="E451">
        <v>16</v>
      </c>
      <c r="F451" t="s">
        <v>45</v>
      </c>
      <c r="G451">
        <v>1261</v>
      </c>
      <c r="H451">
        <v>90</v>
      </c>
      <c r="I451" t="str">
        <f t="shared" si="7"/>
        <v>2024-03</v>
      </c>
    </row>
    <row r="452" spans="1:9" ht="15" customHeight="1" x14ac:dyDescent="0.25">
      <c r="A452">
        <v>451</v>
      </c>
      <c r="B452">
        <v>2</v>
      </c>
      <c r="C452" t="s">
        <v>111</v>
      </c>
      <c r="D452">
        <v>480</v>
      </c>
      <c r="E452">
        <v>12</v>
      </c>
      <c r="F452" t="s">
        <v>29</v>
      </c>
      <c r="G452">
        <v>1390</v>
      </c>
      <c r="H452">
        <v>113</v>
      </c>
      <c r="I452" t="str">
        <f t="shared" si="7"/>
        <v>2024-03</v>
      </c>
    </row>
    <row r="453" spans="1:9" ht="15" customHeight="1" x14ac:dyDescent="0.25">
      <c r="A453">
        <v>452</v>
      </c>
      <c r="B453">
        <v>2</v>
      </c>
      <c r="C453" t="s">
        <v>112</v>
      </c>
      <c r="D453">
        <v>480</v>
      </c>
      <c r="E453">
        <v>10</v>
      </c>
      <c r="F453" t="s">
        <v>33</v>
      </c>
      <c r="G453">
        <v>1234</v>
      </c>
      <c r="H453">
        <v>78</v>
      </c>
      <c r="I453" t="str">
        <f t="shared" si="7"/>
        <v>2024-03</v>
      </c>
    </row>
    <row r="454" spans="1:9" ht="15" customHeight="1" x14ac:dyDescent="0.25">
      <c r="A454">
        <v>453</v>
      </c>
      <c r="B454">
        <v>2</v>
      </c>
      <c r="C454" t="s">
        <v>113</v>
      </c>
      <c r="D454">
        <v>480</v>
      </c>
      <c r="E454">
        <v>46</v>
      </c>
      <c r="F454" t="s">
        <v>45</v>
      </c>
      <c r="G454">
        <v>1122</v>
      </c>
      <c r="H454">
        <v>73</v>
      </c>
      <c r="I454" t="str">
        <f t="shared" si="7"/>
        <v>2024-03</v>
      </c>
    </row>
    <row r="455" spans="1:9" ht="15" customHeight="1" x14ac:dyDescent="0.25">
      <c r="A455">
        <v>454</v>
      </c>
      <c r="B455">
        <v>2</v>
      </c>
      <c r="C455" t="s">
        <v>114</v>
      </c>
      <c r="D455">
        <v>480</v>
      </c>
      <c r="E455">
        <v>19</v>
      </c>
      <c r="F455" t="s">
        <v>24</v>
      </c>
      <c r="G455">
        <v>1332</v>
      </c>
      <c r="H455">
        <v>49</v>
      </c>
      <c r="I455" t="str">
        <f t="shared" si="7"/>
        <v>2024-03</v>
      </c>
    </row>
    <row r="456" spans="1:9" ht="15" customHeight="1" x14ac:dyDescent="0.25">
      <c r="A456">
        <v>455</v>
      </c>
      <c r="B456">
        <v>2</v>
      </c>
      <c r="C456" t="s">
        <v>115</v>
      </c>
      <c r="D456">
        <v>480</v>
      </c>
      <c r="E456">
        <v>24</v>
      </c>
      <c r="F456" t="s">
        <v>22</v>
      </c>
      <c r="G456">
        <v>1364</v>
      </c>
      <c r="H456">
        <v>54</v>
      </c>
      <c r="I456" t="str">
        <f t="shared" si="7"/>
        <v>2024-03</v>
      </c>
    </row>
    <row r="457" spans="1:9" ht="15" customHeight="1" x14ac:dyDescent="0.25">
      <c r="A457">
        <v>456</v>
      </c>
      <c r="B457">
        <v>2</v>
      </c>
      <c r="C457" t="s">
        <v>116</v>
      </c>
      <c r="D457">
        <v>480</v>
      </c>
      <c r="E457">
        <v>5</v>
      </c>
      <c r="F457" t="s">
        <v>22</v>
      </c>
      <c r="G457">
        <v>1438</v>
      </c>
      <c r="H457">
        <v>57</v>
      </c>
      <c r="I457" t="str">
        <f t="shared" si="7"/>
        <v>2024-03</v>
      </c>
    </row>
    <row r="458" spans="1:9" ht="15" customHeight="1" x14ac:dyDescent="0.25">
      <c r="A458">
        <v>457</v>
      </c>
      <c r="B458">
        <v>2</v>
      </c>
      <c r="C458" t="s">
        <v>117</v>
      </c>
      <c r="D458">
        <v>480</v>
      </c>
      <c r="E458">
        <v>36</v>
      </c>
      <c r="F458" t="s">
        <v>27</v>
      </c>
      <c r="G458">
        <v>1221</v>
      </c>
      <c r="H458">
        <v>53</v>
      </c>
      <c r="I458" t="str">
        <f t="shared" si="7"/>
        <v>2024-03</v>
      </c>
    </row>
    <row r="459" spans="1:9" ht="15" customHeight="1" x14ac:dyDescent="0.25">
      <c r="A459">
        <v>458</v>
      </c>
      <c r="B459">
        <v>2</v>
      </c>
      <c r="C459" t="s">
        <v>118</v>
      </c>
      <c r="D459">
        <v>480</v>
      </c>
      <c r="E459">
        <v>39</v>
      </c>
      <c r="F459" t="s">
        <v>22</v>
      </c>
      <c r="G459">
        <v>1200</v>
      </c>
      <c r="H459">
        <v>71</v>
      </c>
      <c r="I459" t="str">
        <f t="shared" si="7"/>
        <v>2024-04</v>
      </c>
    </row>
    <row r="460" spans="1:9" ht="15" customHeight="1" x14ac:dyDescent="0.25">
      <c r="A460">
        <v>459</v>
      </c>
      <c r="B460">
        <v>2</v>
      </c>
      <c r="C460" t="s">
        <v>119</v>
      </c>
      <c r="D460">
        <v>480</v>
      </c>
      <c r="E460">
        <v>8</v>
      </c>
      <c r="F460" t="s">
        <v>27</v>
      </c>
      <c r="G460">
        <v>1325</v>
      </c>
      <c r="H460">
        <v>51</v>
      </c>
      <c r="I460" t="str">
        <f t="shared" si="7"/>
        <v>2024-04</v>
      </c>
    </row>
    <row r="461" spans="1:9" ht="15" customHeight="1" x14ac:dyDescent="0.25">
      <c r="A461">
        <v>460</v>
      </c>
      <c r="B461">
        <v>2</v>
      </c>
      <c r="C461" t="s">
        <v>120</v>
      </c>
      <c r="D461">
        <v>480</v>
      </c>
      <c r="E461">
        <v>9</v>
      </c>
      <c r="F461" t="s">
        <v>22</v>
      </c>
      <c r="G461">
        <v>1425</v>
      </c>
      <c r="H461">
        <v>63</v>
      </c>
      <c r="I461" t="str">
        <f t="shared" si="7"/>
        <v>2024-04</v>
      </c>
    </row>
    <row r="462" spans="1:9" ht="15" customHeight="1" x14ac:dyDescent="0.25">
      <c r="A462">
        <v>461</v>
      </c>
      <c r="B462">
        <v>2</v>
      </c>
      <c r="C462" t="s">
        <v>121</v>
      </c>
      <c r="D462">
        <v>480</v>
      </c>
      <c r="E462">
        <v>20</v>
      </c>
      <c r="F462" t="s">
        <v>24</v>
      </c>
      <c r="G462">
        <v>1220</v>
      </c>
      <c r="H462">
        <v>90</v>
      </c>
      <c r="I462" t="str">
        <f t="shared" si="7"/>
        <v>2024-04</v>
      </c>
    </row>
    <row r="463" spans="1:9" ht="15" customHeight="1" x14ac:dyDescent="0.25">
      <c r="A463">
        <v>462</v>
      </c>
      <c r="B463">
        <v>2</v>
      </c>
      <c r="C463" t="s">
        <v>122</v>
      </c>
      <c r="D463">
        <v>480</v>
      </c>
      <c r="E463">
        <v>2</v>
      </c>
      <c r="F463" t="s">
        <v>45</v>
      </c>
      <c r="G463">
        <v>1447</v>
      </c>
      <c r="H463">
        <v>80</v>
      </c>
      <c r="I463" t="str">
        <f t="shared" si="7"/>
        <v>2024-04</v>
      </c>
    </row>
    <row r="464" spans="1:9" ht="15" customHeight="1" x14ac:dyDescent="0.25">
      <c r="A464">
        <v>463</v>
      </c>
      <c r="B464">
        <v>2</v>
      </c>
      <c r="C464" t="s">
        <v>123</v>
      </c>
      <c r="D464">
        <v>480</v>
      </c>
      <c r="E464">
        <v>5</v>
      </c>
      <c r="F464" t="s">
        <v>27</v>
      </c>
      <c r="G464">
        <v>1191</v>
      </c>
      <c r="H464">
        <v>46</v>
      </c>
      <c r="I464" t="str">
        <f t="shared" si="7"/>
        <v>2024-04</v>
      </c>
    </row>
    <row r="465" spans="1:9" ht="15" customHeight="1" x14ac:dyDescent="0.25">
      <c r="A465">
        <v>464</v>
      </c>
      <c r="B465">
        <v>2</v>
      </c>
      <c r="C465" t="s">
        <v>124</v>
      </c>
      <c r="D465">
        <v>480</v>
      </c>
      <c r="E465">
        <v>14</v>
      </c>
      <c r="F465" t="s">
        <v>45</v>
      </c>
      <c r="G465">
        <v>1239</v>
      </c>
      <c r="H465">
        <v>96</v>
      </c>
      <c r="I465" t="str">
        <f t="shared" si="7"/>
        <v>2024-04</v>
      </c>
    </row>
    <row r="466" spans="1:9" ht="15" customHeight="1" x14ac:dyDescent="0.25">
      <c r="A466">
        <v>465</v>
      </c>
      <c r="B466">
        <v>2</v>
      </c>
      <c r="C466" t="s">
        <v>125</v>
      </c>
      <c r="D466">
        <v>480</v>
      </c>
      <c r="E466">
        <v>10</v>
      </c>
      <c r="F466" t="s">
        <v>45</v>
      </c>
      <c r="G466">
        <v>1226</v>
      </c>
      <c r="H466">
        <v>80</v>
      </c>
      <c r="I466" t="str">
        <f t="shared" si="7"/>
        <v>2024-04</v>
      </c>
    </row>
    <row r="467" spans="1:9" ht="15" customHeight="1" x14ac:dyDescent="0.25">
      <c r="A467">
        <v>466</v>
      </c>
      <c r="B467">
        <v>2</v>
      </c>
      <c r="C467" t="s">
        <v>126</v>
      </c>
      <c r="D467">
        <v>480</v>
      </c>
      <c r="E467">
        <v>23</v>
      </c>
      <c r="F467" t="s">
        <v>24</v>
      </c>
      <c r="G467">
        <v>1170</v>
      </c>
      <c r="H467">
        <v>45</v>
      </c>
      <c r="I467" t="str">
        <f t="shared" si="7"/>
        <v>2024-04</v>
      </c>
    </row>
    <row r="468" spans="1:9" ht="15" customHeight="1" x14ac:dyDescent="0.25">
      <c r="A468">
        <v>467</v>
      </c>
      <c r="B468">
        <v>2</v>
      </c>
      <c r="C468" t="s">
        <v>127</v>
      </c>
      <c r="D468">
        <v>480</v>
      </c>
      <c r="E468">
        <v>0</v>
      </c>
      <c r="F468" t="s">
        <v>33</v>
      </c>
      <c r="G468">
        <v>1388</v>
      </c>
      <c r="H468">
        <v>94</v>
      </c>
      <c r="I468" t="str">
        <f t="shared" si="7"/>
        <v>2024-04</v>
      </c>
    </row>
    <row r="469" spans="1:9" ht="15" customHeight="1" x14ac:dyDescent="0.25">
      <c r="A469">
        <v>468</v>
      </c>
      <c r="B469">
        <v>2</v>
      </c>
      <c r="C469" t="s">
        <v>128</v>
      </c>
      <c r="D469">
        <v>480</v>
      </c>
      <c r="E469">
        <v>12</v>
      </c>
      <c r="F469" t="s">
        <v>24</v>
      </c>
      <c r="G469">
        <v>1382</v>
      </c>
      <c r="H469">
        <v>105</v>
      </c>
      <c r="I469" t="str">
        <f t="shared" si="7"/>
        <v>2024-04</v>
      </c>
    </row>
    <row r="470" spans="1:9" ht="15" customHeight="1" x14ac:dyDescent="0.25">
      <c r="A470">
        <v>469</v>
      </c>
      <c r="B470">
        <v>2</v>
      </c>
      <c r="C470" t="s">
        <v>129</v>
      </c>
      <c r="D470">
        <v>480</v>
      </c>
      <c r="E470">
        <v>16</v>
      </c>
      <c r="F470" t="s">
        <v>29</v>
      </c>
      <c r="G470">
        <v>1377</v>
      </c>
      <c r="H470">
        <v>56</v>
      </c>
      <c r="I470" t="str">
        <f t="shared" si="7"/>
        <v>2024-04</v>
      </c>
    </row>
    <row r="471" spans="1:9" ht="15" customHeight="1" x14ac:dyDescent="0.25">
      <c r="A471">
        <v>470</v>
      </c>
      <c r="B471">
        <v>2</v>
      </c>
      <c r="C471" t="s">
        <v>130</v>
      </c>
      <c r="D471">
        <v>480</v>
      </c>
      <c r="E471">
        <v>2</v>
      </c>
      <c r="F471" t="s">
        <v>22</v>
      </c>
      <c r="G471">
        <v>1253</v>
      </c>
      <c r="H471">
        <v>40</v>
      </c>
      <c r="I471" t="str">
        <f t="shared" si="7"/>
        <v>2024-04</v>
      </c>
    </row>
    <row r="472" spans="1:9" ht="15" customHeight="1" x14ac:dyDescent="0.25">
      <c r="A472">
        <v>471</v>
      </c>
      <c r="B472">
        <v>2</v>
      </c>
      <c r="C472" t="s">
        <v>131</v>
      </c>
      <c r="D472">
        <v>480</v>
      </c>
      <c r="E472">
        <v>14</v>
      </c>
      <c r="F472" t="s">
        <v>29</v>
      </c>
      <c r="G472">
        <v>1401</v>
      </c>
      <c r="H472">
        <v>44</v>
      </c>
      <c r="I472" t="str">
        <f t="shared" si="7"/>
        <v>2024-04</v>
      </c>
    </row>
    <row r="473" spans="1:9" ht="15" customHeight="1" x14ac:dyDescent="0.25">
      <c r="A473">
        <v>472</v>
      </c>
      <c r="B473">
        <v>2</v>
      </c>
      <c r="C473" t="s">
        <v>132</v>
      </c>
      <c r="D473">
        <v>480</v>
      </c>
      <c r="E473">
        <v>2</v>
      </c>
      <c r="F473" t="s">
        <v>45</v>
      </c>
      <c r="G473">
        <v>1303</v>
      </c>
      <c r="H473">
        <v>109</v>
      </c>
      <c r="I473" t="str">
        <f t="shared" si="7"/>
        <v>2024-04</v>
      </c>
    </row>
    <row r="474" spans="1:9" ht="15" customHeight="1" x14ac:dyDescent="0.25">
      <c r="A474">
        <v>473</v>
      </c>
      <c r="B474">
        <v>2</v>
      </c>
      <c r="C474" t="s">
        <v>133</v>
      </c>
      <c r="D474">
        <v>480</v>
      </c>
      <c r="E474">
        <v>7</v>
      </c>
      <c r="F474" t="s">
        <v>29</v>
      </c>
      <c r="G474">
        <v>1305</v>
      </c>
      <c r="H474">
        <v>41</v>
      </c>
      <c r="I474" t="str">
        <f t="shared" si="7"/>
        <v>2024-04</v>
      </c>
    </row>
    <row r="475" spans="1:9" ht="15" customHeight="1" x14ac:dyDescent="0.25">
      <c r="A475">
        <v>474</v>
      </c>
      <c r="B475">
        <v>2</v>
      </c>
      <c r="C475" t="s">
        <v>134</v>
      </c>
      <c r="D475">
        <v>480</v>
      </c>
      <c r="E475">
        <v>3</v>
      </c>
      <c r="F475" t="s">
        <v>45</v>
      </c>
      <c r="G475">
        <v>1448</v>
      </c>
      <c r="H475">
        <v>124</v>
      </c>
      <c r="I475" t="str">
        <f t="shared" si="7"/>
        <v>2024-04</v>
      </c>
    </row>
    <row r="476" spans="1:9" ht="15" customHeight="1" x14ac:dyDescent="0.25">
      <c r="A476">
        <v>475</v>
      </c>
      <c r="B476">
        <v>2</v>
      </c>
      <c r="C476" t="s">
        <v>135</v>
      </c>
      <c r="D476">
        <v>480</v>
      </c>
      <c r="E476">
        <v>0</v>
      </c>
      <c r="F476" t="s">
        <v>33</v>
      </c>
      <c r="G476">
        <v>1448</v>
      </c>
      <c r="H476">
        <v>96</v>
      </c>
      <c r="I476" t="str">
        <f t="shared" si="7"/>
        <v>2024-04</v>
      </c>
    </row>
    <row r="477" spans="1:9" ht="15" customHeight="1" x14ac:dyDescent="0.25">
      <c r="A477">
        <v>476</v>
      </c>
      <c r="B477">
        <v>2</v>
      </c>
      <c r="C477" t="s">
        <v>136</v>
      </c>
      <c r="D477">
        <v>480</v>
      </c>
      <c r="E477">
        <v>38</v>
      </c>
      <c r="F477" t="s">
        <v>27</v>
      </c>
      <c r="G477">
        <v>1206</v>
      </c>
      <c r="H477">
        <v>71</v>
      </c>
      <c r="I477" t="str">
        <f t="shared" si="7"/>
        <v>2024-04</v>
      </c>
    </row>
    <row r="478" spans="1:9" ht="15" customHeight="1" x14ac:dyDescent="0.25">
      <c r="A478">
        <v>477</v>
      </c>
      <c r="B478">
        <v>2</v>
      </c>
      <c r="C478" t="s">
        <v>137</v>
      </c>
      <c r="D478">
        <v>480</v>
      </c>
      <c r="E478">
        <v>12</v>
      </c>
      <c r="F478" t="s">
        <v>45</v>
      </c>
      <c r="G478">
        <v>1334</v>
      </c>
      <c r="H478">
        <v>49</v>
      </c>
      <c r="I478" t="str">
        <f t="shared" si="7"/>
        <v>2024-04</v>
      </c>
    </row>
    <row r="479" spans="1:9" ht="15" customHeight="1" x14ac:dyDescent="0.25">
      <c r="A479">
        <v>478</v>
      </c>
      <c r="B479">
        <v>2</v>
      </c>
      <c r="C479" t="s">
        <v>138</v>
      </c>
      <c r="D479">
        <v>480</v>
      </c>
      <c r="E479">
        <v>0</v>
      </c>
      <c r="F479" t="s">
        <v>33</v>
      </c>
      <c r="G479">
        <v>1268</v>
      </c>
      <c r="H479">
        <v>89</v>
      </c>
      <c r="I479" t="str">
        <f t="shared" si="7"/>
        <v>2024-04</v>
      </c>
    </row>
    <row r="480" spans="1:9" ht="15" customHeight="1" x14ac:dyDescent="0.25">
      <c r="A480">
        <v>479</v>
      </c>
      <c r="B480">
        <v>2</v>
      </c>
      <c r="C480" t="s">
        <v>139</v>
      </c>
      <c r="D480">
        <v>480</v>
      </c>
      <c r="E480">
        <v>4</v>
      </c>
      <c r="F480" t="s">
        <v>27</v>
      </c>
      <c r="G480">
        <v>1359</v>
      </c>
      <c r="H480">
        <v>116</v>
      </c>
      <c r="I480" t="str">
        <f t="shared" si="7"/>
        <v>2024-04</v>
      </c>
    </row>
    <row r="481" spans="1:9" ht="15" customHeight="1" x14ac:dyDescent="0.25">
      <c r="A481">
        <v>480</v>
      </c>
      <c r="B481">
        <v>2</v>
      </c>
      <c r="C481" t="s">
        <v>140</v>
      </c>
      <c r="D481">
        <v>480</v>
      </c>
      <c r="E481">
        <v>1</v>
      </c>
      <c r="F481" t="s">
        <v>22</v>
      </c>
      <c r="G481">
        <v>1367</v>
      </c>
      <c r="H481">
        <v>75</v>
      </c>
      <c r="I481" t="str">
        <f t="shared" si="7"/>
        <v>2024-04</v>
      </c>
    </row>
    <row r="482" spans="1:9" ht="15" customHeight="1" x14ac:dyDescent="0.25">
      <c r="A482">
        <v>481</v>
      </c>
      <c r="B482">
        <v>2</v>
      </c>
      <c r="C482" t="s">
        <v>141</v>
      </c>
      <c r="D482">
        <v>480</v>
      </c>
      <c r="E482">
        <v>38</v>
      </c>
      <c r="F482" t="s">
        <v>29</v>
      </c>
      <c r="G482">
        <v>1134</v>
      </c>
      <c r="H482">
        <v>79</v>
      </c>
      <c r="I482" t="str">
        <f t="shared" si="7"/>
        <v>2024-04</v>
      </c>
    </row>
    <row r="483" spans="1:9" ht="15" customHeight="1" x14ac:dyDescent="0.25">
      <c r="A483">
        <v>482</v>
      </c>
      <c r="B483">
        <v>2</v>
      </c>
      <c r="C483" t="s">
        <v>142</v>
      </c>
      <c r="D483">
        <v>480</v>
      </c>
      <c r="E483">
        <v>34</v>
      </c>
      <c r="F483" t="s">
        <v>27</v>
      </c>
      <c r="G483">
        <v>1343</v>
      </c>
      <c r="H483">
        <v>92</v>
      </c>
      <c r="I483" t="str">
        <f t="shared" si="7"/>
        <v>2024-04</v>
      </c>
    </row>
    <row r="484" spans="1:9" ht="15" customHeight="1" x14ac:dyDescent="0.25">
      <c r="A484">
        <v>483</v>
      </c>
      <c r="B484">
        <v>2</v>
      </c>
      <c r="C484" t="s">
        <v>143</v>
      </c>
      <c r="D484">
        <v>480</v>
      </c>
      <c r="E484">
        <v>13</v>
      </c>
      <c r="F484" t="s">
        <v>45</v>
      </c>
      <c r="G484">
        <v>1318</v>
      </c>
      <c r="H484">
        <v>105</v>
      </c>
      <c r="I484" t="str">
        <f t="shared" si="7"/>
        <v>2024-04</v>
      </c>
    </row>
    <row r="485" spans="1:9" ht="15" customHeight="1" x14ac:dyDescent="0.25">
      <c r="A485">
        <v>484</v>
      </c>
      <c r="B485">
        <v>2</v>
      </c>
      <c r="C485" t="s">
        <v>144</v>
      </c>
      <c r="D485">
        <v>480</v>
      </c>
      <c r="E485">
        <v>16</v>
      </c>
      <c r="F485" t="s">
        <v>29</v>
      </c>
      <c r="G485">
        <v>1151</v>
      </c>
      <c r="H485">
        <v>96</v>
      </c>
      <c r="I485" t="str">
        <f t="shared" si="7"/>
        <v>2024-04</v>
      </c>
    </row>
    <row r="486" spans="1:9" ht="15" customHeight="1" x14ac:dyDescent="0.25">
      <c r="A486">
        <v>485</v>
      </c>
      <c r="B486">
        <v>2</v>
      </c>
      <c r="C486" t="s">
        <v>145</v>
      </c>
      <c r="D486">
        <v>480</v>
      </c>
      <c r="E486">
        <v>22</v>
      </c>
      <c r="F486" t="s">
        <v>22</v>
      </c>
      <c r="G486">
        <v>1308</v>
      </c>
      <c r="H486">
        <v>54</v>
      </c>
      <c r="I486" t="str">
        <f t="shared" si="7"/>
        <v>2024-04</v>
      </c>
    </row>
    <row r="487" spans="1:9" ht="15" customHeight="1" x14ac:dyDescent="0.25">
      <c r="A487">
        <v>486</v>
      </c>
      <c r="B487">
        <v>2</v>
      </c>
      <c r="C487" t="s">
        <v>146</v>
      </c>
      <c r="D487">
        <v>480</v>
      </c>
      <c r="E487">
        <v>20</v>
      </c>
      <c r="F487" t="s">
        <v>27</v>
      </c>
      <c r="G487">
        <v>1238</v>
      </c>
      <c r="H487">
        <v>83</v>
      </c>
      <c r="I487" t="str">
        <f t="shared" si="7"/>
        <v>2024-04</v>
      </c>
    </row>
    <row r="488" spans="1:9" ht="15" customHeight="1" x14ac:dyDescent="0.25">
      <c r="A488">
        <v>487</v>
      </c>
      <c r="B488">
        <v>2</v>
      </c>
      <c r="C488" t="s">
        <v>147</v>
      </c>
      <c r="D488">
        <v>480</v>
      </c>
      <c r="E488">
        <v>2</v>
      </c>
      <c r="F488" t="s">
        <v>24</v>
      </c>
      <c r="G488">
        <v>1360</v>
      </c>
      <c r="H488">
        <v>119</v>
      </c>
      <c r="I488" t="str">
        <f t="shared" si="7"/>
        <v>2024-04</v>
      </c>
    </row>
    <row r="489" spans="1:9" ht="15" customHeight="1" x14ac:dyDescent="0.25">
      <c r="A489">
        <v>488</v>
      </c>
      <c r="B489">
        <v>2</v>
      </c>
      <c r="C489" t="s">
        <v>148</v>
      </c>
      <c r="D489">
        <v>480</v>
      </c>
      <c r="E489">
        <v>0</v>
      </c>
      <c r="F489" t="s">
        <v>33</v>
      </c>
      <c r="G489">
        <v>1455</v>
      </c>
      <c r="H489">
        <v>77</v>
      </c>
      <c r="I489" t="str">
        <f t="shared" si="7"/>
        <v>2024-05</v>
      </c>
    </row>
    <row r="490" spans="1:9" ht="15" customHeight="1" x14ac:dyDescent="0.25">
      <c r="A490">
        <v>489</v>
      </c>
      <c r="B490">
        <v>2</v>
      </c>
      <c r="C490" t="s">
        <v>149</v>
      </c>
      <c r="D490">
        <v>480</v>
      </c>
      <c r="E490">
        <v>39</v>
      </c>
      <c r="F490" t="s">
        <v>29</v>
      </c>
      <c r="G490">
        <v>1287</v>
      </c>
      <c r="H490">
        <v>80</v>
      </c>
      <c r="I490" t="str">
        <f t="shared" si="7"/>
        <v>2024-05</v>
      </c>
    </row>
    <row r="491" spans="1:9" ht="15" customHeight="1" x14ac:dyDescent="0.25">
      <c r="A491">
        <v>490</v>
      </c>
      <c r="B491">
        <v>2</v>
      </c>
      <c r="C491" t="s">
        <v>150</v>
      </c>
      <c r="D491">
        <v>480</v>
      </c>
      <c r="E491">
        <v>25</v>
      </c>
      <c r="F491" t="s">
        <v>27</v>
      </c>
      <c r="G491">
        <v>1353</v>
      </c>
      <c r="H491">
        <v>71</v>
      </c>
      <c r="I491" t="str">
        <f t="shared" si="7"/>
        <v>2024-05</v>
      </c>
    </row>
    <row r="492" spans="1:9" ht="15" customHeight="1" x14ac:dyDescent="0.25">
      <c r="A492">
        <v>491</v>
      </c>
      <c r="B492">
        <v>2</v>
      </c>
      <c r="C492" t="s">
        <v>151</v>
      </c>
      <c r="D492">
        <v>480</v>
      </c>
      <c r="E492">
        <v>7</v>
      </c>
      <c r="F492" t="s">
        <v>22</v>
      </c>
      <c r="G492">
        <v>1349</v>
      </c>
      <c r="H492">
        <v>103</v>
      </c>
      <c r="I492" t="str">
        <f t="shared" si="7"/>
        <v>2024-05</v>
      </c>
    </row>
    <row r="493" spans="1:9" ht="15" customHeight="1" x14ac:dyDescent="0.25">
      <c r="A493">
        <v>492</v>
      </c>
      <c r="B493">
        <v>2</v>
      </c>
      <c r="C493" t="s">
        <v>152</v>
      </c>
      <c r="D493">
        <v>480</v>
      </c>
      <c r="E493">
        <v>27</v>
      </c>
      <c r="F493" t="s">
        <v>22</v>
      </c>
      <c r="G493">
        <v>1326</v>
      </c>
      <c r="H493">
        <v>72</v>
      </c>
      <c r="I493" t="str">
        <f t="shared" si="7"/>
        <v>2024-05</v>
      </c>
    </row>
    <row r="494" spans="1:9" ht="15" customHeight="1" x14ac:dyDescent="0.25">
      <c r="A494">
        <v>493</v>
      </c>
      <c r="B494">
        <v>2</v>
      </c>
      <c r="C494" t="s">
        <v>153</v>
      </c>
      <c r="D494">
        <v>480</v>
      </c>
      <c r="E494">
        <v>32</v>
      </c>
      <c r="F494" t="s">
        <v>24</v>
      </c>
      <c r="G494">
        <v>1135</v>
      </c>
      <c r="H494">
        <v>69</v>
      </c>
      <c r="I494" t="str">
        <f t="shared" si="7"/>
        <v>2024-05</v>
      </c>
    </row>
    <row r="495" spans="1:9" ht="15" customHeight="1" x14ac:dyDescent="0.25">
      <c r="A495">
        <v>494</v>
      </c>
      <c r="B495">
        <v>2</v>
      </c>
      <c r="C495" t="s">
        <v>154</v>
      </c>
      <c r="D495">
        <v>480</v>
      </c>
      <c r="E495">
        <v>0</v>
      </c>
      <c r="F495" t="s">
        <v>33</v>
      </c>
      <c r="G495">
        <v>1273</v>
      </c>
      <c r="H495">
        <v>64</v>
      </c>
      <c r="I495" t="str">
        <f t="shared" si="7"/>
        <v>2024-05</v>
      </c>
    </row>
    <row r="496" spans="1:9" ht="15" customHeight="1" x14ac:dyDescent="0.25">
      <c r="A496">
        <v>495</v>
      </c>
      <c r="B496">
        <v>2</v>
      </c>
      <c r="C496" t="s">
        <v>155</v>
      </c>
      <c r="D496">
        <v>480</v>
      </c>
      <c r="E496">
        <v>9</v>
      </c>
      <c r="F496" t="s">
        <v>29</v>
      </c>
      <c r="G496">
        <v>1351</v>
      </c>
      <c r="H496">
        <v>70</v>
      </c>
      <c r="I496" t="str">
        <f t="shared" si="7"/>
        <v>2024-05</v>
      </c>
    </row>
    <row r="497" spans="1:9" ht="15" customHeight="1" x14ac:dyDescent="0.25">
      <c r="A497">
        <v>496</v>
      </c>
      <c r="B497">
        <v>2</v>
      </c>
      <c r="C497" t="s">
        <v>156</v>
      </c>
      <c r="D497">
        <v>480</v>
      </c>
      <c r="E497">
        <v>11</v>
      </c>
      <c r="F497" t="s">
        <v>45</v>
      </c>
      <c r="G497">
        <v>1220</v>
      </c>
      <c r="H497">
        <v>62</v>
      </c>
      <c r="I497" t="str">
        <f t="shared" si="7"/>
        <v>2024-05</v>
      </c>
    </row>
    <row r="498" spans="1:9" ht="15" customHeight="1" x14ac:dyDescent="0.25">
      <c r="A498">
        <v>497</v>
      </c>
      <c r="B498">
        <v>2</v>
      </c>
      <c r="C498" t="s">
        <v>157</v>
      </c>
      <c r="D498">
        <v>480</v>
      </c>
      <c r="E498">
        <v>4</v>
      </c>
      <c r="F498" t="s">
        <v>27</v>
      </c>
      <c r="G498">
        <v>1193</v>
      </c>
      <c r="H498">
        <v>76</v>
      </c>
      <c r="I498" t="str">
        <f t="shared" si="7"/>
        <v>2024-05</v>
      </c>
    </row>
    <row r="499" spans="1:9" ht="15" customHeight="1" x14ac:dyDescent="0.25">
      <c r="A499">
        <v>498</v>
      </c>
      <c r="B499">
        <v>2</v>
      </c>
      <c r="C499" t="s">
        <v>158</v>
      </c>
      <c r="D499">
        <v>480</v>
      </c>
      <c r="E499">
        <v>21</v>
      </c>
      <c r="F499" t="s">
        <v>33</v>
      </c>
      <c r="G499">
        <v>1296</v>
      </c>
      <c r="H499">
        <v>72</v>
      </c>
      <c r="I499" t="str">
        <f t="shared" si="7"/>
        <v>2024-05</v>
      </c>
    </row>
    <row r="500" spans="1:9" ht="15" customHeight="1" x14ac:dyDescent="0.25">
      <c r="A500">
        <v>499</v>
      </c>
      <c r="B500">
        <v>2</v>
      </c>
      <c r="C500" t="s">
        <v>159</v>
      </c>
      <c r="D500">
        <v>480</v>
      </c>
      <c r="E500">
        <v>9</v>
      </c>
      <c r="F500" t="s">
        <v>29</v>
      </c>
      <c r="G500">
        <v>1396</v>
      </c>
      <c r="H500">
        <v>83</v>
      </c>
      <c r="I500" t="str">
        <f t="shared" si="7"/>
        <v>2024-05</v>
      </c>
    </row>
    <row r="501" spans="1:9" ht="15" customHeight="1" x14ac:dyDescent="0.25">
      <c r="A501">
        <v>500</v>
      </c>
      <c r="B501">
        <v>2</v>
      </c>
      <c r="C501" t="s">
        <v>160</v>
      </c>
      <c r="D501">
        <v>480</v>
      </c>
      <c r="E501">
        <v>12</v>
      </c>
      <c r="F501" t="s">
        <v>27</v>
      </c>
      <c r="G501">
        <v>1160</v>
      </c>
      <c r="H501">
        <v>57</v>
      </c>
      <c r="I501" t="str">
        <f t="shared" si="7"/>
        <v>2024-05</v>
      </c>
    </row>
    <row r="502" spans="1:9" ht="15" customHeight="1" x14ac:dyDescent="0.25">
      <c r="A502">
        <v>501</v>
      </c>
      <c r="B502">
        <v>2</v>
      </c>
      <c r="C502" t="s">
        <v>161</v>
      </c>
      <c r="D502">
        <v>480</v>
      </c>
      <c r="E502">
        <v>9</v>
      </c>
      <c r="F502" t="s">
        <v>27</v>
      </c>
      <c r="G502">
        <v>1269</v>
      </c>
      <c r="H502">
        <v>80</v>
      </c>
      <c r="I502" t="str">
        <f t="shared" si="7"/>
        <v>2024-05</v>
      </c>
    </row>
    <row r="503" spans="1:9" ht="15" customHeight="1" x14ac:dyDescent="0.25">
      <c r="A503">
        <v>502</v>
      </c>
      <c r="B503">
        <v>2</v>
      </c>
      <c r="C503" t="s">
        <v>162</v>
      </c>
      <c r="D503">
        <v>480</v>
      </c>
      <c r="E503">
        <v>14</v>
      </c>
      <c r="F503" t="s">
        <v>29</v>
      </c>
      <c r="G503">
        <v>1312</v>
      </c>
      <c r="H503">
        <v>97</v>
      </c>
      <c r="I503" t="str">
        <f t="shared" si="7"/>
        <v>2024-05</v>
      </c>
    </row>
    <row r="504" spans="1:9" ht="15" customHeight="1" x14ac:dyDescent="0.25">
      <c r="A504">
        <v>503</v>
      </c>
      <c r="B504">
        <v>2</v>
      </c>
      <c r="C504" t="s">
        <v>163</v>
      </c>
      <c r="D504">
        <v>480</v>
      </c>
      <c r="E504">
        <v>32</v>
      </c>
      <c r="F504" t="s">
        <v>29</v>
      </c>
      <c r="G504">
        <v>1290</v>
      </c>
      <c r="H504">
        <v>109</v>
      </c>
      <c r="I504" t="str">
        <f t="shared" si="7"/>
        <v>2024-05</v>
      </c>
    </row>
    <row r="505" spans="1:9" ht="15" customHeight="1" x14ac:dyDescent="0.25">
      <c r="A505">
        <v>504</v>
      </c>
      <c r="B505">
        <v>2</v>
      </c>
      <c r="C505" t="s">
        <v>164</v>
      </c>
      <c r="D505">
        <v>480</v>
      </c>
      <c r="E505">
        <v>0</v>
      </c>
      <c r="F505" t="s">
        <v>33</v>
      </c>
      <c r="G505">
        <v>1237</v>
      </c>
      <c r="H505">
        <v>36</v>
      </c>
      <c r="I505" t="str">
        <f t="shared" si="7"/>
        <v>2024-05</v>
      </c>
    </row>
    <row r="506" spans="1:9" ht="15" customHeight="1" x14ac:dyDescent="0.25">
      <c r="A506">
        <v>505</v>
      </c>
      <c r="B506">
        <v>2</v>
      </c>
      <c r="C506" t="s">
        <v>165</v>
      </c>
      <c r="D506">
        <v>480</v>
      </c>
      <c r="E506">
        <v>19</v>
      </c>
      <c r="F506" t="s">
        <v>22</v>
      </c>
      <c r="G506">
        <v>1376</v>
      </c>
      <c r="H506">
        <v>59</v>
      </c>
      <c r="I506" t="str">
        <f t="shared" si="7"/>
        <v>2024-05</v>
      </c>
    </row>
    <row r="507" spans="1:9" ht="15" customHeight="1" x14ac:dyDescent="0.25">
      <c r="A507">
        <v>506</v>
      </c>
      <c r="B507">
        <v>2</v>
      </c>
      <c r="C507" t="s">
        <v>166</v>
      </c>
      <c r="D507">
        <v>480</v>
      </c>
      <c r="E507">
        <v>50</v>
      </c>
      <c r="F507" t="s">
        <v>22</v>
      </c>
      <c r="G507">
        <v>1074</v>
      </c>
      <c r="H507">
        <v>90</v>
      </c>
      <c r="I507" t="str">
        <f t="shared" si="7"/>
        <v>2024-05</v>
      </c>
    </row>
    <row r="508" spans="1:9" ht="15" customHeight="1" x14ac:dyDescent="0.25">
      <c r="A508">
        <v>507</v>
      </c>
      <c r="B508">
        <v>2</v>
      </c>
      <c r="C508" t="s">
        <v>167</v>
      </c>
      <c r="D508">
        <v>480</v>
      </c>
      <c r="E508">
        <v>8</v>
      </c>
      <c r="F508" t="s">
        <v>22</v>
      </c>
      <c r="G508">
        <v>1191</v>
      </c>
      <c r="H508">
        <v>68</v>
      </c>
      <c r="I508" t="str">
        <f t="shared" si="7"/>
        <v>2024-05</v>
      </c>
    </row>
    <row r="509" spans="1:9" ht="15" customHeight="1" x14ac:dyDescent="0.25">
      <c r="A509">
        <v>508</v>
      </c>
      <c r="B509">
        <v>2</v>
      </c>
      <c r="C509" t="s">
        <v>168</v>
      </c>
      <c r="D509">
        <v>480</v>
      </c>
      <c r="E509">
        <v>5</v>
      </c>
      <c r="F509" t="s">
        <v>33</v>
      </c>
      <c r="G509">
        <v>1249</v>
      </c>
      <c r="H509">
        <v>58</v>
      </c>
      <c r="I509" t="str">
        <f t="shared" si="7"/>
        <v>2024-05</v>
      </c>
    </row>
    <row r="510" spans="1:9" ht="15" customHeight="1" x14ac:dyDescent="0.25">
      <c r="A510">
        <v>509</v>
      </c>
      <c r="B510">
        <v>2</v>
      </c>
      <c r="C510" t="s">
        <v>169</v>
      </c>
      <c r="D510">
        <v>480</v>
      </c>
      <c r="E510">
        <v>31</v>
      </c>
      <c r="F510" t="s">
        <v>22</v>
      </c>
      <c r="G510">
        <v>1247</v>
      </c>
      <c r="H510">
        <v>59</v>
      </c>
      <c r="I510" t="str">
        <f t="shared" si="7"/>
        <v>2024-05</v>
      </c>
    </row>
    <row r="511" spans="1:9" ht="15" customHeight="1" x14ac:dyDescent="0.25">
      <c r="A511">
        <v>510</v>
      </c>
      <c r="B511">
        <v>2</v>
      </c>
      <c r="C511" t="s">
        <v>170</v>
      </c>
      <c r="D511">
        <v>480</v>
      </c>
      <c r="E511">
        <v>18</v>
      </c>
      <c r="F511" t="s">
        <v>24</v>
      </c>
      <c r="G511">
        <v>1330</v>
      </c>
      <c r="H511">
        <v>60</v>
      </c>
      <c r="I511" t="str">
        <f t="shared" si="7"/>
        <v>2024-05</v>
      </c>
    </row>
    <row r="512" spans="1:9" ht="15" customHeight="1" x14ac:dyDescent="0.25">
      <c r="A512">
        <v>511</v>
      </c>
      <c r="B512">
        <v>2</v>
      </c>
      <c r="C512" t="s">
        <v>171</v>
      </c>
      <c r="D512">
        <v>480</v>
      </c>
      <c r="E512">
        <v>10</v>
      </c>
      <c r="F512" t="s">
        <v>24</v>
      </c>
      <c r="G512">
        <v>1191</v>
      </c>
      <c r="H512">
        <v>47</v>
      </c>
      <c r="I512" t="str">
        <f t="shared" si="7"/>
        <v>2024-05</v>
      </c>
    </row>
    <row r="513" spans="1:9" ht="15" customHeight="1" x14ac:dyDescent="0.25">
      <c r="A513">
        <v>512</v>
      </c>
      <c r="B513">
        <v>2</v>
      </c>
      <c r="C513" t="s">
        <v>172</v>
      </c>
      <c r="D513">
        <v>480</v>
      </c>
      <c r="E513">
        <v>21</v>
      </c>
      <c r="F513" t="s">
        <v>45</v>
      </c>
      <c r="G513">
        <v>1179</v>
      </c>
      <c r="H513">
        <v>70</v>
      </c>
      <c r="I513" t="str">
        <f t="shared" si="7"/>
        <v>2024-05</v>
      </c>
    </row>
    <row r="514" spans="1:9" ht="15" customHeight="1" x14ac:dyDescent="0.25">
      <c r="A514">
        <v>513</v>
      </c>
      <c r="B514">
        <v>2</v>
      </c>
      <c r="C514" t="s">
        <v>173</v>
      </c>
      <c r="D514">
        <v>480</v>
      </c>
      <c r="E514">
        <v>23</v>
      </c>
      <c r="F514" t="s">
        <v>45</v>
      </c>
      <c r="G514">
        <v>1154</v>
      </c>
      <c r="H514">
        <v>71</v>
      </c>
      <c r="I514" t="str">
        <f t="shared" ref="I514:I577" si="8">TEXT(C514,"yyyy-mm")</f>
        <v>2024-05</v>
      </c>
    </row>
    <row r="515" spans="1:9" ht="15" customHeight="1" x14ac:dyDescent="0.25">
      <c r="A515">
        <v>514</v>
      </c>
      <c r="B515">
        <v>2</v>
      </c>
      <c r="C515" t="s">
        <v>174</v>
      </c>
      <c r="D515">
        <v>480</v>
      </c>
      <c r="E515">
        <v>5</v>
      </c>
      <c r="F515" t="s">
        <v>29</v>
      </c>
      <c r="G515">
        <v>1436</v>
      </c>
      <c r="H515">
        <v>82</v>
      </c>
      <c r="I515" t="str">
        <f t="shared" si="8"/>
        <v>2024-05</v>
      </c>
    </row>
    <row r="516" spans="1:9" ht="15" customHeight="1" x14ac:dyDescent="0.25">
      <c r="A516">
        <v>515</v>
      </c>
      <c r="B516">
        <v>2</v>
      </c>
      <c r="C516" t="s">
        <v>175</v>
      </c>
      <c r="D516">
        <v>480</v>
      </c>
      <c r="E516">
        <v>31</v>
      </c>
      <c r="F516" t="s">
        <v>24</v>
      </c>
      <c r="G516">
        <v>1250</v>
      </c>
      <c r="H516">
        <v>39</v>
      </c>
      <c r="I516" t="str">
        <f t="shared" si="8"/>
        <v>2024-05</v>
      </c>
    </row>
    <row r="517" spans="1:9" ht="15" customHeight="1" x14ac:dyDescent="0.25">
      <c r="A517">
        <v>516</v>
      </c>
      <c r="B517">
        <v>2</v>
      </c>
      <c r="C517" t="s">
        <v>176</v>
      </c>
      <c r="D517">
        <v>480</v>
      </c>
      <c r="E517">
        <v>19</v>
      </c>
      <c r="F517" t="s">
        <v>27</v>
      </c>
      <c r="G517">
        <v>1390</v>
      </c>
      <c r="H517">
        <v>89</v>
      </c>
      <c r="I517" t="str">
        <f t="shared" si="8"/>
        <v>2024-05</v>
      </c>
    </row>
    <row r="518" spans="1:9" ht="15" customHeight="1" x14ac:dyDescent="0.25">
      <c r="A518">
        <v>517</v>
      </c>
      <c r="B518">
        <v>2</v>
      </c>
      <c r="C518" t="s">
        <v>177</v>
      </c>
      <c r="D518">
        <v>480</v>
      </c>
      <c r="E518">
        <v>32</v>
      </c>
      <c r="F518" t="s">
        <v>33</v>
      </c>
      <c r="G518">
        <v>1334</v>
      </c>
      <c r="H518">
        <v>56</v>
      </c>
      <c r="I518" t="str">
        <f t="shared" si="8"/>
        <v>2024-05</v>
      </c>
    </row>
    <row r="519" spans="1:9" ht="15" customHeight="1" x14ac:dyDescent="0.25">
      <c r="A519">
        <v>518</v>
      </c>
      <c r="B519">
        <v>2</v>
      </c>
      <c r="C519" t="s">
        <v>178</v>
      </c>
      <c r="D519">
        <v>480</v>
      </c>
      <c r="E519">
        <v>4</v>
      </c>
      <c r="F519" t="s">
        <v>45</v>
      </c>
      <c r="G519">
        <v>1342</v>
      </c>
      <c r="H519">
        <v>71</v>
      </c>
      <c r="I519" t="str">
        <f t="shared" si="8"/>
        <v>2024-05</v>
      </c>
    </row>
    <row r="520" spans="1:9" ht="15" customHeight="1" x14ac:dyDescent="0.25">
      <c r="A520">
        <v>519</v>
      </c>
      <c r="B520">
        <v>2</v>
      </c>
      <c r="C520" t="s">
        <v>179</v>
      </c>
      <c r="D520">
        <v>480</v>
      </c>
      <c r="E520">
        <v>35</v>
      </c>
      <c r="F520" t="s">
        <v>45</v>
      </c>
      <c r="G520">
        <v>1329</v>
      </c>
      <c r="H520">
        <v>66</v>
      </c>
      <c r="I520" t="str">
        <f t="shared" si="8"/>
        <v>2024-06</v>
      </c>
    </row>
    <row r="521" spans="1:9" ht="15" customHeight="1" x14ac:dyDescent="0.25">
      <c r="A521">
        <v>520</v>
      </c>
      <c r="B521">
        <v>2</v>
      </c>
      <c r="C521" t="s">
        <v>180</v>
      </c>
      <c r="D521">
        <v>480</v>
      </c>
      <c r="E521">
        <v>5</v>
      </c>
      <c r="F521" t="s">
        <v>22</v>
      </c>
      <c r="G521">
        <v>1385</v>
      </c>
      <c r="H521">
        <v>62</v>
      </c>
      <c r="I521" t="str">
        <f t="shared" si="8"/>
        <v>2024-06</v>
      </c>
    </row>
    <row r="522" spans="1:9" ht="15" customHeight="1" x14ac:dyDescent="0.25">
      <c r="A522">
        <v>521</v>
      </c>
      <c r="B522">
        <v>2</v>
      </c>
      <c r="C522" t="s">
        <v>181</v>
      </c>
      <c r="D522">
        <v>480</v>
      </c>
      <c r="E522">
        <v>33</v>
      </c>
      <c r="F522" t="s">
        <v>22</v>
      </c>
      <c r="G522">
        <v>1211</v>
      </c>
      <c r="H522">
        <v>82</v>
      </c>
      <c r="I522" t="str">
        <f t="shared" si="8"/>
        <v>2024-06</v>
      </c>
    </row>
    <row r="523" spans="1:9" ht="15" customHeight="1" x14ac:dyDescent="0.25">
      <c r="A523">
        <v>522</v>
      </c>
      <c r="B523">
        <v>2</v>
      </c>
      <c r="C523" t="s">
        <v>182</v>
      </c>
      <c r="D523">
        <v>480</v>
      </c>
      <c r="E523">
        <v>1</v>
      </c>
      <c r="F523" t="s">
        <v>27</v>
      </c>
      <c r="G523">
        <v>1354</v>
      </c>
      <c r="H523">
        <v>75</v>
      </c>
      <c r="I523" t="str">
        <f t="shared" si="8"/>
        <v>2024-06</v>
      </c>
    </row>
    <row r="524" spans="1:9" ht="15" customHeight="1" x14ac:dyDescent="0.25">
      <c r="A524">
        <v>523</v>
      </c>
      <c r="B524">
        <v>2</v>
      </c>
      <c r="C524" t="s">
        <v>183</v>
      </c>
      <c r="D524">
        <v>480</v>
      </c>
      <c r="E524">
        <v>16</v>
      </c>
      <c r="F524" t="s">
        <v>22</v>
      </c>
      <c r="G524">
        <v>1188</v>
      </c>
      <c r="H524">
        <v>85</v>
      </c>
      <c r="I524" t="str">
        <f t="shared" si="8"/>
        <v>2024-06</v>
      </c>
    </row>
    <row r="525" spans="1:9" ht="15" customHeight="1" x14ac:dyDescent="0.25">
      <c r="A525">
        <v>524</v>
      </c>
      <c r="B525">
        <v>2</v>
      </c>
      <c r="C525" t="s">
        <v>184</v>
      </c>
      <c r="D525">
        <v>480</v>
      </c>
      <c r="E525">
        <v>37</v>
      </c>
      <c r="F525" t="s">
        <v>45</v>
      </c>
      <c r="G525">
        <v>1147</v>
      </c>
      <c r="H525">
        <v>39</v>
      </c>
      <c r="I525" t="str">
        <f t="shared" si="8"/>
        <v>2024-06</v>
      </c>
    </row>
    <row r="526" spans="1:9" ht="15" customHeight="1" x14ac:dyDescent="0.25">
      <c r="A526">
        <v>525</v>
      </c>
      <c r="B526">
        <v>2</v>
      </c>
      <c r="C526" t="s">
        <v>185</v>
      </c>
      <c r="D526">
        <v>480</v>
      </c>
      <c r="E526">
        <v>0</v>
      </c>
      <c r="F526" t="s">
        <v>33</v>
      </c>
      <c r="G526">
        <v>1361</v>
      </c>
      <c r="H526">
        <v>88</v>
      </c>
      <c r="I526" t="str">
        <f t="shared" si="8"/>
        <v>2024-06</v>
      </c>
    </row>
    <row r="527" spans="1:9" ht="15" customHeight="1" x14ac:dyDescent="0.25">
      <c r="A527">
        <v>526</v>
      </c>
      <c r="B527">
        <v>2</v>
      </c>
      <c r="C527" t="s">
        <v>186</v>
      </c>
      <c r="D527">
        <v>480</v>
      </c>
      <c r="E527">
        <v>15</v>
      </c>
      <c r="F527" t="s">
        <v>45</v>
      </c>
      <c r="G527">
        <v>1208</v>
      </c>
      <c r="H527">
        <v>62</v>
      </c>
      <c r="I527" t="str">
        <f t="shared" si="8"/>
        <v>2024-06</v>
      </c>
    </row>
    <row r="528" spans="1:9" ht="15" customHeight="1" x14ac:dyDescent="0.25">
      <c r="A528">
        <v>527</v>
      </c>
      <c r="B528">
        <v>2</v>
      </c>
      <c r="C528" t="s">
        <v>187</v>
      </c>
      <c r="D528">
        <v>480</v>
      </c>
      <c r="E528">
        <v>17</v>
      </c>
      <c r="F528" t="s">
        <v>24</v>
      </c>
      <c r="G528">
        <v>1274</v>
      </c>
      <c r="H528">
        <v>110</v>
      </c>
      <c r="I528" t="str">
        <f t="shared" si="8"/>
        <v>2024-06</v>
      </c>
    </row>
    <row r="529" spans="1:9" ht="15" customHeight="1" x14ac:dyDescent="0.25">
      <c r="A529">
        <v>528</v>
      </c>
      <c r="B529">
        <v>2</v>
      </c>
      <c r="C529" t="s">
        <v>188</v>
      </c>
      <c r="D529">
        <v>480</v>
      </c>
      <c r="E529">
        <v>2</v>
      </c>
      <c r="F529" t="s">
        <v>22</v>
      </c>
      <c r="G529">
        <v>1370</v>
      </c>
      <c r="H529">
        <v>72</v>
      </c>
      <c r="I529" t="str">
        <f t="shared" si="8"/>
        <v>2024-06</v>
      </c>
    </row>
    <row r="530" spans="1:9" ht="15" customHeight="1" x14ac:dyDescent="0.25">
      <c r="A530">
        <v>529</v>
      </c>
      <c r="B530">
        <v>2</v>
      </c>
      <c r="C530" t="s">
        <v>189</v>
      </c>
      <c r="D530">
        <v>480</v>
      </c>
      <c r="E530">
        <v>10</v>
      </c>
      <c r="F530" t="s">
        <v>27</v>
      </c>
      <c r="G530">
        <v>1354</v>
      </c>
      <c r="H530">
        <v>94</v>
      </c>
      <c r="I530" t="str">
        <f t="shared" si="8"/>
        <v>2024-06</v>
      </c>
    </row>
    <row r="531" spans="1:9" ht="15" customHeight="1" x14ac:dyDescent="0.25">
      <c r="A531">
        <v>530</v>
      </c>
      <c r="B531">
        <v>2</v>
      </c>
      <c r="C531" t="s">
        <v>190</v>
      </c>
      <c r="D531">
        <v>480</v>
      </c>
      <c r="E531">
        <v>90</v>
      </c>
      <c r="F531" t="s">
        <v>27</v>
      </c>
      <c r="G531">
        <v>990</v>
      </c>
      <c r="H531">
        <v>34</v>
      </c>
      <c r="I531" t="str">
        <f t="shared" si="8"/>
        <v>2024-06</v>
      </c>
    </row>
    <row r="532" spans="1:9" ht="15" customHeight="1" x14ac:dyDescent="0.25">
      <c r="A532">
        <v>531</v>
      </c>
      <c r="B532">
        <v>2</v>
      </c>
      <c r="C532" t="s">
        <v>191</v>
      </c>
      <c r="D532">
        <v>480</v>
      </c>
      <c r="E532">
        <v>24</v>
      </c>
      <c r="F532" t="s">
        <v>22</v>
      </c>
      <c r="G532">
        <v>1277</v>
      </c>
      <c r="H532">
        <v>57</v>
      </c>
      <c r="I532" t="str">
        <f t="shared" si="8"/>
        <v>2024-06</v>
      </c>
    </row>
    <row r="533" spans="1:9" ht="15" customHeight="1" x14ac:dyDescent="0.25">
      <c r="A533">
        <v>532</v>
      </c>
      <c r="B533">
        <v>2</v>
      </c>
      <c r="C533" t="s">
        <v>192</v>
      </c>
      <c r="D533">
        <v>480</v>
      </c>
      <c r="E533">
        <v>1</v>
      </c>
      <c r="F533" t="s">
        <v>29</v>
      </c>
      <c r="G533">
        <v>1204</v>
      </c>
      <c r="H533">
        <v>98</v>
      </c>
      <c r="I533" t="str">
        <f t="shared" si="8"/>
        <v>2024-06</v>
      </c>
    </row>
    <row r="534" spans="1:9" ht="15" customHeight="1" x14ac:dyDescent="0.25">
      <c r="A534">
        <v>533</v>
      </c>
      <c r="B534">
        <v>2</v>
      </c>
      <c r="C534" t="s">
        <v>193</v>
      </c>
      <c r="D534">
        <v>480</v>
      </c>
      <c r="E534">
        <v>4</v>
      </c>
      <c r="F534" t="s">
        <v>22</v>
      </c>
      <c r="G534">
        <v>1262</v>
      </c>
      <c r="H534">
        <v>53</v>
      </c>
      <c r="I534" t="str">
        <f t="shared" si="8"/>
        <v>2024-06</v>
      </c>
    </row>
    <row r="535" spans="1:9" ht="15" customHeight="1" x14ac:dyDescent="0.25">
      <c r="A535">
        <v>534</v>
      </c>
      <c r="B535">
        <v>2</v>
      </c>
      <c r="C535" t="s">
        <v>194</v>
      </c>
      <c r="D535">
        <v>480</v>
      </c>
      <c r="E535">
        <v>8</v>
      </c>
      <c r="F535" t="s">
        <v>22</v>
      </c>
      <c r="G535">
        <v>1182</v>
      </c>
      <c r="H535">
        <v>70</v>
      </c>
      <c r="I535" t="str">
        <f t="shared" si="8"/>
        <v>2024-06</v>
      </c>
    </row>
    <row r="536" spans="1:9" ht="15" customHeight="1" x14ac:dyDescent="0.25">
      <c r="A536">
        <v>535</v>
      </c>
      <c r="B536">
        <v>2</v>
      </c>
      <c r="C536" t="s">
        <v>195</v>
      </c>
      <c r="D536">
        <v>480</v>
      </c>
      <c r="E536">
        <v>1</v>
      </c>
      <c r="F536" t="s">
        <v>45</v>
      </c>
      <c r="G536">
        <v>1403</v>
      </c>
      <c r="H536">
        <v>60</v>
      </c>
      <c r="I536" t="str">
        <f t="shared" si="8"/>
        <v>2024-06</v>
      </c>
    </row>
    <row r="537" spans="1:9" ht="15" customHeight="1" x14ac:dyDescent="0.25">
      <c r="A537">
        <v>536</v>
      </c>
      <c r="B537">
        <v>2</v>
      </c>
      <c r="C537" t="s">
        <v>196</v>
      </c>
      <c r="D537">
        <v>480</v>
      </c>
      <c r="E537">
        <v>14</v>
      </c>
      <c r="F537" t="s">
        <v>45</v>
      </c>
      <c r="G537">
        <v>1386</v>
      </c>
      <c r="H537">
        <v>93</v>
      </c>
      <c r="I537" t="str">
        <f t="shared" si="8"/>
        <v>2024-06</v>
      </c>
    </row>
    <row r="538" spans="1:9" ht="15" customHeight="1" x14ac:dyDescent="0.25">
      <c r="A538">
        <v>537</v>
      </c>
      <c r="B538">
        <v>2</v>
      </c>
      <c r="C538" t="s">
        <v>197</v>
      </c>
      <c r="D538">
        <v>480</v>
      </c>
      <c r="E538">
        <v>14</v>
      </c>
      <c r="F538" t="s">
        <v>24</v>
      </c>
      <c r="G538">
        <v>1236</v>
      </c>
      <c r="H538">
        <v>60</v>
      </c>
      <c r="I538" t="str">
        <f t="shared" si="8"/>
        <v>2024-06</v>
      </c>
    </row>
    <row r="539" spans="1:9" ht="15" customHeight="1" x14ac:dyDescent="0.25">
      <c r="A539">
        <v>538</v>
      </c>
      <c r="B539">
        <v>2</v>
      </c>
      <c r="C539" t="s">
        <v>198</v>
      </c>
      <c r="D539">
        <v>480</v>
      </c>
      <c r="E539">
        <v>21</v>
      </c>
      <c r="F539" t="s">
        <v>24</v>
      </c>
      <c r="G539">
        <v>1396</v>
      </c>
      <c r="H539">
        <v>94</v>
      </c>
      <c r="I539" t="str">
        <f t="shared" si="8"/>
        <v>2024-06</v>
      </c>
    </row>
    <row r="540" spans="1:9" ht="15" customHeight="1" x14ac:dyDescent="0.25">
      <c r="A540">
        <v>539</v>
      </c>
      <c r="B540">
        <v>2</v>
      </c>
      <c r="C540" t="s">
        <v>199</v>
      </c>
      <c r="D540">
        <v>480</v>
      </c>
      <c r="E540">
        <v>15</v>
      </c>
      <c r="F540" t="s">
        <v>45</v>
      </c>
      <c r="G540">
        <v>1343</v>
      </c>
      <c r="H540">
        <v>75</v>
      </c>
      <c r="I540" t="str">
        <f t="shared" si="8"/>
        <v>2024-06</v>
      </c>
    </row>
    <row r="541" spans="1:9" ht="15" customHeight="1" x14ac:dyDescent="0.25">
      <c r="A541">
        <v>540</v>
      </c>
      <c r="B541">
        <v>2</v>
      </c>
      <c r="C541" t="s">
        <v>200</v>
      </c>
      <c r="D541">
        <v>480</v>
      </c>
      <c r="E541">
        <v>1</v>
      </c>
      <c r="F541" t="s">
        <v>22</v>
      </c>
      <c r="G541">
        <v>1336</v>
      </c>
      <c r="H541">
        <v>113</v>
      </c>
      <c r="I541" t="str">
        <f t="shared" si="8"/>
        <v>2024-06</v>
      </c>
    </row>
    <row r="542" spans="1:9" ht="15" customHeight="1" x14ac:dyDescent="0.25">
      <c r="A542">
        <v>541</v>
      </c>
      <c r="B542">
        <v>2</v>
      </c>
      <c r="C542" t="s">
        <v>201</v>
      </c>
      <c r="D542">
        <v>480</v>
      </c>
      <c r="E542">
        <v>3</v>
      </c>
      <c r="F542" t="s">
        <v>29</v>
      </c>
      <c r="G542">
        <v>1366</v>
      </c>
      <c r="H542">
        <v>55</v>
      </c>
      <c r="I542" t="str">
        <f t="shared" si="8"/>
        <v>2024-06</v>
      </c>
    </row>
    <row r="543" spans="1:9" ht="15" customHeight="1" x14ac:dyDescent="0.25">
      <c r="A543">
        <v>542</v>
      </c>
      <c r="B543">
        <v>2</v>
      </c>
      <c r="C543" t="s">
        <v>202</v>
      </c>
      <c r="D543">
        <v>480</v>
      </c>
      <c r="E543">
        <v>14</v>
      </c>
      <c r="F543" t="s">
        <v>27</v>
      </c>
      <c r="G543">
        <v>1174</v>
      </c>
      <c r="H543">
        <v>65</v>
      </c>
      <c r="I543" t="str">
        <f t="shared" si="8"/>
        <v>2024-06</v>
      </c>
    </row>
    <row r="544" spans="1:9" ht="15" customHeight="1" x14ac:dyDescent="0.25">
      <c r="A544">
        <v>543</v>
      </c>
      <c r="B544">
        <v>2</v>
      </c>
      <c r="C544" t="s">
        <v>203</v>
      </c>
      <c r="D544">
        <v>480</v>
      </c>
      <c r="E544">
        <v>26</v>
      </c>
      <c r="F544" t="s">
        <v>45</v>
      </c>
      <c r="G544">
        <v>1210</v>
      </c>
      <c r="H544">
        <v>82</v>
      </c>
      <c r="I544" t="str">
        <f t="shared" si="8"/>
        <v>2024-06</v>
      </c>
    </row>
    <row r="545" spans="1:9" ht="15" customHeight="1" x14ac:dyDescent="0.25">
      <c r="A545">
        <v>544</v>
      </c>
      <c r="B545">
        <v>2</v>
      </c>
      <c r="C545" t="s">
        <v>204</v>
      </c>
      <c r="D545">
        <v>480</v>
      </c>
      <c r="E545">
        <v>30</v>
      </c>
      <c r="F545" t="s">
        <v>24</v>
      </c>
      <c r="G545">
        <v>1351</v>
      </c>
      <c r="H545">
        <v>58</v>
      </c>
      <c r="I545" t="str">
        <f t="shared" si="8"/>
        <v>2024-06</v>
      </c>
    </row>
    <row r="546" spans="1:9" ht="15" customHeight="1" x14ac:dyDescent="0.25">
      <c r="A546">
        <v>545</v>
      </c>
      <c r="B546">
        <v>2</v>
      </c>
      <c r="C546" t="s">
        <v>205</v>
      </c>
      <c r="D546">
        <v>480</v>
      </c>
      <c r="E546">
        <v>9</v>
      </c>
      <c r="F546" t="s">
        <v>24</v>
      </c>
      <c r="G546">
        <v>1202</v>
      </c>
      <c r="H546">
        <v>104</v>
      </c>
      <c r="I546" t="str">
        <f t="shared" si="8"/>
        <v>2024-06</v>
      </c>
    </row>
    <row r="547" spans="1:9" ht="15" customHeight="1" x14ac:dyDescent="0.25">
      <c r="A547">
        <v>546</v>
      </c>
      <c r="B547">
        <v>2</v>
      </c>
      <c r="C547" t="s">
        <v>206</v>
      </c>
      <c r="D547">
        <v>480</v>
      </c>
      <c r="E547">
        <v>50</v>
      </c>
      <c r="F547" t="s">
        <v>27</v>
      </c>
      <c r="G547">
        <v>1194</v>
      </c>
      <c r="H547">
        <v>93</v>
      </c>
      <c r="I547" t="str">
        <f t="shared" si="8"/>
        <v>2024-06</v>
      </c>
    </row>
    <row r="548" spans="1:9" ht="15" customHeight="1" x14ac:dyDescent="0.25">
      <c r="A548">
        <v>547</v>
      </c>
      <c r="B548">
        <v>2</v>
      </c>
      <c r="C548" t="s">
        <v>207</v>
      </c>
      <c r="D548">
        <v>480</v>
      </c>
      <c r="E548">
        <v>14</v>
      </c>
      <c r="F548" t="s">
        <v>45</v>
      </c>
      <c r="G548">
        <v>1317</v>
      </c>
      <c r="H548">
        <v>45</v>
      </c>
      <c r="I548" t="str">
        <f t="shared" si="8"/>
        <v>2024-06</v>
      </c>
    </row>
    <row r="549" spans="1:9" ht="15" customHeight="1" x14ac:dyDescent="0.25">
      <c r="A549">
        <v>548</v>
      </c>
      <c r="B549">
        <v>2</v>
      </c>
      <c r="C549" t="s">
        <v>208</v>
      </c>
      <c r="D549">
        <v>480</v>
      </c>
      <c r="E549">
        <v>26</v>
      </c>
      <c r="F549" t="s">
        <v>45</v>
      </c>
      <c r="G549">
        <v>1152</v>
      </c>
      <c r="H549">
        <v>89</v>
      </c>
      <c r="I549" t="str">
        <f t="shared" si="8"/>
        <v>2024-06</v>
      </c>
    </row>
    <row r="550" spans="1:9" ht="15" customHeight="1" x14ac:dyDescent="0.25">
      <c r="A550">
        <v>549</v>
      </c>
      <c r="B550">
        <v>2</v>
      </c>
      <c r="C550" t="s">
        <v>209</v>
      </c>
      <c r="D550">
        <v>480</v>
      </c>
      <c r="E550">
        <v>29</v>
      </c>
      <c r="F550" t="s">
        <v>45</v>
      </c>
      <c r="G550">
        <v>1297</v>
      </c>
      <c r="H550">
        <v>40</v>
      </c>
      <c r="I550" t="str">
        <f t="shared" si="8"/>
        <v>2024-07</v>
      </c>
    </row>
    <row r="551" spans="1:9" ht="15" customHeight="1" x14ac:dyDescent="0.25">
      <c r="A551">
        <v>550</v>
      </c>
      <c r="B551">
        <v>2</v>
      </c>
      <c r="C551" t="s">
        <v>210</v>
      </c>
      <c r="D551">
        <v>480</v>
      </c>
      <c r="E551">
        <v>6</v>
      </c>
      <c r="F551" t="s">
        <v>29</v>
      </c>
      <c r="G551">
        <v>1240</v>
      </c>
      <c r="H551">
        <v>62</v>
      </c>
      <c r="I551" t="str">
        <f t="shared" si="8"/>
        <v>2024-07</v>
      </c>
    </row>
    <row r="552" spans="1:9" ht="15" customHeight="1" x14ac:dyDescent="0.25">
      <c r="A552">
        <v>551</v>
      </c>
      <c r="B552">
        <v>2</v>
      </c>
      <c r="C552" t="s">
        <v>211</v>
      </c>
      <c r="D552">
        <v>480</v>
      </c>
      <c r="E552">
        <v>1</v>
      </c>
      <c r="F552" t="s">
        <v>45</v>
      </c>
      <c r="G552">
        <v>1441</v>
      </c>
      <c r="H552">
        <v>88</v>
      </c>
      <c r="I552" t="str">
        <f t="shared" si="8"/>
        <v>2024-07</v>
      </c>
    </row>
    <row r="553" spans="1:9" ht="15" customHeight="1" x14ac:dyDescent="0.25">
      <c r="A553">
        <v>552</v>
      </c>
      <c r="B553">
        <v>2</v>
      </c>
      <c r="C553" t="s">
        <v>212</v>
      </c>
      <c r="D553">
        <v>480</v>
      </c>
      <c r="E553">
        <v>6</v>
      </c>
      <c r="F553" t="s">
        <v>29</v>
      </c>
      <c r="G553">
        <v>1277</v>
      </c>
      <c r="H553">
        <v>70</v>
      </c>
      <c r="I553" t="str">
        <f t="shared" si="8"/>
        <v>2024-07</v>
      </c>
    </row>
    <row r="554" spans="1:9" ht="15" customHeight="1" x14ac:dyDescent="0.25">
      <c r="A554">
        <v>553</v>
      </c>
      <c r="B554">
        <v>2</v>
      </c>
      <c r="C554" t="s">
        <v>213</v>
      </c>
      <c r="D554">
        <v>480</v>
      </c>
      <c r="E554">
        <v>17</v>
      </c>
      <c r="F554" t="s">
        <v>33</v>
      </c>
      <c r="G554">
        <v>1279</v>
      </c>
      <c r="H554">
        <v>106</v>
      </c>
      <c r="I554" t="str">
        <f t="shared" si="8"/>
        <v>2024-07</v>
      </c>
    </row>
    <row r="555" spans="1:9" ht="15" customHeight="1" x14ac:dyDescent="0.25">
      <c r="A555">
        <v>554</v>
      </c>
      <c r="B555">
        <v>2</v>
      </c>
      <c r="C555" t="s">
        <v>214</v>
      </c>
      <c r="D555">
        <v>480</v>
      </c>
      <c r="E555">
        <v>13</v>
      </c>
      <c r="F555" t="s">
        <v>45</v>
      </c>
      <c r="G555">
        <v>1419</v>
      </c>
      <c r="H555">
        <v>112</v>
      </c>
      <c r="I555" t="str">
        <f t="shared" si="8"/>
        <v>2024-07</v>
      </c>
    </row>
    <row r="556" spans="1:9" ht="15" customHeight="1" x14ac:dyDescent="0.25">
      <c r="A556">
        <v>555</v>
      </c>
      <c r="B556">
        <v>2</v>
      </c>
      <c r="C556" t="s">
        <v>215</v>
      </c>
      <c r="D556">
        <v>480</v>
      </c>
      <c r="E556">
        <v>4</v>
      </c>
      <c r="F556" t="s">
        <v>22</v>
      </c>
      <c r="G556">
        <v>1430</v>
      </c>
      <c r="H556">
        <v>51</v>
      </c>
      <c r="I556" t="str">
        <f t="shared" si="8"/>
        <v>2024-07</v>
      </c>
    </row>
    <row r="557" spans="1:9" ht="15" customHeight="1" x14ac:dyDescent="0.25">
      <c r="A557">
        <v>556</v>
      </c>
      <c r="B557">
        <v>2</v>
      </c>
      <c r="C557" t="s">
        <v>216</v>
      </c>
      <c r="D557">
        <v>480</v>
      </c>
      <c r="E557">
        <v>32</v>
      </c>
      <c r="F557" t="s">
        <v>29</v>
      </c>
      <c r="G557">
        <v>1203</v>
      </c>
      <c r="H557">
        <v>96</v>
      </c>
      <c r="I557" t="str">
        <f t="shared" si="8"/>
        <v>2024-07</v>
      </c>
    </row>
    <row r="558" spans="1:9" ht="15" customHeight="1" x14ac:dyDescent="0.25">
      <c r="A558">
        <v>557</v>
      </c>
      <c r="B558">
        <v>2</v>
      </c>
      <c r="C558" t="s">
        <v>217</v>
      </c>
      <c r="D558">
        <v>480</v>
      </c>
      <c r="E558">
        <v>38</v>
      </c>
      <c r="F558" t="s">
        <v>45</v>
      </c>
      <c r="G558">
        <v>1296</v>
      </c>
      <c r="H558">
        <v>97</v>
      </c>
      <c r="I558" t="str">
        <f t="shared" si="8"/>
        <v>2024-07</v>
      </c>
    </row>
    <row r="559" spans="1:9" ht="15" customHeight="1" x14ac:dyDescent="0.25">
      <c r="A559">
        <v>558</v>
      </c>
      <c r="B559">
        <v>2</v>
      </c>
      <c r="C559" t="s">
        <v>218</v>
      </c>
      <c r="D559">
        <v>480</v>
      </c>
      <c r="E559">
        <v>6</v>
      </c>
      <c r="F559" t="s">
        <v>24</v>
      </c>
      <c r="G559">
        <v>1190</v>
      </c>
      <c r="H559">
        <v>62</v>
      </c>
      <c r="I559" t="str">
        <f t="shared" si="8"/>
        <v>2024-07</v>
      </c>
    </row>
    <row r="560" spans="1:9" ht="15" customHeight="1" x14ac:dyDescent="0.25">
      <c r="A560">
        <v>559</v>
      </c>
      <c r="B560">
        <v>2</v>
      </c>
      <c r="C560" t="s">
        <v>219</v>
      </c>
      <c r="D560">
        <v>480</v>
      </c>
      <c r="E560">
        <v>3</v>
      </c>
      <c r="F560" t="s">
        <v>22</v>
      </c>
      <c r="G560">
        <v>1368</v>
      </c>
      <c r="H560">
        <v>67</v>
      </c>
      <c r="I560" t="str">
        <f t="shared" si="8"/>
        <v>2024-07</v>
      </c>
    </row>
    <row r="561" spans="1:9" ht="15" customHeight="1" x14ac:dyDescent="0.25">
      <c r="A561">
        <v>560</v>
      </c>
      <c r="B561">
        <v>2</v>
      </c>
      <c r="C561" t="s">
        <v>220</v>
      </c>
      <c r="D561">
        <v>480</v>
      </c>
      <c r="E561">
        <v>71</v>
      </c>
      <c r="F561" t="s">
        <v>27</v>
      </c>
      <c r="G561">
        <v>1160</v>
      </c>
      <c r="H561">
        <v>89</v>
      </c>
      <c r="I561" t="str">
        <f t="shared" si="8"/>
        <v>2024-07</v>
      </c>
    </row>
    <row r="562" spans="1:9" ht="15" customHeight="1" x14ac:dyDescent="0.25">
      <c r="A562">
        <v>561</v>
      </c>
      <c r="B562">
        <v>2</v>
      </c>
      <c r="C562" t="s">
        <v>221</v>
      </c>
      <c r="D562">
        <v>480</v>
      </c>
      <c r="E562">
        <v>2</v>
      </c>
      <c r="F562" t="s">
        <v>45</v>
      </c>
      <c r="G562">
        <v>1417</v>
      </c>
      <c r="H562">
        <v>117</v>
      </c>
      <c r="I562" t="str">
        <f t="shared" si="8"/>
        <v>2024-07</v>
      </c>
    </row>
    <row r="563" spans="1:9" ht="15" customHeight="1" x14ac:dyDescent="0.25">
      <c r="A563">
        <v>562</v>
      </c>
      <c r="B563">
        <v>2</v>
      </c>
      <c r="C563" t="s">
        <v>222</v>
      </c>
      <c r="D563">
        <v>480</v>
      </c>
      <c r="E563">
        <v>12</v>
      </c>
      <c r="F563" t="s">
        <v>33</v>
      </c>
      <c r="G563">
        <v>1318</v>
      </c>
      <c r="H563">
        <v>97</v>
      </c>
      <c r="I563" t="str">
        <f t="shared" si="8"/>
        <v>2024-07</v>
      </c>
    </row>
    <row r="564" spans="1:9" ht="15" customHeight="1" x14ac:dyDescent="0.25">
      <c r="A564">
        <v>563</v>
      </c>
      <c r="B564">
        <v>2</v>
      </c>
      <c r="C564" t="s">
        <v>223</v>
      </c>
      <c r="D564">
        <v>480</v>
      </c>
      <c r="E564">
        <v>3</v>
      </c>
      <c r="F564" t="s">
        <v>22</v>
      </c>
      <c r="G564">
        <v>1314</v>
      </c>
      <c r="H564">
        <v>69</v>
      </c>
      <c r="I564" t="str">
        <f t="shared" si="8"/>
        <v>2024-07</v>
      </c>
    </row>
    <row r="565" spans="1:9" ht="15" customHeight="1" x14ac:dyDescent="0.25">
      <c r="A565">
        <v>564</v>
      </c>
      <c r="B565">
        <v>2</v>
      </c>
      <c r="C565" t="s">
        <v>224</v>
      </c>
      <c r="D565">
        <v>480</v>
      </c>
      <c r="E565">
        <v>3</v>
      </c>
      <c r="F565" t="s">
        <v>33</v>
      </c>
      <c r="G565">
        <v>1277</v>
      </c>
      <c r="H565">
        <v>42</v>
      </c>
      <c r="I565" t="str">
        <f t="shared" si="8"/>
        <v>2024-07</v>
      </c>
    </row>
    <row r="566" spans="1:9" ht="15" customHeight="1" x14ac:dyDescent="0.25">
      <c r="A566">
        <v>565</v>
      </c>
      <c r="B566">
        <v>2</v>
      </c>
      <c r="C566" t="s">
        <v>225</v>
      </c>
      <c r="D566">
        <v>480</v>
      </c>
      <c r="E566">
        <v>0</v>
      </c>
      <c r="F566" t="s">
        <v>33</v>
      </c>
      <c r="G566">
        <v>1220</v>
      </c>
      <c r="H566">
        <v>104</v>
      </c>
      <c r="I566" t="str">
        <f t="shared" si="8"/>
        <v>2024-07</v>
      </c>
    </row>
    <row r="567" spans="1:9" ht="15" customHeight="1" x14ac:dyDescent="0.25">
      <c r="A567">
        <v>566</v>
      </c>
      <c r="B567">
        <v>2</v>
      </c>
      <c r="C567" t="s">
        <v>226</v>
      </c>
      <c r="D567">
        <v>480</v>
      </c>
      <c r="E567">
        <v>15</v>
      </c>
      <c r="F567" t="s">
        <v>22</v>
      </c>
      <c r="G567">
        <v>1406</v>
      </c>
      <c r="H567">
        <v>76</v>
      </c>
      <c r="I567" t="str">
        <f t="shared" si="8"/>
        <v>2024-07</v>
      </c>
    </row>
    <row r="568" spans="1:9" ht="15" customHeight="1" x14ac:dyDescent="0.25">
      <c r="A568">
        <v>567</v>
      </c>
      <c r="B568">
        <v>2</v>
      </c>
      <c r="C568" t="s">
        <v>227</v>
      </c>
      <c r="D568">
        <v>480</v>
      </c>
      <c r="E568">
        <v>7</v>
      </c>
      <c r="F568" t="s">
        <v>45</v>
      </c>
      <c r="G568">
        <v>1304</v>
      </c>
      <c r="H568">
        <v>71</v>
      </c>
      <c r="I568" t="str">
        <f t="shared" si="8"/>
        <v>2024-07</v>
      </c>
    </row>
    <row r="569" spans="1:9" ht="15" customHeight="1" x14ac:dyDescent="0.25">
      <c r="A569">
        <v>568</v>
      </c>
      <c r="B569">
        <v>2</v>
      </c>
      <c r="C569" t="s">
        <v>228</v>
      </c>
      <c r="D569">
        <v>480</v>
      </c>
      <c r="E569">
        <v>2</v>
      </c>
      <c r="F569" t="s">
        <v>27</v>
      </c>
      <c r="G569">
        <v>1355</v>
      </c>
      <c r="H569">
        <v>56</v>
      </c>
      <c r="I569" t="str">
        <f t="shared" si="8"/>
        <v>2024-07</v>
      </c>
    </row>
    <row r="570" spans="1:9" ht="15" customHeight="1" x14ac:dyDescent="0.25">
      <c r="A570">
        <v>569</v>
      </c>
      <c r="B570">
        <v>2</v>
      </c>
      <c r="C570" t="s">
        <v>229</v>
      </c>
      <c r="D570">
        <v>480</v>
      </c>
      <c r="E570">
        <v>18</v>
      </c>
      <c r="F570" t="s">
        <v>29</v>
      </c>
      <c r="G570">
        <v>1313</v>
      </c>
      <c r="H570">
        <v>50</v>
      </c>
      <c r="I570" t="str">
        <f t="shared" si="8"/>
        <v>2024-07</v>
      </c>
    </row>
    <row r="571" spans="1:9" ht="15" customHeight="1" x14ac:dyDescent="0.25">
      <c r="A571">
        <v>570</v>
      </c>
      <c r="B571">
        <v>2</v>
      </c>
      <c r="C571" t="s">
        <v>230</v>
      </c>
      <c r="D571">
        <v>480</v>
      </c>
      <c r="E571">
        <v>1</v>
      </c>
      <c r="F571" t="s">
        <v>29</v>
      </c>
      <c r="G571">
        <v>1397</v>
      </c>
      <c r="H571">
        <v>78</v>
      </c>
      <c r="I571" t="str">
        <f t="shared" si="8"/>
        <v>2024-07</v>
      </c>
    </row>
    <row r="572" spans="1:9" ht="15" customHeight="1" x14ac:dyDescent="0.25">
      <c r="A572">
        <v>571</v>
      </c>
      <c r="B572">
        <v>2</v>
      </c>
      <c r="C572" t="s">
        <v>231</v>
      </c>
      <c r="D572">
        <v>480</v>
      </c>
      <c r="E572">
        <v>1</v>
      </c>
      <c r="F572" t="s">
        <v>24</v>
      </c>
      <c r="G572">
        <v>1457</v>
      </c>
      <c r="H572">
        <v>47</v>
      </c>
      <c r="I572" t="str">
        <f t="shared" si="8"/>
        <v>2024-07</v>
      </c>
    </row>
    <row r="573" spans="1:9" ht="15" customHeight="1" x14ac:dyDescent="0.25">
      <c r="A573">
        <v>572</v>
      </c>
      <c r="B573">
        <v>2</v>
      </c>
      <c r="C573" t="s">
        <v>232</v>
      </c>
      <c r="D573">
        <v>480</v>
      </c>
      <c r="E573">
        <v>22</v>
      </c>
      <c r="F573" t="s">
        <v>27</v>
      </c>
      <c r="G573">
        <v>1390</v>
      </c>
      <c r="H573">
        <v>60</v>
      </c>
      <c r="I573" t="str">
        <f t="shared" si="8"/>
        <v>2024-07</v>
      </c>
    </row>
    <row r="574" spans="1:9" ht="15" customHeight="1" x14ac:dyDescent="0.25">
      <c r="A574">
        <v>573</v>
      </c>
      <c r="B574">
        <v>2</v>
      </c>
      <c r="C574" t="s">
        <v>233</v>
      </c>
      <c r="D574">
        <v>480</v>
      </c>
      <c r="E574">
        <v>2</v>
      </c>
      <c r="F574" t="s">
        <v>27</v>
      </c>
      <c r="G574">
        <v>1211</v>
      </c>
      <c r="H574">
        <v>56</v>
      </c>
      <c r="I574" t="str">
        <f t="shared" si="8"/>
        <v>2024-07</v>
      </c>
    </row>
    <row r="575" spans="1:9" ht="15" customHeight="1" x14ac:dyDescent="0.25">
      <c r="A575">
        <v>574</v>
      </c>
      <c r="B575">
        <v>2</v>
      </c>
      <c r="C575" t="s">
        <v>234</v>
      </c>
      <c r="D575">
        <v>480</v>
      </c>
      <c r="E575">
        <v>2</v>
      </c>
      <c r="F575" t="s">
        <v>45</v>
      </c>
      <c r="G575">
        <v>1370</v>
      </c>
      <c r="H575">
        <v>45</v>
      </c>
      <c r="I575" t="str">
        <f t="shared" si="8"/>
        <v>2024-07</v>
      </c>
    </row>
    <row r="576" spans="1:9" ht="15" customHeight="1" x14ac:dyDescent="0.25">
      <c r="A576">
        <v>575</v>
      </c>
      <c r="B576">
        <v>2</v>
      </c>
      <c r="C576" t="s">
        <v>235</v>
      </c>
      <c r="D576">
        <v>480</v>
      </c>
      <c r="E576">
        <v>13</v>
      </c>
      <c r="F576" t="s">
        <v>27</v>
      </c>
      <c r="G576">
        <v>1421</v>
      </c>
      <c r="H576">
        <v>109</v>
      </c>
      <c r="I576" t="str">
        <f t="shared" si="8"/>
        <v>2024-07</v>
      </c>
    </row>
    <row r="577" spans="1:9" ht="15" customHeight="1" x14ac:dyDescent="0.25">
      <c r="A577">
        <v>576</v>
      </c>
      <c r="B577">
        <v>2</v>
      </c>
      <c r="C577" t="s">
        <v>236</v>
      </c>
      <c r="D577">
        <v>480</v>
      </c>
      <c r="E577">
        <v>18</v>
      </c>
      <c r="F577" t="s">
        <v>22</v>
      </c>
      <c r="G577">
        <v>1220</v>
      </c>
      <c r="H577">
        <v>80</v>
      </c>
      <c r="I577" t="str">
        <f t="shared" si="8"/>
        <v>2024-07</v>
      </c>
    </row>
    <row r="578" spans="1:9" ht="15" customHeight="1" x14ac:dyDescent="0.25">
      <c r="A578">
        <v>577</v>
      </c>
      <c r="B578">
        <v>2</v>
      </c>
      <c r="C578" t="s">
        <v>237</v>
      </c>
      <c r="D578">
        <v>480</v>
      </c>
      <c r="E578">
        <v>14</v>
      </c>
      <c r="F578" t="s">
        <v>29</v>
      </c>
      <c r="G578">
        <v>1263</v>
      </c>
      <c r="H578">
        <v>46</v>
      </c>
      <c r="I578" t="str">
        <f t="shared" ref="I578:I641" si="9">TEXT(C578,"yyyy-mm")</f>
        <v>2024-07</v>
      </c>
    </row>
    <row r="579" spans="1:9" ht="15" customHeight="1" x14ac:dyDescent="0.25">
      <c r="A579">
        <v>578</v>
      </c>
      <c r="B579">
        <v>2</v>
      </c>
      <c r="C579" t="s">
        <v>238</v>
      </c>
      <c r="D579">
        <v>480</v>
      </c>
      <c r="E579">
        <v>41</v>
      </c>
      <c r="F579" t="s">
        <v>33</v>
      </c>
      <c r="G579">
        <v>1196</v>
      </c>
      <c r="H579">
        <v>48</v>
      </c>
      <c r="I579" t="str">
        <f t="shared" si="9"/>
        <v>2024-07</v>
      </c>
    </row>
    <row r="580" spans="1:9" ht="15" customHeight="1" x14ac:dyDescent="0.25">
      <c r="A580">
        <v>579</v>
      </c>
      <c r="B580">
        <v>2</v>
      </c>
      <c r="C580" t="s">
        <v>239</v>
      </c>
      <c r="D580">
        <v>480</v>
      </c>
      <c r="E580">
        <v>8</v>
      </c>
      <c r="F580" t="s">
        <v>45</v>
      </c>
      <c r="G580">
        <v>1276</v>
      </c>
      <c r="H580">
        <v>99</v>
      </c>
      <c r="I580" t="str">
        <f t="shared" si="9"/>
        <v>2024-07</v>
      </c>
    </row>
    <row r="581" spans="1:9" ht="15" customHeight="1" x14ac:dyDescent="0.25">
      <c r="A581">
        <v>580</v>
      </c>
      <c r="B581">
        <v>2</v>
      </c>
      <c r="C581" t="s">
        <v>240</v>
      </c>
      <c r="D581">
        <v>480</v>
      </c>
      <c r="E581">
        <v>25</v>
      </c>
      <c r="F581" t="s">
        <v>22</v>
      </c>
      <c r="G581">
        <v>1324</v>
      </c>
      <c r="H581">
        <v>39</v>
      </c>
      <c r="I581" t="str">
        <f t="shared" si="9"/>
        <v>2024-08</v>
      </c>
    </row>
    <row r="582" spans="1:9" ht="15" customHeight="1" x14ac:dyDescent="0.25">
      <c r="A582">
        <v>581</v>
      </c>
      <c r="B582">
        <v>2</v>
      </c>
      <c r="C582" t="s">
        <v>241</v>
      </c>
      <c r="D582">
        <v>480</v>
      </c>
      <c r="E582">
        <v>10</v>
      </c>
      <c r="F582" t="s">
        <v>29</v>
      </c>
      <c r="G582">
        <v>1289</v>
      </c>
      <c r="H582">
        <v>39</v>
      </c>
      <c r="I582" t="str">
        <f t="shared" si="9"/>
        <v>2024-08</v>
      </c>
    </row>
    <row r="583" spans="1:9" ht="15" customHeight="1" x14ac:dyDescent="0.25">
      <c r="A583">
        <v>582</v>
      </c>
      <c r="B583">
        <v>2</v>
      </c>
      <c r="C583" t="s">
        <v>242</v>
      </c>
      <c r="D583">
        <v>480</v>
      </c>
      <c r="E583">
        <v>5</v>
      </c>
      <c r="F583" t="s">
        <v>27</v>
      </c>
      <c r="G583">
        <v>1380</v>
      </c>
      <c r="H583">
        <v>51</v>
      </c>
      <c r="I583" t="str">
        <f t="shared" si="9"/>
        <v>2024-08</v>
      </c>
    </row>
    <row r="584" spans="1:9" ht="15" customHeight="1" x14ac:dyDescent="0.25">
      <c r="A584">
        <v>583</v>
      </c>
      <c r="B584">
        <v>2</v>
      </c>
      <c r="C584" t="s">
        <v>243</v>
      </c>
      <c r="D584">
        <v>480</v>
      </c>
      <c r="E584">
        <v>14</v>
      </c>
      <c r="F584" t="s">
        <v>45</v>
      </c>
      <c r="G584">
        <v>1206</v>
      </c>
      <c r="H584">
        <v>36</v>
      </c>
      <c r="I584" t="str">
        <f t="shared" si="9"/>
        <v>2024-08</v>
      </c>
    </row>
    <row r="585" spans="1:9" ht="15" customHeight="1" x14ac:dyDescent="0.25">
      <c r="A585">
        <v>584</v>
      </c>
      <c r="B585">
        <v>2</v>
      </c>
      <c r="C585" t="s">
        <v>244</v>
      </c>
      <c r="D585">
        <v>480</v>
      </c>
      <c r="E585">
        <v>5</v>
      </c>
      <c r="F585" t="s">
        <v>22</v>
      </c>
      <c r="G585">
        <v>1439</v>
      </c>
      <c r="H585">
        <v>109</v>
      </c>
      <c r="I585" t="str">
        <f t="shared" si="9"/>
        <v>2024-08</v>
      </c>
    </row>
    <row r="586" spans="1:9" ht="15" customHeight="1" x14ac:dyDescent="0.25">
      <c r="A586">
        <v>585</v>
      </c>
      <c r="B586">
        <v>2</v>
      </c>
      <c r="C586" t="s">
        <v>245</v>
      </c>
      <c r="D586">
        <v>480</v>
      </c>
      <c r="E586">
        <v>61</v>
      </c>
      <c r="F586" t="s">
        <v>27</v>
      </c>
      <c r="G586">
        <v>1151</v>
      </c>
      <c r="H586">
        <v>41</v>
      </c>
      <c r="I586" t="str">
        <f t="shared" si="9"/>
        <v>2024-08</v>
      </c>
    </row>
    <row r="587" spans="1:9" ht="15" customHeight="1" x14ac:dyDescent="0.25">
      <c r="A587">
        <v>586</v>
      </c>
      <c r="B587">
        <v>2</v>
      </c>
      <c r="C587" t="s">
        <v>246</v>
      </c>
      <c r="D587">
        <v>480</v>
      </c>
      <c r="E587">
        <v>15</v>
      </c>
      <c r="F587" t="s">
        <v>24</v>
      </c>
      <c r="G587">
        <v>1268</v>
      </c>
      <c r="H587">
        <v>99</v>
      </c>
      <c r="I587" t="str">
        <f t="shared" si="9"/>
        <v>2024-08</v>
      </c>
    </row>
    <row r="588" spans="1:9" ht="15" customHeight="1" x14ac:dyDescent="0.25">
      <c r="A588">
        <v>587</v>
      </c>
      <c r="B588">
        <v>2</v>
      </c>
      <c r="C588" t="s">
        <v>247</v>
      </c>
      <c r="D588">
        <v>480</v>
      </c>
      <c r="E588">
        <v>1</v>
      </c>
      <c r="F588" t="s">
        <v>22</v>
      </c>
      <c r="G588">
        <v>1316</v>
      </c>
      <c r="H588">
        <v>50</v>
      </c>
      <c r="I588" t="str">
        <f t="shared" si="9"/>
        <v>2024-08</v>
      </c>
    </row>
    <row r="589" spans="1:9" ht="15" customHeight="1" x14ac:dyDescent="0.25">
      <c r="A589">
        <v>588</v>
      </c>
      <c r="B589">
        <v>2</v>
      </c>
      <c r="C589" t="s">
        <v>248</v>
      </c>
      <c r="D589">
        <v>480</v>
      </c>
      <c r="E589">
        <v>7</v>
      </c>
      <c r="F589" t="s">
        <v>24</v>
      </c>
      <c r="G589">
        <v>1368</v>
      </c>
      <c r="H589">
        <v>78</v>
      </c>
      <c r="I589" t="str">
        <f t="shared" si="9"/>
        <v>2024-08</v>
      </c>
    </row>
    <row r="590" spans="1:9" ht="15" customHeight="1" x14ac:dyDescent="0.25">
      <c r="A590">
        <v>589</v>
      </c>
      <c r="B590">
        <v>2</v>
      </c>
      <c r="C590" t="s">
        <v>249</v>
      </c>
      <c r="D590">
        <v>480</v>
      </c>
      <c r="E590">
        <v>9</v>
      </c>
      <c r="F590" t="s">
        <v>24</v>
      </c>
      <c r="G590">
        <v>1268</v>
      </c>
      <c r="H590">
        <v>71</v>
      </c>
      <c r="I590" t="str">
        <f t="shared" si="9"/>
        <v>2024-08</v>
      </c>
    </row>
    <row r="591" spans="1:9" ht="15" customHeight="1" x14ac:dyDescent="0.25">
      <c r="A591">
        <v>590</v>
      </c>
      <c r="B591">
        <v>2</v>
      </c>
      <c r="C591" t="s">
        <v>250</v>
      </c>
      <c r="D591">
        <v>480</v>
      </c>
      <c r="E591">
        <v>29</v>
      </c>
      <c r="F591" t="s">
        <v>27</v>
      </c>
      <c r="G591">
        <v>1345</v>
      </c>
      <c r="H591">
        <v>114</v>
      </c>
      <c r="I591" t="str">
        <f t="shared" si="9"/>
        <v>2024-08</v>
      </c>
    </row>
    <row r="592" spans="1:9" ht="15" customHeight="1" x14ac:dyDescent="0.25">
      <c r="A592">
        <v>591</v>
      </c>
      <c r="B592">
        <v>2</v>
      </c>
      <c r="C592" t="s">
        <v>251</v>
      </c>
      <c r="D592">
        <v>480</v>
      </c>
      <c r="E592">
        <v>29</v>
      </c>
      <c r="F592" t="s">
        <v>27</v>
      </c>
      <c r="G592">
        <v>1194</v>
      </c>
      <c r="H592">
        <v>82</v>
      </c>
      <c r="I592" t="str">
        <f t="shared" si="9"/>
        <v>2024-08</v>
      </c>
    </row>
    <row r="593" spans="1:9" ht="15" customHeight="1" x14ac:dyDescent="0.25">
      <c r="A593">
        <v>592</v>
      </c>
      <c r="B593">
        <v>2</v>
      </c>
      <c r="C593" t="s">
        <v>252</v>
      </c>
      <c r="D593">
        <v>480</v>
      </c>
      <c r="E593">
        <v>11</v>
      </c>
      <c r="F593" t="s">
        <v>22</v>
      </c>
      <c r="G593">
        <v>1225</v>
      </c>
      <c r="H593">
        <v>96</v>
      </c>
      <c r="I593" t="str">
        <f t="shared" si="9"/>
        <v>2024-08</v>
      </c>
    </row>
    <row r="594" spans="1:9" ht="15" customHeight="1" x14ac:dyDescent="0.25">
      <c r="A594">
        <v>593</v>
      </c>
      <c r="B594">
        <v>2</v>
      </c>
      <c r="C594" t="s">
        <v>253</v>
      </c>
      <c r="D594">
        <v>480</v>
      </c>
      <c r="E594">
        <v>0</v>
      </c>
      <c r="F594" t="s">
        <v>33</v>
      </c>
      <c r="G594">
        <v>1434</v>
      </c>
      <c r="H594">
        <v>80</v>
      </c>
      <c r="I594" t="str">
        <f t="shared" si="9"/>
        <v>2024-08</v>
      </c>
    </row>
    <row r="595" spans="1:9" ht="15" customHeight="1" x14ac:dyDescent="0.25">
      <c r="A595">
        <v>594</v>
      </c>
      <c r="B595">
        <v>2</v>
      </c>
      <c r="C595" t="s">
        <v>254</v>
      </c>
      <c r="D595">
        <v>480</v>
      </c>
      <c r="E595">
        <v>19</v>
      </c>
      <c r="F595" t="s">
        <v>29</v>
      </c>
      <c r="G595">
        <v>1312</v>
      </c>
      <c r="H595">
        <v>106</v>
      </c>
      <c r="I595" t="str">
        <f t="shared" si="9"/>
        <v>2024-08</v>
      </c>
    </row>
    <row r="596" spans="1:9" ht="15" customHeight="1" x14ac:dyDescent="0.25">
      <c r="A596">
        <v>595</v>
      </c>
      <c r="B596">
        <v>2</v>
      </c>
      <c r="C596" t="s">
        <v>255</v>
      </c>
      <c r="D596">
        <v>480</v>
      </c>
      <c r="E596">
        <v>19</v>
      </c>
      <c r="F596" t="s">
        <v>27</v>
      </c>
      <c r="G596">
        <v>1300</v>
      </c>
      <c r="H596">
        <v>43</v>
      </c>
      <c r="I596" t="str">
        <f t="shared" si="9"/>
        <v>2024-08</v>
      </c>
    </row>
    <row r="597" spans="1:9" ht="15" customHeight="1" x14ac:dyDescent="0.25">
      <c r="A597">
        <v>596</v>
      </c>
      <c r="B597">
        <v>2</v>
      </c>
      <c r="C597" t="s">
        <v>256</v>
      </c>
      <c r="D597">
        <v>480</v>
      </c>
      <c r="E597">
        <v>13</v>
      </c>
      <c r="F597" t="s">
        <v>24</v>
      </c>
      <c r="G597">
        <v>1191</v>
      </c>
      <c r="H597">
        <v>86</v>
      </c>
      <c r="I597" t="str">
        <f t="shared" si="9"/>
        <v>2024-08</v>
      </c>
    </row>
    <row r="598" spans="1:9" ht="15" customHeight="1" x14ac:dyDescent="0.25">
      <c r="A598">
        <v>597</v>
      </c>
      <c r="B598">
        <v>2</v>
      </c>
      <c r="C598" t="s">
        <v>257</v>
      </c>
      <c r="D598">
        <v>480</v>
      </c>
      <c r="E598">
        <v>13</v>
      </c>
      <c r="F598" t="s">
        <v>24</v>
      </c>
      <c r="G598">
        <v>1335</v>
      </c>
      <c r="H598">
        <v>42</v>
      </c>
      <c r="I598" t="str">
        <f t="shared" si="9"/>
        <v>2024-08</v>
      </c>
    </row>
    <row r="599" spans="1:9" ht="15" customHeight="1" x14ac:dyDescent="0.25">
      <c r="A599">
        <v>598</v>
      </c>
      <c r="B599">
        <v>2</v>
      </c>
      <c r="C599" t="s">
        <v>258</v>
      </c>
      <c r="D599">
        <v>480</v>
      </c>
      <c r="E599">
        <v>1</v>
      </c>
      <c r="F599" t="s">
        <v>24</v>
      </c>
      <c r="G599">
        <v>1379</v>
      </c>
      <c r="H599">
        <v>46</v>
      </c>
      <c r="I599" t="str">
        <f t="shared" si="9"/>
        <v>2024-08</v>
      </c>
    </row>
    <row r="600" spans="1:9" ht="15" customHeight="1" x14ac:dyDescent="0.25">
      <c r="A600">
        <v>599</v>
      </c>
      <c r="B600">
        <v>2</v>
      </c>
      <c r="C600" t="s">
        <v>259</v>
      </c>
      <c r="D600">
        <v>480</v>
      </c>
      <c r="E600">
        <v>1</v>
      </c>
      <c r="F600" t="s">
        <v>27</v>
      </c>
      <c r="G600">
        <v>1184</v>
      </c>
      <c r="H600">
        <v>100</v>
      </c>
      <c r="I600" t="str">
        <f t="shared" si="9"/>
        <v>2024-08</v>
      </c>
    </row>
    <row r="601" spans="1:9" ht="15" customHeight="1" x14ac:dyDescent="0.25">
      <c r="A601">
        <v>600</v>
      </c>
      <c r="B601">
        <v>2</v>
      </c>
      <c r="C601" t="s">
        <v>260</v>
      </c>
      <c r="D601">
        <v>480</v>
      </c>
      <c r="E601">
        <v>25</v>
      </c>
      <c r="F601" t="s">
        <v>45</v>
      </c>
      <c r="G601">
        <v>1214</v>
      </c>
      <c r="H601">
        <v>56</v>
      </c>
      <c r="I601" t="str">
        <f t="shared" si="9"/>
        <v>2024-08</v>
      </c>
    </row>
    <row r="602" spans="1:9" ht="15" customHeight="1" x14ac:dyDescent="0.25">
      <c r="A602">
        <v>601</v>
      </c>
      <c r="B602">
        <v>2</v>
      </c>
      <c r="C602" t="s">
        <v>261</v>
      </c>
      <c r="D602">
        <v>480</v>
      </c>
      <c r="E602">
        <v>8</v>
      </c>
      <c r="F602" t="s">
        <v>33</v>
      </c>
      <c r="G602">
        <v>1375</v>
      </c>
      <c r="H602">
        <v>93</v>
      </c>
      <c r="I602" t="str">
        <f t="shared" si="9"/>
        <v>2024-08</v>
      </c>
    </row>
    <row r="603" spans="1:9" ht="15" customHeight="1" x14ac:dyDescent="0.25">
      <c r="A603">
        <v>602</v>
      </c>
      <c r="B603">
        <v>2</v>
      </c>
      <c r="C603" t="s">
        <v>262</v>
      </c>
      <c r="D603">
        <v>480</v>
      </c>
      <c r="E603">
        <v>3</v>
      </c>
      <c r="F603" t="s">
        <v>45</v>
      </c>
      <c r="G603">
        <v>1223</v>
      </c>
      <c r="H603">
        <v>42</v>
      </c>
      <c r="I603" t="str">
        <f t="shared" si="9"/>
        <v>2024-08</v>
      </c>
    </row>
    <row r="604" spans="1:9" ht="15" customHeight="1" x14ac:dyDescent="0.25">
      <c r="A604">
        <v>603</v>
      </c>
      <c r="B604">
        <v>2</v>
      </c>
      <c r="C604" t="s">
        <v>263</v>
      </c>
      <c r="D604">
        <v>480</v>
      </c>
      <c r="E604">
        <v>20</v>
      </c>
      <c r="F604" t="s">
        <v>22</v>
      </c>
      <c r="G604">
        <v>1337</v>
      </c>
      <c r="H604">
        <v>59</v>
      </c>
      <c r="I604" t="str">
        <f t="shared" si="9"/>
        <v>2024-08</v>
      </c>
    </row>
    <row r="605" spans="1:9" ht="15" customHeight="1" x14ac:dyDescent="0.25">
      <c r="A605">
        <v>604</v>
      </c>
      <c r="B605">
        <v>2</v>
      </c>
      <c r="C605" t="s">
        <v>264</v>
      </c>
      <c r="D605">
        <v>480</v>
      </c>
      <c r="E605">
        <v>0</v>
      </c>
      <c r="F605" t="s">
        <v>33</v>
      </c>
      <c r="G605">
        <v>1206</v>
      </c>
      <c r="H605">
        <v>103</v>
      </c>
      <c r="I605" t="str">
        <f t="shared" si="9"/>
        <v>2024-08</v>
      </c>
    </row>
    <row r="606" spans="1:9" ht="15" customHeight="1" x14ac:dyDescent="0.25">
      <c r="A606">
        <v>605</v>
      </c>
      <c r="B606">
        <v>2</v>
      </c>
      <c r="C606" t="s">
        <v>265</v>
      </c>
      <c r="D606">
        <v>480</v>
      </c>
      <c r="E606">
        <v>6</v>
      </c>
      <c r="F606" t="s">
        <v>45</v>
      </c>
      <c r="G606">
        <v>1379</v>
      </c>
      <c r="H606">
        <v>90</v>
      </c>
      <c r="I606" t="str">
        <f t="shared" si="9"/>
        <v>2024-08</v>
      </c>
    </row>
    <row r="607" spans="1:9" ht="15" customHeight="1" x14ac:dyDescent="0.25">
      <c r="A607">
        <v>606</v>
      </c>
      <c r="B607">
        <v>2</v>
      </c>
      <c r="C607" t="s">
        <v>266</v>
      </c>
      <c r="D607">
        <v>480</v>
      </c>
      <c r="E607">
        <v>9</v>
      </c>
      <c r="F607" t="s">
        <v>45</v>
      </c>
      <c r="G607">
        <v>1217</v>
      </c>
      <c r="H607">
        <v>44</v>
      </c>
      <c r="I607" t="str">
        <f t="shared" si="9"/>
        <v>2024-08</v>
      </c>
    </row>
    <row r="608" spans="1:9" ht="15" customHeight="1" x14ac:dyDescent="0.25">
      <c r="A608">
        <v>607</v>
      </c>
      <c r="B608">
        <v>2</v>
      </c>
      <c r="C608" t="s">
        <v>267</v>
      </c>
      <c r="D608">
        <v>480</v>
      </c>
      <c r="E608">
        <v>18</v>
      </c>
      <c r="F608" t="s">
        <v>29</v>
      </c>
      <c r="G608">
        <v>1346</v>
      </c>
      <c r="H608">
        <v>90</v>
      </c>
      <c r="I608" t="str">
        <f t="shared" si="9"/>
        <v>2024-08</v>
      </c>
    </row>
    <row r="609" spans="1:9" ht="15" customHeight="1" x14ac:dyDescent="0.25">
      <c r="A609">
        <v>608</v>
      </c>
      <c r="B609">
        <v>2</v>
      </c>
      <c r="C609" t="s">
        <v>268</v>
      </c>
      <c r="D609">
        <v>480</v>
      </c>
      <c r="E609">
        <v>14</v>
      </c>
      <c r="F609" t="s">
        <v>22</v>
      </c>
      <c r="G609">
        <v>1160</v>
      </c>
      <c r="H609">
        <v>99</v>
      </c>
      <c r="I609" t="str">
        <f t="shared" si="9"/>
        <v>2024-08</v>
      </c>
    </row>
    <row r="610" spans="1:9" ht="15" customHeight="1" x14ac:dyDescent="0.25">
      <c r="A610">
        <v>609</v>
      </c>
      <c r="B610">
        <v>2</v>
      </c>
      <c r="C610" t="s">
        <v>269</v>
      </c>
      <c r="D610">
        <v>480</v>
      </c>
      <c r="E610">
        <v>30</v>
      </c>
      <c r="F610" t="s">
        <v>33</v>
      </c>
      <c r="G610">
        <v>1185</v>
      </c>
      <c r="H610">
        <v>102</v>
      </c>
      <c r="I610" t="str">
        <f t="shared" si="9"/>
        <v>2024-08</v>
      </c>
    </row>
    <row r="611" spans="1:9" ht="15" customHeight="1" x14ac:dyDescent="0.25">
      <c r="A611">
        <v>610</v>
      </c>
      <c r="B611">
        <v>2</v>
      </c>
      <c r="C611" t="s">
        <v>270</v>
      </c>
      <c r="D611">
        <v>480</v>
      </c>
      <c r="E611">
        <v>17</v>
      </c>
      <c r="F611" t="s">
        <v>24</v>
      </c>
      <c r="G611">
        <v>1297</v>
      </c>
      <c r="H611">
        <v>94</v>
      </c>
      <c r="I611" t="str">
        <f t="shared" si="9"/>
        <v>2024-08</v>
      </c>
    </row>
    <row r="612" spans="1:9" ht="15" customHeight="1" x14ac:dyDescent="0.25">
      <c r="A612">
        <v>611</v>
      </c>
      <c r="B612">
        <v>2</v>
      </c>
      <c r="C612" t="s">
        <v>271</v>
      </c>
      <c r="D612">
        <v>480</v>
      </c>
      <c r="E612">
        <v>31</v>
      </c>
      <c r="F612" t="s">
        <v>45</v>
      </c>
      <c r="G612">
        <v>1277</v>
      </c>
      <c r="H612">
        <v>46</v>
      </c>
      <c r="I612" t="str">
        <f t="shared" si="9"/>
        <v>2024-09</v>
      </c>
    </row>
    <row r="613" spans="1:9" ht="15" customHeight="1" x14ac:dyDescent="0.25">
      <c r="A613">
        <v>612</v>
      </c>
      <c r="B613">
        <v>2</v>
      </c>
      <c r="C613" t="s">
        <v>272</v>
      </c>
      <c r="D613">
        <v>480</v>
      </c>
      <c r="E613">
        <v>7</v>
      </c>
      <c r="F613" t="s">
        <v>29</v>
      </c>
      <c r="G613">
        <v>1420</v>
      </c>
      <c r="H613">
        <v>60</v>
      </c>
      <c r="I613" t="str">
        <f t="shared" si="9"/>
        <v>2024-09</v>
      </c>
    </row>
    <row r="614" spans="1:9" ht="15" customHeight="1" x14ac:dyDescent="0.25">
      <c r="A614">
        <v>613</v>
      </c>
      <c r="B614">
        <v>2</v>
      </c>
      <c r="C614" t="s">
        <v>273</v>
      </c>
      <c r="D614">
        <v>480</v>
      </c>
      <c r="E614">
        <v>8</v>
      </c>
      <c r="F614" t="s">
        <v>27</v>
      </c>
      <c r="G614">
        <v>1281</v>
      </c>
      <c r="H614">
        <v>70</v>
      </c>
      <c r="I614" t="str">
        <f t="shared" si="9"/>
        <v>2024-09</v>
      </c>
    </row>
    <row r="615" spans="1:9" ht="15" customHeight="1" x14ac:dyDescent="0.25">
      <c r="A615">
        <v>614</v>
      </c>
      <c r="B615">
        <v>2</v>
      </c>
      <c r="C615" t="s">
        <v>274</v>
      </c>
      <c r="D615">
        <v>480</v>
      </c>
      <c r="E615">
        <v>18</v>
      </c>
      <c r="F615" t="s">
        <v>22</v>
      </c>
      <c r="G615">
        <v>1391</v>
      </c>
      <c r="H615">
        <v>60</v>
      </c>
      <c r="I615" t="str">
        <f t="shared" si="9"/>
        <v>2024-09</v>
      </c>
    </row>
    <row r="616" spans="1:9" ht="15" customHeight="1" x14ac:dyDescent="0.25">
      <c r="A616">
        <v>615</v>
      </c>
      <c r="B616">
        <v>2</v>
      </c>
      <c r="C616" t="s">
        <v>275</v>
      </c>
      <c r="D616">
        <v>480</v>
      </c>
      <c r="E616">
        <v>2</v>
      </c>
      <c r="F616" t="s">
        <v>33</v>
      </c>
      <c r="G616">
        <v>1233</v>
      </c>
      <c r="H616">
        <v>99</v>
      </c>
      <c r="I616" t="str">
        <f t="shared" si="9"/>
        <v>2024-09</v>
      </c>
    </row>
    <row r="617" spans="1:9" ht="15" customHeight="1" x14ac:dyDescent="0.25">
      <c r="A617">
        <v>616</v>
      </c>
      <c r="B617">
        <v>2</v>
      </c>
      <c r="C617" t="s">
        <v>276</v>
      </c>
      <c r="D617">
        <v>480</v>
      </c>
      <c r="E617">
        <v>19</v>
      </c>
      <c r="F617" t="s">
        <v>22</v>
      </c>
      <c r="G617">
        <v>1212</v>
      </c>
      <c r="H617">
        <v>93</v>
      </c>
      <c r="I617" t="str">
        <f t="shared" si="9"/>
        <v>2024-09</v>
      </c>
    </row>
    <row r="618" spans="1:9" ht="15" customHeight="1" x14ac:dyDescent="0.25">
      <c r="A618">
        <v>617</v>
      </c>
      <c r="B618">
        <v>2</v>
      </c>
      <c r="C618" t="s">
        <v>277</v>
      </c>
      <c r="D618">
        <v>480</v>
      </c>
      <c r="E618">
        <v>37</v>
      </c>
      <c r="F618" t="s">
        <v>24</v>
      </c>
      <c r="G618">
        <v>1309</v>
      </c>
      <c r="H618">
        <v>108</v>
      </c>
      <c r="I618" t="str">
        <f t="shared" si="9"/>
        <v>2024-09</v>
      </c>
    </row>
    <row r="619" spans="1:9" ht="15" customHeight="1" x14ac:dyDescent="0.25">
      <c r="A619">
        <v>618</v>
      </c>
      <c r="B619">
        <v>2</v>
      </c>
      <c r="C619" t="s">
        <v>278</v>
      </c>
      <c r="D619">
        <v>480</v>
      </c>
      <c r="E619">
        <v>5</v>
      </c>
      <c r="F619" t="s">
        <v>27</v>
      </c>
      <c r="G619">
        <v>1378</v>
      </c>
      <c r="H619">
        <v>77</v>
      </c>
      <c r="I619" t="str">
        <f t="shared" si="9"/>
        <v>2024-09</v>
      </c>
    </row>
    <row r="620" spans="1:9" ht="15" customHeight="1" x14ac:dyDescent="0.25">
      <c r="A620">
        <v>619</v>
      </c>
      <c r="B620">
        <v>2</v>
      </c>
      <c r="C620" t="s">
        <v>279</v>
      </c>
      <c r="D620">
        <v>480</v>
      </c>
      <c r="E620">
        <v>35</v>
      </c>
      <c r="F620" t="s">
        <v>29</v>
      </c>
      <c r="G620">
        <v>1284</v>
      </c>
      <c r="H620">
        <v>1284</v>
      </c>
      <c r="I620" t="str">
        <f t="shared" si="9"/>
        <v>2024-09</v>
      </c>
    </row>
    <row r="621" spans="1:9" ht="15" customHeight="1" x14ac:dyDescent="0.25">
      <c r="A621">
        <v>620</v>
      </c>
      <c r="B621">
        <v>2</v>
      </c>
      <c r="C621" t="s">
        <v>280</v>
      </c>
      <c r="D621">
        <v>480</v>
      </c>
      <c r="E621">
        <v>20</v>
      </c>
      <c r="F621" t="s">
        <v>29</v>
      </c>
      <c r="G621">
        <v>1181</v>
      </c>
      <c r="H621">
        <v>72</v>
      </c>
      <c r="I621" t="str">
        <f t="shared" si="9"/>
        <v>2024-09</v>
      </c>
    </row>
    <row r="622" spans="1:9" ht="15" customHeight="1" x14ac:dyDescent="0.25">
      <c r="A622">
        <v>621</v>
      </c>
      <c r="B622">
        <v>2</v>
      </c>
      <c r="C622" t="s">
        <v>281</v>
      </c>
      <c r="D622">
        <v>480</v>
      </c>
      <c r="E622">
        <v>79</v>
      </c>
      <c r="F622" t="s">
        <v>22</v>
      </c>
      <c r="G622">
        <v>1206</v>
      </c>
      <c r="H622">
        <v>38</v>
      </c>
      <c r="I622" t="str">
        <f t="shared" si="9"/>
        <v>2024-09</v>
      </c>
    </row>
    <row r="623" spans="1:9" ht="15" customHeight="1" x14ac:dyDescent="0.25">
      <c r="A623">
        <v>622</v>
      </c>
      <c r="B623">
        <v>2</v>
      </c>
      <c r="C623" t="s">
        <v>282</v>
      </c>
      <c r="D623">
        <v>480</v>
      </c>
      <c r="E623">
        <v>3</v>
      </c>
      <c r="F623" t="s">
        <v>22</v>
      </c>
      <c r="G623">
        <v>1212</v>
      </c>
      <c r="H623">
        <v>86</v>
      </c>
      <c r="I623" t="str">
        <f t="shared" si="9"/>
        <v>2024-09</v>
      </c>
    </row>
    <row r="624" spans="1:9" ht="15" customHeight="1" x14ac:dyDescent="0.25">
      <c r="A624">
        <v>623</v>
      </c>
      <c r="B624">
        <v>2</v>
      </c>
      <c r="C624" t="s">
        <v>283</v>
      </c>
      <c r="D624">
        <v>480</v>
      </c>
      <c r="E624">
        <v>32</v>
      </c>
      <c r="F624" t="s">
        <v>45</v>
      </c>
      <c r="G624">
        <v>1159</v>
      </c>
      <c r="H624">
        <v>68</v>
      </c>
      <c r="I624" t="str">
        <f t="shared" si="9"/>
        <v>2024-09</v>
      </c>
    </row>
    <row r="625" spans="1:9" ht="15" customHeight="1" x14ac:dyDescent="0.25">
      <c r="A625">
        <v>624</v>
      </c>
      <c r="B625">
        <v>2</v>
      </c>
      <c r="C625" t="s">
        <v>284</v>
      </c>
      <c r="D625">
        <v>480</v>
      </c>
      <c r="E625">
        <v>35</v>
      </c>
      <c r="F625" t="s">
        <v>27</v>
      </c>
      <c r="G625">
        <v>1286</v>
      </c>
      <c r="H625">
        <v>78</v>
      </c>
      <c r="I625" t="str">
        <f t="shared" si="9"/>
        <v>2024-09</v>
      </c>
    </row>
    <row r="626" spans="1:9" ht="15" customHeight="1" x14ac:dyDescent="0.25">
      <c r="A626">
        <v>625</v>
      </c>
      <c r="B626">
        <v>2</v>
      </c>
      <c r="C626" t="s">
        <v>285</v>
      </c>
      <c r="D626">
        <v>480</v>
      </c>
      <c r="E626">
        <v>17</v>
      </c>
      <c r="F626" t="s">
        <v>29</v>
      </c>
      <c r="G626">
        <v>1277</v>
      </c>
      <c r="H626">
        <v>59</v>
      </c>
      <c r="I626" t="str">
        <f t="shared" si="9"/>
        <v>2024-09</v>
      </c>
    </row>
    <row r="627" spans="1:9" ht="15" customHeight="1" x14ac:dyDescent="0.25">
      <c r="A627">
        <v>626</v>
      </c>
      <c r="B627">
        <v>2</v>
      </c>
      <c r="C627" t="s">
        <v>286</v>
      </c>
      <c r="D627">
        <v>480</v>
      </c>
      <c r="E627">
        <v>15</v>
      </c>
      <c r="F627" t="s">
        <v>45</v>
      </c>
      <c r="G627">
        <v>1332</v>
      </c>
      <c r="H627">
        <v>106</v>
      </c>
      <c r="I627" t="str">
        <f t="shared" si="9"/>
        <v>2024-09</v>
      </c>
    </row>
    <row r="628" spans="1:9" ht="15" customHeight="1" x14ac:dyDescent="0.25">
      <c r="A628">
        <v>627</v>
      </c>
      <c r="B628">
        <v>2</v>
      </c>
      <c r="C628" t="s">
        <v>287</v>
      </c>
      <c r="D628">
        <v>480</v>
      </c>
      <c r="E628">
        <v>19</v>
      </c>
      <c r="F628" t="s">
        <v>27</v>
      </c>
      <c r="G628">
        <v>1339</v>
      </c>
      <c r="H628">
        <v>51</v>
      </c>
      <c r="I628" t="str">
        <f t="shared" si="9"/>
        <v>2024-09</v>
      </c>
    </row>
    <row r="629" spans="1:9" ht="15" customHeight="1" x14ac:dyDescent="0.25">
      <c r="A629">
        <v>628</v>
      </c>
      <c r="B629">
        <v>2</v>
      </c>
      <c r="C629" t="s">
        <v>288</v>
      </c>
      <c r="D629">
        <v>480</v>
      </c>
      <c r="E629">
        <v>11</v>
      </c>
      <c r="F629" t="s">
        <v>29</v>
      </c>
      <c r="G629">
        <v>1158</v>
      </c>
      <c r="H629">
        <v>50</v>
      </c>
      <c r="I629" t="str">
        <f t="shared" si="9"/>
        <v>2024-09</v>
      </c>
    </row>
    <row r="630" spans="1:9" ht="15" customHeight="1" x14ac:dyDescent="0.25">
      <c r="A630">
        <v>629</v>
      </c>
      <c r="B630">
        <v>2</v>
      </c>
      <c r="C630" t="s">
        <v>289</v>
      </c>
      <c r="D630">
        <v>480</v>
      </c>
      <c r="E630">
        <v>24</v>
      </c>
      <c r="F630" t="s">
        <v>24</v>
      </c>
      <c r="G630">
        <v>1386</v>
      </c>
      <c r="H630">
        <v>48</v>
      </c>
      <c r="I630" t="str">
        <f t="shared" si="9"/>
        <v>2024-09</v>
      </c>
    </row>
    <row r="631" spans="1:9" ht="15" customHeight="1" x14ac:dyDescent="0.25">
      <c r="A631">
        <v>630</v>
      </c>
      <c r="B631">
        <v>2</v>
      </c>
      <c r="C631" t="s">
        <v>290</v>
      </c>
      <c r="D631">
        <v>480</v>
      </c>
      <c r="E631">
        <v>9</v>
      </c>
      <c r="F631" t="s">
        <v>45</v>
      </c>
      <c r="G631">
        <v>1379</v>
      </c>
      <c r="H631">
        <v>56</v>
      </c>
      <c r="I631" t="str">
        <f t="shared" si="9"/>
        <v>2024-09</v>
      </c>
    </row>
    <row r="632" spans="1:9" ht="15" customHeight="1" x14ac:dyDescent="0.25">
      <c r="A632">
        <v>631</v>
      </c>
      <c r="B632">
        <v>2</v>
      </c>
      <c r="C632" t="s">
        <v>291</v>
      </c>
      <c r="D632">
        <v>480</v>
      </c>
      <c r="E632">
        <v>15</v>
      </c>
      <c r="F632" t="s">
        <v>24</v>
      </c>
      <c r="G632">
        <v>1343</v>
      </c>
      <c r="H632">
        <v>87</v>
      </c>
      <c r="I632" t="str">
        <f t="shared" si="9"/>
        <v>2024-09</v>
      </c>
    </row>
    <row r="633" spans="1:9" ht="15" customHeight="1" x14ac:dyDescent="0.25">
      <c r="A633">
        <v>632</v>
      </c>
      <c r="B633">
        <v>2</v>
      </c>
      <c r="C633" t="s">
        <v>292</v>
      </c>
      <c r="D633">
        <v>480</v>
      </c>
      <c r="E633">
        <v>3</v>
      </c>
      <c r="F633" t="s">
        <v>22</v>
      </c>
      <c r="G633">
        <v>1274</v>
      </c>
      <c r="H633">
        <v>95</v>
      </c>
      <c r="I633" t="str">
        <f t="shared" si="9"/>
        <v>2024-09</v>
      </c>
    </row>
    <row r="634" spans="1:9" ht="15" customHeight="1" x14ac:dyDescent="0.25">
      <c r="A634">
        <v>633</v>
      </c>
      <c r="B634">
        <v>2</v>
      </c>
      <c r="C634" t="s">
        <v>293</v>
      </c>
      <c r="D634">
        <v>480</v>
      </c>
      <c r="E634">
        <v>15</v>
      </c>
      <c r="F634" t="s">
        <v>27</v>
      </c>
      <c r="G634">
        <v>1147</v>
      </c>
      <c r="H634">
        <v>84</v>
      </c>
      <c r="I634" t="str">
        <f t="shared" si="9"/>
        <v>2024-09</v>
      </c>
    </row>
    <row r="635" spans="1:9" ht="15" customHeight="1" x14ac:dyDescent="0.25">
      <c r="A635">
        <v>634</v>
      </c>
      <c r="B635">
        <v>2</v>
      </c>
      <c r="C635" t="s">
        <v>294</v>
      </c>
      <c r="D635">
        <v>480</v>
      </c>
      <c r="E635">
        <v>0</v>
      </c>
      <c r="F635" t="s">
        <v>33</v>
      </c>
      <c r="G635">
        <v>1390</v>
      </c>
      <c r="H635">
        <v>57</v>
      </c>
      <c r="I635" t="str">
        <f t="shared" si="9"/>
        <v>2024-09</v>
      </c>
    </row>
    <row r="636" spans="1:9" ht="15" customHeight="1" x14ac:dyDescent="0.25">
      <c r="A636">
        <v>635</v>
      </c>
      <c r="B636">
        <v>2</v>
      </c>
      <c r="C636" t="s">
        <v>295</v>
      </c>
      <c r="D636">
        <v>480</v>
      </c>
      <c r="E636">
        <v>60</v>
      </c>
      <c r="F636" t="s">
        <v>27</v>
      </c>
      <c r="G636">
        <v>1124</v>
      </c>
      <c r="H636">
        <v>54</v>
      </c>
      <c r="I636" t="str">
        <f t="shared" si="9"/>
        <v>2024-09</v>
      </c>
    </row>
    <row r="637" spans="1:9" ht="15" customHeight="1" x14ac:dyDescent="0.25">
      <c r="A637">
        <v>636</v>
      </c>
      <c r="B637">
        <v>2</v>
      </c>
      <c r="C637" t="s">
        <v>296</v>
      </c>
      <c r="D637">
        <v>480</v>
      </c>
      <c r="E637">
        <v>3</v>
      </c>
      <c r="F637" t="s">
        <v>24</v>
      </c>
      <c r="G637">
        <v>1260</v>
      </c>
      <c r="H637">
        <v>101</v>
      </c>
      <c r="I637" t="str">
        <f t="shared" si="9"/>
        <v>2024-09</v>
      </c>
    </row>
    <row r="638" spans="1:9" ht="15" customHeight="1" x14ac:dyDescent="0.25">
      <c r="A638">
        <v>637</v>
      </c>
      <c r="B638">
        <v>2</v>
      </c>
      <c r="C638" t="s">
        <v>297</v>
      </c>
      <c r="D638">
        <v>480</v>
      </c>
      <c r="E638">
        <v>107</v>
      </c>
      <c r="F638" t="s">
        <v>22</v>
      </c>
      <c r="G638">
        <v>999</v>
      </c>
      <c r="H638">
        <v>55</v>
      </c>
      <c r="I638" t="str">
        <f t="shared" si="9"/>
        <v>2024-09</v>
      </c>
    </row>
    <row r="639" spans="1:9" ht="15" customHeight="1" x14ac:dyDescent="0.25">
      <c r="A639">
        <v>638</v>
      </c>
      <c r="B639">
        <v>2</v>
      </c>
      <c r="C639" t="s">
        <v>298</v>
      </c>
      <c r="D639">
        <v>480</v>
      </c>
      <c r="E639">
        <v>24</v>
      </c>
      <c r="F639" t="s">
        <v>45</v>
      </c>
      <c r="G639">
        <v>1358</v>
      </c>
      <c r="H639">
        <v>86</v>
      </c>
      <c r="I639" t="str">
        <f t="shared" si="9"/>
        <v>2024-09</v>
      </c>
    </row>
    <row r="640" spans="1:9" ht="15" customHeight="1" x14ac:dyDescent="0.25">
      <c r="A640">
        <v>639</v>
      </c>
      <c r="B640">
        <v>2</v>
      </c>
      <c r="C640" t="s">
        <v>299</v>
      </c>
      <c r="D640">
        <v>480</v>
      </c>
      <c r="E640">
        <v>9</v>
      </c>
      <c r="F640" t="s">
        <v>22</v>
      </c>
      <c r="G640">
        <v>1273</v>
      </c>
      <c r="H640">
        <v>88</v>
      </c>
      <c r="I640" t="str">
        <f t="shared" si="9"/>
        <v>2024-09</v>
      </c>
    </row>
    <row r="641" spans="1:9" ht="15" customHeight="1" x14ac:dyDescent="0.25">
      <c r="A641">
        <v>640</v>
      </c>
      <c r="B641">
        <v>2</v>
      </c>
      <c r="C641" t="s">
        <v>300</v>
      </c>
      <c r="D641">
        <v>480</v>
      </c>
      <c r="E641">
        <v>0</v>
      </c>
      <c r="F641" t="s">
        <v>33</v>
      </c>
      <c r="G641">
        <v>1355</v>
      </c>
      <c r="H641">
        <v>67</v>
      </c>
      <c r="I641" t="str">
        <f t="shared" si="9"/>
        <v>2024-09</v>
      </c>
    </row>
    <row r="642" spans="1:9" ht="15" customHeight="1" x14ac:dyDescent="0.25">
      <c r="A642">
        <v>641</v>
      </c>
      <c r="B642">
        <v>2</v>
      </c>
      <c r="C642" t="s">
        <v>301</v>
      </c>
      <c r="D642">
        <v>480</v>
      </c>
      <c r="E642">
        <v>30</v>
      </c>
      <c r="F642" t="s">
        <v>24</v>
      </c>
      <c r="G642">
        <v>1133</v>
      </c>
      <c r="H642">
        <v>72</v>
      </c>
      <c r="I642" t="str">
        <f t="shared" ref="I642:I705" si="10">TEXT(C642,"yyyy-mm")</f>
        <v>2024-10</v>
      </c>
    </row>
    <row r="643" spans="1:9" ht="15" customHeight="1" x14ac:dyDescent="0.25">
      <c r="A643">
        <v>642</v>
      </c>
      <c r="B643">
        <v>2</v>
      </c>
      <c r="C643" t="s">
        <v>302</v>
      </c>
      <c r="D643">
        <v>480</v>
      </c>
      <c r="E643">
        <v>12</v>
      </c>
      <c r="F643" t="s">
        <v>29</v>
      </c>
      <c r="G643">
        <v>1327</v>
      </c>
      <c r="H643">
        <v>43</v>
      </c>
      <c r="I643" t="str">
        <f t="shared" si="10"/>
        <v>2024-10</v>
      </c>
    </row>
    <row r="644" spans="1:9" ht="15" customHeight="1" x14ac:dyDescent="0.25">
      <c r="A644">
        <v>643</v>
      </c>
      <c r="B644">
        <v>2</v>
      </c>
      <c r="C644" t="s">
        <v>303</v>
      </c>
      <c r="D644">
        <v>480</v>
      </c>
      <c r="E644">
        <v>16</v>
      </c>
      <c r="F644" t="s">
        <v>24</v>
      </c>
      <c r="G644">
        <v>1294</v>
      </c>
      <c r="H644">
        <v>80</v>
      </c>
      <c r="I644" t="str">
        <f t="shared" si="10"/>
        <v>2024-10</v>
      </c>
    </row>
    <row r="645" spans="1:9" ht="15" customHeight="1" x14ac:dyDescent="0.25">
      <c r="A645">
        <v>644</v>
      </c>
      <c r="B645">
        <v>2</v>
      </c>
      <c r="C645" t="s">
        <v>304</v>
      </c>
      <c r="D645">
        <v>480</v>
      </c>
      <c r="E645">
        <v>17</v>
      </c>
      <c r="F645" t="s">
        <v>22</v>
      </c>
      <c r="G645">
        <v>1322</v>
      </c>
      <c r="H645">
        <v>100</v>
      </c>
      <c r="I645" t="str">
        <f t="shared" si="10"/>
        <v>2024-10</v>
      </c>
    </row>
    <row r="646" spans="1:9" ht="15" customHeight="1" x14ac:dyDescent="0.25">
      <c r="A646">
        <v>645</v>
      </c>
      <c r="B646">
        <v>2</v>
      </c>
      <c r="C646" t="s">
        <v>305</v>
      </c>
      <c r="D646">
        <v>480</v>
      </c>
      <c r="E646">
        <v>6</v>
      </c>
      <c r="F646" t="s">
        <v>22</v>
      </c>
      <c r="G646">
        <v>1395</v>
      </c>
      <c r="H646">
        <v>81</v>
      </c>
      <c r="I646" t="str">
        <f t="shared" si="10"/>
        <v>2024-10</v>
      </c>
    </row>
    <row r="647" spans="1:9" ht="15" customHeight="1" x14ac:dyDescent="0.25">
      <c r="A647">
        <v>646</v>
      </c>
      <c r="B647">
        <v>2</v>
      </c>
      <c r="C647" t="s">
        <v>306</v>
      </c>
      <c r="D647">
        <v>480</v>
      </c>
      <c r="E647">
        <v>1</v>
      </c>
      <c r="F647" t="s">
        <v>45</v>
      </c>
      <c r="G647">
        <v>1197</v>
      </c>
      <c r="H647">
        <v>58</v>
      </c>
      <c r="I647" t="str">
        <f t="shared" si="10"/>
        <v>2024-10</v>
      </c>
    </row>
    <row r="648" spans="1:9" ht="15" customHeight="1" x14ac:dyDescent="0.25">
      <c r="A648">
        <v>647</v>
      </c>
      <c r="B648">
        <v>2</v>
      </c>
      <c r="C648" t="s">
        <v>307</v>
      </c>
      <c r="D648">
        <v>480</v>
      </c>
      <c r="E648">
        <v>29</v>
      </c>
      <c r="F648" t="s">
        <v>45</v>
      </c>
      <c r="G648">
        <v>1296</v>
      </c>
      <c r="H648">
        <v>97</v>
      </c>
      <c r="I648" t="str">
        <f t="shared" si="10"/>
        <v>2024-10</v>
      </c>
    </row>
    <row r="649" spans="1:9" ht="15" customHeight="1" x14ac:dyDescent="0.25">
      <c r="A649">
        <v>648</v>
      </c>
      <c r="B649">
        <v>2</v>
      </c>
      <c r="C649" t="s">
        <v>308</v>
      </c>
      <c r="D649">
        <v>480</v>
      </c>
      <c r="E649">
        <v>13</v>
      </c>
      <c r="F649" t="s">
        <v>22</v>
      </c>
      <c r="G649">
        <v>1270</v>
      </c>
      <c r="H649">
        <v>48</v>
      </c>
      <c r="I649" t="str">
        <f t="shared" si="10"/>
        <v>2024-10</v>
      </c>
    </row>
    <row r="650" spans="1:9" ht="15" customHeight="1" x14ac:dyDescent="0.25">
      <c r="A650">
        <v>649</v>
      </c>
      <c r="B650">
        <v>2</v>
      </c>
      <c r="C650" t="s">
        <v>309</v>
      </c>
      <c r="D650">
        <v>480</v>
      </c>
      <c r="E650">
        <v>7</v>
      </c>
      <c r="F650" t="s">
        <v>45</v>
      </c>
      <c r="G650">
        <v>1285</v>
      </c>
      <c r="H650">
        <v>44</v>
      </c>
      <c r="I650" t="str">
        <f t="shared" si="10"/>
        <v>2024-10</v>
      </c>
    </row>
    <row r="651" spans="1:9" ht="15" customHeight="1" x14ac:dyDescent="0.25">
      <c r="A651">
        <v>650</v>
      </c>
      <c r="B651">
        <v>2</v>
      </c>
      <c r="C651" t="s">
        <v>310</v>
      </c>
      <c r="D651">
        <v>480</v>
      </c>
      <c r="E651">
        <v>4</v>
      </c>
      <c r="F651" t="s">
        <v>24</v>
      </c>
      <c r="G651">
        <v>1338</v>
      </c>
      <c r="H651">
        <v>96</v>
      </c>
      <c r="I651" t="str">
        <f t="shared" si="10"/>
        <v>2024-10</v>
      </c>
    </row>
    <row r="652" spans="1:9" ht="15" customHeight="1" x14ac:dyDescent="0.25">
      <c r="A652">
        <v>651</v>
      </c>
      <c r="B652">
        <v>2</v>
      </c>
      <c r="C652" t="s">
        <v>311</v>
      </c>
      <c r="D652">
        <v>480</v>
      </c>
      <c r="E652">
        <v>122</v>
      </c>
      <c r="F652" t="s">
        <v>24</v>
      </c>
      <c r="G652">
        <v>1076</v>
      </c>
      <c r="H652">
        <v>71</v>
      </c>
      <c r="I652" t="str">
        <f t="shared" si="10"/>
        <v>2024-10</v>
      </c>
    </row>
    <row r="653" spans="1:9" ht="15" customHeight="1" x14ac:dyDescent="0.25">
      <c r="A653">
        <v>652</v>
      </c>
      <c r="B653">
        <v>2</v>
      </c>
      <c r="C653" t="s">
        <v>312</v>
      </c>
      <c r="D653">
        <v>480</v>
      </c>
      <c r="E653">
        <v>10</v>
      </c>
      <c r="F653" t="s">
        <v>45</v>
      </c>
      <c r="G653">
        <v>1331</v>
      </c>
      <c r="H653">
        <v>100</v>
      </c>
      <c r="I653" t="str">
        <f t="shared" si="10"/>
        <v>2024-10</v>
      </c>
    </row>
    <row r="654" spans="1:9" ht="15" customHeight="1" x14ac:dyDescent="0.25">
      <c r="A654">
        <v>653</v>
      </c>
      <c r="B654">
        <v>2</v>
      </c>
      <c r="C654" t="s">
        <v>313</v>
      </c>
      <c r="D654">
        <v>480</v>
      </c>
      <c r="E654">
        <v>2</v>
      </c>
      <c r="F654" t="s">
        <v>22</v>
      </c>
      <c r="G654">
        <v>1291</v>
      </c>
      <c r="H654">
        <v>101</v>
      </c>
      <c r="I654" t="str">
        <f t="shared" si="10"/>
        <v>2024-10</v>
      </c>
    </row>
    <row r="655" spans="1:9" ht="15" customHeight="1" x14ac:dyDescent="0.25">
      <c r="A655">
        <v>654</v>
      </c>
      <c r="B655">
        <v>2</v>
      </c>
      <c r="C655" t="s">
        <v>314</v>
      </c>
      <c r="D655">
        <v>480</v>
      </c>
      <c r="E655">
        <v>9</v>
      </c>
      <c r="F655" t="s">
        <v>27</v>
      </c>
      <c r="G655">
        <v>1317</v>
      </c>
      <c r="H655">
        <v>83</v>
      </c>
      <c r="I655" t="str">
        <f t="shared" si="10"/>
        <v>2024-10</v>
      </c>
    </row>
    <row r="656" spans="1:9" ht="15" customHeight="1" x14ac:dyDescent="0.25">
      <c r="A656">
        <v>655</v>
      </c>
      <c r="B656">
        <v>2</v>
      </c>
      <c r="C656" t="s">
        <v>315</v>
      </c>
      <c r="D656">
        <v>480</v>
      </c>
      <c r="E656">
        <v>3</v>
      </c>
      <c r="F656" t="s">
        <v>45</v>
      </c>
      <c r="G656">
        <v>1276</v>
      </c>
      <c r="H656">
        <v>62</v>
      </c>
      <c r="I656" t="str">
        <f t="shared" si="10"/>
        <v>2024-10</v>
      </c>
    </row>
    <row r="657" spans="1:9" ht="15" customHeight="1" x14ac:dyDescent="0.25">
      <c r="A657">
        <v>656</v>
      </c>
      <c r="B657">
        <v>2</v>
      </c>
      <c r="C657" t="s">
        <v>316</v>
      </c>
      <c r="D657">
        <v>480</v>
      </c>
      <c r="E657">
        <v>0</v>
      </c>
      <c r="F657" t="s">
        <v>33</v>
      </c>
      <c r="G657">
        <v>1189</v>
      </c>
      <c r="H657">
        <v>92</v>
      </c>
      <c r="I657" t="str">
        <f t="shared" si="10"/>
        <v>2024-10</v>
      </c>
    </row>
    <row r="658" spans="1:9" ht="15" customHeight="1" x14ac:dyDescent="0.25">
      <c r="A658">
        <v>657</v>
      </c>
      <c r="B658">
        <v>2</v>
      </c>
      <c r="C658" t="s">
        <v>317</v>
      </c>
      <c r="D658">
        <v>480</v>
      </c>
      <c r="E658">
        <v>6</v>
      </c>
      <c r="F658" t="s">
        <v>45</v>
      </c>
      <c r="G658">
        <v>1310</v>
      </c>
      <c r="H658">
        <v>61</v>
      </c>
      <c r="I658" t="str">
        <f t="shared" si="10"/>
        <v>2024-10</v>
      </c>
    </row>
    <row r="659" spans="1:9" ht="15" customHeight="1" x14ac:dyDescent="0.25">
      <c r="A659">
        <v>658</v>
      </c>
      <c r="B659">
        <v>2</v>
      </c>
      <c r="C659" t="s">
        <v>318</v>
      </c>
      <c r="D659">
        <v>480</v>
      </c>
      <c r="E659">
        <v>54</v>
      </c>
      <c r="F659" t="s">
        <v>27</v>
      </c>
      <c r="G659">
        <v>1114</v>
      </c>
      <c r="H659">
        <v>60</v>
      </c>
      <c r="I659" t="str">
        <f t="shared" si="10"/>
        <v>2024-10</v>
      </c>
    </row>
    <row r="660" spans="1:9" ht="15" customHeight="1" x14ac:dyDescent="0.25">
      <c r="A660">
        <v>659</v>
      </c>
      <c r="B660">
        <v>2</v>
      </c>
      <c r="C660" t="s">
        <v>319</v>
      </c>
      <c r="D660">
        <v>480</v>
      </c>
      <c r="E660">
        <v>39</v>
      </c>
      <c r="F660" t="s">
        <v>22</v>
      </c>
      <c r="G660">
        <v>1302</v>
      </c>
      <c r="H660">
        <v>52</v>
      </c>
      <c r="I660" t="str">
        <f t="shared" si="10"/>
        <v>2024-10</v>
      </c>
    </row>
    <row r="661" spans="1:9" ht="15" customHeight="1" x14ac:dyDescent="0.25">
      <c r="A661">
        <v>660</v>
      </c>
      <c r="B661">
        <v>2</v>
      </c>
      <c r="C661" t="s">
        <v>320</v>
      </c>
      <c r="D661">
        <v>480</v>
      </c>
      <c r="E661">
        <v>31</v>
      </c>
      <c r="F661" t="s">
        <v>45</v>
      </c>
      <c r="G661">
        <v>1226</v>
      </c>
      <c r="H661">
        <v>70</v>
      </c>
      <c r="I661" t="str">
        <f t="shared" si="10"/>
        <v>2024-10</v>
      </c>
    </row>
    <row r="662" spans="1:9" ht="15" customHeight="1" x14ac:dyDescent="0.25">
      <c r="A662">
        <v>661</v>
      </c>
      <c r="B662">
        <v>2</v>
      </c>
      <c r="C662" t="s">
        <v>321</v>
      </c>
      <c r="D662">
        <v>480</v>
      </c>
      <c r="E662">
        <v>2</v>
      </c>
      <c r="F662" t="s">
        <v>24</v>
      </c>
      <c r="G662">
        <v>1200</v>
      </c>
      <c r="H662">
        <v>86</v>
      </c>
      <c r="I662" t="str">
        <f t="shared" si="10"/>
        <v>2024-10</v>
      </c>
    </row>
    <row r="663" spans="1:9" ht="15" customHeight="1" x14ac:dyDescent="0.25">
      <c r="A663">
        <v>662</v>
      </c>
      <c r="B663">
        <v>2</v>
      </c>
      <c r="C663" t="s">
        <v>322</v>
      </c>
      <c r="D663">
        <v>480</v>
      </c>
      <c r="E663">
        <v>13</v>
      </c>
      <c r="F663" t="s">
        <v>22</v>
      </c>
      <c r="G663">
        <v>1269</v>
      </c>
      <c r="H663">
        <v>91</v>
      </c>
      <c r="I663" t="str">
        <f t="shared" si="10"/>
        <v>2024-10</v>
      </c>
    </row>
    <row r="664" spans="1:9" ht="15" customHeight="1" x14ac:dyDescent="0.25">
      <c r="A664">
        <v>663</v>
      </c>
      <c r="B664">
        <v>2</v>
      </c>
      <c r="C664" t="s">
        <v>323</v>
      </c>
      <c r="D664">
        <v>480</v>
      </c>
      <c r="E664">
        <v>27</v>
      </c>
      <c r="F664" t="s">
        <v>29</v>
      </c>
      <c r="G664">
        <v>1158</v>
      </c>
      <c r="H664">
        <v>75</v>
      </c>
      <c r="I664" t="str">
        <f t="shared" si="10"/>
        <v>2024-10</v>
      </c>
    </row>
    <row r="665" spans="1:9" ht="15" customHeight="1" x14ac:dyDescent="0.25">
      <c r="A665">
        <v>664</v>
      </c>
      <c r="B665">
        <v>2</v>
      </c>
      <c r="C665" t="s">
        <v>324</v>
      </c>
      <c r="D665">
        <v>480</v>
      </c>
      <c r="E665">
        <v>2</v>
      </c>
      <c r="F665" t="s">
        <v>27</v>
      </c>
      <c r="G665">
        <v>1386</v>
      </c>
      <c r="H665">
        <v>93</v>
      </c>
      <c r="I665" t="str">
        <f t="shared" si="10"/>
        <v>2024-10</v>
      </c>
    </row>
    <row r="666" spans="1:9" ht="15" customHeight="1" x14ac:dyDescent="0.25">
      <c r="A666">
        <v>665</v>
      </c>
      <c r="B666">
        <v>2</v>
      </c>
      <c r="C666" t="s">
        <v>325</v>
      </c>
      <c r="D666">
        <v>480</v>
      </c>
      <c r="E666">
        <v>59</v>
      </c>
      <c r="F666" t="s">
        <v>27</v>
      </c>
      <c r="G666">
        <v>1054</v>
      </c>
      <c r="H666">
        <v>34</v>
      </c>
      <c r="I666" t="str">
        <f t="shared" si="10"/>
        <v>2024-10</v>
      </c>
    </row>
    <row r="667" spans="1:9" ht="15" customHeight="1" x14ac:dyDescent="0.25">
      <c r="A667">
        <v>666</v>
      </c>
      <c r="B667">
        <v>2</v>
      </c>
      <c r="C667" t="s">
        <v>326</v>
      </c>
      <c r="D667">
        <v>480</v>
      </c>
      <c r="E667">
        <v>6</v>
      </c>
      <c r="F667" t="s">
        <v>24</v>
      </c>
      <c r="G667">
        <v>1240</v>
      </c>
      <c r="H667">
        <v>54</v>
      </c>
      <c r="I667" t="str">
        <f t="shared" si="10"/>
        <v>2024-10</v>
      </c>
    </row>
    <row r="668" spans="1:9" ht="15" customHeight="1" x14ac:dyDescent="0.25">
      <c r="A668">
        <v>667</v>
      </c>
      <c r="B668">
        <v>2</v>
      </c>
      <c r="C668" t="s">
        <v>327</v>
      </c>
      <c r="D668">
        <v>480</v>
      </c>
      <c r="E668">
        <v>45</v>
      </c>
      <c r="F668" t="s">
        <v>45</v>
      </c>
      <c r="G668">
        <v>1135</v>
      </c>
      <c r="H668">
        <v>51</v>
      </c>
      <c r="I668" t="str">
        <f t="shared" si="10"/>
        <v>2024-10</v>
      </c>
    </row>
    <row r="669" spans="1:9" ht="15" customHeight="1" x14ac:dyDescent="0.25">
      <c r="A669">
        <v>668</v>
      </c>
      <c r="B669">
        <v>2</v>
      </c>
      <c r="C669" t="s">
        <v>328</v>
      </c>
      <c r="D669">
        <v>480</v>
      </c>
      <c r="E669">
        <v>27</v>
      </c>
      <c r="F669" t="s">
        <v>45</v>
      </c>
      <c r="G669">
        <v>1234</v>
      </c>
      <c r="H669">
        <v>92</v>
      </c>
      <c r="I669" t="str">
        <f t="shared" si="10"/>
        <v>2024-10</v>
      </c>
    </row>
    <row r="670" spans="1:9" ht="15" customHeight="1" x14ac:dyDescent="0.25">
      <c r="A670">
        <v>669</v>
      </c>
      <c r="B670">
        <v>2</v>
      </c>
      <c r="C670" t="s">
        <v>329</v>
      </c>
      <c r="D670">
        <v>480</v>
      </c>
      <c r="E670">
        <v>1</v>
      </c>
      <c r="F670" t="s">
        <v>27</v>
      </c>
      <c r="G670">
        <v>1316</v>
      </c>
      <c r="H670">
        <v>41</v>
      </c>
      <c r="I670" t="str">
        <f t="shared" si="10"/>
        <v>2024-10</v>
      </c>
    </row>
    <row r="671" spans="1:9" ht="15" customHeight="1" x14ac:dyDescent="0.25">
      <c r="A671">
        <v>670</v>
      </c>
      <c r="B671">
        <v>2</v>
      </c>
      <c r="C671" t="s">
        <v>330</v>
      </c>
      <c r="D671">
        <v>480</v>
      </c>
      <c r="E671">
        <v>1</v>
      </c>
      <c r="F671" t="s">
        <v>29</v>
      </c>
      <c r="G671">
        <v>1432</v>
      </c>
      <c r="H671">
        <v>53</v>
      </c>
      <c r="I671" t="str">
        <f t="shared" si="10"/>
        <v>2024-10</v>
      </c>
    </row>
    <row r="672" spans="1:9" ht="15" customHeight="1" x14ac:dyDescent="0.25">
      <c r="A672">
        <v>671</v>
      </c>
      <c r="B672">
        <v>2</v>
      </c>
      <c r="C672" t="s">
        <v>331</v>
      </c>
      <c r="D672">
        <v>480</v>
      </c>
      <c r="E672">
        <v>14</v>
      </c>
      <c r="F672" t="s">
        <v>27</v>
      </c>
      <c r="G672">
        <v>1259</v>
      </c>
      <c r="H672">
        <v>62</v>
      </c>
      <c r="I672" t="str">
        <f t="shared" si="10"/>
        <v>2024-10</v>
      </c>
    </row>
    <row r="673" spans="1:9" ht="15" customHeight="1" x14ac:dyDescent="0.25">
      <c r="A673">
        <v>672</v>
      </c>
      <c r="B673">
        <v>2</v>
      </c>
      <c r="C673" t="s">
        <v>332</v>
      </c>
      <c r="D673">
        <v>480</v>
      </c>
      <c r="E673">
        <v>43</v>
      </c>
      <c r="F673" t="s">
        <v>29</v>
      </c>
      <c r="G673">
        <v>1082</v>
      </c>
      <c r="H673">
        <v>73</v>
      </c>
      <c r="I673" t="str">
        <f t="shared" si="10"/>
        <v>2024-11</v>
      </c>
    </row>
    <row r="674" spans="1:9" ht="15" customHeight="1" x14ac:dyDescent="0.25">
      <c r="A674">
        <v>673</v>
      </c>
      <c r="B674">
        <v>2</v>
      </c>
      <c r="C674" t="s">
        <v>333</v>
      </c>
      <c r="D674">
        <v>480</v>
      </c>
      <c r="E674">
        <v>63</v>
      </c>
      <c r="F674" t="s">
        <v>45</v>
      </c>
      <c r="G674">
        <v>1163</v>
      </c>
      <c r="H674">
        <v>97</v>
      </c>
      <c r="I674" t="str">
        <f t="shared" si="10"/>
        <v>2024-11</v>
      </c>
    </row>
    <row r="675" spans="1:9" ht="15" customHeight="1" x14ac:dyDescent="0.25">
      <c r="A675">
        <v>674</v>
      </c>
      <c r="B675">
        <v>2</v>
      </c>
      <c r="C675" t="s">
        <v>334</v>
      </c>
      <c r="D675">
        <v>480</v>
      </c>
      <c r="E675">
        <v>1</v>
      </c>
      <c r="F675" t="s">
        <v>29</v>
      </c>
      <c r="G675">
        <v>1297</v>
      </c>
      <c r="H675">
        <v>57</v>
      </c>
      <c r="I675" t="str">
        <f t="shared" si="10"/>
        <v>2024-11</v>
      </c>
    </row>
    <row r="676" spans="1:9" ht="15" customHeight="1" x14ac:dyDescent="0.25">
      <c r="A676">
        <v>675</v>
      </c>
      <c r="B676">
        <v>2</v>
      </c>
      <c r="C676" t="s">
        <v>335</v>
      </c>
      <c r="D676">
        <v>480</v>
      </c>
      <c r="E676">
        <v>25</v>
      </c>
      <c r="F676" t="s">
        <v>45</v>
      </c>
      <c r="G676">
        <v>1380</v>
      </c>
      <c r="H676">
        <v>61</v>
      </c>
      <c r="I676" t="str">
        <f t="shared" si="10"/>
        <v>2024-11</v>
      </c>
    </row>
    <row r="677" spans="1:9" ht="15" customHeight="1" x14ac:dyDescent="0.25">
      <c r="A677">
        <v>676</v>
      </c>
      <c r="B677">
        <v>2</v>
      </c>
      <c r="C677" t="s">
        <v>336</v>
      </c>
      <c r="D677">
        <v>480</v>
      </c>
      <c r="E677">
        <v>20</v>
      </c>
      <c r="F677" t="s">
        <v>27</v>
      </c>
      <c r="G677">
        <v>1186</v>
      </c>
      <c r="H677">
        <v>73</v>
      </c>
      <c r="I677" t="str">
        <f t="shared" si="10"/>
        <v>2024-11</v>
      </c>
    </row>
    <row r="678" spans="1:9" ht="15" customHeight="1" x14ac:dyDescent="0.25">
      <c r="A678">
        <v>677</v>
      </c>
      <c r="B678">
        <v>2</v>
      </c>
      <c r="C678" t="s">
        <v>337</v>
      </c>
      <c r="D678">
        <v>480</v>
      </c>
      <c r="E678">
        <v>11</v>
      </c>
      <c r="F678" t="s">
        <v>27</v>
      </c>
      <c r="G678">
        <v>1420</v>
      </c>
      <c r="H678">
        <v>92</v>
      </c>
      <c r="I678" t="str">
        <f t="shared" si="10"/>
        <v>2024-11</v>
      </c>
    </row>
    <row r="679" spans="1:9" ht="15" customHeight="1" x14ac:dyDescent="0.25">
      <c r="A679">
        <v>678</v>
      </c>
      <c r="B679">
        <v>2</v>
      </c>
      <c r="C679" t="s">
        <v>338</v>
      </c>
      <c r="D679">
        <v>480</v>
      </c>
      <c r="E679">
        <v>8</v>
      </c>
      <c r="F679" t="s">
        <v>45</v>
      </c>
      <c r="G679">
        <v>1194</v>
      </c>
      <c r="H679">
        <v>45</v>
      </c>
      <c r="I679" t="str">
        <f t="shared" si="10"/>
        <v>2024-11</v>
      </c>
    </row>
    <row r="680" spans="1:9" ht="15" customHeight="1" x14ac:dyDescent="0.25">
      <c r="A680">
        <v>679</v>
      </c>
      <c r="B680">
        <v>2</v>
      </c>
      <c r="C680" t="s">
        <v>339</v>
      </c>
      <c r="D680">
        <v>480</v>
      </c>
      <c r="E680">
        <v>4</v>
      </c>
      <c r="F680" t="s">
        <v>29</v>
      </c>
      <c r="G680">
        <v>1242</v>
      </c>
      <c r="H680">
        <v>98</v>
      </c>
      <c r="I680" t="str">
        <f t="shared" si="10"/>
        <v>2024-11</v>
      </c>
    </row>
    <row r="681" spans="1:9" ht="15" customHeight="1" x14ac:dyDescent="0.25">
      <c r="A681">
        <v>680</v>
      </c>
      <c r="B681">
        <v>2</v>
      </c>
      <c r="C681" t="s">
        <v>340</v>
      </c>
      <c r="D681">
        <v>480</v>
      </c>
      <c r="E681">
        <v>15</v>
      </c>
      <c r="F681" t="s">
        <v>29</v>
      </c>
      <c r="G681">
        <v>1287</v>
      </c>
      <c r="H681">
        <v>46</v>
      </c>
      <c r="I681" t="str">
        <f t="shared" si="10"/>
        <v>2024-11</v>
      </c>
    </row>
    <row r="682" spans="1:9" ht="15" customHeight="1" x14ac:dyDescent="0.25">
      <c r="A682">
        <v>681</v>
      </c>
      <c r="B682">
        <v>2</v>
      </c>
      <c r="C682" t="s">
        <v>341</v>
      </c>
      <c r="D682">
        <v>480</v>
      </c>
      <c r="E682">
        <v>37</v>
      </c>
      <c r="F682" t="s">
        <v>33</v>
      </c>
      <c r="G682">
        <v>1277</v>
      </c>
      <c r="H682">
        <v>42</v>
      </c>
      <c r="I682" t="str">
        <f t="shared" si="10"/>
        <v>2024-11</v>
      </c>
    </row>
    <row r="683" spans="1:9" ht="15" customHeight="1" x14ac:dyDescent="0.25">
      <c r="A683">
        <v>682</v>
      </c>
      <c r="B683">
        <v>2</v>
      </c>
      <c r="C683" t="s">
        <v>342</v>
      </c>
      <c r="D683">
        <v>480</v>
      </c>
      <c r="E683">
        <v>23</v>
      </c>
      <c r="F683" t="s">
        <v>24</v>
      </c>
      <c r="G683">
        <v>1270</v>
      </c>
      <c r="H683">
        <v>43</v>
      </c>
      <c r="I683" t="str">
        <f t="shared" si="10"/>
        <v>2024-11</v>
      </c>
    </row>
    <row r="684" spans="1:9" ht="15" customHeight="1" x14ac:dyDescent="0.25">
      <c r="A684">
        <v>683</v>
      </c>
      <c r="B684">
        <v>2</v>
      </c>
      <c r="C684" t="s">
        <v>343</v>
      </c>
      <c r="D684">
        <v>480</v>
      </c>
      <c r="E684">
        <v>11</v>
      </c>
      <c r="F684" t="s">
        <v>24</v>
      </c>
      <c r="G684">
        <v>1287</v>
      </c>
      <c r="H684">
        <v>50</v>
      </c>
      <c r="I684" t="str">
        <f t="shared" si="10"/>
        <v>2024-11</v>
      </c>
    </row>
    <row r="685" spans="1:9" ht="15" customHeight="1" x14ac:dyDescent="0.25">
      <c r="A685">
        <v>684</v>
      </c>
      <c r="B685">
        <v>2</v>
      </c>
      <c r="C685" t="s">
        <v>344</v>
      </c>
      <c r="D685">
        <v>480</v>
      </c>
      <c r="E685">
        <v>55</v>
      </c>
      <c r="F685" t="s">
        <v>33</v>
      </c>
      <c r="G685">
        <v>1257</v>
      </c>
      <c r="H685">
        <v>85</v>
      </c>
      <c r="I685" t="str">
        <f t="shared" si="10"/>
        <v>2024-11</v>
      </c>
    </row>
    <row r="686" spans="1:9" ht="15" customHeight="1" x14ac:dyDescent="0.25">
      <c r="A686">
        <v>685</v>
      </c>
      <c r="B686">
        <v>2</v>
      </c>
      <c r="C686" t="s">
        <v>345</v>
      </c>
      <c r="D686">
        <v>480</v>
      </c>
      <c r="E686">
        <v>11</v>
      </c>
      <c r="F686" t="s">
        <v>45</v>
      </c>
      <c r="G686">
        <v>1268</v>
      </c>
      <c r="H686">
        <v>85</v>
      </c>
      <c r="I686" t="str">
        <f t="shared" si="10"/>
        <v>2024-11</v>
      </c>
    </row>
    <row r="687" spans="1:9" ht="15" customHeight="1" x14ac:dyDescent="0.25">
      <c r="A687">
        <v>686</v>
      </c>
      <c r="B687">
        <v>2</v>
      </c>
      <c r="C687" t="s">
        <v>346</v>
      </c>
      <c r="D687">
        <v>480</v>
      </c>
      <c r="E687">
        <v>15</v>
      </c>
      <c r="F687" t="s">
        <v>27</v>
      </c>
      <c r="G687">
        <v>1163</v>
      </c>
      <c r="H687">
        <v>68</v>
      </c>
      <c r="I687" t="str">
        <f t="shared" si="10"/>
        <v>2024-11</v>
      </c>
    </row>
    <row r="688" spans="1:9" ht="15" customHeight="1" x14ac:dyDescent="0.25">
      <c r="A688">
        <v>687</v>
      </c>
      <c r="B688">
        <v>2</v>
      </c>
      <c r="C688" t="s">
        <v>347</v>
      </c>
      <c r="D688">
        <v>480</v>
      </c>
      <c r="E688">
        <v>31</v>
      </c>
      <c r="F688" t="s">
        <v>29</v>
      </c>
      <c r="G688">
        <v>1226</v>
      </c>
      <c r="H688">
        <v>39</v>
      </c>
      <c r="I688" t="str">
        <f t="shared" si="10"/>
        <v>2024-11</v>
      </c>
    </row>
    <row r="689" spans="1:9" ht="15" customHeight="1" x14ac:dyDescent="0.25">
      <c r="A689">
        <v>688</v>
      </c>
      <c r="B689">
        <v>2</v>
      </c>
      <c r="C689" t="s">
        <v>348</v>
      </c>
      <c r="D689">
        <v>480</v>
      </c>
      <c r="E689">
        <v>29</v>
      </c>
      <c r="F689" t="s">
        <v>24</v>
      </c>
      <c r="G689">
        <v>1164</v>
      </c>
      <c r="H689">
        <v>51</v>
      </c>
      <c r="I689" t="str">
        <f t="shared" si="10"/>
        <v>2024-11</v>
      </c>
    </row>
    <row r="690" spans="1:9" ht="15" customHeight="1" x14ac:dyDescent="0.25">
      <c r="A690">
        <v>689</v>
      </c>
      <c r="B690">
        <v>2</v>
      </c>
      <c r="C690" t="s">
        <v>349</v>
      </c>
      <c r="D690">
        <v>480</v>
      </c>
      <c r="E690">
        <v>3</v>
      </c>
      <c r="F690" t="s">
        <v>33</v>
      </c>
      <c r="G690">
        <v>1267</v>
      </c>
      <c r="H690">
        <v>93</v>
      </c>
      <c r="I690" t="str">
        <f t="shared" si="10"/>
        <v>2024-11</v>
      </c>
    </row>
    <row r="691" spans="1:9" ht="15" customHeight="1" x14ac:dyDescent="0.25">
      <c r="A691">
        <v>690</v>
      </c>
      <c r="B691">
        <v>2</v>
      </c>
      <c r="C691" t="s">
        <v>350</v>
      </c>
      <c r="D691">
        <v>480</v>
      </c>
      <c r="E691">
        <v>14</v>
      </c>
      <c r="F691" t="s">
        <v>24</v>
      </c>
      <c r="G691">
        <v>1204</v>
      </c>
      <c r="H691">
        <v>96</v>
      </c>
      <c r="I691" t="str">
        <f t="shared" si="10"/>
        <v>2024-11</v>
      </c>
    </row>
    <row r="692" spans="1:9" ht="15" customHeight="1" x14ac:dyDescent="0.25">
      <c r="A692">
        <v>691</v>
      </c>
      <c r="B692">
        <v>2</v>
      </c>
      <c r="C692" t="s">
        <v>351</v>
      </c>
      <c r="D692">
        <v>480</v>
      </c>
      <c r="E692">
        <v>40</v>
      </c>
      <c r="F692" t="s">
        <v>45</v>
      </c>
      <c r="G692">
        <v>1306</v>
      </c>
      <c r="H692">
        <v>56</v>
      </c>
      <c r="I692" t="str">
        <f t="shared" si="10"/>
        <v>2024-11</v>
      </c>
    </row>
    <row r="693" spans="1:9" ht="15" customHeight="1" x14ac:dyDescent="0.25">
      <c r="A693">
        <v>692</v>
      </c>
      <c r="B693">
        <v>2</v>
      </c>
      <c r="C693" t="s">
        <v>352</v>
      </c>
      <c r="D693">
        <v>480</v>
      </c>
      <c r="E693">
        <v>11</v>
      </c>
      <c r="F693" t="s">
        <v>27</v>
      </c>
      <c r="G693">
        <v>1424</v>
      </c>
      <c r="H693">
        <v>105</v>
      </c>
      <c r="I693" t="str">
        <f t="shared" si="10"/>
        <v>2024-11</v>
      </c>
    </row>
    <row r="694" spans="1:9" ht="15" customHeight="1" x14ac:dyDescent="0.25">
      <c r="A694">
        <v>693</v>
      </c>
      <c r="B694">
        <v>2</v>
      </c>
      <c r="C694" t="s">
        <v>353</v>
      </c>
      <c r="D694">
        <v>480</v>
      </c>
      <c r="E694">
        <v>0</v>
      </c>
      <c r="F694" t="s">
        <v>33</v>
      </c>
      <c r="G694">
        <v>1201</v>
      </c>
      <c r="H694">
        <v>67</v>
      </c>
      <c r="I694" t="str">
        <f t="shared" si="10"/>
        <v>2024-11</v>
      </c>
    </row>
    <row r="695" spans="1:9" ht="15" customHeight="1" x14ac:dyDescent="0.25">
      <c r="A695">
        <v>694</v>
      </c>
      <c r="B695">
        <v>2</v>
      </c>
      <c r="C695" t="s">
        <v>354</v>
      </c>
      <c r="D695">
        <v>480</v>
      </c>
      <c r="E695">
        <v>45</v>
      </c>
      <c r="F695" t="s">
        <v>29</v>
      </c>
      <c r="G695">
        <v>1208</v>
      </c>
      <c r="H695">
        <v>70</v>
      </c>
      <c r="I695" t="str">
        <f t="shared" si="10"/>
        <v>2024-11</v>
      </c>
    </row>
    <row r="696" spans="1:9" ht="15" customHeight="1" x14ac:dyDescent="0.25">
      <c r="A696">
        <v>695</v>
      </c>
      <c r="B696">
        <v>2</v>
      </c>
      <c r="C696" t="s">
        <v>355</v>
      </c>
      <c r="D696">
        <v>480</v>
      </c>
      <c r="E696">
        <v>2</v>
      </c>
      <c r="F696" t="s">
        <v>22</v>
      </c>
      <c r="G696">
        <v>1360</v>
      </c>
      <c r="H696">
        <v>105</v>
      </c>
      <c r="I696" t="str">
        <f t="shared" si="10"/>
        <v>2024-11</v>
      </c>
    </row>
    <row r="697" spans="1:9" ht="15" customHeight="1" x14ac:dyDescent="0.25">
      <c r="A697">
        <v>696</v>
      </c>
      <c r="B697">
        <v>2</v>
      </c>
      <c r="C697" t="s">
        <v>356</v>
      </c>
      <c r="D697">
        <v>480</v>
      </c>
      <c r="E697">
        <v>9</v>
      </c>
      <c r="F697" t="s">
        <v>29</v>
      </c>
      <c r="G697">
        <v>1372</v>
      </c>
      <c r="H697">
        <v>117</v>
      </c>
      <c r="I697" t="str">
        <f t="shared" si="10"/>
        <v>2024-11</v>
      </c>
    </row>
    <row r="698" spans="1:9" ht="15" customHeight="1" x14ac:dyDescent="0.25">
      <c r="A698">
        <v>697</v>
      </c>
      <c r="B698">
        <v>2</v>
      </c>
      <c r="C698" t="s">
        <v>357</v>
      </c>
      <c r="D698">
        <v>480</v>
      </c>
      <c r="E698">
        <v>4</v>
      </c>
      <c r="F698" t="s">
        <v>45</v>
      </c>
      <c r="G698">
        <v>1317</v>
      </c>
      <c r="H698">
        <v>60</v>
      </c>
      <c r="I698" t="str">
        <f t="shared" si="10"/>
        <v>2024-11</v>
      </c>
    </row>
    <row r="699" spans="1:9" ht="15" customHeight="1" x14ac:dyDescent="0.25">
      <c r="A699">
        <v>698</v>
      </c>
      <c r="B699">
        <v>2</v>
      </c>
      <c r="C699" t="s">
        <v>358</v>
      </c>
      <c r="D699">
        <v>480</v>
      </c>
      <c r="E699">
        <v>30</v>
      </c>
      <c r="F699" t="s">
        <v>24</v>
      </c>
      <c r="G699">
        <v>1260</v>
      </c>
      <c r="H699">
        <v>83</v>
      </c>
      <c r="I699" t="str">
        <f t="shared" si="10"/>
        <v>2024-11</v>
      </c>
    </row>
    <row r="700" spans="1:9" ht="15" customHeight="1" x14ac:dyDescent="0.25">
      <c r="A700">
        <v>699</v>
      </c>
      <c r="B700">
        <v>2</v>
      </c>
      <c r="C700" t="s">
        <v>359</v>
      </c>
      <c r="D700">
        <v>480</v>
      </c>
      <c r="E700">
        <v>30</v>
      </c>
      <c r="F700" t="s">
        <v>33</v>
      </c>
      <c r="G700">
        <v>1212</v>
      </c>
      <c r="H700">
        <v>1212</v>
      </c>
      <c r="I700" t="str">
        <f t="shared" si="10"/>
        <v>2024-11</v>
      </c>
    </row>
    <row r="701" spans="1:9" ht="15" customHeight="1" x14ac:dyDescent="0.25">
      <c r="A701">
        <v>700</v>
      </c>
      <c r="B701">
        <v>2</v>
      </c>
      <c r="C701" t="s">
        <v>360</v>
      </c>
      <c r="D701">
        <v>480</v>
      </c>
      <c r="E701">
        <v>14</v>
      </c>
      <c r="F701" t="s">
        <v>29</v>
      </c>
      <c r="G701">
        <v>1191</v>
      </c>
      <c r="H701">
        <v>83</v>
      </c>
      <c r="I701" t="str">
        <f t="shared" si="10"/>
        <v>2024-11</v>
      </c>
    </row>
    <row r="702" spans="1:9" ht="15" customHeight="1" x14ac:dyDescent="0.25">
      <c r="A702">
        <v>701</v>
      </c>
      <c r="B702">
        <v>2</v>
      </c>
      <c r="C702" t="s">
        <v>361</v>
      </c>
      <c r="D702">
        <v>480</v>
      </c>
      <c r="E702">
        <v>30</v>
      </c>
      <c r="F702" t="s">
        <v>22</v>
      </c>
      <c r="G702">
        <v>1191</v>
      </c>
      <c r="H702">
        <v>94</v>
      </c>
      <c r="I702" t="str">
        <f t="shared" si="10"/>
        <v>2024-11</v>
      </c>
    </row>
    <row r="703" spans="1:9" ht="15" customHeight="1" x14ac:dyDescent="0.25">
      <c r="A703">
        <v>702</v>
      </c>
      <c r="B703">
        <v>2</v>
      </c>
      <c r="C703" t="s">
        <v>362</v>
      </c>
      <c r="D703">
        <v>480</v>
      </c>
      <c r="E703">
        <v>45</v>
      </c>
      <c r="F703" t="s">
        <v>45</v>
      </c>
      <c r="G703">
        <v>1142</v>
      </c>
      <c r="H703">
        <v>99</v>
      </c>
      <c r="I703" t="str">
        <f t="shared" si="10"/>
        <v>2024-12</v>
      </c>
    </row>
    <row r="704" spans="1:9" ht="15" customHeight="1" x14ac:dyDescent="0.25">
      <c r="A704">
        <v>703</v>
      </c>
      <c r="B704">
        <v>2</v>
      </c>
      <c r="C704" t="s">
        <v>363</v>
      </c>
      <c r="D704">
        <v>480</v>
      </c>
      <c r="E704">
        <v>2</v>
      </c>
      <c r="F704" t="s">
        <v>33</v>
      </c>
      <c r="G704">
        <v>1234</v>
      </c>
      <c r="H704">
        <v>49</v>
      </c>
      <c r="I704" t="str">
        <f t="shared" si="10"/>
        <v>2024-12</v>
      </c>
    </row>
    <row r="705" spans="1:9" ht="15" customHeight="1" x14ac:dyDescent="0.25">
      <c r="A705">
        <v>704</v>
      </c>
      <c r="B705">
        <v>2</v>
      </c>
      <c r="C705" t="s">
        <v>364</v>
      </c>
      <c r="D705">
        <v>480</v>
      </c>
      <c r="E705">
        <v>42</v>
      </c>
      <c r="F705" t="s">
        <v>45</v>
      </c>
      <c r="G705">
        <v>1245</v>
      </c>
      <c r="H705">
        <v>47</v>
      </c>
      <c r="I705" t="str">
        <f t="shared" si="10"/>
        <v>2024-12</v>
      </c>
    </row>
    <row r="706" spans="1:9" ht="15" customHeight="1" x14ac:dyDescent="0.25">
      <c r="A706">
        <v>705</v>
      </c>
      <c r="B706">
        <v>2</v>
      </c>
      <c r="C706" t="s">
        <v>365</v>
      </c>
      <c r="D706">
        <v>480</v>
      </c>
      <c r="E706">
        <v>11</v>
      </c>
      <c r="F706" t="s">
        <v>45</v>
      </c>
      <c r="G706">
        <v>1323</v>
      </c>
      <c r="H706">
        <v>45</v>
      </c>
      <c r="I706" t="str">
        <f t="shared" ref="I706:I769" si="11">TEXT(C706,"yyyy-mm")</f>
        <v>2024-12</v>
      </c>
    </row>
    <row r="707" spans="1:9" ht="15" customHeight="1" x14ac:dyDescent="0.25">
      <c r="A707">
        <v>706</v>
      </c>
      <c r="B707">
        <v>2</v>
      </c>
      <c r="C707" t="s">
        <v>366</v>
      </c>
      <c r="D707">
        <v>480</v>
      </c>
      <c r="E707">
        <v>40</v>
      </c>
      <c r="F707" t="s">
        <v>22</v>
      </c>
      <c r="G707">
        <v>1289</v>
      </c>
      <c r="H707">
        <v>75</v>
      </c>
      <c r="I707" t="str">
        <f t="shared" si="11"/>
        <v>2024-12</v>
      </c>
    </row>
    <row r="708" spans="1:9" ht="15" customHeight="1" x14ac:dyDescent="0.25">
      <c r="A708">
        <v>707</v>
      </c>
      <c r="B708">
        <v>2</v>
      </c>
      <c r="C708" t="s">
        <v>367</v>
      </c>
      <c r="D708">
        <v>480</v>
      </c>
      <c r="E708">
        <v>65</v>
      </c>
      <c r="F708" t="s">
        <v>22</v>
      </c>
      <c r="G708">
        <v>1123</v>
      </c>
      <c r="H708">
        <v>97</v>
      </c>
      <c r="I708" t="str">
        <f t="shared" si="11"/>
        <v>2024-12</v>
      </c>
    </row>
    <row r="709" spans="1:9" ht="15" customHeight="1" x14ac:dyDescent="0.25">
      <c r="A709">
        <v>708</v>
      </c>
      <c r="B709">
        <v>2</v>
      </c>
      <c r="C709" t="s">
        <v>368</v>
      </c>
      <c r="D709">
        <v>480</v>
      </c>
      <c r="E709">
        <v>21</v>
      </c>
      <c r="F709" t="s">
        <v>29</v>
      </c>
      <c r="G709">
        <v>1300</v>
      </c>
      <c r="H709">
        <v>50</v>
      </c>
      <c r="I709" t="str">
        <f t="shared" si="11"/>
        <v>2024-12</v>
      </c>
    </row>
    <row r="710" spans="1:9" ht="15" customHeight="1" x14ac:dyDescent="0.25">
      <c r="A710">
        <v>709</v>
      </c>
      <c r="B710">
        <v>2</v>
      </c>
      <c r="C710" t="s">
        <v>369</v>
      </c>
      <c r="D710">
        <v>480</v>
      </c>
      <c r="E710">
        <v>40</v>
      </c>
      <c r="F710" t="s">
        <v>27</v>
      </c>
      <c r="G710">
        <v>1193</v>
      </c>
      <c r="H710">
        <v>46</v>
      </c>
      <c r="I710" t="str">
        <f t="shared" si="11"/>
        <v>2024-12</v>
      </c>
    </row>
    <row r="711" spans="1:9" ht="15" customHeight="1" x14ac:dyDescent="0.25">
      <c r="A711">
        <v>710</v>
      </c>
      <c r="B711">
        <v>2</v>
      </c>
      <c r="C711" t="s">
        <v>370</v>
      </c>
      <c r="D711">
        <v>480</v>
      </c>
      <c r="E711">
        <v>0</v>
      </c>
      <c r="F711" t="s">
        <v>33</v>
      </c>
      <c r="G711">
        <v>1339</v>
      </c>
      <c r="H711">
        <v>80</v>
      </c>
      <c r="I711" t="str">
        <f t="shared" si="11"/>
        <v>2024-12</v>
      </c>
    </row>
    <row r="712" spans="1:9" ht="15" customHeight="1" x14ac:dyDescent="0.25">
      <c r="A712">
        <v>711</v>
      </c>
      <c r="B712">
        <v>2</v>
      </c>
      <c r="C712" t="s">
        <v>371</v>
      </c>
      <c r="D712">
        <v>480</v>
      </c>
      <c r="E712">
        <v>24</v>
      </c>
      <c r="F712" t="s">
        <v>45</v>
      </c>
      <c r="G712">
        <v>1359</v>
      </c>
      <c r="H712">
        <v>46</v>
      </c>
      <c r="I712" t="str">
        <f t="shared" si="11"/>
        <v>2024-12</v>
      </c>
    </row>
    <row r="713" spans="1:9" ht="15" customHeight="1" x14ac:dyDescent="0.25">
      <c r="A713">
        <v>712</v>
      </c>
      <c r="B713">
        <v>2</v>
      </c>
      <c r="C713" t="s">
        <v>372</v>
      </c>
      <c r="D713">
        <v>480</v>
      </c>
      <c r="E713">
        <v>25</v>
      </c>
      <c r="F713" t="s">
        <v>24</v>
      </c>
      <c r="G713">
        <v>1171</v>
      </c>
      <c r="H713">
        <v>92</v>
      </c>
      <c r="I713" t="str">
        <f t="shared" si="11"/>
        <v>2024-12</v>
      </c>
    </row>
    <row r="714" spans="1:9" ht="15" customHeight="1" x14ac:dyDescent="0.25">
      <c r="A714">
        <v>713</v>
      </c>
      <c r="B714">
        <v>2</v>
      </c>
      <c r="C714" t="s">
        <v>373</v>
      </c>
      <c r="D714">
        <v>480</v>
      </c>
      <c r="E714">
        <v>32</v>
      </c>
      <c r="F714" t="s">
        <v>24</v>
      </c>
      <c r="G714">
        <v>1244</v>
      </c>
      <c r="H714">
        <v>88</v>
      </c>
      <c r="I714" t="str">
        <f t="shared" si="11"/>
        <v>2024-12</v>
      </c>
    </row>
    <row r="715" spans="1:9" ht="15" customHeight="1" x14ac:dyDescent="0.25">
      <c r="A715">
        <v>714</v>
      </c>
      <c r="B715">
        <v>2</v>
      </c>
      <c r="C715" t="s">
        <v>374</v>
      </c>
      <c r="D715">
        <v>480</v>
      </c>
      <c r="E715">
        <v>7</v>
      </c>
      <c r="F715" t="s">
        <v>29</v>
      </c>
      <c r="G715">
        <v>1295</v>
      </c>
      <c r="H715">
        <v>100</v>
      </c>
      <c r="I715" t="str">
        <f t="shared" si="11"/>
        <v>2024-12</v>
      </c>
    </row>
    <row r="716" spans="1:9" ht="15" customHeight="1" x14ac:dyDescent="0.25">
      <c r="A716">
        <v>715</v>
      </c>
      <c r="B716">
        <v>2</v>
      </c>
      <c r="C716" t="s">
        <v>375</v>
      </c>
      <c r="D716">
        <v>480</v>
      </c>
      <c r="E716">
        <v>11</v>
      </c>
      <c r="F716" t="s">
        <v>29</v>
      </c>
      <c r="G716">
        <v>1253</v>
      </c>
      <c r="H716">
        <v>72</v>
      </c>
      <c r="I716" t="str">
        <f t="shared" si="11"/>
        <v>2024-12</v>
      </c>
    </row>
    <row r="717" spans="1:9" ht="15" customHeight="1" x14ac:dyDescent="0.25">
      <c r="A717">
        <v>716</v>
      </c>
      <c r="B717">
        <v>2</v>
      </c>
      <c r="C717" t="s">
        <v>376</v>
      </c>
      <c r="D717">
        <v>480</v>
      </c>
      <c r="E717">
        <v>33</v>
      </c>
      <c r="F717" t="s">
        <v>29</v>
      </c>
      <c r="G717">
        <v>1188</v>
      </c>
      <c r="H717">
        <v>46</v>
      </c>
      <c r="I717" t="str">
        <f t="shared" si="11"/>
        <v>2024-12</v>
      </c>
    </row>
    <row r="718" spans="1:9" ht="15" customHeight="1" x14ac:dyDescent="0.25">
      <c r="A718">
        <v>717</v>
      </c>
      <c r="B718">
        <v>2</v>
      </c>
      <c r="C718" t="s">
        <v>377</v>
      </c>
      <c r="D718">
        <v>480</v>
      </c>
      <c r="E718">
        <v>23</v>
      </c>
      <c r="F718" t="s">
        <v>22</v>
      </c>
      <c r="G718">
        <v>1345</v>
      </c>
      <c r="H718">
        <v>47</v>
      </c>
      <c r="I718" t="str">
        <f t="shared" si="11"/>
        <v>2024-12</v>
      </c>
    </row>
    <row r="719" spans="1:9" ht="15" customHeight="1" x14ac:dyDescent="0.25">
      <c r="A719">
        <v>718</v>
      </c>
      <c r="B719">
        <v>2</v>
      </c>
      <c r="C719" t="s">
        <v>378</v>
      </c>
      <c r="D719">
        <v>480</v>
      </c>
      <c r="E719">
        <v>5</v>
      </c>
      <c r="F719" t="s">
        <v>27</v>
      </c>
      <c r="G719">
        <v>1209</v>
      </c>
      <c r="H719">
        <v>59</v>
      </c>
      <c r="I719" t="str">
        <f t="shared" si="11"/>
        <v>2024-12</v>
      </c>
    </row>
    <row r="720" spans="1:9" ht="15" customHeight="1" x14ac:dyDescent="0.25">
      <c r="A720">
        <v>719</v>
      </c>
      <c r="B720">
        <v>2</v>
      </c>
      <c r="C720" t="s">
        <v>379</v>
      </c>
      <c r="D720">
        <v>480</v>
      </c>
      <c r="E720">
        <v>11</v>
      </c>
      <c r="F720" t="s">
        <v>29</v>
      </c>
      <c r="G720">
        <v>1359</v>
      </c>
      <c r="H720">
        <v>91</v>
      </c>
      <c r="I720" t="str">
        <f t="shared" si="11"/>
        <v>2024-12</v>
      </c>
    </row>
    <row r="721" spans="1:9" ht="15" customHeight="1" x14ac:dyDescent="0.25">
      <c r="A721">
        <v>720</v>
      </c>
      <c r="B721">
        <v>2</v>
      </c>
      <c r="C721" t="s">
        <v>380</v>
      </c>
      <c r="D721">
        <v>480</v>
      </c>
      <c r="E721">
        <v>18</v>
      </c>
      <c r="F721" t="s">
        <v>27</v>
      </c>
      <c r="G721">
        <v>1233</v>
      </c>
      <c r="H721">
        <v>96</v>
      </c>
      <c r="I721" t="str">
        <f t="shared" si="11"/>
        <v>2024-12</v>
      </c>
    </row>
    <row r="722" spans="1:9" ht="15" customHeight="1" x14ac:dyDescent="0.25">
      <c r="A722">
        <v>721</v>
      </c>
      <c r="B722">
        <v>2</v>
      </c>
      <c r="C722" t="s">
        <v>381</v>
      </c>
      <c r="D722">
        <v>480</v>
      </c>
      <c r="E722">
        <v>12</v>
      </c>
      <c r="F722" t="s">
        <v>27</v>
      </c>
      <c r="G722">
        <v>1419</v>
      </c>
      <c r="H722">
        <v>94</v>
      </c>
      <c r="I722" t="str">
        <f t="shared" si="11"/>
        <v>2024-12</v>
      </c>
    </row>
    <row r="723" spans="1:9" ht="15" customHeight="1" x14ac:dyDescent="0.25">
      <c r="A723">
        <v>722</v>
      </c>
      <c r="B723">
        <v>2</v>
      </c>
      <c r="C723" t="s">
        <v>382</v>
      </c>
      <c r="D723">
        <v>480</v>
      </c>
      <c r="E723">
        <v>2</v>
      </c>
      <c r="F723" t="s">
        <v>24</v>
      </c>
      <c r="G723">
        <v>1365</v>
      </c>
      <c r="H723">
        <v>65</v>
      </c>
      <c r="I723" t="str">
        <f t="shared" si="11"/>
        <v>2024-12</v>
      </c>
    </row>
    <row r="724" spans="1:9" ht="15" customHeight="1" x14ac:dyDescent="0.25">
      <c r="A724">
        <v>723</v>
      </c>
      <c r="B724">
        <v>2</v>
      </c>
      <c r="C724" t="s">
        <v>383</v>
      </c>
      <c r="D724">
        <v>480</v>
      </c>
      <c r="E724">
        <v>22</v>
      </c>
      <c r="F724" t="s">
        <v>45</v>
      </c>
      <c r="G724">
        <v>1147</v>
      </c>
      <c r="H724">
        <v>45</v>
      </c>
      <c r="I724" t="str">
        <f t="shared" si="11"/>
        <v>2024-12</v>
      </c>
    </row>
    <row r="725" spans="1:9" ht="15" customHeight="1" x14ac:dyDescent="0.25">
      <c r="A725">
        <v>724</v>
      </c>
      <c r="B725">
        <v>2</v>
      </c>
      <c r="C725" t="s">
        <v>384</v>
      </c>
      <c r="D725">
        <v>480</v>
      </c>
      <c r="E725">
        <v>37</v>
      </c>
      <c r="F725" t="s">
        <v>29</v>
      </c>
      <c r="G725">
        <v>1150</v>
      </c>
      <c r="H725">
        <v>89</v>
      </c>
      <c r="I725" t="str">
        <f t="shared" si="11"/>
        <v>2024-12</v>
      </c>
    </row>
    <row r="726" spans="1:9" ht="15" customHeight="1" x14ac:dyDescent="0.25">
      <c r="A726">
        <v>725</v>
      </c>
      <c r="B726">
        <v>2</v>
      </c>
      <c r="C726" t="s">
        <v>385</v>
      </c>
      <c r="D726">
        <v>480</v>
      </c>
      <c r="E726">
        <v>6</v>
      </c>
      <c r="F726" t="s">
        <v>22</v>
      </c>
      <c r="G726">
        <v>1345</v>
      </c>
      <c r="H726">
        <v>93</v>
      </c>
      <c r="I726" t="str">
        <f t="shared" si="11"/>
        <v>2024-12</v>
      </c>
    </row>
    <row r="727" spans="1:9" ht="15" customHeight="1" x14ac:dyDescent="0.25">
      <c r="A727">
        <v>726</v>
      </c>
      <c r="B727">
        <v>2</v>
      </c>
      <c r="C727" t="s">
        <v>386</v>
      </c>
      <c r="D727">
        <v>480</v>
      </c>
      <c r="E727">
        <v>13</v>
      </c>
      <c r="F727" t="s">
        <v>22</v>
      </c>
      <c r="G727">
        <v>1233</v>
      </c>
      <c r="H727">
        <v>51</v>
      </c>
      <c r="I727" t="str">
        <f t="shared" si="11"/>
        <v>2024-12</v>
      </c>
    </row>
    <row r="728" spans="1:9" ht="15" customHeight="1" x14ac:dyDescent="0.25">
      <c r="A728">
        <v>727</v>
      </c>
      <c r="B728">
        <v>2</v>
      </c>
      <c r="C728" t="s">
        <v>387</v>
      </c>
      <c r="D728">
        <v>480</v>
      </c>
      <c r="E728">
        <v>0</v>
      </c>
      <c r="F728" t="s">
        <v>33</v>
      </c>
      <c r="G728">
        <v>1267</v>
      </c>
      <c r="H728">
        <v>85</v>
      </c>
      <c r="I728" t="str">
        <f t="shared" si="11"/>
        <v>2024-12</v>
      </c>
    </row>
    <row r="729" spans="1:9" ht="15" customHeight="1" x14ac:dyDescent="0.25">
      <c r="A729">
        <v>728</v>
      </c>
      <c r="B729">
        <v>2</v>
      </c>
      <c r="C729" t="s">
        <v>388</v>
      </c>
      <c r="D729">
        <v>480</v>
      </c>
      <c r="E729">
        <v>53</v>
      </c>
      <c r="F729" t="s">
        <v>29</v>
      </c>
      <c r="G729">
        <v>1268</v>
      </c>
      <c r="H729">
        <v>1268</v>
      </c>
      <c r="I729" t="str">
        <f t="shared" si="11"/>
        <v>2024-12</v>
      </c>
    </row>
    <row r="730" spans="1:9" ht="15" customHeight="1" x14ac:dyDescent="0.25">
      <c r="A730">
        <v>729</v>
      </c>
      <c r="B730">
        <v>2</v>
      </c>
      <c r="C730" t="s">
        <v>389</v>
      </c>
      <c r="D730">
        <v>480</v>
      </c>
      <c r="E730">
        <v>29</v>
      </c>
      <c r="F730" t="s">
        <v>24</v>
      </c>
      <c r="G730">
        <v>1285</v>
      </c>
      <c r="H730">
        <v>57</v>
      </c>
      <c r="I730" t="str">
        <f t="shared" si="11"/>
        <v>2024-12</v>
      </c>
    </row>
    <row r="731" spans="1:9" ht="15" customHeight="1" x14ac:dyDescent="0.25">
      <c r="A731">
        <v>730</v>
      </c>
      <c r="B731">
        <v>2</v>
      </c>
      <c r="C731" t="s">
        <v>390</v>
      </c>
      <c r="D731">
        <v>480</v>
      </c>
      <c r="E731">
        <v>45</v>
      </c>
      <c r="F731" t="s">
        <v>24</v>
      </c>
      <c r="G731">
        <v>1241</v>
      </c>
      <c r="H731">
        <v>76</v>
      </c>
      <c r="I731" t="str">
        <f t="shared" si="11"/>
        <v>2024-12</v>
      </c>
    </row>
    <row r="732" spans="1:9" ht="15" customHeight="1" x14ac:dyDescent="0.25">
      <c r="A732">
        <v>731</v>
      </c>
      <c r="B732">
        <v>2</v>
      </c>
      <c r="C732" t="s">
        <v>391</v>
      </c>
      <c r="D732">
        <v>480</v>
      </c>
      <c r="E732">
        <v>2</v>
      </c>
      <c r="F732" t="s">
        <v>24</v>
      </c>
      <c r="G732">
        <v>1302</v>
      </c>
      <c r="H732">
        <v>73</v>
      </c>
      <c r="I732" t="str">
        <f t="shared" si="11"/>
        <v>2024-12</v>
      </c>
    </row>
    <row r="733" spans="1:9" ht="15" customHeight="1" x14ac:dyDescent="0.25">
      <c r="A733">
        <v>732</v>
      </c>
      <c r="B733">
        <v>2</v>
      </c>
      <c r="C733" t="s">
        <v>392</v>
      </c>
      <c r="D733">
        <v>480</v>
      </c>
      <c r="E733">
        <v>38</v>
      </c>
      <c r="F733" t="s">
        <v>33</v>
      </c>
      <c r="G733">
        <v>1229</v>
      </c>
      <c r="H733">
        <v>63</v>
      </c>
      <c r="I733" t="str">
        <f t="shared" si="11"/>
        <v>2024-12</v>
      </c>
    </row>
    <row r="734" spans="1:9" ht="15" customHeight="1" x14ac:dyDescent="0.25">
      <c r="A734">
        <v>733</v>
      </c>
      <c r="B734">
        <v>3</v>
      </c>
      <c r="C734" t="s">
        <v>21</v>
      </c>
      <c r="D734">
        <v>480</v>
      </c>
      <c r="E734">
        <v>51</v>
      </c>
      <c r="F734" t="s">
        <v>29</v>
      </c>
      <c r="G734">
        <v>681</v>
      </c>
      <c r="H734">
        <v>681</v>
      </c>
      <c r="I734" t="str">
        <f t="shared" si="11"/>
        <v>2024-01</v>
      </c>
    </row>
    <row r="735" spans="1:9" ht="15" customHeight="1" x14ac:dyDescent="0.25">
      <c r="A735">
        <v>734</v>
      </c>
      <c r="B735">
        <v>3</v>
      </c>
      <c r="C735" t="s">
        <v>23</v>
      </c>
      <c r="D735">
        <v>480</v>
      </c>
      <c r="E735">
        <v>235</v>
      </c>
      <c r="F735" t="s">
        <v>33</v>
      </c>
      <c r="G735">
        <v>410</v>
      </c>
      <c r="H735">
        <v>8</v>
      </c>
      <c r="I735" t="str">
        <f t="shared" si="11"/>
        <v>2024-01</v>
      </c>
    </row>
    <row r="736" spans="1:9" ht="15" customHeight="1" x14ac:dyDescent="0.25">
      <c r="A736">
        <v>735</v>
      </c>
      <c r="B736">
        <v>3</v>
      </c>
      <c r="C736" t="s">
        <v>25</v>
      </c>
      <c r="D736">
        <v>480</v>
      </c>
      <c r="E736">
        <v>32</v>
      </c>
      <c r="F736" t="s">
        <v>29</v>
      </c>
      <c r="G736">
        <v>855</v>
      </c>
      <c r="H736">
        <v>16</v>
      </c>
      <c r="I736" t="str">
        <f t="shared" si="11"/>
        <v>2024-01</v>
      </c>
    </row>
    <row r="737" spans="1:9" ht="15" customHeight="1" x14ac:dyDescent="0.25">
      <c r="A737">
        <v>736</v>
      </c>
      <c r="B737">
        <v>3</v>
      </c>
      <c r="C737" t="s">
        <v>26</v>
      </c>
      <c r="D737">
        <v>480</v>
      </c>
      <c r="E737">
        <v>153</v>
      </c>
      <c r="F737" t="s">
        <v>45</v>
      </c>
      <c r="G737">
        <v>516</v>
      </c>
      <c r="H737">
        <v>11</v>
      </c>
      <c r="I737" t="str">
        <f t="shared" si="11"/>
        <v>2024-01</v>
      </c>
    </row>
    <row r="738" spans="1:9" ht="15" customHeight="1" x14ac:dyDescent="0.25">
      <c r="A738">
        <v>737</v>
      </c>
      <c r="B738">
        <v>3</v>
      </c>
      <c r="C738" t="s">
        <v>28</v>
      </c>
      <c r="D738">
        <v>480</v>
      </c>
      <c r="E738">
        <v>122</v>
      </c>
      <c r="F738" t="s">
        <v>29</v>
      </c>
      <c r="G738">
        <v>603</v>
      </c>
      <c r="H738">
        <v>12</v>
      </c>
      <c r="I738" t="str">
        <f t="shared" si="11"/>
        <v>2024-01</v>
      </c>
    </row>
    <row r="739" spans="1:9" ht="15" customHeight="1" x14ac:dyDescent="0.25">
      <c r="A739">
        <v>738</v>
      </c>
      <c r="B739">
        <v>3</v>
      </c>
      <c r="C739" t="s">
        <v>30</v>
      </c>
      <c r="D739">
        <v>480</v>
      </c>
      <c r="E739">
        <v>31</v>
      </c>
      <c r="F739" t="s">
        <v>22</v>
      </c>
      <c r="G739">
        <v>851</v>
      </c>
      <c r="H739">
        <v>8</v>
      </c>
      <c r="I739" t="str">
        <f t="shared" si="11"/>
        <v>2024-01</v>
      </c>
    </row>
    <row r="740" spans="1:9" ht="15" customHeight="1" x14ac:dyDescent="0.25">
      <c r="A740">
        <v>739</v>
      </c>
      <c r="B740">
        <v>3</v>
      </c>
      <c r="C740" t="s">
        <v>31</v>
      </c>
      <c r="D740">
        <v>480</v>
      </c>
      <c r="E740">
        <v>114</v>
      </c>
      <c r="F740" t="s">
        <v>27</v>
      </c>
      <c r="G740">
        <v>648</v>
      </c>
      <c r="H740">
        <v>6</v>
      </c>
      <c r="I740" t="str">
        <f t="shared" si="11"/>
        <v>2024-01</v>
      </c>
    </row>
    <row r="741" spans="1:9" ht="15" customHeight="1" x14ac:dyDescent="0.25">
      <c r="A741">
        <v>740</v>
      </c>
      <c r="B741">
        <v>3</v>
      </c>
      <c r="C741" t="s">
        <v>32</v>
      </c>
      <c r="D741">
        <v>480</v>
      </c>
      <c r="E741">
        <v>26</v>
      </c>
      <c r="F741" t="s">
        <v>33</v>
      </c>
      <c r="G741">
        <v>715</v>
      </c>
      <c r="H741">
        <v>10</v>
      </c>
      <c r="I741" t="str">
        <f t="shared" si="11"/>
        <v>2024-01</v>
      </c>
    </row>
    <row r="742" spans="1:9" ht="15" customHeight="1" x14ac:dyDescent="0.25">
      <c r="A742">
        <v>741</v>
      </c>
      <c r="B742">
        <v>3</v>
      </c>
      <c r="C742" t="s">
        <v>34</v>
      </c>
      <c r="D742">
        <v>480</v>
      </c>
      <c r="E742">
        <v>33</v>
      </c>
      <c r="F742" t="s">
        <v>24</v>
      </c>
      <c r="G742">
        <v>801</v>
      </c>
      <c r="H742">
        <v>9</v>
      </c>
      <c r="I742" t="str">
        <f t="shared" si="11"/>
        <v>2024-01</v>
      </c>
    </row>
    <row r="743" spans="1:9" ht="15" customHeight="1" x14ac:dyDescent="0.25">
      <c r="A743">
        <v>742</v>
      </c>
      <c r="B743">
        <v>3</v>
      </c>
      <c r="C743" t="s">
        <v>35</v>
      </c>
      <c r="D743">
        <v>480</v>
      </c>
      <c r="E743">
        <v>33</v>
      </c>
      <c r="F743" t="s">
        <v>45</v>
      </c>
      <c r="G743">
        <v>825</v>
      </c>
      <c r="H743">
        <v>7</v>
      </c>
      <c r="I743" t="str">
        <f t="shared" si="11"/>
        <v>2024-01</v>
      </c>
    </row>
    <row r="744" spans="1:9" ht="15" customHeight="1" x14ac:dyDescent="0.25">
      <c r="A744">
        <v>743</v>
      </c>
      <c r="B744">
        <v>3</v>
      </c>
      <c r="C744" t="s">
        <v>36</v>
      </c>
      <c r="D744">
        <v>480</v>
      </c>
      <c r="E744">
        <v>219</v>
      </c>
      <c r="F744" t="s">
        <v>29</v>
      </c>
      <c r="G744">
        <v>492</v>
      </c>
      <c r="H744">
        <v>8</v>
      </c>
      <c r="I744" t="str">
        <f t="shared" si="11"/>
        <v>2024-01</v>
      </c>
    </row>
    <row r="745" spans="1:9" ht="15" customHeight="1" x14ac:dyDescent="0.25">
      <c r="A745">
        <v>744</v>
      </c>
      <c r="B745">
        <v>3</v>
      </c>
      <c r="C745" t="s">
        <v>37</v>
      </c>
      <c r="D745">
        <v>480</v>
      </c>
      <c r="E745">
        <v>84</v>
      </c>
      <c r="F745" t="s">
        <v>22</v>
      </c>
      <c r="G745">
        <v>753</v>
      </c>
      <c r="H745">
        <v>8</v>
      </c>
      <c r="I745" t="str">
        <f t="shared" si="11"/>
        <v>2024-01</v>
      </c>
    </row>
    <row r="746" spans="1:9" ht="15" customHeight="1" x14ac:dyDescent="0.25">
      <c r="A746">
        <v>745</v>
      </c>
      <c r="B746">
        <v>3</v>
      </c>
      <c r="C746" t="s">
        <v>38</v>
      </c>
      <c r="D746">
        <v>480</v>
      </c>
      <c r="E746">
        <v>7</v>
      </c>
      <c r="F746" t="s">
        <v>29</v>
      </c>
      <c r="G746">
        <v>785</v>
      </c>
      <c r="H746">
        <v>15</v>
      </c>
      <c r="I746" t="str">
        <f t="shared" si="11"/>
        <v>2024-01</v>
      </c>
    </row>
    <row r="747" spans="1:9" ht="15" customHeight="1" x14ac:dyDescent="0.25">
      <c r="A747">
        <v>746</v>
      </c>
      <c r="B747">
        <v>3</v>
      </c>
      <c r="C747" t="s">
        <v>39</v>
      </c>
      <c r="D747">
        <v>480</v>
      </c>
      <c r="E747">
        <v>3</v>
      </c>
      <c r="F747" t="s">
        <v>24</v>
      </c>
      <c r="G747">
        <v>852</v>
      </c>
      <c r="H747">
        <v>19</v>
      </c>
      <c r="I747" t="str">
        <f t="shared" si="11"/>
        <v>2024-01</v>
      </c>
    </row>
    <row r="748" spans="1:9" ht="15" customHeight="1" x14ac:dyDescent="0.25">
      <c r="A748">
        <v>747</v>
      </c>
      <c r="B748">
        <v>3</v>
      </c>
      <c r="C748" t="s">
        <v>40</v>
      </c>
      <c r="D748">
        <v>480</v>
      </c>
      <c r="E748">
        <v>182</v>
      </c>
      <c r="F748" t="s">
        <v>27</v>
      </c>
      <c r="G748">
        <v>526</v>
      </c>
      <c r="H748">
        <v>4</v>
      </c>
      <c r="I748" t="str">
        <f t="shared" si="11"/>
        <v>2024-01</v>
      </c>
    </row>
    <row r="749" spans="1:9" ht="15" customHeight="1" x14ac:dyDescent="0.25">
      <c r="A749">
        <v>748</v>
      </c>
      <c r="B749">
        <v>3</v>
      </c>
      <c r="C749" t="s">
        <v>41</v>
      </c>
      <c r="D749">
        <v>480</v>
      </c>
      <c r="E749">
        <v>167</v>
      </c>
      <c r="F749" t="s">
        <v>33</v>
      </c>
      <c r="G749">
        <v>561</v>
      </c>
      <c r="H749">
        <v>5</v>
      </c>
      <c r="I749" t="str">
        <f t="shared" si="11"/>
        <v>2024-01</v>
      </c>
    </row>
    <row r="750" spans="1:9" ht="15" customHeight="1" x14ac:dyDescent="0.25">
      <c r="A750">
        <v>749</v>
      </c>
      <c r="B750">
        <v>3</v>
      </c>
      <c r="C750" t="s">
        <v>42</v>
      </c>
      <c r="D750">
        <v>480</v>
      </c>
      <c r="E750">
        <v>9</v>
      </c>
      <c r="F750" t="s">
        <v>27</v>
      </c>
      <c r="G750">
        <v>899</v>
      </c>
      <c r="H750">
        <v>16</v>
      </c>
      <c r="I750" t="str">
        <f t="shared" si="11"/>
        <v>2024-01</v>
      </c>
    </row>
    <row r="751" spans="1:9" ht="15" customHeight="1" x14ac:dyDescent="0.25">
      <c r="A751">
        <v>750</v>
      </c>
      <c r="B751">
        <v>3</v>
      </c>
      <c r="C751" t="s">
        <v>43</v>
      </c>
      <c r="D751">
        <v>480</v>
      </c>
      <c r="E751">
        <v>166</v>
      </c>
      <c r="F751" t="s">
        <v>27</v>
      </c>
      <c r="G751">
        <v>595</v>
      </c>
      <c r="H751">
        <v>9</v>
      </c>
      <c r="I751" t="str">
        <f t="shared" si="11"/>
        <v>2024-01</v>
      </c>
    </row>
    <row r="752" spans="1:9" ht="15" customHeight="1" x14ac:dyDescent="0.25">
      <c r="A752">
        <v>751</v>
      </c>
      <c r="B752">
        <v>3</v>
      </c>
      <c r="C752" t="s">
        <v>44</v>
      </c>
      <c r="D752">
        <v>480</v>
      </c>
      <c r="E752">
        <v>68</v>
      </c>
      <c r="F752" t="s">
        <v>27</v>
      </c>
      <c r="G752">
        <v>713</v>
      </c>
      <c r="H752">
        <v>9</v>
      </c>
      <c r="I752" t="str">
        <f t="shared" si="11"/>
        <v>2024-01</v>
      </c>
    </row>
    <row r="753" spans="1:9" ht="15" customHeight="1" x14ac:dyDescent="0.25">
      <c r="A753">
        <v>752</v>
      </c>
      <c r="B753">
        <v>3</v>
      </c>
      <c r="C753" t="s">
        <v>46</v>
      </c>
      <c r="D753">
        <v>480</v>
      </c>
      <c r="E753">
        <v>53</v>
      </c>
      <c r="F753" t="s">
        <v>22</v>
      </c>
      <c r="G753">
        <v>793</v>
      </c>
      <c r="H753">
        <v>13</v>
      </c>
      <c r="I753" t="str">
        <f t="shared" si="11"/>
        <v>2024-01</v>
      </c>
    </row>
    <row r="754" spans="1:9" ht="15" customHeight="1" x14ac:dyDescent="0.25">
      <c r="A754">
        <v>753</v>
      </c>
      <c r="B754">
        <v>3</v>
      </c>
      <c r="C754" t="s">
        <v>47</v>
      </c>
      <c r="D754">
        <v>480</v>
      </c>
      <c r="E754">
        <v>209</v>
      </c>
      <c r="F754" t="s">
        <v>24</v>
      </c>
      <c r="G754">
        <v>470</v>
      </c>
      <c r="H754">
        <v>8</v>
      </c>
      <c r="I754" t="str">
        <f t="shared" si="11"/>
        <v>2024-01</v>
      </c>
    </row>
    <row r="755" spans="1:9" ht="15" customHeight="1" x14ac:dyDescent="0.25">
      <c r="A755">
        <v>754</v>
      </c>
      <c r="B755">
        <v>3</v>
      </c>
      <c r="C755" t="s">
        <v>48</v>
      </c>
      <c r="D755">
        <v>480</v>
      </c>
      <c r="E755">
        <v>93</v>
      </c>
      <c r="F755" t="s">
        <v>24</v>
      </c>
      <c r="G755">
        <v>693</v>
      </c>
      <c r="H755">
        <v>12</v>
      </c>
      <c r="I755" t="str">
        <f t="shared" si="11"/>
        <v>2024-01</v>
      </c>
    </row>
    <row r="756" spans="1:9" ht="15" customHeight="1" x14ac:dyDescent="0.25">
      <c r="A756">
        <v>755</v>
      </c>
      <c r="B756">
        <v>3</v>
      </c>
      <c r="C756" t="s">
        <v>49</v>
      </c>
      <c r="D756">
        <v>480</v>
      </c>
      <c r="E756">
        <v>25</v>
      </c>
      <c r="F756" t="s">
        <v>27</v>
      </c>
      <c r="G756">
        <v>801</v>
      </c>
      <c r="H756">
        <v>7</v>
      </c>
      <c r="I756" t="str">
        <f t="shared" si="11"/>
        <v>2024-01</v>
      </c>
    </row>
    <row r="757" spans="1:9" ht="15" customHeight="1" x14ac:dyDescent="0.25">
      <c r="A757">
        <v>756</v>
      </c>
      <c r="B757">
        <v>3</v>
      </c>
      <c r="C757" t="s">
        <v>50</v>
      </c>
      <c r="D757">
        <v>480</v>
      </c>
      <c r="E757">
        <v>45</v>
      </c>
      <c r="F757" t="s">
        <v>27</v>
      </c>
      <c r="G757">
        <v>762</v>
      </c>
      <c r="H757">
        <v>13</v>
      </c>
      <c r="I757" t="str">
        <f t="shared" si="11"/>
        <v>2024-01</v>
      </c>
    </row>
    <row r="758" spans="1:9" ht="15" customHeight="1" x14ac:dyDescent="0.25">
      <c r="A758">
        <v>757</v>
      </c>
      <c r="B758">
        <v>3</v>
      </c>
      <c r="C758" t="s">
        <v>51</v>
      </c>
      <c r="D758">
        <v>480</v>
      </c>
      <c r="E758">
        <v>282</v>
      </c>
      <c r="F758" t="s">
        <v>24</v>
      </c>
      <c r="G758">
        <v>355</v>
      </c>
      <c r="H758">
        <v>6</v>
      </c>
      <c r="I758" t="str">
        <f t="shared" si="11"/>
        <v>2024-01</v>
      </c>
    </row>
    <row r="759" spans="1:9" ht="15" customHeight="1" x14ac:dyDescent="0.25">
      <c r="A759">
        <v>758</v>
      </c>
      <c r="B759">
        <v>3</v>
      </c>
      <c r="C759" t="s">
        <v>52</v>
      </c>
      <c r="D759">
        <v>480</v>
      </c>
      <c r="E759">
        <v>66</v>
      </c>
      <c r="F759" t="s">
        <v>33</v>
      </c>
      <c r="G759">
        <v>748</v>
      </c>
      <c r="H759">
        <v>6</v>
      </c>
      <c r="I759" t="str">
        <f t="shared" si="11"/>
        <v>2024-01</v>
      </c>
    </row>
    <row r="760" spans="1:9" ht="15" customHeight="1" x14ac:dyDescent="0.25">
      <c r="A760">
        <v>759</v>
      </c>
      <c r="B760">
        <v>3</v>
      </c>
      <c r="C760" t="s">
        <v>53</v>
      </c>
      <c r="D760">
        <v>480</v>
      </c>
      <c r="E760">
        <v>27</v>
      </c>
      <c r="F760" t="s">
        <v>22</v>
      </c>
      <c r="G760">
        <v>772</v>
      </c>
      <c r="H760">
        <v>11</v>
      </c>
      <c r="I760" t="str">
        <f t="shared" si="11"/>
        <v>2024-01</v>
      </c>
    </row>
    <row r="761" spans="1:9" ht="15" customHeight="1" x14ac:dyDescent="0.25">
      <c r="A761">
        <v>760</v>
      </c>
      <c r="B761">
        <v>3</v>
      </c>
      <c r="C761" t="s">
        <v>54</v>
      </c>
      <c r="D761">
        <v>480</v>
      </c>
      <c r="E761">
        <v>4</v>
      </c>
      <c r="F761" t="s">
        <v>45</v>
      </c>
      <c r="G761">
        <v>773</v>
      </c>
      <c r="H761">
        <v>9</v>
      </c>
      <c r="I761" t="str">
        <f t="shared" si="11"/>
        <v>2024-01</v>
      </c>
    </row>
    <row r="762" spans="1:9" ht="15" customHeight="1" x14ac:dyDescent="0.25">
      <c r="A762">
        <v>761</v>
      </c>
      <c r="B762">
        <v>3</v>
      </c>
      <c r="C762" t="s">
        <v>55</v>
      </c>
      <c r="D762">
        <v>480</v>
      </c>
      <c r="E762">
        <v>334</v>
      </c>
      <c r="F762" t="s">
        <v>24</v>
      </c>
      <c r="G762">
        <v>247</v>
      </c>
      <c r="H762">
        <v>3</v>
      </c>
      <c r="I762" t="str">
        <f t="shared" si="11"/>
        <v>2024-01</v>
      </c>
    </row>
    <row r="763" spans="1:9" ht="15" customHeight="1" x14ac:dyDescent="0.25">
      <c r="A763">
        <v>762</v>
      </c>
      <c r="B763">
        <v>3</v>
      </c>
      <c r="C763" t="s">
        <v>56</v>
      </c>
      <c r="D763">
        <v>480</v>
      </c>
      <c r="E763">
        <v>20</v>
      </c>
      <c r="F763" t="s">
        <v>22</v>
      </c>
      <c r="G763">
        <v>827</v>
      </c>
      <c r="H763">
        <v>10</v>
      </c>
      <c r="I763" t="str">
        <f t="shared" si="11"/>
        <v>2024-01</v>
      </c>
    </row>
    <row r="764" spans="1:9" ht="15" customHeight="1" x14ac:dyDescent="0.25">
      <c r="A764">
        <v>763</v>
      </c>
      <c r="B764">
        <v>3</v>
      </c>
      <c r="C764" t="s">
        <v>57</v>
      </c>
      <c r="D764">
        <v>480</v>
      </c>
      <c r="E764">
        <v>21</v>
      </c>
      <c r="F764" t="s">
        <v>45</v>
      </c>
      <c r="G764">
        <v>809</v>
      </c>
      <c r="H764">
        <v>6</v>
      </c>
      <c r="I764" t="str">
        <f t="shared" si="11"/>
        <v>2024-01</v>
      </c>
    </row>
    <row r="765" spans="1:9" ht="15" customHeight="1" x14ac:dyDescent="0.25">
      <c r="A765">
        <v>764</v>
      </c>
      <c r="B765">
        <v>3</v>
      </c>
      <c r="C765" t="s">
        <v>58</v>
      </c>
      <c r="D765">
        <v>480</v>
      </c>
      <c r="E765">
        <v>0</v>
      </c>
      <c r="F765" t="s">
        <v>33</v>
      </c>
      <c r="G765">
        <v>793</v>
      </c>
      <c r="H765">
        <v>6</v>
      </c>
      <c r="I765" t="str">
        <f t="shared" si="11"/>
        <v>2024-02</v>
      </c>
    </row>
    <row r="766" spans="1:9" ht="15" customHeight="1" x14ac:dyDescent="0.25">
      <c r="A766">
        <v>765</v>
      </c>
      <c r="B766">
        <v>3</v>
      </c>
      <c r="C766" t="s">
        <v>59</v>
      </c>
      <c r="D766">
        <v>480</v>
      </c>
      <c r="E766">
        <v>10</v>
      </c>
      <c r="F766" t="s">
        <v>22</v>
      </c>
      <c r="G766">
        <v>798</v>
      </c>
      <c r="H766">
        <v>16</v>
      </c>
      <c r="I766" t="str">
        <f t="shared" si="11"/>
        <v>2024-02</v>
      </c>
    </row>
    <row r="767" spans="1:9" ht="15" customHeight="1" x14ac:dyDescent="0.25">
      <c r="A767">
        <v>766</v>
      </c>
      <c r="B767">
        <v>3</v>
      </c>
      <c r="C767" t="s">
        <v>60</v>
      </c>
      <c r="D767">
        <v>480</v>
      </c>
      <c r="E767">
        <v>79</v>
      </c>
      <c r="F767" t="s">
        <v>27</v>
      </c>
      <c r="G767">
        <v>706</v>
      </c>
      <c r="H767">
        <v>8</v>
      </c>
      <c r="I767" t="str">
        <f t="shared" si="11"/>
        <v>2024-02</v>
      </c>
    </row>
    <row r="768" spans="1:9" ht="15" customHeight="1" x14ac:dyDescent="0.25">
      <c r="A768">
        <v>767</v>
      </c>
      <c r="B768">
        <v>3</v>
      </c>
      <c r="C768" t="s">
        <v>61</v>
      </c>
      <c r="D768">
        <v>480</v>
      </c>
      <c r="E768">
        <v>252</v>
      </c>
      <c r="F768" t="s">
        <v>22</v>
      </c>
      <c r="G768">
        <v>392</v>
      </c>
      <c r="H768">
        <v>3</v>
      </c>
      <c r="I768" t="str">
        <f t="shared" si="11"/>
        <v>2024-02</v>
      </c>
    </row>
    <row r="769" spans="1:9" ht="15" customHeight="1" x14ac:dyDescent="0.25">
      <c r="A769">
        <v>768</v>
      </c>
      <c r="B769">
        <v>3</v>
      </c>
      <c r="C769" t="s">
        <v>62</v>
      </c>
      <c r="D769">
        <v>480</v>
      </c>
      <c r="E769">
        <v>90</v>
      </c>
      <c r="F769" t="s">
        <v>29</v>
      </c>
      <c r="G769">
        <v>629</v>
      </c>
      <c r="H769">
        <v>8</v>
      </c>
      <c r="I769" t="str">
        <f t="shared" si="11"/>
        <v>2024-02</v>
      </c>
    </row>
    <row r="770" spans="1:9" ht="15" customHeight="1" x14ac:dyDescent="0.25">
      <c r="A770">
        <v>769</v>
      </c>
      <c r="B770">
        <v>3</v>
      </c>
      <c r="C770" t="s">
        <v>63</v>
      </c>
      <c r="D770">
        <v>480</v>
      </c>
      <c r="E770">
        <v>66</v>
      </c>
      <c r="F770" t="s">
        <v>33</v>
      </c>
      <c r="G770">
        <v>784</v>
      </c>
      <c r="H770">
        <v>12</v>
      </c>
      <c r="I770" t="str">
        <f t="shared" ref="I770:I833" si="12">TEXT(C770,"yyyy-mm")</f>
        <v>2024-02</v>
      </c>
    </row>
    <row r="771" spans="1:9" ht="15" customHeight="1" x14ac:dyDescent="0.25">
      <c r="A771">
        <v>770</v>
      </c>
      <c r="B771">
        <v>3</v>
      </c>
      <c r="C771" t="s">
        <v>64</v>
      </c>
      <c r="D771">
        <v>480</v>
      </c>
      <c r="E771">
        <v>114</v>
      </c>
      <c r="F771" t="s">
        <v>45</v>
      </c>
      <c r="G771">
        <v>709</v>
      </c>
      <c r="H771">
        <v>6</v>
      </c>
      <c r="I771" t="str">
        <f t="shared" si="12"/>
        <v>2024-02</v>
      </c>
    </row>
    <row r="772" spans="1:9" ht="15" customHeight="1" x14ac:dyDescent="0.25">
      <c r="A772">
        <v>771</v>
      </c>
      <c r="B772">
        <v>3</v>
      </c>
      <c r="C772" t="s">
        <v>65</v>
      </c>
      <c r="D772">
        <v>480</v>
      </c>
      <c r="E772">
        <v>30</v>
      </c>
      <c r="F772" t="s">
        <v>24</v>
      </c>
      <c r="G772">
        <v>773</v>
      </c>
      <c r="H772">
        <v>11</v>
      </c>
      <c r="I772" t="str">
        <f t="shared" si="12"/>
        <v>2024-02</v>
      </c>
    </row>
    <row r="773" spans="1:9" ht="15" customHeight="1" x14ac:dyDescent="0.25">
      <c r="A773">
        <v>772</v>
      </c>
      <c r="B773">
        <v>3</v>
      </c>
      <c r="C773" t="s">
        <v>66</v>
      </c>
      <c r="D773">
        <v>480</v>
      </c>
      <c r="E773">
        <v>49</v>
      </c>
      <c r="F773" t="s">
        <v>27</v>
      </c>
      <c r="G773">
        <v>822</v>
      </c>
      <c r="H773">
        <v>15</v>
      </c>
      <c r="I773" t="str">
        <f t="shared" si="12"/>
        <v>2024-02</v>
      </c>
    </row>
    <row r="774" spans="1:9" ht="15" customHeight="1" x14ac:dyDescent="0.25">
      <c r="A774">
        <v>773</v>
      </c>
      <c r="B774">
        <v>3</v>
      </c>
      <c r="C774" t="s">
        <v>67</v>
      </c>
      <c r="D774">
        <v>480</v>
      </c>
      <c r="E774">
        <v>88</v>
      </c>
      <c r="F774" t="s">
        <v>45</v>
      </c>
      <c r="G774">
        <v>661</v>
      </c>
      <c r="H774">
        <v>13</v>
      </c>
      <c r="I774" t="str">
        <f t="shared" si="12"/>
        <v>2024-02</v>
      </c>
    </row>
    <row r="775" spans="1:9" ht="15" customHeight="1" x14ac:dyDescent="0.25">
      <c r="A775">
        <v>774</v>
      </c>
      <c r="B775">
        <v>3</v>
      </c>
      <c r="C775" t="s">
        <v>68</v>
      </c>
      <c r="D775">
        <v>480</v>
      </c>
      <c r="E775">
        <v>291</v>
      </c>
      <c r="F775" t="s">
        <v>24</v>
      </c>
      <c r="G775">
        <v>354</v>
      </c>
      <c r="H775">
        <v>2</v>
      </c>
      <c r="I775" t="str">
        <f t="shared" si="12"/>
        <v>2024-02</v>
      </c>
    </row>
    <row r="776" spans="1:9" ht="15" customHeight="1" x14ac:dyDescent="0.25">
      <c r="A776">
        <v>775</v>
      </c>
      <c r="B776">
        <v>3</v>
      </c>
      <c r="C776" t="s">
        <v>69</v>
      </c>
      <c r="D776">
        <v>480</v>
      </c>
      <c r="E776">
        <v>95</v>
      </c>
      <c r="F776" t="s">
        <v>29</v>
      </c>
      <c r="G776">
        <v>612</v>
      </c>
      <c r="H776">
        <v>7</v>
      </c>
      <c r="I776" t="str">
        <f t="shared" si="12"/>
        <v>2024-02</v>
      </c>
    </row>
    <row r="777" spans="1:9" ht="15" customHeight="1" x14ac:dyDescent="0.25">
      <c r="A777">
        <v>776</v>
      </c>
      <c r="B777">
        <v>3</v>
      </c>
      <c r="C777" t="s">
        <v>70</v>
      </c>
      <c r="D777">
        <v>480</v>
      </c>
      <c r="E777">
        <v>5</v>
      </c>
      <c r="F777" t="s">
        <v>22</v>
      </c>
      <c r="G777">
        <v>853</v>
      </c>
      <c r="H777">
        <v>15</v>
      </c>
      <c r="I777" t="str">
        <f t="shared" si="12"/>
        <v>2024-02</v>
      </c>
    </row>
    <row r="778" spans="1:9" ht="15" customHeight="1" x14ac:dyDescent="0.25">
      <c r="A778">
        <v>777</v>
      </c>
      <c r="B778">
        <v>3</v>
      </c>
      <c r="C778" t="s">
        <v>71</v>
      </c>
      <c r="D778">
        <v>480</v>
      </c>
      <c r="E778">
        <v>11</v>
      </c>
      <c r="F778" t="s">
        <v>45</v>
      </c>
      <c r="G778">
        <v>804</v>
      </c>
      <c r="H778">
        <v>11</v>
      </c>
      <c r="I778" t="str">
        <f t="shared" si="12"/>
        <v>2024-02</v>
      </c>
    </row>
    <row r="779" spans="1:9" ht="15" customHeight="1" x14ac:dyDescent="0.25">
      <c r="A779">
        <v>778</v>
      </c>
      <c r="B779">
        <v>3</v>
      </c>
      <c r="C779" t="s">
        <v>72</v>
      </c>
      <c r="D779">
        <v>480</v>
      </c>
      <c r="E779">
        <v>43</v>
      </c>
      <c r="F779" t="s">
        <v>27</v>
      </c>
      <c r="G779">
        <v>706</v>
      </c>
      <c r="H779">
        <v>10</v>
      </c>
      <c r="I779" t="str">
        <f t="shared" si="12"/>
        <v>2024-02</v>
      </c>
    </row>
    <row r="780" spans="1:9" ht="15" customHeight="1" x14ac:dyDescent="0.25">
      <c r="A780">
        <v>779</v>
      </c>
      <c r="B780">
        <v>3</v>
      </c>
      <c r="C780" t="s">
        <v>73</v>
      </c>
      <c r="D780">
        <v>480</v>
      </c>
      <c r="E780">
        <v>130</v>
      </c>
      <c r="F780" t="s">
        <v>27</v>
      </c>
      <c r="G780">
        <v>559</v>
      </c>
      <c r="H780">
        <v>5</v>
      </c>
      <c r="I780" t="str">
        <f t="shared" si="12"/>
        <v>2024-02</v>
      </c>
    </row>
    <row r="781" spans="1:9" ht="15" customHeight="1" x14ac:dyDescent="0.25">
      <c r="A781">
        <v>780</v>
      </c>
      <c r="B781">
        <v>3</v>
      </c>
      <c r="C781" t="s">
        <v>74</v>
      </c>
      <c r="D781">
        <v>480</v>
      </c>
      <c r="E781">
        <v>41</v>
      </c>
      <c r="F781" t="s">
        <v>29</v>
      </c>
      <c r="G781">
        <v>843</v>
      </c>
      <c r="H781">
        <v>15</v>
      </c>
      <c r="I781" t="str">
        <f t="shared" si="12"/>
        <v>2024-02</v>
      </c>
    </row>
    <row r="782" spans="1:9" ht="15" customHeight="1" x14ac:dyDescent="0.25">
      <c r="A782">
        <v>781</v>
      </c>
      <c r="B782">
        <v>3</v>
      </c>
      <c r="C782" t="s">
        <v>75</v>
      </c>
      <c r="D782">
        <v>480</v>
      </c>
      <c r="E782">
        <v>106</v>
      </c>
      <c r="F782" t="s">
        <v>33</v>
      </c>
      <c r="G782">
        <v>638</v>
      </c>
      <c r="H782">
        <v>10</v>
      </c>
      <c r="I782" t="str">
        <f t="shared" si="12"/>
        <v>2024-02</v>
      </c>
    </row>
    <row r="783" spans="1:9" ht="15" customHeight="1" x14ac:dyDescent="0.25">
      <c r="A783">
        <v>782</v>
      </c>
      <c r="B783">
        <v>3</v>
      </c>
      <c r="C783" t="s">
        <v>76</v>
      </c>
      <c r="D783">
        <v>480</v>
      </c>
      <c r="E783">
        <v>0</v>
      </c>
      <c r="F783" t="s">
        <v>33</v>
      </c>
      <c r="G783">
        <v>867</v>
      </c>
      <c r="H783">
        <v>19</v>
      </c>
      <c r="I783" t="str">
        <f t="shared" si="12"/>
        <v>2024-02</v>
      </c>
    </row>
    <row r="784" spans="1:9" ht="15" customHeight="1" x14ac:dyDescent="0.25">
      <c r="A784">
        <v>783</v>
      </c>
      <c r="B784">
        <v>3</v>
      </c>
      <c r="C784" t="s">
        <v>77</v>
      </c>
      <c r="D784">
        <v>480</v>
      </c>
      <c r="E784">
        <v>89</v>
      </c>
      <c r="F784" t="s">
        <v>22</v>
      </c>
      <c r="G784">
        <v>741</v>
      </c>
      <c r="H784">
        <v>14</v>
      </c>
      <c r="I784" t="str">
        <f t="shared" si="12"/>
        <v>2024-02</v>
      </c>
    </row>
    <row r="785" spans="1:9" ht="15" customHeight="1" x14ac:dyDescent="0.25">
      <c r="A785">
        <v>784</v>
      </c>
      <c r="B785">
        <v>3</v>
      </c>
      <c r="C785" t="s">
        <v>78</v>
      </c>
      <c r="D785">
        <v>480</v>
      </c>
      <c r="E785">
        <v>12</v>
      </c>
      <c r="F785" t="s">
        <v>45</v>
      </c>
      <c r="G785">
        <v>892</v>
      </c>
      <c r="H785">
        <v>7</v>
      </c>
      <c r="I785" t="str">
        <f t="shared" si="12"/>
        <v>2024-02</v>
      </c>
    </row>
    <row r="786" spans="1:9" ht="15" customHeight="1" x14ac:dyDescent="0.25">
      <c r="A786">
        <v>785</v>
      </c>
      <c r="B786">
        <v>3</v>
      </c>
      <c r="C786" t="s">
        <v>79</v>
      </c>
      <c r="D786">
        <v>480</v>
      </c>
      <c r="E786">
        <v>71</v>
      </c>
      <c r="F786" t="s">
        <v>24</v>
      </c>
      <c r="G786">
        <v>664</v>
      </c>
      <c r="H786">
        <v>5</v>
      </c>
      <c r="I786" t="str">
        <f t="shared" si="12"/>
        <v>2024-02</v>
      </c>
    </row>
    <row r="787" spans="1:9" ht="15" customHeight="1" x14ac:dyDescent="0.25">
      <c r="A787">
        <v>786</v>
      </c>
      <c r="B787">
        <v>3</v>
      </c>
      <c r="C787" t="s">
        <v>80</v>
      </c>
      <c r="D787">
        <v>480</v>
      </c>
      <c r="E787">
        <v>51</v>
      </c>
      <c r="F787" t="s">
        <v>45</v>
      </c>
      <c r="G787">
        <v>721</v>
      </c>
      <c r="H787">
        <v>11</v>
      </c>
      <c r="I787" t="str">
        <f t="shared" si="12"/>
        <v>2024-02</v>
      </c>
    </row>
    <row r="788" spans="1:9" ht="15" customHeight="1" x14ac:dyDescent="0.25">
      <c r="A788">
        <v>787</v>
      </c>
      <c r="B788">
        <v>3</v>
      </c>
      <c r="C788" t="s">
        <v>81</v>
      </c>
      <c r="D788">
        <v>480</v>
      </c>
      <c r="E788">
        <v>81</v>
      </c>
      <c r="F788" t="s">
        <v>22</v>
      </c>
      <c r="G788">
        <v>633</v>
      </c>
      <c r="H788">
        <v>6</v>
      </c>
      <c r="I788" t="str">
        <f t="shared" si="12"/>
        <v>2024-02</v>
      </c>
    </row>
    <row r="789" spans="1:9" ht="15" customHeight="1" x14ac:dyDescent="0.25">
      <c r="A789">
        <v>788</v>
      </c>
      <c r="B789">
        <v>3</v>
      </c>
      <c r="C789" t="s">
        <v>82</v>
      </c>
      <c r="D789">
        <v>480</v>
      </c>
      <c r="E789">
        <v>76</v>
      </c>
      <c r="F789" t="s">
        <v>24</v>
      </c>
      <c r="G789">
        <v>686</v>
      </c>
      <c r="H789">
        <v>13</v>
      </c>
      <c r="I789" t="str">
        <f t="shared" si="12"/>
        <v>2024-02</v>
      </c>
    </row>
    <row r="790" spans="1:9" ht="15" customHeight="1" x14ac:dyDescent="0.25">
      <c r="A790">
        <v>789</v>
      </c>
      <c r="B790">
        <v>3</v>
      </c>
      <c r="C790" t="s">
        <v>83</v>
      </c>
      <c r="D790">
        <v>480</v>
      </c>
      <c r="E790">
        <v>99</v>
      </c>
      <c r="F790" t="s">
        <v>24</v>
      </c>
      <c r="G790">
        <v>718</v>
      </c>
      <c r="H790">
        <v>13</v>
      </c>
      <c r="I790" t="str">
        <f t="shared" si="12"/>
        <v>2024-02</v>
      </c>
    </row>
    <row r="791" spans="1:9" ht="15" customHeight="1" x14ac:dyDescent="0.25">
      <c r="A791">
        <v>790</v>
      </c>
      <c r="B791">
        <v>3</v>
      </c>
      <c r="C791" t="s">
        <v>84</v>
      </c>
      <c r="D791">
        <v>480</v>
      </c>
      <c r="E791">
        <v>52</v>
      </c>
      <c r="F791" t="s">
        <v>45</v>
      </c>
      <c r="G791">
        <v>779</v>
      </c>
      <c r="H791">
        <v>9</v>
      </c>
      <c r="I791" t="str">
        <f t="shared" si="12"/>
        <v>2024-02</v>
      </c>
    </row>
    <row r="792" spans="1:9" ht="15" customHeight="1" x14ac:dyDescent="0.25">
      <c r="A792">
        <v>791</v>
      </c>
      <c r="B792">
        <v>3</v>
      </c>
      <c r="C792" t="s">
        <v>85</v>
      </c>
      <c r="D792">
        <v>480</v>
      </c>
      <c r="E792">
        <v>34</v>
      </c>
      <c r="F792" t="s">
        <v>24</v>
      </c>
      <c r="G792">
        <v>831</v>
      </c>
      <c r="H792">
        <v>12</v>
      </c>
      <c r="I792" t="str">
        <f t="shared" si="12"/>
        <v>2024-02</v>
      </c>
    </row>
    <row r="793" spans="1:9" ht="15" customHeight="1" x14ac:dyDescent="0.25">
      <c r="A793">
        <v>792</v>
      </c>
      <c r="B793">
        <v>3</v>
      </c>
      <c r="C793" t="s">
        <v>86</v>
      </c>
      <c r="D793">
        <v>480</v>
      </c>
      <c r="E793">
        <v>150</v>
      </c>
      <c r="F793" t="s">
        <v>24</v>
      </c>
      <c r="G793">
        <v>619</v>
      </c>
      <c r="H793">
        <v>13</v>
      </c>
      <c r="I793" t="str">
        <f t="shared" si="12"/>
        <v>2024-02</v>
      </c>
    </row>
    <row r="794" spans="1:9" ht="15" customHeight="1" x14ac:dyDescent="0.25">
      <c r="A794">
        <v>793</v>
      </c>
      <c r="B794">
        <v>3</v>
      </c>
      <c r="C794" t="s">
        <v>87</v>
      </c>
      <c r="D794">
        <v>480</v>
      </c>
      <c r="E794">
        <v>233</v>
      </c>
      <c r="F794" t="s">
        <v>29</v>
      </c>
      <c r="G794">
        <v>427</v>
      </c>
      <c r="H794">
        <v>5</v>
      </c>
      <c r="I794" t="str">
        <f t="shared" si="12"/>
        <v>2024-03</v>
      </c>
    </row>
    <row r="795" spans="1:9" ht="15" customHeight="1" x14ac:dyDescent="0.25">
      <c r="A795">
        <v>794</v>
      </c>
      <c r="B795">
        <v>3</v>
      </c>
      <c r="C795" t="s">
        <v>88</v>
      </c>
      <c r="D795">
        <v>480</v>
      </c>
      <c r="E795">
        <v>82</v>
      </c>
      <c r="F795" t="s">
        <v>24</v>
      </c>
      <c r="G795">
        <v>680</v>
      </c>
      <c r="H795">
        <v>11</v>
      </c>
      <c r="I795" t="str">
        <f t="shared" si="12"/>
        <v>2024-03</v>
      </c>
    </row>
    <row r="796" spans="1:9" ht="15" customHeight="1" x14ac:dyDescent="0.25">
      <c r="A796">
        <v>795</v>
      </c>
      <c r="B796">
        <v>3</v>
      </c>
      <c r="C796" t="s">
        <v>89</v>
      </c>
      <c r="D796">
        <v>480</v>
      </c>
      <c r="E796">
        <v>115</v>
      </c>
      <c r="F796" t="s">
        <v>29</v>
      </c>
      <c r="G796">
        <v>666</v>
      </c>
      <c r="H796">
        <v>9</v>
      </c>
      <c r="I796" t="str">
        <f t="shared" si="12"/>
        <v>2024-03</v>
      </c>
    </row>
    <row r="797" spans="1:9" ht="15" customHeight="1" x14ac:dyDescent="0.25">
      <c r="A797">
        <v>796</v>
      </c>
      <c r="B797">
        <v>3</v>
      </c>
      <c r="C797" t="s">
        <v>90</v>
      </c>
      <c r="D797">
        <v>480</v>
      </c>
      <c r="E797">
        <v>17</v>
      </c>
      <c r="F797" t="s">
        <v>27</v>
      </c>
      <c r="G797">
        <v>801</v>
      </c>
      <c r="H797">
        <v>7</v>
      </c>
      <c r="I797" t="str">
        <f t="shared" si="12"/>
        <v>2024-03</v>
      </c>
    </row>
    <row r="798" spans="1:9" ht="15" customHeight="1" x14ac:dyDescent="0.25">
      <c r="A798">
        <v>797</v>
      </c>
      <c r="B798">
        <v>3</v>
      </c>
      <c r="C798" t="s">
        <v>91</v>
      </c>
      <c r="D798">
        <v>480</v>
      </c>
      <c r="E798">
        <v>207</v>
      </c>
      <c r="F798" t="s">
        <v>27</v>
      </c>
      <c r="G798">
        <v>464</v>
      </c>
      <c r="H798">
        <v>4</v>
      </c>
      <c r="I798" t="str">
        <f t="shared" si="12"/>
        <v>2024-03</v>
      </c>
    </row>
    <row r="799" spans="1:9" ht="15" customHeight="1" x14ac:dyDescent="0.25">
      <c r="A799">
        <v>798</v>
      </c>
      <c r="B799">
        <v>3</v>
      </c>
      <c r="C799" t="s">
        <v>92</v>
      </c>
      <c r="D799">
        <v>480</v>
      </c>
      <c r="E799">
        <v>2</v>
      </c>
      <c r="F799" t="s">
        <v>45</v>
      </c>
      <c r="G799">
        <v>865</v>
      </c>
      <c r="H799">
        <v>15</v>
      </c>
      <c r="I799" t="str">
        <f t="shared" si="12"/>
        <v>2024-03</v>
      </c>
    </row>
    <row r="800" spans="1:9" ht="15" customHeight="1" x14ac:dyDescent="0.25">
      <c r="A800">
        <v>799</v>
      </c>
      <c r="B800">
        <v>3</v>
      </c>
      <c r="C800" t="s">
        <v>93</v>
      </c>
      <c r="D800">
        <v>480</v>
      </c>
      <c r="E800">
        <v>39</v>
      </c>
      <c r="F800" t="s">
        <v>27</v>
      </c>
      <c r="G800">
        <v>705</v>
      </c>
      <c r="H800">
        <v>9</v>
      </c>
      <c r="I800" t="str">
        <f t="shared" si="12"/>
        <v>2024-03</v>
      </c>
    </row>
    <row r="801" spans="1:9" ht="15" customHeight="1" x14ac:dyDescent="0.25">
      <c r="A801">
        <v>800</v>
      </c>
      <c r="B801">
        <v>3</v>
      </c>
      <c r="C801" t="s">
        <v>94</v>
      </c>
      <c r="D801">
        <v>480</v>
      </c>
      <c r="E801">
        <v>35</v>
      </c>
      <c r="F801" t="s">
        <v>24</v>
      </c>
      <c r="G801">
        <v>811</v>
      </c>
      <c r="H801">
        <v>13</v>
      </c>
      <c r="I801" t="str">
        <f t="shared" si="12"/>
        <v>2024-03</v>
      </c>
    </row>
    <row r="802" spans="1:9" ht="15" customHeight="1" x14ac:dyDescent="0.25">
      <c r="A802">
        <v>801</v>
      </c>
      <c r="B802">
        <v>3</v>
      </c>
      <c r="C802" t="s">
        <v>95</v>
      </c>
      <c r="D802">
        <v>480</v>
      </c>
      <c r="E802">
        <v>42</v>
      </c>
      <c r="F802" t="s">
        <v>33</v>
      </c>
      <c r="G802">
        <v>724</v>
      </c>
      <c r="H802">
        <v>16</v>
      </c>
      <c r="I802" t="str">
        <f t="shared" si="12"/>
        <v>2024-03</v>
      </c>
    </row>
    <row r="803" spans="1:9" ht="15" customHeight="1" x14ac:dyDescent="0.25">
      <c r="A803">
        <v>802</v>
      </c>
      <c r="B803">
        <v>3</v>
      </c>
      <c r="C803" t="s">
        <v>96</v>
      </c>
      <c r="D803">
        <v>480</v>
      </c>
      <c r="E803">
        <v>56</v>
      </c>
      <c r="F803" t="s">
        <v>29</v>
      </c>
      <c r="G803">
        <v>774</v>
      </c>
      <c r="H803">
        <v>7</v>
      </c>
      <c r="I803" t="str">
        <f t="shared" si="12"/>
        <v>2024-03</v>
      </c>
    </row>
    <row r="804" spans="1:9" ht="15" customHeight="1" x14ac:dyDescent="0.25">
      <c r="A804">
        <v>803</v>
      </c>
      <c r="B804">
        <v>3</v>
      </c>
      <c r="C804" t="s">
        <v>97</v>
      </c>
      <c r="D804">
        <v>480</v>
      </c>
      <c r="E804">
        <v>62</v>
      </c>
      <c r="F804" t="s">
        <v>22</v>
      </c>
      <c r="G804">
        <v>661</v>
      </c>
      <c r="H804">
        <v>10</v>
      </c>
      <c r="I804" t="str">
        <f t="shared" si="12"/>
        <v>2024-03</v>
      </c>
    </row>
    <row r="805" spans="1:9" ht="15" customHeight="1" x14ac:dyDescent="0.25">
      <c r="A805">
        <v>804</v>
      </c>
      <c r="B805">
        <v>3</v>
      </c>
      <c r="C805" t="s">
        <v>98</v>
      </c>
      <c r="D805">
        <v>480</v>
      </c>
      <c r="E805">
        <v>312</v>
      </c>
      <c r="F805" t="s">
        <v>22</v>
      </c>
      <c r="G805">
        <v>288</v>
      </c>
      <c r="H805">
        <v>2</v>
      </c>
      <c r="I805" t="str">
        <f t="shared" si="12"/>
        <v>2024-03</v>
      </c>
    </row>
    <row r="806" spans="1:9" ht="15" customHeight="1" x14ac:dyDescent="0.25">
      <c r="A806">
        <v>805</v>
      </c>
      <c r="B806">
        <v>3</v>
      </c>
      <c r="C806" t="s">
        <v>99</v>
      </c>
      <c r="D806">
        <v>480</v>
      </c>
      <c r="E806">
        <v>2</v>
      </c>
      <c r="F806" t="s">
        <v>24</v>
      </c>
      <c r="G806">
        <v>820</v>
      </c>
      <c r="H806">
        <v>8</v>
      </c>
      <c r="I806" t="str">
        <f t="shared" si="12"/>
        <v>2024-03</v>
      </c>
    </row>
    <row r="807" spans="1:9" ht="15" customHeight="1" x14ac:dyDescent="0.25">
      <c r="A807">
        <v>806</v>
      </c>
      <c r="B807">
        <v>3</v>
      </c>
      <c r="C807" t="s">
        <v>100</v>
      </c>
      <c r="D807">
        <v>480</v>
      </c>
      <c r="E807">
        <v>2</v>
      </c>
      <c r="F807" t="s">
        <v>29</v>
      </c>
      <c r="G807">
        <v>885</v>
      </c>
      <c r="H807">
        <v>13</v>
      </c>
      <c r="I807" t="str">
        <f t="shared" si="12"/>
        <v>2024-03</v>
      </c>
    </row>
    <row r="808" spans="1:9" ht="15" customHeight="1" x14ac:dyDescent="0.25">
      <c r="A808">
        <v>807</v>
      </c>
      <c r="B808">
        <v>3</v>
      </c>
      <c r="C808" t="s">
        <v>101</v>
      </c>
      <c r="D808">
        <v>480</v>
      </c>
      <c r="E808">
        <v>32</v>
      </c>
      <c r="F808" t="s">
        <v>22</v>
      </c>
      <c r="G808">
        <v>853</v>
      </c>
      <c r="H808">
        <v>8</v>
      </c>
      <c r="I808" t="str">
        <f t="shared" si="12"/>
        <v>2024-03</v>
      </c>
    </row>
    <row r="809" spans="1:9" ht="15" customHeight="1" x14ac:dyDescent="0.25">
      <c r="A809">
        <v>808</v>
      </c>
      <c r="B809">
        <v>3</v>
      </c>
      <c r="C809" t="s">
        <v>102</v>
      </c>
      <c r="D809">
        <v>480</v>
      </c>
      <c r="E809">
        <v>293</v>
      </c>
      <c r="F809" t="s">
        <v>27</v>
      </c>
      <c r="G809">
        <v>315</v>
      </c>
      <c r="H809">
        <v>6</v>
      </c>
      <c r="I809" t="str">
        <f t="shared" si="12"/>
        <v>2024-03</v>
      </c>
    </row>
    <row r="810" spans="1:9" ht="15" customHeight="1" x14ac:dyDescent="0.25">
      <c r="A810">
        <v>809</v>
      </c>
      <c r="B810">
        <v>3</v>
      </c>
      <c r="C810" t="s">
        <v>103</v>
      </c>
      <c r="D810">
        <v>480</v>
      </c>
      <c r="E810">
        <v>86</v>
      </c>
      <c r="F810" t="s">
        <v>27</v>
      </c>
      <c r="G810">
        <v>740</v>
      </c>
      <c r="H810">
        <v>17</v>
      </c>
      <c r="I810" t="str">
        <f t="shared" si="12"/>
        <v>2024-03</v>
      </c>
    </row>
    <row r="811" spans="1:9" ht="15" customHeight="1" x14ac:dyDescent="0.25">
      <c r="A811">
        <v>810</v>
      </c>
      <c r="B811">
        <v>3</v>
      </c>
      <c r="C811" t="s">
        <v>104</v>
      </c>
      <c r="D811">
        <v>480</v>
      </c>
      <c r="E811">
        <v>32</v>
      </c>
      <c r="F811" t="s">
        <v>22</v>
      </c>
      <c r="G811">
        <v>863</v>
      </c>
      <c r="H811">
        <v>11</v>
      </c>
      <c r="I811" t="str">
        <f t="shared" si="12"/>
        <v>2024-03</v>
      </c>
    </row>
    <row r="812" spans="1:9" ht="15" customHeight="1" x14ac:dyDescent="0.25">
      <c r="A812">
        <v>811</v>
      </c>
      <c r="B812">
        <v>3</v>
      </c>
      <c r="C812" t="s">
        <v>105</v>
      </c>
      <c r="D812">
        <v>480</v>
      </c>
      <c r="E812">
        <v>45</v>
      </c>
      <c r="F812" t="s">
        <v>29</v>
      </c>
      <c r="G812">
        <v>738</v>
      </c>
      <c r="H812">
        <v>11</v>
      </c>
      <c r="I812" t="str">
        <f t="shared" si="12"/>
        <v>2024-03</v>
      </c>
    </row>
    <row r="813" spans="1:9" ht="15" customHeight="1" x14ac:dyDescent="0.25">
      <c r="A813">
        <v>812</v>
      </c>
      <c r="B813">
        <v>3</v>
      </c>
      <c r="C813" t="s">
        <v>106</v>
      </c>
      <c r="D813">
        <v>480</v>
      </c>
      <c r="E813">
        <v>15</v>
      </c>
      <c r="F813" t="s">
        <v>45</v>
      </c>
      <c r="G813">
        <v>826</v>
      </c>
      <c r="H813">
        <v>13</v>
      </c>
      <c r="I813" t="str">
        <f t="shared" si="12"/>
        <v>2024-03</v>
      </c>
    </row>
    <row r="814" spans="1:9" ht="15" customHeight="1" x14ac:dyDescent="0.25">
      <c r="A814">
        <v>813</v>
      </c>
      <c r="B814">
        <v>3</v>
      </c>
      <c r="C814" t="s">
        <v>107</v>
      </c>
      <c r="D814">
        <v>480</v>
      </c>
      <c r="E814">
        <v>135</v>
      </c>
      <c r="F814" t="s">
        <v>22</v>
      </c>
      <c r="G814">
        <v>648</v>
      </c>
      <c r="H814">
        <v>9</v>
      </c>
      <c r="I814" t="str">
        <f t="shared" si="12"/>
        <v>2024-03</v>
      </c>
    </row>
    <row r="815" spans="1:9" ht="15" customHeight="1" x14ac:dyDescent="0.25">
      <c r="A815">
        <v>814</v>
      </c>
      <c r="B815">
        <v>3</v>
      </c>
      <c r="C815" t="s">
        <v>108</v>
      </c>
      <c r="D815">
        <v>480</v>
      </c>
      <c r="E815">
        <v>33</v>
      </c>
      <c r="F815" t="s">
        <v>24</v>
      </c>
      <c r="G815">
        <v>745</v>
      </c>
      <c r="H815">
        <v>8</v>
      </c>
      <c r="I815" t="str">
        <f t="shared" si="12"/>
        <v>2024-03</v>
      </c>
    </row>
    <row r="816" spans="1:9" ht="15" customHeight="1" x14ac:dyDescent="0.25">
      <c r="A816">
        <v>815</v>
      </c>
      <c r="B816">
        <v>3</v>
      </c>
      <c r="C816" t="s">
        <v>109</v>
      </c>
      <c r="D816">
        <v>480</v>
      </c>
      <c r="E816">
        <v>5</v>
      </c>
      <c r="F816" t="s">
        <v>24</v>
      </c>
      <c r="G816">
        <v>807</v>
      </c>
      <c r="H816">
        <v>9</v>
      </c>
      <c r="I816" t="str">
        <f t="shared" si="12"/>
        <v>2024-03</v>
      </c>
    </row>
    <row r="817" spans="1:9" ht="15" customHeight="1" x14ac:dyDescent="0.25">
      <c r="A817">
        <v>816</v>
      </c>
      <c r="B817">
        <v>3</v>
      </c>
      <c r="C817" t="s">
        <v>110</v>
      </c>
      <c r="D817">
        <v>480</v>
      </c>
      <c r="E817">
        <v>319</v>
      </c>
      <c r="F817" t="s">
        <v>27</v>
      </c>
      <c r="G817">
        <v>286</v>
      </c>
      <c r="H817">
        <v>3</v>
      </c>
      <c r="I817" t="str">
        <f t="shared" si="12"/>
        <v>2024-03</v>
      </c>
    </row>
    <row r="818" spans="1:9" ht="15" customHeight="1" x14ac:dyDescent="0.25">
      <c r="A818">
        <v>817</v>
      </c>
      <c r="B818">
        <v>3</v>
      </c>
      <c r="C818" t="s">
        <v>111</v>
      </c>
      <c r="D818">
        <v>480</v>
      </c>
      <c r="E818">
        <v>81</v>
      </c>
      <c r="F818" t="s">
        <v>22</v>
      </c>
      <c r="G818">
        <v>647</v>
      </c>
      <c r="H818">
        <v>9</v>
      </c>
      <c r="I818" t="str">
        <f t="shared" si="12"/>
        <v>2024-03</v>
      </c>
    </row>
    <row r="819" spans="1:9" ht="15" customHeight="1" x14ac:dyDescent="0.25">
      <c r="A819">
        <v>818</v>
      </c>
      <c r="B819">
        <v>3</v>
      </c>
      <c r="C819" t="s">
        <v>112</v>
      </c>
      <c r="D819">
        <v>480</v>
      </c>
      <c r="E819">
        <v>92</v>
      </c>
      <c r="F819" t="s">
        <v>22</v>
      </c>
      <c r="G819">
        <v>680</v>
      </c>
      <c r="H819">
        <v>9</v>
      </c>
      <c r="I819" t="str">
        <f t="shared" si="12"/>
        <v>2024-03</v>
      </c>
    </row>
    <row r="820" spans="1:9" ht="15" customHeight="1" x14ac:dyDescent="0.25">
      <c r="A820">
        <v>819</v>
      </c>
      <c r="B820">
        <v>3</v>
      </c>
      <c r="C820" t="s">
        <v>113</v>
      </c>
      <c r="D820">
        <v>480</v>
      </c>
      <c r="E820">
        <v>479</v>
      </c>
      <c r="F820" t="s">
        <v>45</v>
      </c>
      <c r="G820">
        <v>1</v>
      </c>
      <c r="H820">
        <v>0</v>
      </c>
      <c r="I820" t="str">
        <f t="shared" si="12"/>
        <v>2024-03</v>
      </c>
    </row>
    <row r="821" spans="1:9" ht="15" customHeight="1" x14ac:dyDescent="0.25">
      <c r="A821">
        <v>820</v>
      </c>
      <c r="B821">
        <v>3</v>
      </c>
      <c r="C821" t="s">
        <v>114</v>
      </c>
      <c r="D821">
        <v>480</v>
      </c>
      <c r="E821">
        <v>79</v>
      </c>
      <c r="F821" t="s">
        <v>45</v>
      </c>
      <c r="G821">
        <v>722</v>
      </c>
      <c r="H821">
        <v>7</v>
      </c>
      <c r="I821" t="str">
        <f t="shared" si="12"/>
        <v>2024-03</v>
      </c>
    </row>
    <row r="822" spans="1:9" ht="15" customHeight="1" x14ac:dyDescent="0.25">
      <c r="A822">
        <v>821</v>
      </c>
      <c r="B822">
        <v>3</v>
      </c>
      <c r="C822" t="s">
        <v>115</v>
      </c>
      <c r="D822">
        <v>480</v>
      </c>
      <c r="E822">
        <v>47</v>
      </c>
      <c r="F822" t="s">
        <v>22</v>
      </c>
      <c r="G822">
        <v>687</v>
      </c>
      <c r="H822">
        <v>10</v>
      </c>
      <c r="I822" t="str">
        <f t="shared" si="12"/>
        <v>2024-03</v>
      </c>
    </row>
    <row r="823" spans="1:9" ht="15" customHeight="1" x14ac:dyDescent="0.25">
      <c r="A823">
        <v>822</v>
      </c>
      <c r="B823">
        <v>3</v>
      </c>
      <c r="C823" t="s">
        <v>116</v>
      </c>
      <c r="D823">
        <v>480</v>
      </c>
      <c r="E823">
        <v>73</v>
      </c>
      <c r="F823" t="s">
        <v>27</v>
      </c>
      <c r="G823">
        <v>674</v>
      </c>
      <c r="H823">
        <v>15</v>
      </c>
      <c r="I823" t="str">
        <f t="shared" si="12"/>
        <v>2024-03</v>
      </c>
    </row>
    <row r="824" spans="1:9" ht="15" customHeight="1" x14ac:dyDescent="0.25">
      <c r="A824">
        <v>823</v>
      </c>
      <c r="B824">
        <v>3</v>
      </c>
      <c r="C824" t="s">
        <v>117</v>
      </c>
      <c r="D824">
        <v>480</v>
      </c>
      <c r="E824">
        <v>226</v>
      </c>
      <c r="F824" t="s">
        <v>24</v>
      </c>
      <c r="G824">
        <v>467</v>
      </c>
      <c r="H824">
        <v>7</v>
      </c>
      <c r="I824" t="str">
        <f t="shared" si="12"/>
        <v>2024-03</v>
      </c>
    </row>
    <row r="825" spans="1:9" ht="15" customHeight="1" x14ac:dyDescent="0.25">
      <c r="A825">
        <v>824</v>
      </c>
      <c r="B825">
        <v>3</v>
      </c>
      <c r="C825" t="s">
        <v>118</v>
      </c>
      <c r="D825">
        <v>480</v>
      </c>
      <c r="E825">
        <v>191</v>
      </c>
      <c r="F825" t="s">
        <v>33</v>
      </c>
      <c r="G825">
        <v>468</v>
      </c>
      <c r="H825">
        <v>9</v>
      </c>
      <c r="I825" t="str">
        <f t="shared" si="12"/>
        <v>2024-04</v>
      </c>
    </row>
    <row r="826" spans="1:9" ht="15" customHeight="1" x14ac:dyDescent="0.25">
      <c r="A826">
        <v>825</v>
      </c>
      <c r="B826">
        <v>3</v>
      </c>
      <c r="C826" t="s">
        <v>119</v>
      </c>
      <c r="D826">
        <v>480</v>
      </c>
      <c r="E826">
        <v>12</v>
      </c>
      <c r="F826" t="s">
        <v>24</v>
      </c>
      <c r="G826">
        <v>873</v>
      </c>
      <c r="H826">
        <v>10</v>
      </c>
      <c r="I826" t="str">
        <f t="shared" si="12"/>
        <v>2024-04</v>
      </c>
    </row>
    <row r="827" spans="1:9" ht="15" customHeight="1" x14ac:dyDescent="0.25">
      <c r="A827">
        <v>826</v>
      </c>
      <c r="B827">
        <v>3</v>
      </c>
      <c r="C827" t="s">
        <v>120</v>
      </c>
      <c r="D827">
        <v>480</v>
      </c>
      <c r="E827">
        <v>197</v>
      </c>
      <c r="F827" t="s">
        <v>27</v>
      </c>
      <c r="G827">
        <v>543</v>
      </c>
      <c r="H827">
        <v>5</v>
      </c>
      <c r="I827" t="str">
        <f t="shared" si="12"/>
        <v>2024-04</v>
      </c>
    </row>
    <row r="828" spans="1:9" ht="15" customHeight="1" x14ac:dyDescent="0.25">
      <c r="A828">
        <v>827</v>
      </c>
      <c r="B828">
        <v>3</v>
      </c>
      <c r="C828" t="s">
        <v>121</v>
      </c>
      <c r="D828">
        <v>480</v>
      </c>
      <c r="E828">
        <v>58</v>
      </c>
      <c r="F828" t="s">
        <v>29</v>
      </c>
      <c r="G828">
        <v>816</v>
      </c>
      <c r="H828">
        <v>816</v>
      </c>
      <c r="I828" t="str">
        <f t="shared" si="12"/>
        <v>2024-04</v>
      </c>
    </row>
    <row r="829" spans="1:9" ht="15" customHeight="1" x14ac:dyDescent="0.25">
      <c r="A829">
        <v>828</v>
      </c>
      <c r="B829">
        <v>3</v>
      </c>
      <c r="C829" t="s">
        <v>122</v>
      </c>
      <c r="D829">
        <v>480</v>
      </c>
      <c r="E829">
        <v>187</v>
      </c>
      <c r="F829" t="s">
        <v>22</v>
      </c>
      <c r="G829">
        <v>524</v>
      </c>
      <c r="H829">
        <v>7</v>
      </c>
      <c r="I829" t="str">
        <f t="shared" si="12"/>
        <v>2024-04</v>
      </c>
    </row>
    <row r="830" spans="1:9" ht="15" customHeight="1" x14ac:dyDescent="0.25">
      <c r="A830">
        <v>829</v>
      </c>
      <c r="B830">
        <v>3</v>
      </c>
      <c r="C830" t="s">
        <v>123</v>
      </c>
      <c r="D830">
        <v>480</v>
      </c>
      <c r="E830">
        <v>31</v>
      </c>
      <c r="F830" t="s">
        <v>24</v>
      </c>
      <c r="G830">
        <v>739</v>
      </c>
      <c r="H830">
        <v>14</v>
      </c>
      <c r="I830" t="str">
        <f t="shared" si="12"/>
        <v>2024-04</v>
      </c>
    </row>
    <row r="831" spans="1:9" ht="15" customHeight="1" x14ac:dyDescent="0.25">
      <c r="A831">
        <v>830</v>
      </c>
      <c r="B831">
        <v>3</v>
      </c>
      <c r="C831" t="s">
        <v>124</v>
      </c>
      <c r="D831">
        <v>480</v>
      </c>
      <c r="E831">
        <v>45</v>
      </c>
      <c r="F831" t="s">
        <v>27</v>
      </c>
      <c r="G831">
        <v>766</v>
      </c>
      <c r="H831">
        <v>11</v>
      </c>
      <c r="I831" t="str">
        <f t="shared" si="12"/>
        <v>2024-04</v>
      </c>
    </row>
    <row r="832" spans="1:9" ht="15" customHeight="1" x14ac:dyDescent="0.25">
      <c r="A832">
        <v>831</v>
      </c>
      <c r="B832">
        <v>3</v>
      </c>
      <c r="C832" t="s">
        <v>125</v>
      </c>
      <c r="D832">
        <v>480</v>
      </c>
      <c r="E832">
        <v>81</v>
      </c>
      <c r="F832" t="s">
        <v>29</v>
      </c>
      <c r="G832">
        <v>755</v>
      </c>
      <c r="H832">
        <v>17</v>
      </c>
      <c r="I832" t="str">
        <f t="shared" si="12"/>
        <v>2024-04</v>
      </c>
    </row>
    <row r="833" spans="1:9" ht="15" customHeight="1" x14ac:dyDescent="0.25">
      <c r="A833">
        <v>832</v>
      </c>
      <c r="B833">
        <v>3</v>
      </c>
      <c r="C833" t="s">
        <v>126</v>
      </c>
      <c r="D833">
        <v>480</v>
      </c>
      <c r="E833">
        <v>49</v>
      </c>
      <c r="F833" t="s">
        <v>29</v>
      </c>
      <c r="G833">
        <v>809</v>
      </c>
      <c r="H833">
        <v>15</v>
      </c>
      <c r="I833" t="str">
        <f t="shared" si="12"/>
        <v>2024-04</v>
      </c>
    </row>
    <row r="834" spans="1:9" ht="15" customHeight="1" x14ac:dyDescent="0.25">
      <c r="A834">
        <v>833</v>
      </c>
      <c r="B834">
        <v>3</v>
      </c>
      <c r="C834" t="s">
        <v>127</v>
      </c>
      <c r="D834">
        <v>480</v>
      </c>
      <c r="E834">
        <v>80</v>
      </c>
      <c r="F834" t="s">
        <v>27</v>
      </c>
      <c r="G834">
        <v>770</v>
      </c>
      <c r="H834">
        <v>8</v>
      </c>
      <c r="I834" t="str">
        <f t="shared" ref="I834:I897" si="13">TEXT(C834,"yyyy-mm")</f>
        <v>2024-04</v>
      </c>
    </row>
    <row r="835" spans="1:9" ht="15" customHeight="1" x14ac:dyDescent="0.25">
      <c r="A835">
        <v>834</v>
      </c>
      <c r="B835">
        <v>3</v>
      </c>
      <c r="C835" t="s">
        <v>128</v>
      </c>
      <c r="D835">
        <v>480</v>
      </c>
      <c r="E835">
        <v>10</v>
      </c>
      <c r="F835" t="s">
        <v>33</v>
      </c>
      <c r="G835">
        <v>887</v>
      </c>
      <c r="H835">
        <v>12</v>
      </c>
      <c r="I835" t="str">
        <f t="shared" si="13"/>
        <v>2024-04</v>
      </c>
    </row>
    <row r="836" spans="1:9" ht="15" customHeight="1" x14ac:dyDescent="0.25">
      <c r="A836">
        <v>835</v>
      </c>
      <c r="B836">
        <v>3</v>
      </c>
      <c r="C836" t="s">
        <v>129</v>
      </c>
      <c r="D836">
        <v>480</v>
      </c>
      <c r="E836">
        <v>176</v>
      </c>
      <c r="F836" t="s">
        <v>33</v>
      </c>
      <c r="G836">
        <v>578</v>
      </c>
      <c r="H836">
        <v>5</v>
      </c>
      <c r="I836" t="str">
        <f t="shared" si="13"/>
        <v>2024-04</v>
      </c>
    </row>
    <row r="837" spans="1:9" ht="15" customHeight="1" x14ac:dyDescent="0.25">
      <c r="A837">
        <v>836</v>
      </c>
      <c r="B837">
        <v>3</v>
      </c>
      <c r="C837" t="s">
        <v>130</v>
      </c>
      <c r="D837">
        <v>480</v>
      </c>
      <c r="E837">
        <v>202</v>
      </c>
      <c r="F837" t="s">
        <v>33</v>
      </c>
      <c r="G837">
        <v>483</v>
      </c>
      <c r="H837">
        <v>7</v>
      </c>
      <c r="I837" t="str">
        <f t="shared" si="13"/>
        <v>2024-04</v>
      </c>
    </row>
    <row r="838" spans="1:9" ht="15" customHeight="1" x14ac:dyDescent="0.25">
      <c r="A838">
        <v>837</v>
      </c>
      <c r="B838">
        <v>3</v>
      </c>
      <c r="C838" t="s">
        <v>131</v>
      </c>
      <c r="D838">
        <v>480</v>
      </c>
      <c r="E838">
        <v>92</v>
      </c>
      <c r="F838" t="s">
        <v>29</v>
      </c>
      <c r="G838">
        <v>743</v>
      </c>
      <c r="H838">
        <v>5</v>
      </c>
      <c r="I838" t="str">
        <f t="shared" si="13"/>
        <v>2024-04</v>
      </c>
    </row>
    <row r="839" spans="1:9" ht="15" customHeight="1" x14ac:dyDescent="0.25">
      <c r="A839">
        <v>838</v>
      </c>
      <c r="B839">
        <v>3</v>
      </c>
      <c r="C839" t="s">
        <v>132</v>
      </c>
      <c r="D839">
        <v>480</v>
      </c>
      <c r="E839">
        <v>60</v>
      </c>
      <c r="F839" t="s">
        <v>24</v>
      </c>
      <c r="G839">
        <v>767</v>
      </c>
      <c r="H839">
        <v>14</v>
      </c>
      <c r="I839" t="str">
        <f t="shared" si="13"/>
        <v>2024-04</v>
      </c>
    </row>
    <row r="840" spans="1:9" ht="15" customHeight="1" x14ac:dyDescent="0.25">
      <c r="A840">
        <v>839</v>
      </c>
      <c r="B840">
        <v>3</v>
      </c>
      <c r="C840" t="s">
        <v>133</v>
      </c>
      <c r="D840">
        <v>480</v>
      </c>
      <c r="E840">
        <v>110</v>
      </c>
      <c r="F840" t="s">
        <v>29</v>
      </c>
      <c r="G840">
        <v>600</v>
      </c>
      <c r="H840">
        <v>7</v>
      </c>
      <c r="I840" t="str">
        <f t="shared" si="13"/>
        <v>2024-04</v>
      </c>
    </row>
    <row r="841" spans="1:9" ht="15" customHeight="1" x14ac:dyDescent="0.25">
      <c r="A841">
        <v>840</v>
      </c>
      <c r="B841">
        <v>3</v>
      </c>
      <c r="C841" t="s">
        <v>134</v>
      </c>
      <c r="D841">
        <v>480</v>
      </c>
      <c r="E841">
        <v>41</v>
      </c>
      <c r="F841" t="s">
        <v>24</v>
      </c>
      <c r="G841">
        <v>820</v>
      </c>
      <c r="H841">
        <v>9</v>
      </c>
      <c r="I841" t="str">
        <f t="shared" si="13"/>
        <v>2024-04</v>
      </c>
    </row>
    <row r="842" spans="1:9" ht="15" customHeight="1" x14ac:dyDescent="0.25">
      <c r="A842">
        <v>841</v>
      </c>
      <c r="B842">
        <v>3</v>
      </c>
      <c r="C842" t="s">
        <v>135</v>
      </c>
      <c r="D842">
        <v>480</v>
      </c>
      <c r="E842">
        <v>22</v>
      </c>
      <c r="F842" t="s">
        <v>45</v>
      </c>
      <c r="G842">
        <v>882</v>
      </c>
      <c r="H842">
        <v>6</v>
      </c>
      <c r="I842" t="str">
        <f t="shared" si="13"/>
        <v>2024-04</v>
      </c>
    </row>
    <row r="843" spans="1:9" ht="15" customHeight="1" x14ac:dyDescent="0.25">
      <c r="A843">
        <v>842</v>
      </c>
      <c r="B843">
        <v>3</v>
      </c>
      <c r="C843" t="s">
        <v>136</v>
      </c>
      <c r="D843">
        <v>480</v>
      </c>
      <c r="E843">
        <v>480</v>
      </c>
      <c r="F843" t="s">
        <v>22</v>
      </c>
      <c r="G843">
        <v>0</v>
      </c>
      <c r="H843">
        <v>0</v>
      </c>
      <c r="I843" t="str">
        <f t="shared" si="13"/>
        <v>2024-04</v>
      </c>
    </row>
    <row r="844" spans="1:9" ht="15" customHeight="1" x14ac:dyDescent="0.25">
      <c r="A844">
        <v>843</v>
      </c>
      <c r="B844">
        <v>3</v>
      </c>
      <c r="C844" t="s">
        <v>137</v>
      </c>
      <c r="D844">
        <v>480</v>
      </c>
      <c r="E844">
        <v>32</v>
      </c>
      <c r="F844" t="s">
        <v>45</v>
      </c>
      <c r="G844">
        <v>706</v>
      </c>
      <c r="H844">
        <v>13</v>
      </c>
      <c r="I844" t="str">
        <f t="shared" si="13"/>
        <v>2024-04</v>
      </c>
    </row>
    <row r="845" spans="1:9" ht="15" customHeight="1" x14ac:dyDescent="0.25">
      <c r="A845">
        <v>844</v>
      </c>
      <c r="B845">
        <v>3</v>
      </c>
      <c r="C845" t="s">
        <v>138</v>
      </c>
      <c r="D845">
        <v>480</v>
      </c>
      <c r="E845">
        <v>169</v>
      </c>
      <c r="F845" t="s">
        <v>27</v>
      </c>
      <c r="G845">
        <v>574</v>
      </c>
      <c r="H845">
        <v>5</v>
      </c>
      <c r="I845" t="str">
        <f t="shared" si="13"/>
        <v>2024-04</v>
      </c>
    </row>
    <row r="846" spans="1:9" ht="15" customHeight="1" x14ac:dyDescent="0.25">
      <c r="A846">
        <v>845</v>
      </c>
      <c r="B846">
        <v>3</v>
      </c>
      <c r="C846" t="s">
        <v>139</v>
      </c>
      <c r="D846">
        <v>480</v>
      </c>
      <c r="E846">
        <v>131</v>
      </c>
      <c r="F846" t="s">
        <v>27</v>
      </c>
      <c r="G846">
        <v>648</v>
      </c>
      <c r="H846">
        <v>11</v>
      </c>
      <c r="I846" t="str">
        <f t="shared" si="13"/>
        <v>2024-04</v>
      </c>
    </row>
    <row r="847" spans="1:9" ht="15" customHeight="1" x14ac:dyDescent="0.25">
      <c r="A847">
        <v>846</v>
      </c>
      <c r="B847">
        <v>3</v>
      </c>
      <c r="C847" t="s">
        <v>140</v>
      </c>
      <c r="D847">
        <v>480</v>
      </c>
      <c r="E847">
        <v>136</v>
      </c>
      <c r="F847" t="s">
        <v>24</v>
      </c>
      <c r="G847">
        <v>648</v>
      </c>
      <c r="H847">
        <v>11</v>
      </c>
      <c r="I847" t="str">
        <f t="shared" si="13"/>
        <v>2024-04</v>
      </c>
    </row>
    <row r="848" spans="1:9" ht="15" customHeight="1" x14ac:dyDescent="0.25">
      <c r="A848">
        <v>847</v>
      </c>
      <c r="B848">
        <v>3</v>
      </c>
      <c r="C848" t="s">
        <v>141</v>
      </c>
      <c r="D848">
        <v>480</v>
      </c>
      <c r="E848">
        <v>8</v>
      </c>
      <c r="F848" t="s">
        <v>27</v>
      </c>
      <c r="G848">
        <v>827</v>
      </c>
      <c r="H848">
        <v>7</v>
      </c>
      <c r="I848" t="str">
        <f t="shared" si="13"/>
        <v>2024-04</v>
      </c>
    </row>
    <row r="849" spans="1:9" ht="15" customHeight="1" x14ac:dyDescent="0.25">
      <c r="A849">
        <v>848</v>
      </c>
      <c r="B849">
        <v>3</v>
      </c>
      <c r="C849" t="s">
        <v>142</v>
      </c>
      <c r="D849">
        <v>480</v>
      </c>
      <c r="E849">
        <v>49</v>
      </c>
      <c r="F849" t="s">
        <v>45</v>
      </c>
      <c r="G849">
        <v>742</v>
      </c>
      <c r="H849">
        <v>6</v>
      </c>
      <c r="I849" t="str">
        <f t="shared" si="13"/>
        <v>2024-04</v>
      </c>
    </row>
    <row r="850" spans="1:9" ht="15" customHeight="1" x14ac:dyDescent="0.25">
      <c r="A850">
        <v>849</v>
      </c>
      <c r="B850">
        <v>3</v>
      </c>
      <c r="C850" t="s">
        <v>143</v>
      </c>
      <c r="D850">
        <v>480</v>
      </c>
      <c r="E850">
        <v>40</v>
      </c>
      <c r="F850" t="s">
        <v>29</v>
      </c>
      <c r="G850">
        <v>709</v>
      </c>
      <c r="H850">
        <v>14</v>
      </c>
      <c r="I850" t="str">
        <f t="shared" si="13"/>
        <v>2024-04</v>
      </c>
    </row>
    <row r="851" spans="1:9" ht="15" customHeight="1" x14ac:dyDescent="0.25">
      <c r="A851">
        <v>850</v>
      </c>
      <c r="B851">
        <v>3</v>
      </c>
      <c r="C851" t="s">
        <v>144</v>
      </c>
      <c r="D851">
        <v>480</v>
      </c>
      <c r="E851">
        <v>277</v>
      </c>
      <c r="F851" t="s">
        <v>27</v>
      </c>
      <c r="G851">
        <v>324</v>
      </c>
      <c r="H851">
        <v>7</v>
      </c>
      <c r="I851" t="str">
        <f t="shared" si="13"/>
        <v>2024-04</v>
      </c>
    </row>
    <row r="852" spans="1:9" ht="15" customHeight="1" x14ac:dyDescent="0.25">
      <c r="A852">
        <v>851</v>
      </c>
      <c r="B852">
        <v>3</v>
      </c>
      <c r="C852" t="s">
        <v>145</v>
      </c>
      <c r="D852">
        <v>480</v>
      </c>
      <c r="E852">
        <v>69</v>
      </c>
      <c r="F852" t="s">
        <v>22</v>
      </c>
      <c r="G852">
        <v>691</v>
      </c>
      <c r="H852">
        <v>6</v>
      </c>
      <c r="I852" t="str">
        <f t="shared" si="13"/>
        <v>2024-04</v>
      </c>
    </row>
    <row r="853" spans="1:9" ht="15" customHeight="1" x14ac:dyDescent="0.25">
      <c r="A853">
        <v>852</v>
      </c>
      <c r="B853">
        <v>3</v>
      </c>
      <c r="C853" t="s">
        <v>146</v>
      </c>
      <c r="D853">
        <v>480</v>
      </c>
      <c r="E853">
        <v>65</v>
      </c>
      <c r="F853" t="s">
        <v>24</v>
      </c>
      <c r="G853">
        <v>774</v>
      </c>
      <c r="H853">
        <v>14</v>
      </c>
      <c r="I853" t="str">
        <f t="shared" si="13"/>
        <v>2024-04</v>
      </c>
    </row>
    <row r="854" spans="1:9" ht="15" customHeight="1" x14ac:dyDescent="0.25">
      <c r="A854">
        <v>853</v>
      </c>
      <c r="B854">
        <v>3</v>
      </c>
      <c r="C854" t="s">
        <v>147</v>
      </c>
      <c r="D854">
        <v>480</v>
      </c>
      <c r="E854">
        <v>4</v>
      </c>
      <c r="F854" t="s">
        <v>27</v>
      </c>
      <c r="G854">
        <v>761</v>
      </c>
      <c r="H854">
        <v>10</v>
      </c>
      <c r="I854" t="str">
        <f t="shared" si="13"/>
        <v>2024-04</v>
      </c>
    </row>
    <row r="855" spans="1:9" ht="15" customHeight="1" x14ac:dyDescent="0.25">
      <c r="A855">
        <v>854</v>
      </c>
      <c r="B855">
        <v>3</v>
      </c>
      <c r="C855" t="s">
        <v>148</v>
      </c>
      <c r="D855">
        <v>480</v>
      </c>
      <c r="E855">
        <v>32</v>
      </c>
      <c r="F855" t="s">
        <v>45</v>
      </c>
      <c r="G855">
        <v>743</v>
      </c>
      <c r="H855">
        <v>9</v>
      </c>
      <c r="I855" t="str">
        <f t="shared" si="13"/>
        <v>2024-05</v>
      </c>
    </row>
    <row r="856" spans="1:9" ht="15" customHeight="1" x14ac:dyDescent="0.25">
      <c r="A856">
        <v>855</v>
      </c>
      <c r="B856">
        <v>3</v>
      </c>
      <c r="C856" t="s">
        <v>149</v>
      </c>
      <c r="D856">
        <v>480</v>
      </c>
      <c r="E856">
        <v>153</v>
      </c>
      <c r="F856" t="s">
        <v>27</v>
      </c>
      <c r="G856">
        <v>626</v>
      </c>
      <c r="H856">
        <v>8</v>
      </c>
      <c r="I856" t="str">
        <f t="shared" si="13"/>
        <v>2024-05</v>
      </c>
    </row>
    <row r="857" spans="1:9" ht="15" customHeight="1" x14ac:dyDescent="0.25">
      <c r="A857">
        <v>856</v>
      </c>
      <c r="B857">
        <v>3</v>
      </c>
      <c r="C857" t="s">
        <v>150</v>
      </c>
      <c r="D857">
        <v>480</v>
      </c>
      <c r="E857">
        <v>222</v>
      </c>
      <c r="F857" t="s">
        <v>29</v>
      </c>
      <c r="G857">
        <v>436</v>
      </c>
      <c r="H857">
        <v>6</v>
      </c>
      <c r="I857" t="str">
        <f t="shared" si="13"/>
        <v>2024-05</v>
      </c>
    </row>
    <row r="858" spans="1:9" ht="15" customHeight="1" x14ac:dyDescent="0.25">
      <c r="A858">
        <v>857</v>
      </c>
      <c r="B858">
        <v>3</v>
      </c>
      <c r="C858" t="s">
        <v>151</v>
      </c>
      <c r="D858">
        <v>480</v>
      </c>
      <c r="E858">
        <v>24</v>
      </c>
      <c r="F858" t="s">
        <v>29</v>
      </c>
      <c r="G858">
        <v>825</v>
      </c>
      <c r="H858">
        <v>18</v>
      </c>
      <c r="I858" t="str">
        <f t="shared" si="13"/>
        <v>2024-05</v>
      </c>
    </row>
    <row r="859" spans="1:9" ht="15" customHeight="1" x14ac:dyDescent="0.25">
      <c r="A859">
        <v>858</v>
      </c>
      <c r="B859">
        <v>3</v>
      </c>
      <c r="C859" t="s">
        <v>152</v>
      </c>
      <c r="D859">
        <v>480</v>
      </c>
      <c r="E859">
        <v>87</v>
      </c>
      <c r="F859" t="s">
        <v>22</v>
      </c>
      <c r="G859">
        <v>670</v>
      </c>
      <c r="H859">
        <v>11</v>
      </c>
      <c r="I859" t="str">
        <f t="shared" si="13"/>
        <v>2024-05</v>
      </c>
    </row>
    <row r="860" spans="1:9" ht="15" customHeight="1" x14ac:dyDescent="0.25">
      <c r="A860">
        <v>859</v>
      </c>
      <c r="B860">
        <v>3</v>
      </c>
      <c r="C860" t="s">
        <v>153</v>
      </c>
      <c r="D860">
        <v>480</v>
      </c>
      <c r="E860">
        <v>12</v>
      </c>
      <c r="F860" t="s">
        <v>29</v>
      </c>
      <c r="G860">
        <v>889</v>
      </c>
      <c r="H860">
        <v>13</v>
      </c>
      <c r="I860" t="str">
        <f t="shared" si="13"/>
        <v>2024-05</v>
      </c>
    </row>
    <row r="861" spans="1:9" ht="15" customHeight="1" x14ac:dyDescent="0.25">
      <c r="A861">
        <v>860</v>
      </c>
      <c r="B861">
        <v>3</v>
      </c>
      <c r="C861" t="s">
        <v>154</v>
      </c>
      <c r="D861">
        <v>480</v>
      </c>
      <c r="E861">
        <v>56</v>
      </c>
      <c r="F861" t="s">
        <v>27</v>
      </c>
      <c r="G861">
        <v>758</v>
      </c>
      <c r="H861">
        <v>13</v>
      </c>
      <c r="I861" t="str">
        <f t="shared" si="13"/>
        <v>2024-05</v>
      </c>
    </row>
    <row r="862" spans="1:9" ht="15" customHeight="1" x14ac:dyDescent="0.25">
      <c r="A862">
        <v>861</v>
      </c>
      <c r="B862">
        <v>3</v>
      </c>
      <c r="C862" t="s">
        <v>155</v>
      </c>
      <c r="D862">
        <v>480</v>
      </c>
      <c r="E862">
        <v>7</v>
      </c>
      <c r="F862" t="s">
        <v>29</v>
      </c>
      <c r="G862">
        <v>863</v>
      </c>
      <c r="H862">
        <v>9</v>
      </c>
      <c r="I862" t="str">
        <f t="shared" si="13"/>
        <v>2024-05</v>
      </c>
    </row>
    <row r="863" spans="1:9" ht="15" customHeight="1" x14ac:dyDescent="0.25">
      <c r="A863">
        <v>862</v>
      </c>
      <c r="B863">
        <v>3</v>
      </c>
      <c r="C863" t="s">
        <v>156</v>
      </c>
      <c r="D863">
        <v>480</v>
      </c>
      <c r="E863">
        <v>117</v>
      </c>
      <c r="F863" t="s">
        <v>29</v>
      </c>
      <c r="G863">
        <v>681</v>
      </c>
      <c r="H863">
        <v>13</v>
      </c>
      <c r="I863" t="str">
        <f t="shared" si="13"/>
        <v>2024-05</v>
      </c>
    </row>
    <row r="864" spans="1:9" ht="15" customHeight="1" x14ac:dyDescent="0.25">
      <c r="A864">
        <v>863</v>
      </c>
      <c r="B864">
        <v>3</v>
      </c>
      <c r="C864" t="s">
        <v>157</v>
      </c>
      <c r="D864">
        <v>480</v>
      </c>
      <c r="E864">
        <v>75</v>
      </c>
      <c r="F864" t="s">
        <v>27</v>
      </c>
      <c r="G864">
        <v>714</v>
      </c>
      <c r="H864">
        <v>7</v>
      </c>
      <c r="I864" t="str">
        <f t="shared" si="13"/>
        <v>2024-05</v>
      </c>
    </row>
    <row r="865" spans="1:9" ht="15" customHeight="1" x14ac:dyDescent="0.25">
      <c r="A865">
        <v>864</v>
      </c>
      <c r="B865">
        <v>3</v>
      </c>
      <c r="C865" t="s">
        <v>158</v>
      </c>
      <c r="D865">
        <v>480</v>
      </c>
      <c r="E865">
        <v>140</v>
      </c>
      <c r="F865" t="s">
        <v>29</v>
      </c>
      <c r="G865">
        <v>568</v>
      </c>
      <c r="H865">
        <v>8</v>
      </c>
      <c r="I865" t="str">
        <f t="shared" si="13"/>
        <v>2024-05</v>
      </c>
    </row>
    <row r="866" spans="1:9" ht="15" customHeight="1" x14ac:dyDescent="0.25">
      <c r="A866">
        <v>865</v>
      </c>
      <c r="B866">
        <v>3</v>
      </c>
      <c r="C866" t="s">
        <v>159</v>
      </c>
      <c r="D866">
        <v>480</v>
      </c>
      <c r="E866">
        <v>31</v>
      </c>
      <c r="F866" t="s">
        <v>29</v>
      </c>
      <c r="G866">
        <v>728</v>
      </c>
      <c r="H866">
        <v>12</v>
      </c>
      <c r="I866" t="str">
        <f t="shared" si="13"/>
        <v>2024-05</v>
      </c>
    </row>
    <row r="867" spans="1:9" ht="15" customHeight="1" x14ac:dyDescent="0.25">
      <c r="A867">
        <v>866</v>
      </c>
      <c r="B867">
        <v>3</v>
      </c>
      <c r="C867" t="s">
        <v>160</v>
      </c>
      <c r="D867">
        <v>480</v>
      </c>
      <c r="E867">
        <v>5</v>
      </c>
      <c r="F867" t="s">
        <v>27</v>
      </c>
      <c r="G867">
        <v>878</v>
      </c>
      <c r="H867">
        <v>11</v>
      </c>
      <c r="I867" t="str">
        <f t="shared" si="13"/>
        <v>2024-05</v>
      </c>
    </row>
    <row r="868" spans="1:9" ht="15" customHeight="1" x14ac:dyDescent="0.25">
      <c r="A868">
        <v>867</v>
      </c>
      <c r="B868">
        <v>3</v>
      </c>
      <c r="C868" t="s">
        <v>161</v>
      </c>
      <c r="D868">
        <v>480</v>
      </c>
      <c r="E868">
        <v>0</v>
      </c>
      <c r="F868" t="s">
        <v>33</v>
      </c>
      <c r="G868">
        <v>845</v>
      </c>
      <c r="H868">
        <v>7</v>
      </c>
      <c r="I868" t="str">
        <f t="shared" si="13"/>
        <v>2024-05</v>
      </c>
    </row>
    <row r="869" spans="1:9" ht="15" customHeight="1" x14ac:dyDescent="0.25">
      <c r="A869">
        <v>868</v>
      </c>
      <c r="B869">
        <v>3</v>
      </c>
      <c r="C869" t="s">
        <v>162</v>
      </c>
      <c r="D869">
        <v>480</v>
      </c>
      <c r="E869">
        <v>30</v>
      </c>
      <c r="F869" t="s">
        <v>22</v>
      </c>
      <c r="G869">
        <v>825</v>
      </c>
      <c r="H869">
        <v>7</v>
      </c>
      <c r="I869" t="str">
        <f t="shared" si="13"/>
        <v>2024-05</v>
      </c>
    </row>
    <row r="870" spans="1:9" ht="15" customHeight="1" x14ac:dyDescent="0.25">
      <c r="A870">
        <v>869</v>
      </c>
      <c r="B870">
        <v>3</v>
      </c>
      <c r="C870" t="s">
        <v>163</v>
      </c>
      <c r="D870">
        <v>480</v>
      </c>
      <c r="E870">
        <v>172</v>
      </c>
      <c r="F870" t="s">
        <v>29</v>
      </c>
      <c r="G870">
        <v>484</v>
      </c>
      <c r="H870">
        <v>5</v>
      </c>
      <c r="I870" t="str">
        <f t="shared" si="13"/>
        <v>2024-05</v>
      </c>
    </row>
    <row r="871" spans="1:9" ht="15" customHeight="1" x14ac:dyDescent="0.25">
      <c r="A871">
        <v>870</v>
      </c>
      <c r="B871">
        <v>3</v>
      </c>
      <c r="C871" t="s">
        <v>164</v>
      </c>
      <c r="D871">
        <v>480</v>
      </c>
      <c r="E871">
        <v>127</v>
      </c>
      <c r="F871" t="s">
        <v>22</v>
      </c>
      <c r="G871">
        <v>596</v>
      </c>
      <c r="H871">
        <v>5</v>
      </c>
      <c r="I871" t="str">
        <f t="shared" si="13"/>
        <v>2024-05</v>
      </c>
    </row>
    <row r="872" spans="1:9" ht="15" customHeight="1" x14ac:dyDescent="0.25">
      <c r="A872">
        <v>871</v>
      </c>
      <c r="B872">
        <v>3</v>
      </c>
      <c r="C872" t="s">
        <v>165</v>
      </c>
      <c r="D872">
        <v>480</v>
      </c>
      <c r="E872">
        <v>42</v>
      </c>
      <c r="F872" t="s">
        <v>29</v>
      </c>
      <c r="G872">
        <v>732</v>
      </c>
      <c r="H872">
        <v>15</v>
      </c>
      <c r="I872" t="str">
        <f t="shared" si="13"/>
        <v>2024-05</v>
      </c>
    </row>
    <row r="873" spans="1:9" ht="15" customHeight="1" x14ac:dyDescent="0.25">
      <c r="A873">
        <v>872</v>
      </c>
      <c r="B873">
        <v>3</v>
      </c>
      <c r="C873" t="s">
        <v>166</v>
      </c>
      <c r="D873">
        <v>480</v>
      </c>
      <c r="E873">
        <v>35</v>
      </c>
      <c r="F873" t="s">
        <v>29</v>
      </c>
      <c r="G873">
        <v>829</v>
      </c>
      <c r="H873">
        <v>17</v>
      </c>
      <c r="I873" t="str">
        <f t="shared" si="13"/>
        <v>2024-05</v>
      </c>
    </row>
    <row r="874" spans="1:9" ht="15" customHeight="1" x14ac:dyDescent="0.25">
      <c r="A874">
        <v>873</v>
      </c>
      <c r="B874">
        <v>3</v>
      </c>
      <c r="C874" t="s">
        <v>167</v>
      </c>
      <c r="D874">
        <v>480</v>
      </c>
      <c r="E874">
        <v>53</v>
      </c>
      <c r="F874" t="s">
        <v>29</v>
      </c>
      <c r="G874">
        <v>815</v>
      </c>
      <c r="H874">
        <v>11</v>
      </c>
      <c r="I874" t="str">
        <f t="shared" si="13"/>
        <v>2024-05</v>
      </c>
    </row>
    <row r="875" spans="1:9" ht="15" customHeight="1" x14ac:dyDescent="0.25">
      <c r="A875">
        <v>874</v>
      </c>
      <c r="B875">
        <v>3</v>
      </c>
      <c r="C875" t="s">
        <v>168</v>
      </c>
      <c r="D875">
        <v>480</v>
      </c>
      <c r="E875">
        <v>313</v>
      </c>
      <c r="F875" t="s">
        <v>22</v>
      </c>
      <c r="G875">
        <v>268</v>
      </c>
      <c r="H875">
        <v>4</v>
      </c>
      <c r="I875" t="str">
        <f t="shared" si="13"/>
        <v>2024-05</v>
      </c>
    </row>
    <row r="876" spans="1:9" ht="15" customHeight="1" x14ac:dyDescent="0.25">
      <c r="A876">
        <v>875</v>
      </c>
      <c r="B876">
        <v>3</v>
      </c>
      <c r="C876" t="s">
        <v>169</v>
      </c>
      <c r="D876">
        <v>480</v>
      </c>
      <c r="E876">
        <v>64</v>
      </c>
      <c r="F876" t="s">
        <v>22</v>
      </c>
      <c r="G876">
        <v>713</v>
      </c>
      <c r="H876">
        <v>12</v>
      </c>
      <c r="I876" t="str">
        <f t="shared" si="13"/>
        <v>2024-05</v>
      </c>
    </row>
    <row r="877" spans="1:9" ht="15" customHeight="1" x14ac:dyDescent="0.25">
      <c r="A877">
        <v>876</v>
      </c>
      <c r="B877">
        <v>3</v>
      </c>
      <c r="C877" t="s">
        <v>170</v>
      </c>
      <c r="D877">
        <v>480</v>
      </c>
      <c r="E877">
        <v>114</v>
      </c>
      <c r="F877" t="s">
        <v>24</v>
      </c>
      <c r="G877">
        <v>576</v>
      </c>
      <c r="H877">
        <v>5</v>
      </c>
      <c r="I877" t="str">
        <f t="shared" si="13"/>
        <v>2024-05</v>
      </c>
    </row>
    <row r="878" spans="1:9" ht="15" customHeight="1" x14ac:dyDescent="0.25">
      <c r="A878">
        <v>877</v>
      </c>
      <c r="B878">
        <v>3</v>
      </c>
      <c r="C878" t="s">
        <v>171</v>
      </c>
      <c r="D878">
        <v>480</v>
      </c>
      <c r="E878">
        <v>117</v>
      </c>
      <c r="F878" t="s">
        <v>29</v>
      </c>
      <c r="G878">
        <v>660</v>
      </c>
      <c r="H878">
        <v>15</v>
      </c>
      <c r="I878" t="str">
        <f t="shared" si="13"/>
        <v>2024-05</v>
      </c>
    </row>
    <row r="879" spans="1:9" ht="15" customHeight="1" x14ac:dyDescent="0.25">
      <c r="A879">
        <v>878</v>
      </c>
      <c r="B879">
        <v>3</v>
      </c>
      <c r="C879" t="s">
        <v>172</v>
      </c>
      <c r="D879">
        <v>480</v>
      </c>
      <c r="E879">
        <v>134</v>
      </c>
      <c r="F879" t="s">
        <v>24</v>
      </c>
      <c r="G879">
        <v>665</v>
      </c>
      <c r="H879">
        <v>12</v>
      </c>
      <c r="I879" t="str">
        <f t="shared" si="13"/>
        <v>2024-05</v>
      </c>
    </row>
    <row r="880" spans="1:9" ht="15" customHeight="1" x14ac:dyDescent="0.25">
      <c r="A880">
        <v>879</v>
      </c>
      <c r="B880">
        <v>3</v>
      </c>
      <c r="C880" t="s">
        <v>173</v>
      </c>
      <c r="D880">
        <v>480</v>
      </c>
      <c r="E880">
        <v>33</v>
      </c>
      <c r="F880" t="s">
        <v>45</v>
      </c>
      <c r="G880">
        <v>720</v>
      </c>
      <c r="H880">
        <v>14</v>
      </c>
      <c r="I880" t="str">
        <f t="shared" si="13"/>
        <v>2024-05</v>
      </c>
    </row>
    <row r="881" spans="1:9" ht="15" customHeight="1" x14ac:dyDescent="0.25">
      <c r="A881">
        <v>880</v>
      </c>
      <c r="B881">
        <v>3</v>
      </c>
      <c r="C881" t="s">
        <v>174</v>
      </c>
      <c r="D881">
        <v>480</v>
      </c>
      <c r="E881">
        <v>97</v>
      </c>
      <c r="F881" t="s">
        <v>27</v>
      </c>
      <c r="G881">
        <v>609</v>
      </c>
      <c r="H881">
        <v>8</v>
      </c>
      <c r="I881" t="str">
        <f t="shared" si="13"/>
        <v>2024-05</v>
      </c>
    </row>
    <row r="882" spans="1:9" ht="15" customHeight="1" x14ac:dyDescent="0.25">
      <c r="A882">
        <v>881</v>
      </c>
      <c r="B882">
        <v>3</v>
      </c>
      <c r="C882" t="s">
        <v>175</v>
      </c>
      <c r="D882">
        <v>480</v>
      </c>
      <c r="E882">
        <v>295</v>
      </c>
      <c r="F882" t="s">
        <v>33</v>
      </c>
      <c r="G882">
        <v>325</v>
      </c>
      <c r="H882">
        <v>4</v>
      </c>
      <c r="I882" t="str">
        <f t="shared" si="13"/>
        <v>2024-05</v>
      </c>
    </row>
    <row r="883" spans="1:9" ht="15" customHeight="1" x14ac:dyDescent="0.25">
      <c r="A883">
        <v>882</v>
      </c>
      <c r="B883">
        <v>3</v>
      </c>
      <c r="C883" t="s">
        <v>176</v>
      </c>
      <c r="D883">
        <v>480</v>
      </c>
      <c r="E883">
        <v>57</v>
      </c>
      <c r="F883" t="s">
        <v>24</v>
      </c>
      <c r="G883">
        <v>697</v>
      </c>
      <c r="H883">
        <v>9</v>
      </c>
      <c r="I883" t="str">
        <f t="shared" si="13"/>
        <v>2024-05</v>
      </c>
    </row>
    <row r="884" spans="1:9" ht="15" customHeight="1" x14ac:dyDescent="0.25">
      <c r="A884">
        <v>883</v>
      </c>
      <c r="B884">
        <v>3</v>
      </c>
      <c r="C884" t="s">
        <v>177</v>
      </c>
      <c r="D884">
        <v>480</v>
      </c>
      <c r="E884">
        <v>43</v>
      </c>
      <c r="F884" t="s">
        <v>27</v>
      </c>
      <c r="G884">
        <v>695</v>
      </c>
      <c r="H884">
        <v>13</v>
      </c>
      <c r="I884" t="str">
        <f t="shared" si="13"/>
        <v>2024-05</v>
      </c>
    </row>
    <row r="885" spans="1:9" ht="15" customHeight="1" x14ac:dyDescent="0.25">
      <c r="A885">
        <v>884</v>
      </c>
      <c r="B885">
        <v>3</v>
      </c>
      <c r="C885" t="s">
        <v>178</v>
      </c>
      <c r="D885">
        <v>480</v>
      </c>
      <c r="E885">
        <v>50</v>
      </c>
      <c r="F885" t="s">
        <v>45</v>
      </c>
      <c r="G885">
        <v>806</v>
      </c>
      <c r="H885">
        <v>16</v>
      </c>
      <c r="I885" t="str">
        <f t="shared" si="13"/>
        <v>2024-05</v>
      </c>
    </row>
    <row r="886" spans="1:9" ht="15" customHeight="1" x14ac:dyDescent="0.25">
      <c r="A886">
        <v>885</v>
      </c>
      <c r="B886">
        <v>3</v>
      </c>
      <c r="C886" t="s">
        <v>179</v>
      </c>
      <c r="D886">
        <v>480</v>
      </c>
      <c r="E886">
        <v>22</v>
      </c>
      <c r="F886" t="s">
        <v>24</v>
      </c>
      <c r="G886">
        <v>831</v>
      </c>
      <c r="H886">
        <v>12</v>
      </c>
      <c r="I886" t="str">
        <f t="shared" si="13"/>
        <v>2024-06</v>
      </c>
    </row>
    <row r="887" spans="1:9" ht="15" customHeight="1" x14ac:dyDescent="0.25">
      <c r="A887">
        <v>886</v>
      </c>
      <c r="B887">
        <v>3</v>
      </c>
      <c r="C887" t="s">
        <v>180</v>
      </c>
      <c r="D887">
        <v>480</v>
      </c>
      <c r="E887">
        <v>199</v>
      </c>
      <c r="F887" t="s">
        <v>22</v>
      </c>
      <c r="G887">
        <v>464</v>
      </c>
      <c r="H887">
        <v>8</v>
      </c>
      <c r="I887" t="str">
        <f t="shared" si="13"/>
        <v>2024-06</v>
      </c>
    </row>
    <row r="888" spans="1:9" ht="15" customHeight="1" x14ac:dyDescent="0.25">
      <c r="A888">
        <v>887</v>
      </c>
      <c r="B888">
        <v>3</v>
      </c>
      <c r="C888" t="s">
        <v>181</v>
      </c>
      <c r="D888">
        <v>480</v>
      </c>
      <c r="E888">
        <v>88</v>
      </c>
      <c r="F888" t="s">
        <v>24</v>
      </c>
      <c r="G888">
        <v>659</v>
      </c>
      <c r="H888">
        <v>6</v>
      </c>
      <c r="I888" t="str">
        <f t="shared" si="13"/>
        <v>2024-06</v>
      </c>
    </row>
    <row r="889" spans="1:9" ht="15" customHeight="1" x14ac:dyDescent="0.25">
      <c r="A889">
        <v>888</v>
      </c>
      <c r="B889">
        <v>3</v>
      </c>
      <c r="C889" t="s">
        <v>182</v>
      </c>
      <c r="D889">
        <v>480</v>
      </c>
      <c r="E889">
        <v>99</v>
      </c>
      <c r="F889" t="s">
        <v>27</v>
      </c>
      <c r="G889">
        <v>703</v>
      </c>
      <c r="H889">
        <v>8</v>
      </c>
      <c r="I889" t="str">
        <f t="shared" si="13"/>
        <v>2024-06</v>
      </c>
    </row>
    <row r="890" spans="1:9" ht="15" customHeight="1" x14ac:dyDescent="0.25">
      <c r="A890">
        <v>889</v>
      </c>
      <c r="B890">
        <v>3</v>
      </c>
      <c r="C890" t="s">
        <v>183</v>
      </c>
      <c r="D890">
        <v>480</v>
      </c>
      <c r="E890">
        <v>97</v>
      </c>
      <c r="F890" t="s">
        <v>27</v>
      </c>
      <c r="G890">
        <v>658</v>
      </c>
      <c r="H890">
        <v>12</v>
      </c>
      <c r="I890" t="str">
        <f t="shared" si="13"/>
        <v>2024-06</v>
      </c>
    </row>
    <row r="891" spans="1:9" ht="15" customHeight="1" x14ac:dyDescent="0.25">
      <c r="A891">
        <v>890</v>
      </c>
      <c r="B891">
        <v>3</v>
      </c>
      <c r="C891" t="s">
        <v>184</v>
      </c>
      <c r="D891">
        <v>480</v>
      </c>
      <c r="E891">
        <v>20</v>
      </c>
      <c r="F891" t="s">
        <v>22</v>
      </c>
      <c r="G891">
        <v>874</v>
      </c>
      <c r="H891">
        <v>10</v>
      </c>
      <c r="I891" t="str">
        <f t="shared" si="13"/>
        <v>2024-06</v>
      </c>
    </row>
    <row r="892" spans="1:9" ht="15" customHeight="1" x14ac:dyDescent="0.25">
      <c r="A892">
        <v>891</v>
      </c>
      <c r="B892">
        <v>3</v>
      </c>
      <c r="C892" t="s">
        <v>185</v>
      </c>
      <c r="D892">
        <v>480</v>
      </c>
      <c r="E892">
        <v>43</v>
      </c>
      <c r="F892" t="s">
        <v>24</v>
      </c>
      <c r="G892">
        <v>696</v>
      </c>
      <c r="H892">
        <v>6</v>
      </c>
      <c r="I892" t="str">
        <f t="shared" si="13"/>
        <v>2024-06</v>
      </c>
    </row>
    <row r="893" spans="1:9" ht="15" customHeight="1" x14ac:dyDescent="0.25">
      <c r="A893">
        <v>892</v>
      </c>
      <c r="B893">
        <v>3</v>
      </c>
      <c r="C893" t="s">
        <v>186</v>
      </c>
      <c r="D893">
        <v>480</v>
      </c>
      <c r="E893">
        <v>68</v>
      </c>
      <c r="F893" t="s">
        <v>24</v>
      </c>
      <c r="G893">
        <v>688</v>
      </c>
      <c r="H893">
        <v>14</v>
      </c>
      <c r="I893" t="str">
        <f t="shared" si="13"/>
        <v>2024-06</v>
      </c>
    </row>
    <row r="894" spans="1:9" ht="15" customHeight="1" x14ac:dyDescent="0.25">
      <c r="A894">
        <v>893</v>
      </c>
      <c r="B894">
        <v>3</v>
      </c>
      <c r="C894" t="s">
        <v>187</v>
      </c>
      <c r="D894">
        <v>480</v>
      </c>
      <c r="E894">
        <v>1</v>
      </c>
      <c r="F894" t="s">
        <v>27</v>
      </c>
      <c r="G894">
        <v>820</v>
      </c>
      <c r="H894">
        <v>10</v>
      </c>
      <c r="I894" t="str">
        <f t="shared" si="13"/>
        <v>2024-06</v>
      </c>
    </row>
    <row r="895" spans="1:9" ht="15" customHeight="1" x14ac:dyDescent="0.25">
      <c r="A895">
        <v>894</v>
      </c>
      <c r="B895">
        <v>3</v>
      </c>
      <c r="C895" t="s">
        <v>188</v>
      </c>
      <c r="D895">
        <v>480</v>
      </c>
      <c r="E895">
        <v>1</v>
      </c>
      <c r="F895" t="s">
        <v>27</v>
      </c>
      <c r="G895">
        <v>775</v>
      </c>
      <c r="H895">
        <v>11</v>
      </c>
      <c r="I895" t="str">
        <f t="shared" si="13"/>
        <v>2024-06</v>
      </c>
    </row>
    <row r="896" spans="1:9" ht="15" customHeight="1" x14ac:dyDescent="0.25">
      <c r="A896">
        <v>895</v>
      </c>
      <c r="B896">
        <v>3</v>
      </c>
      <c r="C896" t="s">
        <v>189</v>
      </c>
      <c r="D896">
        <v>480</v>
      </c>
      <c r="E896">
        <v>63</v>
      </c>
      <c r="F896" t="s">
        <v>27</v>
      </c>
      <c r="G896">
        <v>718</v>
      </c>
      <c r="H896">
        <v>11</v>
      </c>
      <c r="I896" t="str">
        <f t="shared" si="13"/>
        <v>2024-06</v>
      </c>
    </row>
    <row r="897" spans="1:9" ht="15" customHeight="1" x14ac:dyDescent="0.25">
      <c r="A897">
        <v>896</v>
      </c>
      <c r="B897">
        <v>3</v>
      </c>
      <c r="C897" t="s">
        <v>190</v>
      </c>
      <c r="D897">
        <v>480</v>
      </c>
      <c r="E897">
        <v>85</v>
      </c>
      <c r="F897" t="s">
        <v>33</v>
      </c>
      <c r="G897">
        <v>622</v>
      </c>
      <c r="H897">
        <v>9</v>
      </c>
      <c r="I897" t="str">
        <f t="shared" si="13"/>
        <v>2024-06</v>
      </c>
    </row>
    <row r="898" spans="1:9" ht="15" customHeight="1" x14ac:dyDescent="0.25">
      <c r="A898">
        <v>897</v>
      </c>
      <c r="B898">
        <v>3</v>
      </c>
      <c r="C898" t="s">
        <v>191</v>
      </c>
      <c r="D898">
        <v>480</v>
      </c>
      <c r="E898">
        <v>311</v>
      </c>
      <c r="F898" t="s">
        <v>33</v>
      </c>
      <c r="G898">
        <v>298</v>
      </c>
      <c r="H898">
        <v>5</v>
      </c>
      <c r="I898" t="str">
        <f t="shared" ref="I898:I961" si="14">TEXT(C898,"yyyy-mm")</f>
        <v>2024-06</v>
      </c>
    </row>
    <row r="899" spans="1:9" ht="15" customHeight="1" x14ac:dyDescent="0.25">
      <c r="A899">
        <v>898</v>
      </c>
      <c r="B899">
        <v>3</v>
      </c>
      <c r="C899" t="s">
        <v>192</v>
      </c>
      <c r="D899">
        <v>480</v>
      </c>
      <c r="E899">
        <v>35</v>
      </c>
      <c r="F899" t="s">
        <v>27</v>
      </c>
      <c r="G899">
        <v>827</v>
      </c>
      <c r="H899">
        <v>16</v>
      </c>
      <c r="I899" t="str">
        <f t="shared" si="14"/>
        <v>2024-06</v>
      </c>
    </row>
    <row r="900" spans="1:9" ht="15" customHeight="1" x14ac:dyDescent="0.25">
      <c r="A900">
        <v>899</v>
      </c>
      <c r="B900">
        <v>3</v>
      </c>
      <c r="C900" t="s">
        <v>193</v>
      </c>
      <c r="D900">
        <v>480</v>
      </c>
      <c r="E900">
        <v>69</v>
      </c>
      <c r="F900" t="s">
        <v>27</v>
      </c>
      <c r="G900">
        <v>794</v>
      </c>
      <c r="H900">
        <v>7</v>
      </c>
      <c r="I900" t="str">
        <f t="shared" si="14"/>
        <v>2024-06</v>
      </c>
    </row>
    <row r="901" spans="1:9" ht="15" customHeight="1" x14ac:dyDescent="0.25">
      <c r="A901">
        <v>900</v>
      </c>
      <c r="B901">
        <v>3</v>
      </c>
      <c r="C901" t="s">
        <v>194</v>
      </c>
      <c r="D901">
        <v>480</v>
      </c>
      <c r="E901">
        <v>1</v>
      </c>
      <c r="F901" t="s">
        <v>29</v>
      </c>
      <c r="G901">
        <v>889</v>
      </c>
      <c r="H901">
        <v>18</v>
      </c>
      <c r="I901" t="str">
        <f t="shared" si="14"/>
        <v>2024-06</v>
      </c>
    </row>
    <row r="902" spans="1:9" ht="15" customHeight="1" x14ac:dyDescent="0.25">
      <c r="A902">
        <v>901</v>
      </c>
      <c r="B902">
        <v>3</v>
      </c>
      <c r="C902" t="s">
        <v>195</v>
      </c>
      <c r="D902">
        <v>480</v>
      </c>
      <c r="E902">
        <v>12</v>
      </c>
      <c r="F902" t="s">
        <v>27</v>
      </c>
      <c r="G902">
        <v>781</v>
      </c>
      <c r="H902">
        <v>6</v>
      </c>
      <c r="I902" t="str">
        <f t="shared" si="14"/>
        <v>2024-06</v>
      </c>
    </row>
    <row r="903" spans="1:9" ht="15" customHeight="1" x14ac:dyDescent="0.25">
      <c r="A903">
        <v>902</v>
      </c>
      <c r="B903">
        <v>3</v>
      </c>
      <c r="C903" t="s">
        <v>196</v>
      </c>
      <c r="D903">
        <v>480</v>
      </c>
      <c r="E903">
        <v>32</v>
      </c>
      <c r="F903" t="s">
        <v>27</v>
      </c>
      <c r="G903">
        <v>832</v>
      </c>
      <c r="H903">
        <v>13</v>
      </c>
      <c r="I903" t="str">
        <f t="shared" si="14"/>
        <v>2024-06</v>
      </c>
    </row>
    <row r="904" spans="1:9" ht="15" customHeight="1" x14ac:dyDescent="0.25">
      <c r="A904">
        <v>903</v>
      </c>
      <c r="B904">
        <v>3</v>
      </c>
      <c r="C904" t="s">
        <v>197</v>
      </c>
      <c r="D904">
        <v>480</v>
      </c>
      <c r="E904">
        <v>40</v>
      </c>
      <c r="F904" t="s">
        <v>22</v>
      </c>
      <c r="G904">
        <v>752</v>
      </c>
      <c r="H904">
        <v>5</v>
      </c>
      <c r="I904" t="str">
        <f t="shared" si="14"/>
        <v>2024-06</v>
      </c>
    </row>
    <row r="905" spans="1:9" ht="15" customHeight="1" x14ac:dyDescent="0.25">
      <c r="A905">
        <v>904</v>
      </c>
      <c r="B905">
        <v>3</v>
      </c>
      <c r="C905" t="s">
        <v>198</v>
      </c>
      <c r="D905">
        <v>480</v>
      </c>
      <c r="E905">
        <v>33</v>
      </c>
      <c r="F905" t="s">
        <v>33</v>
      </c>
      <c r="G905">
        <v>809</v>
      </c>
      <c r="H905">
        <v>18</v>
      </c>
      <c r="I905" t="str">
        <f t="shared" si="14"/>
        <v>2024-06</v>
      </c>
    </row>
    <row r="906" spans="1:9" ht="15" customHeight="1" x14ac:dyDescent="0.25">
      <c r="A906">
        <v>905</v>
      </c>
      <c r="B906">
        <v>3</v>
      </c>
      <c r="C906" t="s">
        <v>199</v>
      </c>
      <c r="D906">
        <v>480</v>
      </c>
      <c r="E906">
        <v>176</v>
      </c>
      <c r="F906" t="s">
        <v>45</v>
      </c>
      <c r="G906">
        <v>480</v>
      </c>
      <c r="H906">
        <v>10</v>
      </c>
      <c r="I906" t="str">
        <f t="shared" si="14"/>
        <v>2024-06</v>
      </c>
    </row>
    <row r="907" spans="1:9" ht="15" customHeight="1" x14ac:dyDescent="0.25">
      <c r="A907">
        <v>906</v>
      </c>
      <c r="B907">
        <v>3</v>
      </c>
      <c r="C907" t="s">
        <v>200</v>
      </c>
      <c r="D907">
        <v>480</v>
      </c>
      <c r="E907">
        <v>143</v>
      </c>
      <c r="F907" t="s">
        <v>27</v>
      </c>
      <c r="G907">
        <v>627</v>
      </c>
      <c r="H907">
        <v>9</v>
      </c>
      <c r="I907" t="str">
        <f t="shared" si="14"/>
        <v>2024-06</v>
      </c>
    </row>
    <row r="908" spans="1:9" ht="15" customHeight="1" x14ac:dyDescent="0.25">
      <c r="A908">
        <v>907</v>
      </c>
      <c r="B908">
        <v>3</v>
      </c>
      <c r="C908" t="s">
        <v>201</v>
      </c>
      <c r="D908">
        <v>480</v>
      </c>
      <c r="E908">
        <v>47</v>
      </c>
      <c r="F908" t="s">
        <v>27</v>
      </c>
      <c r="G908">
        <v>729</v>
      </c>
      <c r="H908">
        <v>6</v>
      </c>
      <c r="I908" t="str">
        <f t="shared" si="14"/>
        <v>2024-06</v>
      </c>
    </row>
    <row r="909" spans="1:9" ht="15" customHeight="1" x14ac:dyDescent="0.25">
      <c r="A909">
        <v>908</v>
      </c>
      <c r="B909">
        <v>3</v>
      </c>
      <c r="C909" t="s">
        <v>202</v>
      </c>
      <c r="D909">
        <v>480</v>
      </c>
      <c r="E909">
        <v>24</v>
      </c>
      <c r="F909" t="s">
        <v>29</v>
      </c>
      <c r="G909">
        <v>758</v>
      </c>
      <c r="H909">
        <v>11</v>
      </c>
      <c r="I909" t="str">
        <f t="shared" si="14"/>
        <v>2024-06</v>
      </c>
    </row>
    <row r="910" spans="1:9" ht="15" customHeight="1" x14ac:dyDescent="0.25">
      <c r="A910">
        <v>909</v>
      </c>
      <c r="B910">
        <v>3</v>
      </c>
      <c r="C910" t="s">
        <v>203</v>
      </c>
      <c r="D910">
        <v>480</v>
      </c>
      <c r="E910">
        <v>129</v>
      </c>
      <c r="F910" t="s">
        <v>29</v>
      </c>
      <c r="G910">
        <v>613</v>
      </c>
      <c r="H910">
        <v>5</v>
      </c>
      <c r="I910" t="str">
        <f t="shared" si="14"/>
        <v>2024-06</v>
      </c>
    </row>
    <row r="911" spans="1:9" ht="15" customHeight="1" x14ac:dyDescent="0.25">
      <c r="A911">
        <v>910</v>
      </c>
      <c r="B911">
        <v>3</v>
      </c>
      <c r="C911" t="s">
        <v>204</v>
      </c>
      <c r="D911">
        <v>480</v>
      </c>
      <c r="E911">
        <v>297</v>
      </c>
      <c r="F911" t="s">
        <v>27</v>
      </c>
      <c r="G911">
        <v>351</v>
      </c>
      <c r="H911">
        <v>7</v>
      </c>
      <c r="I911" t="str">
        <f t="shared" si="14"/>
        <v>2024-06</v>
      </c>
    </row>
    <row r="912" spans="1:9" ht="15" customHeight="1" x14ac:dyDescent="0.25">
      <c r="A912">
        <v>911</v>
      </c>
      <c r="B912">
        <v>3</v>
      </c>
      <c r="C912" t="s">
        <v>205</v>
      </c>
      <c r="D912">
        <v>480</v>
      </c>
      <c r="E912">
        <v>446</v>
      </c>
      <c r="F912" t="s">
        <v>45</v>
      </c>
      <c r="G912">
        <v>60</v>
      </c>
      <c r="H912">
        <v>1</v>
      </c>
      <c r="I912" t="str">
        <f t="shared" si="14"/>
        <v>2024-06</v>
      </c>
    </row>
    <row r="913" spans="1:9" ht="15" customHeight="1" x14ac:dyDescent="0.25">
      <c r="A913">
        <v>912</v>
      </c>
      <c r="B913">
        <v>3</v>
      </c>
      <c r="C913" t="s">
        <v>206</v>
      </c>
      <c r="D913">
        <v>480</v>
      </c>
      <c r="E913">
        <v>7</v>
      </c>
      <c r="F913" t="s">
        <v>33</v>
      </c>
      <c r="G913">
        <v>807</v>
      </c>
      <c r="H913">
        <v>9</v>
      </c>
      <c r="I913" t="str">
        <f t="shared" si="14"/>
        <v>2024-06</v>
      </c>
    </row>
    <row r="914" spans="1:9" ht="15" customHeight="1" x14ac:dyDescent="0.25">
      <c r="A914">
        <v>913</v>
      </c>
      <c r="B914">
        <v>3</v>
      </c>
      <c r="C914" t="s">
        <v>207</v>
      </c>
      <c r="D914">
        <v>480</v>
      </c>
      <c r="E914">
        <v>20</v>
      </c>
      <c r="F914" t="s">
        <v>29</v>
      </c>
      <c r="G914">
        <v>747</v>
      </c>
      <c r="H914">
        <v>13</v>
      </c>
      <c r="I914" t="str">
        <f t="shared" si="14"/>
        <v>2024-06</v>
      </c>
    </row>
    <row r="915" spans="1:9" ht="15" customHeight="1" x14ac:dyDescent="0.25">
      <c r="A915">
        <v>914</v>
      </c>
      <c r="B915">
        <v>3</v>
      </c>
      <c r="C915" t="s">
        <v>208</v>
      </c>
      <c r="D915">
        <v>480</v>
      </c>
      <c r="E915">
        <v>143</v>
      </c>
      <c r="F915" t="s">
        <v>27</v>
      </c>
      <c r="G915">
        <v>602</v>
      </c>
      <c r="H915">
        <v>6</v>
      </c>
      <c r="I915" t="str">
        <f t="shared" si="14"/>
        <v>2024-06</v>
      </c>
    </row>
    <row r="916" spans="1:9" ht="15" customHeight="1" x14ac:dyDescent="0.25">
      <c r="A916">
        <v>915</v>
      </c>
      <c r="B916">
        <v>3</v>
      </c>
      <c r="C916" t="s">
        <v>209</v>
      </c>
      <c r="D916">
        <v>480</v>
      </c>
      <c r="E916">
        <v>156</v>
      </c>
      <c r="F916" t="s">
        <v>45</v>
      </c>
      <c r="G916">
        <v>585</v>
      </c>
      <c r="H916">
        <v>8</v>
      </c>
      <c r="I916" t="str">
        <f t="shared" si="14"/>
        <v>2024-07</v>
      </c>
    </row>
    <row r="917" spans="1:9" ht="15" customHeight="1" x14ac:dyDescent="0.25">
      <c r="A917">
        <v>916</v>
      </c>
      <c r="B917">
        <v>3</v>
      </c>
      <c r="C917" t="s">
        <v>210</v>
      </c>
      <c r="D917">
        <v>480</v>
      </c>
      <c r="E917">
        <v>105</v>
      </c>
      <c r="F917" t="s">
        <v>45</v>
      </c>
      <c r="G917">
        <v>625</v>
      </c>
      <c r="H917">
        <v>8</v>
      </c>
      <c r="I917" t="str">
        <f t="shared" si="14"/>
        <v>2024-07</v>
      </c>
    </row>
    <row r="918" spans="1:9" ht="15" customHeight="1" x14ac:dyDescent="0.25">
      <c r="A918">
        <v>917</v>
      </c>
      <c r="B918">
        <v>3</v>
      </c>
      <c r="C918" t="s">
        <v>211</v>
      </c>
      <c r="D918">
        <v>480</v>
      </c>
      <c r="E918">
        <v>234</v>
      </c>
      <c r="F918" t="s">
        <v>27</v>
      </c>
      <c r="G918">
        <v>413</v>
      </c>
      <c r="H918">
        <v>6</v>
      </c>
      <c r="I918" t="str">
        <f t="shared" si="14"/>
        <v>2024-07</v>
      </c>
    </row>
    <row r="919" spans="1:9" ht="15" customHeight="1" x14ac:dyDescent="0.25">
      <c r="A919">
        <v>918</v>
      </c>
      <c r="B919">
        <v>3</v>
      </c>
      <c r="C919" t="s">
        <v>212</v>
      </c>
      <c r="D919">
        <v>480</v>
      </c>
      <c r="E919">
        <v>207</v>
      </c>
      <c r="F919" t="s">
        <v>24</v>
      </c>
      <c r="G919">
        <v>500</v>
      </c>
      <c r="H919">
        <v>4</v>
      </c>
      <c r="I919" t="str">
        <f t="shared" si="14"/>
        <v>2024-07</v>
      </c>
    </row>
    <row r="920" spans="1:9" ht="15" customHeight="1" x14ac:dyDescent="0.25">
      <c r="A920">
        <v>919</v>
      </c>
      <c r="B920">
        <v>3</v>
      </c>
      <c r="C920" t="s">
        <v>213</v>
      </c>
      <c r="D920">
        <v>480</v>
      </c>
      <c r="E920">
        <v>14</v>
      </c>
      <c r="F920" t="s">
        <v>22</v>
      </c>
      <c r="G920">
        <v>734</v>
      </c>
      <c r="H920">
        <v>12</v>
      </c>
      <c r="I920" t="str">
        <f t="shared" si="14"/>
        <v>2024-07</v>
      </c>
    </row>
    <row r="921" spans="1:9" ht="15" customHeight="1" x14ac:dyDescent="0.25">
      <c r="A921">
        <v>920</v>
      </c>
      <c r="B921">
        <v>3</v>
      </c>
      <c r="C921" t="s">
        <v>214</v>
      </c>
      <c r="D921">
        <v>480</v>
      </c>
      <c r="E921">
        <v>55</v>
      </c>
      <c r="F921" t="s">
        <v>29</v>
      </c>
      <c r="G921">
        <v>689</v>
      </c>
      <c r="H921">
        <v>15</v>
      </c>
      <c r="I921" t="str">
        <f t="shared" si="14"/>
        <v>2024-07</v>
      </c>
    </row>
    <row r="922" spans="1:9" ht="15" customHeight="1" x14ac:dyDescent="0.25">
      <c r="A922">
        <v>921</v>
      </c>
      <c r="B922">
        <v>3</v>
      </c>
      <c r="C922" t="s">
        <v>215</v>
      </c>
      <c r="D922">
        <v>480</v>
      </c>
      <c r="E922">
        <v>70</v>
      </c>
      <c r="F922" t="s">
        <v>24</v>
      </c>
      <c r="G922">
        <v>681</v>
      </c>
      <c r="H922">
        <v>10</v>
      </c>
      <c r="I922" t="str">
        <f t="shared" si="14"/>
        <v>2024-07</v>
      </c>
    </row>
    <row r="923" spans="1:9" ht="15" customHeight="1" x14ac:dyDescent="0.25">
      <c r="A923">
        <v>922</v>
      </c>
      <c r="B923">
        <v>3</v>
      </c>
      <c r="C923" t="s">
        <v>216</v>
      </c>
      <c r="D923">
        <v>480</v>
      </c>
      <c r="E923">
        <v>107</v>
      </c>
      <c r="F923" t="s">
        <v>33</v>
      </c>
      <c r="G923">
        <v>597</v>
      </c>
      <c r="H923">
        <v>7</v>
      </c>
      <c r="I923" t="str">
        <f t="shared" si="14"/>
        <v>2024-07</v>
      </c>
    </row>
    <row r="924" spans="1:9" ht="15" customHeight="1" x14ac:dyDescent="0.25">
      <c r="A924">
        <v>923</v>
      </c>
      <c r="B924">
        <v>3</v>
      </c>
      <c r="C924" t="s">
        <v>217</v>
      </c>
      <c r="D924">
        <v>480</v>
      </c>
      <c r="E924">
        <v>154</v>
      </c>
      <c r="F924" t="s">
        <v>22</v>
      </c>
      <c r="G924">
        <v>568</v>
      </c>
      <c r="H924">
        <v>9</v>
      </c>
      <c r="I924" t="str">
        <f t="shared" si="14"/>
        <v>2024-07</v>
      </c>
    </row>
    <row r="925" spans="1:9" ht="15" customHeight="1" x14ac:dyDescent="0.25">
      <c r="A925">
        <v>924</v>
      </c>
      <c r="B925">
        <v>3</v>
      </c>
      <c r="C925" t="s">
        <v>218</v>
      </c>
      <c r="D925">
        <v>480</v>
      </c>
      <c r="E925">
        <v>53</v>
      </c>
      <c r="F925" t="s">
        <v>29</v>
      </c>
      <c r="G925">
        <v>678</v>
      </c>
      <c r="H925">
        <v>7</v>
      </c>
      <c r="I925" t="str">
        <f t="shared" si="14"/>
        <v>2024-07</v>
      </c>
    </row>
    <row r="926" spans="1:9" ht="15" customHeight="1" x14ac:dyDescent="0.25">
      <c r="A926">
        <v>925</v>
      </c>
      <c r="B926">
        <v>3</v>
      </c>
      <c r="C926" t="s">
        <v>219</v>
      </c>
      <c r="D926">
        <v>480</v>
      </c>
      <c r="E926">
        <v>55</v>
      </c>
      <c r="F926" t="s">
        <v>45</v>
      </c>
      <c r="G926">
        <v>701</v>
      </c>
      <c r="H926">
        <v>5</v>
      </c>
      <c r="I926" t="str">
        <f t="shared" si="14"/>
        <v>2024-07</v>
      </c>
    </row>
    <row r="927" spans="1:9" ht="15" customHeight="1" x14ac:dyDescent="0.25">
      <c r="A927">
        <v>926</v>
      </c>
      <c r="B927">
        <v>3</v>
      </c>
      <c r="C927" t="s">
        <v>220</v>
      </c>
      <c r="D927">
        <v>480</v>
      </c>
      <c r="E927">
        <v>174</v>
      </c>
      <c r="F927" t="s">
        <v>45</v>
      </c>
      <c r="G927">
        <v>592</v>
      </c>
      <c r="H927">
        <v>11</v>
      </c>
      <c r="I927" t="str">
        <f t="shared" si="14"/>
        <v>2024-07</v>
      </c>
    </row>
    <row r="928" spans="1:9" ht="15" customHeight="1" x14ac:dyDescent="0.25">
      <c r="A928">
        <v>927</v>
      </c>
      <c r="B928">
        <v>3</v>
      </c>
      <c r="C928" t="s">
        <v>221</v>
      </c>
      <c r="D928">
        <v>480</v>
      </c>
      <c r="E928">
        <v>180</v>
      </c>
      <c r="F928" t="s">
        <v>33</v>
      </c>
      <c r="G928">
        <v>498</v>
      </c>
      <c r="H928">
        <v>11</v>
      </c>
      <c r="I928" t="str">
        <f t="shared" si="14"/>
        <v>2024-07</v>
      </c>
    </row>
    <row r="929" spans="1:9" ht="15" customHeight="1" x14ac:dyDescent="0.25">
      <c r="A929">
        <v>928</v>
      </c>
      <c r="B929">
        <v>3</v>
      </c>
      <c r="C929" t="s">
        <v>222</v>
      </c>
      <c r="D929">
        <v>480</v>
      </c>
      <c r="E929">
        <v>20</v>
      </c>
      <c r="F929" t="s">
        <v>45</v>
      </c>
      <c r="G929">
        <v>885</v>
      </c>
      <c r="H929">
        <v>20</v>
      </c>
      <c r="I929" t="str">
        <f t="shared" si="14"/>
        <v>2024-07</v>
      </c>
    </row>
    <row r="930" spans="1:9" ht="15" customHeight="1" x14ac:dyDescent="0.25">
      <c r="A930">
        <v>929</v>
      </c>
      <c r="B930">
        <v>3</v>
      </c>
      <c r="C930" t="s">
        <v>223</v>
      </c>
      <c r="D930">
        <v>480</v>
      </c>
      <c r="E930">
        <v>117</v>
      </c>
      <c r="F930" t="s">
        <v>45</v>
      </c>
      <c r="G930">
        <v>702</v>
      </c>
      <c r="H930">
        <v>11</v>
      </c>
      <c r="I930" t="str">
        <f t="shared" si="14"/>
        <v>2024-07</v>
      </c>
    </row>
    <row r="931" spans="1:9" ht="15" customHeight="1" x14ac:dyDescent="0.25">
      <c r="A931">
        <v>930</v>
      </c>
      <c r="B931">
        <v>3</v>
      </c>
      <c r="C931" t="s">
        <v>224</v>
      </c>
      <c r="D931">
        <v>480</v>
      </c>
      <c r="E931">
        <v>28</v>
      </c>
      <c r="F931" t="s">
        <v>22</v>
      </c>
      <c r="G931">
        <v>783</v>
      </c>
      <c r="H931">
        <v>13</v>
      </c>
      <c r="I931" t="str">
        <f t="shared" si="14"/>
        <v>2024-07</v>
      </c>
    </row>
    <row r="932" spans="1:9" ht="15" customHeight="1" x14ac:dyDescent="0.25">
      <c r="A932">
        <v>931</v>
      </c>
      <c r="B932">
        <v>3</v>
      </c>
      <c r="C932" t="s">
        <v>225</v>
      </c>
      <c r="D932">
        <v>480</v>
      </c>
      <c r="E932">
        <v>7</v>
      </c>
      <c r="F932" t="s">
        <v>33</v>
      </c>
      <c r="G932">
        <v>852</v>
      </c>
      <c r="H932">
        <v>19</v>
      </c>
      <c r="I932" t="str">
        <f t="shared" si="14"/>
        <v>2024-07</v>
      </c>
    </row>
    <row r="933" spans="1:9" ht="15" customHeight="1" x14ac:dyDescent="0.25">
      <c r="A933">
        <v>932</v>
      </c>
      <c r="B933">
        <v>3</v>
      </c>
      <c r="C933" t="s">
        <v>226</v>
      </c>
      <c r="D933">
        <v>480</v>
      </c>
      <c r="E933">
        <v>19</v>
      </c>
      <c r="F933" t="s">
        <v>27</v>
      </c>
      <c r="G933">
        <v>860</v>
      </c>
      <c r="H933">
        <v>18</v>
      </c>
      <c r="I933" t="str">
        <f t="shared" si="14"/>
        <v>2024-07</v>
      </c>
    </row>
    <row r="934" spans="1:9" ht="15" customHeight="1" x14ac:dyDescent="0.25">
      <c r="A934">
        <v>933</v>
      </c>
      <c r="B934">
        <v>3</v>
      </c>
      <c r="C934" t="s">
        <v>227</v>
      </c>
      <c r="D934">
        <v>480</v>
      </c>
      <c r="E934">
        <v>270</v>
      </c>
      <c r="F934" t="s">
        <v>45</v>
      </c>
      <c r="G934">
        <v>404</v>
      </c>
      <c r="H934">
        <v>6</v>
      </c>
      <c r="I934" t="str">
        <f t="shared" si="14"/>
        <v>2024-07</v>
      </c>
    </row>
    <row r="935" spans="1:9" ht="15" customHeight="1" x14ac:dyDescent="0.25">
      <c r="A935">
        <v>934</v>
      </c>
      <c r="B935">
        <v>3</v>
      </c>
      <c r="C935" t="s">
        <v>228</v>
      </c>
      <c r="D935">
        <v>480</v>
      </c>
      <c r="E935">
        <v>356</v>
      </c>
      <c r="F935" t="s">
        <v>27</v>
      </c>
      <c r="G935">
        <v>229</v>
      </c>
      <c r="H935">
        <v>2</v>
      </c>
      <c r="I935" t="str">
        <f t="shared" si="14"/>
        <v>2024-07</v>
      </c>
    </row>
    <row r="936" spans="1:9" ht="15" customHeight="1" x14ac:dyDescent="0.25">
      <c r="A936">
        <v>935</v>
      </c>
      <c r="B936">
        <v>3</v>
      </c>
      <c r="C936" t="s">
        <v>229</v>
      </c>
      <c r="D936">
        <v>480</v>
      </c>
      <c r="E936">
        <v>60</v>
      </c>
      <c r="F936" t="s">
        <v>22</v>
      </c>
      <c r="G936">
        <v>772</v>
      </c>
      <c r="H936">
        <v>8</v>
      </c>
      <c r="I936" t="str">
        <f t="shared" si="14"/>
        <v>2024-07</v>
      </c>
    </row>
    <row r="937" spans="1:9" ht="15" customHeight="1" x14ac:dyDescent="0.25">
      <c r="A937">
        <v>936</v>
      </c>
      <c r="B937">
        <v>3</v>
      </c>
      <c r="C937" t="s">
        <v>230</v>
      </c>
      <c r="D937">
        <v>480</v>
      </c>
      <c r="E937">
        <v>96</v>
      </c>
      <c r="F937" t="s">
        <v>22</v>
      </c>
      <c r="G937">
        <v>698</v>
      </c>
      <c r="H937">
        <v>7</v>
      </c>
      <c r="I937" t="str">
        <f t="shared" si="14"/>
        <v>2024-07</v>
      </c>
    </row>
    <row r="938" spans="1:9" ht="15" customHeight="1" x14ac:dyDescent="0.25">
      <c r="A938">
        <v>937</v>
      </c>
      <c r="B938">
        <v>3</v>
      </c>
      <c r="C938" t="s">
        <v>231</v>
      </c>
      <c r="D938">
        <v>480</v>
      </c>
      <c r="E938">
        <v>78</v>
      </c>
      <c r="F938" t="s">
        <v>29</v>
      </c>
      <c r="G938">
        <v>746</v>
      </c>
      <c r="H938">
        <v>11</v>
      </c>
      <c r="I938" t="str">
        <f t="shared" si="14"/>
        <v>2024-07</v>
      </c>
    </row>
    <row r="939" spans="1:9" ht="15" customHeight="1" x14ac:dyDescent="0.25">
      <c r="A939">
        <v>938</v>
      </c>
      <c r="B939">
        <v>3</v>
      </c>
      <c r="C939" t="s">
        <v>232</v>
      </c>
      <c r="D939">
        <v>480</v>
      </c>
      <c r="E939">
        <v>1</v>
      </c>
      <c r="F939" t="s">
        <v>29</v>
      </c>
      <c r="G939">
        <v>754</v>
      </c>
      <c r="H939">
        <v>10</v>
      </c>
      <c r="I939" t="str">
        <f t="shared" si="14"/>
        <v>2024-07</v>
      </c>
    </row>
    <row r="940" spans="1:9" ht="15" customHeight="1" x14ac:dyDescent="0.25">
      <c r="A940">
        <v>939</v>
      </c>
      <c r="B940">
        <v>3</v>
      </c>
      <c r="C940" t="s">
        <v>233</v>
      </c>
      <c r="D940">
        <v>480</v>
      </c>
      <c r="E940">
        <v>245</v>
      </c>
      <c r="F940" t="s">
        <v>29</v>
      </c>
      <c r="G940">
        <v>389</v>
      </c>
      <c r="H940">
        <v>6</v>
      </c>
      <c r="I940" t="str">
        <f t="shared" si="14"/>
        <v>2024-07</v>
      </c>
    </row>
    <row r="941" spans="1:9" ht="15" customHeight="1" x14ac:dyDescent="0.25">
      <c r="A941">
        <v>940</v>
      </c>
      <c r="B941">
        <v>3</v>
      </c>
      <c r="C941" t="s">
        <v>234</v>
      </c>
      <c r="D941">
        <v>480</v>
      </c>
      <c r="E941">
        <v>23</v>
      </c>
      <c r="F941" t="s">
        <v>33</v>
      </c>
      <c r="G941">
        <v>773</v>
      </c>
      <c r="H941">
        <v>16</v>
      </c>
      <c r="I941" t="str">
        <f t="shared" si="14"/>
        <v>2024-07</v>
      </c>
    </row>
    <row r="942" spans="1:9" ht="15" customHeight="1" x14ac:dyDescent="0.25">
      <c r="A942">
        <v>941</v>
      </c>
      <c r="B942">
        <v>3</v>
      </c>
      <c r="C942" t="s">
        <v>235</v>
      </c>
      <c r="D942">
        <v>480</v>
      </c>
      <c r="E942">
        <v>122</v>
      </c>
      <c r="F942" t="s">
        <v>29</v>
      </c>
      <c r="G942">
        <v>575</v>
      </c>
      <c r="H942">
        <v>8</v>
      </c>
      <c r="I942" t="str">
        <f t="shared" si="14"/>
        <v>2024-07</v>
      </c>
    </row>
    <row r="943" spans="1:9" ht="15" customHeight="1" x14ac:dyDescent="0.25">
      <c r="A943">
        <v>942</v>
      </c>
      <c r="B943">
        <v>3</v>
      </c>
      <c r="C943" t="s">
        <v>236</v>
      </c>
      <c r="D943">
        <v>480</v>
      </c>
      <c r="E943">
        <v>2</v>
      </c>
      <c r="F943" t="s">
        <v>24</v>
      </c>
      <c r="G943">
        <v>836</v>
      </c>
      <c r="H943">
        <v>15</v>
      </c>
      <c r="I943" t="str">
        <f t="shared" si="14"/>
        <v>2024-07</v>
      </c>
    </row>
    <row r="944" spans="1:9" ht="15" customHeight="1" x14ac:dyDescent="0.25">
      <c r="A944">
        <v>943</v>
      </c>
      <c r="B944">
        <v>3</v>
      </c>
      <c r="C944" t="s">
        <v>237</v>
      </c>
      <c r="D944">
        <v>480</v>
      </c>
      <c r="E944">
        <v>11</v>
      </c>
      <c r="F944" t="s">
        <v>45</v>
      </c>
      <c r="G944">
        <v>787</v>
      </c>
      <c r="H944">
        <v>10</v>
      </c>
      <c r="I944" t="str">
        <f t="shared" si="14"/>
        <v>2024-07</v>
      </c>
    </row>
    <row r="945" spans="1:9" ht="15" customHeight="1" x14ac:dyDescent="0.25">
      <c r="A945">
        <v>944</v>
      </c>
      <c r="B945">
        <v>3</v>
      </c>
      <c r="C945" t="s">
        <v>238</v>
      </c>
      <c r="D945">
        <v>480</v>
      </c>
      <c r="E945">
        <v>237</v>
      </c>
      <c r="F945" t="s">
        <v>45</v>
      </c>
      <c r="G945">
        <v>471</v>
      </c>
      <c r="H945">
        <v>3</v>
      </c>
      <c r="I945" t="str">
        <f t="shared" si="14"/>
        <v>2024-07</v>
      </c>
    </row>
    <row r="946" spans="1:9" ht="15" customHeight="1" x14ac:dyDescent="0.25">
      <c r="A946">
        <v>945</v>
      </c>
      <c r="B946">
        <v>3</v>
      </c>
      <c r="C946" t="s">
        <v>239</v>
      </c>
      <c r="D946">
        <v>480</v>
      </c>
      <c r="E946">
        <v>134</v>
      </c>
      <c r="F946" t="s">
        <v>29</v>
      </c>
      <c r="G946">
        <v>591</v>
      </c>
      <c r="H946">
        <v>8</v>
      </c>
      <c r="I946" t="str">
        <f t="shared" si="14"/>
        <v>2024-07</v>
      </c>
    </row>
    <row r="947" spans="1:9" ht="15" customHeight="1" x14ac:dyDescent="0.25">
      <c r="A947">
        <v>946</v>
      </c>
      <c r="B947">
        <v>3</v>
      </c>
      <c r="C947" t="s">
        <v>240</v>
      </c>
      <c r="D947">
        <v>480</v>
      </c>
      <c r="E947">
        <v>132</v>
      </c>
      <c r="F947" t="s">
        <v>22</v>
      </c>
      <c r="G947">
        <v>665</v>
      </c>
      <c r="H947">
        <v>14</v>
      </c>
      <c r="I947" t="str">
        <f t="shared" si="14"/>
        <v>2024-08</v>
      </c>
    </row>
    <row r="948" spans="1:9" ht="15" customHeight="1" x14ac:dyDescent="0.25">
      <c r="A948">
        <v>947</v>
      </c>
      <c r="B948">
        <v>3</v>
      </c>
      <c r="C948" t="s">
        <v>241</v>
      </c>
      <c r="D948">
        <v>480</v>
      </c>
      <c r="E948">
        <v>80</v>
      </c>
      <c r="F948" t="s">
        <v>22</v>
      </c>
      <c r="G948">
        <v>681</v>
      </c>
      <c r="H948">
        <v>13</v>
      </c>
      <c r="I948" t="str">
        <f t="shared" si="14"/>
        <v>2024-08</v>
      </c>
    </row>
    <row r="949" spans="1:9" ht="15" customHeight="1" x14ac:dyDescent="0.25">
      <c r="A949">
        <v>948</v>
      </c>
      <c r="B949">
        <v>3</v>
      </c>
      <c r="C949" t="s">
        <v>242</v>
      </c>
      <c r="D949">
        <v>480</v>
      </c>
      <c r="E949">
        <v>27</v>
      </c>
      <c r="F949" t="s">
        <v>22</v>
      </c>
      <c r="G949">
        <v>806</v>
      </c>
      <c r="H949">
        <v>10</v>
      </c>
      <c r="I949" t="str">
        <f t="shared" si="14"/>
        <v>2024-08</v>
      </c>
    </row>
    <row r="950" spans="1:9" ht="15" customHeight="1" x14ac:dyDescent="0.25">
      <c r="A950">
        <v>949</v>
      </c>
      <c r="B950">
        <v>3</v>
      </c>
      <c r="C950" t="s">
        <v>243</v>
      </c>
      <c r="D950">
        <v>480</v>
      </c>
      <c r="E950">
        <v>100</v>
      </c>
      <c r="F950" t="s">
        <v>22</v>
      </c>
      <c r="G950">
        <v>631</v>
      </c>
      <c r="H950">
        <v>6</v>
      </c>
      <c r="I950" t="str">
        <f t="shared" si="14"/>
        <v>2024-08</v>
      </c>
    </row>
    <row r="951" spans="1:9" ht="15" customHeight="1" x14ac:dyDescent="0.25">
      <c r="A951">
        <v>950</v>
      </c>
      <c r="B951">
        <v>3</v>
      </c>
      <c r="C951" t="s">
        <v>244</v>
      </c>
      <c r="D951">
        <v>480</v>
      </c>
      <c r="E951">
        <v>235</v>
      </c>
      <c r="F951" t="s">
        <v>24</v>
      </c>
      <c r="G951">
        <v>394</v>
      </c>
      <c r="H951">
        <v>6</v>
      </c>
      <c r="I951" t="str">
        <f t="shared" si="14"/>
        <v>2024-08</v>
      </c>
    </row>
    <row r="952" spans="1:9" ht="15" customHeight="1" x14ac:dyDescent="0.25">
      <c r="A952">
        <v>951</v>
      </c>
      <c r="B952">
        <v>3</v>
      </c>
      <c r="C952" t="s">
        <v>245</v>
      </c>
      <c r="D952">
        <v>480</v>
      </c>
      <c r="E952">
        <v>23</v>
      </c>
      <c r="F952" t="s">
        <v>27</v>
      </c>
      <c r="G952">
        <v>725</v>
      </c>
      <c r="H952">
        <v>6</v>
      </c>
      <c r="I952" t="str">
        <f t="shared" si="14"/>
        <v>2024-08</v>
      </c>
    </row>
    <row r="953" spans="1:9" ht="15" customHeight="1" x14ac:dyDescent="0.25">
      <c r="A953">
        <v>952</v>
      </c>
      <c r="B953">
        <v>3</v>
      </c>
      <c r="C953" t="s">
        <v>246</v>
      </c>
      <c r="D953">
        <v>480</v>
      </c>
      <c r="E953">
        <v>18</v>
      </c>
      <c r="F953" t="s">
        <v>22</v>
      </c>
      <c r="G953">
        <v>874</v>
      </c>
      <c r="H953">
        <v>10</v>
      </c>
      <c r="I953" t="str">
        <f t="shared" si="14"/>
        <v>2024-08</v>
      </c>
    </row>
    <row r="954" spans="1:9" ht="15" customHeight="1" x14ac:dyDescent="0.25">
      <c r="A954">
        <v>953</v>
      </c>
      <c r="B954">
        <v>3</v>
      </c>
      <c r="C954" t="s">
        <v>247</v>
      </c>
      <c r="D954">
        <v>480</v>
      </c>
      <c r="E954">
        <v>282</v>
      </c>
      <c r="F954" t="s">
        <v>24</v>
      </c>
      <c r="G954">
        <v>353</v>
      </c>
      <c r="H954">
        <v>5</v>
      </c>
      <c r="I954" t="str">
        <f t="shared" si="14"/>
        <v>2024-08</v>
      </c>
    </row>
    <row r="955" spans="1:9" ht="15" customHeight="1" x14ac:dyDescent="0.25">
      <c r="A955">
        <v>954</v>
      </c>
      <c r="B955">
        <v>3</v>
      </c>
      <c r="C955" t="s">
        <v>248</v>
      </c>
      <c r="D955">
        <v>480</v>
      </c>
      <c r="E955">
        <v>81</v>
      </c>
      <c r="F955" t="s">
        <v>45</v>
      </c>
      <c r="G955">
        <v>703</v>
      </c>
      <c r="H955">
        <v>13</v>
      </c>
      <c r="I955" t="str">
        <f t="shared" si="14"/>
        <v>2024-08</v>
      </c>
    </row>
    <row r="956" spans="1:9" ht="15" customHeight="1" x14ac:dyDescent="0.25">
      <c r="A956">
        <v>955</v>
      </c>
      <c r="B956">
        <v>3</v>
      </c>
      <c r="C956" t="s">
        <v>249</v>
      </c>
      <c r="D956">
        <v>480</v>
      </c>
      <c r="E956">
        <v>31</v>
      </c>
      <c r="F956" t="s">
        <v>22</v>
      </c>
      <c r="G956">
        <v>764</v>
      </c>
      <c r="H956">
        <v>16</v>
      </c>
      <c r="I956" t="str">
        <f t="shared" si="14"/>
        <v>2024-08</v>
      </c>
    </row>
    <row r="957" spans="1:9" ht="15" customHeight="1" x14ac:dyDescent="0.25">
      <c r="A957">
        <v>956</v>
      </c>
      <c r="B957">
        <v>3</v>
      </c>
      <c r="C957" t="s">
        <v>250</v>
      </c>
      <c r="D957">
        <v>480</v>
      </c>
      <c r="E957">
        <v>275</v>
      </c>
      <c r="F957" t="s">
        <v>22</v>
      </c>
      <c r="G957">
        <v>390</v>
      </c>
      <c r="H957">
        <v>5</v>
      </c>
      <c r="I957" t="str">
        <f t="shared" si="14"/>
        <v>2024-08</v>
      </c>
    </row>
    <row r="958" spans="1:9" ht="15" customHeight="1" x14ac:dyDescent="0.25">
      <c r="A958">
        <v>957</v>
      </c>
      <c r="B958">
        <v>3</v>
      </c>
      <c r="C958" t="s">
        <v>251</v>
      </c>
      <c r="D958">
        <v>480</v>
      </c>
      <c r="E958">
        <v>142</v>
      </c>
      <c r="F958" t="s">
        <v>29</v>
      </c>
      <c r="G958">
        <v>591</v>
      </c>
      <c r="H958">
        <v>9</v>
      </c>
      <c r="I958" t="str">
        <f t="shared" si="14"/>
        <v>2024-08</v>
      </c>
    </row>
    <row r="959" spans="1:9" ht="15" customHeight="1" x14ac:dyDescent="0.25">
      <c r="A959">
        <v>958</v>
      </c>
      <c r="B959">
        <v>3</v>
      </c>
      <c r="C959" t="s">
        <v>252</v>
      </c>
      <c r="D959">
        <v>480</v>
      </c>
      <c r="E959">
        <v>21</v>
      </c>
      <c r="F959" t="s">
        <v>24</v>
      </c>
      <c r="G959">
        <v>822</v>
      </c>
      <c r="H959">
        <v>8</v>
      </c>
      <c r="I959" t="str">
        <f t="shared" si="14"/>
        <v>2024-08</v>
      </c>
    </row>
    <row r="960" spans="1:9" ht="15" customHeight="1" x14ac:dyDescent="0.25">
      <c r="A960">
        <v>959</v>
      </c>
      <c r="B960">
        <v>3</v>
      </c>
      <c r="C960" t="s">
        <v>253</v>
      </c>
      <c r="D960">
        <v>480</v>
      </c>
      <c r="E960">
        <v>37</v>
      </c>
      <c r="F960" t="s">
        <v>27</v>
      </c>
      <c r="G960">
        <v>836</v>
      </c>
      <c r="H960">
        <v>9</v>
      </c>
      <c r="I960" t="str">
        <f t="shared" si="14"/>
        <v>2024-08</v>
      </c>
    </row>
    <row r="961" spans="1:9" ht="15" customHeight="1" x14ac:dyDescent="0.25">
      <c r="A961">
        <v>960</v>
      </c>
      <c r="B961">
        <v>3</v>
      </c>
      <c r="C961" t="s">
        <v>254</v>
      </c>
      <c r="D961">
        <v>480</v>
      </c>
      <c r="E961">
        <v>6</v>
      </c>
      <c r="F961" t="s">
        <v>45</v>
      </c>
      <c r="G961">
        <v>757</v>
      </c>
      <c r="H961">
        <v>16</v>
      </c>
      <c r="I961" t="str">
        <f t="shared" si="14"/>
        <v>2024-08</v>
      </c>
    </row>
    <row r="962" spans="1:9" ht="15" customHeight="1" x14ac:dyDescent="0.25">
      <c r="A962">
        <v>961</v>
      </c>
      <c r="B962">
        <v>3</v>
      </c>
      <c r="C962" t="s">
        <v>255</v>
      </c>
      <c r="D962">
        <v>480</v>
      </c>
      <c r="E962">
        <v>66</v>
      </c>
      <c r="F962" t="s">
        <v>45</v>
      </c>
      <c r="G962">
        <v>713</v>
      </c>
      <c r="H962">
        <v>14</v>
      </c>
      <c r="I962" t="str">
        <f t="shared" ref="I962:I1025" si="15">TEXT(C962,"yyyy-mm")</f>
        <v>2024-08</v>
      </c>
    </row>
    <row r="963" spans="1:9" ht="15" customHeight="1" x14ac:dyDescent="0.25">
      <c r="A963">
        <v>962</v>
      </c>
      <c r="B963">
        <v>3</v>
      </c>
      <c r="C963" t="s">
        <v>256</v>
      </c>
      <c r="D963">
        <v>480</v>
      </c>
      <c r="E963">
        <v>170</v>
      </c>
      <c r="F963" t="s">
        <v>33</v>
      </c>
      <c r="G963">
        <v>525</v>
      </c>
      <c r="H963">
        <v>9</v>
      </c>
      <c r="I963" t="str">
        <f t="shared" si="15"/>
        <v>2024-08</v>
      </c>
    </row>
    <row r="964" spans="1:9" ht="15" customHeight="1" x14ac:dyDescent="0.25">
      <c r="A964">
        <v>963</v>
      </c>
      <c r="B964">
        <v>3</v>
      </c>
      <c r="C964" t="s">
        <v>257</v>
      </c>
      <c r="D964">
        <v>480</v>
      </c>
      <c r="E964">
        <v>138</v>
      </c>
      <c r="F964" t="s">
        <v>24</v>
      </c>
      <c r="G964">
        <v>620</v>
      </c>
      <c r="H964">
        <v>6</v>
      </c>
      <c r="I964" t="str">
        <f t="shared" si="15"/>
        <v>2024-08</v>
      </c>
    </row>
    <row r="965" spans="1:9" ht="15" customHeight="1" x14ac:dyDescent="0.25">
      <c r="A965">
        <v>964</v>
      </c>
      <c r="B965">
        <v>3</v>
      </c>
      <c r="C965" t="s">
        <v>258</v>
      </c>
      <c r="D965">
        <v>480</v>
      </c>
      <c r="E965">
        <v>196</v>
      </c>
      <c r="F965" t="s">
        <v>27</v>
      </c>
      <c r="G965">
        <v>503</v>
      </c>
      <c r="H965">
        <v>6</v>
      </c>
      <c r="I965" t="str">
        <f t="shared" si="15"/>
        <v>2024-08</v>
      </c>
    </row>
    <row r="966" spans="1:9" ht="15" customHeight="1" x14ac:dyDescent="0.25">
      <c r="A966">
        <v>965</v>
      </c>
      <c r="B966">
        <v>3</v>
      </c>
      <c r="C966" t="s">
        <v>259</v>
      </c>
      <c r="D966">
        <v>480</v>
      </c>
      <c r="E966">
        <v>52</v>
      </c>
      <c r="F966" t="s">
        <v>27</v>
      </c>
      <c r="G966">
        <v>678</v>
      </c>
      <c r="H966">
        <v>6</v>
      </c>
      <c r="I966" t="str">
        <f t="shared" si="15"/>
        <v>2024-08</v>
      </c>
    </row>
    <row r="967" spans="1:9" ht="15" customHeight="1" x14ac:dyDescent="0.25">
      <c r="A967">
        <v>966</v>
      </c>
      <c r="B967">
        <v>3</v>
      </c>
      <c r="C967" t="s">
        <v>260</v>
      </c>
      <c r="D967">
        <v>480</v>
      </c>
      <c r="E967">
        <v>136</v>
      </c>
      <c r="F967" t="s">
        <v>22</v>
      </c>
      <c r="G967">
        <v>540</v>
      </c>
      <c r="H967">
        <v>7</v>
      </c>
      <c r="I967" t="str">
        <f t="shared" si="15"/>
        <v>2024-08</v>
      </c>
    </row>
    <row r="968" spans="1:9" ht="15" customHeight="1" x14ac:dyDescent="0.25">
      <c r="A968">
        <v>967</v>
      </c>
      <c r="B968">
        <v>3</v>
      </c>
      <c r="C968" t="s">
        <v>261</v>
      </c>
      <c r="D968">
        <v>480</v>
      </c>
      <c r="E968">
        <v>69</v>
      </c>
      <c r="F968" t="s">
        <v>24</v>
      </c>
      <c r="G968">
        <v>654</v>
      </c>
      <c r="H968">
        <v>14</v>
      </c>
      <c r="I968" t="str">
        <f t="shared" si="15"/>
        <v>2024-08</v>
      </c>
    </row>
    <row r="969" spans="1:9" ht="15" customHeight="1" x14ac:dyDescent="0.25">
      <c r="A969">
        <v>968</v>
      </c>
      <c r="B969">
        <v>3</v>
      </c>
      <c r="C969" t="s">
        <v>262</v>
      </c>
      <c r="D969">
        <v>480</v>
      </c>
      <c r="E969">
        <v>24</v>
      </c>
      <c r="F969" t="s">
        <v>27</v>
      </c>
      <c r="G969">
        <v>768</v>
      </c>
      <c r="H969">
        <v>9</v>
      </c>
      <c r="I969" t="str">
        <f t="shared" si="15"/>
        <v>2024-08</v>
      </c>
    </row>
    <row r="970" spans="1:9" ht="15" customHeight="1" x14ac:dyDescent="0.25">
      <c r="A970">
        <v>969</v>
      </c>
      <c r="B970">
        <v>3</v>
      </c>
      <c r="C970" t="s">
        <v>263</v>
      </c>
      <c r="D970">
        <v>480</v>
      </c>
      <c r="E970">
        <v>24</v>
      </c>
      <c r="F970" t="s">
        <v>29</v>
      </c>
      <c r="G970">
        <v>717</v>
      </c>
      <c r="H970">
        <v>13</v>
      </c>
      <c r="I970" t="str">
        <f t="shared" si="15"/>
        <v>2024-08</v>
      </c>
    </row>
    <row r="971" spans="1:9" ht="15" customHeight="1" x14ac:dyDescent="0.25">
      <c r="A971">
        <v>970</v>
      </c>
      <c r="B971">
        <v>3</v>
      </c>
      <c r="C971" t="s">
        <v>264</v>
      </c>
      <c r="D971">
        <v>480</v>
      </c>
      <c r="E971">
        <v>320</v>
      </c>
      <c r="F971" t="s">
        <v>24</v>
      </c>
      <c r="G971">
        <v>264</v>
      </c>
      <c r="H971">
        <v>4</v>
      </c>
      <c r="I971" t="str">
        <f t="shared" si="15"/>
        <v>2024-08</v>
      </c>
    </row>
    <row r="972" spans="1:9" ht="15" customHeight="1" x14ac:dyDescent="0.25">
      <c r="A972">
        <v>971</v>
      </c>
      <c r="B972">
        <v>3</v>
      </c>
      <c r="C972" t="s">
        <v>265</v>
      </c>
      <c r="D972">
        <v>480</v>
      </c>
      <c r="E972">
        <v>127</v>
      </c>
      <c r="F972" t="s">
        <v>24</v>
      </c>
      <c r="G972">
        <v>665</v>
      </c>
      <c r="H972">
        <v>9</v>
      </c>
      <c r="I972" t="str">
        <f t="shared" si="15"/>
        <v>2024-08</v>
      </c>
    </row>
    <row r="973" spans="1:9" ht="15" customHeight="1" x14ac:dyDescent="0.25">
      <c r="A973">
        <v>972</v>
      </c>
      <c r="B973">
        <v>3</v>
      </c>
      <c r="C973" t="s">
        <v>266</v>
      </c>
      <c r="D973">
        <v>480</v>
      </c>
      <c r="E973">
        <v>33</v>
      </c>
      <c r="F973" t="s">
        <v>22</v>
      </c>
      <c r="G973">
        <v>756</v>
      </c>
      <c r="H973">
        <v>14</v>
      </c>
      <c r="I973" t="str">
        <f t="shared" si="15"/>
        <v>2024-08</v>
      </c>
    </row>
    <row r="974" spans="1:9" ht="15" customHeight="1" x14ac:dyDescent="0.25">
      <c r="A974">
        <v>973</v>
      </c>
      <c r="B974">
        <v>3</v>
      </c>
      <c r="C974" t="s">
        <v>267</v>
      </c>
      <c r="D974">
        <v>480</v>
      </c>
      <c r="E974">
        <v>159</v>
      </c>
      <c r="F974" t="s">
        <v>24</v>
      </c>
      <c r="G974">
        <v>526</v>
      </c>
      <c r="H974">
        <v>7</v>
      </c>
      <c r="I974" t="str">
        <f t="shared" si="15"/>
        <v>2024-08</v>
      </c>
    </row>
    <row r="975" spans="1:9" ht="15" customHeight="1" x14ac:dyDescent="0.25">
      <c r="A975">
        <v>974</v>
      </c>
      <c r="B975">
        <v>3</v>
      </c>
      <c r="C975" t="s">
        <v>268</v>
      </c>
      <c r="D975">
        <v>480</v>
      </c>
      <c r="E975">
        <v>218</v>
      </c>
      <c r="F975" t="s">
        <v>24</v>
      </c>
      <c r="G975">
        <v>490</v>
      </c>
      <c r="H975">
        <v>11</v>
      </c>
      <c r="I975" t="str">
        <f t="shared" si="15"/>
        <v>2024-08</v>
      </c>
    </row>
    <row r="976" spans="1:9" ht="15" customHeight="1" x14ac:dyDescent="0.25">
      <c r="A976">
        <v>975</v>
      </c>
      <c r="B976">
        <v>3</v>
      </c>
      <c r="C976" t="s">
        <v>269</v>
      </c>
      <c r="D976">
        <v>480</v>
      </c>
      <c r="E976">
        <v>132</v>
      </c>
      <c r="F976" t="s">
        <v>27</v>
      </c>
      <c r="G976">
        <v>597</v>
      </c>
      <c r="H976">
        <v>10</v>
      </c>
      <c r="I976" t="str">
        <f t="shared" si="15"/>
        <v>2024-08</v>
      </c>
    </row>
    <row r="977" spans="1:9" ht="15" customHeight="1" x14ac:dyDescent="0.25">
      <c r="A977">
        <v>976</v>
      </c>
      <c r="B977">
        <v>3</v>
      </c>
      <c r="C977" t="s">
        <v>270</v>
      </c>
      <c r="D977">
        <v>480</v>
      </c>
      <c r="E977">
        <v>101</v>
      </c>
      <c r="F977" t="s">
        <v>22</v>
      </c>
      <c r="G977">
        <v>606</v>
      </c>
      <c r="H977">
        <v>9</v>
      </c>
      <c r="I977" t="str">
        <f t="shared" si="15"/>
        <v>2024-08</v>
      </c>
    </row>
    <row r="978" spans="1:9" ht="15" customHeight="1" x14ac:dyDescent="0.25">
      <c r="A978">
        <v>977</v>
      </c>
      <c r="B978">
        <v>3</v>
      </c>
      <c r="C978" t="s">
        <v>271</v>
      </c>
      <c r="D978">
        <v>480</v>
      </c>
      <c r="E978">
        <v>116</v>
      </c>
      <c r="F978" t="s">
        <v>33</v>
      </c>
      <c r="G978">
        <v>594</v>
      </c>
      <c r="H978">
        <v>11</v>
      </c>
      <c r="I978" t="str">
        <f t="shared" si="15"/>
        <v>2024-09</v>
      </c>
    </row>
    <row r="979" spans="1:9" ht="15" customHeight="1" x14ac:dyDescent="0.25">
      <c r="A979">
        <v>978</v>
      </c>
      <c r="B979">
        <v>3</v>
      </c>
      <c r="C979" t="s">
        <v>272</v>
      </c>
      <c r="D979">
        <v>480</v>
      </c>
      <c r="E979">
        <v>82</v>
      </c>
      <c r="F979" t="s">
        <v>22</v>
      </c>
      <c r="G979">
        <v>766</v>
      </c>
      <c r="H979">
        <v>6</v>
      </c>
      <c r="I979" t="str">
        <f t="shared" si="15"/>
        <v>2024-09</v>
      </c>
    </row>
    <row r="980" spans="1:9" ht="15" customHeight="1" x14ac:dyDescent="0.25">
      <c r="A980">
        <v>979</v>
      </c>
      <c r="B980">
        <v>3</v>
      </c>
      <c r="C980" t="s">
        <v>273</v>
      </c>
      <c r="D980">
        <v>480</v>
      </c>
      <c r="E980">
        <v>29</v>
      </c>
      <c r="F980" t="s">
        <v>22</v>
      </c>
      <c r="G980">
        <v>809</v>
      </c>
      <c r="H980">
        <v>10</v>
      </c>
      <c r="I980" t="str">
        <f t="shared" si="15"/>
        <v>2024-09</v>
      </c>
    </row>
    <row r="981" spans="1:9" ht="15" customHeight="1" x14ac:dyDescent="0.25">
      <c r="A981">
        <v>980</v>
      </c>
      <c r="B981">
        <v>3</v>
      </c>
      <c r="C981" t="s">
        <v>274</v>
      </c>
      <c r="D981">
        <v>480</v>
      </c>
      <c r="E981">
        <v>117</v>
      </c>
      <c r="F981" t="s">
        <v>24</v>
      </c>
      <c r="G981">
        <v>672</v>
      </c>
      <c r="H981">
        <v>6</v>
      </c>
      <c r="I981" t="str">
        <f t="shared" si="15"/>
        <v>2024-09</v>
      </c>
    </row>
    <row r="982" spans="1:9" ht="15" customHeight="1" x14ac:dyDescent="0.25">
      <c r="A982">
        <v>981</v>
      </c>
      <c r="B982">
        <v>3</v>
      </c>
      <c r="C982" t="s">
        <v>275</v>
      </c>
      <c r="D982">
        <v>480</v>
      </c>
      <c r="E982">
        <v>67</v>
      </c>
      <c r="F982" t="s">
        <v>24</v>
      </c>
      <c r="G982">
        <v>727</v>
      </c>
      <c r="H982">
        <v>9</v>
      </c>
      <c r="I982" t="str">
        <f t="shared" si="15"/>
        <v>2024-09</v>
      </c>
    </row>
    <row r="983" spans="1:9" ht="15" customHeight="1" x14ac:dyDescent="0.25">
      <c r="A983">
        <v>982</v>
      </c>
      <c r="B983">
        <v>3</v>
      </c>
      <c r="C983" t="s">
        <v>276</v>
      </c>
      <c r="D983">
        <v>480</v>
      </c>
      <c r="E983">
        <v>254</v>
      </c>
      <c r="F983" t="s">
        <v>24</v>
      </c>
      <c r="G983">
        <v>424</v>
      </c>
      <c r="H983">
        <v>7</v>
      </c>
      <c r="I983" t="str">
        <f t="shared" si="15"/>
        <v>2024-09</v>
      </c>
    </row>
    <row r="984" spans="1:9" ht="15" customHeight="1" x14ac:dyDescent="0.25">
      <c r="A984">
        <v>983</v>
      </c>
      <c r="B984">
        <v>3</v>
      </c>
      <c r="C984" t="s">
        <v>277</v>
      </c>
      <c r="D984">
        <v>480</v>
      </c>
      <c r="E984">
        <v>117</v>
      </c>
      <c r="F984" t="s">
        <v>29</v>
      </c>
      <c r="G984">
        <v>632</v>
      </c>
      <c r="H984">
        <v>13</v>
      </c>
      <c r="I984" t="str">
        <f t="shared" si="15"/>
        <v>2024-09</v>
      </c>
    </row>
    <row r="985" spans="1:9" ht="15" customHeight="1" x14ac:dyDescent="0.25">
      <c r="A985">
        <v>984</v>
      </c>
      <c r="B985">
        <v>3</v>
      </c>
      <c r="C985" t="s">
        <v>278</v>
      </c>
      <c r="D985">
        <v>480</v>
      </c>
      <c r="E985">
        <v>111</v>
      </c>
      <c r="F985" t="s">
        <v>22</v>
      </c>
      <c r="G985">
        <v>679</v>
      </c>
      <c r="H985">
        <v>679</v>
      </c>
      <c r="I985" t="str">
        <f t="shared" si="15"/>
        <v>2024-09</v>
      </c>
    </row>
    <row r="986" spans="1:9" ht="15" customHeight="1" x14ac:dyDescent="0.25">
      <c r="A986">
        <v>985</v>
      </c>
      <c r="B986">
        <v>3</v>
      </c>
      <c r="C986" t="s">
        <v>279</v>
      </c>
      <c r="D986">
        <v>480</v>
      </c>
      <c r="E986">
        <v>30</v>
      </c>
      <c r="F986" t="s">
        <v>29</v>
      </c>
      <c r="G986">
        <v>842</v>
      </c>
      <c r="H986">
        <v>9</v>
      </c>
      <c r="I986" t="str">
        <f t="shared" si="15"/>
        <v>2024-09</v>
      </c>
    </row>
    <row r="987" spans="1:9" ht="15" customHeight="1" x14ac:dyDescent="0.25">
      <c r="A987">
        <v>986</v>
      </c>
      <c r="B987">
        <v>3</v>
      </c>
      <c r="C987" t="s">
        <v>280</v>
      </c>
      <c r="D987">
        <v>480</v>
      </c>
      <c r="E987">
        <v>39</v>
      </c>
      <c r="F987" t="s">
        <v>22</v>
      </c>
      <c r="G987">
        <v>748</v>
      </c>
      <c r="H987">
        <v>17</v>
      </c>
      <c r="I987" t="str">
        <f t="shared" si="15"/>
        <v>2024-09</v>
      </c>
    </row>
    <row r="988" spans="1:9" ht="15" customHeight="1" x14ac:dyDescent="0.25">
      <c r="A988">
        <v>987</v>
      </c>
      <c r="B988">
        <v>3</v>
      </c>
      <c r="C988" t="s">
        <v>281</v>
      </c>
      <c r="D988">
        <v>480</v>
      </c>
      <c r="E988">
        <v>182</v>
      </c>
      <c r="F988" t="s">
        <v>45</v>
      </c>
      <c r="G988">
        <v>545</v>
      </c>
      <c r="H988">
        <v>10</v>
      </c>
      <c r="I988" t="str">
        <f t="shared" si="15"/>
        <v>2024-09</v>
      </c>
    </row>
    <row r="989" spans="1:9" ht="15" customHeight="1" x14ac:dyDescent="0.25">
      <c r="A989">
        <v>988</v>
      </c>
      <c r="B989">
        <v>3</v>
      </c>
      <c r="C989" t="s">
        <v>282</v>
      </c>
      <c r="D989">
        <v>480</v>
      </c>
      <c r="E989">
        <v>77</v>
      </c>
      <c r="F989" t="s">
        <v>22</v>
      </c>
      <c r="G989">
        <v>774</v>
      </c>
      <c r="H989">
        <v>11</v>
      </c>
      <c r="I989" t="str">
        <f t="shared" si="15"/>
        <v>2024-09</v>
      </c>
    </row>
    <row r="990" spans="1:9" ht="15" customHeight="1" x14ac:dyDescent="0.25">
      <c r="A990">
        <v>989</v>
      </c>
      <c r="B990">
        <v>3</v>
      </c>
      <c r="C990" t="s">
        <v>283</v>
      </c>
      <c r="D990">
        <v>480</v>
      </c>
      <c r="E990">
        <v>45</v>
      </c>
      <c r="F990" t="s">
        <v>29</v>
      </c>
      <c r="G990">
        <v>710</v>
      </c>
      <c r="H990">
        <v>14</v>
      </c>
      <c r="I990" t="str">
        <f t="shared" si="15"/>
        <v>2024-09</v>
      </c>
    </row>
    <row r="991" spans="1:9" ht="15" customHeight="1" x14ac:dyDescent="0.25">
      <c r="A991">
        <v>990</v>
      </c>
      <c r="B991">
        <v>3</v>
      </c>
      <c r="C991" t="s">
        <v>284</v>
      </c>
      <c r="D991">
        <v>480</v>
      </c>
      <c r="E991">
        <v>124</v>
      </c>
      <c r="F991" t="s">
        <v>29</v>
      </c>
      <c r="G991">
        <v>610</v>
      </c>
      <c r="H991">
        <v>4</v>
      </c>
      <c r="I991" t="str">
        <f t="shared" si="15"/>
        <v>2024-09</v>
      </c>
    </row>
    <row r="992" spans="1:9" ht="15" customHeight="1" x14ac:dyDescent="0.25">
      <c r="A992">
        <v>991</v>
      </c>
      <c r="B992">
        <v>3</v>
      </c>
      <c r="C992" t="s">
        <v>285</v>
      </c>
      <c r="D992">
        <v>480</v>
      </c>
      <c r="E992">
        <v>171</v>
      </c>
      <c r="F992" t="s">
        <v>27</v>
      </c>
      <c r="G992">
        <v>487</v>
      </c>
      <c r="H992">
        <v>9</v>
      </c>
      <c r="I992" t="str">
        <f t="shared" si="15"/>
        <v>2024-09</v>
      </c>
    </row>
    <row r="993" spans="1:9" ht="15" customHeight="1" x14ac:dyDescent="0.25">
      <c r="A993">
        <v>992</v>
      </c>
      <c r="B993">
        <v>3</v>
      </c>
      <c r="C993" t="s">
        <v>286</v>
      </c>
      <c r="D993">
        <v>480</v>
      </c>
      <c r="E993">
        <v>330</v>
      </c>
      <c r="F993" t="s">
        <v>27</v>
      </c>
      <c r="G993">
        <v>260</v>
      </c>
      <c r="H993">
        <v>2</v>
      </c>
      <c r="I993" t="str">
        <f t="shared" si="15"/>
        <v>2024-09</v>
      </c>
    </row>
    <row r="994" spans="1:9" ht="15" customHeight="1" x14ac:dyDescent="0.25">
      <c r="A994">
        <v>993</v>
      </c>
      <c r="B994">
        <v>3</v>
      </c>
      <c r="C994" t="s">
        <v>287</v>
      </c>
      <c r="D994">
        <v>480</v>
      </c>
      <c r="E994">
        <v>114</v>
      </c>
      <c r="F994" t="s">
        <v>24</v>
      </c>
      <c r="G994">
        <v>686</v>
      </c>
      <c r="H994">
        <v>11</v>
      </c>
      <c r="I994" t="str">
        <f t="shared" si="15"/>
        <v>2024-09</v>
      </c>
    </row>
    <row r="995" spans="1:9" ht="15" customHeight="1" x14ac:dyDescent="0.25">
      <c r="A995">
        <v>994</v>
      </c>
      <c r="B995">
        <v>3</v>
      </c>
      <c r="C995" t="s">
        <v>288</v>
      </c>
      <c r="D995">
        <v>480</v>
      </c>
      <c r="E995">
        <v>321</v>
      </c>
      <c r="F995" t="s">
        <v>22</v>
      </c>
      <c r="G995">
        <v>253</v>
      </c>
      <c r="H995">
        <v>3</v>
      </c>
      <c r="I995" t="str">
        <f t="shared" si="15"/>
        <v>2024-09</v>
      </c>
    </row>
    <row r="996" spans="1:9" ht="15" customHeight="1" x14ac:dyDescent="0.25">
      <c r="A996">
        <v>995</v>
      </c>
      <c r="B996">
        <v>3</v>
      </c>
      <c r="C996" t="s">
        <v>289</v>
      </c>
      <c r="D996">
        <v>480</v>
      </c>
      <c r="E996">
        <v>119</v>
      </c>
      <c r="F996" t="s">
        <v>45</v>
      </c>
      <c r="G996">
        <v>682</v>
      </c>
      <c r="H996">
        <v>7</v>
      </c>
      <c r="I996" t="str">
        <f t="shared" si="15"/>
        <v>2024-09</v>
      </c>
    </row>
    <row r="997" spans="1:9" ht="15" customHeight="1" x14ac:dyDescent="0.25">
      <c r="A997">
        <v>996</v>
      </c>
      <c r="B997">
        <v>3</v>
      </c>
      <c r="C997" t="s">
        <v>290</v>
      </c>
      <c r="D997">
        <v>480</v>
      </c>
      <c r="E997">
        <v>151</v>
      </c>
      <c r="F997" t="s">
        <v>33</v>
      </c>
      <c r="G997">
        <v>584</v>
      </c>
      <c r="H997">
        <v>8</v>
      </c>
      <c r="I997" t="str">
        <f t="shared" si="15"/>
        <v>2024-09</v>
      </c>
    </row>
    <row r="998" spans="1:9" ht="15" customHeight="1" x14ac:dyDescent="0.25">
      <c r="A998">
        <v>997</v>
      </c>
      <c r="B998">
        <v>3</v>
      </c>
      <c r="C998" t="s">
        <v>291</v>
      </c>
      <c r="D998">
        <v>480</v>
      </c>
      <c r="E998">
        <v>13</v>
      </c>
      <c r="F998" t="s">
        <v>33</v>
      </c>
      <c r="G998">
        <v>883</v>
      </c>
      <c r="H998">
        <v>9</v>
      </c>
      <c r="I998" t="str">
        <f t="shared" si="15"/>
        <v>2024-09</v>
      </c>
    </row>
    <row r="999" spans="1:9" ht="15" customHeight="1" x14ac:dyDescent="0.25">
      <c r="A999">
        <v>998</v>
      </c>
      <c r="B999">
        <v>3</v>
      </c>
      <c r="C999" t="s">
        <v>292</v>
      </c>
      <c r="D999">
        <v>480</v>
      </c>
      <c r="E999">
        <v>34</v>
      </c>
      <c r="F999" t="s">
        <v>22</v>
      </c>
      <c r="G999">
        <v>749</v>
      </c>
      <c r="H999">
        <v>15</v>
      </c>
      <c r="I999" t="str">
        <f t="shared" si="15"/>
        <v>2024-09</v>
      </c>
    </row>
    <row r="1000" spans="1:9" ht="15" customHeight="1" x14ac:dyDescent="0.25">
      <c r="A1000">
        <v>999</v>
      </c>
      <c r="B1000">
        <v>3</v>
      </c>
      <c r="C1000" t="s">
        <v>293</v>
      </c>
      <c r="D1000">
        <v>480</v>
      </c>
      <c r="E1000">
        <v>105</v>
      </c>
      <c r="F1000" t="s">
        <v>45</v>
      </c>
      <c r="G1000">
        <v>700</v>
      </c>
      <c r="H1000">
        <v>8</v>
      </c>
      <c r="I1000" t="str">
        <f t="shared" si="15"/>
        <v>2024-09</v>
      </c>
    </row>
    <row r="1001" spans="1:9" ht="15" customHeight="1" x14ac:dyDescent="0.25">
      <c r="A1001">
        <v>1000</v>
      </c>
      <c r="B1001">
        <v>3</v>
      </c>
      <c r="C1001" t="s">
        <v>294</v>
      </c>
      <c r="D1001">
        <v>480</v>
      </c>
      <c r="E1001">
        <v>92</v>
      </c>
      <c r="F1001" t="s">
        <v>27</v>
      </c>
      <c r="G1001">
        <v>692</v>
      </c>
      <c r="H1001">
        <v>14</v>
      </c>
      <c r="I1001" t="str">
        <f t="shared" si="15"/>
        <v>2024-09</v>
      </c>
    </row>
    <row r="1002" spans="1:9" ht="15" customHeight="1" x14ac:dyDescent="0.25">
      <c r="A1002">
        <v>1001</v>
      </c>
      <c r="B1002">
        <v>3</v>
      </c>
      <c r="C1002" t="s">
        <v>295</v>
      </c>
      <c r="D1002">
        <v>480</v>
      </c>
      <c r="E1002">
        <v>222</v>
      </c>
      <c r="F1002" t="s">
        <v>33</v>
      </c>
      <c r="G1002">
        <v>406</v>
      </c>
      <c r="H1002">
        <v>7</v>
      </c>
      <c r="I1002" t="str">
        <f t="shared" si="15"/>
        <v>2024-09</v>
      </c>
    </row>
    <row r="1003" spans="1:9" ht="15" customHeight="1" x14ac:dyDescent="0.25">
      <c r="A1003">
        <v>1002</v>
      </c>
      <c r="B1003">
        <v>3</v>
      </c>
      <c r="C1003" t="s">
        <v>296</v>
      </c>
      <c r="D1003">
        <v>480</v>
      </c>
      <c r="E1003">
        <v>5</v>
      </c>
      <c r="F1003" t="s">
        <v>22</v>
      </c>
      <c r="G1003">
        <v>843</v>
      </c>
      <c r="H1003">
        <v>10</v>
      </c>
      <c r="I1003" t="str">
        <f t="shared" si="15"/>
        <v>2024-09</v>
      </c>
    </row>
    <row r="1004" spans="1:9" ht="15" customHeight="1" x14ac:dyDescent="0.25">
      <c r="A1004">
        <v>1003</v>
      </c>
      <c r="B1004">
        <v>3</v>
      </c>
      <c r="C1004" t="s">
        <v>297</v>
      </c>
      <c r="D1004">
        <v>480</v>
      </c>
      <c r="E1004">
        <v>34</v>
      </c>
      <c r="F1004" t="s">
        <v>27</v>
      </c>
      <c r="G1004">
        <v>759</v>
      </c>
      <c r="H1004">
        <v>13</v>
      </c>
      <c r="I1004" t="str">
        <f t="shared" si="15"/>
        <v>2024-09</v>
      </c>
    </row>
    <row r="1005" spans="1:9" ht="15" customHeight="1" x14ac:dyDescent="0.25">
      <c r="A1005">
        <v>1004</v>
      </c>
      <c r="B1005">
        <v>3</v>
      </c>
      <c r="C1005" t="s">
        <v>298</v>
      </c>
      <c r="D1005">
        <v>480</v>
      </c>
      <c r="E1005">
        <v>38</v>
      </c>
      <c r="F1005" t="s">
        <v>27</v>
      </c>
      <c r="G1005">
        <v>814</v>
      </c>
      <c r="H1005">
        <v>11</v>
      </c>
      <c r="I1005" t="str">
        <f t="shared" si="15"/>
        <v>2024-09</v>
      </c>
    </row>
    <row r="1006" spans="1:9" ht="15" customHeight="1" x14ac:dyDescent="0.25">
      <c r="A1006">
        <v>1005</v>
      </c>
      <c r="B1006">
        <v>3</v>
      </c>
      <c r="C1006" t="s">
        <v>299</v>
      </c>
      <c r="D1006">
        <v>480</v>
      </c>
      <c r="E1006">
        <v>6</v>
      </c>
      <c r="F1006" t="s">
        <v>45</v>
      </c>
      <c r="G1006">
        <v>882</v>
      </c>
      <c r="H1006">
        <v>10</v>
      </c>
      <c r="I1006" t="str">
        <f t="shared" si="15"/>
        <v>2024-09</v>
      </c>
    </row>
    <row r="1007" spans="1:9" ht="15" customHeight="1" x14ac:dyDescent="0.25">
      <c r="A1007">
        <v>1006</v>
      </c>
      <c r="B1007">
        <v>3</v>
      </c>
      <c r="C1007" t="s">
        <v>300</v>
      </c>
      <c r="D1007">
        <v>480</v>
      </c>
      <c r="E1007">
        <v>53</v>
      </c>
      <c r="F1007" t="s">
        <v>24</v>
      </c>
      <c r="G1007">
        <v>779</v>
      </c>
      <c r="H1007">
        <v>10</v>
      </c>
      <c r="I1007" t="str">
        <f t="shared" si="15"/>
        <v>2024-09</v>
      </c>
    </row>
    <row r="1008" spans="1:9" ht="15" customHeight="1" x14ac:dyDescent="0.25">
      <c r="A1008">
        <v>1007</v>
      </c>
      <c r="B1008">
        <v>3</v>
      </c>
      <c r="C1008" t="s">
        <v>301</v>
      </c>
      <c r="D1008">
        <v>480</v>
      </c>
      <c r="E1008">
        <v>5</v>
      </c>
      <c r="F1008" t="s">
        <v>29</v>
      </c>
      <c r="G1008">
        <v>812</v>
      </c>
      <c r="H1008">
        <v>18</v>
      </c>
      <c r="I1008" t="str">
        <f t="shared" si="15"/>
        <v>2024-10</v>
      </c>
    </row>
    <row r="1009" spans="1:9" ht="15" customHeight="1" x14ac:dyDescent="0.25">
      <c r="A1009">
        <v>1008</v>
      </c>
      <c r="B1009">
        <v>3</v>
      </c>
      <c r="C1009" t="s">
        <v>302</v>
      </c>
      <c r="D1009">
        <v>480</v>
      </c>
      <c r="E1009">
        <v>96</v>
      </c>
      <c r="F1009" t="s">
        <v>24</v>
      </c>
      <c r="G1009">
        <v>699</v>
      </c>
      <c r="H1009">
        <v>12</v>
      </c>
      <c r="I1009" t="str">
        <f t="shared" si="15"/>
        <v>2024-10</v>
      </c>
    </row>
    <row r="1010" spans="1:9" ht="15" customHeight="1" x14ac:dyDescent="0.25">
      <c r="A1010">
        <v>1009</v>
      </c>
      <c r="B1010">
        <v>3</v>
      </c>
      <c r="C1010" t="s">
        <v>303</v>
      </c>
      <c r="D1010">
        <v>480</v>
      </c>
      <c r="E1010">
        <v>20</v>
      </c>
      <c r="F1010" t="s">
        <v>22</v>
      </c>
      <c r="G1010">
        <v>794</v>
      </c>
      <c r="H1010">
        <v>15</v>
      </c>
      <c r="I1010" t="str">
        <f t="shared" si="15"/>
        <v>2024-10</v>
      </c>
    </row>
    <row r="1011" spans="1:9" ht="15" customHeight="1" x14ac:dyDescent="0.25">
      <c r="A1011">
        <v>1010</v>
      </c>
      <c r="B1011">
        <v>3</v>
      </c>
      <c r="C1011" t="s">
        <v>304</v>
      </c>
      <c r="D1011">
        <v>480</v>
      </c>
      <c r="E1011">
        <v>10</v>
      </c>
      <c r="F1011" t="s">
        <v>29</v>
      </c>
      <c r="G1011">
        <v>787</v>
      </c>
      <c r="H1011">
        <v>9</v>
      </c>
      <c r="I1011" t="str">
        <f t="shared" si="15"/>
        <v>2024-10</v>
      </c>
    </row>
    <row r="1012" spans="1:9" ht="15" customHeight="1" x14ac:dyDescent="0.25">
      <c r="A1012">
        <v>1011</v>
      </c>
      <c r="B1012">
        <v>3</v>
      </c>
      <c r="C1012" t="s">
        <v>305</v>
      </c>
      <c r="D1012">
        <v>480</v>
      </c>
      <c r="E1012">
        <v>53</v>
      </c>
      <c r="F1012" t="s">
        <v>24</v>
      </c>
      <c r="G1012">
        <v>826</v>
      </c>
      <c r="H1012">
        <v>7</v>
      </c>
      <c r="I1012" t="str">
        <f t="shared" si="15"/>
        <v>2024-10</v>
      </c>
    </row>
    <row r="1013" spans="1:9" ht="15" customHeight="1" x14ac:dyDescent="0.25">
      <c r="A1013">
        <v>1012</v>
      </c>
      <c r="B1013">
        <v>3</v>
      </c>
      <c r="C1013" t="s">
        <v>306</v>
      </c>
      <c r="D1013">
        <v>480</v>
      </c>
      <c r="E1013">
        <v>68</v>
      </c>
      <c r="F1013" t="s">
        <v>24</v>
      </c>
      <c r="G1013">
        <v>675</v>
      </c>
      <c r="H1013">
        <v>15</v>
      </c>
      <c r="I1013" t="str">
        <f t="shared" si="15"/>
        <v>2024-10</v>
      </c>
    </row>
    <row r="1014" spans="1:9" ht="15" customHeight="1" x14ac:dyDescent="0.25">
      <c r="A1014">
        <v>1013</v>
      </c>
      <c r="B1014">
        <v>3</v>
      </c>
      <c r="C1014" t="s">
        <v>307</v>
      </c>
      <c r="D1014">
        <v>480</v>
      </c>
      <c r="E1014">
        <v>11</v>
      </c>
      <c r="F1014" t="s">
        <v>27</v>
      </c>
      <c r="G1014">
        <v>807</v>
      </c>
      <c r="H1014">
        <v>15</v>
      </c>
      <c r="I1014" t="str">
        <f t="shared" si="15"/>
        <v>2024-10</v>
      </c>
    </row>
    <row r="1015" spans="1:9" ht="15" customHeight="1" x14ac:dyDescent="0.25">
      <c r="A1015">
        <v>1014</v>
      </c>
      <c r="B1015">
        <v>3</v>
      </c>
      <c r="C1015" t="s">
        <v>308</v>
      </c>
      <c r="D1015">
        <v>480</v>
      </c>
      <c r="E1015">
        <v>114</v>
      </c>
      <c r="F1015" t="s">
        <v>45</v>
      </c>
      <c r="G1015">
        <v>632</v>
      </c>
      <c r="H1015">
        <v>8</v>
      </c>
      <c r="I1015" t="str">
        <f t="shared" si="15"/>
        <v>2024-10</v>
      </c>
    </row>
    <row r="1016" spans="1:9" ht="15" customHeight="1" x14ac:dyDescent="0.25">
      <c r="A1016">
        <v>1015</v>
      </c>
      <c r="B1016">
        <v>3</v>
      </c>
      <c r="C1016" t="s">
        <v>309</v>
      </c>
      <c r="D1016">
        <v>480</v>
      </c>
      <c r="E1016">
        <v>47</v>
      </c>
      <c r="F1016" t="s">
        <v>29</v>
      </c>
      <c r="G1016">
        <v>723</v>
      </c>
      <c r="H1016">
        <v>7</v>
      </c>
      <c r="I1016" t="str">
        <f t="shared" si="15"/>
        <v>2024-10</v>
      </c>
    </row>
    <row r="1017" spans="1:9" ht="15" customHeight="1" x14ac:dyDescent="0.25">
      <c r="A1017">
        <v>1016</v>
      </c>
      <c r="B1017">
        <v>3</v>
      </c>
      <c r="C1017" t="s">
        <v>310</v>
      </c>
      <c r="D1017">
        <v>480</v>
      </c>
      <c r="E1017">
        <v>62</v>
      </c>
      <c r="F1017" t="s">
        <v>29</v>
      </c>
      <c r="G1017">
        <v>698</v>
      </c>
      <c r="H1017">
        <v>8</v>
      </c>
      <c r="I1017" t="str">
        <f t="shared" si="15"/>
        <v>2024-10</v>
      </c>
    </row>
    <row r="1018" spans="1:9" ht="15" customHeight="1" x14ac:dyDescent="0.25">
      <c r="A1018">
        <v>1017</v>
      </c>
      <c r="B1018">
        <v>3</v>
      </c>
      <c r="C1018" t="s">
        <v>311</v>
      </c>
      <c r="D1018">
        <v>480</v>
      </c>
      <c r="E1018">
        <v>100</v>
      </c>
      <c r="F1018" t="s">
        <v>29</v>
      </c>
      <c r="G1018">
        <v>733</v>
      </c>
      <c r="H1018">
        <v>12</v>
      </c>
      <c r="I1018" t="str">
        <f t="shared" si="15"/>
        <v>2024-10</v>
      </c>
    </row>
    <row r="1019" spans="1:9" ht="15" customHeight="1" x14ac:dyDescent="0.25">
      <c r="A1019">
        <v>1018</v>
      </c>
      <c r="B1019">
        <v>3</v>
      </c>
      <c r="C1019" t="s">
        <v>312</v>
      </c>
      <c r="D1019">
        <v>480</v>
      </c>
      <c r="E1019">
        <v>7</v>
      </c>
      <c r="F1019" t="s">
        <v>45</v>
      </c>
      <c r="G1019">
        <v>757</v>
      </c>
      <c r="H1019">
        <v>17</v>
      </c>
      <c r="I1019" t="str">
        <f t="shared" si="15"/>
        <v>2024-10</v>
      </c>
    </row>
    <row r="1020" spans="1:9" ht="15" customHeight="1" x14ac:dyDescent="0.25">
      <c r="A1020">
        <v>1019</v>
      </c>
      <c r="B1020">
        <v>3</v>
      </c>
      <c r="C1020" t="s">
        <v>313</v>
      </c>
      <c r="D1020">
        <v>480</v>
      </c>
      <c r="E1020">
        <v>33</v>
      </c>
      <c r="F1020" t="s">
        <v>24</v>
      </c>
      <c r="G1020">
        <v>718</v>
      </c>
      <c r="H1020">
        <v>12</v>
      </c>
      <c r="I1020" t="str">
        <f t="shared" si="15"/>
        <v>2024-10</v>
      </c>
    </row>
    <row r="1021" spans="1:9" ht="15" customHeight="1" x14ac:dyDescent="0.25">
      <c r="A1021">
        <v>1020</v>
      </c>
      <c r="B1021">
        <v>3</v>
      </c>
      <c r="C1021" t="s">
        <v>314</v>
      </c>
      <c r="D1021">
        <v>480</v>
      </c>
      <c r="E1021">
        <v>91</v>
      </c>
      <c r="F1021" t="s">
        <v>45</v>
      </c>
      <c r="G1021">
        <v>705</v>
      </c>
      <c r="H1021">
        <v>8</v>
      </c>
      <c r="I1021" t="str">
        <f t="shared" si="15"/>
        <v>2024-10</v>
      </c>
    </row>
    <row r="1022" spans="1:9" ht="15" customHeight="1" x14ac:dyDescent="0.25">
      <c r="A1022">
        <v>1021</v>
      </c>
      <c r="B1022">
        <v>3</v>
      </c>
      <c r="C1022" t="s">
        <v>315</v>
      </c>
      <c r="D1022">
        <v>480</v>
      </c>
      <c r="E1022">
        <v>1</v>
      </c>
      <c r="F1022" t="s">
        <v>45</v>
      </c>
      <c r="G1022">
        <v>924</v>
      </c>
      <c r="H1022">
        <v>10</v>
      </c>
      <c r="I1022" t="str">
        <f t="shared" si="15"/>
        <v>2024-10</v>
      </c>
    </row>
    <row r="1023" spans="1:9" ht="15" customHeight="1" x14ac:dyDescent="0.25">
      <c r="A1023">
        <v>1022</v>
      </c>
      <c r="B1023">
        <v>3</v>
      </c>
      <c r="C1023" t="s">
        <v>316</v>
      </c>
      <c r="D1023">
        <v>480</v>
      </c>
      <c r="E1023">
        <v>106</v>
      </c>
      <c r="F1023" t="s">
        <v>29</v>
      </c>
      <c r="G1023">
        <v>685</v>
      </c>
      <c r="H1023">
        <v>11</v>
      </c>
      <c r="I1023" t="str">
        <f t="shared" si="15"/>
        <v>2024-10</v>
      </c>
    </row>
    <row r="1024" spans="1:9" ht="15" customHeight="1" x14ac:dyDescent="0.25">
      <c r="A1024">
        <v>1023</v>
      </c>
      <c r="B1024">
        <v>3</v>
      </c>
      <c r="C1024" t="s">
        <v>317</v>
      </c>
      <c r="D1024">
        <v>480</v>
      </c>
      <c r="E1024">
        <v>35</v>
      </c>
      <c r="F1024" t="s">
        <v>29</v>
      </c>
      <c r="G1024">
        <v>744</v>
      </c>
      <c r="H1024">
        <v>12</v>
      </c>
      <c r="I1024" t="str">
        <f t="shared" si="15"/>
        <v>2024-10</v>
      </c>
    </row>
    <row r="1025" spans="1:9" ht="15" customHeight="1" x14ac:dyDescent="0.25">
      <c r="A1025">
        <v>1024</v>
      </c>
      <c r="B1025">
        <v>3</v>
      </c>
      <c r="C1025" t="s">
        <v>318</v>
      </c>
      <c r="D1025">
        <v>480</v>
      </c>
      <c r="E1025">
        <v>189</v>
      </c>
      <c r="F1025" t="s">
        <v>27</v>
      </c>
      <c r="G1025">
        <v>559</v>
      </c>
      <c r="H1025">
        <v>5</v>
      </c>
      <c r="I1025" t="str">
        <f t="shared" si="15"/>
        <v>2024-10</v>
      </c>
    </row>
    <row r="1026" spans="1:9" ht="15" customHeight="1" x14ac:dyDescent="0.25">
      <c r="A1026">
        <v>1025</v>
      </c>
      <c r="B1026">
        <v>3</v>
      </c>
      <c r="C1026" t="s">
        <v>319</v>
      </c>
      <c r="D1026">
        <v>480</v>
      </c>
      <c r="E1026">
        <v>15</v>
      </c>
      <c r="F1026" t="s">
        <v>22</v>
      </c>
      <c r="G1026">
        <v>893</v>
      </c>
      <c r="H1026">
        <v>17</v>
      </c>
      <c r="I1026" t="str">
        <f t="shared" ref="I1026:I1089" si="16">TEXT(C1026,"yyyy-mm")</f>
        <v>2024-10</v>
      </c>
    </row>
    <row r="1027" spans="1:9" ht="15" customHeight="1" x14ac:dyDescent="0.25">
      <c r="A1027">
        <v>1026</v>
      </c>
      <c r="B1027">
        <v>3</v>
      </c>
      <c r="C1027" t="s">
        <v>320</v>
      </c>
      <c r="D1027">
        <v>480</v>
      </c>
      <c r="E1027">
        <v>201</v>
      </c>
      <c r="F1027" t="s">
        <v>27</v>
      </c>
      <c r="G1027">
        <v>459</v>
      </c>
      <c r="H1027">
        <v>7</v>
      </c>
      <c r="I1027" t="str">
        <f t="shared" si="16"/>
        <v>2024-10</v>
      </c>
    </row>
    <row r="1028" spans="1:9" ht="15" customHeight="1" x14ac:dyDescent="0.25">
      <c r="A1028">
        <v>1027</v>
      </c>
      <c r="B1028">
        <v>3</v>
      </c>
      <c r="C1028" t="s">
        <v>321</v>
      </c>
      <c r="D1028">
        <v>480</v>
      </c>
      <c r="E1028">
        <v>113</v>
      </c>
      <c r="F1028" t="s">
        <v>22</v>
      </c>
      <c r="G1028">
        <v>669</v>
      </c>
      <c r="H1028">
        <v>9</v>
      </c>
      <c r="I1028" t="str">
        <f t="shared" si="16"/>
        <v>2024-10</v>
      </c>
    </row>
    <row r="1029" spans="1:9" ht="15" customHeight="1" x14ac:dyDescent="0.25">
      <c r="A1029">
        <v>1028</v>
      </c>
      <c r="B1029">
        <v>3</v>
      </c>
      <c r="C1029" t="s">
        <v>322</v>
      </c>
      <c r="D1029">
        <v>480</v>
      </c>
      <c r="E1029">
        <v>1</v>
      </c>
      <c r="F1029" t="s">
        <v>27</v>
      </c>
      <c r="G1029">
        <v>856</v>
      </c>
      <c r="H1029">
        <v>10</v>
      </c>
      <c r="I1029" t="str">
        <f t="shared" si="16"/>
        <v>2024-10</v>
      </c>
    </row>
    <row r="1030" spans="1:9" ht="15" customHeight="1" x14ac:dyDescent="0.25">
      <c r="A1030">
        <v>1029</v>
      </c>
      <c r="B1030">
        <v>3</v>
      </c>
      <c r="C1030" t="s">
        <v>323</v>
      </c>
      <c r="D1030">
        <v>480</v>
      </c>
      <c r="E1030">
        <v>56</v>
      </c>
      <c r="F1030" t="s">
        <v>45</v>
      </c>
      <c r="G1030">
        <v>816</v>
      </c>
      <c r="H1030">
        <v>11</v>
      </c>
      <c r="I1030" t="str">
        <f t="shared" si="16"/>
        <v>2024-10</v>
      </c>
    </row>
    <row r="1031" spans="1:9" ht="15" customHeight="1" x14ac:dyDescent="0.25">
      <c r="A1031">
        <v>1030</v>
      </c>
      <c r="B1031">
        <v>3</v>
      </c>
      <c r="C1031" t="s">
        <v>324</v>
      </c>
      <c r="D1031">
        <v>480</v>
      </c>
      <c r="E1031">
        <v>172</v>
      </c>
      <c r="F1031" t="s">
        <v>22</v>
      </c>
      <c r="G1031">
        <v>505</v>
      </c>
      <c r="H1031">
        <v>9</v>
      </c>
      <c r="I1031" t="str">
        <f t="shared" si="16"/>
        <v>2024-10</v>
      </c>
    </row>
    <row r="1032" spans="1:9" ht="15" customHeight="1" x14ac:dyDescent="0.25">
      <c r="A1032">
        <v>1031</v>
      </c>
      <c r="B1032">
        <v>3</v>
      </c>
      <c r="C1032" t="s">
        <v>325</v>
      </c>
      <c r="D1032">
        <v>480</v>
      </c>
      <c r="E1032">
        <v>355</v>
      </c>
      <c r="F1032" t="s">
        <v>22</v>
      </c>
      <c r="G1032">
        <v>201</v>
      </c>
      <c r="H1032">
        <v>201</v>
      </c>
      <c r="I1032" t="str">
        <f t="shared" si="16"/>
        <v>2024-10</v>
      </c>
    </row>
    <row r="1033" spans="1:9" ht="15" customHeight="1" x14ac:dyDescent="0.25">
      <c r="A1033">
        <v>1032</v>
      </c>
      <c r="B1033">
        <v>3</v>
      </c>
      <c r="C1033" t="s">
        <v>326</v>
      </c>
      <c r="D1033">
        <v>480</v>
      </c>
      <c r="E1033">
        <v>53</v>
      </c>
      <c r="F1033" t="s">
        <v>24</v>
      </c>
      <c r="G1033">
        <v>686</v>
      </c>
      <c r="H1033">
        <v>13</v>
      </c>
      <c r="I1033" t="str">
        <f t="shared" si="16"/>
        <v>2024-10</v>
      </c>
    </row>
    <row r="1034" spans="1:9" ht="15" customHeight="1" x14ac:dyDescent="0.25">
      <c r="A1034">
        <v>1033</v>
      </c>
      <c r="B1034">
        <v>3</v>
      </c>
      <c r="C1034" t="s">
        <v>327</v>
      </c>
      <c r="D1034">
        <v>480</v>
      </c>
      <c r="E1034">
        <v>231</v>
      </c>
      <c r="F1034" t="s">
        <v>24</v>
      </c>
      <c r="G1034">
        <v>431</v>
      </c>
      <c r="H1034">
        <v>5</v>
      </c>
      <c r="I1034" t="str">
        <f t="shared" si="16"/>
        <v>2024-10</v>
      </c>
    </row>
    <row r="1035" spans="1:9" ht="15" customHeight="1" x14ac:dyDescent="0.25">
      <c r="A1035">
        <v>1034</v>
      </c>
      <c r="B1035">
        <v>3</v>
      </c>
      <c r="C1035" t="s">
        <v>328</v>
      </c>
      <c r="D1035">
        <v>480</v>
      </c>
      <c r="E1035">
        <v>53</v>
      </c>
      <c r="F1035" t="s">
        <v>22</v>
      </c>
      <c r="G1035">
        <v>785</v>
      </c>
      <c r="H1035">
        <v>6</v>
      </c>
      <c r="I1035" t="str">
        <f t="shared" si="16"/>
        <v>2024-10</v>
      </c>
    </row>
    <row r="1036" spans="1:9" ht="15" customHeight="1" x14ac:dyDescent="0.25">
      <c r="A1036">
        <v>1035</v>
      </c>
      <c r="B1036">
        <v>3</v>
      </c>
      <c r="C1036" t="s">
        <v>329</v>
      </c>
      <c r="D1036">
        <v>480</v>
      </c>
      <c r="E1036">
        <v>83</v>
      </c>
      <c r="F1036" t="s">
        <v>45</v>
      </c>
      <c r="G1036">
        <v>714</v>
      </c>
      <c r="H1036">
        <v>12</v>
      </c>
      <c r="I1036" t="str">
        <f t="shared" si="16"/>
        <v>2024-10</v>
      </c>
    </row>
    <row r="1037" spans="1:9" ht="15" customHeight="1" x14ac:dyDescent="0.25">
      <c r="A1037">
        <v>1036</v>
      </c>
      <c r="B1037">
        <v>3</v>
      </c>
      <c r="C1037" t="s">
        <v>330</v>
      </c>
      <c r="D1037">
        <v>480</v>
      </c>
      <c r="E1037">
        <v>26</v>
      </c>
      <c r="F1037" t="s">
        <v>33</v>
      </c>
      <c r="G1037">
        <v>833</v>
      </c>
      <c r="H1037">
        <v>7</v>
      </c>
      <c r="I1037" t="str">
        <f t="shared" si="16"/>
        <v>2024-10</v>
      </c>
    </row>
    <row r="1038" spans="1:9" ht="15" customHeight="1" x14ac:dyDescent="0.25">
      <c r="A1038">
        <v>1037</v>
      </c>
      <c r="B1038">
        <v>3</v>
      </c>
      <c r="C1038" t="s">
        <v>331</v>
      </c>
      <c r="D1038">
        <v>480</v>
      </c>
      <c r="E1038">
        <v>20</v>
      </c>
      <c r="F1038" t="s">
        <v>24</v>
      </c>
      <c r="G1038">
        <v>872</v>
      </c>
      <c r="H1038">
        <v>16</v>
      </c>
      <c r="I1038" t="str">
        <f t="shared" si="16"/>
        <v>2024-10</v>
      </c>
    </row>
    <row r="1039" spans="1:9" ht="15" customHeight="1" x14ac:dyDescent="0.25">
      <c r="A1039">
        <v>1038</v>
      </c>
      <c r="B1039">
        <v>3</v>
      </c>
      <c r="C1039" t="s">
        <v>332</v>
      </c>
      <c r="D1039">
        <v>480</v>
      </c>
      <c r="E1039">
        <v>1</v>
      </c>
      <c r="F1039" t="s">
        <v>45</v>
      </c>
      <c r="G1039">
        <v>797</v>
      </c>
      <c r="H1039">
        <v>8</v>
      </c>
      <c r="I1039" t="str">
        <f t="shared" si="16"/>
        <v>2024-11</v>
      </c>
    </row>
    <row r="1040" spans="1:9" ht="15" customHeight="1" x14ac:dyDescent="0.25">
      <c r="A1040">
        <v>1039</v>
      </c>
      <c r="B1040">
        <v>3</v>
      </c>
      <c r="C1040" t="s">
        <v>333</v>
      </c>
      <c r="D1040">
        <v>480</v>
      </c>
      <c r="E1040">
        <v>29</v>
      </c>
      <c r="F1040" t="s">
        <v>27</v>
      </c>
      <c r="G1040">
        <v>750</v>
      </c>
      <c r="H1040">
        <v>6</v>
      </c>
      <c r="I1040" t="str">
        <f t="shared" si="16"/>
        <v>2024-11</v>
      </c>
    </row>
    <row r="1041" spans="1:9" ht="15" customHeight="1" x14ac:dyDescent="0.25">
      <c r="A1041">
        <v>1040</v>
      </c>
      <c r="B1041">
        <v>3</v>
      </c>
      <c r="C1041" t="s">
        <v>334</v>
      </c>
      <c r="D1041">
        <v>480</v>
      </c>
      <c r="E1041">
        <v>57</v>
      </c>
      <c r="F1041" t="s">
        <v>29</v>
      </c>
      <c r="G1041">
        <v>779</v>
      </c>
      <c r="H1041">
        <v>13</v>
      </c>
      <c r="I1041" t="str">
        <f t="shared" si="16"/>
        <v>2024-11</v>
      </c>
    </row>
    <row r="1042" spans="1:9" ht="15" customHeight="1" x14ac:dyDescent="0.25">
      <c r="A1042">
        <v>1041</v>
      </c>
      <c r="B1042">
        <v>3</v>
      </c>
      <c r="C1042" t="s">
        <v>335</v>
      </c>
      <c r="D1042">
        <v>480</v>
      </c>
      <c r="E1042">
        <v>105</v>
      </c>
      <c r="F1042" t="s">
        <v>45</v>
      </c>
      <c r="G1042">
        <v>600</v>
      </c>
      <c r="H1042">
        <v>13</v>
      </c>
      <c r="I1042" t="str">
        <f t="shared" si="16"/>
        <v>2024-11</v>
      </c>
    </row>
    <row r="1043" spans="1:9" ht="15" customHeight="1" x14ac:dyDescent="0.25">
      <c r="A1043">
        <v>1042</v>
      </c>
      <c r="B1043">
        <v>3</v>
      </c>
      <c r="C1043" t="s">
        <v>336</v>
      </c>
      <c r="D1043">
        <v>480</v>
      </c>
      <c r="E1043">
        <v>171</v>
      </c>
      <c r="F1043" t="s">
        <v>22</v>
      </c>
      <c r="G1043">
        <v>577</v>
      </c>
      <c r="H1043">
        <v>11</v>
      </c>
      <c r="I1043" t="str">
        <f t="shared" si="16"/>
        <v>2024-11</v>
      </c>
    </row>
    <row r="1044" spans="1:9" ht="15" customHeight="1" x14ac:dyDescent="0.25">
      <c r="A1044">
        <v>1043</v>
      </c>
      <c r="B1044">
        <v>3</v>
      </c>
      <c r="C1044" t="s">
        <v>337</v>
      </c>
      <c r="D1044">
        <v>480</v>
      </c>
      <c r="E1044">
        <v>253</v>
      </c>
      <c r="F1044" t="s">
        <v>45</v>
      </c>
      <c r="G1044">
        <v>402</v>
      </c>
      <c r="H1044">
        <v>4</v>
      </c>
      <c r="I1044" t="str">
        <f t="shared" si="16"/>
        <v>2024-11</v>
      </c>
    </row>
    <row r="1045" spans="1:9" ht="15" customHeight="1" x14ac:dyDescent="0.25">
      <c r="A1045">
        <v>1044</v>
      </c>
      <c r="B1045">
        <v>3</v>
      </c>
      <c r="C1045" t="s">
        <v>338</v>
      </c>
      <c r="D1045">
        <v>480</v>
      </c>
      <c r="E1045">
        <v>90</v>
      </c>
      <c r="F1045" t="s">
        <v>45</v>
      </c>
      <c r="G1045">
        <v>720</v>
      </c>
      <c r="H1045">
        <v>13</v>
      </c>
      <c r="I1045" t="str">
        <f t="shared" si="16"/>
        <v>2024-11</v>
      </c>
    </row>
    <row r="1046" spans="1:9" ht="15" customHeight="1" x14ac:dyDescent="0.25">
      <c r="A1046">
        <v>1045</v>
      </c>
      <c r="B1046">
        <v>3</v>
      </c>
      <c r="C1046" t="s">
        <v>339</v>
      </c>
      <c r="D1046">
        <v>480</v>
      </c>
      <c r="E1046">
        <v>69</v>
      </c>
      <c r="F1046" t="s">
        <v>45</v>
      </c>
      <c r="G1046">
        <v>656</v>
      </c>
      <c r="H1046">
        <v>8</v>
      </c>
      <c r="I1046" t="str">
        <f t="shared" si="16"/>
        <v>2024-11</v>
      </c>
    </row>
    <row r="1047" spans="1:9" ht="15" customHeight="1" x14ac:dyDescent="0.25">
      <c r="A1047">
        <v>1046</v>
      </c>
      <c r="B1047">
        <v>3</v>
      </c>
      <c r="C1047" t="s">
        <v>340</v>
      </c>
      <c r="D1047">
        <v>480</v>
      </c>
      <c r="E1047">
        <v>238</v>
      </c>
      <c r="F1047" t="s">
        <v>24</v>
      </c>
      <c r="G1047">
        <v>432</v>
      </c>
      <c r="H1047">
        <v>6</v>
      </c>
      <c r="I1047" t="str">
        <f t="shared" si="16"/>
        <v>2024-11</v>
      </c>
    </row>
    <row r="1048" spans="1:9" ht="15" customHeight="1" x14ac:dyDescent="0.25">
      <c r="A1048">
        <v>1047</v>
      </c>
      <c r="B1048">
        <v>3</v>
      </c>
      <c r="C1048" t="s">
        <v>341</v>
      </c>
      <c r="D1048">
        <v>480</v>
      </c>
      <c r="E1048">
        <v>29</v>
      </c>
      <c r="F1048" t="s">
        <v>27</v>
      </c>
      <c r="G1048">
        <v>770</v>
      </c>
      <c r="H1048">
        <v>16</v>
      </c>
      <c r="I1048" t="str">
        <f t="shared" si="16"/>
        <v>2024-11</v>
      </c>
    </row>
    <row r="1049" spans="1:9" ht="15" customHeight="1" x14ac:dyDescent="0.25">
      <c r="A1049">
        <v>1048</v>
      </c>
      <c r="B1049">
        <v>3</v>
      </c>
      <c r="C1049" t="s">
        <v>342</v>
      </c>
      <c r="D1049">
        <v>480</v>
      </c>
      <c r="E1049">
        <v>103</v>
      </c>
      <c r="F1049" t="s">
        <v>27</v>
      </c>
      <c r="G1049">
        <v>702</v>
      </c>
      <c r="H1049">
        <v>10</v>
      </c>
      <c r="I1049" t="str">
        <f t="shared" si="16"/>
        <v>2024-11</v>
      </c>
    </row>
    <row r="1050" spans="1:9" ht="15" customHeight="1" x14ac:dyDescent="0.25">
      <c r="A1050">
        <v>1049</v>
      </c>
      <c r="B1050">
        <v>3</v>
      </c>
      <c r="C1050" t="s">
        <v>343</v>
      </c>
      <c r="D1050">
        <v>480</v>
      </c>
      <c r="E1050">
        <v>93</v>
      </c>
      <c r="F1050" t="s">
        <v>24</v>
      </c>
      <c r="G1050">
        <v>644</v>
      </c>
      <c r="H1050">
        <v>12</v>
      </c>
      <c r="I1050" t="str">
        <f t="shared" si="16"/>
        <v>2024-11</v>
      </c>
    </row>
    <row r="1051" spans="1:9" ht="15" customHeight="1" x14ac:dyDescent="0.25">
      <c r="A1051">
        <v>1050</v>
      </c>
      <c r="B1051">
        <v>3</v>
      </c>
      <c r="C1051" t="s">
        <v>344</v>
      </c>
      <c r="D1051">
        <v>480</v>
      </c>
      <c r="E1051">
        <v>52</v>
      </c>
      <c r="F1051" t="s">
        <v>24</v>
      </c>
      <c r="G1051">
        <v>743</v>
      </c>
      <c r="H1051">
        <v>13</v>
      </c>
      <c r="I1051" t="str">
        <f t="shared" si="16"/>
        <v>2024-11</v>
      </c>
    </row>
    <row r="1052" spans="1:9" ht="15" customHeight="1" x14ac:dyDescent="0.25">
      <c r="A1052">
        <v>1051</v>
      </c>
      <c r="B1052">
        <v>3</v>
      </c>
      <c r="C1052" t="s">
        <v>345</v>
      </c>
      <c r="D1052">
        <v>480</v>
      </c>
      <c r="E1052">
        <v>259</v>
      </c>
      <c r="F1052" t="s">
        <v>27</v>
      </c>
      <c r="G1052">
        <v>352</v>
      </c>
      <c r="H1052">
        <v>7</v>
      </c>
      <c r="I1052" t="str">
        <f t="shared" si="16"/>
        <v>2024-11</v>
      </c>
    </row>
    <row r="1053" spans="1:9" ht="15" customHeight="1" x14ac:dyDescent="0.25">
      <c r="A1053">
        <v>1052</v>
      </c>
      <c r="B1053">
        <v>3</v>
      </c>
      <c r="C1053" t="s">
        <v>346</v>
      </c>
      <c r="D1053">
        <v>480</v>
      </c>
      <c r="E1053">
        <v>32</v>
      </c>
      <c r="F1053" t="s">
        <v>24</v>
      </c>
      <c r="G1053">
        <v>778</v>
      </c>
      <c r="H1053">
        <v>6</v>
      </c>
      <c r="I1053" t="str">
        <f t="shared" si="16"/>
        <v>2024-11</v>
      </c>
    </row>
    <row r="1054" spans="1:9" ht="15" customHeight="1" x14ac:dyDescent="0.25">
      <c r="A1054">
        <v>1053</v>
      </c>
      <c r="B1054">
        <v>3</v>
      </c>
      <c r="C1054" t="s">
        <v>347</v>
      </c>
      <c r="D1054">
        <v>480</v>
      </c>
      <c r="E1054">
        <v>33</v>
      </c>
      <c r="F1054" t="s">
        <v>27</v>
      </c>
      <c r="G1054">
        <v>786</v>
      </c>
      <c r="H1054">
        <v>6</v>
      </c>
      <c r="I1054" t="str">
        <f t="shared" si="16"/>
        <v>2024-11</v>
      </c>
    </row>
    <row r="1055" spans="1:9" ht="15" customHeight="1" x14ac:dyDescent="0.25">
      <c r="A1055">
        <v>1054</v>
      </c>
      <c r="B1055">
        <v>3</v>
      </c>
      <c r="C1055" t="s">
        <v>348</v>
      </c>
      <c r="D1055">
        <v>480</v>
      </c>
      <c r="E1055">
        <v>63</v>
      </c>
      <c r="F1055" t="s">
        <v>27</v>
      </c>
      <c r="G1055">
        <v>798</v>
      </c>
      <c r="H1055">
        <v>7</v>
      </c>
      <c r="I1055" t="str">
        <f t="shared" si="16"/>
        <v>2024-11</v>
      </c>
    </row>
    <row r="1056" spans="1:9" ht="15" customHeight="1" x14ac:dyDescent="0.25">
      <c r="A1056">
        <v>1055</v>
      </c>
      <c r="B1056">
        <v>3</v>
      </c>
      <c r="C1056" t="s">
        <v>349</v>
      </c>
      <c r="D1056">
        <v>480</v>
      </c>
      <c r="E1056">
        <v>136</v>
      </c>
      <c r="F1056" t="s">
        <v>45</v>
      </c>
      <c r="G1056">
        <v>593</v>
      </c>
      <c r="H1056">
        <v>10</v>
      </c>
      <c r="I1056" t="str">
        <f t="shared" si="16"/>
        <v>2024-11</v>
      </c>
    </row>
    <row r="1057" spans="1:9" ht="15" customHeight="1" x14ac:dyDescent="0.25">
      <c r="A1057">
        <v>1056</v>
      </c>
      <c r="B1057">
        <v>3</v>
      </c>
      <c r="C1057" t="s">
        <v>350</v>
      </c>
      <c r="D1057">
        <v>480</v>
      </c>
      <c r="E1057">
        <v>28</v>
      </c>
      <c r="F1057" t="s">
        <v>22</v>
      </c>
      <c r="G1057">
        <v>737</v>
      </c>
      <c r="H1057">
        <v>7</v>
      </c>
      <c r="I1057" t="str">
        <f t="shared" si="16"/>
        <v>2024-11</v>
      </c>
    </row>
    <row r="1058" spans="1:9" ht="15" customHeight="1" x14ac:dyDescent="0.25">
      <c r="A1058">
        <v>1057</v>
      </c>
      <c r="B1058">
        <v>3</v>
      </c>
      <c r="C1058" t="s">
        <v>351</v>
      </c>
      <c r="D1058">
        <v>480</v>
      </c>
      <c r="E1058">
        <v>6</v>
      </c>
      <c r="F1058" t="s">
        <v>29</v>
      </c>
      <c r="G1058">
        <v>777</v>
      </c>
      <c r="H1058">
        <v>14</v>
      </c>
      <c r="I1058" t="str">
        <f t="shared" si="16"/>
        <v>2024-11</v>
      </c>
    </row>
    <row r="1059" spans="1:9" ht="15" customHeight="1" x14ac:dyDescent="0.25">
      <c r="A1059">
        <v>1058</v>
      </c>
      <c r="B1059">
        <v>3</v>
      </c>
      <c r="C1059" t="s">
        <v>352</v>
      </c>
      <c r="D1059">
        <v>480</v>
      </c>
      <c r="E1059">
        <v>200</v>
      </c>
      <c r="F1059" t="s">
        <v>22</v>
      </c>
      <c r="G1059">
        <v>524</v>
      </c>
      <c r="H1059">
        <v>9</v>
      </c>
      <c r="I1059" t="str">
        <f t="shared" si="16"/>
        <v>2024-11</v>
      </c>
    </row>
    <row r="1060" spans="1:9" ht="15" customHeight="1" x14ac:dyDescent="0.25">
      <c r="A1060">
        <v>1059</v>
      </c>
      <c r="B1060">
        <v>3</v>
      </c>
      <c r="C1060" t="s">
        <v>353</v>
      </c>
      <c r="D1060">
        <v>480</v>
      </c>
      <c r="E1060">
        <v>11</v>
      </c>
      <c r="F1060" t="s">
        <v>33</v>
      </c>
      <c r="G1060">
        <v>787</v>
      </c>
      <c r="H1060">
        <v>9</v>
      </c>
      <c r="I1060" t="str">
        <f t="shared" si="16"/>
        <v>2024-11</v>
      </c>
    </row>
    <row r="1061" spans="1:9" ht="15" customHeight="1" x14ac:dyDescent="0.25">
      <c r="A1061">
        <v>1060</v>
      </c>
      <c r="B1061">
        <v>3</v>
      </c>
      <c r="C1061" t="s">
        <v>354</v>
      </c>
      <c r="D1061">
        <v>480</v>
      </c>
      <c r="E1061">
        <v>27</v>
      </c>
      <c r="F1061" t="s">
        <v>45</v>
      </c>
      <c r="G1061">
        <v>798</v>
      </c>
      <c r="H1061">
        <v>12</v>
      </c>
      <c r="I1061" t="str">
        <f t="shared" si="16"/>
        <v>2024-11</v>
      </c>
    </row>
    <row r="1062" spans="1:9" ht="15" customHeight="1" x14ac:dyDescent="0.25">
      <c r="A1062">
        <v>1061</v>
      </c>
      <c r="B1062">
        <v>3</v>
      </c>
      <c r="C1062" t="s">
        <v>355</v>
      </c>
      <c r="D1062">
        <v>480</v>
      </c>
      <c r="E1062">
        <v>41</v>
      </c>
      <c r="F1062" t="s">
        <v>22</v>
      </c>
      <c r="G1062">
        <v>747</v>
      </c>
      <c r="H1062">
        <v>15</v>
      </c>
      <c r="I1062" t="str">
        <f t="shared" si="16"/>
        <v>2024-11</v>
      </c>
    </row>
    <row r="1063" spans="1:9" ht="15" customHeight="1" x14ac:dyDescent="0.25">
      <c r="A1063">
        <v>1062</v>
      </c>
      <c r="B1063">
        <v>3</v>
      </c>
      <c r="C1063" t="s">
        <v>356</v>
      </c>
      <c r="D1063">
        <v>480</v>
      </c>
      <c r="E1063">
        <v>146</v>
      </c>
      <c r="F1063" t="s">
        <v>27</v>
      </c>
      <c r="G1063">
        <v>563</v>
      </c>
      <c r="H1063">
        <v>12</v>
      </c>
      <c r="I1063" t="str">
        <f t="shared" si="16"/>
        <v>2024-11</v>
      </c>
    </row>
    <row r="1064" spans="1:9" ht="15" customHeight="1" x14ac:dyDescent="0.25">
      <c r="A1064">
        <v>1063</v>
      </c>
      <c r="B1064">
        <v>3</v>
      </c>
      <c r="C1064" t="s">
        <v>357</v>
      </c>
      <c r="D1064">
        <v>480</v>
      </c>
      <c r="E1064">
        <v>287</v>
      </c>
      <c r="F1064" t="s">
        <v>22</v>
      </c>
      <c r="G1064">
        <v>326</v>
      </c>
      <c r="H1064">
        <v>4</v>
      </c>
      <c r="I1064" t="str">
        <f t="shared" si="16"/>
        <v>2024-11</v>
      </c>
    </row>
    <row r="1065" spans="1:9" ht="15" customHeight="1" x14ac:dyDescent="0.25">
      <c r="A1065">
        <v>1064</v>
      </c>
      <c r="B1065">
        <v>3</v>
      </c>
      <c r="C1065" t="s">
        <v>358</v>
      </c>
      <c r="D1065">
        <v>480</v>
      </c>
      <c r="E1065">
        <v>66</v>
      </c>
      <c r="F1065" t="s">
        <v>45</v>
      </c>
      <c r="G1065">
        <v>795</v>
      </c>
      <c r="H1065">
        <v>16</v>
      </c>
      <c r="I1065" t="str">
        <f t="shared" si="16"/>
        <v>2024-11</v>
      </c>
    </row>
    <row r="1066" spans="1:9" ht="15" customHeight="1" x14ac:dyDescent="0.25">
      <c r="A1066">
        <v>1065</v>
      </c>
      <c r="B1066">
        <v>3</v>
      </c>
      <c r="C1066" t="s">
        <v>359</v>
      </c>
      <c r="D1066">
        <v>480</v>
      </c>
      <c r="E1066">
        <v>10</v>
      </c>
      <c r="F1066" t="s">
        <v>22</v>
      </c>
      <c r="G1066">
        <v>807</v>
      </c>
      <c r="H1066">
        <v>13</v>
      </c>
      <c r="I1066" t="str">
        <f t="shared" si="16"/>
        <v>2024-11</v>
      </c>
    </row>
    <row r="1067" spans="1:9" ht="15" customHeight="1" x14ac:dyDescent="0.25">
      <c r="A1067">
        <v>1066</v>
      </c>
      <c r="B1067">
        <v>3</v>
      </c>
      <c r="C1067" t="s">
        <v>360</v>
      </c>
      <c r="D1067">
        <v>480</v>
      </c>
      <c r="E1067">
        <v>65</v>
      </c>
      <c r="F1067" t="s">
        <v>45</v>
      </c>
      <c r="G1067">
        <v>682</v>
      </c>
      <c r="H1067">
        <v>14</v>
      </c>
      <c r="I1067" t="str">
        <f t="shared" si="16"/>
        <v>2024-11</v>
      </c>
    </row>
    <row r="1068" spans="1:9" ht="15" customHeight="1" x14ac:dyDescent="0.25">
      <c r="A1068">
        <v>1067</v>
      </c>
      <c r="B1068">
        <v>3</v>
      </c>
      <c r="C1068" t="s">
        <v>361</v>
      </c>
      <c r="D1068">
        <v>480</v>
      </c>
      <c r="E1068">
        <v>106</v>
      </c>
      <c r="F1068" t="s">
        <v>22</v>
      </c>
      <c r="G1068">
        <v>704</v>
      </c>
      <c r="H1068">
        <v>14</v>
      </c>
      <c r="I1068" t="str">
        <f t="shared" si="16"/>
        <v>2024-11</v>
      </c>
    </row>
    <row r="1069" spans="1:9" ht="15" customHeight="1" x14ac:dyDescent="0.25">
      <c r="A1069">
        <v>1068</v>
      </c>
      <c r="B1069">
        <v>3</v>
      </c>
      <c r="C1069" t="s">
        <v>362</v>
      </c>
      <c r="D1069">
        <v>480</v>
      </c>
      <c r="E1069">
        <v>129</v>
      </c>
      <c r="F1069" t="s">
        <v>24</v>
      </c>
      <c r="G1069">
        <v>608</v>
      </c>
      <c r="H1069">
        <v>10</v>
      </c>
      <c r="I1069" t="str">
        <f t="shared" si="16"/>
        <v>2024-12</v>
      </c>
    </row>
    <row r="1070" spans="1:9" ht="15" customHeight="1" x14ac:dyDescent="0.25">
      <c r="A1070">
        <v>1069</v>
      </c>
      <c r="B1070">
        <v>3</v>
      </c>
      <c r="C1070" t="s">
        <v>363</v>
      </c>
      <c r="D1070">
        <v>480</v>
      </c>
      <c r="E1070">
        <v>16</v>
      </c>
      <c r="F1070" t="s">
        <v>22</v>
      </c>
      <c r="G1070">
        <v>845</v>
      </c>
      <c r="H1070">
        <v>8</v>
      </c>
      <c r="I1070" t="str">
        <f t="shared" si="16"/>
        <v>2024-12</v>
      </c>
    </row>
    <row r="1071" spans="1:9" ht="15" customHeight="1" x14ac:dyDescent="0.25">
      <c r="A1071">
        <v>1070</v>
      </c>
      <c r="B1071">
        <v>3</v>
      </c>
      <c r="C1071" t="s">
        <v>364</v>
      </c>
      <c r="D1071">
        <v>480</v>
      </c>
      <c r="E1071">
        <v>111</v>
      </c>
      <c r="F1071" t="s">
        <v>27</v>
      </c>
      <c r="G1071">
        <v>611</v>
      </c>
      <c r="H1071">
        <v>611</v>
      </c>
      <c r="I1071" t="str">
        <f t="shared" si="16"/>
        <v>2024-12</v>
      </c>
    </row>
    <row r="1072" spans="1:9" ht="15" customHeight="1" x14ac:dyDescent="0.25">
      <c r="A1072">
        <v>1071</v>
      </c>
      <c r="B1072">
        <v>3</v>
      </c>
      <c r="C1072" t="s">
        <v>365</v>
      </c>
      <c r="D1072">
        <v>480</v>
      </c>
      <c r="E1072">
        <v>17</v>
      </c>
      <c r="F1072" t="s">
        <v>24</v>
      </c>
      <c r="G1072">
        <v>728</v>
      </c>
      <c r="H1072">
        <v>13</v>
      </c>
      <c r="I1072" t="str">
        <f t="shared" si="16"/>
        <v>2024-12</v>
      </c>
    </row>
    <row r="1073" spans="1:9" ht="15" customHeight="1" x14ac:dyDescent="0.25">
      <c r="A1073">
        <v>1072</v>
      </c>
      <c r="B1073">
        <v>3</v>
      </c>
      <c r="C1073" t="s">
        <v>366</v>
      </c>
      <c r="D1073">
        <v>480</v>
      </c>
      <c r="E1073">
        <v>124</v>
      </c>
      <c r="F1073" t="s">
        <v>24</v>
      </c>
      <c r="G1073">
        <v>627</v>
      </c>
      <c r="H1073">
        <v>6</v>
      </c>
      <c r="I1073" t="str">
        <f t="shared" si="16"/>
        <v>2024-12</v>
      </c>
    </row>
    <row r="1074" spans="1:9" ht="15" customHeight="1" x14ac:dyDescent="0.25">
      <c r="A1074">
        <v>1073</v>
      </c>
      <c r="B1074">
        <v>3</v>
      </c>
      <c r="C1074" t="s">
        <v>367</v>
      </c>
      <c r="D1074">
        <v>480</v>
      </c>
      <c r="E1074">
        <v>8</v>
      </c>
      <c r="F1074" t="s">
        <v>22</v>
      </c>
      <c r="G1074">
        <v>745</v>
      </c>
      <c r="H1074">
        <v>7</v>
      </c>
      <c r="I1074" t="str">
        <f t="shared" si="16"/>
        <v>2024-12</v>
      </c>
    </row>
    <row r="1075" spans="1:9" ht="15" customHeight="1" x14ac:dyDescent="0.25">
      <c r="A1075">
        <v>1074</v>
      </c>
      <c r="B1075">
        <v>3</v>
      </c>
      <c r="C1075" t="s">
        <v>368</v>
      </c>
      <c r="D1075">
        <v>480</v>
      </c>
      <c r="E1075">
        <v>208</v>
      </c>
      <c r="F1075" t="s">
        <v>45</v>
      </c>
      <c r="G1075">
        <v>452</v>
      </c>
      <c r="H1075">
        <v>5</v>
      </c>
      <c r="I1075" t="str">
        <f t="shared" si="16"/>
        <v>2024-12</v>
      </c>
    </row>
    <row r="1076" spans="1:9" ht="15" customHeight="1" x14ac:dyDescent="0.25">
      <c r="A1076">
        <v>1075</v>
      </c>
      <c r="B1076">
        <v>3</v>
      </c>
      <c r="C1076" t="s">
        <v>369</v>
      </c>
      <c r="D1076">
        <v>480</v>
      </c>
      <c r="E1076">
        <v>10</v>
      </c>
      <c r="F1076" t="s">
        <v>45</v>
      </c>
      <c r="G1076">
        <v>777</v>
      </c>
      <c r="H1076">
        <v>12</v>
      </c>
      <c r="I1076" t="str">
        <f t="shared" si="16"/>
        <v>2024-12</v>
      </c>
    </row>
    <row r="1077" spans="1:9" ht="15" customHeight="1" x14ac:dyDescent="0.25">
      <c r="A1077">
        <v>1076</v>
      </c>
      <c r="B1077">
        <v>3</v>
      </c>
      <c r="C1077" t="s">
        <v>370</v>
      </c>
      <c r="D1077">
        <v>480</v>
      </c>
      <c r="E1077">
        <v>88</v>
      </c>
      <c r="F1077" t="s">
        <v>29</v>
      </c>
      <c r="G1077">
        <v>652</v>
      </c>
      <c r="H1077">
        <v>5</v>
      </c>
      <c r="I1077" t="str">
        <f t="shared" si="16"/>
        <v>2024-12</v>
      </c>
    </row>
    <row r="1078" spans="1:9" ht="15" customHeight="1" x14ac:dyDescent="0.25">
      <c r="A1078">
        <v>1077</v>
      </c>
      <c r="B1078">
        <v>3</v>
      </c>
      <c r="C1078" t="s">
        <v>371</v>
      </c>
      <c r="D1078">
        <v>480</v>
      </c>
      <c r="E1078">
        <v>46</v>
      </c>
      <c r="F1078" t="s">
        <v>24</v>
      </c>
      <c r="G1078">
        <v>720</v>
      </c>
      <c r="H1078">
        <v>8</v>
      </c>
      <c r="I1078" t="str">
        <f t="shared" si="16"/>
        <v>2024-12</v>
      </c>
    </row>
    <row r="1079" spans="1:9" ht="15" customHeight="1" x14ac:dyDescent="0.25">
      <c r="A1079">
        <v>1078</v>
      </c>
      <c r="B1079">
        <v>3</v>
      </c>
      <c r="C1079" t="s">
        <v>372</v>
      </c>
      <c r="D1079">
        <v>480</v>
      </c>
      <c r="E1079">
        <v>302</v>
      </c>
      <c r="F1079" t="s">
        <v>45</v>
      </c>
      <c r="G1079">
        <v>320</v>
      </c>
      <c r="H1079">
        <v>5</v>
      </c>
      <c r="I1079" t="str">
        <f t="shared" si="16"/>
        <v>2024-12</v>
      </c>
    </row>
    <row r="1080" spans="1:9" ht="15" customHeight="1" x14ac:dyDescent="0.25">
      <c r="A1080">
        <v>1079</v>
      </c>
      <c r="B1080">
        <v>3</v>
      </c>
      <c r="C1080" t="s">
        <v>373</v>
      </c>
      <c r="D1080">
        <v>480</v>
      </c>
      <c r="E1080">
        <v>50</v>
      </c>
      <c r="F1080" t="s">
        <v>22</v>
      </c>
      <c r="G1080">
        <v>744</v>
      </c>
      <c r="H1080">
        <v>12</v>
      </c>
      <c r="I1080" t="str">
        <f t="shared" si="16"/>
        <v>2024-12</v>
      </c>
    </row>
    <row r="1081" spans="1:9" ht="15" customHeight="1" x14ac:dyDescent="0.25">
      <c r="A1081">
        <v>1080</v>
      </c>
      <c r="B1081">
        <v>3</v>
      </c>
      <c r="C1081" t="s">
        <v>374</v>
      </c>
      <c r="D1081">
        <v>480</v>
      </c>
      <c r="E1081">
        <v>112</v>
      </c>
      <c r="F1081" t="s">
        <v>27</v>
      </c>
      <c r="G1081">
        <v>674</v>
      </c>
      <c r="H1081">
        <v>674</v>
      </c>
      <c r="I1081" t="str">
        <f t="shared" si="16"/>
        <v>2024-12</v>
      </c>
    </row>
    <row r="1082" spans="1:9" ht="15" customHeight="1" x14ac:dyDescent="0.25">
      <c r="A1082">
        <v>1081</v>
      </c>
      <c r="B1082">
        <v>3</v>
      </c>
      <c r="C1082" t="s">
        <v>375</v>
      </c>
      <c r="D1082">
        <v>480</v>
      </c>
      <c r="E1082">
        <v>65</v>
      </c>
      <c r="F1082" t="s">
        <v>27</v>
      </c>
      <c r="G1082">
        <v>715</v>
      </c>
      <c r="H1082">
        <v>15</v>
      </c>
      <c r="I1082" t="str">
        <f t="shared" si="16"/>
        <v>2024-12</v>
      </c>
    </row>
    <row r="1083" spans="1:9" ht="15" customHeight="1" x14ac:dyDescent="0.25">
      <c r="A1083">
        <v>1082</v>
      </c>
      <c r="B1083">
        <v>3</v>
      </c>
      <c r="C1083" t="s">
        <v>376</v>
      </c>
      <c r="D1083">
        <v>480</v>
      </c>
      <c r="E1083">
        <v>93</v>
      </c>
      <c r="F1083" t="s">
        <v>33</v>
      </c>
      <c r="G1083">
        <v>684</v>
      </c>
      <c r="H1083">
        <v>6</v>
      </c>
      <c r="I1083" t="str">
        <f t="shared" si="16"/>
        <v>2024-12</v>
      </c>
    </row>
    <row r="1084" spans="1:9" ht="15" customHeight="1" x14ac:dyDescent="0.25">
      <c r="A1084">
        <v>1083</v>
      </c>
      <c r="B1084">
        <v>3</v>
      </c>
      <c r="C1084" t="s">
        <v>377</v>
      </c>
      <c r="D1084">
        <v>480</v>
      </c>
      <c r="E1084">
        <v>87</v>
      </c>
      <c r="F1084" t="s">
        <v>27</v>
      </c>
      <c r="G1084">
        <v>635</v>
      </c>
      <c r="H1084">
        <v>8</v>
      </c>
      <c r="I1084" t="str">
        <f t="shared" si="16"/>
        <v>2024-12</v>
      </c>
    </row>
    <row r="1085" spans="1:9" ht="15" customHeight="1" x14ac:dyDescent="0.25">
      <c r="A1085">
        <v>1084</v>
      </c>
      <c r="B1085">
        <v>3</v>
      </c>
      <c r="C1085" t="s">
        <v>378</v>
      </c>
      <c r="D1085">
        <v>480</v>
      </c>
      <c r="E1085">
        <v>14</v>
      </c>
      <c r="F1085" t="s">
        <v>22</v>
      </c>
      <c r="G1085">
        <v>852</v>
      </c>
      <c r="H1085">
        <v>9</v>
      </c>
      <c r="I1085" t="str">
        <f t="shared" si="16"/>
        <v>2024-12</v>
      </c>
    </row>
    <row r="1086" spans="1:9" ht="15" customHeight="1" x14ac:dyDescent="0.25">
      <c r="A1086">
        <v>1085</v>
      </c>
      <c r="B1086">
        <v>3</v>
      </c>
      <c r="C1086" t="s">
        <v>379</v>
      </c>
      <c r="D1086">
        <v>480</v>
      </c>
      <c r="E1086">
        <v>46</v>
      </c>
      <c r="F1086" t="s">
        <v>24</v>
      </c>
      <c r="G1086">
        <v>826</v>
      </c>
      <c r="H1086">
        <v>9</v>
      </c>
      <c r="I1086" t="str">
        <f t="shared" si="16"/>
        <v>2024-12</v>
      </c>
    </row>
    <row r="1087" spans="1:9" ht="15" customHeight="1" x14ac:dyDescent="0.25">
      <c r="A1087">
        <v>1086</v>
      </c>
      <c r="B1087">
        <v>3</v>
      </c>
      <c r="C1087" t="s">
        <v>380</v>
      </c>
      <c r="D1087">
        <v>480</v>
      </c>
      <c r="E1087">
        <v>66</v>
      </c>
      <c r="F1087" t="s">
        <v>22</v>
      </c>
      <c r="G1087">
        <v>715</v>
      </c>
      <c r="H1087">
        <v>5</v>
      </c>
      <c r="I1087" t="str">
        <f t="shared" si="16"/>
        <v>2024-12</v>
      </c>
    </row>
    <row r="1088" spans="1:9" ht="15" customHeight="1" x14ac:dyDescent="0.25">
      <c r="A1088">
        <v>1087</v>
      </c>
      <c r="B1088">
        <v>3</v>
      </c>
      <c r="C1088" t="s">
        <v>381</v>
      </c>
      <c r="D1088">
        <v>480</v>
      </c>
      <c r="E1088">
        <v>148</v>
      </c>
      <c r="F1088" t="s">
        <v>22</v>
      </c>
      <c r="G1088">
        <v>530</v>
      </c>
      <c r="H1088">
        <v>8</v>
      </c>
      <c r="I1088" t="str">
        <f t="shared" si="16"/>
        <v>2024-12</v>
      </c>
    </row>
    <row r="1089" spans="1:9" ht="15" customHeight="1" x14ac:dyDescent="0.25">
      <c r="A1089">
        <v>1088</v>
      </c>
      <c r="B1089">
        <v>3</v>
      </c>
      <c r="C1089" t="s">
        <v>382</v>
      </c>
      <c r="D1089">
        <v>480</v>
      </c>
      <c r="E1089">
        <v>77</v>
      </c>
      <c r="F1089" t="s">
        <v>29</v>
      </c>
      <c r="G1089">
        <v>727</v>
      </c>
      <c r="H1089">
        <v>13</v>
      </c>
      <c r="I1089" t="str">
        <f t="shared" si="16"/>
        <v>2024-12</v>
      </c>
    </row>
    <row r="1090" spans="1:9" ht="15" customHeight="1" x14ac:dyDescent="0.25">
      <c r="A1090">
        <v>1089</v>
      </c>
      <c r="B1090">
        <v>3</v>
      </c>
      <c r="C1090" t="s">
        <v>383</v>
      </c>
      <c r="D1090">
        <v>480</v>
      </c>
      <c r="E1090">
        <v>27</v>
      </c>
      <c r="F1090" t="s">
        <v>29</v>
      </c>
      <c r="G1090">
        <v>714</v>
      </c>
      <c r="H1090">
        <v>13</v>
      </c>
      <c r="I1090" t="str">
        <f t="shared" ref="I1090:I1153" si="17">TEXT(C1090,"yyyy-mm")</f>
        <v>2024-12</v>
      </c>
    </row>
    <row r="1091" spans="1:9" ht="15" customHeight="1" x14ac:dyDescent="0.25">
      <c r="A1091">
        <v>1090</v>
      </c>
      <c r="B1091">
        <v>3</v>
      </c>
      <c r="C1091" t="s">
        <v>384</v>
      </c>
      <c r="D1091">
        <v>480</v>
      </c>
      <c r="E1091">
        <v>72</v>
      </c>
      <c r="F1091" t="s">
        <v>22</v>
      </c>
      <c r="G1091">
        <v>767</v>
      </c>
      <c r="H1091">
        <v>15</v>
      </c>
      <c r="I1091" t="str">
        <f t="shared" si="17"/>
        <v>2024-12</v>
      </c>
    </row>
    <row r="1092" spans="1:9" ht="15" customHeight="1" x14ac:dyDescent="0.25">
      <c r="A1092">
        <v>1091</v>
      </c>
      <c r="B1092">
        <v>3</v>
      </c>
      <c r="C1092" t="s">
        <v>385</v>
      </c>
      <c r="D1092">
        <v>480</v>
      </c>
      <c r="E1092">
        <v>174</v>
      </c>
      <c r="F1092" t="s">
        <v>27</v>
      </c>
      <c r="G1092">
        <v>536</v>
      </c>
      <c r="H1092">
        <v>6</v>
      </c>
      <c r="I1092" t="str">
        <f t="shared" si="17"/>
        <v>2024-12</v>
      </c>
    </row>
    <row r="1093" spans="1:9" ht="15" customHeight="1" x14ac:dyDescent="0.25">
      <c r="A1093">
        <v>1092</v>
      </c>
      <c r="B1093">
        <v>3</v>
      </c>
      <c r="C1093" t="s">
        <v>386</v>
      </c>
      <c r="D1093">
        <v>480</v>
      </c>
      <c r="E1093">
        <v>147</v>
      </c>
      <c r="F1093" t="s">
        <v>22</v>
      </c>
      <c r="G1093">
        <v>579</v>
      </c>
      <c r="H1093">
        <v>6</v>
      </c>
      <c r="I1093" t="str">
        <f t="shared" si="17"/>
        <v>2024-12</v>
      </c>
    </row>
    <row r="1094" spans="1:9" ht="15" customHeight="1" x14ac:dyDescent="0.25">
      <c r="A1094">
        <v>1093</v>
      </c>
      <c r="B1094">
        <v>3</v>
      </c>
      <c r="C1094" t="s">
        <v>387</v>
      </c>
      <c r="D1094">
        <v>480</v>
      </c>
      <c r="E1094">
        <v>181</v>
      </c>
      <c r="F1094" t="s">
        <v>22</v>
      </c>
      <c r="G1094">
        <v>567</v>
      </c>
      <c r="H1094">
        <v>8</v>
      </c>
      <c r="I1094" t="str">
        <f t="shared" si="17"/>
        <v>2024-12</v>
      </c>
    </row>
    <row r="1095" spans="1:9" ht="15" customHeight="1" x14ac:dyDescent="0.25">
      <c r="A1095">
        <v>1094</v>
      </c>
      <c r="B1095">
        <v>3</v>
      </c>
      <c r="C1095" t="s">
        <v>388</v>
      </c>
      <c r="D1095">
        <v>480</v>
      </c>
      <c r="E1095">
        <v>7</v>
      </c>
      <c r="F1095" t="s">
        <v>27</v>
      </c>
      <c r="G1095">
        <v>811</v>
      </c>
      <c r="H1095">
        <v>16</v>
      </c>
      <c r="I1095" t="str">
        <f t="shared" si="17"/>
        <v>2024-12</v>
      </c>
    </row>
    <row r="1096" spans="1:9" ht="15" customHeight="1" x14ac:dyDescent="0.25">
      <c r="A1096">
        <v>1095</v>
      </c>
      <c r="B1096">
        <v>3</v>
      </c>
      <c r="C1096" t="s">
        <v>389</v>
      </c>
      <c r="D1096">
        <v>480</v>
      </c>
      <c r="E1096">
        <v>218</v>
      </c>
      <c r="F1096" t="s">
        <v>27</v>
      </c>
      <c r="G1096">
        <v>431</v>
      </c>
      <c r="H1096">
        <v>3</v>
      </c>
      <c r="I1096" t="str">
        <f t="shared" si="17"/>
        <v>2024-12</v>
      </c>
    </row>
    <row r="1097" spans="1:9" ht="15" customHeight="1" x14ac:dyDescent="0.25">
      <c r="A1097">
        <v>1096</v>
      </c>
      <c r="B1097">
        <v>3</v>
      </c>
      <c r="C1097" t="s">
        <v>390</v>
      </c>
      <c r="D1097">
        <v>480</v>
      </c>
      <c r="E1097">
        <v>197</v>
      </c>
      <c r="F1097" t="s">
        <v>22</v>
      </c>
      <c r="G1097">
        <v>485</v>
      </c>
      <c r="H1097">
        <v>7</v>
      </c>
      <c r="I1097" t="str">
        <f t="shared" si="17"/>
        <v>2024-12</v>
      </c>
    </row>
    <row r="1098" spans="1:9" ht="15" customHeight="1" x14ac:dyDescent="0.25">
      <c r="A1098">
        <v>1097</v>
      </c>
      <c r="B1098">
        <v>3</v>
      </c>
      <c r="C1098" t="s">
        <v>391</v>
      </c>
      <c r="D1098">
        <v>480</v>
      </c>
      <c r="E1098">
        <v>324</v>
      </c>
      <c r="F1098" t="s">
        <v>22</v>
      </c>
      <c r="G1098">
        <v>249</v>
      </c>
      <c r="H1098">
        <v>4</v>
      </c>
      <c r="I1098" t="str">
        <f t="shared" si="17"/>
        <v>2024-12</v>
      </c>
    </row>
    <row r="1099" spans="1:9" ht="15" customHeight="1" x14ac:dyDescent="0.25">
      <c r="A1099">
        <v>1098</v>
      </c>
      <c r="B1099">
        <v>3</v>
      </c>
      <c r="C1099" t="s">
        <v>392</v>
      </c>
      <c r="D1099">
        <v>480</v>
      </c>
      <c r="E1099">
        <v>7</v>
      </c>
      <c r="F1099" t="s">
        <v>45</v>
      </c>
      <c r="G1099">
        <v>809</v>
      </c>
      <c r="H1099">
        <v>16</v>
      </c>
      <c r="I1099" t="str">
        <f t="shared" si="17"/>
        <v>2024-12</v>
      </c>
    </row>
    <row r="1100" spans="1:9" ht="15" customHeight="1" x14ac:dyDescent="0.25">
      <c r="A1100">
        <v>1099</v>
      </c>
      <c r="B1100">
        <v>4</v>
      </c>
      <c r="C1100" t="s">
        <v>21</v>
      </c>
      <c r="D1100">
        <v>480</v>
      </c>
      <c r="E1100">
        <v>40</v>
      </c>
      <c r="F1100" t="s">
        <v>45</v>
      </c>
      <c r="G1100">
        <v>650</v>
      </c>
      <c r="H1100">
        <v>28</v>
      </c>
      <c r="I1100" t="str">
        <f t="shared" si="17"/>
        <v>2024-01</v>
      </c>
    </row>
    <row r="1101" spans="1:9" ht="15" customHeight="1" x14ac:dyDescent="0.25">
      <c r="A1101">
        <v>1100</v>
      </c>
      <c r="B1101">
        <v>4</v>
      </c>
      <c r="C1101" t="s">
        <v>23</v>
      </c>
      <c r="D1101">
        <v>480</v>
      </c>
      <c r="E1101">
        <v>21</v>
      </c>
      <c r="F1101" t="s">
        <v>45</v>
      </c>
      <c r="G1101">
        <v>686</v>
      </c>
      <c r="H1101">
        <v>23</v>
      </c>
      <c r="I1101" t="str">
        <f t="shared" si="17"/>
        <v>2024-01</v>
      </c>
    </row>
    <row r="1102" spans="1:9" ht="15" customHeight="1" x14ac:dyDescent="0.25">
      <c r="A1102">
        <v>1101</v>
      </c>
      <c r="B1102">
        <v>4</v>
      </c>
      <c r="C1102" t="s">
        <v>25</v>
      </c>
      <c r="D1102">
        <v>480</v>
      </c>
      <c r="E1102">
        <v>22</v>
      </c>
      <c r="F1102" t="s">
        <v>24</v>
      </c>
      <c r="G1102">
        <v>698</v>
      </c>
      <c r="H1102">
        <v>51</v>
      </c>
      <c r="I1102" t="str">
        <f t="shared" si="17"/>
        <v>2024-01</v>
      </c>
    </row>
    <row r="1103" spans="1:9" ht="15" customHeight="1" x14ac:dyDescent="0.25">
      <c r="A1103">
        <v>1102</v>
      </c>
      <c r="B1103">
        <v>4</v>
      </c>
      <c r="C1103" t="s">
        <v>26</v>
      </c>
      <c r="D1103">
        <v>480</v>
      </c>
      <c r="E1103">
        <v>53</v>
      </c>
      <c r="F1103" t="s">
        <v>29</v>
      </c>
      <c r="G1103">
        <v>684</v>
      </c>
      <c r="H1103">
        <v>20</v>
      </c>
      <c r="I1103" t="str">
        <f t="shared" si="17"/>
        <v>2024-01</v>
      </c>
    </row>
    <row r="1104" spans="1:9" ht="15" customHeight="1" x14ac:dyDescent="0.25">
      <c r="A1104">
        <v>1103</v>
      </c>
      <c r="B1104">
        <v>4</v>
      </c>
      <c r="C1104" t="s">
        <v>28</v>
      </c>
      <c r="D1104">
        <v>480</v>
      </c>
      <c r="E1104">
        <v>12</v>
      </c>
      <c r="F1104" t="s">
        <v>24</v>
      </c>
      <c r="G1104">
        <v>743</v>
      </c>
      <c r="H1104">
        <v>43</v>
      </c>
      <c r="I1104" t="str">
        <f t="shared" si="17"/>
        <v>2024-01</v>
      </c>
    </row>
    <row r="1105" spans="1:9" ht="15" customHeight="1" x14ac:dyDescent="0.25">
      <c r="A1105">
        <v>1104</v>
      </c>
      <c r="B1105">
        <v>4</v>
      </c>
      <c r="C1105" t="s">
        <v>30</v>
      </c>
      <c r="D1105">
        <v>480</v>
      </c>
      <c r="E1105">
        <v>0</v>
      </c>
      <c r="F1105" t="s">
        <v>33</v>
      </c>
      <c r="G1105">
        <v>784</v>
      </c>
      <c r="H1105">
        <v>59</v>
      </c>
      <c r="I1105" t="str">
        <f t="shared" si="17"/>
        <v>2024-01</v>
      </c>
    </row>
    <row r="1106" spans="1:9" ht="15" customHeight="1" x14ac:dyDescent="0.25">
      <c r="A1106">
        <v>1105</v>
      </c>
      <c r="B1106">
        <v>4</v>
      </c>
      <c r="C1106" t="s">
        <v>31</v>
      </c>
      <c r="D1106">
        <v>480</v>
      </c>
      <c r="E1106">
        <v>39</v>
      </c>
      <c r="F1106" t="s">
        <v>24</v>
      </c>
      <c r="G1106">
        <v>615</v>
      </c>
      <c r="H1106">
        <v>46</v>
      </c>
      <c r="I1106" t="str">
        <f t="shared" si="17"/>
        <v>2024-01</v>
      </c>
    </row>
    <row r="1107" spans="1:9" ht="15" customHeight="1" x14ac:dyDescent="0.25">
      <c r="A1107">
        <v>1106</v>
      </c>
      <c r="B1107">
        <v>4</v>
      </c>
      <c r="C1107" t="s">
        <v>32</v>
      </c>
      <c r="D1107">
        <v>480</v>
      </c>
      <c r="E1107">
        <v>43</v>
      </c>
      <c r="F1107" t="s">
        <v>29</v>
      </c>
      <c r="G1107">
        <v>710</v>
      </c>
      <c r="H1107">
        <v>53</v>
      </c>
      <c r="I1107" t="str">
        <f t="shared" si="17"/>
        <v>2024-01</v>
      </c>
    </row>
    <row r="1108" spans="1:9" ht="15" customHeight="1" x14ac:dyDescent="0.25">
      <c r="A1108">
        <v>1107</v>
      </c>
      <c r="B1108">
        <v>4</v>
      </c>
      <c r="C1108" t="s">
        <v>34</v>
      </c>
      <c r="D1108">
        <v>480</v>
      </c>
      <c r="E1108">
        <v>80</v>
      </c>
      <c r="F1108" t="s">
        <v>24</v>
      </c>
      <c r="G1108">
        <v>616</v>
      </c>
      <c r="H1108">
        <v>23</v>
      </c>
      <c r="I1108" t="str">
        <f t="shared" si="17"/>
        <v>2024-01</v>
      </c>
    </row>
    <row r="1109" spans="1:9" ht="15" customHeight="1" x14ac:dyDescent="0.25">
      <c r="A1109">
        <v>1108</v>
      </c>
      <c r="B1109">
        <v>4</v>
      </c>
      <c r="C1109" t="s">
        <v>35</v>
      </c>
      <c r="D1109">
        <v>480</v>
      </c>
      <c r="E1109">
        <v>55</v>
      </c>
      <c r="F1109" t="s">
        <v>29</v>
      </c>
      <c r="G1109">
        <v>669</v>
      </c>
      <c r="H1109">
        <v>49</v>
      </c>
      <c r="I1109" t="str">
        <f t="shared" si="17"/>
        <v>2024-01</v>
      </c>
    </row>
    <row r="1110" spans="1:9" ht="15" customHeight="1" x14ac:dyDescent="0.25">
      <c r="A1110">
        <v>1109</v>
      </c>
      <c r="B1110">
        <v>4</v>
      </c>
      <c r="C1110" t="s">
        <v>36</v>
      </c>
      <c r="D1110">
        <v>480</v>
      </c>
      <c r="E1110">
        <v>9</v>
      </c>
      <c r="F1110" t="s">
        <v>22</v>
      </c>
      <c r="G1110">
        <v>676</v>
      </c>
      <c r="H1110">
        <v>56</v>
      </c>
      <c r="I1110" t="str">
        <f t="shared" si="17"/>
        <v>2024-01</v>
      </c>
    </row>
    <row r="1111" spans="1:9" ht="15" customHeight="1" x14ac:dyDescent="0.25">
      <c r="A1111">
        <v>1110</v>
      </c>
      <c r="B1111">
        <v>4</v>
      </c>
      <c r="C1111" t="s">
        <v>37</v>
      </c>
      <c r="D1111">
        <v>480</v>
      </c>
      <c r="E1111">
        <v>68</v>
      </c>
      <c r="F1111" t="s">
        <v>27</v>
      </c>
      <c r="G1111">
        <v>687</v>
      </c>
      <c r="H1111">
        <v>51</v>
      </c>
      <c r="I1111" t="str">
        <f t="shared" si="17"/>
        <v>2024-01</v>
      </c>
    </row>
    <row r="1112" spans="1:9" ht="15" customHeight="1" x14ac:dyDescent="0.25">
      <c r="A1112">
        <v>1111</v>
      </c>
      <c r="B1112">
        <v>4</v>
      </c>
      <c r="C1112" t="s">
        <v>38</v>
      </c>
      <c r="D1112">
        <v>480</v>
      </c>
      <c r="E1112">
        <v>45</v>
      </c>
      <c r="F1112" t="s">
        <v>22</v>
      </c>
      <c r="G1112">
        <v>689</v>
      </c>
      <c r="H1112">
        <v>57</v>
      </c>
      <c r="I1112" t="str">
        <f t="shared" si="17"/>
        <v>2024-01</v>
      </c>
    </row>
    <row r="1113" spans="1:9" ht="15" customHeight="1" x14ac:dyDescent="0.25">
      <c r="A1113">
        <v>1112</v>
      </c>
      <c r="B1113">
        <v>4</v>
      </c>
      <c r="C1113" t="s">
        <v>39</v>
      </c>
      <c r="D1113">
        <v>480</v>
      </c>
      <c r="E1113">
        <v>43</v>
      </c>
      <c r="F1113" t="s">
        <v>29</v>
      </c>
      <c r="G1113">
        <v>689</v>
      </c>
      <c r="H1113">
        <v>27</v>
      </c>
      <c r="I1113" t="str">
        <f t="shared" si="17"/>
        <v>2024-01</v>
      </c>
    </row>
    <row r="1114" spans="1:9" ht="15" customHeight="1" x14ac:dyDescent="0.25">
      <c r="A1114">
        <v>1113</v>
      </c>
      <c r="B1114">
        <v>4</v>
      </c>
      <c r="C1114" t="s">
        <v>40</v>
      </c>
      <c r="D1114">
        <v>480</v>
      </c>
      <c r="E1114">
        <v>31</v>
      </c>
      <c r="F1114" t="s">
        <v>29</v>
      </c>
      <c r="G1114">
        <v>721</v>
      </c>
      <c r="H1114">
        <v>33</v>
      </c>
      <c r="I1114" t="str">
        <f t="shared" si="17"/>
        <v>2024-01</v>
      </c>
    </row>
    <row r="1115" spans="1:9" ht="15" customHeight="1" x14ac:dyDescent="0.25">
      <c r="A1115">
        <v>1114</v>
      </c>
      <c r="B1115">
        <v>4</v>
      </c>
      <c r="C1115" t="s">
        <v>41</v>
      </c>
      <c r="D1115">
        <v>480</v>
      </c>
      <c r="E1115">
        <v>11</v>
      </c>
      <c r="F1115" t="s">
        <v>29</v>
      </c>
      <c r="G1115">
        <v>692</v>
      </c>
      <c r="H1115">
        <v>30</v>
      </c>
      <c r="I1115" t="str">
        <f t="shared" si="17"/>
        <v>2024-01</v>
      </c>
    </row>
    <row r="1116" spans="1:9" ht="15" customHeight="1" x14ac:dyDescent="0.25">
      <c r="A1116">
        <v>1115</v>
      </c>
      <c r="B1116">
        <v>4</v>
      </c>
      <c r="C1116" t="s">
        <v>42</v>
      </c>
      <c r="D1116">
        <v>480</v>
      </c>
      <c r="E1116">
        <v>12</v>
      </c>
      <c r="F1116" t="s">
        <v>22</v>
      </c>
      <c r="G1116">
        <v>707</v>
      </c>
      <c r="H1116">
        <v>59</v>
      </c>
      <c r="I1116" t="str">
        <f t="shared" si="17"/>
        <v>2024-01</v>
      </c>
    </row>
    <row r="1117" spans="1:9" ht="15" customHeight="1" x14ac:dyDescent="0.25">
      <c r="A1117">
        <v>1116</v>
      </c>
      <c r="B1117">
        <v>4</v>
      </c>
      <c r="C1117" t="s">
        <v>43</v>
      </c>
      <c r="D1117">
        <v>480</v>
      </c>
      <c r="E1117">
        <v>35</v>
      </c>
      <c r="F1117" t="s">
        <v>22</v>
      </c>
      <c r="G1117">
        <v>638</v>
      </c>
      <c r="H1117">
        <v>22</v>
      </c>
      <c r="I1117" t="str">
        <f t="shared" si="17"/>
        <v>2024-01</v>
      </c>
    </row>
    <row r="1118" spans="1:9" ht="15" customHeight="1" x14ac:dyDescent="0.25">
      <c r="A1118">
        <v>1117</v>
      </c>
      <c r="B1118">
        <v>4</v>
      </c>
      <c r="C1118" t="s">
        <v>44</v>
      </c>
      <c r="D1118">
        <v>480</v>
      </c>
      <c r="E1118">
        <v>59</v>
      </c>
      <c r="F1118" t="s">
        <v>45</v>
      </c>
      <c r="G1118">
        <v>630</v>
      </c>
      <c r="H1118">
        <v>49</v>
      </c>
      <c r="I1118" t="str">
        <f t="shared" si="17"/>
        <v>2024-01</v>
      </c>
    </row>
    <row r="1119" spans="1:9" ht="15" customHeight="1" x14ac:dyDescent="0.25">
      <c r="A1119">
        <v>1118</v>
      </c>
      <c r="B1119">
        <v>4</v>
      </c>
      <c r="C1119" t="s">
        <v>46</v>
      </c>
      <c r="D1119">
        <v>480</v>
      </c>
      <c r="E1119">
        <v>53</v>
      </c>
      <c r="F1119" t="s">
        <v>33</v>
      </c>
      <c r="G1119">
        <v>696</v>
      </c>
      <c r="H1119">
        <v>32</v>
      </c>
      <c r="I1119" t="str">
        <f t="shared" si="17"/>
        <v>2024-01</v>
      </c>
    </row>
    <row r="1120" spans="1:9" ht="15" customHeight="1" x14ac:dyDescent="0.25">
      <c r="A1120">
        <v>1119</v>
      </c>
      <c r="B1120">
        <v>4</v>
      </c>
      <c r="C1120" t="s">
        <v>47</v>
      </c>
      <c r="D1120">
        <v>480</v>
      </c>
      <c r="E1120">
        <v>58</v>
      </c>
      <c r="F1120" t="s">
        <v>29</v>
      </c>
      <c r="G1120">
        <v>615</v>
      </c>
      <c r="H1120">
        <v>52</v>
      </c>
      <c r="I1120" t="str">
        <f t="shared" si="17"/>
        <v>2024-01</v>
      </c>
    </row>
    <row r="1121" spans="1:9" ht="15" customHeight="1" x14ac:dyDescent="0.25">
      <c r="A1121">
        <v>1120</v>
      </c>
      <c r="B1121">
        <v>4</v>
      </c>
      <c r="C1121" t="s">
        <v>48</v>
      </c>
      <c r="D1121">
        <v>480</v>
      </c>
      <c r="E1121">
        <v>50</v>
      </c>
      <c r="F1121" t="s">
        <v>29</v>
      </c>
      <c r="G1121">
        <v>636</v>
      </c>
      <c r="H1121">
        <v>29</v>
      </c>
      <c r="I1121" t="str">
        <f t="shared" si="17"/>
        <v>2024-01</v>
      </c>
    </row>
    <row r="1122" spans="1:9" ht="15" customHeight="1" x14ac:dyDescent="0.25">
      <c r="A1122">
        <v>1121</v>
      </c>
      <c r="B1122">
        <v>4</v>
      </c>
      <c r="C1122" t="s">
        <v>49</v>
      </c>
      <c r="D1122">
        <v>480</v>
      </c>
      <c r="E1122">
        <v>10</v>
      </c>
      <c r="F1122" t="s">
        <v>29</v>
      </c>
      <c r="G1122">
        <v>751</v>
      </c>
      <c r="H1122">
        <v>32</v>
      </c>
      <c r="I1122" t="str">
        <f t="shared" si="17"/>
        <v>2024-01</v>
      </c>
    </row>
    <row r="1123" spans="1:9" ht="15" customHeight="1" x14ac:dyDescent="0.25">
      <c r="A1123">
        <v>1122</v>
      </c>
      <c r="B1123">
        <v>4</v>
      </c>
      <c r="C1123" t="s">
        <v>50</v>
      </c>
      <c r="D1123">
        <v>480</v>
      </c>
      <c r="E1123">
        <v>45</v>
      </c>
      <c r="F1123" t="s">
        <v>29</v>
      </c>
      <c r="G1123">
        <v>634</v>
      </c>
      <c r="H1123">
        <v>44</v>
      </c>
      <c r="I1123" t="str">
        <f t="shared" si="17"/>
        <v>2024-01</v>
      </c>
    </row>
    <row r="1124" spans="1:9" ht="15" customHeight="1" x14ac:dyDescent="0.25">
      <c r="A1124">
        <v>1123</v>
      </c>
      <c r="B1124">
        <v>4</v>
      </c>
      <c r="C1124" t="s">
        <v>51</v>
      </c>
      <c r="D1124">
        <v>480</v>
      </c>
      <c r="E1124">
        <v>83</v>
      </c>
      <c r="F1124" t="s">
        <v>22</v>
      </c>
      <c r="G1124">
        <v>645</v>
      </c>
      <c r="H1124">
        <v>48</v>
      </c>
      <c r="I1124" t="str">
        <f t="shared" si="17"/>
        <v>2024-01</v>
      </c>
    </row>
    <row r="1125" spans="1:9" ht="15" customHeight="1" x14ac:dyDescent="0.25">
      <c r="A1125">
        <v>1124</v>
      </c>
      <c r="B1125">
        <v>4</v>
      </c>
      <c r="C1125" t="s">
        <v>52</v>
      </c>
      <c r="D1125">
        <v>480</v>
      </c>
      <c r="E1125">
        <v>10</v>
      </c>
      <c r="F1125" t="s">
        <v>27</v>
      </c>
      <c r="G1125">
        <v>659</v>
      </c>
      <c r="H1125">
        <v>47</v>
      </c>
      <c r="I1125" t="str">
        <f t="shared" si="17"/>
        <v>2024-01</v>
      </c>
    </row>
    <row r="1126" spans="1:9" ht="15" customHeight="1" x14ac:dyDescent="0.25">
      <c r="A1126">
        <v>1125</v>
      </c>
      <c r="B1126">
        <v>4</v>
      </c>
      <c r="C1126" t="s">
        <v>53</v>
      </c>
      <c r="D1126">
        <v>480</v>
      </c>
      <c r="E1126">
        <v>22</v>
      </c>
      <c r="F1126" t="s">
        <v>45</v>
      </c>
      <c r="G1126">
        <v>693</v>
      </c>
      <c r="H1126">
        <v>22</v>
      </c>
      <c r="I1126" t="str">
        <f t="shared" si="17"/>
        <v>2024-01</v>
      </c>
    </row>
    <row r="1127" spans="1:9" ht="15" customHeight="1" x14ac:dyDescent="0.25">
      <c r="A1127">
        <v>1126</v>
      </c>
      <c r="B1127">
        <v>4</v>
      </c>
      <c r="C1127" t="s">
        <v>54</v>
      </c>
      <c r="D1127">
        <v>480</v>
      </c>
      <c r="E1127">
        <v>14</v>
      </c>
      <c r="F1127" t="s">
        <v>45</v>
      </c>
      <c r="G1127">
        <v>645</v>
      </c>
      <c r="H1127">
        <v>53</v>
      </c>
      <c r="I1127" t="str">
        <f t="shared" si="17"/>
        <v>2024-01</v>
      </c>
    </row>
    <row r="1128" spans="1:9" ht="15" customHeight="1" x14ac:dyDescent="0.25">
      <c r="A1128">
        <v>1127</v>
      </c>
      <c r="B1128">
        <v>4</v>
      </c>
      <c r="C1128" t="s">
        <v>55</v>
      </c>
      <c r="D1128">
        <v>480</v>
      </c>
      <c r="E1128">
        <v>13</v>
      </c>
      <c r="F1128" t="s">
        <v>22</v>
      </c>
      <c r="G1128">
        <v>725</v>
      </c>
      <c r="H1128">
        <v>23</v>
      </c>
      <c r="I1128" t="str">
        <f t="shared" si="17"/>
        <v>2024-01</v>
      </c>
    </row>
    <row r="1129" spans="1:9" ht="15" customHeight="1" x14ac:dyDescent="0.25">
      <c r="A1129">
        <v>1128</v>
      </c>
      <c r="B1129">
        <v>4</v>
      </c>
      <c r="C1129" t="s">
        <v>56</v>
      </c>
      <c r="D1129">
        <v>480</v>
      </c>
      <c r="E1129">
        <v>54</v>
      </c>
      <c r="F1129" t="s">
        <v>29</v>
      </c>
      <c r="G1129">
        <v>629</v>
      </c>
      <c r="H1129">
        <v>52</v>
      </c>
      <c r="I1129" t="str">
        <f t="shared" si="17"/>
        <v>2024-01</v>
      </c>
    </row>
    <row r="1130" spans="1:9" ht="15" customHeight="1" x14ac:dyDescent="0.25">
      <c r="A1130">
        <v>1129</v>
      </c>
      <c r="B1130">
        <v>4</v>
      </c>
      <c r="C1130" t="s">
        <v>57</v>
      </c>
      <c r="D1130">
        <v>480</v>
      </c>
      <c r="E1130">
        <v>109</v>
      </c>
      <c r="F1130" t="s">
        <v>33</v>
      </c>
      <c r="G1130">
        <v>548</v>
      </c>
      <c r="H1130">
        <v>45</v>
      </c>
      <c r="I1130" t="str">
        <f t="shared" si="17"/>
        <v>2024-01</v>
      </c>
    </row>
    <row r="1131" spans="1:9" ht="15" customHeight="1" x14ac:dyDescent="0.25">
      <c r="A1131">
        <v>1130</v>
      </c>
      <c r="B1131">
        <v>4</v>
      </c>
      <c r="C1131" t="s">
        <v>58</v>
      </c>
      <c r="D1131">
        <v>480</v>
      </c>
      <c r="E1131">
        <v>276</v>
      </c>
      <c r="F1131" t="s">
        <v>27</v>
      </c>
      <c r="G1131">
        <v>334</v>
      </c>
      <c r="H1131">
        <v>26</v>
      </c>
      <c r="I1131" t="str">
        <f t="shared" si="17"/>
        <v>2024-02</v>
      </c>
    </row>
    <row r="1132" spans="1:9" ht="15" customHeight="1" x14ac:dyDescent="0.25">
      <c r="A1132">
        <v>1131</v>
      </c>
      <c r="B1132">
        <v>4</v>
      </c>
      <c r="C1132" t="s">
        <v>59</v>
      </c>
      <c r="D1132">
        <v>480</v>
      </c>
      <c r="E1132">
        <v>14</v>
      </c>
      <c r="F1132" t="s">
        <v>22</v>
      </c>
      <c r="G1132">
        <v>727</v>
      </c>
      <c r="H1132">
        <v>24</v>
      </c>
      <c r="I1132" t="str">
        <f t="shared" si="17"/>
        <v>2024-02</v>
      </c>
    </row>
    <row r="1133" spans="1:9" ht="15" customHeight="1" x14ac:dyDescent="0.25">
      <c r="A1133">
        <v>1132</v>
      </c>
      <c r="B1133">
        <v>4</v>
      </c>
      <c r="C1133" t="s">
        <v>60</v>
      </c>
      <c r="D1133">
        <v>480</v>
      </c>
      <c r="E1133">
        <v>4</v>
      </c>
      <c r="F1133" t="s">
        <v>45</v>
      </c>
      <c r="G1133">
        <v>807</v>
      </c>
      <c r="H1133">
        <v>39</v>
      </c>
      <c r="I1133" t="str">
        <f t="shared" si="17"/>
        <v>2024-02</v>
      </c>
    </row>
    <row r="1134" spans="1:9" ht="15" customHeight="1" x14ac:dyDescent="0.25">
      <c r="A1134">
        <v>1133</v>
      </c>
      <c r="B1134">
        <v>4</v>
      </c>
      <c r="C1134" t="s">
        <v>61</v>
      </c>
      <c r="D1134">
        <v>480</v>
      </c>
      <c r="E1134">
        <v>68</v>
      </c>
      <c r="F1134" t="s">
        <v>24</v>
      </c>
      <c r="G1134">
        <v>673</v>
      </c>
      <c r="H1134">
        <v>54</v>
      </c>
      <c r="I1134" t="str">
        <f t="shared" si="17"/>
        <v>2024-02</v>
      </c>
    </row>
    <row r="1135" spans="1:9" ht="15" customHeight="1" x14ac:dyDescent="0.25">
      <c r="A1135">
        <v>1134</v>
      </c>
      <c r="B1135">
        <v>4</v>
      </c>
      <c r="C1135" t="s">
        <v>62</v>
      </c>
      <c r="D1135">
        <v>480</v>
      </c>
      <c r="E1135">
        <v>300</v>
      </c>
      <c r="F1135" t="s">
        <v>29</v>
      </c>
      <c r="G1135">
        <v>261</v>
      </c>
      <c r="H1135">
        <v>8</v>
      </c>
      <c r="I1135" t="str">
        <f t="shared" si="17"/>
        <v>2024-02</v>
      </c>
    </row>
    <row r="1136" spans="1:9" ht="15" customHeight="1" x14ac:dyDescent="0.25">
      <c r="A1136">
        <v>1135</v>
      </c>
      <c r="B1136">
        <v>4</v>
      </c>
      <c r="C1136" t="s">
        <v>63</v>
      </c>
      <c r="D1136">
        <v>480</v>
      </c>
      <c r="E1136">
        <v>26</v>
      </c>
      <c r="F1136" t="s">
        <v>45</v>
      </c>
      <c r="G1136">
        <v>642</v>
      </c>
      <c r="H1136">
        <v>20</v>
      </c>
      <c r="I1136" t="str">
        <f t="shared" si="17"/>
        <v>2024-02</v>
      </c>
    </row>
    <row r="1137" spans="1:9" ht="15" customHeight="1" x14ac:dyDescent="0.25">
      <c r="A1137">
        <v>1136</v>
      </c>
      <c r="B1137">
        <v>4</v>
      </c>
      <c r="C1137" t="s">
        <v>64</v>
      </c>
      <c r="D1137">
        <v>480</v>
      </c>
      <c r="E1137">
        <v>22</v>
      </c>
      <c r="F1137" t="s">
        <v>24</v>
      </c>
      <c r="G1137">
        <v>745</v>
      </c>
      <c r="H1137">
        <v>47</v>
      </c>
      <c r="I1137" t="str">
        <f t="shared" si="17"/>
        <v>2024-02</v>
      </c>
    </row>
    <row r="1138" spans="1:9" ht="15" customHeight="1" x14ac:dyDescent="0.25">
      <c r="A1138">
        <v>1137</v>
      </c>
      <c r="B1138">
        <v>4</v>
      </c>
      <c r="C1138" t="s">
        <v>65</v>
      </c>
      <c r="D1138">
        <v>480</v>
      </c>
      <c r="E1138">
        <v>18</v>
      </c>
      <c r="F1138" t="s">
        <v>45</v>
      </c>
      <c r="G1138">
        <v>732</v>
      </c>
      <c r="H1138">
        <v>32</v>
      </c>
      <c r="I1138" t="str">
        <f t="shared" si="17"/>
        <v>2024-02</v>
      </c>
    </row>
    <row r="1139" spans="1:9" ht="15" customHeight="1" x14ac:dyDescent="0.25">
      <c r="A1139">
        <v>1138</v>
      </c>
      <c r="B1139">
        <v>4</v>
      </c>
      <c r="C1139" t="s">
        <v>66</v>
      </c>
      <c r="D1139">
        <v>480</v>
      </c>
      <c r="E1139">
        <v>0</v>
      </c>
      <c r="F1139" t="s">
        <v>33</v>
      </c>
      <c r="G1139">
        <v>778</v>
      </c>
      <c r="H1139">
        <v>52</v>
      </c>
      <c r="I1139" t="str">
        <f t="shared" si="17"/>
        <v>2024-02</v>
      </c>
    </row>
    <row r="1140" spans="1:9" ht="15" customHeight="1" x14ac:dyDescent="0.25">
      <c r="A1140">
        <v>1139</v>
      </c>
      <c r="B1140">
        <v>4</v>
      </c>
      <c r="C1140" t="s">
        <v>67</v>
      </c>
      <c r="D1140">
        <v>480</v>
      </c>
      <c r="E1140">
        <v>71</v>
      </c>
      <c r="F1140" t="s">
        <v>24</v>
      </c>
      <c r="G1140">
        <v>567</v>
      </c>
      <c r="H1140">
        <v>45</v>
      </c>
      <c r="I1140" t="str">
        <f t="shared" si="17"/>
        <v>2024-02</v>
      </c>
    </row>
    <row r="1141" spans="1:9" ht="15" customHeight="1" x14ac:dyDescent="0.25">
      <c r="A1141">
        <v>1140</v>
      </c>
      <c r="B1141">
        <v>4</v>
      </c>
      <c r="C1141" t="s">
        <v>68</v>
      </c>
      <c r="D1141">
        <v>480</v>
      </c>
      <c r="E1141">
        <v>48</v>
      </c>
      <c r="F1141" t="s">
        <v>22</v>
      </c>
      <c r="G1141">
        <v>672</v>
      </c>
      <c r="H1141">
        <v>45</v>
      </c>
      <c r="I1141" t="str">
        <f t="shared" si="17"/>
        <v>2024-02</v>
      </c>
    </row>
    <row r="1142" spans="1:9" ht="15" customHeight="1" x14ac:dyDescent="0.25">
      <c r="A1142">
        <v>1141</v>
      </c>
      <c r="B1142">
        <v>4</v>
      </c>
      <c r="C1142" t="s">
        <v>69</v>
      </c>
      <c r="D1142">
        <v>480</v>
      </c>
      <c r="E1142">
        <v>99</v>
      </c>
      <c r="F1142" t="s">
        <v>29</v>
      </c>
      <c r="G1142">
        <v>595</v>
      </c>
      <c r="H1142">
        <v>38</v>
      </c>
      <c r="I1142" t="str">
        <f t="shared" si="17"/>
        <v>2024-02</v>
      </c>
    </row>
    <row r="1143" spans="1:9" ht="15" customHeight="1" x14ac:dyDescent="0.25">
      <c r="A1143">
        <v>1142</v>
      </c>
      <c r="B1143">
        <v>4</v>
      </c>
      <c r="C1143" t="s">
        <v>70</v>
      </c>
      <c r="D1143">
        <v>480</v>
      </c>
      <c r="E1143">
        <v>232</v>
      </c>
      <c r="F1143" t="s">
        <v>24</v>
      </c>
      <c r="G1143">
        <v>401</v>
      </c>
      <c r="H1143">
        <v>22</v>
      </c>
      <c r="I1143" t="str">
        <f t="shared" si="17"/>
        <v>2024-02</v>
      </c>
    </row>
    <row r="1144" spans="1:9" ht="15" customHeight="1" x14ac:dyDescent="0.25">
      <c r="A1144">
        <v>1143</v>
      </c>
      <c r="B1144">
        <v>4</v>
      </c>
      <c r="C1144" t="s">
        <v>71</v>
      </c>
      <c r="D1144">
        <v>480</v>
      </c>
      <c r="E1144">
        <v>61</v>
      </c>
      <c r="F1144" t="s">
        <v>29</v>
      </c>
      <c r="G1144">
        <v>628</v>
      </c>
      <c r="H1144">
        <v>27</v>
      </c>
      <c r="I1144" t="str">
        <f t="shared" si="17"/>
        <v>2024-02</v>
      </c>
    </row>
    <row r="1145" spans="1:9" ht="15" customHeight="1" x14ac:dyDescent="0.25">
      <c r="A1145">
        <v>1144</v>
      </c>
      <c r="B1145">
        <v>4</v>
      </c>
      <c r="C1145" t="s">
        <v>72</v>
      </c>
      <c r="D1145">
        <v>480</v>
      </c>
      <c r="E1145">
        <v>45</v>
      </c>
      <c r="F1145" t="s">
        <v>24</v>
      </c>
      <c r="G1145">
        <v>728</v>
      </c>
      <c r="H1145">
        <v>62</v>
      </c>
      <c r="I1145" t="str">
        <f t="shared" si="17"/>
        <v>2024-02</v>
      </c>
    </row>
    <row r="1146" spans="1:9" ht="15" customHeight="1" x14ac:dyDescent="0.25">
      <c r="A1146">
        <v>1145</v>
      </c>
      <c r="B1146">
        <v>4</v>
      </c>
      <c r="C1146" t="s">
        <v>73</v>
      </c>
      <c r="D1146">
        <v>480</v>
      </c>
      <c r="E1146">
        <v>20</v>
      </c>
      <c r="F1146" t="s">
        <v>45</v>
      </c>
      <c r="G1146">
        <v>710</v>
      </c>
      <c r="H1146">
        <v>30</v>
      </c>
      <c r="I1146" t="str">
        <f t="shared" si="17"/>
        <v>2024-02</v>
      </c>
    </row>
    <row r="1147" spans="1:9" ht="15" customHeight="1" x14ac:dyDescent="0.25">
      <c r="A1147">
        <v>1146</v>
      </c>
      <c r="B1147">
        <v>4</v>
      </c>
      <c r="C1147" t="s">
        <v>74</v>
      </c>
      <c r="D1147">
        <v>480</v>
      </c>
      <c r="E1147">
        <v>270</v>
      </c>
      <c r="F1147" t="s">
        <v>27</v>
      </c>
      <c r="G1147">
        <v>355</v>
      </c>
      <c r="H1147">
        <v>24</v>
      </c>
      <c r="I1147" t="str">
        <f t="shared" si="17"/>
        <v>2024-02</v>
      </c>
    </row>
    <row r="1148" spans="1:9" ht="15" customHeight="1" x14ac:dyDescent="0.25">
      <c r="A1148">
        <v>1147</v>
      </c>
      <c r="B1148">
        <v>4</v>
      </c>
      <c r="C1148" t="s">
        <v>75</v>
      </c>
      <c r="D1148">
        <v>480</v>
      </c>
      <c r="E1148">
        <v>81</v>
      </c>
      <c r="F1148" t="s">
        <v>45</v>
      </c>
      <c r="G1148">
        <v>640</v>
      </c>
      <c r="H1148">
        <v>41</v>
      </c>
      <c r="I1148" t="str">
        <f t="shared" si="17"/>
        <v>2024-02</v>
      </c>
    </row>
    <row r="1149" spans="1:9" ht="15" customHeight="1" x14ac:dyDescent="0.25">
      <c r="A1149">
        <v>1148</v>
      </c>
      <c r="B1149">
        <v>4</v>
      </c>
      <c r="C1149" t="s">
        <v>76</v>
      </c>
      <c r="D1149">
        <v>480</v>
      </c>
      <c r="E1149">
        <v>2</v>
      </c>
      <c r="F1149" t="s">
        <v>24</v>
      </c>
      <c r="G1149">
        <v>727</v>
      </c>
      <c r="H1149">
        <v>51</v>
      </c>
      <c r="I1149" t="str">
        <f t="shared" si="17"/>
        <v>2024-02</v>
      </c>
    </row>
    <row r="1150" spans="1:9" ht="15" customHeight="1" x14ac:dyDescent="0.25">
      <c r="A1150">
        <v>1149</v>
      </c>
      <c r="B1150">
        <v>4</v>
      </c>
      <c r="C1150" t="s">
        <v>77</v>
      </c>
      <c r="D1150">
        <v>480</v>
      </c>
      <c r="E1150">
        <v>56</v>
      </c>
      <c r="F1150" t="s">
        <v>29</v>
      </c>
      <c r="G1150">
        <v>633</v>
      </c>
      <c r="H1150">
        <v>54</v>
      </c>
      <c r="I1150" t="str">
        <f t="shared" si="17"/>
        <v>2024-02</v>
      </c>
    </row>
    <row r="1151" spans="1:9" ht="15" customHeight="1" x14ac:dyDescent="0.25">
      <c r="A1151">
        <v>1150</v>
      </c>
      <c r="B1151">
        <v>4</v>
      </c>
      <c r="C1151" t="s">
        <v>78</v>
      </c>
      <c r="D1151">
        <v>480</v>
      </c>
      <c r="E1151">
        <v>9</v>
      </c>
      <c r="F1151" t="s">
        <v>22</v>
      </c>
      <c r="G1151">
        <v>723</v>
      </c>
      <c r="H1151">
        <v>51</v>
      </c>
      <c r="I1151" t="str">
        <f t="shared" si="17"/>
        <v>2024-02</v>
      </c>
    </row>
    <row r="1152" spans="1:9" ht="15" customHeight="1" x14ac:dyDescent="0.25">
      <c r="A1152">
        <v>1151</v>
      </c>
      <c r="B1152">
        <v>4</v>
      </c>
      <c r="C1152" t="s">
        <v>79</v>
      </c>
      <c r="D1152">
        <v>480</v>
      </c>
      <c r="E1152">
        <v>59</v>
      </c>
      <c r="F1152" t="s">
        <v>22</v>
      </c>
      <c r="G1152">
        <v>666</v>
      </c>
      <c r="H1152">
        <v>30</v>
      </c>
      <c r="I1152" t="str">
        <f t="shared" si="17"/>
        <v>2024-02</v>
      </c>
    </row>
    <row r="1153" spans="1:9" ht="15" customHeight="1" x14ac:dyDescent="0.25">
      <c r="A1153">
        <v>1152</v>
      </c>
      <c r="B1153">
        <v>4</v>
      </c>
      <c r="C1153" t="s">
        <v>80</v>
      </c>
      <c r="D1153">
        <v>480</v>
      </c>
      <c r="E1153">
        <v>8</v>
      </c>
      <c r="F1153" t="s">
        <v>22</v>
      </c>
      <c r="G1153">
        <v>745</v>
      </c>
      <c r="H1153">
        <v>49</v>
      </c>
      <c r="I1153" t="str">
        <f t="shared" si="17"/>
        <v>2024-02</v>
      </c>
    </row>
    <row r="1154" spans="1:9" ht="15" customHeight="1" x14ac:dyDescent="0.25">
      <c r="A1154">
        <v>1153</v>
      </c>
      <c r="B1154">
        <v>4</v>
      </c>
      <c r="C1154" t="s">
        <v>81</v>
      </c>
      <c r="D1154">
        <v>480</v>
      </c>
      <c r="E1154">
        <v>9</v>
      </c>
      <c r="F1154" t="s">
        <v>29</v>
      </c>
      <c r="G1154">
        <v>754</v>
      </c>
      <c r="H1154">
        <v>43</v>
      </c>
      <c r="I1154" t="str">
        <f t="shared" ref="I1154:I1217" si="18">TEXT(C1154,"yyyy-mm")</f>
        <v>2024-02</v>
      </c>
    </row>
    <row r="1155" spans="1:9" ht="15" customHeight="1" x14ac:dyDescent="0.25">
      <c r="A1155">
        <v>1154</v>
      </c>
      <c r="B1155">
        <v>4</v>
      </c>
      <c r="C1155" t="s">
        <v>82</v>
      </c>
      <c r="D1155">
        <v>480</v>
      </c>
      <c r="E1155">
        <v>54</v>
      </c>
      <c r="F1155" t="s">
        <v>29</v>
      </c>
      <c r="G1155">
        <v>700</v>
      </c>
      <c r="H1155">
        <v>28</v>
      </c>
      <c r="I1155" t="str">
        <f t="shared" si="18"/>
        <v>2024-02</v>
      </c>
    </row>
    <row r="1156" spans="1:9" ht="15" customHeight="1" x14ac:dyDescent="0.25">
      <c r="A1156">
        <v>1155</v>
      </c>
      <c r="B1156">
        <v>4</v>
      </c>
      <c r="C1156" t="s">
        <v>83</v>
      </c>
      <c r="D1156">
        <v>480</v>
      </c>
      <c r="E1156">
        <v>0</v>
      </c>
      <c r="F1156" t="s">
        <v>33</v>
      </c>
      <c r="G1156">
        <v>780</v>
      </c>
      <c r="H1156">
        <v>51</v>
      </c>
      <c r="I1156" t="str">
        <f t="shared" si="18"/>
        <v>2024-02</v>
      </c>
    </row>
    <row r="1157" spans="1:9" ht="15" customHeight="1" x14ac:dyDescent="0.25">
      <c r="A1157">
        <v>1156</v>
      </c>
      <c r="B1157">
        <v>4</v>
      </c>
      <c r="C1157" t="s">
        <v>84</v>
      </c>
      <c r="D1157">
        <v>480</v>
      </c>
      <c r="E1157">
        <v>59</v>
      </c>
      <c r="F1157" t="s">
        <v>24</v>
      </c>
      <c r="G1157">
        <v>692</v>
      </c>
      <c r="H1157">
        <v>692</v>
      </c>
      <c r="I1157" t="str">
        <f t="shared" si="18"/>
        <v>2024-02</v>
      </c>
    </row>
    <row r="1158" spans="1:9" ht="15" customHeight="1" x14ac:dyDescent="0.25">
      <c r="A1158">
        <v>1157</v>
      </c>
      <c r="B1158">
        <v>4</v>
      </c>
      <c r="C1158" t="s">
        <v>85</v>
      </c>
      <c r="D1158">
        <v>480</v>
      </c>
      <c r="E1158">
        <v>161</v>
      </c>
      <c r="F1158" t="s">
        <v>45</v>
      </c>
      <c r="G1158">
        <v>493</v>
      </c>
      <c r="H1158">
        <v>493</v>
      </c>
      <c r="I1158" t="str">
        <f t="shared" si="18"/>
        <v>2024-02</v>
      </c>
    </row>
    <row r="1159" spans="1:9" ht="15" customHeight="1" x14ac:dyDescent="0.25">
      <c r="A1159">
        <v>1158</v>
      </c>
      <c r="B1159">
        <v>4</v>
      </c>
      <c r="C1159" t="s">
        <v>86</v>
      </c>
      <c r="D1159">
        <v>480</v>
      </c>
      <c r="E1159">
        <v>25</v>
      </c>
      <c r="F1159" t="s">
        <v>45</v>
      </c>
      <c r="G1159">
        <v>647</v>
      </c>
      <c r="H1159">
        <v>41</v>
      </c>
      <c r="I1159" t="str">
        <f t="shared" si="18"/>
        <v>2024-02</v>
      </c>
    </row>
    <row r="1160" spans="1:9" ht="15" customHeight="1" x14ac:dyDescent="0.25">
      <c r="A1160">
        <v>1159</v>
      </c>
      <c r="B1160">
        <v>4</v>
      </c>
      <c r="C1160" t="s">
        <v>87</v>
      </c>
      <c r="D1160">
        <v>480</v>
      </c>
      <c r="E1160">
        <v>16</v>
      </c>
      <c r="F1160" t="s">
        <v>22</v>
      </c>
      <c r="G1160">
        <v>775</v>
      </c>
      <c r="H1160">
        <v>50</v>
      </c>
      <c r="I1160" t="str">
        <f t="shared" si="18"/>
        <v>2024-03</v>
      </c>
    </row>
    <row r="1161" spans="1:9" ht="15" customHeight="1" x14ac:dyDescent="0.25">
      <c r="A1161">
        <v>1160</v>
      </c>
      <c r="B1161">
        <v>4</v>
      </c>
      <c r="C1161" t="s">
        <v>88</v>
      </c>
      <c r="D1161">
        <v>480</v>
      </c>
      <c r="E1161">
        <v>44</v>
      </c>
      <c r="F1161" t="s">
        <v>45</v>
      </c>
      <c r="G1161">
        <v>649</v>
      </c>
      <c r="H1161">
        <v>21</v>
      </c>
      <c r="I1161" t="str">
        <f t="shared" si="18"/>
        <v>2024-03</v>
      </c>
    </row>
    <row r="1162" spans="1:9" ht="15" customHeight="1" x14ac:dyDescent="0.25">
      <c r="A1162">
        <v>1161</v>
      </c>
      <c r="B1162">
        <v>4</v>
      </c>
      <c r="C1162" t="s">
        <v>89</v>
      </c>
      <c r="D1162">
        <v>480</v>
      </c>
      <c r="E1162">
        <v>1</v>
      </c>
      <c r="F1162" t="s">
        <v>45</v>
      </c>
      <c r="G1162">
        <v>723</v>
      </c>
      <c r="H1162">
        <v>25</v>
      </c>
      <c r="I1162" t="str">
        <f t="shared" si="18"/>
        <v>2024-03</v>
      </c>
    </row>
    <row r="1163" spans="1:9" ht="15" customHeight="1" x14ac:dyDescent="0.25">
      <c r="A1163">
        <v>1162</v>
      </c>
      <c r="B1163">
        <v>4</v>
      </c>
      <c r="C1163" t="s">
        <v>90</v>
      </c>
      <c r="D1163">
        <v>480</v>
      </c>
      <c r="E1163">
        <v>46</v>
      </c>
      <c r="F1163" t="s">
        <v>22</v>
      </c>
      <c r="G1163">
        <v>720</v>
      </c>
      <c r="H1163">
        <v>59</v>
      </c>
      <c r="I1163" t="str">
        <f t="shared" si="18"/>
        <v>2024-03</v>
      </c>
    </row>
    <row r="1164" spans="1:9" ht="15" customHeight="1" x14ac:dyDescent="0.25">
      <c r="A1164">
        <v>1163</v>
      </c>
      <c r="B1164">
        <v>4</v>
      </c>
      <c r="C1164" t="s">
        <v>91</v>
      </c>
      <c r="D1164">
        <v>480</v>
      </c>
      <c r="E1164">
        <v>53</v>
      </c>
      <c r="F1164" t="s">
        <v>29</v>
      </c>
      <c r="G1164">
        <v>615</v>
      </c>
      <c r="H1164">
        <v>50</v>
      </c>
      <c r="I1164" t="str">
        <f t="shared" si="18"/>
        <v>2024-03</v>
      </c>
    </row>
    <row r="1165" spans="1:9" ht="15" customHeight="1" x14ac:dyDescent="0.25">
      <c r="A1165">
        <v>1164</v>
      </c>
      <c r="B1165">
        <v>4</v>
      </c>
      <c r="C1165" t="s">
        <v>92</v>
      </c>
      <c r="D1165">
        <v>480</v>
      </c>
      <c r="E1165">
        <v>108</v>
      </c>
      <c r="F1165" t="s">
        <v>45</v>
      </c>
      <c r="G1165">
        <v>534</v>
      </c>
      <c r="H1165">
        <v>39</v>
      </c>
      <c r="I1165" t="str">
        <f t="shared" si="18"/>
        <v>2024-03</v>
      </c>
    </row>
    <row r="1166" spans="1:9" ht="15" customHeight="1" x14ac:dyDescent="0.25">
      <c r="A1166">
        <v>1165</v>
      </c>
      <c r="B1166">
        <v>4</v>
      </c>
      <c r="C1166" t="s">
        <v>93</v>
      </c>
      <c r="D1166">
        <v>480</v>
      </c>
      <c r="E1166">
        <v>16</v>
      </c>
      <c r="F1166" t="s">
        <v>27</v>
      </c>
      <c r="G1166">
        <v>758</v>
      </c>
      <c r="H1166">
        <v>67</v>
      </c>
      <c r="I1166" t="str">
        <f t="shared" si="18"/>
        <v>2024-03</v>
      </c>
    </row>
    <row r="1167" spans="1:9" ht="15" customHeight="1" x14ac:dyDescent="0.25">
      <c r="A1167">
        <v>1166</v>
      </c>
      <c r="B1167">
        <v>4</v>
      </c>
      <c r="C1167" t="s">
        <v>94</v>
      </c>
      <c r="D1167">
        <v>480</v>
      </c>
      <c r="E1167">
        <v>1</v>
      </c>
      <c r="F1167" t="s">
        <v>22</v>
      </c>
      <c r="G1167">
        <v>797</v>
      </c>
      <c r="H1167">
        <v>53</v>
      </c>
      <c r="I1167" t="str">
        <f t="shared" si="18"/>
        <v>2024-03</v>
      </c>
    </row>
    <row r="1168" spans="1:9" ht="15" customHeight="1" x14ac:dyDescent="0.25">
      <c r="A1168">
        <v>1167</v>
      </c>
      <c r="B1168">
        <v>4</v>
      </c>
      <c r="C1168" t="s">
        <v>95</v>
      </c>
      <c r="D1168">
        <v>480</v>
      </c>
      <c r="E1168">
        <v>180</v>
      </c>
      <c r="F1168" t="s">
        <v>33</v>
      </c>
      <c r="G1168">
        <v>457</v>
      </c>
      <c r="H1168">
        <v>36</v>
      </c>
      <c r="I1168" t="str">
        <f t="shared" si="18"/>
        <v>2024-03</v>
      </c>
    </row>
    <row r="1169" spans="1:9" ht="15" customHeight="1" x14ac:dyDescent="0.25">
      <c r="A1169">
        <v>1168</v>
      </c>
      <c r="B1169">
        <v>4</v>
      </c>
      <c r="C1169" t="s">
        <v>96</v>
      </c>
      <c r="D1169">
        <v>480</v>
      </c>
      <c r="E1169">
        <v>3</v>
      </c>
      <c r="F1169" t="s">
        <v>24</v>
      </c>
      <c r="G1169">
        <v>707</v>
      </c>
      <c r="H1169">
        <v>23</v>
      </c>
      <c r="I1169" t="str">
        <f t="shared" si="18"/>
        <v>2024-03</v>
      </c>
    </row>
    <row r="1170" spans="1:9" ht="15" customHeight="1" x14ac:dyDescent="0.25">
      <c r="A1170">
        <v>1169</v>
      </c>
      <c r="B1170">
        <v>4</v>
      </c>
      <c r="C1170" t="s">
        <v>97</v>
      </c>
      <c r="D1170">
        <v>480</v>
      </c>
      <c r="E1170">
        <v>184</v>
      </c>
      <c r="F1170" t="s">
        <v>33</v>
      </c>
      <c r="G1170">
        <v>484</v>
      </c>
      <c r="H1170">
        <v>39</v>
      </c>
      <c r="I1170" t="str">
        <f t="shared" si="18"/>
        <v>2024-03</v>
      </c>
    </row>
    <row r="1171" spans="1:9" ht="15" customHeight="1" x14ac:dyDescent="0.25">
      <c r="A1171">
        <v>1170</v>
      </c>
      <c r="B1171">
        <v>4</v>
      </c>
      <c r="C1171" t="s">
        <v>98</v>
      </c>
      <c r="D1171">
        <v>480</v>
      </c>
      <c r="E1171">
        <v>138</v>
      </c>
      <c r="F1171" t="s">
        <v>45</v>
      </c>
      <c r="G1171">
        <v>479</v>
      </c>
      <c r="H1171">
        <v>25</v>
      </c>
      <c r="I1171" t="str">
        <f t="shared" si="18"/>
        <v>2024-03</v>
      </c>
    </row>
    <row r="1172" spans="1:9" ht="15" customHeight="1" x14ac:dyDescent="0.25">
      <c r="A1172">
        <v>1171</v>
      </c>
      <c r="B1172">
        <v>4</v>
      </c>
      <c r="C1172" t="s">
        <v>99</v>
      </c>
      <c r="D1172">
        <v>480</v>
      </c>
      <c r="E1172">
        <v>3</v>
      </c>
      <c r="F1172" t="s">
        <v>29</v>
      </c>
      <c r="G1172">
        <v>687</v>
      </c>
      <c r="H1172">
        <v>29</v>
      </c>
      <c r="I1172" t="str">
        <f t="shared" si="18"/>
        <v>2024-03</v>
      </c>
    </row>
    <row r="1173" spans="1:9" ht="15" customHeight="1" x14ac:dyDescent="0.25">
      <c r="A1173">
        <v>1172</v>
      </c>
      <c r="B1173">
        <v>4</v>
      </c>
      <c r="C1173" t="s">
        <v>100</v>
      </c>
      <c r="D1173">
        <v>480</v>
      </c>
      <c r="E1173">
        <v>31</v>
      </c>
      <c r="F1173" t="s">
        <v>29</v>
      </c>
      <c r="G1173">
        <v>655</v>
      </c>
      <c r="H1173">
        <v>23</v>
      </c>
      <c r="I1173" t="str">
        <f t="shared" si="18"/>
        <v>2024-03</v>
      </c>
    </row>
    <row r="1174" spans="1:9" ht="15" customHeight="1" x14ac:dyDescent="0.25">
      <c r="A1174">
        <v>1173</v>
      </c>
      <c r="B1174">
        <v>4</v>
      </c>
      <c r="C1174" t="s">
        <v>101</v>
      </c>
      <c r="D1174">
        <v>480</v>
      </c>
      <c r="E1174">
        <v>9</v>
      </c>
      <c r="F1174" t="s">
        <v>24</v>
      </c>
      <c r="G1174">
        <v>669</v>
      </c>
      <c r="H1174">
        <v>58</v>
      </c>
      <c r="I1174" t="str">
        <f t="shared" si="18"/>
        <v>2024-03</v>
      </c>
    </row>
    <row r="1175" spans="1:9" ht="15" customHeight="1" x14ac:dyDescent="0.25">
      <c r="A1175">
        <v>1174</v>
      </c>
      <c r="B1175">
        <v>4</v>
      </c>
      <c r="C1175" t="s">
        <v>102</v>
      </c>
      <c r="D1175">
        <v>480</v>
      </c>
      <c r="E1175">
        <v>70</v>
      </c>
      <c r="F1175" t="s">
        <v>27</v>
      </c>
      <c r="G1175">
        <v>691</v>
      </c>
      <c r="H1175">
        <v>38</v>
      </c>
      <c r="I1175" t="str">
        <f t="shared" si="18"/>
        <v>2024-03</v>
      </c>
    </row>
    <row r="1176" spans="1:9" ht="15" customHeight="1" x14ac:dyDescent="0.25">
      <c r="A1176">
        <v>1175</v>
      </c>
      <c r="B1176">
        <v>4</v>
      </c>
      <c r="C1176" t="s">
        <v>103</v>
      </c>
      <c r="D1176">
        <v>480</v>
      </c>
      <c r="E1176">
        <v>16</v>
      </c>
      <c r="F1176" t="s">
        <v>45</v>
      </c>
      <c r="G1176">
        <v>757</v>
      </c>
      <c r="H1176">
        <v>37</v>
      </c>
      <c r="I1176" t="str">
        <f t="shared" si="18"/>
        <v>2024-03</v>
      </c>
    </row>
    <row r="1177" spans="1:9" ht="15" customHeight="1" x14ac:dyDescent="0.25">
      <c r="A1177">
        <v>1176</v>
      </c>
      <c r="B1177">
        <v>4</v>
      </c>
      <c r="C1177" t="s">
        <v>104</v>
      </c>
      <c r="D1177">
        <v>480</v>
      </c>
      <c r="E1177">
        <v>17</v>
      </c>
      <c r="F1177" t="s">
        <v>27</v>
      </c>
      <c r="G1177">
        <v>671</v>
      </c>
      <c r="H1177">
        <v>25</v>
      </c>
      <c r="I1177" t="str">
        <f t="shared" si="18"/>
        <v>2024-03</v>
      </c>
    </row>
    <row r="1178" spans="1:9" ht="15" customHeight="1" x14ac:dyDescent="0.25">
      <c r="A1178">
        <v>1177</v>
      </c>
      <c r="B1178">
        <v>4</v>
      </c>
      <c r="C1178" t="s">
        <v>105</v>
      </c>
      <c r="D1178">
        <v>480</v>
      </c>
      <c r="E1178">
        <v>14</v>
      </c>
      <c r="F1178" t="s">
        <v>29</v>
      </c>
      <c r="G1178">
        <v>693</v>
      </c>
      <c r="H1178">
        <v>48</v>
      </c>
      <c r="I1178" t="str">
        <f t="shared" si="18"/>
        <v>2024-03</v>
      </c>
    </row>
    <row r="1179" spans="1:9" ht="15" customHeight="1" x14ac:dyDescent="0.25">
      <c r="A1179">
        <v>1178</v>
      </c>
      <c r="B1179">
        <v>4</v>
      </c>
      <c r="C1179" t="s">
        <v>106</v>
      </c>
      <c r="D1179">
        <v>480</v>
      </c>
      <c r="E1179">
        <v>3</v>
      </c>
      <c r="F1179" t="s">
        <v>22</v>
      </c>
      <c r="G1179">
        <v>687</v>
      </c>
      <c r="H1179">
        <v>53</v>
      </c>
      <c r="I1179" t="str">
        <f t="shared" si="18"/>
        <v>2024-03</v>
      </c>
    </row>
    <row r="1180" spans="1:9" ht="15" customHeight="1" x14ac:dyDescent="0.25">
      <c r="A1180">
        <v>1179</v>
      </c>
      <c r="B1180">
        <v>4</v>
      </c>
      <c r="C1180" t="s">
        <v>107</v>
      </c>
      <c r="D1180">
        <v>480</v>
      </c>
      <c r="E1180">
        <v>7</v>
      </c>
      <c r="F1180" t="s">
        <v>24</v>
      </c>
      <c r="G1180">
        <v>702</v>
      </c>
      <c r="H1180">
        <v>57</v>
      </c>
      <c r="I1180" t="str">
        <f t="shared" si="18"/>
        <v>2024-03</v>
      </c>
    </row>
    <row r="1181" spans="1:9" ht="15" customHeight="1" x14ac:dyDescent="0.25">
      <c r="A1181">
        <v>1180</v>
      </c>
      <c r="B1181">
        <v>4</v>
      </c>
      <c r="C1181" t="s">
        <v>108</v>
      </c>
      <c r="D1181">
        <v>480</v>
      </c>
      <c r="E1181">
        <v>8</v>
      </c>
      <c r="F1181" t="s">
        <v>27</v>
      </c>
      <c r="G1181">
        <v>661</v>
      </c>
      <c r="H1181">
        <v>38</v>
      </c>
      <c r="I1181" t="str">
        <f t="shared" si="18"/>
        <v>2024-03</v>
      </c>
    </row>
    <row r="1182" spans="1:9" ht="15" customHeight="1" x14ac:dyDescent="0.25">
      <c r="A1182">
        <v>1181</v>
      </c>
      <c r="B1182">
        <v>4</v>
      </c>
      <c r="C1182" t="s">
        <v>109</v>
      </c>
      <c r="D1182">
        <v>480</v>
      </c>
      <c r="E1182">
        <v>17</v>
      </c>
      <c r="F1182" t="s">
        <v>29</v>
      </c>
      <c r="G1182">
        <v>720</v>
      </c>
      <c r="H1182">
        <v>56</v>
      </c>
      <c r="I1182" t="str">
        <f t="shared" si="18"/>
        <v>2024-03</v>
      </c>
    </row>
    <row r="1183" spans="1:9" ht="15" customHeight="1" x14ac:dyDescent="0.25">
      <c r="A1183">
        <v>1182</v>
      </c>
      <c r="B1183">
        <v>4</v>
      </c>
      <c r="C1183" t="s">
        <v>110</v>
      </c>
      <c r="D1183">
        <v>480</v>
      </c>
      <c r="E1183">
        <v>7</v>
      </c>
      <c r="F1183" t="s">
        <v>27</v>
      </c>
      <c r="G1183">
        <v>738</v>
      </c>
      <c r="H1183">
        <v>44</v>
      </c>
      <c r="I1183" t="str">
        <f t="shared" si="18"/>
        <v>2024-03</v>
      </c>
    </row>
    <row r="1184" spans="1:9" ht="15" customHeight="1" x14ac:dyDescent="0.25">
      <c r="A1184">
        <v>1183</v>
      </c>
      <c r="B1184">
        <v>4</v>
      </c>
      <c r="C1184" t="s">
        <v>111</v>
      </c>
      <c r="D1184">
        <v>480</v>
      </c>
      <c r="E1184">
        <v>7</v>
      </c>
      <c r="F1184" t="s">
        <v>24</v>
      </c>
      <c r="G1184">
        <v>745</v>
      </c>
      <c r="H1184">
        <v>34</v>
      </c>
      <c r="I1184" t="str">
        <f t="shared" si="18"/>
        <v>2024-03</v>
      </c>
    </row>
    <row r="1185" spans="1:9" ht="15" customHeight="1" x14ac:dyDescent="0.25">
      <c r="A1185">
        <v>1184</v>
      </c>
      <c r="B1185">
        <v>4</v>
      </c>
      <c r="C1185" t="s">
        <v>112</v>
      </c>
      <c r="D1185">
        <v>480</v>
      </c>
      <c r="E1185">
        <v>33</v>
      </c>
      <c r="F1185" t="s">
        <v>27</v>
      </c>
      <c r="G1185">
        <v>626</v>
      </c>
      <c r="H1185">
        <v>35</v>
      </c>
      <c r="I1185" t="str">
        <f t="shared" si="18"/>
        <v>2024-03</v>
      </c>
    </row>
    <row r="1186" spans="1:9" ht="15" customHeight="1" x14ac:dyDescent="0.25">
      <c r="A1186">
        <v>1185</v>
      </c>
      <c r="B1186">
        <v>4</v>
      </c>
      <c r="C1186" t="s">
        <v>113</v>
      </c>
      <c r="D1186">
        <v>480</v>
      </c>
      <c r="E1186">
        <v>18</v>
      </c>
      <c r="F1186" t="s">
        <v>33</v>
      </c>
      <c r="G1186">
        <v>757</v>
      </c>
      <c r="H1186">
        <v>25</v>
      </c>
      <c r="I1186" t="str">
        <f t="shared" si="18"/>
        <v>2024-03</v>
      </c>
    </row>
    <row r="1187" spans="1:9" ht="15" customHeight="1" x14ac:dyDescent="0.25">
      <c r="A1187">
        <v>1186</v>
      </c>
      <c r="B1187">
        <v>4</v>
      </c>
      <c r="C1187" t="s">
        <v>114</v>
      </c>
      <c r="D1187">
        <v>480</v>
      </c>
      <c r="E1187">
        <v>26</v>
      </c>
      <c r="F1187" t="s">
        <v>27</v>
      </c>
      <c r="G1187">
        <v>691</v>
      </c>
      <c r="H1187">
        <v>50</v>
      </c>
      <c r="I1187" t="str">
        <f t="shared" si="18"/>
        <v>2024-03</v>
      </c>
    </row>
    <row r="1188" spans="1:9" ht="15" customHeight="1" x14ac:dyDescent="0.25">
      <c r="A1188">
        <v>1187</v>
      </c>
      <c r="B1188">
        <v>4</v>
      </c>
      <c r="C1188" t="s">
        <v>115</v>
      </c>
      <c r="D1188">
        <v>480</v>
      </c>
      <c r="E1188">
        <v>42</v>
      </c>
      <c r="F1188" t="s">
        <v>29</v>
      </c>
      <c r="G1188">
        <v>696</v>
      </c>
      <c r="H1188">
        <v>53</v>
      </c>
      <c r="I1188" t="str">
        <f t="shared" si="18"/>
        <v>2024-03</v>
      </c>
    </row>
    <row r="1189" spans="1:9" ht="15" customHeight="1" x14ac:dyDescent="0.25">
      <c r="A1189">
        <v>1188</v>
      </c>
      <c r="B1189">
        <v>4</v>
      </c>
      <c r="C1189" t="s">
        <v>116</v>
      </c>
      <c r="D1189">
        <v>480</v>
      </c>
      <c r="E1189">
        <v>98</v>
      </c>
      <c r="F1189" t="s">
        <v>45</v>
      </c>
      <c r="G1189">
        <v>563</v>
      </c>
      <c r="H1189">
        <v>34</v>
      </c>
      <c r="I1189" t="str">
        <f t="shared" si="18"/>
        <v>2024-03</v>
      </c>
    </row>
    <row r="1190" spans="1:9" ht="15" customHeight="1" x14ac:dyDescent="0.25">
      <c r="A1190">
        <v>1189</v>
      </c>
      <c r="B1190">
        <v>4</v>
      </c>
      <c r="C1190" t="s">
        <v>117</v>
      </c>
      <c r="D1190">
        <v>480</v>
      </c>
      <c r="E1190">
        <v>91</v>
      </c>
      <c r="F1190" t="s">
        <v>45</v>
      </c>
      <c r="G1190">
        <v>659</v>
      </c>
      <c r="H1190">
        <v>54</v>
      </c>
      <c r="I1190" t="str">
        <f t="shared" si="18"/>
        <v>2024-03</v>
      </c>
    </row>
    <row r="1191" spans="1:9" ht="15" customHeight="1" x14ac:dyDescent="0.25">
      <c r="A1191">
        <v>1190</v>
      </c>
      <c r="B1191">
        <v>4</v>
      </c>
      <c r="C1191" t="s">
        <v>118</v>
      </c>
      <c r="D1191">
        <v>480</v>
      </c>
      <c r="E1191">
        <v>23</v>
      </c>
      <c r="F1191" t="s">
        <v>45</v>
      </c>
      <c r="G1191">
        <v>656</v>
      </c>
      <c r="H1191">
        <v>38</v>
      </c>
      <c r="I1191" t="str">
        <f t="shared" si="18"/>
        <v>2024-04</v>
      </c>
    </row>
    <row r="1192" spans="1:9" ht="15" customHeight="1" x14ac:dyDescent="0.25">
      <c r="A1192">
        <v>1191</v>
      </c>
      <c r="B1192">
        <v>4</v>
      </c>
      <c r="C1192" t="s">
        <v>119</v>
      </c>
      <c r="D1192">
        <v>480</v>
      </c>
      <c r="E1192">
        <v>67</v>
      </c>
      <c r="F1192" t="s">
        <v>45</v>
      </c>
      <c r="G1192">
        <v>633</v>
      </c>
      <c r="H1192">
        <v>37</v>
      </c>
      <c r="I1192" t="str">
        <f t="shared" si="18"/>
        <v>2024-04</v>
      </c>
    </row>
    <row r="1193" spans="1:9" ht="15" customHeight="1" x14ac:dyDescent="0.25">
      <c r="A1193">
        <v>1192</v>
      </c>
      <c r="B1193">
        <v>4</v>
      </c>
      <c r="C1193" t="s">
        <v>120</v>
      </c>
      <c r="D1193">
        <v>480</v>
      </c>
      <c r="E1193">
        <v>90</v>
      </c>
      <c r="F1193" t="s">
        <v>22</v>
      </c>
      <c r="G1193">
        <v>581</v>
      </c>
      <c r="H1193">
        <v>47</v>
      </c>
      <c r="I1193" t="str">
        <f t="shared" si="18"/>
        <v>2024-04</v>
      </c>
    </row>
    <row r="1194" spans="1:9" ht="15" customHeight="1" x14ac:dyDescent="0.25">
      <c r="A1194">
        <v>1193</v>
      </c>
      <c r="B1194">
        <v>4</v>
      </c>
      <c r="C1194" t="s">
        <v>121</v>
      </c>
      <c r="D1194">
        <v>480</v>
      </c>
      <c r="E1194">
        <v>25</v>
      </c>
      <c r="F1194" t="s">
        <v>29</v>
      </c>
      <c r="G1194">
        <v>673</v>
      </c>
      <c r="H1194">
        <v>38</v>
      </c>
      <c r="I1194" t="str">
        <f t="shared" si="18"/>
        <v>2024-04</v>
      </c>
    </row>
    <row r="1195" spans="1:9" ht="15" customHeight="1" x14ac:dyDescent="0.25">
      <c r="A1195">
        <v>1194</v>
      </c>
      <c r="B1195">
        <v>4</v>
      </c>
      <c r="C1195" t="s">
        <v>122</v>
      </c>
      <c r="D1195">
        <v>480</v>
      </c>
      <c r="E1195">
        <v>71</v>
      </c>
      <c r="F1195" t="s">
        <v>22</v>
      </c>
      <c r="G1195">
        <v>578</v>
      </c>
      <c r="H1195">
        <v>24</v>
      </c>
      <c r="I1195" t="str">
        <f t="shared" si="18"/>
        <v>2024-04</v>
      </c>
    </row>
    <row r="1196" spans="1:9" ht="15" customHeight="1" x14ac:dyDescent="0.25">
      <c r="A1196">
        <v>1195</v>
      </c>
      <c r="B1196">
        <v>4</v>
      </c>
      <c r="C1196" t="s">
        <v>123</v>
      </c>
      <c r="D1196">
        <v>480</v>
      </c>
      <c r="E1196">
        <v>150</v>
      </c>
      <c r="F1196" t="s">
        <v>29</v>
      </c>
      <c r="G1196">
        <v>472</v>
      </c>
      <c r="H1196">
        <v>30</v>
      </c>
      <c r="I1196" t="str">
        <f t="shared" si="18"/>
        <v>2024-04</v>
      </c>
    </row>
    <row r="1197" spans="1:9" ht="15" customHeight="1" x14ac:dyDescent="0.25">
      <c r="A1197">
        <v>1196</v>
      </c>
      <c r="B1197">
        <v>4</v>
      </c>
      <c r="C1197" t="s">
        <v>124</v>
      </c>
      <c r="D1197">
        <v>480</v>
      </c>
      <c r="E1197">
        <v>43</v>
      </c>
      <c r="F1197" t="s">
        <v>22</v>
      </c>
      <c r="G1197">
        <v>669</v>
      </c>
      <c r="H1197">
        <v>45</v>
      </c>
      <c r="I1197" t="str">
        <f t="shared" si="18"/>
        <v>2024-04</v>
      </c>
    </row>
    <row r="1198" spans="1:9" ht="15" customHeight="1" x14ac:dyDescent="0.25">
      <c r="A1198">
        <v>1197</v>
      </c>
      <c r="B1198">
        <v>4</v>
      </c>
      <c r="C1198" t="s">
        <v>125</v>
      </c>
      <c r="D1198">
        <v>480</v>
      </c>
      <c r="E1198">
        <v>12</v>
      </c>
      <c r="F1198" t="s">
        <v>22</v>
      </c>
      <c r="G1198">
        <v>726</v>
      </c>
      <c r="H1198">
        <v>37</v>
      </c>
      <c r="I1198" t="str">
        <f t="shared" si="18"/>
        <v>2024-04</v>
      </c>
    </row>
    <row r="1199" spans="1:9" ht="15" customHeight="1" x14ac:dyDescent="0.25">
      <c r="A1199">
        <v>1198</v>
      </c>
      <c r="B1199">
        <v>4</v>
      </c>
      <c r="C1199" t="s">
        <v>126</v>
      </c>
      <c r="D1199">
        <v>480</v>
      </c>
      <c r="E1199">
        <v>53</v>
      </c>
      <c r="F1199" t="s">
        <v>29</v>
      </c>
      <c r="G1199">
        <v>606</v>
      </c>
      <c r="H1199">
        <v>38</v>
      </c>
      <c r="I1199" t="str">
        <f t="shared" si="18"/>
        <v>2024-04</v>
      </c>
    </row>
    <row r="1200" spans="1:9" ht="15" customHeight="1" x14ac:dyDescent="0.25">
      <c r="A1200">
        <v>1199</v>
      </c>
      <c r="B1200">
        <v>4</v>
      </c>
      <c r="C1200" t="s">
        <v>127</v>
      </c>
      <c r="D1200">
        <v>480</v>
      </c>
      <c r="E1200">
        <v>10</v>
      </c>
      <c r="F1200" t="s">
        <v>24</v>
      </c>
      <c r="G1200">
        <v>688</v>
      </c>
      <c r="H1200">
        <v>29</v>
      </c>
      <c r="I1200" t="str">
        <f t="shared" si="18"/>
        <v>2024-04</v>
      </c>
    </row>
    <row r="1201" spans="1:9" ht="15" customHeight="1" x14ac:dyDescent="0.25">
      <c r="A1201">
        <v>1200</v>
      </c>
      <c r="B1201">
        <v>4</v>
      </c>
      <c r="C1201" t="s">
        <v>128</v>
      </c>
      <c r="D1201">
        <v>480</v>
      </c>
      <c r="E1201">
        <v>10</v>
      </c>
      <c r="F1201" t="s">
        <v>24</v>
      </c>
      <c r="G1201">
        <v>771</v>
      </c>
      <c r="H1201">
        <v>36</v>
      </c>
      <c r="I1201" t="str">
        <f t="shared" si="18"/>
        <v>2024-04</v>
      </c>
    </row>
    <row r="1202" spans="1:9" ht="15" customHeight="1" x14ac:dyDescent="0.25">
      <c r="A1202">
        <v>1201</v>
      </c>
      <c r="B1202">
        <v>4</v>
      </c>
      <c r="C1202" t="s">
        <v>129</v>
      </c>
      <c r="D1202">
        <v>480</v>
      </c>
      <c r="E1202">
        <v>130</v>
      </c>
      <c r="F1202" t="s">
        <v>45</v>
      </c>
      <c r="G1202">
        <v>590</v>
      </c>
      <c r="H1202">
        <v>37</v>
      </c>
      <c r="I1202" t="str">
        <f t="shared" si="18"/>
        <v>2024-04</v>
      </c>
    </row>
    <row r="1203" spans="1:9" ht="15" customHeight="1" x14ac:dyDescent="0.25">
      <c r="A1203">
        <v>1202</v>
      </c>
      <c r="B1203">
        <v>4</v>
      </c>
      <c r="C1203" t="s">
        <v>130</v>
      </c>
      <c r="D1203">
        <v>480</v>
      </c>
      <c r="E1203">
        <v>7</v>
      </c>
      <c r="F1203" t="s">
        <v>29</v>
      </c>
      <c r="G1203">
        <v>707</v>
      </c>
      <c r="H1203">
        <v>707</v>
      </c>
      <c r="I1203" t="str">
        <f t="shared" si="18"/>
        <v>2024-04</v>
      </c>
    </row>
    <row r="1204" spans="1:9" ht="15" customHeight="1" x14ac:dyDescent="0.25">
      <c r="A1204">
        <v>1203</v>
      </c>
      <c r="B1204">
        <v>4</v>
      </c>
      <c r="C1204" t="s">
        <v>131</v>
      </c>
      <c r="D1204">
        <v>480</v>
      </c>
      <c r="E1204">
        <v>22</v>
      </c>
      <c r="F1204" t="s">
        <v>24</v>
      </c>
      <c r="G1204">
        <v>642</v>
      </c>
      <c r="H1204">
        <v>40</v>
      </c>
      <c r="I1204" t="str">
        <f t="shared" si="18"/>
        <v>2024-04</v>
      </c>
    </row>
    <row r="1205" spans="1:9" ht="15" customHeight="1" x14ac:dyDescent="0.25">
      <c r="A1205">
        <v>1204</v>
      </c>
      <c r="B1205">
        <v>4</v>
      </c>
      <c r="C1205" t="s">
        <v>132</v>
      </c>
      <c r="D1205">
        <v>480</v>
      </c>
      <c r="E1205">
        <v>92</v>
      </c>
      <c r="F1205" t="s">
        <v>45</v>
      </c>
      <c r="G1205">
        <v>633</v>
      </c>
      <c r="H1205">
        <v>25</v>
      </c>
      <c r="I1205" t="str">
        <f t="shared" si="18"/>
        <v>2024-04</v>
      </c>
    </row>
    <row r="1206" spans="1:9" ht="15" customHeight="1" x14ac:dyDescent="0.25">
      <c r="A1206">
        <v>1205</v>
      </c>
      <c r="B1206">
        <v>4</v>
      </c>
      <c r="C1206" t="s">
        <v>133</v>
      </c>
      <c r="D1206">
        <v>480</v>
      </c>
      <c r="E1206">
        <v>55</v>
      </c>
      <c r="F1206" t="s">
        <v>45</v>
      </c>
      <c r="G1206">
        <v>614</v>
      </c>
      <c r="H1206">
        <v>26</v>
      </c>
      <c r="I1206" t="str">
        <f t="shared" si="18"/>
        <v>2024-04</v>
      </c>
    </row>
    <row r="1207" spans="1:9" ht="15" customHeight="1" x14ac:dyDescent="0.25">
      <c r="A1207">
        <v>1206</v>
      </c>
      <c r="B1207">
        <v>4</v>
      </c>
      <c r="C1207" t="s">
        <v>134</v>
      </c>
      <c r="D1207">
        <v>480</v>
      </c>
      <c r="E1207">
        <v>103</v>
      </c>
      <c r="F1207" t="s">
        <v>22</v>
      </c>
      <c r="G1207">
        <v>548</v>
      </c>
      <c r="H1207">
        <v>25</v>
      </c>
      <c r="I1207" t="str">
        <f t="shared" si="18"/>
        <v>2024-04</v>
      </c>
    </row>
    <row r="1208" spans="1:9" ht="15" customHeight="1" x14ac:dyDescent="0.25">
      <c r="A1208">
        <v>1207</v>
      </c>
      <c r="B1208">
        <v>4</v>
      </c>
      <c r="C1208" t="s">
        <v>135</v>
      </c>
      <c r="D1208">
        <v>480</v>
      </c>
      <c r="E1208">
        <v>0</v>
      </c>
      <c r="F1208" t="s">
        <v>33</v>
      </c>
      <c r="G1208">
        <v>794</v>
      </c>
      <c r="H1208">
        <v>61</v>
      </c>
      <c r="I1208" t="str">
        <f t="shared" si="18"/>
        <v>2024-04</v>
      </c>
    </row>
    <row r="1209" spans="1:9" ht="15" customHeight="1" x14ac:dyDescent="0.25">
      <c r="A1209">
        <v>1208</v>
      </c>
      <c r="B1209">
        <v>4</v>
      </c>
      <c r="C1209" t="s">
        <v>136</v>
      </c>
      <c r="D1209">
        <v>480</v>
      </c>
      <c r="E1209">
        <v>49</v>
      </c>
      <c r="F1209" t="s">
        <v>22</v>
      </c>
      <c r="G1209">
        <v>696</v>
      </c>
      <c r="H1209">
        <v>27</v>
      </c>
      <c r="I1209" t="str">
        <f t="shared" si="18"/>
        <v>2024-04</v>
      </c>
    </row>
    <row r="1210" spans="1:9" ht="15" customHeight="1" x14ac:dyDescent="0.25">
      <c r="A1210">
        <v>1209</v>
      </c>
      <c r="B1210">
        <v>4</v>
      </c>
      <c r="C1210" t="s">
        <v>137</v>
      </c>
      <c r="D1210">
        <v>480</v>
      </c>
      <c r="E1210">
        <v>30</v>
      </c>
      <c r="F1210" t="s">
        <v>24</v>
      </c>
      <c r="G1210">
        <v>669</v>
      </c>
      <c r="H1210">
        <v>23</v>
      </c>
      <c r="I1210" t="str">
        <f t="shared" si="18"/>
        <v>2024-04</v>
      </c>
    </row>
    <row r="1211" spans="1:9" ht="15" customHeight="1" x14ac:dyDescent="0.25">
      <c r="A1211">
        <v>1210</v>
      </c>
      <c r="B1211">
        <v>4</v>
      </c>
      <c r="C1211" t="s">
        <v>138</v>
      </c>
      <c r="D1211">
        <v>480</v>
      </c>
      <c r="E1211">
        <v>33</v>
      </c>
      <c r="F1211" t="s">
        <v>24</v>
      </c>
      <c r="G1211">
        <v>747</v>
      </c>
      <c r="H1211">
        <v>24</v>
      </c>
      <c r="I1211" t="str">
        <f t="shared" si="18"/>
        <v>2024-04</v>
      </c>
    </row>
    <row r="1212" spans="1:9" ht="15" customHeight="1" x14ac:dyDescent="0.25">
      <c r="A1212">
        <v>1211</v>
      </c>
      <c r="B1212">
        <v>4</v>
      </c>
      <c r="C1212" t="s">
        <v>139</v>
      </c>
      <c r="D1212">
        <v>480</v>
      </c>
      <c r="E1212">
        <v>17</v>
      </c>
      <c r="F1212" t="s">
        <v>22</v>
      </c>
      <c r="G1212">
        <v>667</v>
      </c>
      <c r="H1212">
        <v>29</v>
      </c>
      <c r="I1212" t="str">
        <f t="shared" si="18"/>
        <v>2024-04</v>
      </c>
    </row>
    <row r="1213" spans="1:9" ht="15" customHeight="1" x14ac:dyDescent="0.25">
      <c r="A1213">
        <v>1212</v>
      </c>
      <c r="B1213">
        <v>4</v>
      </c>
      <c r="C1213" t="s">
        <v>140</v>
      </c>
      <c r="D1213">
        <v>480</v>
      </c>
      <c r="E1213">
        <v>118</v>
      </c>
      <c r="F1213" t="s">
        <v>27</v>
      </c>
      <c r="G1213">
        <v>552</v>
      </c>
      <c r="H1213">
        <v>31</v>
      </c>
      <c r="I1213" t="str">
        <f t="shared" si="18"/>
        <v>2024-04</v>
      </c>
    </row>
    <row r="1214" spans="1:9" ht="15" customHeight="1" x14ac:dyDescent="0.25">
      <c r="A1214">
        <v>1213</v>
      </c>
      <c r="B1214">
        <v>4</v>
      </c>
      <c r="C1214" t="s">
        <v>141</v>
      </c>
      <c r="D1214">
        <v>480</v>
      </c>
      <c r="E1214">
        <v>71</v>
      </c>
      <c r="F1214" t="s">
        <v>29</v>
      </c>
      <c r="G1214">
        <v>582</v>
      </c>
      <c r="H1214">
        <v>34</v>
      </c>
      <c r="I1214" t="str">
        <f t="shared" si="18"/>
        <v>2024-04</v>
      </c>
    </row>
    <row r="1215" spans="1:9" ht="15" customHeight="1" x14ac:dyDescent="0.25">
      <c r="A1215">
        <v>1214</v>
      </c>
      <c r="B1215">
        <v>4</v>
      </c>
      <c r="C1215" t="s">
        <v>142</v>
      </c>
      <c r="D1215">
        <v>480</v>
      </c>
      <c r="E1215">
        <v>27</v>
      </c>
      <c r="F1215" t="s">
        <v>29</v>
      </c>
      <c r="G1215">
        <v>709</v>
      </c>
      <c r="H1215">
        <v>63</v>
      </c>
      <c r="I1215" t="str">
        <f t="shared" si="18"/>
        <v>2024-04</v>
      </c>
    </row>
    <row r="1216" spans="1:9" ht="15" customHeight="1" x14ac:dyDescent="0.25">
      <c r="A1216">
        <v>1215</v>
      </c>
      <c r="B1216">
        <v>4</v>
      </c>
      <c r="C1216" t="s">
        <v>143</v>
      </c>
      <c r="D1216">
        <v>480</v>
      </c>
      <c r="E1216">
        <v>73</v>
      </c>
      <c r="F1216" t="s">
        <v>29</v>
      </c>
      <c r="G1216">
        <v>611</v>
      </c>
      <c r="H1216">
        <v>48</v>
      </c>
      <c r="I1216" t="str">
        <f t="shared" si="18"/>
        <v>2024-04</v>
      </c>
    </row>
    <row r="1217" spans="1:9" ht="15" customHeight="1" x14ac:dyDescent="0.25">
      <c r="A1217">
        <v>1216</v>
      </c>
      <c r="B1217">
        <v>4</v>
      </c>
      <c r="C1217" t="s">
        <v>144</v>
      </c>
      <c r="D1217">
        <v>480</v>
      </c>
      <c r="E1217">
        <v>9</v>
      </c>
      <c r="F1217" t="s">
        <v>29</v>
      </c>
      <c r="G1217">
        <v>651</v>
      </c>
      <c r="H1217">
        <v>27</v>
      </c>
      <c r="I1217" t="str">
        <f t="shared" si="18"/>
        <v>2024-04</v>
      </c>
    </row>
    <row r="1218" spans="1:9" ht="15" customHeight="1" x14ac:dyDescent="0.25">
      <c r="A1218">
        <v>1217</v>
      </c>
      <c r="B1218">
        <v>4</v>
      </c>
      <c r="C1218" t="s">
        <v>145</v>
      </c>
      <c r="D1218">
        <v>480</v>
      </c>
      <c r="E1218">
        <v>20</v>
      </c>
      <c r="F1218" t="s">
        <v>22</v>
      </c>
      <c r="G1218">
        <v>708</v>
      </c>
      <c r="H1218">
        <v>47</v>
      </c>
      <c r="I1218" t="str">
        <f t="shared" ref="I1218:I1281" si="19">TEXT(C1218,"yyyy-mm")</f>
        <v>2024-04</v>
      </c>
    </row>
    <row r="1219" spans="1:9" ht="15" customHeight="1" x14ac:dyDescent="0.25">
      <c r="A1219">
        <v>1218</v>
      </c>
      <c r="B1219">
        <v>4</v>
      </c>
      <c r="C1219" t="s">
        <v>146</v>
      </c>
      <c r="D1219">
        <v>480</v>
      </c>
      <c r="E1219">
        <v>120</v>
      </c>
      <c r="F1219" t="s">
        <v>45</v>
      </c>
      <c r="G1219">
        <v>554</v>
      </c>
      <c r="H1219">
        <v>33</v>
      </c>
      <c r="I1219" t="str">
        <f t="shared" si="19"/>
        <v>2024-04</v>
      </c>
    </row>
    <row r="1220" spans="1:9" ht="15" customHeight="1" x14ac:dyDescent="0.25">
      <c r="A1220">
        <v>1219</v>
      </c>
      <c r="B1220">
        <v>4</v>
      </c>
      <c r="C1220" t="s">
        <v>147</v>
      </c>
      <c r="D1220">
        <v>480</v>
      </c>
      <c r="E1220">
        <v>2</v>
      </c>
      <c r="F1220" t="s">
        <v>29</v>
      </c>
      <c r="G1220">
        <v>662</v>
      </c>
      <c r="H1220">
        <v>41</v>
      </c>
      <c r="I1220" t="str">
        <f t="shared" si="19"/>
        <v>2024-04</v>
      </c>
    </row>
    <row r="1221" spans="1:9" ht="15" customHeight="1" x14ac:dyDescent="0.25">
      <c r="A1221">
        <v>1220</v>
      </c>
      <c r="B1221">
        <v>4</v>
      </c>
      <c r="C1221" t="s">
        <v>148</v>
      </c>
      <c r="D1221">
        <v>480</v>
      </c>
      <c r="E1221">
        <v>28</v>
      </c>
      <c r="F1221" t="s">
        <v>33</v>
      </c>
      <c r="G1221">
        <v>743</v>
      </c>
      <c r="H1221">
        <v>29</v>
      </c>
      <c r="I1221" t="str">
        <f t="shared" si="19"/>
        <v>2024-05</v>
      </c>
    </row>
    <row r="1222" spans="1:9" ht="15" customHeight="1" x14ac:dyDescent="0.25">
      <c r="A1222">
        <v>1221</v>
      </c>
      <c r="B1222">
        <v>4</v>
      </c>
      <c r="C1222" t="s">
        <v>149</v>
      </c>
      <c r="D1222">
        <v>480</v>
      </c>
      <c r="E1222">
        <v>1</v>
      </c>
      <c r="F1222" t="s">
        <v>33</v>
      </c>
      <c r="G1222">
        <v>727</v>
      </c>
      <c r="H1222">
        <v>32</v>
      </c>
      <c r="I1222" t="str">
        <f t="shared" si="19"/>
        <v>2024-05</v>
      </c>
    </row>
    <row r="1223" spans="1:9" ht="15" customHeight="1" x14ac:dyDescent="0.25">
      <c r="A1223">
        <v>1222</v>
      </c>
      <c r="B1223">
        <v>4</v>
      </c>
      <c r="C1223" t="s">
        <v>150</v>
      </c>
      <c r="D1223">
        <v>480</v>
      </c>
      <c r="E1223">
        <v>2</v>
      </c>
      <c r="F1223" t="s">
        <v>29</v>
      </c>
      <c r="G1223">
        <v>768</v>
      </c>
      <c r="H1223">
        <v>28</v>
      </c>
      <c r="I1223" t="str">
        <f t="shared" si="19"/>
        <v>2024-05</v>
      </c>
    </row>
    <row r="1224" spans="1:9" ht="15" customHeight="1" x14ac:dyDescent="0.25">
      <c r="A1224">
        <v>1223</v>
      </c>
      <c r="B1224">
        <v>4</v>
      </c>
      <c r="C1224" t="s">
        <v>151</v>
      </c>
      <c r="D1224">
        <v>480</v>
      </c>
      <c r="E1224">
        <v>46</v>
      </c>
      <c r="F1224" t="s">
        <v>22</v>
      </c>
      <c r="G1224">
        <v>635</v>
      </c>
      <c r="H1224">
        <v>25</v>
      </c>
      <c r="I1224" t="str">
        <f t="shared" si="19"/>
        <v>2024-05</v>
      </c>
    </row>
    <row r="1225" spans="1:9" ht="15" customHeight="1" x14ac:dyDescent="0.25">
      <c r="A1225">
        <v>1224</v>
      </c>
      <c r="B1225">
        <v>4</v>
      </c>
      <c r="C1225" t="s">
        <v>152</v>
      </c>
      <c r="D1225">
        <v>480</v>
      </c>
      <c r="E1225">
        <v>23</v>
      </c>
      <c r="F1225" t="s">
        <v>24</v>
      </c>
      <c r="G1225">
        <v>746</v>
      </c>
      <c r="H1225">
        <v>39</v>
      </c>
      <c r="I1225" t="str">
        <f t="shared" si="19"/>
        <v>2024-05</v>
      </c>
    </row>
    <row r="1226" spans="1:9" ht="15" customHeight="1" x14ac:dyDescent="0.25">
      <c r="A1226">
        <v>1225</v>
      </c>
      <c r="B1226">
        <v>4</v>
      </c>
      <c r="C1226" t="s">
        <v>153</v>
      </c>
      <c r="D1226">
        <v>480</v>
      </c>
      <c r="E1226">
        <v>69</v>
      </c>
      <c r="F1226" t="s">
        <v>29</v>
      </c>
      <c r="G1226">
        <v>581</v>
      </c>
      <c r="H1226">
        <v>44</v>
      </c>
      <c r="I1226" t="str">
        <f t="shared" si="19"/>
        <v>2024-05</v>
      </c>
    </row>
    <row r="1227" spans="1:9" ht="15" customHeight="1" x14ac:dyDescent="0.25">
      <c r="A1227">
        <v>1226</v>
      </c>
      <c r="B1227">
        <v>4</v>
      </c>
      <c r="C1227" t="s">
        <v>154</v>
      </c>
      <c r="D1227">
        <v>480</v>
      </c>
      <c r="E1227">
        <v>13</v>
      </c>
      <c r="F1227" t="s">
        <v>24</v>
      </c>
      <c r="G1227">
        <v>744</v>
      </c>
      <c r="H1227">
        <v>47</v>
      </c>
      <c r="I1227" t="str">
        <f t="shared" si="19"/>
        <v>2024-05</v>
      </c>
    </row>
    <row r="1228" spans="1:9" ht="15" customHeight="1" x14ac:dyDescent="0.25">
      <c r="A1228">
        <v>1227</v>
      </c>
      <c r="B1228">
        <v>4</v>
      </c>
      <c r="C1228" t="s">
        <v>155</v>
      </c>
      <c r="D1228">
        <v>480</v>
      </c>
      <c r="E1228">
        <v>131</v>
      </c>
      <c r="F1228" t="s">
        <v>24</v>
      </c>
      <c r="G1228">
        <v>523</v>
      </c>
      <c r="H1228">
        <v>17</v>
      </c>
      <c r="I1228" t="str">
        <f t="shared" si="19"/>
        <v>2024-05</v>
      </c>
    </row>
    <row r="1229" spans="1:9" ht="15" customHeight="1" x14ac:dyDescent="0.25">
      <c r="A1229">
        <v>1228</v>
      </c>
      <c r="B1229">
        <v>4</v>
      </c>
      <c r="C1229" t="s">
        <v>156</v>
      </c>
      <c r="D1229">
        <v>480</v>
      </c>
      <c r="E1229">
        <v>0</v>
      </c>
      <c r="F1229" t="s">
        <v>33</v>
      </c>
      <c r="G1229">
        <v>787</v>
      </c>
      <c r="H1229">
        <v>48</v>
      </c>
      <c r="I1229" t="str">
        <f t="shared" si="19"/>
        <v>2024-05</v>
      </c>
    </row>
    <row r="1230" spans="1:9" ht="15" customHeight="1" x14ac:dyDescent="0.25">
      <c r="A1230">
        <v>1229</v>
      </c>
      <c r="B1230">
        <v>4</v>
      </c>
      <c r="C1230" t="s">
        <v>157</v>
      </c>
      <c r="D1230">
        <v>480</v>
      </c>
      <c r="E1230">
        <v>74</v>
      </c>
      <c r="F1230" t="s">
        <v>33</v>
      </c>
      <c r="G1230">
        <v>588</v>
      </c>
      <c r="H1230">
        <v>29</v>
      </c>
      <c r="I1230" t="str">
        <f t="shared" si="19"/>
        <v>2024-05</v>
      </c>
    </row>
    <row r="1231" spans="1:9" ht="15" customHeight="1" x14ac:dyDescent="0.25">
      <c r="A1231">
        <v>1230</v>
      </c>
      <c r="B1231">
        <v>4</v>
      </c>
      <c r="C1231" t="s">
        <v>158</v>
      </c>
      <c r="D1231">
        <v>480</v>
      </c>
      <c r="E1231">
        <v>1</v>
      </c>
      <c r="F1231" t="s">
        <v>27</v>
      </c>
      <c r="G1231">
        <v>807</v>
      </c>
      <c r="H1231">
        <v>56</v>
      </c>
      <c r="I1231" t="str">
        <f t="shared" si="19"/>
        <v>2024-05</v>
      </c>
    </row>
    <row r="1232" spans="1:9" ht="15" customHeight="1" x14ac:dyDescent="0.25">
      <c r="A1232">
        <v>1231</v>
      </c>
      <c r="B1232">
        <v>4</v>
      </c>
      <c r="C1232" t="s">
        <v>159</v>
      </c>
      <c r="D1232">
        <v>480</v>
      </c>
      <c r="E1232">
        <v>134</v>
      </c>
      <c r="F1232" t="s">
        <v>45</v>
      </c>
      <c r="G1232">
        <v>505</v>
      </c>
      <c r="H1232">
        <v>33</v>
      </c>
      <c r="I1232" t="str">
        <f t="shared" si="19"/>
        <v>2024-05</v>
      </c>
    </row>
    <row r="1233" spans="1:9" ht="15" customHeight="1" x14ac:dyDescent="0.25">
      <c r="A1233">
        <v>1232</v>
      </c>
      <c r="B1233">
        <v>4</v>
      </c>
      <c r="C1233" t="s">
        <v>160</v>
      </c>
      <c r="D1233">
        <v>480</v>
      </c>
      <c r="E1233">
        <v>56</v>
      </c>
      <c r="F1233" t="s">
        <v>24</v>
      </c>
      <c r="G1233">
        <v>626</v>
      </c>
      <c r="H1233">
        <v>50</v>
      </c>
      <c r="I1233" t="str">
        <f t="shared" si="19"/>
        <v>2024-05</v>
      </c>
    </row>
    <row r="1234" spans="1:9" ht="15" customHeight="1" x14ac:dyDescent="0.25">
      <c r="A1234">
        <v>1233</v>
      </c>
      <c r="B1234">
        <v>4</v>
      </c>
      <c r="C1234" t="s">
        <v>161</v>
      </c>
      <c r="D1234">
        <v>480</v>
      </c>
      <c r="E1234">
        <v>146</v>
      </c>
      <c r="F1234" t="s">
        <v>33</v>
      </c>
      <c r="G1234">
        <v>554</v>
      </c>
      <c r="H1234">
        <v>41</v>
      </c>
      <c r="I1234" t="str">
        <f t="shared" si="19"/>
        <v>2024-05</v>
      </c>
    </row>
    <row r="1235" spans="1:9" ht="15" customHeight="1" x14ac:dyDescent="0.25">
      <c r="A1235">
        <v>1234</v>
      </c>
      <c r="B1235">
        <v>4</v>
      </c>
      <c r="C1235" t="s">
        <v>162</v>
      </c>
      <c r="D1235">
        <v>480</v>
      </c>
      <c r="E1235">
        <v>16</v>
      </c>
      <c r="F1235" t="s">
        <v>22</v>
      </c>
      <c r="G1235">
        <v>679</v>
      </c>
      <c r="H1235">
        <v>59</v>
      </c>
      <c r="I1235" t="str">
        <f t="shared" si="19"/>
        <v>2024-05</v>
      </c>
    </row>
    <row r="1236" spans="1:9" ht="15" customHeight="1" x14ac:dyDescent="0.25">
      <c r="A1236">
        <v>1235</v>
      </c>
      <c r="B1236">
        <v>4</v>
      </c>
      <c r="C1236" t="s">
        <v>163</v>
      </c>
      <c r="D1236">
        <v>480</v>
      </c>
      <c r="E1236">
        <v>0</v>
      </c>
      <c r="F1236" t="s">
        <v>33</v>
      </c>
      <c r="G1236">
        <v>770</v>
      </c>
      <c r="H1236">
        <v>55</v>
      </c>
      <c r="I1236" t="str">
        <f t="shared" si="19"/>
        <v>2024-05</v>
      </c>
    </row>
    <row r="1237" spans="1:9" ht="15" customHeight="1" x14ac:dyDescent="0.25">
      <c r="A1237">
        <v>1236</v>
      </c>
      <c r="B1237">
        <v>4</v>
      </c>
      <c r="C1237" t="s">
        <v>164</v>
      </c>
      <c r="D1237">
        <v>480</v>
      </c>
      <c r="E1237">
        <v>48</v>
      </c>
      <c r="F1237" t="s">
        <v>45</v>
      </c>
      <c r="G1237">
        <v>731</v>
      </c>
      <c r="H1237">
        <v>35</v>
      </c>
      <c r="I1237" t="str">
        <f t="shared" si="19"/>
        <v>2024-05</v>
      </c>
    </row>
    <row r="1238" spans="1:9" ht="15" customHeight="1" x14ac:dyDescent="0.25">
      <c r="A1238">
        <v>1237</v>
      </c>
      <c r="B1238">
        <v>4</v>
      </c>
      <c r="C1238" t="s">
        <v>165</v>
      </c>
      <c r="D1238">
        <v>480</v>
      </c>
      <c r="E1238">
        <v>20</v>
      </c>
      <c r="F1238" t="s">
        <v>27</v>
      </c>
      <c r="G1238">
        <v>643</v>
      </c>
      <c r="H1238">
        <v>36</v>
      </c>
      <c r="I1238" t="str">
        <f t="shared" si="19"/>
        <v>2024-05</v>
      </c>
    </row>
    <row r="1239" spans="1:9" ht="15" customHeight="1" x14ac:dyDescent="0.25">
      <c r="A1239">
        <v>1238</v>
      </c>
      <c r="B1239">
        <v>4</v>
      </c>
      <c r="C1239" t="s">
        <v>166</v>
      </c>
      <c r="D1239">
        <v>480</v>
      </c>
      <c r="E1239">
        <v>15</v>
      </c>
      <c r="F1239" t="s">
        <v>24</v>
      </c>
      <c r="G1239">
        <v>690</v>
      </c>
      <c r="H1239">
        <v>55</v>
      </c>
      <c r="I1239" t="str">
        <f t="shared" si="19"/>
        <v>2024-05</v>
      </c>
    </row>
    <row r="1240" spans="1:9" ht="15" customHeight="1" x14ac:dyDescent="0.25">
      <c r="A1240">
        <v>1239</v>
      </c>
      <c r="B1240">
        <v>4</v>
      </c>
      <c r="C1240" t="s">
        <v>167</v>
      </c>
      <c r="D1240">
        <v>480</v>
      </c>
      <c r="E1240">
        <v>136</v>
      </c>
      <c r="F1240" t="s">
        <v>22</v>
      </c>
      <c r="G1240">
        <v>493</v>
      </c>
      <c r="H1240">
        <v>25</v>
      </c>
      <c r="I1240" t="str">
        <f t="shared" si="19"/>
        <v>2024-05</v>
      </c>
    </row>
    <row r="1241" spans="1:9" ht="15" customHeight="1" x14ac:dyDescent="0.25">
      <c r="A1241">
        <v>1240</v>
      </c>
      <c r="B1241">
        <v>4</v>
      </c>
      <c r="C1241" t="s">
        <v>168</v>
      </c>
      <c r="D1241">
        <v>480</v>
      </c>
      <c r="E1241">
        <v>131</v>
      </c>
      <c r="F1241" t="s">
        <v>24</v>
      </c>
      <c r="G1241">
        <v>486</v>
      </c>
      <c r="H1241">
        <v>17</v>
      </c>
      <c r="I1241" t="str">
        <f t="shared" si="19"/>
        <v>2024-05</v>
      </c>
    </row>
    <row r="1242" spans="1:9" ht="15" customHeight="1" x14ac:dyDescent="0.25">
      <c r="A1242">
        <v>1241</v>
      </c>
      <c r="B1242">
        <v>4</v>
      </c>
      <c r="C1242" t="s">
        <v>169</v>
      </c>
      <c r="D1242">
        <v>480</v>
      </c>
      <c r="E1242">
        <v>8</v>
      </c>
      <c r="F1242" t="s">
        <v>45</v>
      </c>
      <c r="G1242">
        <v>739</v>
      </c>
      <c r="H1242">
        <v>28</v>
      </c>
      <c r="I1242" t="str">
        <f t="shared" si="19"/>
        <v>2024-05</v>
      </c>
    </row>
    <row r="1243" spans="1:9" ht="15" customHeight="1" x14ac:dyDescent="0.25">
      <c r="A1243">
        <v>1242</v>
      </c>
      <c r="B1243">
        <v>4</v>
      </c>
      <c r="C1243" t="s">
        <v>170</v>
      </c>
      <c r="D1243">
        <v>480</v>
      </c>
      <c r="E1243">
        <v>171</v>
      </c>
      <c r="F1243" t="s">
        <v>22</v>
      </c>
      <c r="G1243">
        <v>469</v>
      </c>
      <c r="H1243">
        <v>28</v>
      </c>
      <c r="I1243" t="str">
        <f t="shared" si="19"/>
        <v>2024-05</v>
      </c>
    </row>
    <row r="1244" spans="1:9" ht="15" customHeight="1" x14ac:dyDescent="0.25">
      <c r="A1244">
        <v>1243</v>
      </c>
      <c r="B1244">
        <v>4</v>
      </c>
      <c r="C1244" t="s">
        <v>171</v>
      </c>
      <c r="D1244">
        <v>480</v>
      </c>
      <c r="E1244">
        <v>14</v>
      </c>
      <c r="F1244" t="s">
        <v>29</v>
      </c>
      <c r="G1244">
        <v>711</v>
      </c>
      <c r="H1244">
        <v>49</v>
      </c>
      <c r="I1244" t="str">
        <f t="shared" si="19"/>
        <v>2024-05</v>
      </c>
    </row>
    <row r="1245" spans="1:9" ht="15" customHeight="1" x14ac:dyDescent="0.25">
      <c r="A1245">
        <v>1244</v>
      </c>
      <c r="B1245">
        <v>4</v>
      </c>
      <c r="C1245" t="s">
        <v>172</v>
      </c>
      <c r="D1245">
        <v>480</v>
      </c>
      <c r="E1245">
        <v>69</v>
      </c>
      <c r="F1245" t="s">
        <v>45</v>
      </c>
      <c r="G1245">
        <v>664</v>
      </c>
      <c r="H1245">
        <v>42</v>
      </c>
      <c r="I1245" t="str">
        <f t="shared" si="19"/>
        <v>2024-05</v>
      </c>
    </row>
    <row r="1246" spans="1:9" ht="15" customHeight="1" x14ac:dyDescent="0.25">
      <c r="A1246">
        <v>1245</v>
      </c>
      <c r="B1246">
        <v>4</v>
      </c>
      <c r="C1246" t="s">
        <v>173</v>
      </c>
      <c r="D1246">
        <v>480</v>
      </c>
      <c r="E1246">
        <v>116</v>
      </c>
      <c r="F1246" t="s">
        <v>22</v>
      </c>
      <c r="G1246">
        <v>596</v>
      </c>
      <c r="H1246">
        <v>44</v>
      </c>
      <c r="I1246" t="str">
        <f t="shared" si="19"/>
        <v>2024-05</v>
      </c>
    </row>
    <row r="1247" spans="1:9" ht="15" customHeight="1" x14ac:dyDescent="0.25">
      <c r="A1247">
        <v>1246</v>
      </c>
      <c r="B1247">
        <v>4</v>
      </c>
      <c r="C1247" t="s">
        <v>174</v>
      </c>
      <c r="D1247">
        <v>480</v>
      </c>
      <c r="E1247">
        <v>2</v>
      </c>
      <c r="F1247" t="s">
        <v>29</v>
      </c>
      <c r="G1247">
        <v>657</v>
      </c>
      <c r="H1247">
        <v>28</v>
      </c>
      <c r="I1247" t="str">
        <f t="shared" si="19"/>
        <v>2024-05</v>
      </c>
    </row>
    <row r="1248" spans="1:9" ht="15" customHeight="1" x14ac:dyDescent="0.25">
      <c r="A1248">
        <v>1247</v>
      </c>
      <c r="B1248">
        <v>4</v>
      </c>
      <c r="C1248" t="s">
        <v>175</v>
      </c>
      <c r="D1248">
        <v>480</v>
      </c>
      <c r="E1248">
        <v>54</v>
      </c>
      <c r="F1248" t="s">
        <v>24</v>
      </c>
      <c r="G1248">
        <v>642</v>
      </c>
      <c r="H1248">
        <v>34</v>
      </c>
      <c r="I1248" t="str">
        <f t="shared" si="19"/>
        <v>2024-05</v>
      </c>
    </row>
    <row r="1249" spans="1:9" ht="15" customHeight="1" x14ac:dyDescent="0.25">
      <c r="A1249">
        <v>1248</v>
      </c>
      <c r="B1249">
        <v>4</v>
      </c>
      <c r="C1249" t="s">
        <v>176</v>
      </c>
      <c r="D1249">
        <v>480</v>
      </c>
      <c r="E1249">
        <v>107</v>
      </c>
      <c r="F1249" t="s">
        <v>29</v>
      </c>
      <c r="G1249">
        <v>620</v>
      </c>
      <c r="H1249">
        <v>52</v>
      </c>
      <c r="I1249" t="str">
        <f t="shared" si="19"/>
        <v>2024-05</v>
      </c>
    </row>
    <row r="1250" spans="1:9" ht="15" customHeight="1" x14ac:dyDescent="0.25">
      <c r="A1250">
        <v>1249</v>
      </c>
      <c r="B1250">
        <v>4</v>
      </c>
      <c r="C1250" t="s">
        <v>177</v>
      </c>
      <c r="D1250">
        <v>480</v>
      </c>
      <c r="E1250">
        <v>18</v>
      </c>
      <c r="F1250" t="s">
        <v>27</v>
      </c>
      <c r="G1250">
        <v>738</v>
      </c>
      <c r="H1250">
        <v>34</v>
      </c>
      <c r="I1250" t="str">
        <f t="shared" si="19"/>
        <v>2024-05</v>
      </c>
    </row>
    <row r="1251" spans="1:9" ht="15" customHeight="1" x14ac:dyDescent="0.25">
      <c r="A1251">
        <v>1250</v>
      </c>
      <c r="B1251">
        <v>4</v>
      </c>
      <c r="C1251" t="s">
        <v>178</v>
      </c>
      <c r="D1251">
        <v>480</v>
      </c>
      <c r="E1251">
        <v>10</v>
      </c>
      <c r="F1251" t="s">
        <v>33</v>
      </c>
      <c r="G1251">
        <v>673</v>
      </c>
      <c r="H1251">
        <v>33</v>
      </c>
      <c r="I1251" t="str">
        <f t="shared" si="19"/>
        <v>2024-05</v>
      </c>
    </row>
    <row r="1252" spans="1:9" ht="15" customHeight="1" x14ac:dyDescent="0.25">
      <c r="A1252">
        <v>1251</v>
      </c>
      <c r="B1252">
        <v>4</v>
      </c>
      <c r="C1252" t="s">
        <v>179</v>
      </c>
      <c r="D1252">
        <v>480</v>
      </c>
      <c r="E1252">
        <v>27</v>
      </c>
      <c r="F1252" t="s">
        <v>45</v>
      </c>
      <c r="G1252">
        <v>744</v>
      </c>
      <c r="H1252">
        <v>27</v>
      </c>
      <c r="I1252" t="str">
        <f t="shared" si="19"/>
        <v>2024-06</v>
      </c>
    </row>
    <row r="1253" spans="1:9" ht="15" customHeight="1" x14ac:dyDescent="0.25">
      <c r="A1253">
        <v>1252</v>
      </c>
      <c r="B1253">
        <v>4</v>
      </c>
      <c r="C1253" t="s">
        <v>180</v>
      </c>
      <c r="D1253">
        <v>480</v>
      </c>
      <c r="E1253">
        <v>66</v>
      </c>
      <c r="F1253" t="s">
        <v>24</v>
      </c>
      <c r="G1253">
        <v>640</v>
      </c>
      <c r="H1253">
        <v>30</v>
      </c>
      <c r="I1253" t="str">
        <f t="shared" si="19"/>
        <v>2024-06</v>
      </c>
    </row>
    <row r="1254" spans="1:9" ht="15" customHeight="1" x14ac:dyDescent="0.25">
      <c r="A1254">
        <v>1253</v>
      </c>
      <c r="B1254">
        <v>4</v>
      </c>
      <c r="C1254" t="s">
        <v>181</v>
      </c>
      <c r="D1254">
        <v>480</v>
      </c>
      <c r="E1254">
        <v>33</v>
      </c>
      <c r="F1254" t="s">
        <v>45</v>
      </c>
      <c r="G1254">
        <v>657</v>
      </c>
      <c r="H1254">
        <v>43</v>
      </c>
      <c r="I1254" t="str">
        <f t="shared" si="19"/>
        <v>2024-06</v>
      </c>
    </row>
    <row r="1255" spans="1:9" ht="15" customHeight="1" x14ac:dyDescent="0.25">
      <c r="A1255">
        <v>1254</v>
      </c>
      <c r="B1255">
        <v>4</v>
      </c>
      <c r="C1255" t="s">
        <v>182</v>
      </c>
      <c r="D1255">
        <v>480</v>
      </c>
      <c r="E1255">
        <v>28</v>
      </c>
      <c r="F1255" t="s">
        <v>27</v>
      </c>
      <c r="G1255">
        <v>645</v>
      </c>
      <c r="H1255">
        <v>23</v>
      </c>
      <c r="I1255" t="str">
        <f t="shared" si="19"/>
        <v>2024-06</v>
      </c>
    </row>
    <row r="1256" spans="1:9" ht="15" customHeight="1" x14ac:dyDescent="0.25">
      <c r="A1256">
        <v>1255</v>
      </c>
      <c r="B1256">
        <v>4</v>
      </c>
      <c r="C1256" t="s">
        <v>183</v>
      </c>
      <c r="D1256">
        <v>480</v>
      </c>
      <c r="E1256">
        <v>39</v>
      </c>
      <c r="F1256" t="s">
        <v>29</v>
      </c>
      <c r="G1256">
        <v>734</v>
      </c>
      <c r="H1256">
        <v>37</v>
      </c>
      <c r="I1256" t="str">
        <f t="shared" si="19"/>
        <v>2024-06</v>
      </c>
    </row>
    <row r="1257" spans="1:9" ht="15" customHeight="1" x14ac:dyDescent="0.25">
      <c r="A1257">
        <v>1256</v>
      </c>
      <c r="B1257">
        <v>4</v>
      </c>
      <c r="C1257" t="s">
        <v>184</v>
      </c>
      <c r="D1257">
        <v>480</v>
      </c>
      <c r="E1257">
        <v>65</v>
      </c>
      <c r="F1257" t="s">
        <v>22</v>
      </c>
      <c r="G1257">
        <v>658</v>
      </c>
      <c r="H1257">
        <v>56</v>
      </c>
      <c r="I1257" t="str">
        <f t="shared" si="19"/>
        <v>2024-06</v>
      </c>
    </row>
    <row r="1258" spans="1:9" ht="15" customHeight="1" x14ac:dyDescent="0.25">
      <c r="A1258">
        <v>1257</v>
      </c>
      <c r="B1258">
        <v>4</v>
      </c>
      <c r="C1258" t="s">
        <v>185</v>
      </c>
      <c r="D1258">
        <v>480</v>
      </c>
      <c r="E1258">
        <v>85</v>
      </c>
      <c r="F1258" t="s">
        <v>27</v>
      </c>
      <c r="G1258">
        <v>615</v>
      </c>
      <c r="H1258">
        <v>42</v>
      </c>
      <c r="I1258" t="str">
        <f t="shared" si="19"/>
        <v>2024-06</v>
      </c>
    </row>
    <row r="1259" spans="1:9" ht="15" customHeight="1" x14ac:dyDescent="0.25">
      <c r="A1259">
        <v>1258</v>
      </c>
      <c r="B1259">
        <v>4</v>
      </c>
      <c r="C1259" t="s">
        <v>186</v>
      </c>
      <c r="D1259">
        <v>480</v>
      </c>
      <c r="E1259">
        <v>113</v>
      </c>
      <c r="F1259" t="s">
        <v>29</v>
      </c>
      <c r="G1259">
        <v>551</v>
      </c>
      <c r="H1259">
        <v>27</v>
      </c>
      <c r="I1259" t="str">
        <f t="shared" si="19"/>
        <v>2024-06</v>
      </c>
    </row>
    <row r="1260" spans="1:9" ht="15" customHeight="1" x14ac:dyDescent="0.25">
      <c r="A1260">
        <v>1259</v>
      </c>
      <c r="B1260">
        <v>4</v>
      </c>
      <c r="C1260" t="s">
        <v>187</v>
      </c>
      <c r="D1260">
        <v>480</v>
      </c>
      <c r="E1260">
        <v>0</v>
      </c>
      <c r="F1260" t="s">
        <v>33</v>
      </c>
      <c r="G1260">
        <v>787</v>
      </c>
      <c r="H1260">
        <v>61</v>
      </c>
      <c r="I1260" t="str">
        <f t="shared" si="19"/>
        <v>2024-06</v>
      </c>
    </row>
    <row r="1261" spans="1:9" ht="15" customHeight="1" x14ac:dyDescent="0.25">
      <c r="A1261">
        <v>1260</v>
      </c>
      <c r="B1261">
        <v>4</v>
      </c>
      <c r="C1261" t="s">
        <v>188</v>
      </c>
      <c r="D1261">
        <v>480</v>
      </c>
      <c r="E1261">
        <v>5</v>
      </c>
      <c r="F1261" t="s">
        <v>45</v>
      </c>
      <c r="G1261">
        <v>741</v>
      </c>
      <c r="H1261">
        <v>42</v>
      </c>
      <c r="I1261" t="str">
        <f t="shared" si="19"/>
        <v>2024-06</v>
      </c>
    </row>
    <row r="1262" spans="1:9" ht="15" customHeight="1" x14ac:dyDescent="0.25">
      <c r="A1262">
        <v>1261</v>
      </c>
      <c r="B1262">
        <v>4</v>
      </c>
      <c r="C1262" t="s">
        <v>189</v>
      </c>
      <c r="D1262">
        <v>480</v>
      </c>
      <c r="E1262">
        <v>6</v>
      </c>
      <c r="F1262" t="s">
        <v>45</v>
      </c>
      <c r="G1262">
        <v>801</v>
      </c>
      <c r="H1262">
        <v>34</v>
      </c>
      <c r="I1262" t="str">
        <f t="shared" si="19"/>
        <v>2024-06</v>
      </c>
    </row>
    <row r="1263" spans="1:9" ht="15" customHeight="1" x14ac:dyDescent="0.25">
      <c r="A1263">
        <v>1262</v>
      </c>
      <c r="B1263">
        <v>4</v>
      </c>
      <c r="C1263" t="s">
        <v>190</v>
      </c>
      <c r="D1263">
        <v>480</v>
      </c>
      <c r="E1263">
        <v>3</v>
      </c>
      <c r="F1263" t="s">
        <v>22</v>
      </c>
      <c r="G1263">
        <v>747</v>
      </c>
      <c r="H1263">
        <v>55</v>
      </c>
      <c r="I1263" t="str">
        <f t="shared" si="19"/>
        <v>2024-06</v>
      </c>
    </row>
    <row r="1264" spans="1:9" ht="15" customHeight="1" x14ac:dyDescent="0.25">
      <c r="A1264">
        <v>1263</v>
      </c>
      <c r="B1264">
        <v>4</v>
      </c>
      <c r="C1264" t="s">
        <v>191</v>
      </c>
      <c r="D1264">
        <v>480</v>
      </c>
      <c r="E1264">
        <v>1</v>
      </c>
      <c r="F1264" t="s">
        <v>27</v>
      </c>
      <c r="G1264">
        <v>760</v>
      </c>
      <c r="H1264">
        <v>46</v>
      </c>
      <c r="I1264" t="str">
        <f t="shared" si="19"/>
        <v>2024-06</v>
      </c>
    </row>
    <row r="1265" spans="1:9" ht="15" customHeight="1" x14ac:dyDescent="0.25">
      <c r="A1265">
        <v>1264</v>
      </c>
      <c r="B1265">
        <v>4</v>
      </c>
      <c r="C1265" t="s">
        <v>192</v>
      </c>
      <c r="D1265">
        <v>480</v>
      </c>
      <c r="E1265">
        <v>5</v>
      </c>
      <c r="F1265" t="s">
        <v>45</v>
      </c>
      <c r="G1265">
        <v>679</v>
      </c>
      <c r="H1265">
        <v>43</v>
      </c>
      <c r="I1265" t="str">
        <f t="shared" si="19"/>
        <v>2024-06</v>
      </c>
    </row>
    <row r="1266" spans="1:9" ht="15" customHeight="1" x14ac:dyDescent="0.25">
      <c r="A1266">
        <v>1265</v>
      </c>
      <c r="B1266">
        <v>4</v>
      </c>
      <c r="C1266" t="s">
        <v>193</v>
      </c>
      <c r="D1266">
        <v>480</v>
      </c>
      <c r="E1266">
        <v>17</v>
      </c>
      <c r="F1266" t="s">
        <v>29</v>
      </c>
      <c r="G1266">
        <v>776</v>
      </c>
      <c r="H1266">
        <v>61</v>
      </c>
      <c r="I1266" t="str">
        <f t="shared" si="19"/>
        <v>2024-06</v>
      </c>
    </row>
    <row r="1267" spans="1:9" ht="15" customHeight="1" x14ac:dyDescent="0.25">
      <c r="A1267">
        <v>1266</v>
      </c>
      <c r="B1267">
        <v>4</v>
      </c>
      <c r="C1267" t="s">
        <v>194</v>
      </c>
      <c r="D1267">
        <v>480</v>
      </c>
      <c r="E1267">
        <v>204</v>
      </c>
      <c r="F1267" t="s">
        <v>22</v>
      </c>
      <c r="G1267">
        <v>402</v>
      </c>
      <c r="H1267">
        <v>35</v>
      </c>
      <c r="I1267" t="str">
        <f t="shared" si="19"/>
        <v>2024-06</v>
      </c>
    </row>
    <row r="1268" spans="1:9" ht="15" customHeight="1" x14ac:dyDescent="0.25">
      <c r="A1268">
        <v>1267</v>
      </c>
      <c r="B1268">
        <v>4</v>
      </c>
      <c r="C1268" t="s">
        <v>195</v>
      </c>
      <c r="D1268">
        <v>480</v>
      </c>
      <c r="E1268">
        <v>28</v>
      </c>
      <c r="F1268" t="s">
        <v>45</v>
      </c>
      <c r="G1268">
        <v>671</v>
      </c>
      <c r="H1268">
        <v>22</v>
      </c>
      <c r="I1268" t="str">
        <f t="shared" si="19"/>
        <v>2024-06</v>
      </c>
    </row>
    <row r="1269" spans="1:9" ht="15" customHeight="1" x14ac:dyDescent="0.25">
      <c r="A1269">
        <v>1268</v>
      </c>
      <c r="B1269">
        <v>4</v>
      </c>
      <c r="C1269" t="s">
        <v>196</v>
      </c>
      <c r="D1269">
        <v>480</v>
      </c>
      <c r="E1269">
        <v>2</v>
      </c>
      <c r="F1269" t="s">
        <v>22</v>
      </c>
      <c r="G1269">
        <v>763</v>
      </c>
      <c r="H1269">
        <v>43</v>
      </c>
      <c r="I1269" t="str">
        <f t="shared" si="19"/>
        <v>2024-06</v>
      </c>
    </row>
    <row r="1270" spans="1:9" ht="15" customHeight="1" x14ac:dyDescent="0.25">
      <c r="A1270">
        <v>1269</v>
      </c>
      <c r="B1270">
        <v>4</v>
      </c>
      <c r="C1270" t="s">
        <v>197</v>
      </c>
      <c r="D1270">
        <v>480</v>
      </c>
      <c r="E1270">
        <v>12</v>
      </c>
      <c r="F1270" t="s">
        <v>45</v>
      </c>
      <c r="G1270">
        <v>736</v>
      </c>
      <c r="H1270">
        <v>33</v>
      </c>
      <c r="I1270" t="str">
        <f t="shared" si="19"/>
        <v>2024-06</v>
      </c>
    </row>
    <row r="1271" spans="1:9" ht="15" customHeight="1" x14ac:dyDescent="0.25">
      <c r="A1271">
        <v>1270</v>
      </c>
      <c r="B1271">
        <v>4</v>
      </c>
      <c r="C1271" t="s">
        <v>198</v>
      </c>
      <c r="D1271">
        <v>480</v>
      </c>
      <c r="E1271">
        <v>42</v>
      </c>
      <c r="F1271" t="s">
        <v>22</v>
      </c>
      <c r="G1271">
        <v>652</v>
      </c>
      <c r="H1271">
        <v>51</v>
      </c>
      <c r="I1271" t="str">
        <f t="shared" si="19"/>
        <v>2024-06</v>
      </c>
    </row>
    <row r="1272" spans="1:9" ht="15" customHeight="1" x14ac:dyDescent="0.25">
      <c r="A1272">
        <v>1271</v>
      </c>
      <c r="B1272">
        <v>4</v>
      </c>
      <c r="C1272" t="s">
        <v>199</v>
      </c>
      <c r="D1272">
        <v>480</v>
      </c>
      <c r="E1272">
        <v>85</v>
      </c>
      <c r="F1272" t="s">
        <v>22</v>
      </c>
      <c r="G1272">
        <v>603</v>
      </c>
      <c r="H1272">
        <v>30</v>
      </c>
      <c r="I1272" t="str">
        <f t="shared" si="19"/>
        <v>2024-06</v>
      </c>
    </row>
    <row r="1273" spans="1:9" ht="15" customHeight="1" x14ac:dyDescent="0.25">
      <c r="A1273">
        <v>1272</v>
      </c>
      <c r="B1273">
        <v>4</v>
      </c>
      <c r="C1273" t="s">
        <v>200</v>
      </c>
      <c r="D1273">
        <v>480</v>
      </c>
      <c r="E1273">
        <v>22</v>
      </c>
      <c r="F1273" t="s">
        <v>29</v>
      </c>
      <c r="G1273">
        <v>748</v>
      </c>
      <c r="H1273">
        <v>37</v>
      </c>
      <c r="I1273" t="str">
        <f t="shared" si="19"/>
        <v>2024-06</v>
      </c>
    </row>
    <row r="1274" spans="1:9" ht="15" customHeight="1" x14ac:dyDescent="0.25">
      <c r="A1274">
        <v>1273</v>
      </c>
      <c r="B1274">
        <v>4</v>
      </c>
      <c r="C1274" t="s">
        <v>201</v>
      </c>
      <c r="D1274">
        <v>480</v>
      </c>
      <c r="E1274">
        <v>11</v>
      </c>
      <c r="F1274" t="s">
        <v>22</v>
      </c>
      <c r="G1274">
        <v>657</v>
      </c>
      <c r="H1274">
        <v>38</v>
      </c>
      <c r="I1274" t="str">
        <f t="shared" si="19"/>
        <v>2024-06</v>
      </c>
    </row>
    <row r="1275" spans="1:9" ht="15" customHeight="1" x14ac:dyDescent="0.25">
      <c r="A1275">
        <v>1274</v>
      </c>
      <c r="B1275">
        <v>4</v>
      </c>
      <c r="C1275" t="s">
        <v>202</v>
      </c>
      <c r="D1275">
        <v>480</v>
      </c>
      <c r="E1275">
        <v>32</v>
      </c>
      <c r="F1275" t="s">
        <v>29</v>
      </c>
      <c r="G1275">
        <v>737</v>
      </c>
      <c r="H1275">
        <v>31</v>
      </c>
      <c r="I1275" t="str">
        <f t="shared" si="19"/>
        <v>2024-06</v>
      </c>
    </row>
    <row r="1276" spans="1:9" ht="15" customHeight="1" x14ac:dyDescent="0.25">
      <c r="A1276">
        <v>1275</v>
      </c>
      <c r="B1276">
        <v>4</v>
      </c>
      <c r="C1276" t="s">
        <v>203</v>
      </c>
      <c r="D1276">
        <v>480</v>
      </c>
      <c r="E1276">
        <v>23</v>
      </c>
      <c r="F1276" t="s">
        <v>45</v>
      </c>
      <c r="G1276">
        <v>747</v>
      </c>
      <c r="H1276">
        <v>59</v>
      </c>
      <c r="I1276" t="str">
        <f t="shared" si="19"/>
        <v>2024-06</v>
      </c>
    </row>
    <row r="1277" spans="1:9" ht="15" customHeight="1" x14ac:dyDescent="0.25">
      <c r="A1277">
        <v>1276</v>
      </c>
      <c r="B1277">
        <v>4</v>
      </c>
      <c r="C1277" t="s">
        <v>204</v>
      </c>
      <c r="D1277">
        <v>480</v>
      </c>
      <c r="E1277">
        <v>24</v>
      </c>
      <c r="F1277" t="s">
        <v>22</v>
      </c>
      <c r="G1277">
        <v>694</v>
      </c>
      <c r="H1277">
        <v>33</v>
      </c>
      <c r="I1277" t="str">
        <f t="shared" si="19"/>
        <v>2024-06</v>
      </c>
    </row>
    <row r="1278" spans="1:9" ht="15" customHeight="1" x14ac:dyDescent="0.25">
      <c r="A1278">
        <v>1277</v>
      </c>
      <c r="B1278">
        <v>4</v>
      </c>
      <c r="C1278" t="s">
        <v>205</v>
      </c>
      <c r="D1278">
        <v>480</v>
      </c>
      <c r="E1278">
        <v>134</v>
      </c>
      <c r="F1278" t="s">
        <v>27</v>
      </c>
      <c r="G1278">
        <v>488</v>
      </c>
      <c r="H1278">
        <v>41</v>
      </c>
      <c r="I1278" t="str">
        <f t="shared" si="19"/>
        <v>2024-06</v>
      </c>
    </row>
    <row r="1279" spans="1:9" ht="15" customHeight="1" x14ac:dyDescent="0.25">
      <c r="A1279">
        <v>1278</v>
      </c>
      <c r="B1279">
        <v>4</v>
      </c>
      <c r="C1279" t="s">
        <v>206</v>
      </c>
      <c r="D1279">
        <v>480</v>
      </c>
      <c r="E1279">
        <v>57</v>
      </c>
      <c r="F1279" t="s">
        <v>27</v>
      </c>
      <c r="G1279">
        <v>653</v>
      </c>
      <c r="H1279">
        <v>20</v>
      </c>
      <c r="I1279" t="str">
        <f t="shared" si="19"/>
        <v>2024-06</v>
      </c>
    </row>
    <row r="1280" spans="1:9" ht="15" customHeight="1" x14ac:dyDescent="0.25">
      <c r="A1280">
        <v>1279</v>
      </c>
      <c r="B1280">
        <v>4</v>
      </c>
      <c r="C1280" t="s">
        <v>207</v>
      </c>
      <c r="D1280">
        <v>480</v>
      </c>
      <c r="E1280">
        <v>32</v>
      </c>
      <c r="F1280" t="s">
        <v>45</v>
      </c>
      <c r="G1280">
        <v>674</v>
      </c>
      <c r="H1280">
        <v>26</v>
      </c>
      <c r="I1280" t="str">
        <f t="shared" si="19"/>
        <v>2024-06</v>
      </c>
    </row>
    <row r="1281" spans="1:9" ht="15" customHeight="1" x14ac:dyDescent="0.25">
      <c r="A1281">
        <v>1280</v>
      </c>
      <c r="B1281">
        <v>4</v>
      </c>
      <c r="C1281" t="s">
        <v>208</v>
      </c>
      <c r="D1281">
        <v>480</v>
      </c>
      <c r="E1281">
        <v>53</v>
      </c>
      <c r="F1281" t="s">
        <v>29</v>
      </c>
      <c r="G1281">
        <v>720</v>
      </c>
      <c r="H1281">
        <v>45</v>
      </c>
      <c r="I1281" t="str">
        <f t="shared" si="19"/>
        <v>2024-06</v>
      </c>
    </row>
    <row r="1282" spans="1:9" ht="15" customHeight="1" x14ac:dyDescent="0.25">
      <c r="A1282">
        <v>1281</v>
      </c>
      <c r="B1282">
        <v>4</v>
      </c>
      <c r="C1282" t="s">
        <v>209</v>
      </c>
      <c r="D1282">
        <v>480</v>
      </c>
      <c r="E1282">
        <v>62</v>
      </c>
      <c r="F1282" t="s">
        <v>27</v>
      </c>
      <c r="G1282">
        <v>583</v>
      </c>
      <c r="H1282">
        <v>32</v>
      </c>
      <c r="I1282" t="str">
        <f t="shared" ref="I1282:I1345" si="20">TEXT(C1282,"yyyy-mm")</f>
        <v>2024-07</v>
      </c>
    </row>
    <row r="1283" spans="1:9" ht="15" customHeight="1" x14ac:dyDescent="0.25">
      <c r="A1283">
        <v>1282</v>
      </c>
      <c r="B1283">
        <v>4</v>
      </c>
      <c r="C1283" t="s">
        <v>210</v>
      </c>
      <c r="D1283">
        <v>480</v>
      </c>
      <c r="E1283">
        <v>6</v>
      </c>
      <c r="F1283" t="s">
        <v>22</v>
      </c>
      <c r="G1283">
        <v>745</v>
      </c>
      <c r="H1283">
        <v>64</v>
      </c>
      <c r="I1283" t="str">
        <f t="shared" si="20"/>
        <v>2024-07</v>
      </c>
    </row>
    <row r="1284" spans="1:9" ht="15" customHeight="1" x14ac:dyDescent="0.25">
      <c r="A1284">
        <v>1283</v>
      </c>
      <c r="B1284">
        <v>4</v>
      </c>
      <c r="C1284" t="s">
        <v>211</v>
      </c>
      <c r="D1284">
        <v>480</v>
      </c>
      <c r="E1284">
        <v>53</v>
      </c>
      <c r="F1284" t="s">
        <v>27</v>
      </c>
      <c r="G1284">
        <v>597</v>
      </c>
      <c r="H1284">
        <v>30</v>
      </c>
      <c r="I1284" t="str">
        <f t="shared" si="20"/>
        <v>2024-07</v>
      </c>
    </row>
    <row r="1285" spans="1:9" ht="15" customHeight="1" x14ac:dyDescent="0.25">
      <c r="A1285">
        <v>1284</v>
      </c>
      <c r="B1285">
        <v>4</v>
      </c>
      <c r="C1285" t="s">
        <v>212</v>
      </c>
      <c r="D1285">
        <v>480</v>
      </c>
      <c r="E1285">
        <v>39</v>
      </c>
      <c r="F1285" t="s">
        <v>22</v>
      </c>
      <c r="G1285">
        <v>663</v>
      </c>
      <c r="H1285">
        <v>52</v>
      </c>
      <c r="I1285" t="str">
        <f t="shared" si="20"/>
        <v>2024-07</v>
      </c>
    </row>
    <row r="1286" spans="1:9" ht="15" customHeight="1" x14ac:dyDescent="0.25">
      <c r="A1286">
        <v>1285</v>
      </c>
      <c r="B1286">
        <v>4</v>
      </c>
      <c r="C1286" t="s">
        <v>213</v>
      </c>
      <c r="D1286">
        <v>480</v>
      </c>
      <c r="E1286">
        <v>83</v>
      </c>
      <c r="F1286" t="s">
        <v>24</v>
      </c>
      <c r="G1286">
        <v>624</v>
      </c>
      <c r="H1286">
        <v>32</v>
      </c>
      <c r="I1286" t="str">
        <f t="shared" si="20"/>
        <v>2024-07</v>
      </c>
    </row>
    <row r="1287" spans="1:9" ht="15" customHeight="1" x14ac:dyDescent="0.25">
      <c r="A1287">
        <v>1286</v>
      </c>
      <c r="B1287">
        <v>4</v>
      </c>
      <c r="C1287" t="s">
        <v>214</v>
      </c>
      <c r="D1287">
        <v>480</v>
      </c>
      <c r="E1287">
        <v>14</v>
      </c>
      <c r="F1287" t="s">
        <v>24</v>
      </c>
      <c r="G1287">
        <v>656</v>
      </c>
      <c r="H1287">
        <v>33</v>
      </c>
      <c r="I1287" t="str">
        <f t="shared" si="20"/>
        <v>2024-07</v>
      </c>
    </row>
    <row r="1288" spans="1:9" ht="15" customHeight="1" x14ac:dyDescent="0.25">
      <c r="A1288">
        <v>1287</v>
      </c>
      <c r="B1288">
        <v>4</v>
      </c>
      <c r="C1288" t="s">
        <v>215</v>
      </c>
      <c r="D1288">
        <v>480</v>
      </c>
      <c r="E1288">
        <v>26</v>
      </c>
      <c r="F1288" t="s">
        <v>29</v>
      </c>
      <c r="G1288">
        <v>723</v>
      </c>
      <c r="H1288">
        <v>50</v>
      </c>
      <c r="I1288" t="str">
        <f t="shared" si="20"/>
        <v>2024-07</v>
      </c>
    </row>
    <row r="1289" spans="1:9" ht="15" customHeight="1" x14ac:dyDescent="0.25">
      <c r="A1289">
        <v>1288</v>
      </c>
      <c r="B1289">
        <v>4</v>
      </c>
      <c r="C1289" t="s">
        <v>216</v>
      </c>
      <c r="D1289">
        <v>480</v>
      </c>
      <c r="E1289">
        <v>3</v>
      </c>
      <c r="F1289" t="s">
        <v>24</v>
      </c>
      <c r="G1289">
        <v>716</v>
      </c>
      <c r="H1289">
        <v>29</v>
      </c>
      <c r="I1289" t="str">
        <f t="shared" si="20"/>
        <v>2024-07</v>
      </c>
    </row>
    <row r="1290" spans="1:9" ht="15" customHeight="1" x14ac:dyDescent="0.25">
      <c r="A1290">
        <v>1289</v>
      </c>
      <c r="B1290">
        <v>4</v>
      </c>
      <c r="C1290" t="s">
        <v>217</v>
      </c>
      <c r="D1290">
        <v>480</v>
      </c>
      <c r="E1290">
        <v>8</v>
      </c>
      <c r="F1290" t="s">
        <v>45</v>
      </c>
      <c r="G1290">
        <v>774</v>
      </c>
      <c r="H1290">
        <v>25</v>
      </c>
      <c r="I1290" t="str">
        <f t="shared" si="20"/>
        <v>2024-07</v>
      </c>
    </row>
    <row r="1291" spans="1:9" ht="15" customHeight="1" x14ac:dyDescent="0.25">
      <c r="A1291">
        <v>1290</v>
      </c>
      <c r="B1291">
        <v>4</v>
      </c>
      <c r="C1291" t="s">
        <v>218</v>
      </c>
      <c r="D1291">
        <v>480</v>
      </c>
      <c r="E1291">
        <v>27</v>
      </c>
      <c r="F1291" t="s">
        <v>45</v>
      </c>
      <c r="G1291">
        <v>647</v>
      </c>
      <c r="H1291">
        <v>53</v>
      </c>
      <c r="I1291" t="str">
        <f t="shared" si="20"/>
        <v>2024-07</v>
      </c>
    </row>
    <row r="1292" spans="1:9" ht="15" customHeight="1" x14ac:dyDescent="0.25">
      <c r="A1292">
        <v>1291</v>
      </c>
      <c r="B1292">
        <v>4</v>
      </c>
      <c r="C1292" t="s">
        <v>219</v>
      </c>
      <c r="D1292">
        <v>480</v>
      </c>
      <c r="E1292">
        <v>40</v>
      </c>
      <c r="F1292" t="s">
        <v>22</v>
      </c>
      <c r="G1292">
        <v>637</v>
      </c>
      <c r="H1292">
        <v>38</v>
      </c>
      <c r="I1292" t="str">
        <f t="shared" si="20"/>
        <v>2024-07</v>
      </c>
    </row>
    <row r="1293" spans="1:9" ht="15" customHeight="1" x14ac:dyDescent="0.25">
      <c r="A1293">
        <v>1292</v>
      </c>
      <c r="B1293">
        <v>4</v>
      </c>
      <c r="C1293" t="s">
        <v>220</v>
      </c>
      <c r="D1293">
        <v>480</v>
      </c>
      <c r="E1293">
        <v>65</v>
      </c>
      <c r="F1293" t="s">
        <v>22</v>
      </c>
      <c r="G1293">
        <v>698</v>
      </c>
      <c r="H1293">
        <v>30</v>
      </c>
      <c r="I1293" t="str">
        <f t="shared" si="20"/>
        <v>2024-07</v>
      </c>
    </row>
    <row r="1294" spans="1:9" ht="15" customHeight="1" x14ac:dyDescent="0.25">
      <c r="A1294">
        <v>1293</v>
      </c>
      <c r="B1294">
        <v>4</v>
      </c>
      <c r="C1294" t="s">
        <v>221</v>
      </c>
      <c r="D1294">
        <v>480</v>
      </c>
      <c r="E1294">
        <v>108</v>
      </c>
      <c r="F1294" t="s">
        <v>27</v>
      </c>
      <c r="G1294">
        <v>623</v>
      </c>
      <c r="H1294">
        <v>52</v>
      </c>
      <c r="I1294" t="str">
        <f t="shared" si="20"/>
        <v>2024-07</v>
      </c>
    </row>
    <row r="1295" spans="1:9" ht="15" customHeight="1" x14ac:dyDescent="0.25">
      <c r="A1295">
        <v>1294</v>
      </c>
      <c r="B1295">
        <v>4</v>
      </c>
      <c r="C1295" t="s">
        <v>222</v>
      </c>
      <c r="D1295">
        <v>480</v>
      </c>
      <c r="E1295">
        <v>50</v>
      </c>
      <c r="F1295" t="s">
        <v>27</v>
      </c>
      <c r="G1295">
        <v>678</v>
      </c>
      <c r="H1295">
        <v>36</v>
      </c>
      <c r="I1295" t="str">
        <f t="shared" si="20"/>
        <v>2024-07</v>
      </c>
    </row>
    <row r="1296" spans="1:9" ht="15" customHeight="1" x14ac:dyDescent="0.25">
      <c r="A1296">
        <v>1295</v>
      </c>
      <c r="B1296">
        <v>4</v>
      </c>
      <c r="C1296" t="s">
        <v>223</v>
      </c>
      <c r="D1296">
        <v>480</v>
      </c>
      <c r="E1296">
        <v>69</v>
      </c>
      <c r="F1296" t="s">
        <v>27</v>
      </c>
      <c r="G1296">
        <v>635</v>
      </c>
      <c r="H1296">
        <v>44</v>
      </c>
      <c r="I1296" t="str">
        <f t="shared" si="20"/>
        <v>2024-07</v>
      </c>
    </row>
    <row r="1297" spans="1:9" ht="15" customHeight="1" x14ac:dyDescent="0.25">
      <c r="A1297">
        <v>1296</v>
      </c>
      <c r="B1297">
        <v>4</v>
      </c>
      <c r="C1297" t="s">
        <v>224</v>
      </c>
      <c r="D1297">
        <v>480</v>
      </c>
      <c r="E1297">
        <v>27</v>
      </c>
      <c r="F1297" t="s">
        <v>27</v>
      </c>
      <c r="G1297">
        <v>729</v>
      </c>
      <c r="H1297">
        <v>57</v>
      </c>
      <c r="I1297" t="str">
        <f t="shared" si="20"/>
        <v>2024-07</v>
      </c>
    </row>
    <row r="1298" spans="1:9" ht="15" customHeight="1" x14ac:dyDescent="0.25">
      <c r="A1298">
        <v>1297</v>
      </c>
      <c r="B1298">
        <v>4</v>
      </c>
      <c r="C1298" t="s">
        <v>225</v>
      </c>
      <c r="D1298">
        <v>480</v>
      </c>
      <c r="E1298">
        <v>7</v>
      </c>
      <c r="F1298" t="s">
        <v>29</v>
      </c>
      <c r="G1298">
        <v>777</v>
      </c>
      <c r="H1298">
        <v>48</v>
      </c>
      <c r="I1298" t="str">
        <f t="shared" si="20"/>
        <v>2024-07</v>
      </c>
    </row>
    <row r="1299" spans="1:9" ht="15" customHeight="1" x14ac:dyDescent="0.25">
      <c r="A1299">
        <v>1298</v>
      </c>
      <c r="B1299">
        <v>4</v>
      </c>
      <c r="C1299" t="s">
        <v>226</v>
      </c>
      <c r="D1299">
        <v>480</v>
      </c>
      <c r="E1299">
        <v>92</v>
      </c>
      <c r="F1299" t="s">
        <v>27</v>
      </c>
      <c r="G1299">
        <v>587</v>
      </c>
      <c r="H1299">
        <v>30</v>
      </c>
      <c r="I1299" t="str">
        <f t="shared" si="20"/>
        <v>2024-07</v>
      </c>
    </row>
    <row r="1300" spans="1:9" ht="15" customHeight="1" x14ac:dyDescent="0.25">
      <c r="A1300">
        <v>1299</v>
      </c>
      <c r="B1300">
        <v>4</v>
      </c>
      <c r="C1300" t="s">
        <v>227</v>
      </c>
      <c r="D1300">
        <v>480</v>
      </c>
      <c r="E1300">
        <v>122</v>
      </c>
      <c r="F1300" t="s">
        <v>45</v>
      </c>
      <c r="G1300">
        <v>521</v>
      </c>
      <c r="H1300">
        <v>41</v>
      </c>
      <c r="I1300" t="str">
        <f t="shared" si="20"/>
        <v>2024-07</v>
      </c>
    </row>
    <row r="1301" spans="1:9" ht="15" customHeight="1" x14ac:dyDescent="0.25">
      <c r="A1301">
        <v>1300</v>
      </c>
      <c r="B1301">
        <v>4</v>
      </c>
      <c r="C1301" t="s">
        <v>228</v>
      </c>
      <c r="D1301">
        <v>480</v>
      </c>
      <c r="E1301">
        <v>32</v>
      </c>
      <c r="F1301" t="s">
        <v>22</v>
      </c>
      <c r="G1301">
        <v>690</v>
      </c>
      <c r="H1301">
        <v>33</v>
      </c>
      <c r="I1301" t="str">
        <f t="shared" si="20"/>
        <v>2024-07</v>
      </c>
    </row>
    <row r="1302" spans="1:9" ht="15" customHeight="1" x14ac:dyDescent="0.25">
      <c r="A1302">
        <v>1301</v>
      </c>
      <c r="B1302">
        <v>4</v>
      </c>
      <c r="C1302" t="s">
        <v>229</v>
      </c>
      <c r="D1302">
        <v>480</v>
      </c>
      <c r="E1302">
        <v>42</v>
      </c>
      <c r="F1302" t="s">
        <v>45</v>
      </c>
      <c r="G1302">
        <v>647</v>
      </c>
      <c r="H1302">
        <v>20</v>
      </c>
      <c r="I1302" t="str">
        <f t="shared" si="20"/>
        <v>2024-07</v>
      </c>
    </row>
    <row r="1303" spans="1:9" ht="15" customHeight="1" x14ac:dyDescent="0.25">
      <c r="A1303">
        <v>1302</v>
      </c>
      <c r="B1303">
        <v>4</v>
      </c>
      <c r="C1303" t="s">
        <v>230</v>
      </c>
      <c r="D1303">
        <v>480</v>
      </c>
      <c r="E1303">
        <v>15</v>
      </c>
      <c r="F1303" t="s">
        <v>24</v>
      </c>
      <c r="G1303">
        <v>639</v>
      </c>
      <c r="H1303">
        <v>56</v>
      </c>
      <c r="I1303" t="str">
        <f t="shared" si="20"/>
        <v>2024-07</v>
      </c>
    </row>
    <row r="1304" spans="1:9" ht="15" customHeight="1" x14ac:dyDescent="0.25">
      <c r="A1304">
        <v>1303</v>
      </c>
      <c r="B1304">
        <v>4</v>
      </c>
      <c r="C1304" t="s">
        <v>231</v>
      </c>
      <c r="D1304">
        <v>480</v>
      </c>
      <c r="E1304">
        <v>167</v>
      </c>
      <c r="F1304" t="s">
        <v>24</v>
      </c>
      <c r="G1304">
        <v>470</v>
      </c>
      <c r="H1304">
        <v>34</v>
      </c>
      <c r="I1304" t="str">
        <f t="shared" si="20"/>
        <v>2024-07</v>
      </c>
    </row>
    <row r="1305" spans="1:9" ht="15" customHeight="1" x14ac:dyDescent="0.25">
      <c r="A1305">
        <v>1304</v>
      </c>
      <c r="B1305">
        <v>4</v>
      </c>
      <c r="C1305" t="s">
        <v>232</v>
      </c>
      <c r="D1305">
        <v>480</v>
      </c>
      <c r="E1305">
        <v>21</v>
      </c>
      <c r="F1305" t="s">
        <v>45</v>
      </c>
      <c r="G1305">
        <v>730</v>
      </c>
      <c r="H1305">
        <v>57</v>
      </c>
      <c r="I1305" t="str">
        <f t="shared" si="20"/>
        <v>2024-07</v>
      </c>
    </row>
    <row r="1306" spans="1:9" ht="15" customHeight="1" x14ac:dyDescent="0.25">
      <c r="A1306">
        <v>1305</v>
      </c>
      <c r="B1306">
        <v>4</v>
      </c>
      <c r="C1306" t="s">
        <v>233</v>
      </c>
      <c r="D1306">
        <v>480</v>
      </c>
      <c r="E1306">
        <v>145</v>
      </c>
      <c r="F1306" t="s">
        <v>22</v>
      </c>
      <c r="G1306">
        <v>503</v>
      </c>
      <c r="H1306">
        <v>38</v>
      </c>
      <c r="I1306" t="str">
        <f t="shared" si="20"/>
        <v>2024-07</v>
      </c>
    </row>
    <row r="1307" spans="1:9" ht="15" customHeight="1" x14ac:dyDescent="0.25">
      <c r="A1307">
        <v>1306</v>
      </c>
      <c r="B1307">
        <v>4</v>
      </c>
      <c r="C1307" t="s">
        <v>234</v>
      </c>
      <c r="D1307">
        <v>480</v>
      </c>
      <c r="E1307">
        <v>15</v>
      </c>
      <c r="F1307" t="s">
        <v>27</v>
      </c>
      <c r="G1307">
        <v>787</v>
      </c>
      <c r="H1307">
        <v>24</v>
      </c>
      <c r="I1307" t="str">
        <f t="shared" si="20"/>
        <v>2024-07</v>
      </c>
    </row>
    <row r="1308" spans="1:9" ht="15" customHeight="1" x14ac:dyDescent="0.25">
      <c r="A1308">
        <v>1307</v>
      </c>
      <c r="B1308">
        <v>4</v>
      </c>
      <c r="C1308" t="s">
        <v>235</v>
      </c>
      <c r="D1308">
        <v>480</v>
      </c>
      <c r="E1308">
        <v>46</v>
      </c>
      <c r="F1308" t="s">
        <v>24</v>
      </c>
      <c r="G1308">
        <v>688</v>
      </c>
      <c r="H1308">
        <v>48</v>
      </c>
      <c r="I1308" t="str">
        <f t="shared" si="20"/>
        <v>2024-07</v>
      </c>
    </row>
    <row r="1309" spans="1:9" ht="15" customHeight="1" x14ac:dyDescent="0.25">
      <c r="A1309">
        <v>1308</v>
      </c>
      <c r="B1309">
        <v>4</v>
      </c>
      <c r="C1309" t="s">
        <v>236</v>
      </c>
      <c r="D1309">
        <v>480</v>
      </c>
      <c r="E1309">
        <v>6</v>
      </c>
      <c r="F1309" t="s">
        <v>27</v>
      </c>
      <c r="G1309">
        <v>795</v>
      </c>
      <c r="H1309">
        <v>32</v>
      </c>
      <c r="I1309" t="str">
        <f t="shared" si="20"/>
        <v>2024-07</v>
      </c>
    </row>
    <row r="1310" spans="1:9" ht="15" customHeight="1" x14ac:dyDescent="0.25">
      <c r="A1310">
        <v>1309</v>
      </c>
      <c r="B1310">
        <v>4</v>
      </c>
      <c r="C1310" t="s">
        <v>237</v>
      </c>
      <c r="D1310">
        <v>480</v>
      </c>
      <c r="E1310">
        <v>48</v>
      </c>
      <c r="F1310" t="s">
        <v>45</v>
      </c>
      <c r="G1310">
        <v>624</v>
      </c>
      <c r="H1310">
        <v>30</v>
      </c>
      <c r="I1310" t="str">
        <f t="shared" si="20"/>
        <v>2024-07</v>
      </c>
    </row>
    <row r="1311" spans="1:9" ht="15" customHeight="1" x14ac:dyDescent="0.25">
      <c r="A1311">
        <v>1310</v>
      </c>
      <c r="B1311">
        <v>4</v>
      </c>
      <c r="C1311" t="s">
        <v>238</v>
      </c>
      <c r="D1311">
        <v>480</v>
      </c>
      <c r="E1311">
        <v>39</v>
      </c>
      <c r="F1311" t="s">
        <v>33</v>
      </c>
      <c r="G1311">
        <v>665</v>
      </c>
      <c r="H1311">
        <v>665</v>
      </c>
      <c r="I1311" t="str">
        <f t="shared" si="20"/>
        <v>2024-07</v>
      </c>
    </row>
    <row r="1312" spans="1:9" ht="15" customHeight="1" x14ac:dyDescent="0.25">
      <c r="A1312">
        <v>1311</v>
      </c>
      <c r="B1312">
        <v>4</v>
      </c>
      <c r="C1312" t="s">
        <v>239</v>
      </c>
      <c r="D1312">
        <v>480</v>
      </c>
      <c r="E1312">
        <v>9</v>
      </c>
      <c r="F1312" t="s">
        <v>45</v>
      </c>
      <c r="G1312">
        <v>710</v>
      </c>
      <c r="H1312">
        <v>710</v>
      </c>
      <c r="I1312" t="str">
        <f t="shared" si="20"/>
        <v>2024-07</v>
      </c>
    </row>
    <row r="1313" spans="1:9" ht="15" customHeight="1" x14ac:dyDescent="0.25">
      <c r="A1313">
        <v>1312</v>
      </c>
      <c r="B1313">
        <v>4</v>
      </c>
      <c r="C1313" t="s">
        <v>240</v>
      </c>
      <c r="D1313">
        <v>480</v>
      </c>
      <c r="E1313">
        <v>113</v>
      </c>
      <c r="F1313" t="s">
        <v>45</v>
      </c>
      <c r="G1313">
        <v>514</v>
      </c>
      <c r="H1313">
        <v>27</v>
      </c>
      <c r="I1313" t="str">
        <f t="shared" si="20"/>
        <v>2024-08</v>
      </c>
    </row>
    <row r="1314" spans="1:9" ht="15" customHeight="1" x14ac:dyDescent="0.25">
      <c r="A1314">
        <v>1313</v>
      </c>
      <c r="B1314">
        <v>4</v>
      </c>
      <c r="C1314" t="s">
        <v>241</v>
      </c>
      <c r="D1314">
        <v>480</v>
      </c>
      <c r="E1314">
        <v>5</v>
      </c>
      <c r="F1314" t="s">
        <v>45</v>
      </c>
      <c r="G1314">
        <v>655</v>
      </c>
      <c r="H1314">
        <v>655</v>
      </c>
      <c r="I1314" t="str">
        <f t="shared" si="20"/>
        <v>2024-08</v>
      </c>
    </row>
    <row r="1315" spans="1:9" ht="15" customHeight="1" x14ac:dyDescent="0.25">
      <c r="A1315">
        <v>1314</v>
      </c>
      <c r="B1315">
        <v>4</v>
      </c>
      <c r="C1315" t="s">
        <v>242</v>
      </c>
      <c r="D1315">
        <v>480</v>
      </c>
      <c r="E1315">
        <v>45</v>
      </c>
      <c r="F1315" t="s">
        <v>22</v>
      </c>
      <c r="G1315">
        <v>620</v>
      </c>
      <c r="H1315">
        <v>27</v>
      </c>
      <c r="I1315" t="str">
        <f t="shared" si="20"/>
        <v>2024-08</v>
      </c>
    </row>
    <row r="1316" spans="1:9" ht="15" customHeight="1" x14ac:dyDescent="0.25">
      <c r="A1316">
        <v>1315</v>
      </c>
      <c r="B1316">
        <v>4</v>
      </c>
      <c r="C1316" t="s">
        <v>243</v>
      </c>
      <c r="D1316">
        <v>480</v>
      </c>
      <c r="E1316">
        <v>1</v>
      </c>
      <c r="F1316" t="s">
        <v>33</v>
      </c>
      <c r="G1316">
        <v>787</v>
      </c>
      <c r="H1316">
        <v>69</v>
      </c>
      <c r="I1316" t="str">
        <f t="shared" si="20"/>
        <v>2024-08</v>
      </c>
    </row>
    <row r="1317" spans="1:9" ht="15" customHeight="1" x14ac:dyDescent="0.25">
      <c r="A1317">
        <v>1316</v>
      </c>
      <c r="B1317">
        <v>4</v>
      </c>
      <c r="C1317" t="s">
        <v>244</v>
      </c>
      <c r="D1317">
        <v>480</v>
      </c>
      <c r="E1317">
        <v>7</v>
      </c>
      <c r="F1317" t="s">
        <v>27</v>
      </c>
      <c r="G1317">
        <v>685</v>
      </c>
      <c r="H1317">
        <v>56</v>
      </c>
      <c r="I1317" t="str">
        <f t="shared" si="20"/>
        <v>2024-08</v>
      </c>
    </row>
    <row r="1318" spans="1:9" ht="15" customHeight="1" x14ac:dyDescent="0.25">
      <c r="A1318">
        <v>1317</v>
      </c>
      <c r="B1318">
        <v>4</v>
      </c>
      <c r="C1318" t="s">
        <v>245</v>
      </c>
      <c r="D1318">
        <v>480</v>
      </c>
      <c r="E1318">
        <v>129</v>
      </c>
      <c r="F1318" t="s">
        <v>22</v>
      </c>
      <c r="G1318">
        <v>529</v>
      </c>
      <c r="H1318">
        <v>17</v>
      </c>
      <c r="I1318" t="str">
        <f t="shared" si="20"/>
        <v>2024-08</v>
      </c>
    </row>
    <row r="1319" spans="1:9" ht="15" customHeight="1" x14ac:dyDescent="0.25">
      <c r="A1319">
        <v>1318</v>
      </c>
      <c r="B1319">
        <v>4</v>
      </c>
      <c r="C1319" t="s">
        <v>246</v>
      </c>
      <c r="D1319">
        <v>480</v>
      </c>
      <c r="E1319">
        <v>2</v>
      </c>
      <c r="F1319" t="s">
        <v>45</v>
      </c>
      <c r="G1319">
        <v>745</v>
      </c>
      <c r="H1319">
        <v>39</v>
      </c>
      <c r="I1319" t="str">
        <f t="shared" si="20"/>
        <v>2024-08</v>
      </c>
    </row>
    <row r="1320" spans="1:9" ht="15" customHeight="1" x14ac:dyDescent="0.25">
      <c r="A1320">
        <v>1319</v>
      </c>
      <c r="B1320">
        <v>4</v>
      </c>
      <c r="C1320" t="s">
        <v>247</v>
      </c>
      <c r="D1320">
        <v>480</v>
      </c>
      <c r="E1320">
        <v>1</v>
      </c>
      <c r="F1320" t="s">
        <v>22</v>
      </c>
      <c r="G1320">
        <v>748</v>
      </c>
      <c r="H1320">
        <v>22</v>
      </c>
      <c r="I1320" t="str">
        <f t="shared" si="20"/>
        <v>2024-08</v>
      </c>
    </row>
    <row r="1321" spans="1:9" ht="15" customHeight="1" x14ac:dyDescent="0.25">
      <c r="A1321">
        <v>1320</v>
      </c>
      <c r="B1321">
        <v>4</v>
      </c>
      <c r="C1321" t="s">
        <v>248</v>
      </c>
      <c r="D1321">
        <v>480</v>
      </c>
      <c r="E1321">
        <v>77</v>
      </c>
      <c r="F1321" t="s">
        <v>22</v>
      </c>
      <c r="G1321">
        <v>593</v>
      </c>
      <c r="H1321">
        <v>19</v>
      </c>
      <c r="I1321" t="str">
        <f t="shared" si="20"/>
        <v>2024-08</v>
      </c>
    </row>
    <row r="1322" spans="1:9" ht="15" customHeight="1" x14ac:dyDescent="0.25">
      <c r="A1322">
        <v>1321</v>
      </c>
      <c r="B1322">
        <v>4</v>
      </c>
      <c r="C1322" t="s">
        <v>249</v>
      </c>
      <c r="D1322">
        <v>480</v>
      </c>
      <c r="E1322">
        <v>44</v>
      </c>
      <c r="F1322" t="s">
        <v>29</v>
      </c>
      <c r="G1322">
        <v>655</v>
      </c>
      <c r="H1322">
        <v>57</v>
      </c>
      <c r="I1322" t="str">
        <f t="shared" si="20"/>
        <v>2024-08</v>
      </c>
    </row>
    <row r="1323" spans="1:9" ht="15" customHeight="1" x14ac:dyDescent="0.25">
      <c r="A1323">
        <v>1322</v>
      </c>
      <c r="B1323">
        <v>4</v>
      </c>
      <c r="C1323" t="s">
        <v>250</v>
      </c>
      <c r="D1323">
        <v>480</v>
      </c>
      <c r="E1323">
        <v>39</v>
      </c>
      <c r="F1323" t="s">
        <v>45</v>
      </c>
      <c r="G1323">
        <v>645</v>
      </c>
      <c r="H1323">
        <v>46</v>
      </c>
      <c r="I1323" t="str">
        <f t="shared" si="20"/>
        <v>2024-08</v>
      </c>
    </row>
    <row r="1324" spans="1:9" ht="15" customHeight="1" x14ac:dyDescent="0.25">
      <c r="A1324">
        <v>1323</v>
      </c>
      <c r="B1324">
        <v>4</v>
      </c>
      <c r="C1324" t="s">
        <v>251</v>
      </c>
      <c r="D1324">
        <v>480</v>
      </c>
      <c r="E1324">
        <v>15</v>
      </c>
      <c r="F1324" t="s">
        <v>27</v>
      </c>
      <c r="G1324">
        <v>774</v>
      </c>
      <c r="H1324">
        <v>40</v>
      </c>
      <c r="I1324" t="str">
        <f t="shared" si="20"/>
        <v>2024-08</v>
      </c>
    </row>
    <row r="1325" spans="1:9" ht="15" customHeight="1" x14ac:dyDescent="0.25">
      <c r="A1325">
        <v>1324</v>
      </c>
      <c r="B1325">
        <v>4</v>
      </c>
      <c r="C1325" t="s">
        <v>252</v>
      </c>
      <c r="D1325">
        <v>480</v>
      </c>
      <c r="E1325">
        <v>39</v>
      </c>
      <c r="F1325" t="s">
        <v>22</v>
      </c>
      <c r="G1325">
        <v>613</v>
      </c>
      <c r="H1325">
        <v>33</v>
      </c>
      <c r="I1325" t="str">
        <f t="shared" si="20"/>
        <v>2024-08</v>
      </c>
    </row>
    <row r="1326" spans="1:9" ht="15" customHeight="1" x14ac:dyDescent="0.25">
      <c r="A1326">
        <v>1325</v>
      </c>
      <c r="B1326">
        <v>4</v>
      </c>
      <c r="C1326" t="s">
        <v>253</v>
      </c>
      <c r="D1326">
        <v>480</v>
      </c>
      <c r="E1326">
        <v>88</v>
      </c>
      <c r="F1326" t="s">
        <v>22</v>
      </c>
      <c r="G1326">
        <v>640</v>
      </c>
      <c r="H1326">
        <v>27</v>
      </c>
      <c r="I1326" t="str">
        <f t="shared" si="20"/>
        <v>2024-08</v>
      </c>
    </row>
    <row r="1327" spans="1:9" ht="15" customHeight="1" x14ac:dyDescent="0.25">
      <c r="A1327">
        <v>1326</v>
      </c>
      <c r="B1327">
        <v>4</v>
      </c>
      <c r="C1327" t="s">
        <v>254</v>
      </c>
      <c r="D1327">
        <v>480</v>
      </c>
      <c r="E1327">
        <v>12</v>
      </c>
      <c r="F1327" t="s">
        <v>45</v>
      </c>
      <c r="G1327">
        <v>766</v>
      </c>
      <c r="H1327">
        <v>65</v>
      </c>
      <c r="I1327" t="str">
        <f t="shared" si="20"/>
        <v>2024-08</v>
      </c>
    </row>
    <row r="1328" spans="1:9" ht="15" customHeight="1" x14ac:dyDescent="0.25">
      <c r="A1328">
        <v>1327</v>
      </c>
      <c r="B1328">
        <v>4</v>
      </c>
      <c r="C1328" t="s">
        <v>255</v>
      </c>
      <c r="D1328">
        <v>480</v>
      </c>
      <c r="E1328">
        <v>4</v>
      </c>
      <c r="F1328" t="s">
        <v>29</v>
      </c>
      <c r="G1328">
        <v>723</v>
      </c>
      <c r="H1328">
        <v>36</v>
      </c>
      <c r="I1328" t="str">
        <f t="shared" si="20"/>
        <v>2024-08</v>
      </c>
    </row>
    <row r="1329" spans="1:9" ht="15" customHeight="1" x14ac:dyDescent="0.25">
      <c r="A1329">
        <v>1328</v>
      </c>
      <c r="B1329">
        <v>4</v>
      </c>
      <c r="C1329" t="s">
        <v>256</v>
      </c>
      <c r="D1329">
        <v>480</v>
      </c>
      <c r="E1329">
        <v>101</v>
      </c>
      <c r="F1329" t="s">
        <v>22</v>
      </c>
      <c r="G1329">
        <v>531</v>
      </c>
      <c r="H1329">
        <v>22</v>
      </c>
      <c r="I1329" t="str">
        <f t="shared" si="20"/>
        <v>2024-08</v>
      </c>
    </row>
    <row r="1330" spans="1:9" ht="15" customHeight="1" x14ac:dyDescent="0.25">
      <c r="A1330">
        <v>1329</v>
      </c>
      <c r="B1330">
        <v>4</v>
      </c>
      <c r="C1330" t="s">
        <v>257</v>
      </c>
      <c r="D1330">
        <v>480</v>
      </c>
      <c r="E1330">
        <v>69</v>
      </c>
      <c r="F1330" t="s">
        <v>22</v>
      </c>
      <c r="G1330">
        <v>571</v>
      </c>
      <c r="H1330">
        <v>33</v>
      </c>
      <c r="I1330" t="str">
        <f t="shared" si="20"/>
        <v>2024-08</v>
      </c>
    </row>
    <row r="1331" spans="1:9" ht="15" customHeight="1" x14ac:dyDescent="0.25">
      <c r="A1331">
        <v>1330</v>
      </c>
      <c r="B1331">
        <v>4</v>
      </c>
      <c r="C1331" t="s">
        <v>258</v>
      </c>
      <c r="D1331">
        <v>480</v>
      </c>
      <c r="E1331">
        <v>29</v>
      </c>
      <c r="F1331" t="s">
        <v>24</v>
      </c>
      <c r="G1331">
        <v>668</v>
      </c>
      <c r="H1331">
        <v>35</v>
      </c>
      <c r="I1331" t="str">
        <f t="shared" si="20"/>
        <v>2024-08</v>
      </c>
    </row>
    <row r="1332" spans="1:9" ht="15" customHeight="1" x14ac:dyDescent="0.25">
      <c r="A1332">
        <v>1331</v>
      </c>
      <c r="B1332">
        <v>4</v>
      </c>
      <c r="C1332" t="s">
        <v>259</v>
      </c>
      <c r="D1332">
        <v>480</v>
      </c>
      <c r="E1332">
        <v>37</v>
      </c>
      <c r="F1332" t="s">
        <v>33</v>
      </c>
      <c r="G1332">
        <v>631</v>
      </c>
      <c r="H1332">
        <v>40</v>
      </c>
      <c r="I1332" t="str">
        <f t="shared" si="20"/>
        <v>2024-08</v>
      </c>
    </row>
    <row r="1333" spans="1:9" ht="15" customHeight="1" x14ac:dyDescent="0.25">
      <c r="A1333">
        <v>1332</v>
      </c>
      <c r="B1333">
        <v>4</v>
      </c>
      <c r="C1333" t="s">
        <v>260</v>
      </c>
      <c r="D1333">
        <v>480</v>
      </c>
      <c r="E1333">
        <v>81</v>
      </c>
      <c r="F1333" t="s">
        <v>27</v>
      </c>
      <c r="G1333">
        <v>646</v>
      </c>
      <c r="H1333">
        <v>25</v>
      </c>
      <c r="I1333" t="str">
        <f t="shared" si="20"/>
        <v>2024-08</v>
      </c>
    </row>
    <row r="1334" spans="1:9" ht="15" customHeight="1" x14ac:dyDescent="0.25">
      <c r="A1334">
        <v>1333</v>
      </c>
      <c r="B1334">
        <v>4</v>
      </c>
      <c r="C1334" t="s">
        <v>261</v>
      </c>
      <c r="D1334">
        <v>480</v>
      </c>
      <c r="E1334">
        <v>8</v>
      </c>
      <c r="F1334" t="s">
        <v>45</v>
      </c>
      <c r="G1334">
        <v>689</v>
      </c>
      <c r="H1334">
        <v>35</v>
      </c>
      <c r="I1334" t="str">
        <f t="shared" si="20"/>
        <v>2024-08</v>
      </c>
    </row>
    <row r="1335" spans="1:9" ht="15" customHeight="1" x14ac:dyDescent="0.25">
      <c r="A1335">
        <v>1334</v>
      </c>
      <c r="B1335">
        <v>4</v>
      </c>
      <c r="C1335" t="s">
        <v>262</v>
      </c>
      <c r="D1335">
        <v>480</v>
      </c>
      <c r="E1335">
        <v>26</v>
      </c>
      <c r="F1335" t="s">
        <v>33</v>
      </c>
      <c r="G1335">
        <v>723</v>
      </c>
      <c r="H1335">
        <v>24</v>
      </c>
      <c r="I1335" t="str">
        <f t="shared" si="20"/>
        <v>2024-08</v>
      </c>
    </row>
    <row r="1336" spans="1:9" ht="15" customHeight="1" x14ac:dyDescent="0.25">
      <c r="A1336">
        <v>1335</v>
      </c>
      <c r="B1336">
        <v>4</v>
      </c>
      <c r="C1336" t="s">
        <v>263</v>
      </c>
      <c r="D1336">
        <v>480</v>
      </c>
      <c r="E1336">
        <v>1</v>
      </c>
      <c r="F1336" t="s">
        <v>27</v>
      </c>
      <c r="G1336">
        <v>718</v>
      </c>
      <c r="H1336">
        <v>51</v>
      </c>
      <c r="I1336" t="str">
        <f t="shared" si="20"/>
        <v>2024-08</v>
      </c>
    </row>
    <row r="1337" spans="1:9" ht="15" customHeight="1" x14ac:dyDescent="0.25">
      <c r="A1337">
        <v>1336</v>
      </c>
      <c r="B1337">
        <v>4</v>
      </c>
      <c r="C1337" t="s">
        <v>264</v>
      </c>
      <c r="D1337">
        <v>480</v>
      </c>
      <c r="E1337">
        <v>10</v>
      </c>
      <c r="F1337" t="s">
        <v>27</v>
      </c>
      <c r="G1337">
        <v>743</v>
      </c>
      <c r="H1337">
        <v>33</v>
      </c>
      <c r="I1337" t="str">
        <f t="shared" si="20"/>
        <v>2024-08</v>
      </c>
    </row>
    <row r="1338" spans="1:9" ht="15" customHeight="1" x14ac:dyDescent="0.25">
      <c r="A1338">
        <v>1337</v>
      </c>
      <c r="B1338">
        <v>4</v>
      </c>
      <c r="C1338" t="s">
        <v>265</v>
      </c>
      <c r="D1338">
        <v>480</v>
      </c>
      <c r="E1338">
        <v>108</v>
      </c>
      <c r="F1338" t="s">
        <v>22</v>
      </c>
      <c r="G1338">
        <v>618</v>
      </c>
      <c r="H1338">
        <v>29</v>
      </c>
      <c r="I1338" t="str">
        <f t="shared" si="20"/>
        <v>2024-08</v>
      </c>
    </row>
    <row r="1339" spans="1:9" ht="15" customHeight="1" x14ac:dyDescent="0.25">
      <c r="A1339">
        <v>1338</v>
      </c>
      <c r="B1339">
        <v>4</v>
      </c>
      <c r="C1339" t="s">
        <v>266</v>
      </c>
      <c r="D1339">
        <v>480</v>
      </c>
      <c r="E1339">
        <v>13</v>
      </c>
      <c r="F1339" t="s">
        <v>29</v>
      </c>
      <c r="G1339">
        <v>703</v>
      </c>
      <c r="H1339">
        <v>31</v>
      </c>
      <c r="I1339" t="str">
        <f t="shared" si="20"/>
        <v>2024-08</v>
      </c>
    </row>
    <row r="1340" spans="1:9" ht="15" customHeight="1" x14ac:dyDescent="0.25">
      <c r="A1340">
        <v>1339</v>
      </c>
      <c r="B1340">
        <v>4</v>
      </c>
      <c r="C1340" t="s">
        <v>267</v>
      </c>
      <c r="D1340">
        <v>480</v>
      </c>
      <c r="E1340">
        <v>55</v>
      </c>
      <c r="F1340" t="s">
        <v>45</v>
      </c>
      <c r="G1340">
        <v>697</v>
      </c>
      <c r="H1340">
        <v>48</v>
      </c>
      <c r="I1340" t="str">
        <f t="shared" si="20"/>
        <v>2024-08</v>
      </c>
    </row>
    <row r="1341" spans="1:9" ht="15" customHeight="1" x14ac:dyDescent="0.25">
      <c r="A1341">
        <v>1340</v>
      </c>
      <c r="B1341">
        <v>4</v>
      </c>
      <c r="C1341" t="s">
        <v>268</v>
      </c>
      <c r="D1341">
        <v>480</v>
      </c>
      <c r="E1341">
        <v>86</v>
      </c>
      <c r="F1341" t="s">
        <v>45</v>
      </c>
      <c r="G1341">
        <v>591</v>
      </c>
      <c r="H1341">
        <v>23</v>
      </c>
      <c r="I1341" t="str">
        <f t="shared" si="20"/>
        <v>2024-08</v>
      </c>
    </row>
    <row r="1342" spans="1:9" ht="15" customHeight="1" x14ac:dyDescent="0.25">
      <c r="A1342">
        <v>1341</v>
      </c>
      <c r="B1342">
        <v>4</v>
      </c>
      <c r="C1342" t="s">
        <v>269</v>
      </c>
      <c r="D1342">
        <v>480</v>
      </c>
      <c r="E1342">
        <v>66</v>
      </c>
      <c r="F1342" t="s">
        <v>45</v>
      </c>
      <c r="G1342">
        <v>617</v>
      </c>
      <c r="H1342">
        <v>43</v>
      </c>
      <c r="I1342" t="str">
        <f t="shared" si="20"/>
        <v>2024-08</v>
      </c>
    </row>
    <row r="1343" spans="1:9" ht="15" customHeight="1" x14ac:dyDescent="0.25">
      <c r="A1343">
        <v>1342</v>
      </c>
      <c r="B1343">
        <v>4</v>
      </c>
      <c r="C1343" t="s">
        <v>270</v>
      </c>
      <c r="D1343">
        <v>480</v>
      </c>
      <c r="E1343">
        <v>15</v>
      </c>
      <c r="F1343" t="s">
        <v>22</v>
      </c>
      <c r="G1343">
        <v>651</v>
      </c>
      <c r="H1343">
        <v>58</v>
      </c>
      <c r="I1343" t="str">
        <f t="shared" si="20"/>
        <v>2024-08</v>
      </c>
    </row>
    <row r="1344" spans="1:9" ht="15" customHeight="1" x14ac:dyDescent="0.25">
      <c r="A1344">
        <v>1343</v>
      </c>
      <c r="B1344">
        <v>4</v>
      </c>
      <c r="C1344" t="s">
        <v>271</v>
      </c>
      <c r="D1344">
        <v>480</v>
      </c>
      <c r="E1344">
        <v>8</v>
      </c>
      <c r="F1344" t="s">
        <v>24</v>
      </c>
      <c r="G1344">
        <v>799</v>
      </c>
      <c r="H1344">
        <v>70</v>
      </c>
      <c r="I1344" t="str">
        <f t="shared" si="20"/>
        <v>2024-09</v>
      </c>
    </row>
    <row r="1345" spans="1:9" ht="15" customHeight="1" x14ac:dyDescent="0.25">
      <c r="A1345">
        <v>1344</v>
      </c>
      <c r="B1345">
        <v>4</v>
      </c>
      <c r="C1345" t="s">
        <v>272</v>
      </c>
      <c r="D1345">
        <v>480</v>
      </c>
      <c r="E1345">
        <v>78</v>
      </c>
      <c r="F1345" t="s">
        <v>33</v>
      </c>
      <c r="G1345">
        <v>638</v>
      </c>
      <c r="H1345">
        <v>41</v>
      </c>
      <c r="I1345" t="str">
        <f t="shared" si="20"/>
        <v>2024-09</v>
      </c>
    </row>
    <row r="1346" spans="1:9" ht="15" customHeight="1" x14ac:dyDescent="0.25">
      <c r="A1346">
        <v>1345</v>
      </c>
      <c r="B1346">
        <v>4</v>
      </c>
      <c r="C1346" t="s">
        <v>273</v>
      </c>
      <c r="D1346">
        <v>480</v>
      </c>
      <c r="E1346">
        <v>100</v>
      </c>
      <c r="F1346" t="s">
        <v>29</v>
      </c>
      <c r="G1346">
        <v>557</v>
      </c>
      <c r="H1346">
        <v>32</v>
      </c>
      <c r="I1346" t="str">
        <f t="shared" ref="I1346:I1409" si="21">TEXT(C1346,"yyyy-mm")</f>
        <v>2024-09</v>
      </c>
    </row>
    <row r="1347" spans="1:9" ht="15" customHeight="1" x14ac:dyDescent="0.25">
      <c r="A1347">
        <v>1346</v>
      </c>
      <c r="B1347">
        <v>4</v>
      </c>
      <c r="C1347" t="s">
        <v>274</v>
      </c>
      <c r="D1347">
        <v>480</v>
      </c>
      <c r="E1347">
        <v>48</v>
      </c>
      <c r="F1347" t="s">
        <v>22</v>
      </c>
      <c r="G1347">
        <v>651</v>
      </c>
      <c r="H1347">
        <v>36</v>
      </c>
      <c r="I1347" t="str">
        <f t="shared" si="21"/>
        <v>2024-09</v>
      </c>
    </row>
    <row r="1348" spans="1:9" ht="15" customHeight="1" x14ac:dyDescent="0.25">
      <c r="A1348">
        <v>1347</v>
      </c>
      <c r="B1348">
        <v>4</v>
      </c>
      <c r="C1348" t="s">
        <v>275</v>
      </c>
      <c r="D1348">
        <v>480</v>
      </c>
      <c r="E1348">
        <v>19</v>
      </c>
      <c r="F1348" t="s">
        <v>29</v>
      </c>
      <c r="G1348">
        <v>717</v>
      </c>
      <c r="H1348">
        <v>57</v>
      </c>
      <c r="I1348" t="str">
        <f t="shared" si="21"/>
        <v>2024-09</v>
      </c>
    </row>
    <row r="1349" spans="1:9" ht="15" customHeight="1" x14ac:dyDescent="0.25">
      <c r="A1349">
        <v>1348</v>
      </c>
      <c r="B1349">
        <v>4</v>
      </c>
      <c r="C1349" t="s">
        <v>276</v>
      </c>
      <c r="D1349">
        <v>480</v>
      </c>
      <c r="E1349">
        <v>11</v>
      </c>
      <c r="F1349" t="s">
        <v>45</v>
      </c>
      <c r="G1349">
        <v>786</v>
      </c>
      <c r="H1349">
        <v>55</v>
      </c>
      <c r="I1349" t="str">
        <f t="shared" si="21"/>
        <v>2024-09</v>
      </c>
    </row>
    <row r="1350" spans="1:9" ht="15" customHeight="1" x14ac:dyDescent="0.25">
      <c r="A1350">
        <v>1349</v>
      </c>
      <c r="B1350">
        <v>4</v>
      </c>
      <c r="C1350" t="s">
        <v>277</v>
      </c>
      <c r="D1350">
        <v>480</v>
      </c>
      <c r="E1350">
        <v>86</v>
      </c>
      <c r="F1350" t="s">
        <v>29</v>
      </c>
      <c r="G1350">
        <v>612</v>
      </c>
      <c r="H1350">
        <v>46</v>
      </c>
      <c r="I1350" t="str">
        <f t="shared" si="21"/>
        <v>2024-09</v>
      </c>
    </row>
    <row r="1351" spans="1:9" ht="15" customHeight="1" x14ac:dyDescent="0.25">
      <c r="A1351">
        <v>1350</v>
      </c>
      <c r="B1351">
        <v>4</v>
      </c>
      <c r="C1351" t="s">
        <v>278</v>
      </c>
      <c r="D1351">
        <v>480</v>
      </c>
      <c r="E1351">
        <v>0</v>
      </c>
      <c r="F1351" t="s">
        <v>33</v>
      </c>
      <c r="G1351">
        <v>786</v>
      </c>
      <c r="H1351">
        <v>25</v>
      </c>
      <c r="I1351" t="str">
        <f t="shared" si="21"/>
        <v>2024-09</v>
      </c>
    </row>
    <row r="1352" spans="1:9" ht="15" customHeight="1" x14ac:dyDescent="0.25">
      <c r="A1352">
        <v>1351</v>
      </c>
      <c r="B1352">
        <v>4</v>
      </c>
      <c r="C1352" t="s">
        <v>279</v>
      </c>
      <c r="D1352">
        <v>480</v>
      </c>
      <c r="E1352">
        <v>109</v>
      </c>
      <c r="F1352" t="s">
        <v>27</v>
      </c>
      <c r="G1352">
        <v>628</v>
      </c>
      <c r="H1352">
        <v>29</v>
      </c>
      <c r="I1352" t="str">
        <f t="shared" si="21"/>
        <v>2024-09</v>
      </c>
    </row>
    <row r="1353" spans="1:9" ht="15" customHeight="1" x14ac:dyDescent="0.25">
      <c r="A1353">
        <v>1352</v>
      </c>
      <c r="B1353">
        <v>4</v>
      </c>
      <c r="C1353" t="s">
        <v>280</v>
      </c>
      <c r="D1353">
        <v>480</v>
      </c>
      <c r="E1353">
        <v>11</v>
      </c>
      <c r="F1353" t="s">
        <v>22</v>
      </c>
      <c r="G1353">
        <v>760</v>
      </c>
      <c r="H1353">
        <v>34</v>
      </c>
      <c r="I1353" t="str">
        <f t="shared" si="21"/>
        <v>2024-09</v>
      </c>
    </row>
    <row r="1354" spans="1:9" ht="15" customHeight="1" x14ac:dyDescent="0.25">
      <c r="A1354">
        <v>1353</v>
      </c>
      <c r="B1354">
        <v>4</v>
      </c>
      <c r="C1354" t="s">
        <v>281</v>
      </c>
      <c r="D1354">
        <v>480</v>
      </c>
      <c r="E1354">
        <v>99</v>
      </c>
      <c r="F1354" t="s">
        <v>22</v>
      </c>
      <c r="G1354">
        <v>536</v>
      </c>
      <c r="H1354">
        <v>20</v>
      </c>
      <c r="I1354" t="str">
        <f t="shared" si="21"/>
        <v>2024-09</v>
      </c>
    </row>
    <row r="1355" spans="1:9" ht="15" customHeight="1" x14ac:dyDescent="0.25">
      <c r="A1355">
        <v>1354</v>
      </c>
      <c r="B1355">
        <v>4</v>
      </c>
      <c r="C1355" t="s">
        <v>282</v>
      </c>
      <c r="D1355">
        <v>480</v>
      </c>
      <c r="E1355">
        <v>192</v>
      </c>
      <c r="F1355" t="s">
        <v>27</v>
      </c>
      <c r="G1355">
        <v>458</v>
      </c>
      <c r="H1355">
        <v>36</v>
      </c>
      <c r="I1355" t="str">
        <f t="shared" si="21"/>
        <v>2024-09</v>
      </c>
    </row>
    <row r="1356" spans="1:9" ht="15" customHeight="1" x14ac:dyDescent="0.25">
      <c r="A1356">
        <v>1355</v>
      </c>
      <c r="B1356">
        <v>4</v>
      </c>
      <c r="C1356" t="s">
        <v>283</v>
      </c>
      <c r="D1356">
        <v>480</v>
      </c>
      <c r="E1356">
        <v>19</v>
      </c>
      <c r="F1356" t="s">
        <v>24</v>
      </c>
      <c r="G1356">
        <v>734</v>
      </c>
      <c r="H1356">
        <v>48</v>
      </c>
      <c r="I1356" t="str">
        <f t="shared" si="21"/>
        <v>2024-09</v>
      </c>
    </row>
    <row r="1357" spans="1:9" ht="15" customHeight="1" x14ac:dyDescent="0.25">
      <c r="A1357">
        <v>1356</v>
      </c>
      <c r="B1357">
        <v>4</v>
      </c>
      <c r="C1357" t="s">
        <v>284</v>
      </c>
      <c r="D1357">
        <v>480</v>
      </c>
      <c r="E1357">
        <v>45</v>
      </c>
      <c r="F1357" t="s">
        <v>22</v>
      </c>
      <c r="G1357">
        <v>693</v>
      </c>
      <c r="H1357">
        <v>44</v>
      </c>
      <c r="I1357" t="str">
        <f t="shared" si="21"/>
        <v>2024-09</v>
      </c>
    </row>
    <row r="1358" spans="1:9" ht="15" customHeight="1" x14ac:dyDescent="0.25">
      <c r="A1358">
        <v>1357</v>
      </c>
      <c r="B1358">
        <v>4</v>
      </c>
      <c r="C1358" t="s">
        <v>285</v>
      </c>
      <c r="D1358">
        <v>480</v>
      </c>
      <c r="E1358">
        <v>27</v>
      </c>
      <c r="F1358" t="s">
        <v>22</v>
      </c>
      <c r="G1358">
        <v>662</v>
      </c>
      <c r="H1358">
        <v>50</v>
      </c>
      <c r="I1358" t="str">
        <f t="shared" si="21"/>
        <v>2024-09</v>
      </c>
    </row>
    <row r="1359" spans="1:9" ht="15" customHeight="1" x14ac:dyDescent="0.25">
      <c r="A1359">
        <v>1358</v>
      </c>
      <c r="B1359">
        <v>4</v>
      </c>
      <c r="C1359" t="s">
        <v>286</v>
      </c>
      <c r="D1359">
        <v>480</v>
      </c>
      <c r="E1359">
        <v>12</v>
      </c>
      <c r="F1359" t="s">
        <v>27</v>
      </c>
      <c r="G1359">
        <v>747</v>
      </c>
      <c r="H1359">
        <v>32</v>
      </c>
      <c r="I1359" t="str">
        <f t="shared" si="21"/>
        <v>2024-09</v>
      </c>
    </row>
    <row r="1360" spans="1:9" ht="15" customHeight="1" x14ac:dyDescent="0.25">
      <c r="A1360">
        <v>1359</v>
      </c>
      <c r="B1360">
        <v>4</v>
      </c>
      <c r="C1360" t="s">
        <v>287</v>
      </c>
      <c r="D1360">
        <v>480</v>
      </c>
      <c r="E1360">
        <v>48</v>
      </c>
      <c r="F1360" t="s">
        <v>22</v>
      </c>
      <c r="G1360">
        <v>697</v>
      </c>
      <c r="H1360">
        <v>29</v>
      </c>
      <c r="I1360" t="str">
        <f t="shared" si="21"/>
        <v>2024-09</v>
      </c>
    </row>
    <row r="1361" spans="1:9" ht="15" customHeight="1" x14ac:dyDescent="0.25">
      <c r="A1361">
        <v>1360</v>
      </c>
      <c r="B1361">
        <v>4</v>
      </c>
      <c r="C1361" t="s">
        <v>288</v>
      </c>
      <c r="D1361">
        <v>480</v>
      </c>
      <c r="E1361">
        <v>3</v>
      </c>
      <c r="F1361" t="s">
        <v>24</v>
      </c>
      <c r="G1361">
        <v>675</v>
      </c>
      <c r="H1361">
        <v>44</v>
      </c>
      <c r="I1361" t="str">
        <f t="shared" si="21"/>
        <v>2024-09</v>
      </c>
    </row>
    <row r="1362" spans="1:9" ht="15" customHeight="1" x14ac:dyDescent="0.25">
      <c r="A1362">
        <v>1361</v>
      </c>
      <c r="B1362">
        <v>4</v>
      </c>
      <c r="C1362" t="s">
        <v>289</v>
      </c>
      <c r="D1362">
        <v>480</v>
      </c>
      <c r="E1362">
        <v>94</v>
      </c>
      <c r="F1362" t="s">
        <v>45</v>
      </c>
      <c r="G1362">
        <v>536</v>
      </c>
      <c r="H1362">
        <v>39</v>
      </c>
      <c r="I1362" t="str">
        <f t="shared" si="21"/>
        <v>2024-09</v>
      </c>
    </row>
    <row r="1363" spans="1:9" ht="15" customHeight="1" x14ac:dyDescent="0.25">
      <c r="A1363">
        <v>1362</v>
      </c>
      <c r="B1363">
        <v>4</v>
      </c>
      <c r="C1363" t="s">
        <v>290</v>
      </c>
      <c r="D1363">
        <v>480</v>
      </c>
      <c r="E1363">
        <v>20</v>
      </c>
      <c r="F1363" t="s">
        <v>33</v>
      </c>
      <c r="G1363">
        <v>703</v>
      </c>
      <c r="H1363">
        <v>60</v>
      </c>
      <c r="I1363" t="str">
        <f t="shared" si="21"/>
        <v>2024-09</v>
      </c>
    </row>
    <row r="1364" spans="1:9" ht="15" customHeight="1" x14ac:dyDescent="0.25">
      <c r="A1364">
        <v>1363</v>
      </c>
      <c r="B1364">
        <v>4</v>
      </c>
      <c r="C1364" t="s">
        <v>291</v>
      </c>
      <c r="D1364">
        <v>480</v>
      </c>
      <c r="E1364">
        <v>20</v>
      </c>
      <c r="F1364" t="s">
        <v>24</v>
      </c>
      <c r="G1364">
        <v>701</v>
      </c>
      <c r="H1364">
        <v>21</v>
      </c>
      <c r="I1364" t="str">
        <f t="shared" si="21"/>
        <v>2024-09</v>
      </c>
    </row>
    <row r="1365" spans="1:9" ht="15" customHeight="1" x14ac:dyDescent="0.25">
      <c r="A1365">
        <v>1364</v>
      </c>
      <c r="B1365">
        <v>4</v>
      </c>
      <c r="C1365" t="s">
        <v>292</v>
      </c>
      <c r="D1365">
        <v>480</v>
      </c>
      <c r="E1365">
        <v>4</v>
      </c>
      <c r="F1365" t="s">
        <v>29</v>
      </c>
      <c r="G1365">
        <v>693</v>
      </c>
      <c r="H1365">
        <v>21</v>
      </c>
      <c r="I1365" t="str">
        <f t="shared" si="21"/>
        <v>2024-09</v>
      </c>
    </row>
    <row r="1366" spans="1:9" ht="15" customHeight="1" x14ac:dyDescent="0.25">
      <c r="A1366">
        <v>1365</v>
      </c>
      <c r="B1366">
        <v>4</v>
      </c>
      <c r="C1366" t="s">
        <v>293</v>
      </c>
      <c r="D1366">
        <v>480</v>
      </c>
      <c r="E1366">
        <v>49</v>
      </c>
      <c r="F1366" t="s">
        <v>29</v>
      </c>
      <c r="G1366">
        <v>651</v>
      </c>
      <c r="H1366">
        <v>40</v>
      </c>
      <c r="I1366" t="str">
        <f t="shared" si="21"/>
        <v>2024-09</v>
      </c>
    </row>
    <row r="1367" spans="1:9" ht="15" customHeight="1" x14ac:dyDescent="0.25">
      <c r="A1367">
        <v>1366</v>
      </c>
      <c r="B1367">
        <v>4</v>
      </c>
      <c r="C1367" t="s">
        <v>294</v>
      </c>
      <c r="D1367">
        <v>480</v>
      </c>
      <c r="E1367">
        <v>9</v>
      </c>
      <c r="F1367" t="s">
        <v>27</v>
      </c>
      <c r="G1367">
        <v>692</v>
      </c>
      <c r="H1367">
        <v>48</v>
      </c>
      <c r="I1367" t="str">
        <f t="shared" si="21"/>
        <v>2024-09</v>
      </c>
    </row>
    <row r="1368" spans="1:9" ht="15" customHeight="1" x14ac:dyDescent="0.25">
      <c r="A1368">
        <v>1367</v>
      </c>
      <c r="B1368">
        <v>4</v>
      </c>
      <c r="C1368" t="s">
        <v>295</v>
      </c>
      <c r="D1368">
        <v>480</v>
      </c>
      <c r="E1368">
        <v>167</v>
      </c>
      <c r="F1368" t="s">
        <v>24</v>
      </c>
      <c r="G1368">
        <v>435</v>
      </c>
      <c r="H1368">
        <v>36</v>
      </c>
      <c r="I1368" t="str">
        <f t="shared" si="21"/>
        <v>2024-09</v>
      </c>
    </row>
    <row r="1369" spans="1:9" ht="15" customHeight="1" x14ac:dyDescent="0.25">
      <c r="A1369">
        <v>1368</v>
      </c>
      <c r="B1369">
        <v>4</v>
      </c>
      <c r="C1369" t="s">
        <v>296</v>
      </c>
      <c r="D1369">
        <v>480</v>
      </c>
      <c r="E1369">
        <v>42</v>
      </c>
      <c r="F1369" t="s">
        <v>45</v>
      </c>
      <c r="G1369">
        <v>681</v>
      </c>
      <c r="H1369">
        <v>40</v>
      </c>
      <c r="I1369" t="str">
        <f t="shared" si="21"/>
        <v>2024-09</v>
      </c>
    </row>
    <row r="1370" spans="1:9" ht="15" customHeight="1" x14ac:dyDescent="0.25">
      <c r="A1370">
        <v>1369</v>
      </c>
      <c r="B1370">
        <v>4</v>
      </c>
      <c r="C1370" t="s">
        <v>297</v>
      </c>
      <c r="D1370">
        <v>480</v>
      </c>
      <c r="E1370">
        <v>3</v>
      </c>
      <c r="F1370" t="s">
        <v>33</v>
      </c>
      <c r="G1370">
        <v>669</v>
      </c>
      <c r="H1370">
        <v>44</v>
      </c>
      <c r="I1370" t="str">
        <f t="shared" si="21"/>
        <v>2024-09</v>
      </c>
    </row>
    <row r="1371" spans="1:9" ht="15" customHeight="1" x14ac:dyDescent="0.25">
      <c r="A1371">
        <v>1370</v>
      </c>
      <c r="B1371">
        <v>4</v>
      </c>
      <c r="C1371" t="s">
        <v>298</v>
      </c>
      <c r="D1371">
        <v>480</v>
      </c>
      <c r="E1371">
        <v>20</v>
      </c>
      <c r="F1371" t="s">
        <v>22</v>
      </c>
      <c r="G1371">
        <v>768</v>
      </c>
      <c r="H1371">
        <v>41</v>
      </c>
      <c r="I1371" t="str">
        <f t="shared" si="21"/>
        <v>2024-09</v>
      </c>
    </row>
    <row r="1372" spans="1:9" ht="15" customHeight="1" x14ac:dyDescent="0.25">
      <c r="A1372">
        <v>1371</v>
      </c>
      <c r="B1372">
        <v>4</v>
      </c>
      <c r="C1372" t="s">
        <v>299</v>
      </c>
      <c r="D1372">
        <v>480</v>
      </c>
      <c r="E1372">
        <v>7</v>
      </c>
      <c r="F1372" t="s">
        <v>45</v>
      </c>
      <c r="G1372">
        <v>759</v>
      </c>
      <c r="H1372">
        <v>36</v>
      </c>
      <c r="I1372" t="str">
        <f t="shared" si="21"/>
        <v>2024-09</v>
      </c>
    </row>
    <row r="1373" spans="1:9" ht="15" customHeight="1" x14ac:dyDescent="0.25">
      <c r="A1373">
        <v>1372</v>
      </c>
      <c r="B1373">
        <v>4</v>
      </c>
      <c r="C1373" t="s">
        <v>300</v>
      </c>
      <c r="D1373">
        <v>480</v>
      </c>
      <c r="E1373">
        <v>37</v>
      </c>
      <c r="F1373" t="s">
        <v>45</v>
      </c>
      <c r="G1373">
        <v>708</v>
      </c>
      <c r="H1373">
        <v>59</v>
      </c>
      <c r="I1373" t="str">
        <f t="shared" si="21"/>
        <v>2024-09</v>
      </c>
    </row>
    <row r="1374" spans="1:9" ht="15" customHeight="1" x14ac:dyDescent="0.25">
      <c r="A1374">
        <v>1373</v>
      </c>
      <c r="B1374">
        <v>4</v>
      </c>
      <c r="C1374" t="s">
        <v>301</v>
      </c>
      <c r="D1374">
        <v>480</v>
      </c>
      <c r="E1374">
        <v>78</v>
      </c>
      <c r="F1374" t="s">
        <v>22</v>
      </c>
      <c r="G1374">
        <v>640</v>
      </c>
      <c r="H1374">
        <v>45</v>
      </c>
      <c r="I1374" t="str">
        <f t="shared" si="21"/>
        <v>2024-10</v>
      </c>
    </row>
    <row r="1375" spans="1:9" ht="15" customHeight="1" x14ac:dyDescent="0.25">
      <c r="A1375">
        <v>1374</v>
      </c>
      <c r="B1375">
        <v>4</v>
      </c>
      <c r="C1375" t="s">
        <v>302</v>
      </c>
      <c r="D1375">
        <v>480</v>
      </c>
      <c r="E1375">
        <v>145</v>
      </c>
      <c r="F1375" t="s">
        <v>29</v>
      </c>
      <c r="G1375">
        <v>492</v>
      </c>
      <c r="H1375">
        <v>14</v>
      </c>
      <c r="I1375" t="str">
        <f t="shared" si="21"/>
        <v>2024-10</v>
      </c>
    </row>
    <row r="1376" spans="1:9" ht="15" customHeight="1" x14ac:dyDescent="0.25">
      <c r="A1376">
        <v>1375</v>
      </c>
      <c r="B1376">
        <v>4</v>
      </c>
      <c r="C1376" t="s">
        <v>303</v>
      </c>
      <c r="D1376">
        <v>480</v>
      </c>
      <c r="E1376">
        <v>15</v>
      </c>
      <c r="F1376" t="s">
        <v>33</v>
      </c>
      <c r="G1376">
        <v>671</v>
      </c>
      <c r="H1376">
        <v>46</v>
      </c>
      <c r="I1376" t="str">
        <f t="shared" si="21"/>
        <v>2024-10</v>
      </c>
    </row>
    <row r="1377" spans="1:9" ht="15" customHeight="1" x14ac:dyDescent="0.25">
      <c r="A1377">
        <v>1376</v>
      </c>
      <c r="B1377">
        <v>4</v>
      </c>
      <c r="C1377" t="s">
        <v>304</v>
      </c>
      <c r="D1377">
        <v>480</v>
      </c>
      <c r="E1377">
        <v>49</v>
      </c>
      <c r="F1377" t="s">
        <v>24</v>
      </c>
      <c r="G1377">
        <v>674</v>
      </c>
      <c r="H1377">
        <v>20</v>
      </c>
      <c r="I1377" t="str">
        <f t="shared" si="21"/>
        <v>2024-10</v>
      </c>
    </row>
    <row r="1378" spans="1:9" ht="15" customHeight="1" x14ac:dyDescent="0.25">
      <c r="A1378">
        <v>1377</v>
      </c>
      <c r="B1378">
        <v>4</v>
      </c>
      <c r="C1378" t="s">
        <v>305</v>
      </c>
      <c r="D1378">
        <v>480</v>
      </c>
      <c r="E1378">
        <v>64</v>
      </c>
      <c r="F1378" t="s">
        <v>22</v>
      </c>
      <c r="G1378">
        <v>615</v>
      </c>
      <c r="H1378">
        <v>42</v>
      </c>
      <c r="I1378" t="str">
        <f t="shared" si="21"/>
        <v>2024-10</v>
      </c>
    </row>
    <row r="1379" spans="1:9" ht="15" customHeight="1" x14ac:dyDescent="0.25">
      <c r="A1379">
        <v>1378</v>
      </c>
      <c r="B1379">
        <v>4</v>
      </c>
      <c r="C1379" t="s">
        <v>306</v>
      </c>
      <c r="D1379">
        <v>480</v>
      </c>
      <c r="E1379">
        <v>40</v>
      </c>
      <c r="F1379" t="s">
        <v>29</v>
      </c>
      <c r="G1379">
        <v>653</v>
      </c>
      <c r="H1379">
        <v>24</v>
      </c>
      <c r="I1379" t="str">
        <f t="shared" si="21"/>
        <v>2024-10</v>
      </c>
    </row>
    <row r="1380" spans="1:9" ht="15" customHeight="1" x14ac:dyDescent="0.25">
      <c r="A1380">
        <v>1379</v>
      </c>
      <c r="B1380">
        <v>4</v>
      </c>
      <c r="C1380" t="s">
        <v>307</v>
      </c>
      <c r="D1380">
        <v>480</v>
      </c>
      <c r="E1380">
        <v>4</v>
      </c>
      <c r="F1380" t="s">
        <v>45</v>
      </c>
      <c r="G1380">
        <v>782</v>
      </c>
      <c r="H1380">
        <v>66</v>
      </c>
      <c r="I1380" t="str">
        <f t="shared" si="21"/>
        <v>2024-10</v>
      </c>
    </row>
    <row r="1381" spans="1:9" ht="15" customHeight="1" x14ac:dyDescent="0.25">
      <c r="A1381">
        <v>1380</v>
      </c>
      <c r="B1381">
        <v>4</v>
      </c>
      <c r="C1381" t="s">
        <v>308</v>
      </c>
      <c r="D1381">
        <v>480</v>
      </c>
      <c r="E1381">
        <v>52</v>
      </c>
      <c r="F1381" t="s">
        <v>22</v>
      </c>
      <c r="G1381">
        <v>602</v>
      </c>
      <c r="H1381">
        <v>32</v>
      </c>
      <c r="I1381" t="str">
        <f t="shared" si="21"/>
        <v>2024-10</v>
      </c>
    </row>
    <row r="1382" spans="1:9" ht="15" customHeight="1" x14ac:dyDescent="0.25">
      <c r="A1382">
        <v>1381</v>
      </c>
      <c r="B1382">
        <v>4</v>
      </c>
      <c r="C1382" t="s">
        <v>309</v>
      </c>
      <c r="D1382">
        <v>480</v>
      </c>
      <c r="E1382">
        <v>64</v>
      </c>
      <c r="F1382" t="s">
        <v>24</v>
      </c>
      <c r="G1382">
        <v>676</v>
      </c>
      <c r="H1382">
        <v>25</v>
      </c>
      <c r="I1382" t="str">
        <f t="shared" si="21"/>
        <v>2024-10</v>
      </c>
    </row>
    <row r="1383" spans="1:9" ht="15" customHeight="1" x14ac:dyDescent="0.25">
      <c r="A1383">
        <v>1382</v>
      </c>
      <c r="B1383">
        <v>4</v>
      </c>
      <c r="C1383" t="s">
        <v>310</v>
      </c>
      <c r="D1383">
        <v>480</v>
      </c>
      <c r="E1383">
        <v>0</v>
      </c>
      <c r="F1383" t="s">
        <v>33</v>
      </c>
      <c r="G1383">
        <v>770</v>
      </c>
      <c r="H1383">
        <v>39</v>
      </c>
      <c r="I1383" t="str">
        <f t="shared" si="21"/>
        <v>2024-10</v>
      </c>
    </row>
    <row r="1384" spans="1:9" ht="15" customHeight="1" x14ac:dyDescent="0.25">
      <c r="A1384">
        <v>1383</v>
      </c>
      <c r="B1384">
        <v>4</v>
      </c>
      <c r="C1384" t="s">
        <v>311</v>
      </c>
      <c r="D1384">
        <v>480</v>
      </c>
      <c r="E1384">
        <v>14</v>
      </c>
      <c r="F1384" t="s">
        <v>22</v>
      </c>
      <c r="G1384">
        <v>642</v>
      </c>
      <c r="H1384">
        <v>39</v>
      </c>
      <c r="I1384" t="str">
        <f t="shared" si="21"/>
        <v>2024-10</v>
      </c>
    </row>
    <row r="1385" spans="1:9" ht="15" customHeight="1" x14ac:dyDescent="0.25">
      <c r="A1385">
        <v>1384</v>
      </c>
      <c r="B1385">
        <v>4</v>
      </c>
      <c r="C1385" t="s">
        <v>312</v>
      </c>
      <c r="D1385">
        <v>480</v>
      </c>
      <c r="E1385">
        <v>94</v>
      </c>
      <c r="F1385" t="s">
        <v>22</v>
      </c>
      <c r="G1385">
        <v>649</v>
      </c>
      <c r="H1385">
        <v>41</v>
      </c>
      <c r="I1385" t="str">
        <f t="shared" si="21"/>
        <v>2024-10</v>
      </c>
    </row>
    <row r="1386" spans="1:9" ht="15" customHeight="1" x14ac:dyDescent="0.25">
      <c r="A1386">
        <v>1385</v>
      </c>
      <c r="B1386">
        <v>4</v>
      </c>
      <c r="C1386" t="s">
        <v>313</v>
      </c>
      <c r="D1386">
        <v>480</v>
      </c>
      <c r="E1386">
        <v>35</v>
      </c>
      <c r="F1386" t="s">
        <v>29</v>
      </c>
      <c r="G1386">
        <v>623</v>
      </c>
      <c r="H1386">
        <v>39</v>
      </c>
      <c r="I1386" t="str">
        <f t="shared" si="21"/>
        <v>2024-10</v>
      </c>
    </row>
    <row r="1387" spans="1:9" ht="15" customHeight="1" x14ac:dyDescent="0.25">
      <c r="A1387">
        <v>1386</v>
      </c>
      <c r="B1387">
        <v>4</v>
      </c>
      <c r="C1387" t="s">
        <v>314</v>
      </c>
      <c r="D1387">
        <v>480</v>
      </c>
      <c r="E1387">
        <v>23</v>
      </c>
      <c r="F1387" t="s">
        <v>33</v>
      </c>
      <c r="G1387">
        <v>717</v>
      </c>
      <c r="H1387">
        <v>38</v>
      </c>
      <c r="I1387" t="str">
        <f t="shared" si="21"/>
        <v>2024-10</v>
      </c>
    </row>
    <row r="1388" spans="1:9" ht="15" customHeight="1" x14ac:dyDescent="0.25">
      <c r="A1388">
        <v>1387</v>
      </c>
      <c r="B1388">
        <v>4</v>
      </c>
      <c r="C1388" t="s">
        <v>315</v>
      </c>
      <c r="D1388">
        <v>480</v>
      </c>
      <c r="E1388">
        <v>13</v>
      </c>
      <c r="F1388" t="s">
        <v>45</v>
      </c>
      <c r="G1388">
        <v>656</v>
      </c>
      <c r="H1388">
        <v>31</v>
      </c>
      <c r="I1388" t="str">
        <f t="shared" si="21"/>
        <v>2024-10</v>
      </c>
    </row>
    <row r="1389" spans="1:9" ht="15" customHeight="1" x14ac:dyDescent="0.25">
      <c r="A1389">
        <v>1388</v>
      </c>
      <c r="B1389">
        <v>4</v>
      </c>
      <c r="C1389" t="s">
        <v>316</v>
      </c>
      <c r="D1389">
        <v>480</v>
      </c>
      <c r="E1389">
        <v>5</v>
      </c>
      <c r="F1389" t="s">
        <v>24</v>
      </c>
      <c r="G1389">
        <v>679</v>
      </c>
      <c r="H1389">
        <v>60</v>
      </c>
      <c r="I1389" t="str">
        <f t="shared" si="21"/>
        <v>2024-10</v>
      </c>
    </row>
    <row r="1390" spans="1:9" ht="15" customHeight="1" x14ac:dyDescent="0.25">
      <c r="A1390">
        <v>1389</v>
      </c>
      <c r="B1390">
        <v>4</v>
      </c>
      <c r="C1390" t="s">
        <v>317</v>
      </c>
      <c r="D1390">
        <v>480</v>
      </c>
      <c r="E1390">
        <v>29</v>
      </c>
      <c r="F1390" t="s">
        <v>27</v>
      </c>
      <c r="G1390">
        <v>697</v>
      </c>
      <c r="H1390">
        <v>57</v>
      </c>
      <c r="I1390" t="str">
        <f t="shared" si="21"/>
        <v>2024-10</v>
      </c>
    </row>
    <row r="1391" spans="1:9" ht="15" customHeight="1" x14ac:dyDescent="0.25">
      <c r="A1391">
        <v>1390</v>
      </c>
      <c r="B1391">
        <v>4</v>
      </c>
      <c r="C1391" t="s">
        <v>318</v>
      </c>
      <c r="D1391">
        <v>480</v>
      </c>
      <c r="E1391">
        <v>269</v>
      </c>
      <c r="F1391" t="s">
        <v>29</v>
      </c>
      <c r="G1391">
        <v>329</v>
      </c>
      <c r="H1391">
        <v>25</v>
      </c>
      <c r="I1391" t="str">
        <f t="shared" si="21"/>
        <v>2024-10</v>
      </c>
    </row>
    <row r="1392" spans="1:9" ht="15" customHeight="1" x14ac:dyDescent="0.25">
      <c r="A1392">
        <v>1391</v>
      </c>
      <c r="B1392">
        <v>4</v>
      </c>
      <c r="C1392" t="s">
        <v>319</v>
      </c>
      <c r="D1392">
        <v>480</v>
      </c>
      <c r="E1392">
        <v>19</v>
      </c>
      <c r="F1392" t="s">
        <v>29</v>
      </c>
      <c r="G1392">
        <v>679</v>
      </c>
      <c r="H1392">
        <v>36</v>
      </c>
      <c r="I1392" t="str">
        <f t="shared" si="21"/>
        <v>2024-10</v>
      </c>
    </row>
    <row r="1393" spans="1:9" ht="15" customHeight="1" x14ac:dyDescent="0.25">
      <c r="A1393">
        <v>1392</v>
      </c>
      <c r="B1393">
        <v>4</v>
      </c>
      <c r="C1393" t="s">
        <v>320</v>
      </c>
      <c r="D1393">
        <v>480</v>
      </c>
      <c r="E1393">
        <v>55</v>
      </c>
      <c r="F1393" t="s">
        <v>45</v>
      </c>
      <c r="G1393">
        <v>677</v>
      </c>
      <c r="H1393">
        <v>33</v>
      </c>
      <c r="I1393" t="str">
        <f t="shared" si="21"/>
        <v>2024-10</v>
      </c>
    </row>
    <row r="1394" spans="1:9" ht="15" customHeight="1" x14ac:dyDescent="0.25">
      <c r="A1394">
        <v>1393</v>
      </c>
      <c r="B1394">
        <v>4</v>
      </c>
      <c r="C1394" t="s">
        <v>321</v>
      </c>
      <c r="D1394">
        <v>480</v>
      </c>
      <c r="E1394">
        <v>7</v>
      </c>
      <c r="F1394" t="s">
        <v>33</v>
      </c>
      <c r="G1394">
        <v>746</v>
      </c>
      <c r="H1394">
        <v>28</v>
      </c>
      <c r="I1394" t="str">
        <f t="shared" si="21"/>
        <v>2024-10</v>
      </c>
    </row>
    <row r="1395" spans="1:9" ht="15" customHeight="1" x14ac:dyDescent="0.25">
      <c r="A1395">
        <v>1394</v>
      </c>
      <c r="B1395">
        <v>4</v>
      </c>
      <c r="C1395" t="s">
        <v>322</v>
      </c>
      <c r="D1395">
        <v>480</v>
      </c>
      <c r="E1395">
        <v>42</v>
      </c>
      <c r="F1395" t="s">
        <v>24</v>
      </c>
      <c r="G1395">
        <v>700</v>
      </c>
      <c r="H1395">
        <v>50</v>
      </c>
      <c r="I1395" t="str">
        <f t="shared" si="21"/>
        <v>2024-10</v>
      </c>
    </row>
    <row r="1396" spans="1:9" ht="15" customHeight="1" x14ac:dyDescent="0.25">
      <c r="A1396">
        <v>1395</v>
      </c>
      <c r="B1396">
        <v>4</v>
      </c>
      <c r="C1396" t="s">
        <v>323</v>
      </c>
      <c r="D1396">
        <v>480</v>
      </c>
      <c r="E1396">
        <v>69</v>
      </c>
      <c r="F1396" t="s">
        <v>33</v>
      </c>
      <c r="G1396">
        <v>680</v>
      </c>
      <c r="H1396">
        <v>40</v>
      </c>
      <c r="I1396" t="str">
        <f t="shared" si="21"/>
        <v>2024-10</v>
      </c>
    </row>
    <row r="1397" spans="1:9" ht="15" customHeight="1" x14ac:dyDescent="0.25">
      <c r="A1397">
        <v>1396</v>
      </c>
      <c r="B1397">
        <v>4</v>
      </c>
      <c r="C1397" t="s">
        <v>324</v>
      </c>
      <c r="D1397">
        <v>480</v>
      </c>
      <c r="E1397">
        <v>65</v>
      </c>
      <c r="F1397" t="s">
        <v>27</v>
      </c>
      <c r="G1397">
        <v>653</v>
      </c>
      <c r="H1397">
        <v>26</v>
      </c>
      <c r="I1397" t="str">
        <f t="shared" si="21"/>
        <v>2024-10</v>
      </c>
    </row>
    <row r="1398" spans="1:9" ht="15" customHeight="1" x14ac:dyDescent="0.25">
      <c r="A1398">
        <v>1397</v>
      </c>
      <c r="B1398">
        <v>4</v>
      </c>
      <c r="C1398" t="s">
        <v>325</v>
      </c>
      <c r="D1398">
        <v>480</v>
      </c>
      <c r="E1398">
        <v>1</v>
      </c>
      <c r="F1398" t="s">
        <v>22</v>
      </c>
      <c r="G1398">
        <v>702</v>
      </c>
      <c r="H1398">
        <v>39</v>
      </c>
      <c r="I1398" t="str">
        <f t="shared" si="21"/>
        <v>2024-10</v>
      </c>
    </row>
    <row r="1399" spans="1:9" ht="15" customHeight="1" x14ac:dyDescent="0.25">
      <c r="A1399">
        <v>1398</v>
      </c>
      <c r="B1399">
        <v>4</v>
      </c>
      <c r="C1399" t="s">
        <v>326</v>
      </c>
      <c r="D1399">
        <v>480</v>
      </c>
      <c r="E1399">
        <v>47</v>
      </c>
      <c r="F1399" t="s">
        <v>45</v>
      </c>
      <c r="G1399">
        <v>714</v>
      </c>
      <c r="H1399">
        <v>29</v>
      </c>
      <c r="I1399" t="str">
        <f t="shared" si="21"/>
        <v>2024-10</v>
      </c>
    </row>
    <row r="1400" spans="1:9" ht="15" customHeight="1" x14ac:dyDescent="0.25">
      <c r="A1400">
        <v>1399</v>
      </c>
      <c r="B1400">
        <v>4</v>
      </c>
      <c r="C1400" t="s">
        <v>327</v>
      </c>
      <c r="D1400">
        <v>480</v>
      </c>
      <c r="E1400">
        <v>6</v>
      </c>
      <c r="F1400" t="s">
        <v>24</v>
      </c>
      <c r="G1400">
        <v>799</v>
      </c>
      <c r="H1400">
        <v>29</v>
      </c>
      <c r="I1400" t="str">
        <f t="shared" si="21"/>
        <v>2024-10</v>
      </c>
    </row>
    <row r="1401" spans="1:9" ht="15" customHeight="1" x14ac:dyDescent="0.25">
      <c r="A1401">
        <v>1400</v>
      </c>
      <c r="B1401">
        <v>4</v>
      </c>
      <c r="C1401" t="s">
        <v>328</v>
      </c>
      <c r="D1401">
        <v>480</v>
      </c>
      <c r="E1401">
        <v>32</v>
      </c>
      <c r="F1401" t="s">
        <v>45</v>
      </c>
      <c r="G1401">
        <v>700</v>
      </c>
      <c r="H1401">
        <v>43</v>
      </c>
      <c r="I1401" t="str">
        <f t="shared" si="21"/>
        <v>2024-10</v>
      </c>
    </row>
    <row r="1402" spans="1:9" ht="15" customHeight="1" x14ac:dyDescent="0.25">
      <c r="A1402">
        <v>1401</v>
      </c>
      <c r="B1402">
        <v>4</v>
      </c>
      <c r="C1402" t="s">
        <v>329</v>
      </c>
      <c r="D1402">
        <v>480</v>
      </c>
      <c r="E1402">
        <v>4</v>
      </c>
      <c r="F1402" t="s">
        <v>33</v>
      </c>
      <c r="G1402">
        <v>662</v>
      </c>
      <c r="H1402">
        <v>23</v>
      </c>
      <c r="I1402" t="str">
        <f t="shared" si="21"/>
        <v>2024-10</v>
      </c>
    </row>
    <row r="1403" spans="1:9" ht="15" customHeight="1" x14ac:dyDescent="0.25">
      <c r="A1403">
        <v>1402</v>
      </c>
      <c r="B1403">
        <v>4</v>
      </c>
      <c r="C1403" t="s">
        <v>330</v>
      </c>
      <c r="D1403">
        <v>480</v>
      </c>
      <c r="E1403">
        <v>43</v>
      </c>
      <c r="F1403" t="s">
        <v>45</v>
      </c>
      <c r="G1403">
        <v>677</v>
      </c>
      <c r="H1403">
        <v>29</v>
      </c>
      <c r="I1403" t="str">
        <f t="shared" si="21"/>
        <v>2024-10</v>
      </c>
    </row>
    <row r="1404" spans="1:9" ht="15" customHeight="1" x14ac:dyDescent="0.25">
      <c r="A1404">
        <v>1403</v>
      </c>
      <c r="B1404">
        <v>4</v>
      </c>
      <c r="C1404" t="s">
        <v>331</v>
      </c>
      <c r="D1404">
        <v>480</v>
      </c>
      <c r="E1404">
        <v>50</v>
      </c>
      <c r="F1404" t="s">
        <v>24</v>
      </c>
      <c r="G1404">
        <v>704</v>
      </c>
      <c r="H1404">
        <v>22</v>
      </c>
      <c r="I1404" t="str">
        <f t="shared" si="21"/>
        <v>2024-10</v>
      </c>
    </row>
    <row r="1405" spans="1:9" ht="15" customHeight="1" x14ac:dyDescent="0.25">
      <c r="A1405">
        <v>1404</v>
      </c>
      <c r="B1405">
        <v>4</v>
      </c>
      <c r="C1405" t="s">
        <v>332</v>
      </c>
      <c r="D1405">
        <v>480</v>
      </c>
      <c r="E1405">
        <v>34</v>
      </c>
      <c r="F1405" t="s">
        <v>22</v>
      </c>
      <c r="G1405">
        <v>712</v>
      </c>
      <c r="H1405">
        <v>32</v>
      </c>
      <c r="I1405" t="str">
        <f t="shared" si="21"/>
        <v>2024-11</v>
      </c>
    </row>
    <row r="1406" spans="1:9" ht="15" customHeight="1" x14ac:dyDescent="0.25">
      <c r="A1406">
        <v>1405</v>
      </c>
      <c r="B1406">
        <v>4</v>
      </c>
      <c r="C1406" t="s">
        <v>333</v>
      </c>
      <c r="D1406">
        <v>480</v>
      </c>
      <c r="E1406">
        <v>18</v>
      </c>
      <c r="F1406" t="s">
        <v>45</v>
      </c>
      <c r="G1406">
        <v>726</v>
      </c>
      <c r="H1406">
        <v>60</v>
      </c>
      <c r="I1406" t="str">
        <f t="shared" si="21"/>
        <v>2024-11</v>
      </c>
    </row>
    <row r="1407" spans="1:9" ht="15" customHeight="1" x14ac:dyDescent="0.25">
      <c r="A1407">
        <v>1406</v>
      </c>
      <c r="B1407">
        <v>4</v>
      </c>
      <c r="C1407" t="s">
        <v>334</v>
      </c>
      <c r="D1407">
        <v>480</v>
      </c>
      <c r="E1407">
        <v>82</v>
      </c>
      <c r="F1407" t="s">
        <v>24</v>
      </c>
      <c r="G1407">
        <v>621</v>
      </c>
      <c r="H1407">
        <v>45</v>
      </c>
      <c r="I1407" t="str">
        <f t="shared" si="21"/>
        <v>2024-11</v>
      </c>
    </row>
    <row r="1408" spans="1:9" ht="15" customHeight="1" x14ac:dyDescent="0.25">
      <c r="A1408">
        <v>1407</v>
      </c>
      <c r="B1408">
        <v>4</v>
      </c>
      <c r="C1408" t="s">
        <v>335</v>
      </c>
      <c r="D1408">
        <v>480</v>
      </c>
      <c r="E1408">
        <v>22</v>
      </c>
      <c r="F1408" t="s">
        <v>24</v>
      </c>
      <c r="G1408">
        <v>724</v>
      </c>
      <c r="H1408">
        <v>41</v>
      </c>
      <c r="I1408" t="str">
        <f t="shared" si="21"/>
        <v>2024-11</v>
      </c>
    </row>
    <row r="1409" spans="1:9" ht="15" customHeight="1" x14ac:dyDescent="0.25">
      <c r="A1409">
        <v>1408</v>
      </c>
      <c r="B1409">
        <v>4</v>
      </c>
      <c r="C1409" t="s">
        <v>336</v>
      </c>
      <c r="D1409">
        <v>480</v>
      </c>
      <c r="E1409">
        <v>10</v>
      </c>
      <c r="F1409" t="s">
        <v>22</v>
      </c>
      <c r="G1409">
        <v>752</v>
      </c>
      <c r="H1409">
        <v>47</v>
      </c>
      <c r="I1409" t="str">
        <f t="shared" si="21"/>
        <v>2024-11</v>
      </c>
    </row>
    <row r="1410" spans="1:9" ht="15" customHeight="1" x14ac:dyDescent="0.25">
      <c r="A1410">
        <v>1409</v>
      </c>
      <c r="B1410">
        <v>4</v>
      </c>
      <c r="C1410" t="s">
        <v>337</v>
      </c>
      <c r="D1410">
        <v>480</v>
      </c>
      <c r="E1410">
        <v>22</v>
      </c>
      <c r="F1410" t="s">
        <v>29</v>
      </c>
      <c r="G1410">
        <v>764</v>
      </c>
      <c r="H1410">
        <v>23</v>
      </c>
      <c r="I1410" t="str">
        <f t="shared" ref="I1410:I1473" si="22">TEXT(C1410,"yyyy-mm")</f>
        <v>2024-11</v>
      </c>
    </row>
    <row r="1411" spans="1:9" ht="15" customHeight="1" x14ac:dyDescent="0.25">
      <c r="A1411">
        <v>1410</v>
      </c>
      <c r="B1411">
        <v>4</v>
      </c>
      <c r="C1411" t="s">
        <v>338</v>
      </c>
      <c r="D1411">
        <v>480</v>
      </c>
      <c r="E1411">
        <v>18</v>
      </c>
      <c r="F1411" t="s">
        <v>24</v>
      </c>
      <c r="G1411">
        <v>643</v>
      </c>
      <c r="H1411">
        <v>48</v>
      </c>
      <c r="I1411" t="str">
        <f t="shared" si="22"/>
        <v>2024-11</v>
      </c>
    </row>
    <row r="1412" spans="1:9" ht="15" customHeight="1" x14ac:dyDescent="0.25">
      <c r="A1412">
        <v>1411</v>
      </c>
      <c r="B1412">
        <v>4</v>
      </c>
      <c r="C1412" t="s">
        <v>339</v>
      </c>
      <c r="D1412">
        <v>480</v>
      </c>
      <c r="E1412">
        <v>60</v>
      </c>
      <c r="F1412" t="s">
        <v>29</v>
      </c>
      <c r="G1412">
        <v>622</v>
      </c>
      <c r="H1412">
        <v>43</v>
      </c>
      <c r="I1412" t="str">
        <f t="shared" si="22"/>
        <v>2024-11</v>
      </c>
    </row>
    <row r="1413" spans="1:9" ht="15" customHeight="1" x14ac:dyDescent="0.25">
      <c r="A1413">
        <v>1412</v>
      </c>
      <c r="B1413">
        <v>4</v>
      </c>
      <c r="C1413" t="s">
        <v>340</v>
      </c>
      <c r="D1413">
        <v>480</v>
      </c>
      <c r="E1413">
        <v>25</v>
      </c>
      <c r="F1413" t="s">
        <v>27</v>
      </c>
      <c r="G1413">
        <v>736</v>
      </c>
      <c r="H1413">
        <v>42</v>
      </c>
      <c r="I1413" t="str">
        <f t="shared" si="22"/>
        <v>2024-11</v>
      </c>
    </row>
    <row r="1414" spans="1:9" ht="15" customHeight="1" x14ac:dyDescent="0.25">
      <c r="A1414">
        <v>1413</v>
      </c>
      <c r="B1414">
        <v>4</v>
      </c>
      <c r="C1414" t="s">
        <v>341</v>
      </c>
      <c r="D1414">
        <v>480</v>
      </c>
      <c r="E1414">
        <v>26</v>
      </c>
      <c r="F1414" t="s">
        <v>27</v>
      </c>
      <c r="G1414">
        <v>761</v>
      </c>
      <c r="H1414">
        <v>34</v>
      </c>
      <c r="I1414" t="str">
        <f t="shared" si="22"/>
        <v>2024-11</v>
      </c>
    </row>
    <row r="1415" spans="1:9" ht="15" customHeight="1" x14ac:dyDescent="0.25">
      <c r="A1415">
        <v>1414</v>
      </c>
      <c r="B1415">
        <v>4</v>
      </c>
      <c r="C1415" t="s">
        <v>342</v>
      </c>
      <c r="D1415">
        <v>480</v>
      </c>
      <c r="E1415">
        <v>6</v>
      </c>
      <c r="F1415" t="s">
        <v>33</v>
      </c>
      <c r="G1415">
        <v>740</v>
      </c>
      <c r="H1415">
        <v>65</v>
      </c>
      <c r="I1415" t="str">
        <f t="shared" si="22"/>
        <v>2024-11</v>
      </c>
    </row>
    <row r="1416" spans="1:9" ht="15" customHeight="1" x14ac:dyDescent="0.25">
      <c r="A1416">
        <v>1415</v>
      </c>
      <c r="B1416">
        <v>4</v>
      </c>
      <c r="C1416" t="s">
        <v>343</v>
      </c>
      <c r="D1416">
        <v>480</v>
      </c>
      <c r="E1416">
        <v>23</v>
      </c>
      <c r="F1416" t="s">
        <v>45</v>
      </c>
      <c r="G1416">
        <v>637</v>
      </c>
      <c r="H1416">
        <v>32</v>
      </c>
      <c r="I1416" t="str">
        <f t="shared" si="22"/>
        <v>2024-11</v>
      </c>
    </row>
    <row r="1417" spans="1:9" ht="15" customHeight="1" x14ac:dyDescent="0.25">
      <c r="A1417">
        <v>1416</v>
      </c>
      <c r="B1417">
        <v>4</v>
      </c>
      <c r="C1417" t="s">
        <v>344</v>
      </c>
      <c r="D1417">
        <v>480</v>
      </c>
      <c r="E1417">
        <v>35</v>
      </c>
      <c r="F1417" t="s">
        <v>29</v>
      </c>
      <c r="G1417">
        <v>634</v>
      </c>
      <c r="H1417">
        <v>43</v>
      </c>
      <c r="I1417" t="str">
        <f t="shared" si="22"/>
        <v>2024-11</v>
      </c>
    </row>
    <row r="1418" spans="1:9" ht="15" customHeight="1" x14ac:dyDescent="0.25">
      <c r="A1418">
        <v>1417</v>
      </c>
      <c r="B1418">
        <v>4</v>
      </c>
      <c r="C1418" t="s">
        <v>345</v>
      </c>
      <c r="D1418">
        <v>480</v>
      </c>
      <c r="E1418">
        <v>303</v>
      </c>
      <c r="F1418" t="s">
        <v>29</v>
      </c>
      <c r="G1418">
        <v>269</v>
      </c>
      <c r="H1418">
        <v>13</v>
      </c>
      <c r="I1418" t="str">
        <f t="shared" si="22"/>
        <v>2024-11</v>
      </c>
    </row>
    <row r="1419" spans="1:9" ht="15" customHeight="1" x14ac:dyDescent="0.25">
      <c r="A1419">
        <v>1418</v>
      </c>
      <c r="B1419">
        <v>4</v>
      </c>
      <c r="C1419" t="s">
        <v>346</v>
      </c>
      <c r="D1419">
        <v>480</v>
      </c>
      <c r="E1419">
        <v>25</v>
      </c>
      <c r="F1419" t="s">
        <v>29</v>
      </c>
      <c r="G1419">
        <v>642</v>
      </c>
      <c r="H1419">
        <v>53</v>
      </c>
      <c r="I1419" t="str">
        <f t="shared" si="22"/>
        <v>2024-11</v>
      </c>
    </row>
    <row r="1420" spans="1:9" ht="15" customHeight="1" x14ac:dyDescent="0.25">
      <c r="A1420">
        <v>1419</v>
      </c>
      <c r="B1420">
        <v>4</v>
      </c>
      <c r="C1420" t="s">
        <v>347</v>
      </c>
      <c r="D1420">
        <v>480</v>
      </c>
      <c r="E1420">
        <v>26</v>
      </c>
      <c r="F1420" t="s">
        <v>45</v>
      </c>
      <c r="G1420">
        <v>680</v>
      </c>
      <c r="H1420">
        <v>47</v>
      </c>
      <c r="I1420" t="str">
        <f t="shared" si="22"/>
        <v>2024-11</v>
      </c>
    </row>
    <row r="1421" spans="1:9" ht="15" customHeight="1" x14ac:dyDescent="0.25">
      <c r="A1421">
        <v>1420</v>
      </c>
      <c r="B1421">
        <v>4</v>
      </c>
      <c r="C1421" t="s">
        <v>348</v>
      </c>
      <c r="D1421">
        <v>480</v>
      </c>
      <c r="E1421">
        <v>29</v>
      </c>
      <c r="F1421" t="s">
        <v>29</v>
      </c>
      <c r="G1421">
        <v>714</v>
      </c>
      <c r="H1421">
        <v>23</v>
      </c>
      <c r="I1421" t="str">
        <f t="shared" si="22"/>
        <v>2024-11</v>
      </c>
    </row>
    <row r="1422" spans="1:9" ht="15" customHeight="1" x14ac:dyDescent="0.25">
      <c r="A1422">
        <v>1421</v>
      </c>
      <c r="B1422">
        <v>4</v>
      </c>
      <c r="C1422" t="s">
        <v>349</v>
      </c>
      <c r="D1422">
        <v>480</v>
      </c>
      <c r="E1422">
        <v>83</v>
      </c>
      <c r="F1422" t="s">
        <v>27</v>
      </c>
      <c r="G1422">
        <v>666</v>
      </c>
      <c r="H1422">
        <v>45</v>
      </c>
      <c r="I1422" t="str">
        <f t="shared" si="22"/>
        <v>2024-11</v>
      </c>
    </row>
    <row r="1423" spans="1:9" ht="15" customHeight="1" x14ac:dyDescent="0.25">
      <c r="A1423">
        <v>1422</v>
      </c>
      <c r="B1423">
        <v>4</v>
      </c>
      <c r="C1423" t="s">
        <v>350</v>
      </c>
      <c r="D1423">
        <v>480</v>
      </c>
      <c r="E1423">
        <v>153</v>
      </c>
      <c r="F1423" t="s">
        <v>29</v>
      </c>
      <c r="G1423">
        <v>465</v>
      </c>
      <c r="H1423">
        <v>27</v>
      </c>
      <c r="I1423" t="str">
        <f t="shared" si="22"/>
        <v>2024-11</v>
      </c>
    </row>
    <row r="1424" spans="1:9" ht="15" customHeight="1" x14ac:dyDescent="0.25">
      <c r="A1424">
        <v>1423</v>
      </c>
      <c r="B1424">
        <v>4</v>
      </c>
      <c r="C1424" t="s">
        <v>351</v>
      </c>
      <c r="D1424">
        <v>480</v>
      </c>
      <c r="E1424">
        <v>45</v>
      </c>
      <c r="F1424" t="s">
        <v>27</v>
      </c>
      <c r="G1424">
        <v>679</v>
      </c>
      <c r="H1424">
        <v>36</v>
      </c>
      <c r="I1424" t="str">
        <f t="shared" si="22"/>
        <v>2024-11</v>
      </c>
    </row>
    <row r="1425" spans="1:9" ht="15" customHeight="1" x14ac:dyDescent="0.25">
      <c r="A1425">
        <v>1424</v>
      </c>
      <c r="B1425">
        <v>4</v>
      </c>
      <c r="C1425" t="s">
        <v>352</v>
      </c>
      <c r="D1425">
        <v>480</v>
      </c>
      <c r="E1425">
        <v>20</v>
      </c>
      <c r="F1425" t="s">
        <v>24</v>
      </c>
      <c r="G1425">
        <v>650</v>
      </c>
      <c r="H1425">
        <v>34</v>
      </c>
      <c r="I1425" t="str">
        <f t="shared" si="22"/>
        <v>2024-11</v>
      </c>
    </row>
    <row r="1426" spans="1:9" ht="15" customHeight="1" x14ac:dyDescent="0.25">
      <c r="A1426">
        <v>1425</v>
      </c>
      <c r="B1426">
        <v>4</v>
      </c>
      <c r="C1426" t="s">
        <v>353</v>
      </c>
      <c r="D1426">
        <v>480</v>
      </c>
      <c r="E1426">
        <v>8</v>
      </c>
      <c r="F1426" t="s">
        <v>24</v>
      </c>
      <c r="G1426">
        <v>760</v>
      </c>
      <c r="H1426">
        <v>32</v>
      </c>
      <c r="I1426" t="str">
        <f t="shared" si="22"/>
        <v>2024-11</v>
      </c>
    </row>
    <row r="1427" spans="1:9" ht="15" customHeight="1" x14ac:dyDescent="0.25">
      <c r="A1427">
        <v>1426</v>
      </c>
      <c r="B1427">
        <v>4</v>
      </c>
      <c r="C1427" t="s">
        <v>354</v>
      </c>
      <c r="D1427">
        <v>480</v>
      </c>
      <c r="E1427">
        <v>3</v>
      </c>
      <c r="F1427" t="s">
        <v>29</v>
      </c>
      <c r="G1427">
        <v>740</v>
      </c>
      <c r="H1427">
        <v>48</v>
      </c>
      <c r="I1427" t="str">
        <f t="shared" si="22"/>
        <v>2024-11</v>
      </c>
    </row>
    <row r="1428" spans="1:9" ht="15" customHeight="1" x14ac:dyDescent="0.25">
      <c r="A1428">
        <v>1427</v>
      </c>
      <c r="B1428">
        <v>4</v>
      </c>
      <c r="C1428" t="s">
        <v>355</v>
      </c>
      <c r="D1428">
        <v>480</v>
      </c>
      <c r="E1428">
        <v>102</v>
      </c>
      <c r="F1428" t="s">
        <v>24</v>
      </c>
      <c r="G1428">
        <v>589</v>
      </c>
      <c r="H1428">
        <v>29</v>
      </c>
      <c r="I1428" t="str">
        <f t="shared" si="22"/>
        <v>2024-11</v>
      </c>
    </row>
    <row r="1429" spans="1:9" ht="15" customHeight="1" x14ac:dyDescent="0.25">
      <c r="A1429">
        <v>1428</v>
      </c>
      <c r="B1429">
        <v>4</v>
      </c>
      <c r="C1429" t="s">
        <v>356</v>
      </c>
      <c r="D1429">
        <v>480</v>
      </c>
      <c r="E1429">
        <v>80</v>
      </c>
      <c r="F1429" t="s">
        <v>45</v>
      </c>
      <c r="G1429">
        <v>619</v>
      </c>
      <c r="H1429">
        <v>21</v>
      </c>
      <c r="I1429" t="str">
        <f t="shared" si="22"/>
        <v>2024-11</v>
      </c>
    </row>
    <row r="1430" spans="1:9" ht="15" customHeight="1" x14ac:dyDescent="0.25">
      <c r="A1430">
        <v>1429</v>
      </c>
      <c r="B1430">
        <v>4</v>
      </c>
      <c r="C1430" t="s">
        <v>357</v>
      </c>
      <c r="D1430">
        <v>480</v>
      </c>
      <c r="E1430">
        <v>41</v>
      </c>
      <c r="F1430" t="s">
        <v>24</v>
      </c>
      <c r="G1430">
        <v>732</v>
      </c>
      <c r="H1430">
        <v>39</v>
      </c>
      <c r="I1430" t="str">
        <f t="shared" si="22"/>
        <v>2024-11</v>
      </c>
    </row>
    <row r="1431" spans="1:9" ht="15" customHeight="1" x14ac:dyDescent="0.25">
      <c r="A1431">
        <v>1430</v>
      </c>
      <c r="B1431">
        <v>4</v>
      </c>
      <c r="C1431" t="s">
        <v>358</v>
      </c>
      <c r="D1431">
        <v>480</v>
      </c>
      <c r="E1431">
        <v>17</v>
      </c>
      <c r="F1431" t="s">
        <v>29</v>
      </c>
      <c r="G1431">
        <v>657</v>
      </c>
      <c r="H1431">
        <v>25</v>
      </c>
      <c r="I1431" t="str">
        <f t="shared" si="22"/>
        <v>2024-11</v>
      </c>
    </row>
    <row r="1432" spans="1:9" ht="15" customHeight="1" x14ac:dyDescent="0.25">
      <c r="A1432">
        <v>1431</v>
      </c>
      <c r="B1432">
        <v>4</v>
      </c>
      <c r="C1432" t="s">
        <v>359</v>
      </c>
      <c r="D1432">
        <v>480</v>
      </c>
      <c r="E1432">
        <v>28</v>
      </c>
      <c r="F1432" t="s">
        <v>45</v>
      </c>
      <c r="G1432">
        <v>708</v>
      </c>
      <c r="H1432">
        <v>24</v>
      </c>
      <c r="I1432" t="str">
        <f t="shared" si="22"/>
        <v>2024-11</v>
      </c>
    </row>
    <row r="1433" spans="1:9" ht="15" customHeight="1" x14ac:dyDescent="0.25">
      <c r="A1433">
        <v>1432</v>
      </c>
      <c r="B1433">
        <v>4</v>
      </c>
      <c r="C1433" t="s">
        <v>360</v>
      </c>
      <c r="D1433">
        <v>480</v>
      </c>
      <c r="E1433">
        <v>139</v>
      </c>
      <c r="F1433" t="s">
        <v>22</v>
      </c>
      <c r="G1433">
        <v>551</v>
      </c>
      <c r="H1433">
        <v>35</v>
      </c>
      <c r="I1433" t="str">
        <f t="shared" si="22"/>
        <v>2024-11</v>
      </c>
    </row>
    <row r="1434" spans="1:9" ht="15" customHeight="1" x14ac:dyDescent="0.25">
      <c r="A1434">
        <v>1433</v>
      </c>
      <c r="B1434">
        <v>4</v>
      </c>
      <c r="C1434" t="s">
        <v>361</v>
      </c>
      <c r="D1434">
        <v>480</v>
      </c>
      <c r="E1434">
        <v>87</v>
      </c>
      <c r="F1434" t="s">
        <v>29</v>
      </c>
      <c r="G1434">
        <v>550</v>
      </c>
      <c r="H1434">
        <v>550</v>
      </c>
      <c r="I1434" t="str">
        <f t="shared" si="22"/>
        <v>2024-11</v>
      </c>
    </row>
    <row r="1435" spans="1:9" ht="15" customHeight="1" x14ac:dyDescent="0.25">
      <c r="A1435">
        <v>1434</v>
      </c>
      <c r="B1435">
        <v>4</v>
      </c>
      <c r="C1435" t="s">
        <v>362</v>
      </c>
      <c r="D1435">
        <v>480</v>
      </c>
      <c r="E1435">
        <v>49</v>
      </c>
      <c r="F1435" t="s">
        <v>45</v>
      </c>
      <c r="G1435">
        <v>707</v>
      </c>
      <c r="H1435">
        <v>54</v>
      </c>
      <c r="I1435" t="str">
        <f t="shared" si="22"/>
        <v>2024-12</v>
      </c>
    </row>
    <row r="1436" spans="1:9" ht="15" customHeight="1" x14ac:dyDescent="0.25">
      <c r="A1436">
        <v>1435</v>
      </c>
      <c r="B1436">
        <v>4</v>
      </c>
      <c r="C1436" t="s">
        <v>363</v>
      </c>
      <c r="D1436">
        <v>480</v>
      </c>
      <c r="E1436">
        <v>16</v>
      </c>
      <c r="F1436" t="s">
        <v>27</v>
      </c>
      <c r="G1436">
        <v>778</v>
      </c>
      <c r="H1436">
        <v>29</v>
      </c>
      <c r="I1436" t="str">
        <f t="shared" si="22"/>
        <v>2024-12</v>
      </c>
    </row>
    <row r="1437" spans="1:9" ht="15" customHeight="1" x14ac:dyDescent="0.25">
      <c r="A1437">
        <v>1436</v>
      </c>
      <c r="B1437">
        <v>4</v>
      </c>
      <c r="C1437" t="s">
        <v>364</v>
      </c>
      <c r="D1437">
        <v>480</v>
      </c>
      <c r="E1437">
        <v>103</v>
      </c>
      <c r="F1437" t="s">
        <v>45</v>
      </c>
      <c r="G1437">
        <v>636</v>
      </c>
      <c r="H1437">
        <v>25</v>
      </c>
      <c r="I1437" t="str">
        <f t="shared" si="22"/>
        <v>2024-12</v>
      </c>
    </row>
    <row r="1438" spans="1:9" ht="15" customHeight="1" x14ac:dyDescent="0.25">
      <c r="A1438">
        <v>1437</v>
      </c>
      <c r="B1438">
        <v>4</v>
      </c>
      <c r="C1438" t="s">
        <v>365</v>
      </c>
      <c r="D1438">
        <v>480</v>
      </c>
      <c r="E1438">
        <v>63</v>
      </c>
      <c r="F1438" t="s">
        <v>29</v>
      </c>
      <c r="G1438">
        <v>578</v>
      </c>
      <c r="H1438">
        <v>31</v>
      </c>
      <c r="I1438" t="str">
        <f t="shared" si="22"/>
        <v>2024-12</v>
      </c>
    </row>
    <row r="1439" spans="1:9" ht="15" customHeight="1" x14ac:dyDescent="0.25">
      <c r="A1439">
        <v>1438</v>
      </c>
      <c r="B1439">
        <v>4</v>
      </c>
      <c r="C1439" t="s">
        <v>366</v>
      </c>
      <c r="D1439">
        <v>480</v>
      </c>
      <c r="E1439">
        <v>36</v>
      </c>
      <c r="F1439" t="s">
        <v>45</v>
      </c>
      <c r="G1439">
        <v>693</v>
      </c>
      <c r="H1439">
        <v>59</v>
      </c>
      <c r="I1439" t="str">
        <f t="shared" si="22"/>
        <v>2024-12</v>
      </c>
    </row>
    <row r="1440" spans="1:9" ht="15" customHeight="1" x14ac:dyDescent="0.25">
      <c r="A1440">
        <v>1439</v>
      </c>
      <c r="B1440">
        <v>4</v>
      </c>
      <c r="C1440" t="s">
        <v>367</v>
      </c>
      <c r="D1440">
        <v>480</v>
      </c>
      <c r="E1440">
        <v>55</v>
      </c>
      <c r="F1440" t="s">
        <v>22</v>
      </c>
      <c r="G1440">
        <v>650</v>
      </c>
      <c r="H1440">
        <v>50</v>
      </c>
      <c r="I1440" t="str">
        <f t="shared" si="22"/>
        <v>2024-12</v>
      </c>
    </row>
    <row r="1441" spans="1:9" ht="15" customHeight="1" x14ac:dyDescent="0.25">
      <c r="A1441">
        <v>1440</v>
      </c>
      <c r="B1441">
        <v>4</v>
      </c>
      <c r="C1441" t="s">
        <v>368</v>
      </c>
      <c r="D1441">
        <v>480</v>
      </c>
      <c r="E1441">
        <v>149</v>
      </c>
      <c r="F1441" t="s">
        <v>24</v>
      </c>
      <c r="G1441">
        <v>457</v>
      </c>
      <c r="H1441">
        <v>0</v>
      </c>
      <c r="I1441" t="str">
        <f t="shared" si="22"/>
        <v>2024-12</v>
      </c>
    </row>
    <row r="1442" spans="1:9" ht="15" customHeight="1" x14ac:dyDescent="0.25">
      <c r="A1442">
        <v>1441</v>
      </c>
      <c r="B1442">
        <v>4</v>
      </c>
      <c r="C1442" t="s">
        <v>369</v>
      </c>
      <c r="D1442">
        <v>480</v>
      </c>
      <c r="E1442">
        <v>4</v>
      </c>
      <c r="F1442" t="s">
        <v>33</v>
      </c>
      <c r="G1442">
        <v>779</v>
      </c>
      <c r="H1442">
        <v>36</v>
      </c>
      <c r="I1442" t="str">
        <f t="shared" si="22"/>
        <v>2024-12</v>
      </c>
    </row>
    <row r="1443" spans="1:9" ht="15" customHeight="1" x14ac:dyDescent="0.25">
      <c r="A1443">
        <v>1442</v>
      </c>
      <c r="B1443">
        <v>4</v>
      </c>
      <c r="C1443" t="s">
        <v>370</v>
      </c>
      <c r="D1443">
        <v>480</v>
      </c>
      <c r="E1443">
        <v>7</v>
      </c>
      <c r="F1443" t="s">
        <v>45</v>
      </c>
      <c r="G1443">
        <v>717</v>
      </c>
      <c r="H1443">
        <v>49</v>
      </c>
      <c r="I1443" t="str">
        <f t="shared" si="22"/>
        <v>2024-12</v>
      </c>
    </row>
    <row r="1444" spans="1:9" ht="15" customHeight="1" x14ac:dyDescent="0.25">
      <c r="A1444">
        <v>1443</v>
      </c>
      <c r="B1444">
        <v>4</v>
      </c>
      <c r="C1444" t="s">
        <v>371</v>
      </c>
      <c r="D1444">
        <v>480</v>
      </c>
      <c r="E1444">
        <v>23</v>
      </c>
      <c r="F1444" t="s">
        <v>33</v>
      </c>
      <c r="G1444">
        <v>636</v>
      </c>
      <c r="H1444">
        <v>41</v>
      </c>
      <c r="I1444" t="str">
        <f t="shared" si="22"/>
        <v>2024-12</v>
      </c>
    </row>
    <row r="1445" spans="1:9" ht="15" customHeight="1" x14ac:dyDescent="0.25">
      <c r="A1445">
        <v>1444</v>
      </c>
      <c r="B1445">
        <v>4</v>
      </c>
      <c r="C1445" t="s">
        <v>372</v>
      </c>
      <c r="D1445">
        <v>480</v>
      </c>
      <c r="E1445">
        <v>115</v>
      </c>
      <c r="F1445" t="s">
        <v>24</v>
      </c>
      <c r="G1445">
        <v>546</v>
      </c>
      <c r="H1445">
        <v>23</v>
      </c>
      <c r="I1445" t="str">
        <f t="shared" si="22"/>
        <v>2024-12</v>
      </c>
    </row>
    <row r="1446" spans="1:9" ht="15" customHeight="1" x14ac:dyDescent="0.25">
      <c r="A1446">
        <v>1445</v>
      </c>
      <c r="B1446">
        <v>4</v>
      </c>
      <c r="C1446" t="s">
        <v>373</v>
      </c>
      <c r="D1446">
        <v>480</v>
      </c>
      <c r="E1446">
        <v>29</v>
      </c>
      <c r="F1446" t="s">
        <v>27</v>
      </c>
      <c r="G1446">
        <v>626</v>
      </c>
      <c r="H1446">
        <v>49</v>
      </c>
      <c r="I1446" t="str">
        <f t="shared" si="22"/>
        <v>2024-12</v>
      </c>
    </row>
    <row r="1447" spans="1:9" ht="15" customHeight="1" x14ac:dyDescent="0.25">
      <c r="A1447">
        <v>1446</v>
      </c>
      <c r="B1447">
        <v>4</v>
      </c>
      <c r="C1447" t="s">
        <v>374</v>
      </c>
      <c r="D1447">
        <v>480</v>
      </c>
      <c r="E1447">
        <v>87</v>
      </c>
      <c r="F1447" t="s">
        <v>22</v>
      </c>
      <c r="G1447">
        <v>614</v>
      </c>
      <c r="H1447">
        <v>31</v>
      </c>
      <c r="I1447" t="str">
        <f t="shared" si="22"/>
        <v>2024-12</v>
      </c>
    </row>
    <row r="1448" spans="1:9" ht="15" customHeight="1" x14ac:dyDescent="0.25">
      <c r="A1448">
        <v>1447</v>
      </c>
      <c r="B1448">
        <v>4</v>
      </c>
      <c r="C1448" t="s">
        <v>375</v>
      </c>
      <c r="D1448">
        <v>480</v>
      </c>
      <c r="E1448">
        <v>80</v>
      </c>
      <c r="F1448" t="s">
        <v>24</v>
      </c>
      <c r="G1448">
        <v>621</v>
      </c>
      <c r="H1448">
        <v>49</v>
      </c>
      <c r="I1448" t="str">
        <f t="shared" si="22"/>
        <v>2024-12</v>
      </c>
    </row>
    <row r="1449" spans="1:9" ht="15" customHeight="1" x14ac:dyDescent="0.25">
      <c r="A1449">
        <v>1448</v>
      </c>
      <c r="B1449">
        <v>4</v>
      </c>
      <c r="C1449" t="s">
        <v>376</v>
      </c>
      <c r="D1449">
        <v>480</v>
      </c>
      <c r="E1449">
        <v>49</v>
      </c>
      <c r="F1449" t="s">
        <v>45</v>
      </c>
      <c r="G1449">
        <v>701</v>
      </c>
      <c r="H1449">
        <v>46</v>
      </c>
      <c r="I1449" t="str">
        <f t="shared" si="22"/>
        <v>2024-12</v>
      </c>
    </row>
    <row r="1450" spans="1:9" ht="15" customHeight="1" x14ac:dyDescent="0.25">
      <c r="A1450">
        <v>1449</v>
      </c>
      <c r="B1450">
        <v>4</v>
      </c>
      <c r="C1450" t="s">
        <v>377</v>
      </c>
      <c r="D1450">
        <v>480</v>
      </c>
      <c r="E1450">
        <v>26</v>
      </c>
      <c r="F1450" t="s">
        <v>29</v>
      </c>
      <c r="G1450">
        <v>764</v>
      </c>
      <c r="H1450">
        <v>47</v>
      </c>
      <c r="I1450" t="str">
        <f t="shared" si="22"/>
        <v>2024-12</v>
      </c>
    </row>
    <row r="1451" spans="1:9" ht="15" customHeight="1" x14ac:dyDescent="0.25">
      <c r="A1451">
        <v>1450</v>
      </c>
      <c r="B1451">
        <v>4</v>
      </c>
      <c r="C1451" t="s">
        <v>378</v>
      </c>
      <c r="D1451">
        <v>480</v>
      </c>
      <c r="E1451">
        <v>46</v>
      </c>
      <c r="F1451" t="s">
        <v>27</v>
      </c>
      <c r="G1451">
        <v>627</v>
      </c>
      <c r="H1451">
        <v>42</v>
      </c>
      <c r="I1451" t="str">
        <f t="shared" si="22"/>
        <v>2024-12</v>
      </c>
    </row>
    <row r="1452" spans="1:9" ht="15" customHeight="1" x14ac:dyDescent="0.25">
      <c r="A1452">
        <v>1451</v>
      </c>
      <c r="B1452">
        <v>4</v>
      </c>
      <c r="C1452" t="s">
        <v>379</v>
      </c>
      <c r="D1452">
        <v>480</v>
      </c>
      <c r="E1452">
        <v>42</v>
      </c>
      <c r="F1452" t="s">
        <v>29</v>
      </c>
      <c r="G1452">
        <v>628</v>
      </c>
      <c r="H1452">
        <v>21</v>
      </c>
      <c r="I1452" t="str">
        <f t="shared" si="22"/>
        <v>2024-12</v>
      </c>
    </row>
    <row r="1453" spans="1:9" ht="15" customHeight="1" x14ac:dyDescent="0.25">
      <c r="A1453">
        <v>1452</v>
      </c>
      <c r="B1453">
        <v>4</v>
      </c>
      <c r="C1453" t="s">
        <v>380</v>
      </c>
      <c r="D1453">
        <v>480</v>
      </c>
      <c r="E1453">
        <v>46</v>
      </c>
      <c r="F1453" t="s">
        <v>24</v>
      </c>
      <c r="G1453">
        <v>703</v>
      </c>
      <c r="H1453">
        <v>43</v>
      </c>
      <c r="I1453" t="str">
        <f t="shared" si="22"/>
        <v>2024-12</v>
      </c>
    </row>
    <row r="1454" spans="1:9" ht="15" customHeight="1" x14ac:dyDescent="0.25">
      <c r="A1454">
        <v>1453</v>
      </c>
      <c r="B1454">
        <v>4</v>
      </c>
      <c r="C1454" t="s">
        <v>381</v>
      </c>
      <c r="D1454">
        <v>480</v>
      </c>
      <c r="E1454">
        <v>12</v>
      </c>
      <c r="F1454" t="s">
        <v>24</v>
      </c>
      <c r="G1454">
        <v>743</v>
      </c>
      <c r="H1454">
        <v>25</v>
      </c>
      <c r="I1454" t="str">
        <f t="shared" si="22"/>
        <v>2024-12</v>
      </c>
    </row>
    <row r="1455" spans="1:9" ht="15" customHeight="1" x14ac:dyDescent="0.25">
      <c r="A1455">
        <v>1454</v>
      </c>
      <c r="B1455">
        <v>4</v>
      </c>
      <c r="C1455" t="s">
        <v>382</v>
      </c>
      <c r="D1455">
        <v>480</v>
      </c>
      <c r="E1455">
        <v>29</v>
      </c>
      <c r="F1455" t="s">
        <v>27</v>
      </c>
      <c r="G1455">
        <v>643</v>
      </c>
      <c r="H1455">
        <v>26</v>
      </c>
      <c r="I1455" t="str">
        <f t="shared" si="22"/>
        <v>2024-12</v>
      </c>
    </row>
    <row r="1456" spans="1:9" ht="15" customHeight="1" x14ac:dyDescent="0.25">
      <c r="A1456">
        <v>1455</v>
      </c>
      <c r="B1456">
        <v>4</v>
      </c>
      <c r="C1456" t="s">
        <v>383</v>
      </c>
      <c r="D1456">
        <v>480</v>
      </c>
      <c r="E1456">
        <v>11</v>
      </c>
      <c r="F1456" t="s">
        <v>33</v>
      </c>
      <c r="G1456">
        <v>703</v>
      </c>
      <c r="H1456">
        <v>23</v>
      </c>
      <c r="I1456" t="str">
        <f t="shared" si="22"/>
        <v>2024-12</v>
      </c>
    </row>
    <row r="1457" spans="1:9" ht="15" customHeight="1" x14ac:dyDescent="0.25">
      <c r="A1457">
        <v>1456</v>
      </c>
      <c r="B1457">
        <v>4</v>
      </c>
      <c r="C1457" t="s">
        <v>384</v>
      </c>
      <c r="D1457">
        <v>480</v>
      </c>
      <c r="E1457">
        <v>25</v>
      </c>
      <c r="F1457" t="s">
        <v>27</v>
      </c>
      <c r="G1457">
        <v>700</v>
      </c>
      <c r="H1457">
        <v>41</v>
      </c>
      <c r="I1457" t="str">
        <f t="shared" si="22"/>
        <v>2024-12</v>
      </c>
    </row>
    <row r="1458" spans="1:9" ht="15" customHeight="1" x14ac:dyDescent="0.25">
      <c r="A1458">
        <v>1457</v>
      </c>
      <c r="B1458">
        <v>4</v>
      </c>
      <c r="C1458" t="s">
        <v>385</v>
      </c>
      <c r="D1458">
        <v>480</v>
      </c>
      <c r="E1458">
        <v>24</v>
      </c>
      <c r="F1458" t="s">
        <v>27</v>
      </c>
      <c r="G1458">
        <v>750</v>
      </c>
      <c r="H1458">
        <v>28</v>
      </c>
      <c r="I1458" t="str">
        <f t="shared" si="22"/>
        <v>2024-12</v>
      </c>
    </row>
    <row r="1459" spans="1:9" ht="15" customHeight="1" x14ac:dyDescent="0.25">
      <c r="A1459">
        <v>1458</v>
      </c>
      <c r="B1459">
        <v>4</v>
      </c>
      <c r="C1459" t="s">
        <v>386</v>
      </c>
      <c r="D1459">
        <v>480</v>
      </c>
      <c r="E1459">
        <v>35</v>
      </c>
      <c r="F1459" t="s">
        <v>45</v>
      </c>
      <c r="G1459">
        <v>620</v>
      </c>
      <c r="H1459">
        <v>21</v>
      </c>
      <c r="I1459" t="str">
        <f t="shared" si="22"/>
        <v>2024-12</v>
      </c>
    </row>
    <row r="1460" spans="1:9" ht="15" customHeight="1" x14ac:dyDescent="0.25">
      <c r="A1460">
        <v>1459</v>
      </c>
      <c r="B1460">
        <v>4</v>
      </c>
      <c r="C1460" t="s">
        <v>387</v>
      </c>
      <c r="D1460">
        <v>480</v>
      </c>
      <c r="E1460">
        <v>42</v>
      </c>
      <c r="F1460" t="s">
        <v>45</v>
      </c>
      <c r="G1460">
        <v>682</v>
      </c>
      <c r="H1460">
        <v>56</v>
      </c>
      <c r="I1460" t="str">
        <f t="shared" si="22"/>
        <v>2024-12</v>
      </c>
    </row>
    <row r="1461" spans="1:9" ht="15" customHeight="1" x14ac:dyDescent="0.25">
      <c r="A1461">
        <v>1460</v>
      </c>
      <c r="B1461">
        <v>4</v>
      </c>
      <c r="C1461" t="s">
        <v>388</v>
      </c>
      <c r="D1461">
        <v>480</v>
      </c>
      <c r="E1461">
        <v>40</v>
      </c>
      <c r="F1461" t="s">
        <v>27</v>
      </c>
      <c r="G1461">
        <v>741</v>
      </c>
      <c r="H1461">
        <v>24</v>
      </c>
      <c r="I1461" t="str">
        <f t="shared" si="22"/>
        <v>2024-12</v>
      </c>
    </row>
    <row r="1462" spans="1:9" ht="15" customHeight="1" x14ac:dyDescent="0.25">
      <c r="A1462">
        <v>1461</v>
      </c>
      <c r="B1462">
        <v>4</v>
      </c>
      <c r="C1462" t="s">
        <v>389</v>
      </c>
      <c r="D1462">
        <v>480</v>
      </c>
      <c r="E1462">
        <v>5</v>
      </c>
      <c r="F1462" t="s">
        <v>45</v>
      </c>
      <c r="G1462">
        <v>659</v>
      </c>
      <c r="H1462">
        <v>27</v>
      </c>
      <c r="I1462" t="str">
        <f t="shared" si="22"/>
        <v>2024-12</v>
      </c>
    </row>
    <row r="1463" spans="1:9" ht="15" customHeight="1" x14ac:dyDescent="0.25">
      <c r="A1463">
        <v>1462</v>
      </c>
      <c r="B1463">
        <v>4</v>
      </c>
      <c r="C1463" t="s">
        <v>390</v>
      </c>
      <c r="D1463">
        <v>480</v>
      </c>
      <c r="E1463">
        <v>38</v>
      </c>
      <c r="F1463" t="s">
        <v>29</v>
      </c>
      <c r="G1463">
        <v>699</v>
      </c>
      <c r="H1463">
        <v>22</v>
      </c>
      <c r="I1463" t="str">
        <f t="shared" si="22"/>
        <v>2024-12</v>
      </c>
    </row>
    <row r="1464" spans="1:9" ht="15" customHeight="1" x14ac:dyDescent="0.25">
      <c r="A1464">
        <v>1463</v>
      </c>
      <c r="B1464">
        <v>4</v>
      </c>
      <c r="C1464" t="s">
        <v>391</v>
      </c>
      <c r="D1464">
        <v>480</v>
      </c>
      <c r="E1464">
        <v>145</v>
      </c>
      <c r="F1464" t="s">
        <v>27</v>
      </c>
      <c r="G1464">
        <v>551</v>
      </c>
      <c r="H1464">
        <v>26</v>
      </c>
      <c r="I1464" t="str">
        <f t="shared" si="22"/>
        <v>2024-12</v>
      </c>
    </row>
    <row r="1465" spans="1:9" ht="15" customHeight="1" x14ac:dyDescent="0.25">
      <c r="A1465">
        <v>1464</v>
      </c>
      <c r="B1465">
        <v>4</v>
      </c>
      <c r="C1465" t="s">
        <v>392</v>
      </c>
      <c r="D1465">
        <v>480</v>
      </c>
      <c r="E1465">
        <v>3</v>
      </c>
      <c r="F1465" t="s">
        <v>45</v>
      </c>
      <c r="G1465">
        <v>681</v>
      </c>
      <c r="H1465">
        <v>25</v>
      </c>
      <c r="I1465" t="str">
        <f t="shared" si="22"/>
        <v>2024-12</v>
      </c>
    </row>
    <row r="1466" spans="1:9" ht="15" customHeight="1" x14ac:dyDescent="0.25">
      <c r="A1466">
        <v>1465</v>
      </c>
      <c r="B1466">
        <v>5</v>
      </c>
      <c r="C1466" t="s">
        <v>21</v>
      </c>
      <c r="D1466">
        <v>480</v>
      </c>
      <c r="E1466">
        <v>6</v>
      </c>
      <c r="F1466" t="s">
        <v>33</v>
      </c>
      <c r="G1466">
        <v>677</v>
      </c>
      <c r="H1466">
        <v>36</v>
      </c>
      <c r="I1466" t="str">
        <f t="shared" si="22"/>
        <v>2024-01</v>
      </c>
    </row>
    <row r="1467" spans="1:9" ht="15" customHeight="1" x14ac:dyDescent="0.25">
      <c r="A1467">
        <v>1466</v>
      </c>
      <c r="B1467">
        <v>5</v>
      </c>
      <c r="C1467" t="s">
        <v>23</v>
      </c>
      <c r="D1467">
        <v>480</v>
      </c>
      <c r="E1467">
        <v>28</v>
      </c>
      <c r="F1467" t="s">
        <v>45</v>
      </c>
      <c r="G1467">
        <v>728</v>
      </c>
      <c r="H1467">
        <v>16</v>
      </c>
      <c r="I1467" t="str">
        <f t="shared" si="22"/>
        <v>2024-01</v>
      </c>
    </row>
    <row r="1468" spans="1:9" ht="15" customHeight="1" x14ac:dyDescent="0.25">
      <c r="A1468">
        <v>1467</v>
      </c>
      <c r="B1468">
        <v>5</v>
      </c>
      <c r="C1468" t="s">
        <v>25</v>
      </c>
      <c r="D1468">
        <v>480</v>
      </c>
      <c r="E1468">
        <v>11</v>
      </c>
      <c r="F1468" t="s">
        <v>27</v>
      </c>
      <c r="G1468">
        <v>698</v>
      </c>
      <c r="H1468">
        <v>14</v>
      </c>
      <c r="I1468" t="str">
        <f t="shared" si="22"/>
        <v>2024-01</v>
      </c>
    </row>
    <row r="1469" spans="1:9" ht="15" customHeight="1" x14ac:dyDescent="0.25">
      <c r="A1469">
        <v>1468</v>
      </c>
      <c r="B1469">
        <v>5</v>
      </c>
      <c r="C1469" t="s">
        <v>26</v>
      </c>
      <c r="D1469">
        <v>480</v>
      </c>
      <c r="E1469">
        <v>0</v>
      </c>
      <c r="F1469" t="s">
        <v>33</v>
      </c>
      <c r="G1469">
        <v>732</v>
      </c>
      <c r="H1469">
        <v>30</v>
      </c>
      <c r="I1469" t="str">
        <f t="shared" si="22"/>
        <v>2024-01</v>
      </c>
    </row>
    <row r="1470" spans="1:9" ht="15" customHeight="1" x14ac:dyDescent="0.25">
      <c r="A1470">
        <v>1469</v>
      </c>
      <c r="B1470">
        <v>5</v>
      </c>
      <c r="C1470" t="s">
        <v>28</v>
      </c>
      <c r="D1470">
        <v>480</v>
      </c>
      <c r="E1470">
        <v>12</v>
      </c>
      <c r="F1470" t="s">
        <v>22</v>
      </c>
      <c r="G1470">
        <v>687</v>
      </c>
      <c r="H1470">
        <v>22</v>
      </c>
      <c r="I1470" t="str">
        <f t="shared" si="22"/>
        <v>2024-01</v>
      </c>
    </row>
    <row r="1471" spans="1:9" ht="15" customHeight="1" x14ac:dyDescent="0.25">
      <c r="A1471">
        <v>1470</v>
      </c>
      <c r="B1471">
        <v>5</v>
      </c>
      <c r="C1471" t="s">
        <v>30</v>
      </c>
      <c r="D1471">
        <v>480</v>
      </c>
      <c r="E1471">
        <v>0</v>
      </c>
      <c r="F1471" t="s">
        <v>33</v>
      </c>
      <c r="G1471">
        <v>682</v>
      </c>
      <c r="H1471">
        <v>16</v>
      </c>
      <c r="I1471" t="str">
        <f t="shared" si="22"/>
        <v>2024-01</v>
      </c>
    </row>
    <row r="1472" spans="1:9" ht="15" customHeight="1" x14ac:dyDescent="0.25">
      <c r="A1472">
        <v>1471</v>
      </c>
      <c r="B1472">
        <v>5</v>
      </c>
      <c r="C1472" t="s">
        <v>31</v>
      </c>
      <c r="D1472">
        <v>480</v>
      </c>
      <c r="E1472">
        <v>2</v>
      </c>
      <c r="F1472" t="s">
        <v>45</v>
      </c>
      <c r="G1472">
        <v>771</v>
      </c>
      <c r="H1472">
        <v>30</v>
      </c>
      <c r="I1472" t="str">
        <f t="shared" si="22"/>
        <v>2024-01</v>
      </c>
    </row>
    <row r="1473" spans="1:9" ht="15" customHeight="1" x14ac:dyDescent="0.25">
      <c r="A1473">
        <v>1472</v>
      </c>
      <c r="B1473">
        <v>5</v>
      </c>
      <c r="C1473" t="s">
        <v>32</v>
      </c>
      <c r="D1473">
        <v>480</v>
      </c>
      <c r="E1473">
        <v>31</v>
      </c>
      <c r="F1473" t="s">
        <v>29</v>
      </c>
      <c r="G1473">
        <v>635</v>
      </c>
      <c r="H1473">
        <v>20</v>
      </c>
      <c r="I1473" t="str">
        <f t="shared" si="22"/>
        <v>2024-01</v>
      </c>
    </row>
    <row r="1474" spans="1:9" ht="15" customHeight="1" x14ac:dyDescent="0.25">
      <c r="A1474">
        <v>1473</v>
      </c>
      <c r="B1474">
        <v>5</v>
      </c>
      <c r="C1474" t="s">
        <v>34</v>
      </c>
      <c r="D1474">
        <v>480</v>
      </c>
      <c r="E1474">
        <v>6</v>
      </c>
      <c r="F1474" t="s">
        <v>22</v>
      </c>
      <c r="G1474">
        <v>638</v>
      </c>
      <c r="H1474">
        <v>15</v>
      </c>
      <c r="I1474" t="str">
        <f t="shared" ref="I1474:I1537" si="23">TEXT(C1474,"yyyy-mm")</f>
        <v>2024-01</v>
      </c>
    </row>
    <row r="1475" spans="1:9" ht="15" customHeight="1" x14ac:dyDescent="0.25">
      <c r="A1475">
        <v>1474</v>
      </c>
      <c r="B1475">
        <v>5</v>
      </c>
      <c r="C1475" t="s">
        <v>35</v>
      </c>
      <c r="D1475">
        <v>480</v>
      </c>
      <c r="E1475">
        <v>39</v>
      </c>
      <c r="F1475" t="s">
        <v>24</v>
      </c>
      <c r="G1475">
        <v>673</v>
      </c>
      <c r="H1475">
        <v>25</v>
      </c>
      <c r="I1475" t="str">
        <f t="shared" si="23"/>
        <v>2024-01</v>
      </c>
    </row>
    <row r="1476" spans="1:9" ht="15" customHeight="1" x14ac:dyDescent="0.25">
      <c r="A1476">
        <v>1475</v>
      </c>
      <c r="B1476">
        <v>5</v>
      </c>
      <c r="C1476" t="s">
        <v>36</v>
      </c>
      <c r="D1476">
        <v>480</v>
      </c>
      <c r="E1476">
        <v>15</v>
      </c>
      <c r="F1476" t="s">
        <v>24</v>
      </c>
      <c r="G1476">
        <v>745</v>
      </c>
      <c r="H1476">
        <v>15</v>
      </c>
      <c r="I1476" t="str">
        <f t="shared" si="23"/>
        <v>2024-01</v>
      </c>
    </row>
    <row r="1477" spans="1:9" ht="15" customHeight="1" x14ac:dyDescent="0.25">
      <c r="A1477">
        <v>1476</v>
      </c>
      <c r="B1477">
        <v>5</v>
      </c>
      <c r="C1477" t="s">
        <v>37</v>
      </c>
      <c r="D1477">
        <v>480</v>
      </c>
      <c r="E1477">
        <v>8</v>
      </c>
      <c r="F1477" t="s">
        <v>33</v>
      </c>
      <c r="G1477">
        <v>673</v>
      </c>
      <c r="H1477">
        <v>31</v>
      </c>
      <c r="I1477" t="str">
        <f t="shared" si="23"/>
        <v>2024-01</v>
      </c>
    </row>
    <row r="1478" spans="1:9" ht="15" customHeight="1" x14ac:dyDescent="0.25">
      <c r="A1478">
        <v>1477</v>
      </c>
      <c r="B1478">
        <v>5</v>
      </c>
      <c r="C1478" t="s">
        <v>38</v>
      </c>
      <c r="D1478">
        <v>480</v>
      </c>
      <c r="E1478">
        <v>119</v>
      </c>
      <c r="F1478" t="s">
        <v>24</v>
      </c>
      <c r="G1478">
        <v>502</v>
      </c>
      <c r="H1478">
        <v>24</v>
      </c>
      <c r="I1478" t="str">
        <f t="shared" si="23"/>
        <v>2024-01</v>
      </c>
    </row>
    <row r="1479" spans="1:9" ht="15" customHeight="1" x14ac:dyDescent="0.25">
      <c r="A1479">
        <v>1478</v>
      </c>
      <c r="B1479">
        <v>5</v>
      </c>
      <c r="C1479" t="s">
        <v>39</v>
      </c>
      <c r="D1479">
        <v>480</v>
      </c>
      <c r="E1479">
        <v>43</v>
      </c>
      <c r="F1479" t="s">
        <v>27</v>
      </c>
      <c r="G1479">
        <v>606</v>
      </c>
      <c r="H1479">
        <v>19</v>
      </c>
      <c r="I1479" t="str">
        <f t="shared" si="23"/>
        <v>2024-01</v>
      </c>
    </row>
    <row r="1480" spans="1:9" ht="15" customHeight="1" x14ac:dyDescent="0.25">
      <c r="A1480">
        <v>1479</v>
      </c>
      <c r="B1480">
        <v>5</v>
      </c>
      <c r="C1480" t="s">
        <v>40</v>
      </c>
      <c r="D1480">
        <v>480</v>
      </c>
      <c r="E1480">
        <v>12</v>
      </c>
      <c r="F1480" t="s">
        <v>27</v>
      </c>
      <c r="G1480">
        <v>758</v>
      </c>
      <c r="H1480">
        <v>18</v>
      </c>
      <c r="I1480" t="str">
        <f t="shared" si="23"/>
        <v>2024-01</v>
      </c>
    </row>
    <row r="1481" spans="1:9" ht="15" customHeight="1" x14ac:dyDescent="0.25">
      <c r="A1481">
        <v>1480</v>
      </c>
      <c r="B1481">
        <v>5</v>
      </c>
      <c r="C1481" t="s">
        <v>41</v>
      </c>
      <c r="D1481">
        <v>480</v>
      </c>
      <c r="E1481">
        <v>39</v>
      </c>
      <c r="F1481" t="s">
        <v>27</v>
      </c>
      <c r="G1481">
        <v>626</v>
      </c>
      <c r="H1481">
        <v>27</v>
      </c>
      <c r="I1481" t="str">
        <f t="shared" si="23"/>
        <v>2024-01</v>
      </c>
    </row>
    <row r="1482" spans="1:9" ht="15" customHeight="1" x14ac:dyDescent="0.25">
      <c r="A1482">
        <v>1481</v>
      </c>
      <c r="B1482">
        <v>5</v>
      </c>
      <c r="C1482" t="s">
        <v>42</v>
      </c>
      <c r="D1482">
        <v>480</v>
      </c>
      <c r="E1482">
        <v>13</v>
      </c>
      <c r="F1482" t="s">
        <v>45</v>
      </c>
      <c r="G1482">
        <v>699</v>
      </c>
      <c r="H1482">
        <v>33</v>
      </c>
      <c r="I1482" t="str">
        <f t="shared" si="23"/>
        <v>2024-01</v>
      </c>
    </row>
    <row r="1483" spans="1:9" ht="15" customHeight="1" x14ac:dyDescent="0.25">
      <c r="A1483">
        <v>1482</v>
      </c>
      <c r="B1483">
        <v>5</v>
      </c>
      <c r="C1483" t="s">
        <v>43</v>
      </c>
      <c r="D1483">
        <v>480</v>
      </c>
      <c r="E1483">
        <v>39</v>
      </c>
      <c r="F1483" t="s">
        <v>24</v>
      </c>
      <c r="G1483">
        <v>699</v>
      </c>
      <c r="H1483">
        <v>14</v>
      </c>
      <c r="I1483" t="str">
        <f t="shared" si="23"/>
        <v>2024-01</v>
      </c>
    </row>
    <row r="1484" spans="1:9" ht="15" customHeight="1" x14ac:dyDescent="0.25">
      <c r="A1484">
        <v>1483</v>
      </c>
      <c r="B1484">
        <v>5</v>
      </c>
      <c r="C1484" t="s">
        <v>44</v>
      </c>
      <c r="D1484">
        <v>480</v>
      </c>
      <c r="E1484">
        <v>28</v>
      </c>
      <c r="F1484" t="s">
        <v>27</v>
      </c>
      <c r="G1484">
        <v>615</v>
      </c>
      <c r="H1484">
        <v>20</v>
      </c>
      <c r="I1484" t="str">
        <f t="shared" si="23"/>
        <v>2024-01</v>
      </c>
    </row>
    <row r="1485" spans="1:9" ht="15" customHeight="1" x14ac:dyDescent="0.25">
      <c r="A1485">
        <v>1484</v>
      </c>
      <c r="B1485">
        <v>5</v>
      </c>
      <c r="C1485" t="s">
        <v>46</v>
      </c>
      <c r="D1485">
        <v>480</v>
      </c>
      <c r="E1485">
        <v>19</v>
      </c>
      <c r="F1485" t="s">
        <v>24</v>
      </c>
      <c r="G1485">
        <v>664</v>
      </c>
      <c r="H1485">
        <v>24</v>
      </c>
      <c r="I1485" t="str">
        <f t="shared" si="23"/>
        <v>2024-01</v>
      </c>
    </row>
    <row r="1486" spans="1:9" ht="15" customHeight="1" x14ac:dyDescent="0.25">
      <c r="A1486">
        <v>1485</v>
      </c>
      <c r="B1486">
        <v>5</v>
      </c>
      <c r="C1486" t="s">
        <v>47</v>
      </c>
      <c r="D1486">
        <v>480</v>
      </c>
      <c r="E1486">
        <v>138</v>
      </c>
      <c r="F1486" t="s">
        <v>24</v>
      </c>
      <c r="G1486">
        <v>464</v>
      </c>
      <c r="H1486">
        <v>19</v>
      </c>
      <c r="I1486" t="str">
        <f t="shared" si="23"/>
        <v>2024-01</v>
      </c>
    </row>
    <row r="1487" spans="1:9" ht="15" customHeight="1" x14ac:dyDescent="0.25">
      <c r="A1487">
        <v>1486</v>
      </c>
      <c r="B1487">
        <v>5</v>
      </c>
      <c r="C1487" t="s">
        <v>48</v>
      </c>
      <c r="D1487">
        <v>480</v>
      </c>
      <c r="E1487">
        <v>12</v>
      </c>
      <c r="F1487" t="s">
        <v>27</v>
      </c>
      <c r="G1487">
        <v>635</v>
      </c>
      <c r="H1487">
        <v>15</v>
      </c>
      <c r="I1487" t="str">
        <f t="shared" si="23"/>
        <v>2024-01</v>
      </c>
    </row>
    <row r="1488" spans="1:9" ht="15" customHeight="1" x14ac:dyDescent="0.25">
      <c r="A1488">
        <v>1487</v>
      </c>
      <c r="B1488">
        <v>5</v>
      </c>
      <c r="C1488" t="s">
        <v>49</v>
      </c>
      <c r="D1488">
        <v>480</v>
      </c>
      <c r="E1488">
        <v>72</v>
      </c>
      <c r="F1488" t="s">
        <v>33</v>
      </c>
      <c r="G1488">
        <v>648</v>
      </c>
      <c r="H1488">
        <v>648</v>
      </c>
      <c r="I1488" t="str">
        <f t="shared" si="23"/>
        <v>2024-01</v>
      </c>
    </row>
    <row r="1489" spans="1:9" ht="15" customHeight="1" x14ac:dyDescent="0.25">
      <c r="A1489">
        <v>1488</v>
      </c>
      <c r="B1489">
        <v>5</v>
      </c>
      <c r="C1489" t="s">
        <v>50</v>
      </c>
      <c r="D1489">
        <v>480</v>
      </c>
      <c r="E1489">
        <v>116</v>
      </c>
      <c r="F1489" t="s">
        <v>24</v>
      </c>
      <c r="G1489">
        <v>503</v>
      </c>
      <c r="H1489">
        <v>15</v>
      </c>
      <c r="I1489" t="str">
        <f t="shared" si="23"/>
        <v>2024-01</v>
      </c>
    </row>
    <row r="1490" spans="1:9" ht="15" customHeight="1" x14ac:dyDescent="0.25">
      <c r="A1490">
        <v>1489</v>
      </c>
      <c r="B1490">
        <v>5</v>
      </c>
      <c r="C1490" t="s">
        <v>51</v>
      </c>
      <c r="D1490">
        <v>480</v>
      </c>
      <c r="E1490">
        <v>27</v>
      </c>
      <c r="F1490" t="s">
        <v>29</v>
      </c>
      <c r="G1490">
        <v>664</v>
      </c>
      <c r="H1490">
        <v>21</v>
      </c>
      <c r="I1490" t="str">
        <f t="shared" si="23"/>
        <v>2024-01</v>
      </c>
    </row>
    <row r="1491" spans="1:9" ht="15" customHeight="1" x14ac:dyDescent="0.25">
      <c r="A1491">
        <v>1490</v>
      </c>
      <c r="B1491">
        <v>5</v>
      </c>
      <c r="C1491" t="s">
        <v>52</v>
      </c>
      <c r="D1491">
        <v>480</v>
      </c>
      <c r="E1491">
        <v>10</v>
      </c>
      <c r="F1491" t="s">
        <v>24</v>
      </c>
      <c r="G1491">
        <v>705</v>
      </c>
      <c r="H1491">
        <v>27</v>
      </c>
      <c r="I1491" t="str">
        <f t="shared" si="23"/>
        <v>2024-01</v>
      </c>
    </row>
    <row r="1492" spans="1:9" ht="15" customHeight="1" x14ac:dyDescent="0.25">
      <c r="A1492">
        <v>1491</v>
      </c>
      <c r="B1492">
        <v>5</v>
      </c>
      <c r="C1492" t="s">
        <v>53</v>
      </c>
      <c r="D1492">
        <v>480</v>
      </c>
      <c r="E1492">
        <v>4</v>
      </c>
      <c r="F1492" t="s">
        <v>45</v>
      </c>
      <c r="G1492">
        <v>696</v>
      </c>
      <c r="H1492">
        <v>26</v>
      </c>
      <c r="I1492" t="str">
        <f t="shared" si="23"/>
        <v>2024-01</v>
      </c>
    </row>
    <row r="1493" spans="1:9" ht="15" customHeight="1" x14ac:dyDescent="0.25">
      <c r="A1493">
        <v>1492</v>
      </c>
      <c r="B1493">
        <v>5</v>
      </c>
      <c r="C1493" t="s">
        <v>54</v>
      </c>
      <c r="D1493">
        <v>480</v>
      </c>
      <c r="E1493">
        <v>20</v>
      </c>
      <c r="F1493" t="s">
        <v>22</v>
      </c>
      <c r="G1493">
        <v>636</v>
      </c>
      <c r="H1493">
        <v>28</v>
      </c>
      <c r="I1493" t="str">
        <f t="shared" si="23"/>
        <v>2024-01</v>
      </c>
    </row>
    <row r="1494" spans="1:9" ht="15" customHeight="1" x14ac:dyDescent="0.25">
      <c r="A1494">
        <v>1493</v>
      </c>
      <c r="B1494">
        <v>5</v>
      </c>
      <c r="C1494" t="s">
        <v>55</v>
      </c>
      <c r="D1494">
        <v>480</v>
      </c>
      <c r="E1494">
        <v>0</v>
      </c>
      <c r="F1494" t="s">
        <v>33</v>
      </c>
      <c r="G1494">
        <v>685</v>
      </c>
      <c r="H1494">
        <v>31</v>
      </c>
      <c r="I1494" t="str">
        <f t="shared" si="23"/>
        <v>2024-01</v>
      </c>
    </row>
    <row r="1495" spans="1:9" ht="15" customHeight="1" x14ac:dyDescent="0.25">
      <c r="A1495">
        <v>1494</v>
      </c>
      <c r="B1495">
        <v>5</v>
      </c>
      <c r="C1495" t="s">
        <v>56</v>
      </c>
      <c r="D1495">
        <v>480</v>
      </c>
      <c r="E1495">
        <v>20</v>
      </c>
      <c r="F1495" t="s">
        <v>29</v>
      </c>
      <c r="G1495">
        <v>643</v>
      </c>
      <c r="H1495">
        <v>27</v>
      </c>
      <c r="I1495" t="str">
        <f t="shared" si="23"/>
        <v>2024-01</v>
      </c>
    </row>
    <row r="1496" spans="1:9" ht="15" customHeight="1" x14ac:dyDescent="0.25">
      <c r="A1496">
        <v>1495</v>
      </c>
      <c r="B1496">
        <v>5</v>
      </c>
      <c r="C1496" t="s">
        <v>57</v>
      </c>
      <c r="D1496">
        <v>480</v>
      </c>
      <c r="E1496">
        <v>20</v>
      </c>
      <c r="F1496" t="s">
        <v>22</v>
      </c>
      <c r="G1496">
        <v>719</v>
      </c>
      <c r="H1496">
        <v>31</v>
      </c>
      <c r="I1496" t="str">
        <f t="shared" si="23"/>
        <v>2024-01</v>
      </c>
    </row>
    <row r="1497" spans="1:9" ht="15" customHeight="1" x14ac:dyDescent="0.25">
      <c r="A1497">
        <v>1496</v>
      </c>
      <c r="B1497">
        <v>5</v>
      </c>
      <c r="C1497" t="s">
        <v>58</v>
      </c>
      <c r="D1497">
        <v>480</v>
      </c>
      <c r="E1497">
        <v>23</v>
      </c>
      <c r="F1497" t="s">
        <v>22</v>
      </c>
      <c r="G1497">
        <v>671</v>
      </c>
      <c r="H1497">
        <v>15</v>
      </c>
      <c r="I1497" t="str">
        <f t="shared" si="23"/>
        <v>2024-02</v>
      </c>
    </row>
    <row r="1498" spans="1:9" ht="15" customHeight="1" x14ac:dyDescent="0.25">
      <c r="A1498">
        <v>1497</v>
      </c>
      <c r="B1498">
        <v>5</v>
      </c>
      <c r="C1498" t="s">
        <v>59</v>
      </c>
      <c r="D1498">
        <v>480</v>
      </c>
      <c r="E1498">
        <v>7</v>
      </c>
      <c r="F1498" t="s">
        <v>24</v>
      </c>
      <c r="G1498">
        <v>684</v>
      </c>
      <c r="H1498">
        <v>27</v>
      </c>
      <c r="I1498" t="str">
        <f t="shared" si="23"/>
        <v>2024-02</v>
      </c>
    </row>
    <row r="1499" spans="1:9" ht="15" customHeight="1" x14ac:dyDescent="0.25">
      <c r="A1499">
        <v>1498</v>
      </c>
      <c r="B1499">
        <v>5</v>
      </c>
      <c r="C1499" t="s">
        <v>60</v>
      </c>
      <c r="D1499">
        <v>480</v>
      </c>
      <c r="E1499">
        <v>17</v>
      </c>
      <c r="F1499" t="s">
        <v>45</v>
      </c>
      <c r="G1499">
        <v>651</v>
      </c>
      <c r="H1499">
        <v>11</v>
      </c>
      <c r="I1499" t="str">
        <f t="shared" si="23"/>
        <v>2024-02</v>
      </c>
    </row>
    <row r="1500" spans="1:9" ht="15" customHeight="1" x14ac:dyDescent="0.25">
      <c r="A1500">
        <v>1499</v>
      </c>
      <c r="B1500">
        <v>5</v>
      </c>
      <c r="C1500" t="s">
        <v>61</v>
      </c>
      <c r="D1500">
        <v>480</v>
      </c>
      <c r="E1500">
        <v>16</v>
      </c>
      <c r="F1500" t="s">
        <v>27</v>
      </c>
      <c r="G1500">
        <v>652</v>
      </c>
      <c r="H1500">
        <v>28</v>
      </c>
      <c r="I1500" t="str">
        <f t="shared" si="23"/>
        <v>2024-02</v>
      </c>
    </row>
    <row r="1501" spans="1:9" ht="15" customHeight="1" x14ac:dyDescent="0.25">
      <c r="A1501">
        <v>1500</v>
      </c>
      <c r="B1501">
        <v>5</v>
      </c>
      <c r="C1501" t="s">
        <v>62</v>
      </c>
      <c r="D1501">
        <v>480</v>
      </c>
      <c r="E1501">
        <v>0</v>
      </c>
      <c r="F1501" t="s">
        <v>33</v>
      </c>
      <c r="G1501">
        <v>719</v>
      </c>
      <c r="H1501">
        <v>37</v>
      </c>
      <c r="I1501" t="str">
        <f t="shared" si="23"/>
        <v>2024-02</v>
      </c>
    </row>
    <row r="1502" spans="1:9" ht="15" customHeight="1" x14ac:dyDescent="0.25">
      <c r="A1502">
        <v>1501</v>
      </c>
      <c r="B1502">
        <v>5</v>
      </c>
      <c r="C1502" t="s">
        <v>63</v>
      </c>
      <c r="D1502">
        <v>480</v>
      </c>
      <c r="E1502">
        <v>4</v>
      </c>
      <c r="F1502" t="s">
        <v>33</v>
      </c>
      <c r="G1502">
        <v>696</v>
      </c>
      <c r="H1502">
        <v>14</v>
      </c>
      <c r="I1502" t="str">
        <f t="shared" si="23"/>
        <v>2024-02</v>
      </c>
    </row>
    <row r="1503" spans="1:9" ht="15" customHeight="1" x14ac:dyDescent="0.25">
      <c r="A1503">
        <v>1502</v>
      </c>
      <c r="B1503">
        <v>5</v>
      </c>
      <c r="C1503" t="s">
        <v>64</v>
      </c>
      <c r="D1503">
        <v>480</v>
      </c>
      <c r="E1503">
        <v>24</v>
      </c>
      <c r="F1503" t="s">
        <v>24</v>
      </c>
      <c r="G1503">
        <v>678</v>
      </c>
      <c r="H1503">
        <v>22</v>
      </c>
      <c r="I1503" t="str">
        <f t="shared" si="23"/>
        <v>2024-02</v>
      </c>
    </row>
    <row r="1504" spans="1:9" ht="15" customHeight="1" x14ac:dyDescent="0.25">
      <c r="A1504">
        <v>1503</v>
      </c>
      <c r="B1504">
        <v>5</v>
      </c>
      <c r="C1504" t="s">
        <v>65</v>
      </c>
      <c r="D1504">
        <v>480</v>
      </c>
      <c r="E1504">
        <v>18</v>
      </c>
      <c r="F1504" t="s">
        <v>27</v>
      </c>
      <c r="G1504">
        <v>737</v>
      </c>
      <c r="H1504">
        <v>18</v>
      </c>
      <c r="I1504" t="str">
        <f t="shared" si="23"/>
        <v>2024-02</v>
      </c>
    </row>
    <row r="1505" spans="1:9" ht="15" customHeight="1" x14ac:dyDescent="0.25">
      <c r="A1505">
        <v>1504</v>
      </c>
      <c r="B1505">
        <v>5</v>
      </c>
      <c r="C1505" t="s">
        <v>66</v>
      </c>
      <c r="D1505">
        <v>480</v>
      </c>
      <c r="E1505">
        <v>0</v>
      </c>
      <c r="F1505" t="s">
        <v>33</v>
      </c>
      <c r="G1505">
        <v>760</v>
      </c>
      <c r="H1505">
        <v>29</v>
      </c>
      <c r="I1505" t="str">
        <f t="shared" si="23"/>
        <v>2024-02</v>
      </c>
    </row>
    <row r="1506" spans="1:9" ht="15" customHeight="1" x14ac:dyDescent="0.25">
      <c r="A1506">
        <v>1505</v>
      </c>
      <c r="B1506">
        <v>5</v>
      </c>
      <c r="C1506" t="s">
        <v>67</v>
      </c>
      <c r="D1506">
        <v>480</v>
      </c>
      <c r="E1506">
        <v>54</v>
      </c>
      <c r="F1506" t="s">
        <v>29</v>
      </c>
      <c r="G1506">
        <v>640</v>
      </c>
      <c r="H1506">
        <v>30</v>
      </c>
      <c r="I1506" t="str">
        <f t="shared" si="23"/>
        <v>2024-02</v>
      </c>
    </row>
    <row r="1507" spans="1:9" ht="15" customHeight="1" x14ac:dyDescent="0.25">
      <c r="A1507">
        <v>1506</v>
      </c>
      <c r="B1507">
        <v>5</v>
      </c>
      <c r="C1507" t="s">
        <v>68</v>
      </c>
      <c r="D1507">
        <v>480</v>
      </c>
      <c r="E1507">
        <v>13</v>
      </c>
      <c r="F1507" t="s">
        <v>24</v>
      </c>
      <c r="G1507">
        <v>723</v>
      </c>
      <c r="H1507">
        <v>36</v>
      </c>
      <c r="I1507" t="str">
        <f t="shared" si="23"/>
        <v>2024-02</v>
      </c>
    </row>
    <row r="1508" spans="1:9" ht="15" customHeight="1" x14ac:dyDescent="0.25">
      <c r="A1508">
        <v>1507</v>
      </c>
      <c r="B1508">
        <v>5</v>
      </c>
      <c r="C1508" t="s">
        <v>69</v>
      </c>
      <c r="D1508">
        <v>480</v>
      </c>
      <c r="E1508">
        <v>20</v>
      </c>
      <c r="F1508" t="s">
        <v>33</v>
      </c>
      <c r="G1508">
        <v>631</v>
      </c>
      <c r="H1508">
        <v>17</v>
      </c>
      <c r="I1508" t="str">
        <f t="shared" si="23"/>
        <v>2024-02</v>
      </c>
    </row>
    <row r="1509" spans="1:9" ht="15" customHeight="1" x14ac:dyDescent="0.25">
      <c r="A1509">
        <v>1508</v>
      </c>
      <c r="B1509">
        <v>5</v>
      </c>
      <c r="C1509" t="s">
        <v>70</v>
      </c>
      <c r="D1509">
        <v>480</v>
      </c>
      <c r="E1509">
        <v>5</v>
      </c>
      <c r="F1509" t="s">
        <v>45</v>
      </c>
      <c r="G1509">
        <v>662</v>
      </c>
      <c r="H1509">
        <v>19</v>
      </c>
      <c r="I1509" t="str">
        <f t="shared" si="23"/>
        <v>2024-02</v>
      </c>
    </row>
    <row r="1510" spans="1:9" ht="15" customHeight="1" x14ac:dyDescent="0.25">
      <c r="A1510">
        <v>1509</v>
      </c>
      <c r="B1510">
        <v>5</v>
      </c>
      <c r="C1510" t="s">
        <v>71</v>
      </c>
      <c r="D1510">
        <v>480</v>
      </c>
      <c r="E1510">
        <v>19</v>
      </c>
      <c r="F1510" t="s">
        <v>45</v>
      </c>
      <c r="G1510">
        <v>691</v>
      </c>
      <c r="H1510">
        <v>23</v>
      </c>
      <c r="I1510" t="str">
        <f t="shared" si="23"/>
        <v>2024-02</v>
      </c>
    </row>
    <row r="1511" spans="1:9" ht="15" customHeight="1" x14ac:dyDescent="0.25">
      <c r="A1511">
        <v>1510</v>
      </c>
      <c r="B1511">
        <v>5</v>
      </c>
      <c r="C1511" t="s">
        <v>72</v>
      </c>
      <c r="D1511">
        <v>480</v>
      </c>
      <c r="E1511">
        <v>23</v>
      </c>
      <c r="F1511" t="s">
        <v>29</v>
      </c>
      <c r="G1511">
        <v>613</v>
      </c>
      <c r="H1511">
        <v>12</v>
      </c>
      <c r="I1511" t="str">
        <f t="shared" si="23"/>
        <v>2024-02</v>
      </c>
    </row>
    <row r="1512" spans="1:9" ht="15" customHeight="1" x14ac:dyDescent="0.25">
      <c r="A1512">
        <v>1511</v>
      </c>
      <c r="B1512">
        <v>5</v>
      </c>
      <c r="C1512" t="s">
        <v>73</v>
      </c>
      <c r="D1512">
        <v>480</v>
      </c>
      <c r="E1512">
        <v>4</v>
      </c>
      <c r="F1512" t="s">
        <v>33</v>
      </c>
      <c r="G1512">
        <v>703</v>
      </c>
      <c r="H1512">
        <v>18</v>
      </c>
      <c r="I1512" t="str">
        <f t="shared" si="23"/>
        <v>2024-02</v>
      </c>
    </row>
    <row r="1513" spans="1:9" ht="15" customHeight="1" x14ac:dyDescent="0.25">
      <c r="A1513">
        <v>1512</v>
      </c>
      <c r="B1513">
        <v>5</v>
      </c>
      <c r="C1513" t="s">
        <v>74</v>
      </c>
      <c r="D1513">
        <v>480</v>
      </c>
      <c r="E1513">
        <v>8</v>
      </c>
      <c r="F1513" t="s">
        <v>45</v>
      </c>
      <c r="G1513">
        <v>680</v>
      </c>
      <c r="H1513">
        <v>32</v>
      </c>
      <c r="I1513" t="str">
        <f t="shared" si="23"/>
        <v>2024-02</v>
      </c>
    </row>
    <row r="1514" spans="1:9" ht="15" customHeight="1" x14ac:dyDescent="0.25">
      <c r="A1514">
        <v>1513</v>
      </c>
      <c r="B1514">
        <v>5</v>
      </c>
      <c r="C1514" t="s">
        <v>75</v>
      </c>
      <c r="D1514">
        <v>480</v>
      </c>
      <c r="E1514">
        <v>0</v>
      </c>
      <c r="F1514" t="s">
        <v>33</v>
      </c>
      <c r="G1514">
        <v>729</v>
      </c>
      <c r="H1514">
        <v>30</v>
      </c>
      <c r="I1514" t="str">
        <f t="shared" si="23"/>
        <v>2024-02</v>
      </c>
    </row>
    <row r="1515" spans="1:9" ht="15" customHeight="1" x14ac:dyDescent="0.25">
      <c r="A1515">
        <v>1514</v>
      </c>
      <c r="B1515">
        <v>5</v>
      </c>
      <c r="C1515" t="s">
        <v>76</v>
      </c>
      <c r="D1515">
        <v>480</v>
      </c>
      <c r="E1515">
        <v>39</v>
      </c>
      <c r="F1515" t="s">
        <v>22</v>
      </c>
      <c r="G1515">
        <v>708</v>
      </c>
      <c r="H1515">
        <v>13</v>
      </c>
      <c r="I1515" t="str">
        <f t="shared" si="23"/>
        <v>2024-02</v>
      </c>
    </row>
    <row r="1516" spans="1:9" ht="15" customHeight="1" x14ac:dyDescent="0.25">
      <c r="A1516">
        <v>1515</v>
      </c>
      <c r="B1516">
        <v>5</v>
      </c>
      <c r="C1516" t="s">
        <v>77</v>
      </c>
      <c r="D1516">
        <v>480</v>
      </c>
      <c r="E1516">
        <v>4</v>
      </c>
      <c r="F1516" t="s">
        <v>24</v>
      </c>
      <c r="G1516">
        <v>757</v>
      </c>
      <c r="H1516">
        <v>26</v>
      </c>
      <c r="I1516" t="str">
        <f t="shared" si="23"/>
        <v>2024-02</v>
      </c>
    </row>
    <row r="1517" spans="1:9" ht="15" customHeight="1" x14ac:dyDescent="0.25">
      <c r="A1517">
        <v>1516</v>
      </c>
      <c r="B1517">
        <v>5</v>
      </c>
      <c r="C1517" t="s">
        <v>78</v>
      </c>
      <c r="D1517">
        <v>480</v>
      </c>
      <c r="E1517">
        <v>20</v>
      </c>
      <c r="F1517" t="s">
        <v>24</v>
      </c>
      <c r="G1517">
        <v>700</v>
      </c>
      <c r="H1517">
        <v>29</v>
      </c>
      <c r="I1517" t="str">
        <f t="shared" si="23"/>
        <v>2024-02</v>
      </c>
    </row>
    <row r="1518" spans="1:9" ht="15" customHeight="1" x14ac:dyDescent="0.25">
      <c r="A1518">
        <v>1517</v>
      </c>
      <c r="B1518">
        <v>5</v>
      </c>
      <c r="C1518" t="s">
        <v>79</v>
      </c>
      <c r="D1518">
        <v>480</v>
      </c>
      <c r="E1518">
        <v>65</v>
      </c>
      <c r="F1518" t="s">
        <v>45</v>
      </c>
      <c r="G1518">
        <v>675</v>
      </c>
      <c r="H1518">
        <v>29</v>
      </c>
      <c r="I1518" t="str">
        <f t="shared" si="23"/>
        <v>2024-02</v>
      </c>
    </row>
    <row r="1519" spans="1:9" ht="15" customHeight="1" x14ac:dyDescent="0.25">
      <c r="A1519">
        <v>1518</v>
      </c>
      <c r="B1519">
        <v>5</v>
      </c>
      <c r="C1519" t="s">
        <v>80</v>
      </c>
      <c r="D1519">
        <v>480</v>
      </c>
      <c r="E1519">
        <v>8</v>
      </c>
      <c r="F1519" t="s">
        <v>22</v>
      </c>
      <c r="G1519">
        <v>750</v>
      </c>
      <c r="H1519">
        <v>14</v>
      </c>
      <c r="I1519" t="str">
        <f t="shared" si="23"/>
        <v>2024-02</v>
      </c>
    </row>
    <row r="1520" spans="1:9" ht="15" customHeight="1" x14ac:dyDescent="0.25">
      <c r="A1520">
        <v>1519</v>
      </c>
      <c r="B1520">
        <v>5</v>
      </c>
      <c r="C1520" t="s">
        <v>81</v>
      </c>
      <c r="D1520">
        <v>480</v>
      </c>
      <c r="E1520">
        <v>6</v>
      </c>
      <c r="F1520" t="s">
        <v>22</v>
      </c>
      <c r="G1520">
        <v>756</v>
      </c>
      <c r="H1520">
        <v>20</v>
      </c>
      <c r="I1520" t="str">
        <f t="shared" si="23"/>
        <v>2024-02</v>
      </c>
    </row>
    <row r="1521" spans="1:9" ht="15" customHeight="1" x14ac:dyDescent="0.25">
      <c r="A1521">
        <v>1520</v>
      </c>
      <c r="B1521">
        <v>5</v>
      </c>
      <c r="C1521" t="s">
        <v>82</v>
      </c>
      <c r="D1521">
        <v>480</v>
      </c>
      <c r="E1521">
        <v>6</v>
      </c>
      <c r="F1521" t="s">
        <v>45</v>
      </c>
      <c r="G1521">
        <v>644</v>
      </c>
      <c r="H1521">
        <v>31</v>
      </c>
      <c r="I1521" t="str">
        <f t="shared" si="23"/>
        <v>2024-02</v>
      </c>
    </row>
    <row r="1522" spans="1:9" ht="15" customHeight="1" x14ac:dyDescent="0.25">
      <c r="A1522">
        <v>1521</v>
      </c>
      <c r="B1522">
        <v>5</v>
      </c>
      <c r="C1522" t="s">
        <v>83</v>
      </c>
      <c r="D1522">
        <v>480</v>
      </c>
      <c r="E1522">
        <v>16</v>
      </c>
      <c r="F1522" t="s">
        <v>45</v>
      </c>
      <c r="G1522">
        <v>708</v>
      </c>
      <c r="H1522">
        <v>18</v>
      </c>
      <c r="I1522" t="str">
        <f t="shared" si="23"/>
        <v>2024-02</v>
      </c>
    </row>
    <row r="1523" spans="1:9" ht="15" customHeight="1" x14ac:dyDescent="0.25">
      <c r="A1523">
        <v>1522</v>
      </c>
      <c r="B1523">
        <v>5</v>
      </c>
      <c r="C1523" t="s">
        <v>84</v>
      </c>
      <c r="D1523">
        <v>480</v>
      </c>
      <c r="E1523">
        <v>34</v>
      </c>
      <c r="F1523" t="s">
        <v>45</v>
      </c>
      <c r="G1523">
        <v>692</v>
      </c>
      <c r="H1523">
        <v>20</v>
      </c>
      <c r="I1523" t="str">
        <f t="shared" si="23"/>
        <v>2024-02</v>
      </c>
    </row>
    <row r="1524" spans="1:9" ht="15" customHeight="1" x14ac:dyDescent="0.25">
      <c r="A1524">
        <v>1523</v>
      </c>
      <c r="B1524">
        <v>5</v>
      </c>
      <c r="C1524" t="s">
        <v>85</v>
      </c>
      <c r="D1524">
        <v>480</v>
      </c>
      <c r="E1524">
        <v>12</v>
      </c>
      <c r="F1524" t="s">
        <v>45</v>
      </c>
      <c r="G1524">
        <v>647</v>
      </c>
      <c r="H1524">
        <v>34</v>
      </c>
      <c r="I1524" t="str">
        <f t="shared" si="23"/>
        <v>2024-02</v>
      </c>
    </row>
    <row r="1525" spans="1:9" ht="15" customHeight="1" x14ac:dyDescent="0.25">
      <c r="A1525">
        <v>1524</v>
      </c>
      <c r="B1525">
        <v>5</v>
      </c>
      <c r="C1525" t="s">
        <v>86</v>
      </c>
      <c r="D1525">
        <v>480</v>
      </c>
      <c r="E1525">
        <v>25</v>
      </c>
      <c r="F1525" t="s">
        <v>33</v>
      </c>
      <c r="G1525">
        <v>731</v>
      </c>
      <c r="H1525">
        <v>21</v>
      </c>
      <c r="I1525" t="str">
        <f t="shared" si="23"/>
        <v>2024-02</v>
      </c>
    </row>
    <row r="1526" spans="1:9" ht="15" customHeight="1" x14ac:dyDescent="0.25">
      <c r="A1526">
        <v>1525</v>
      </c>
      <c r="B1526">
        <v>5</v>
      </c>
      <c r="C1526" t="s">
        <v>87</v>
      </c>
      <c r="D1526">
        <v>480</v>
      </c>
      <c r="E1526">
        <v>37</v>
      </c>
      <c r="F1526" t="s">
        <v>45</v>
      </c>
      <c r="G1526">
        <v>688</v>
      </c>
      <c r="H1526">
        <v>29</v>
      </c>
      <c r="I1526" t="str">
        <f t="shared" si="23"/>
        <v>2024-03</v>
      </c>
    </row>
    <row r="1527" spans="1:9" ht="15" customHeight="1" x14ac:dyDescent="0.25">
      <c r="A1527">
        <v>1526</v>
      </c>
      <c r="B1527">
        <v>5</v>
      </c>
      <c r="C1527" t="s">
        <v>88</v>
      </c>
      <c r="D1527">
        <v>480</v>
      </c>
      <c r="E1527">
        <v>82</v>
      </c>
      <c r="F1527" t="s">
        <v>45</v>
      </c>
      <c r="G1527">
        <v>572</v>
      </c>
      <c r="H1527">
        <v>12</v>
      </c>
      <c r="I1527" t="str">
        <f t="shared" si="23"/>
        <v>2024-03</v>
      </c>
    </row>
    <row r="1528" spans="1:9" ht="15" customHeight="1" x14ac:dyDescent="0.25">
      <c r="A1528">
        <v>1527</v>
      </c>
      <c r="B1528">
        <v>5</v>
      </c>
      <c r="C1528" t="s">
        <v>89</v>
      </c>
      <c r="D1528">
        <v>480</v>
      </c>
      <c r="E1528">
        <v>27</v>
      </c>
      <c r="F1528" t="s">
        <v>24</v>
      </c>
      <c r="G1528">
        <v>699</v>
      </c>
      <c r="H1528">
        <v>26</v>
      </c>
      <c r="I1528" t="str">
        <f t="shared" si="23"/>
        <v>2024-03</v>
      </c>
    </row>
    <row r="1529" spans="1:9" ht="15" customHeight="1" x14ac:dyDescent="0.25">
      <c r="A1529">
        <v>1528</v>
      </c>
      <c r="B1529">
        <v>5</v>
      </c>
      <c r="C1529" t="s">
        <v>90</v>
      </c>
      <c r="D1529">
        <v>480</v>
      </c>
      <c r="E1529">
        <v>5</v>
      </c>
      <c r="F1529" t="s">
        <v>27</v>
      </c>
      <c r="G1529">
        <v>700</v>
      </c>
      <c r="H1529">
        <v>20</v>
      </c>
      <c r="I1529" t="str">
        <f t="shared" si="23"/>
        <v>2024-03</v>
      </c>
    </row>
    <row r="1530" spans="1:9" ht="15" customHeight="1" x14ac:dyDescent="0.25">
      <c r="A1530">
        <v>1529</v>
      </c>
      <c r="B1530">
        <v>5</v>
      </c>
      <c r="C1530" t="s">
        <v>91</v>
      </c>
      <c r="D1530">
        <v>480</v>
      </c>
      <c r="E1530">
        <v>13</v>
      </c>
      <c r="F1530" t="s">
        <v>29</v>
      </c>
      <c r="G1530">
        <v>708</v>
      </c>
      <c r="H1530">
        <v>31</v>
      </c>
      <c r="I1530" t="str">
        <f t="shared" si="23"/>
        <v>2024-03</v>
      </c>
    </row>
    <row r="1531" spans="1:9" ht="15" customHeight="1" x14ac:dyDescent="0.25">
      <c r="A1531">
        <v>1530</v>
      </c>
      <c r="B1531">
        <v>5</v>
      </c>
      <c r="C1531" t="s">
        <v>92</v>
      </c>
      <c r="D1531">
        <v>480</v>
      </c>
      <c r="E1531">
        <v>6</v>
      </c>
      <c r="F1531" t="s">
        <v>22</v>
      </c>
      <c r="G1531">
        <v>684</v>
      </c>
      <c r="H1531">
        <v>18</v>
      </c>
      <c r="I1531" t="str">
        <f t="shared" si="23"/>
        <v>2024-03</v>
      </c>
    </row>
    <row r="1532" spans="1:9" ht="15" customHeight="1" x14ac:dyDescent="0.25">
      <c r="A1532">
        <v>1531</v>
      </c>
      <c r="B1532">
        <v>5</v>
      </c>
      <c r="C1532" t="s">
        <v>93</v>
      </c>
      <c r="D1532">
        <v>480</v>
      </c>
      <c r="E1532">
        <v>5</v>
      </c>
      <c r="F1532" t="s">
        <v>27</v>
      </c>
      <c r="G1532">
        <v>741</v>
      </c>
      <c r="H1532">
        <v>37</v>
      </c>
      <c r="I1532" t="str">
        <f t="shared" si="23"/>
        <v>2024-03</v>
      </c>
    </row>
    <row r="1533" spans="1:9" ht="15" customHeight="1" x14ac:dyDescent="0.25">
      <c r="A1533">
        <v>1532</v>
      </c>
      <c r="B1533">
        <v>5</v>
      </c>
      <c r="C1533" t="s">
        <v>94</v>
      </c>
      <c r="D1533">
        <v>480</v>
      </c>
      <c r="E1533">
        <v>11</v>
      </c>
      <c r="F1533" t="s">
        <v>22</v>
      </c>
      <c r="G1533">
        <v>727</v>
      </c>
      <c r="H1533">
        <v>36</v>
      </c>
      <c r="I1533" t="str">
        <f t="shared" si="23"/>
        <v>2024-03</v>
      </c>
    </row>
    <row r="1534" spans="1:9" ht="15" customHeight="1" x14ac:dyDescent="0.25">
      <c r="A1534">
        <v>1533</v>
      </c>
      <c r="B1534">
        <v>5</v>
      </c>
      <c r="C1534" t="s">
        <v>95</v>
      </c>
      <c r="D1534">
        <v>480</v>
      </c>
      <c r="E1534">
        <v>45</v>
      </c>
      <c r="F1534" t="s">
        <v>27</v>
      </c>
      <c r="G1534">
        <v>597</v>
      </c>
      <c r="H1534">
        <v>31</v>
      </c>
      <c r="I1534" t="str">
        <f t="shared" si="23"/>
        <v>2024-03</v>
      </c>
    </row>
    <row r="1535" spans="1:9" ht="15" customHeight="1" x14ac:dyDescent="0.25">
      <c r="A1535">
        <v>1534</v>
      </c>
      <c r="B1535">
        <v>5</v>
      </c>
      <c r="C1535" t="s">
        <v>96</v>
      </c>
      <c r="D1535">
        <v>480</v>
      </c>
      <c r="E1535">
        <v>11</v>
      </c>
      <c r="F1535" t="s">
        <v>29</v>
      </c>
      <c r="G1535">
        <v>667</v>
      </c>
      <c r="H1535">
        <v>13</v>
      </c>
      <c r="I1535" t="str">
        <f t="shared" si="23"/>
        <v>2024-03</v>
      </c>
    </row>
    <row r="1536" spans="1:9" ht="15" customHeight="1" x14ac:dyDescent="0.25">
      <c r="A1536">
        <v>1535</v>
      </c>
      <c r="B1536">
        <v>5</v>
      </c>
      <c r="C1536" t="s">
        <v>97</v>
      </c>
      <c r="D1536">
        <v>480</v>
      </c>
      <c r="E1536">
        <v>16</v>
      </c>
      <c r="F1536" t="s">
        <v>24</v>
      </c>
      <c r="G1536">
        <v>627</v>
      </c>
      <c r="H1536">
        <v>16</v>
      </c>
      <c r="I1536" t="str">
        <f t="shared" si="23"/>
        <v>2024-03</v>
      </c>
    </row>
    <row r="1537" spans="1:9" ht="15" customHeight="1" x14ac:dyDescent="0.25">
      <c r="A1537">
        <v>1536</v>
      </c>
      <c r="B1537">
        <v>5</v>
      </c>
      <c r="C1537" t="s">
        <v>98</v>
      </c>
      <c r="D1537">
        <v>480</v>
      </c>
      <c r="E1537">
        <v>9</v>
      </c>
      <c r="F1537" t="s">
        <v>45</v>
      </c>
      <c r="G1537">
        <v>738</v>
      </c>
      <c r="H1537">
        <v>36</v>
      </c>
      <c r="I1537" t="str">
        <f t="shared" si="23"/>
        <v>2024-03</v>
      </c>
    </row>
    <row r="1538" spans="1:9" ht="15" customHeight="1" x14ac:dyDescent="0.25">
      <c r="A1538">
        <v>1537</v>
      </c>
      <c r="B1538">
        <v>5</v>
      </c>
      <c r="C1538" t="s">
        <v>99</v>
      </c>
      <c r="D1538">
        <v>480</v>
      </c>
      <c r="E1538">
        <v>8</v>
      </c>
      <c r="F1538" t="s">
        <v>24</v>
      </c>
      <c r="G1538">
        <v>747</v>
      </c>
      <c r="H1538">
        <v>36</v>
      </c>
      <c r="I1538" t="str">
        <f t="shared" ref="I1538:I1601" si="24">TEXT(C1538,"yyyy-mm")</f>
        <v>2024-03</v>
      </c>
    </row>
    <row r="1539" spans="1:9" ht="15" customHeight="1" x14ac:dyDescent="0.25">
      <c r="A1539">
        <v>1538</v>
      </c>
      <c r="B1539">
        <v>5</v>
      </c>
      <c r="C1539" t="s">
        <v>100</v>
      </c>
      <c r="D1539">
        <v>480</v>
      </c>
      <c r="E1539">
        <v>35</v>
      </c>
      <c r="F1539" t="s">
        <v>29</v>
      </c>
      <c r="G1539">
        <v>606</v>
      </c>
      <c r="H1539">
        <v>25</v>
      </c>
      <c r="I1539" t="str">
        <f t="shared" si="24"/>
        <v>2024-03</v>
      </c>
    </row>
    <row r="1540" spans="1:9" ht="15" customHeight="1" x14ac:dyDescent="0.25">
      <c r="A1540">
        <v>1539</v>
      </c>
      <c r="B1540">
        <v>5</v>
      </c>
      <c r="C1540" t="s">
        <v>101</v>
      </c>
      <c r="D1540">
        <v>480</v>
      </c>
      <c r="E1540">
        <v>70</v>
      </c>
      <c r="F1540" t="s">
        <v>29</v>
      </c>
      <c r="G1540">
        <v>626</v>
      </c>
      <c r="H1540">
        <v>18</v>
      </c>
      <c r="I1540" t="str">
        <f t="shared" si="24"/>
        <v>2024-03</v>
      </c>
    </row>
    <row r="1541" spans="1:9" ht="15" customHeight="1" x14ac:dyDescent="0.25">
      <c r="A1541">
        <v>1540</v>
      </c>
      <c r="B1541">
        <v>5</v>
      </c>
      <c r="C1541" t="s">
        <v>102</v>
      </c>
      <c r="D1541">
        <v>480</v>
      </c>
      <c r="E1541">
        <v>16</v>
      </c>
      <c r="F1541" t="s">
        <v>27</v>
      </c>
      <c r="G1541">
        <v>704</v>
      </c>
      <c r="H1541">
        <v>25</v>
      </c>
      <c r="I1541" t="str">
        <f t="shared" si="24"/>
        <v>2024-03</v>
      </c>
    </row>
    <row r="1542" spans="1:9" ht="15" customHeight="1" x14ac:dyDescent="0.25">
      <c r="A1542">
        <v>1541</v>
      </c>
      <c r="B1542">
        <v>5</v>
      </c>
      <c r="C1542" t="s">
        <v>103</v>
      </c>
      <c r="D1542">
        <v>480</v>
      </c>
      <c r="E1542">
        <v>3</v>
      </c>
      <c r="F1542" t="s">
        <v>29</v>
      </c>
      <c r="G1542">
        <v>674</v>
      </c>
      <c r="H1542">
        <v>31</v>
      </c>
      <c r="I1542" t="str">
        <f t="shared" si="24"/>
        <v>2024-03</v>
      </c>
    </row>
    <row r="1543" spans="1:9" ht="15" customHeight="1" x14ac:dyDescent="0.25">
      <c r="A1543">
        <v>1542</v>
      </c>
      <c r="B1543">
        <v>5</v>
      </c>
      <c r="C1543" t="s">
        <v>104</v>
      </c>
      <c r="D1543">
        <v>480</v>
      </c>
      <c r="E1543">
        <v>48</v>
      </c>
      <c r="F1543" t="s">
        <v>27</v>
      </c>
      <c r="G1543">
        <v>587</v>
      </c>
      <c r="H1543">
        <v>30</v>
      </c>
      <c r="I1543" t="str">
        <f t="shared" si="24"/>
        <v>2024-03</v>
      </c>
    </row>
    <row r="1544" spans="1:9" ht="15" customHeight="1" x14ac:dyDescent="0.25">
      <c r="A1544">
        <v>1543</v>
      </c>
      <c r="B1544">
        <v>5</v>
      </c>
      <c r="C1544" t="s">
        <v>105</v>
      </c>
      <c r="D1544">
        <v>480</v>
      </c>
      <c r="E1544">
        <v>9</v>
      </c>
      <c r="F1544" t="s">
        <v>45</v>
      </c>
      <c r="G1544">
        <v>717</v>
      </c>
      <c r="H1544">
        <v>32</v>
      </c>
      <c r="I1544" t="str">
        <f t="shared" si="24"/>
        <v>2024-03</v>
      </c>
    </row>
    <row r="1545" spans="1:9" ht="15" customHeight="1" x14ac:dyDescent="0.25">
      <c r="A1545">
        <v>1544</v>
      </c>
      <c r="B1545">
        <v>5</v>
      </c>
      <c r="C1545" t="s">
        <v>106</v>
      </c>
      <c r="D1545">
        <v>480</v>
      </c>
      <c r="E1545">
        <v>40</v>
      </c>
      <c r="F1545" t="s">
        <v>27</v>
      </c>
      <c r="G1545">
        <v>708</v>
      </c>
      <c r="H1545">
        <v>20</v>
      </c>
      <c r="I1545" t="str">
        <f t="shared" si="24"/>
        <v>2024-03</v>
      </c>
    </row>
    <row r="1546" spans="1:9" ht="15" customHeight="1" x14ac:dyDescent="0.25">
      <c r="A1546">
        <v>1545</v>
      </c>
      <c r="B1546">
        <v>5</v>
      </c>
      <c r="C1546" t="s">
        <v>107</v>
      </c>
      <c r="D1546">
        <v>480</v>
      </c>
      <c r="E1546">
        <v>47</v>
      </c>
      <c r="F1546" t="s">
        <v>24</v>
      </c>
      <c r="G1546">
        <v>588</v>
      </c>
      <c r="H1546">
        <v>25</v>
      </c>
      <c r="I1546" t="str">
        <f t="shared" si="24"/>
        <v>2024-03</v>
      </c>
    </row>
    <row r="1547" spans="1:9" ht="15" customHeight="1" x14ac:dyDescent="0.25">
      <c r="A1547">
        <v>1546</v>
      </c>
      <c r="B1547">
        <v>5</v>
      </c>
      <c r="C1547" t="s">
        <v>108</v>
      </c>
      <c r="D1547">
        <v>480</v>
      </c>
      <c r="E1547">
        <v>33</v>
      </c>
      <c r="F1547" t="s">
        <v>29</v>
      </c>
      <c r="G1547">
        <v>682</v>
      </c>
      <c r="H1547">
        <v>18</v>
      </c>
      <c r="I1547" t="str">
        <f t="shared" si="24"/>
        <v>2024-03</v>
      </c>
    </row>
    <row r="1548" spans="1:9" ht="15" customHeight="1" x14ac:dyDescent="0.25">
      <c r="A1548">
        <v>1547</v>
      </c>
      <c r="B1548">
        <v>5</v>
      </c>
      <c r="C1548" t="s">
        <v>109</v>
      </c>
      <c r="D1548">
        <v>480</v>
      </c>
      <c r="E1548">
        <v>50</v>
      </c>
      <c r="F1548" t="s">
        <v>45</v>
      </c>
      <c r="G1548">
        <v>589</v>
      </c>
      <c r="H1548">
        <v>11</v>
      </c>
      <c r="I1548" t="str">
        <f t="shared" si="24"/>
        <v>2024-03</v>
      </c>
    </row>
    <row r="1549" spans="1:9" ht="15" customHeight="1" x14ac:dyDescent="0.25">
      <c r="A1549">
        <v>1548</v>
      </c>
      <c r="B1549">
        <v>5</v>
      </c>
      <c r="C1549" t="s">
        <v>110</v>
      </c>
      <c r="D1549">
        <v>480</v>
      </c>
      <c r="E1549">
        <v>30</v>
      </c>
      <c r="F1549" t="s">
        <v>29</v>
      </c>
      <c r="G1549">
        <v>659</v>
      </c>
      <c r="H1549">
        <v>31</v>
      </c>
      <c r="I1549" t="str">
        <f t="shared" si="24"/>
        <v>2024-03</v>
      </c>
    </row>
    <row r="1550" spans="1:9" ht="15" customHeight="1" x14ac:dyDescent="0.25">
      <c r="A1550">
        <v>1549</v>
      </c>
      <c r="B1550">
        <v>5</v>
      </c>
      <c r="C1550" t="s">
        <v>111</v>
      </c>
      <c r="D1550">
        <v>480</v>
      </c>
      <c r="E1550">
        <v>11</v>
      </c>
      <c r="F1550" t="s">
        <v>22</v>
      </c>
      <c r="G1550">
        <v>642</v>
      </c>
      <c r="H1550">
        <v>30</v>
      </c>
      <c r="I1550" t="str">
        <f t="shared" si="24"/>
        <v>2024-03</v>
      </c>
    </row>
    <row r="1551" spans="1:9" ht="15" customHeight="1" x14ac:dyDescent="0.25">
      <c r="A1551">
        <v>1550</v>
      </c>
      <c r="B1551">
        <v>5</v>
      </c>
      <c r="C1551" t="s">
        <v>112</v>
      </c>
      <c r="D1551">
        <v>480</v>
      </c>
      <c r="E1551">
        <v>19</v>
      </c>
      <c r="F1551" t="s">
        <v>29</v>
      </c>
      <c r="G1551">
        <v>634</v>
      </c>
      <c r="H1551">
        <v>27</v>
      </c>
      <c r="I1551" t="str">
        <f t="shared" si="24"/>
        <v>2024-03</v>
      </c>
    </row>
    <row r="1552" spans="1:9" ht="15" customHeight="1" x14ac:dyDescent="0.25">
      <c r="A1552">
        <v>1551</v>
      </c>
      <c r="B1552">
        <v>5</v>
      </c>
      <c r="C1552" t="s">
        <v>113</v>
      </c>
      <c r="D1552">
        <v>480</v>
      </c>
      <c r="E1552">
        <v>17</v>
      </c>
      <c r="F1552" t="s">
        <v>22</v>
      </c>
      <c r="G1552">
        <v>696</v>
      </c>
      <c r="H1552">
        <v>24</v>
      </c>
      <c r="I1552" t="str">
        <f t="shared" si="24"/>
        <v>2024-03</v>
      </c>
    </row>
    <row r="1553" spans="1:9" ht="15" customHeight="1" x14ac:dyDescent="0.25">
      <c r="A1553">
        <v>1552</v>
      </c>
      <c r="B1553">
        <v>5</v>
      </c>
      <c r="C1553" t="s">
        <v>114</v>
      </c>
      <c r="D1553">
        <v>480</v>
      </c>
      <c r="E1553">
        <v>43</v>
      </c>
      <c r="F1553" t="s">
        <v>29</v>
      </c>
      <c r="G1553">
        <v>688</v>
      </c>
      <c r="H1553">
        <v>29</v>
      </c>
      <c r="I1553" t="str">
        <f t="shared" si="24"/>
        <v>2024-03</v>
      </c>
    </row>
    <row r="1554" spans="1:9" ht="15" customHeight="1" x14ac:dyDescent="0.25">
      <c r="A1554">
        <v>1553</v>
      </c>
      <c r="B1554">
        <v>5</v>
      </c>
      <c r="C1554" t="s">
        <v>115</v>
      </c>
      <c r="D1554">
        <v>480</v>
      </c>
      <c r="E1554">
        <v>2</v>
      </c>
      <c r="F1554" t="s">
        <v>29</v>
      </c>
      <c r="G1554">
        <v>754</v>
      </c>
      <c r="H1554">
        <v>31</v>
      </c>
      <c r="I1554" t="str">
        <f t="shared" si="24"/>
        <v>2024-03</v>
      </c>
    </row>
    <row r="1555" spans="1:9" ht="15" customHeight="1" x14ac:dyDescent="0.25">
      <c r="A1555">
        <v>1554</v>
      </c>
      <c r="B1555">
        <v>5</v>
      </c>
      <c r="C1555" t="s">
        <v>116</v>
      </c>
      <c r="D1555">
        <v>480</v>
      </c>
      <c r="E1555">
        <v>29</v>
      </c>
      <c r="F1555" t="s">
        <v>45</v>
      </c>
      <c r="G1555">
        <v>644</v>
      </c>
      <c r="H1555">
        <v>31</v>
      </c>
      <c r="I1555" t="str">
        <f t="shared" si="24"/>
        <v>2024-03</v>
      </c>
    </row>
    <row r="1556" spans="1:9" ht="15" customHeight="1" x14ac:dyDescent="0.25">
      <c r="A1556">
        <v>1555</v>
      </c>
      <c r="B1556">
        <v>5</v>
      </c>
      <c r="C1556" t="s">
        <v>117</v>
      </c>
      <c r="D1556">
        <v>480</v>
      </c>
      <c r="E1556">
        <v>31</v>
      </c>
      <c r="F1556" t="s">
        <v>22</v>
      </c>
      <c r="G1556">
        <v>607</v>
      </c>
      <c r="H1556">
        <v>19</v>
      </c>
      <c r="I1556" t="str">
        <f t="shared" si="24"/>
        <v>2024-03</v>
      </c>
    </row>
    <row r="1557" spans="1:9" ht="15" customHeight="1" x14ac:dyDescent="0.25">
      <c r="A1557">
        <v>1556</v>
      </c>
      <c r="B1557">
        <v>5</v>
      </c>
      <c r="C1557" t="s">
        <v>118</v>
      </c>
      <c r="D1557">
        <v>480</v>
      </c>
      <c r="E1557">
        <v>53</v>
      </c>
      <c r="F1557" t="s">
        <v>24</v>
      </c>
      <c r="G1557">
        <v>568</v>
      </c>
      <c r="H1557">
        <v>29</v>
      </c>
      <c r="I1557" t="str">
        <f t="shared" si="24"/>
        <v>2024-04</v>
      </c>
    </row>
    <row r="1558" spans="1:9" ht="15" customHeight="1" x14ac:dyDescent="0.25">
      <c r="A1558">
        <v>1557</v>
      </c>
      <c r="B1558">
        <v>5</v>
      </c>
      <c r="C1558" t="s">
        <v>119</v>
      </c>
      <c r="D1558">
        <v>480</v>
      </c>
      <c r="E1558">
        <v>27</v>
      </c>
      <c r="F1558" t="s">
        <v>22</v>
      </c>
      <c r="G1558">
        <v>685</v>
      </c>
      <c r="H1558">
        <v>18</v>
      </c>
      <c r="I1558" t="str">
        <f t="shared" si="24"/>
        <v>2024-04</v>
      </c>
    </row>
    <row r="1559" spans="1:9" ht="15" customHeight="1" x14ac:dyDescent="0.25">
      <c r="A1559">
        <v>1558</v>
      </c>
      <c r="B1559">
        <v>5</v>
      </c>
      <c r="C1559" t="s">
        <v>120</v>
      </c>
      <c r="D1559">
        <v>480</v>
      </c>
      <c r="E1559">
        <v>6</v>
      </c>
      <c r="F1559" t="s">
        <v>22</v>
      </c>
      <c r="G1559">
        <v>762</v>
      </c>
      <c r="H1559">
        <v>21</v>
      </c>
      <c r="I1559" t="str">
        <f t="shared" si="24"/>
        <v>2024-04</v>
      </c>
    </row>
    <row r="1560" spans="1:9" ht="15" customHeight="1" x14ac:dyDescent="0.25">
      <c r="A1560">
        <v>1559</v>
      </c>
      <c r="B1560">
        <v>5</v>
      </c>
      <c r="C1560" t="s">
        <v>121</v>
      </c>
      <c r="D1560">
        <v>480</v>
      </c>
      <c r="E1560">
        <v>36</v>
      </c>
      <c r="F1560" t="s">
        <v>24</v>
      </c>
      <c r="G1560">
        <v>639</v>
      </c>
      <c r="H1560">
        <v>14</v>
      </c>
      <c r="I1560" t="str">
        <f t="shared" si="24"/>
        <v>2024-04</v>
      </c>
    </row>
    <row r="1561" spans="1:9" ht="15" customHeight="1" x14ac:dyDescent="0.25">
      <c r="A1561">
        <v>1560</v>
      </c>
      <c r="B1561">
        <v>5</v>
      </c>
      <c r="C1561" t="s">
        <v>122</v>
      </c>
      <c r="D1561">
        <v>480</v>
      </c>
      <c r="E1561">
        <v>0</v>
      </c>
      <c r="F1561" t="s">
        <v>33</v>
      </c>
      <c r="G1561">
        <v>713</v>
      </c>
      <c r="H1561">
        <v>37</v>
      </c>
      <c r="I1561" t="str">
        <f t="shared" si="24"/>
        <v>2024-04</v>
      </c>
    </row>
    <row r="1562" spans="1:9" ht="15" customHeight="1" x14ac:dyDescent="0.25">
      <c r="A1562">
        <v>1561</v>
      </c>
      <c r="B1562">
        <v>5</v>
      </c>
      <c r="C1562" t="s">
        <v>123</v>
      </c>
      <c r="D1562">
        <v>480</v>
      </c>
      <c r="E1562">
        <v>11</v>
      </c>
      <c r="F1562" t="s">
        <v>45</v>
      </c>
      <c r="G1562">
        <v>669</v>
      </c>
      <c r="H1562">
        <v>20</v>
      </c>
      <c r="I1562" t="str">
        <f t="shared" si="24"/>
        <v>2024-04</v>
      </c>
    </row>
    <row r="1563" spans="1:9" ht="15" customHeight="1" x14ac:dyDescent="0.25">
      <c r="A1563">
        <v>1562</v>
      </c>
      <c r="B1563">
        <v>5</v>
      </c>
      <c r="C1563" t="s">
        <v>124</v>
      </c>
      <c r="D1563">
        <v>480</v>
      </c>
      <c r="E1563">
        <v>17</v>
      </c>
      <c r="F1563" t="s">
        <v>29</v>
      </c>
      <c r="G1563">
        <v>673</v>
      </c>
      <c r="H1563">
        <v>33</v>
      </c>
      <c r="I1563" t="str">
        <f t="shared" si="24"/>
        <v>2024-04</v>
      </c>
    </row>
    <row r="1564" spans="1:9" ht="15" customHeight="1" x14ac:dyDescent="0.25">
      <c r="A1564">
        <v>1563</v>
      </c>
      <c r="B1564">
        <v>5</v>
      </c>
      <c r="C1564" t="s">
        <v>125</v>
      </c>
      <c r="D1564">
        <v>480</v>
      </c>
      <c r="E1564">
        <v>17</v>
      </c>
      <c r="F1564" t="s">
        <v>22</v>
      </c>
      <c r="G1564">
        <v>682</v>
      </c>
      <c r="H1564">
        <v>15</v>
      </c>
      <c r="I1564" t="str">
        <f t="shared" si="24"/>
        <v>2024-04</v>
      </c>
    </row>
    <row r="1565" spans="1:9" ht="15" customHeight="1" x14ac:dyDescent="0.25">
      <c r="A1565">
        <v>1564</v>
      </c>
      <c r="B1565">
        <v>5</v>
      </c>
      <c r="C1565" t="s">
        <v>126</v>
      </c>
      <c r="D1565">
        <v>480</v>
      </c>
      <c r="E1565">
        <v>99</v>
      </c>
      <c r="F1565" t="s">
        <v>29</v>
      </c>
      <c r="G1565">
        <v>531</v>
      </c>
      <c r="H1565">
        <v>10</v>
      </c>
      <c r="I1565" t="str">
        <f t="shared" si="24"/>
        <v>2024-04</v>
      </c>
    </row>
    <row r="1566" spans="1:9" ht="15" customHeight="1" x14ac:dyDescent="0.25">
      <c r="A1566">
        <v>1565</v>
      </c>
      <c r="B1566">
        <v>5</v>
      </c>
      <c r="C1566" t="s">
        <v>127</v>
      </c>
      <c r="D1566">
        <v>480</v>
      </c>
      <c r="E1566">
        <v>26</v>
      </c>
      <c r="F1566" t="s">
        <v>24</v>
      </c>
      <c r="G1566">
        <v>681</v>
      </c>
      <c r="H1566">
        <v>22</v>
      </c>
      <c r="I1566" t="str">
        <f t="shared" si="24"/>
        <v>2024-04</v>
      </c>
    </row>
    <row r="1567" spans="1:9" ht="15" customHeight="1" x14ac:dyDescent="0.25">
      <c r="A1567">
        <v>1566</v>
      </c>
      <c r="B1567">
        <v>5</v>
      </c>
      <c r="C1567" t="s">
        <v>128</v>
      </c>
      <c r="D1567">
        <v>480</v>
      </c>
      <c r="E1567">
        <v>13</v>
      </c>
      <c r="F1567" t="s">
        <v>29</v>
      </c>
      <c r="G1567">
        <v>728</v>
      </c>
      <c r="H1567">
        <v>18</v>
      </c>
      <c r="I1567" t="str">
        <f t="shared" si="24"/>
        <v>2024-04</v>
      </c>
    </row>
    <row r="1568" spans="1:9" ht="15" customHeight="1" x14ac:dyDescent="0.25">
      <c r="A1568">
        <v>1567</v>
      </c>
      <c r="B1568">
        <v>5</v>
      </c>
      <c r="C1568" t="s">
        <v>129</v>
      </c>
      <c r="D1568">
        <v>480</v>
      </c>
      <c r="E1568">
        <v>41</v>
      </c>
      <c r="F1568" t="s">
        <v>24</v>
      </c>
      <c r="G1568">
        <v>666</v>
      </c>
      <c r="H1568">
        <v>21</v>
      </c>
      <c r="I1568" t="str">
        <f t="shared" si="24"/>
        <v>2024-04</v>
      </c>
    </row>
    <row r="1569" spans="1:9" ht="15" customHeight="1" x14ac:dyDescent="0.25">
      <c r="A1569">
        <v>1568</v>
      </c>
      <c r="B1569">
        <v>5</v>
      </c>
      <c r="C1569" t="s">
        <v>130</v>
      </c>
      <c r="D1569">
        <v>480</v>
      </c>
      <c r="E1569">
        <v>14</v>
      </c>
      <c r="F1569" t="s">
        <v>22</v>
      </c>
      <c r="G1569">
        <v>651</v>
      </c>
      <c r="H1569">
        <v>29</v>
      </c>
      <c r="I1569" t="str">
        <f t="shared" si="24"/>
        <v>2024-04</v>
      </c>
    </row>
    <row r="1570" spans="1:9" ht="15" customHeight="1" x14ac:dyDescent="0.25">
      <c r="A1570">
        <v>1569</v>
      </c>
      <c r="B1570">
        <v>5</v>
      </c>
      <c r="C1570" t="s">
        <v>131</v>
      </c>
      <c r="D1570">
        <v>480</v>
      </c>
      <c r="E1570">
        <v>17</v>
      </c>
      <c r="F1570" t="s">
        <v>27</v>
      </c>
      <c r="G1570">
        <v>656</v>
      </c>
      <c r="H1570">
        <v>25</v>
      </c>
      <c r="I1570" t="str">
        <f t="shared" si="24"/>
        <v>2024-04</v>
      </c>
    </row>
    <row r="1571" spans="1:9" ht="15" customHeight="1" x14ac:dyDescent="0.25">
      <c r="A1571">
        <v>1570</v>
      </c>
      <c r="B1571">
        <v>5</v>
      </c>
      <c r="C1571" t="s">
        <v>132</v>
      </c>
      <c r="D1571">
        <v>480</v>
      </c>
      <c r="E1571">
        <v>133</v>
      </c>
      <c r="F1571" t="s">
        <v>29</v>
      </c>
      <c r="G1571">
        <v>503</v>
      </c>
      <c r="H1571">
        <v>25</v>
      </c>
      <c r="I1571" t="str">
        <f t="shared" si="24"/>
        <v>2024-04</v>
      </c>
    </row>
    <row r="1572" spans="1:9" ht="15" customHeight="1" x14ac:dyDescent="0.25">
      <c r="A1572">
        <v>1571</v>
      </c>
      <c r="B1572">
        <v>5</v>
      </c>
      <c r="C1572" t="s">
        <v>133</v>
      </c>
      <c r="D1572">
        <v>480</v>
      </c>
      <c r="E1572">
        <v>10</v>
      </c>
      <c r="F1572" t="s">
        <v>27</v>
      </c>
      <c r="G1572">
        <v>627</v>
      </c>
      <c r="H1572">
        <v>15</v>
      </c>
      <c r="I1572" t="str">
        <f t="shared" si="24"/>
        <v>2024-04</v>
      </c>
    </row>
    <row r="1573" spans="1:9" ht="15" customHeight="1" x14ac:dyDescent="0.25">
      <c r="A1573">
        <v>1572</v>
      </c>
      <c r="B1573">
        <v>5</v>
      </c>
      <c r="C1573" t="s">
        <v>134</v>
      </c>
      <c r="D1573">
        <v>480</v>
      </c>
      <c r="E1573">
        <v>13</v>
      </c>
      <c r="F1573" t="s">
        <v>22</v>
      </c>
      <c r="G1573">
        <v>647</v>
      </c>
      <c r="H1573">
        <v>11</v>
      </c>
      <c r="I1573" t="str">
        <f t="shared" si="24"/>
        <v>2024-04</v>
      </c>
    </row>
    <row r="1574" spans="1:9" ht="15" customHeight="1" x14ac:dyDescent="0.25">
      <c r="A1574">
        <v>1573</v>
      </c>
      <c r="B1574">
        <v>5</v>
      </c>
      <c r="C1574" t="s">
        <v>135</v>
      </c>
      <c r="D1574">
        <v>480</v>
      </c>
      <c r="E1574">
        <v>60</v>
      </c>
      <c r="F1574" t="s">
        <v>29</v>
      </c>
      <c r="G1574">
        <v>663</v>
      </c>
      <c r="H1574">
        <v>29</v>
      </c>
      <c r="I1574" t="str">
        <f t="shared" si="24"/>
        <v>2024-04</v>
      </c>
    </row>
    <row r="1575" spans="1:9" ht="15" customHeight="1" x14ac:dyDescent="0.25">
      <c r="A1575">
        <v>1574</v>
      </c>
      <c r="B1575">
        <v>5</v>
      </c>
      <c r="C1575" t="s">
        <v>136</v>
      </c>
      <c r="D1575">
        <v>480</v>
      </c>
      <c r="E1575">
        <v>4</v>
      </c>
      <c r="F1575" t="s">
        <v>45</v>
      </c>
      <c r="G1575">
        <v>644</v>
      </c>
      <c r="H1575">
        <v>13</v>
      </c>
      <c r="I1575" t="str">
        <f t="shared" si="24"/>
        <v>2024-04</v>
      </c>
    </row>
    <row r="1576" spans="1:9" ht="15" customHeight="1" x14ac:dyDescent="0.25">
      <c r="A1576">
        <v>1575</v>
      </c>
      <c r="B1576">
        <v>5</v>
      </c>
      <c r="C1576" t="s">
        <v>137</v>
      </c>
      <c r="D1576">
        <v>480</v>
      </c>
      <c r="E1576">
        <v>31</v>
      </c>
      <c r="F1576" t="s">
        <v>45</v>
      </c>
      <c r="G1576">
        <v>720</v>
      </c>
      <c r="H1576">
        <v>24</v>
      </c>
      <c r="I1576" t="str">
        <f t="shared" si="24"/>
        <v>2024-04</v>
      </c>
    </row>
    <row r="1577" spans="1:9" ht="15" customHeight="1" x14ac:dyDescent="0.25">
      <c r="A1577">
        <v>1576</v>
      </c>
      <c r="B1577">
        <v>5</v>
      </c>
      <c r="C1577" t="s">
        <v>138</v>
      </c>
      <c r="D1577">
        <v>480</v>
      </c>
      <c r="E1577">
        <v>3</v>
      </c>
      <c r="F1577" t="s">
        <v>45</v>
      </c>
      <c r="G1577">
        <v>704</v>
      </c>
      <c r="H1577">
        <v>21</v>
      </c>
      <c r="I1577" t="str">
        <f t="shared" si="24"/>
        <v>2024-04</v>
      </c>
    </row>
    <row r="1578" spans="1:9" ht="15" customHeight="1" x14ac:dyDescent="0.25">
      <c r="A1578">
        <v>1577</v>
      </c>
      <c r="B1578">
        <v>5</v>
      </c>
      <c r="C1578" t="s">
        <v>139</v>
      </c>
      <c r="D1578">
        <v>480</v>
      </c>
      <c r="E1578">
        <v>11</v>
      </c>
      <c r="F1578" t="s">
        <v>24</v>
      </c>
      <c r="G1578">
        <v>708</v>
      </c>
      <c r="H1578">
        <v>31</v>
      </c>
      <c r="I1578" t="str">
        <f t="shared" si="24"/>
        <v>2024-04</v>
      </c>
    </row>
    <row r="1579" spans="1:9" ht="15" customHeight="1" x14ac:dyDescent="0.25">
      <c r="A1579">
        <v>1578</v>
      </c>
      <c r="B1579">
        <v>5</v>
      </c>
      <c r="C1579" t="s">
        <v>140</v>
      </c>
      <c r="D1579">
        <v>480</v>
      </c>
      <c r="E1579">
        <v>2</v>
      </c>
      <c r="F1579" t="s">
        <v>45</v>
      </c>
      <c r="G1579">
        <v>635</v>
      </c>
      <c r="H1579">
        <v>34</v>
      </c>
      <c r="I1579" t="str">
        <f t="shared" si="24"/>
        <v>2024-04</v>
      </c>
    </row>
    <row r="1580" spans="1:9" ht="15" customHeight="1" x14ac:dyDescent="0.25">
      <c r="A1580">
        <v>1579</v>
      </c>
      <c r="B1580">
        <v>5</v>
      </c>
      <c r="C1580" t="s">
        <v>141</v>
      </c>
      <c r="D1580">
        <v>480</v>
      </c>
      <c r="E1580">
        <v>6</v>
      </c>
      <c r="F1580" t="s">
        <v>24</v>
      </c>
      <c r="G1580">
        <v>632</v>
      </c>
      <c r="H1580">
        <v>15</v>
      </c>
      <c r="I1580" t="str">
        <f t="shared" si="24"/>
        <v>2024-04</v>
      </c>
    </row>
    <row r="1581" spans="1:9" ht="15" customHeight="1" x14ac:dyDescent="0.25">
      <c r="A1581">
        <v>1580</v>
      </c>
      <c r="B1581">
        <v>5</v>
      </c>
      <c r="C1581" t="s">
        <v>142</v>
      </c>
      <c r="D1581">
        <v>480</v>
      </c>
      <c r="E1581">
        <v>0</v>
      </c>
      <c r="F1581" t="s">
        <v>33</v>
      </c>
      <c r="G1581">
        <v>690</v>
      </c>
      <c r="H1581">
        <v>32</v>
      </c>
      <c r="I1581" t="str">
        <f t="shared" si="24"/>
        <v>2024-04</v>
      </c>
    </row>
    <row r="1582" spans="1:9" ht="15" customHeight="1" x14ac:dyDescent="0.25">
      <c r="A1582">
        <v>1581</v>
      </c>
      <c r="B1582">
        <v>5</v>
      </c>
      <c r="C1582" t="s">
        <v>143</v>
      </c>
      <c r="D1582">
        <v>480</v>
      </c>
      <c r="E1582">
        <v>10</v>
      </c>
      <c r="F1582" t="s">
        <v>22</v>
      </c>
      <c r="G1582">
        <v>683</v>
      </c>
      <c r="H1582">
        <v>28</v>
      </c>
      <c r="I1582" t="str">
        <f t="shared" si="24"/>
        <v>2024-04</v>
      </c>
    </row>
    <row r="1583" spans="1:9" ht="15" customHeight="1" x14ac:dyDescent="0.25">
      <c r="A1583">
        <v>1582</v>
      </c>
      <c r="B1583">
        <v>5</v>
      </c>
      <c r="C1583" t="s">
        <v>144</v>
      </c>
      <c r="D1583">
        <v>480</v>
      </c>
      <c r="E1583">
        <v>17</v>
      </c>
      <c r="F1583" t="s">
        <v>29</v>
      </c>
      <c r="G1583">
        <v>733</v>
      </c>
      <c r="H1583">
        <v>35</v>
      </c>
      <c r="I1583" t="str">
        <f t="shared" si="24"/>
        <v>2024-04</v>
      </c>
    </row>
    <row r="1584" spans="1:9" ht="15" customHeight="1" x14ac:dyDescent="0.25">
      <c r="A1584">
        <v>1583</v>
      </c>
      <c r="B1584">
        <v>5</v>
      </c>
      <c r="C1584" t="s">
        <v>145</v>
      </c>
      <c r="D1584">
        <v>480</v>
      </c>
      <c r="E1584">
        <v>0</v>
      </c>
      <c r="F1584" t="s">
        <v>33</v>
      </c>
      <c r="G1584">
        <v>748</v>
      </c>
      <c r="H1584">
        <v>25</v>
      </c>
      <c r="I1584" t="str">
        <f t="shared" si="24"/>
        <v>2024-04</v>
      </c>
    </row>
    <row r="1585" spans="1:9" ht="15" customHeight="1" x14ac:dyDescent="0.25">
      <c r="A1585">
        <v>1584</v>
      </c>
      <c r="B1585">
        <v>5</v>
      </c>
      <c r="C1585" t="s">
        <v>146</v>
      </c>
      <c r="D1585">
        <v>480</v>
      </c>
      <c r="E1585">
        <v>109</v>
      </c>
      <c r="F1585" t="s">
        <v>24</v>
      </c>
      <c r="G1585">
        <v>544</v>
      </c>
      <c r="H1585">
        <v>29</v>
      </c>
      <c r="I1585" t="str">
        <f t="shared" si="24"/>
        <v>2024-04</v>
      </c>
    </row>
    <row r="1586" spans="1:9" ht="15" customHeight="1" x14ac:dyDescent="0.25">
      <c r="A1586">
        <v>1585</v>
      </c>
      <c r="B1586">
        <v>5</v>
      </c>
      <c r="C1586" t="s">
        <v>147</v>
      </c>
      <c r="D1586">
        <v>480</v>
      </c>
      <c r="E1586">
        <v>34</v>
      </c>
      <c r="F1586" t="s">
        <v>29</v>
      </c>
      <c r="G1586">
        <v>621</v>
      </c>
      <c r="H1586">
        <v>23</v>
      </c>
      <c r="I1586" t="str">
        <f t="shared" si="24"/>
        <v>2024-04</v>
      </c>
    </row>
    <row r="1587" spans="1:9" ht="15" customHeight="1" x14ac:dyDescent="0.25">
      <c r="A1587">
        <v>1586</v>
      </c>
      <c r="B1587">
        <v>5</v>
      </c>
      <c r="C1587" t="s">
        <v>148</v>
      </c>
      <c r="D1587">
        <v>480</v>
      </c>
      <c r="E1587">
        <v>118</v>
      </c>
      <c r="F1587" t="s">
        <v>45</v>
      </c>
      <c r="G1587">
        <v>573</v>
      </c>
      <c r="H1587">
        <v>12</v>
      </c>
      <c r="I1587" t="str">
        <f t="shared" si="24"/>
        <v>2024-05</v>
      </c>
    </row>
    <row r="1588" spans="1:9" ht="15" customHeight="1" x14ac:dyDescent="0.25">
      <c r="A1588">
        <v>1587</v>
      </c>
      <c r="B1588">
        <v>5</v>
      </c>
      <c r="C1588" t="s">
        <v>149</v>
      </c>
      <c r="D1588">
        <v>480</v>
      </c>
      <c r="E1588">
        <v>29</v>
      </c>
      <c r="F1588" t="s">
        <v>29</v>
      </c>
      <c r="G1588">
        <v>642</v>
      </c>
      <c r="H1588">
        <v>11</v>
      </c>
      <c r="I1588" t="str">
        <f t="shared" si="24"/>
        <v>2024-05</v>
      </c>
    </row>
    <row r="1589" spans="1:9" ht="15" customHeight="1" x14ac:dyDescent="0.25">
      <c r="A1589">
        <v>1588</v>
      </c>
      <c r="B1589">
        <v>5</v>
      </c>
      <c r="C1589" t="s">
        <v>150</v>
      </c>
      <c r="D1589">
        <v>480</v>
      </c>
      <c r="E1589">
        <v>12</v>
      </c>
      <c r="F1589" t="s">
        <v>29</v>
      </c>
      <c r="G1589">
        <v>650</v>
      </c>
      <c r="H1589">
        <v>30</v>
      </c>
      <c r="I1589" t="str">
        <f t="shared" si="24"/>
        <v>2024-05</v>
      </c>
    </row>
    <row r="1590" spans="1:9" ht="15" customHeight="1" x14ac:dyDescent="0.25">
      <c r="A1590">
        <v>1589</v>
      </c>
      <c r="B1590">
        <v>5</v>
      </c>
      <c r="C1590" t="s">
        <v>151</v>
      </c>
      <c r="D1590">
        <v>480</v>
      </c>
      <c r="E1590">
        <v>10</v>
      </c>
      <c r="F1590" t="s">
        <v>33</v>
      </c>
      <c r="G1590">
        <v>739</v>
      </c>
      <c r="H1590">
        <v>13</v>
      </c>
      <c r="I1590" t="str">
        <f t="shared" si="24"/>
        <v>2024-05</v>
      </c>
    </row>
    <row r="1591" spans="1:9" ht="15" customHeight="1" x14ac:dyDescent="0.25">
      <c r="A1591">
        <v>1590</v>
      </c>
      <c r="B1591">
        <v>5</v>
      </c>
      <c r="C1591" t="s">
        <v>152</v>
      </c>
      <c r="D1591">
        <v>480</v>
      </c>
      <c r="E1591">
        <v>8</v>
      </c>
      <c r="F1591" t="s">
        <v>27</v>
      </c>
      <c r="G1591">
        <v>657</v>
      </c>
      <c r="H1591">
        <v>17</v>
      </c>
      <c r="I1591" t="str">
        <f t="shared" si="24"/>
        <v>2024-05</v>
      </c>
    </row>
    <row r="1592" spans="1:9" ht="15" customHeight="1" x14ac:dyDescent="0.25">
      <c r="A1592">
        <v>1591</v>
      </c>
      <c r="B1592">
        <v>5</v>
      </c>
      <c r="C1592" t="s">
        <v>153</v>
      </c>
      <c r="D1592">
        <v>480</v>
      </c>
      <c r="E1592">
        <v>1</v>
      </c>
      <c r="F1592" t="s">
        <v>45</v>
      </c>
      <c r="G1592">
        <v>658</v>
      </c>
      <c r="H1592">
        <v>24</v>
      </c>
      <c r="I1592" t="str">
        <f t="shared" si="24"/>
        <v>2024-05</v>
      </c>
    </row>
    <row r="1593" spans="1:9" ht="15" customHeight="1" x14ac:dyDescent="0.25">
      <c r="A1593">
        <v>1592</v>
      </c>
      <c r="B1593">
        <v>5</v>
      </c>
      <c r="C1593" t="s">
        <v>154</v>
      </c>
      <c r="D1593">
        <v>480</v>
      </c>
      <c r="E1593">
        <v>8</v>
      </c>
      <c r="F1593" t="s">
        <v>27</v>
      </c>
      <c r="G1593">
        <v>682</v>
      </c>
      <c r="H1593">
        <v>21</v>
      </c>
      <c r="I1593" t="str">
        <f t="shared" si="24"/>
        <v>2024-05</v>
      </c>
    </row>
    <row r="1594" spans="1:9" ht="15" customHeight="1" x14ac:dyDescent="0.25">
      <c r="A1594">
        <v>1593</v>
      </c>
      <c r="B1594">
        <v>5</v>
      </c>
      <c r="C1594" t="s">
        <v>155</v>
      </c>
      <c r="D1594">
        <v>480</v>
      </c>
      <c r="E1594">
        <v>51</v>
      </c>
      <c r="F1594" t="s">
        <v>29</v>
      </c>
      <c r="G1594">
        <v>685</v>
      </c>
      <c r="H1594">
        <v>24</v>
      </c>
      <c r="I1594" t="str">
        <f t="shared" si="24"/>
        <v>2024-05</v>
      </c>
    </row>
    <row r="1595" spans="1:9" ht="15" customHeight="1" x14ac:dyDescent="0.25">
      <c r="A1595">
        <v>1594</v>
      </c>
      <c r="B1595">
        <v>5</v>
      </c>
      <c r="C1595" t="s">
        <v>156</v>
      </c>
      <c r="D1595">
        <v>480</v>
      </c>
      <c r="E1595">
        <v>9</v>
      </c>
      <c r="F1595" t="s">
        <v>24</v>
      </c>
      <c r="G1595">
        <v>636</v>
      </c>
      <c r="H1595">
        <v>33</v>
      </c>
      <c r="I1595" t="str">
        <f t="shared" si="24"/>
        <v>2024-05</v>
      </c>
    </row>
    <row r="1596" spans="1:9" ht="15" customHeight="1" x14ac:dyDescent="0.25">
      <c r="A1596">
        <v>1595</v>
      </c>
      <c r="B1596">
        <v>5</v>
      </c>
      <c r="C1596" t="s">
        <v>157</v>
      </c>
      <c r="D1596">
        <v>480</v>
      </c>
      <c r="E1596">
        <v>1</v>
      </c>
      <c r="F1596" t="s">
        <v>33</v>
      </c>
      <c r="G1596">
        <v>675</v>
      </c>
      <c r="H1596">
        <v>19</v>
      </c>
      <c r="I1596" t="str">
        <f t="shared" si="24"/>
        <v>2024-05</v>
      </c>
    </row>
    <row r="1597" spans="1:9" ht="15" customHeight="1" x14ac:dyDescent="0.25">
      <c r="A1597">
        <v>1596</v>
      </c>
      <c r="B1597">
        <v>5</v>
      </c>
      <c r="C1597" t="s">
        <v>158</v>
      </c>
      <c r="D1597">
        <v>480</v>
      </c>
      <c r="E1597">
        <v>9</v>
      </c>
      <c r="F1597" t="s">
        <v>27</v>
      </c>
      <c r="G1597">
        <v>644</v>
      </c>
      <c r="H1597">
        <v>29</v>
      </c>
      <c r="I1597" t="str">
        <f t="shared" si="24"/>
        <v>2024-05</v>
      </c>
    </row>
    <row r="1598" spans="1:9" ht="15" customHeight="1" x14ac:dyDescent="0.25">
      <c r="A1598">
        <v>1597</v>
      </c>
      <c r="B1598">
        <v>5</v>
      </c>
      <c r="C1598" t="s">
        <v>159</v>
      </c>
      <c r="D1598">
        <v>480</v>
      </c>
      <c r="E1598">
        <v>3</v>
      </c>
      <c r="F1598" t="s">
        <v>27</v>
      </c>
      <c r="G1598">
        <v>722</v>
      </c>
      <c r="H1598">
        <v>16</v>
      </c>
      <c r="I1598" t="str">
        <f t="shared" si="24"/>
        <v>2024-05</v>
      </c>
    </row>
    <row r="1599" spans="1:9" ht="15" customHeight="1" x14ac:dyDescent="0.25">
      <c r="A1599">
        <v>1598</v>
      </c>
      <c r="B1599">
        <v>5</v>
      </c>
      <c r="C1599" t="s">
        <v>160</v>
      </c>
      <c r="D1599">
        <v>480</v>
      </c>
      <c r="E1599">
        <v>1</v>
      </c>
      <c r="F1599" t="s">
        <v>29</v>
      </c>
      <c r="G1599">
        <v>766</v>
      </c>
      <c r="H1599">
        <v>18</v>
      </c>
      <c r="I1599" t="str">
        <f t="shared" si="24"/>
        <v>2024-05</v>
      </c>
    </row>
    <row r="1600" spans="1:9" ht="15" customHeight="1" x14ac:dyDescent="0.25">
      <c r="A1600">
        <v>1599</v>
      </c>
      <c r="B1600">
        <v>5</v>
      </c>
      <c r="C1600" t="s">
        <v>161</v>
      </c>
      <c r="D1600">
        <v>480</v>
      </c>
      <c r="E1600">
        <v>42</v>
      </c>
      <c r="F1600" t="s">
        <v>29</v>
      </c>
      <c r="G1600">
        <v>651</v>
      </c>
      <c r="H1600">
        <v>13</v>
      </c>
      <c r="I1600" t="str">
        <f t="shared" si="24"/>
        <v>2024-05</v>
      </c>
    </row>
    <row r="1601" spans="1:9" ht="15" customHeight="1" x14ac:dyDescent="0.25">
      <c r="A1601">
        <v>1600</v>
      </c>
      <c r="B1601">
        <v>5</v>
      </c>
      <c r="C1601" t="s">
        <v>162</v>
      </c>
      <c r="D1601">
        <v>480</v>
      </c>
      <c r="E1601">
        <v>76</v>
      </c>
      <c r="F1601" t="s">
        <v>27</v>
      </c>
      <c r="G1601">
        <v>563</v>
      </c>
      <c r="H1601">
        <v>27</v>
      </c>
      <c r="I1601" t="str">
        <f t="shared" si="24"/>
        <v>2024-05</v>
      </c>
    </row>
    <row r="1602" spans="1:9" ht="15" customHeight="1" x14ac:dyDescent="0.25">
      <c r="A1602">
        <v>1601</v>
      </c>
      <c r="B1602">
        <v>5</v>
      </c>
      <c r="C1602" t="s">
        <v>163</v>
      </c>
      <c r="D1602">
        <v>480</v>
      </c>
      <c r="E1602">
        <v>4</v>
      </c>
      <c r="F1602" t="s">
        <v>45</v>
      </c>
      <c r="G1602">
        <v>753</v>
      </c>
      <c r="H1602">
        <v>13</v>
      </c>
      <c r="I1602" t="str">
        <f t="shared" ref="I1602:I1665" si="25">TEXT(C1602,"yyyy-mm")</f>
        <v>2024-05</v>
      </c>
    </row>
    <row r="1603" spans="1:9" ht="15" customHeight="1" x14ac:dyDescent="0.25">
      <c r="A1603">
        <v>1602</v>
      </c>
      <c r="B1603">
        <v>5</v>
      </c>
      <c r="C1603" t="s">
        <v>164</v>
      </c>
      <c r="D1603">
        <v>480</v>
      </c>
      <c r="E1603">
        <v>17</v>
      </c>
      <c r="F1603" t="s">
        <v>24</v>
      </c>
      <c r="G1603">
        <v>720</v>
      </c>
      <c r="H1603">
        <v>37</v>
      </c>
      <c r="I1603" t="str">
        <f t="shared" si="25"/>
        <v>2024-05</v>
      </c>
    </row>
    <row r="1604" spans="1:9" ht="15" customHeight="1" x14ac:dyDescent="0.25">
      <c r="A1604">
        <v>1603</v>
      </c>
      <c r="B1604">
        <v>5</v>
      </c>
      <c r="C1604" t="s">
        <v>165</v>
      </c>
      <c r="D1604">
        <v>480</v>
      </c>
      <c r="E1604">
        <v>58</v>
      </c>
      <c r="F1604" t="s">
        <v>22</v>
      </c>
      <c r="G1604">
        <v>663</v>
      </c>
      <c r="H1604">
        <v>33</v>
      </c>
      <c r="I1604" t="str">
        <f t="shared" si="25"/>
        <v>2024-05</v>
      </c>
    </row>
    <row r="1605" spans="1:9" ht="15" customHeight="1" x14ac:dyDescent="0.25">
      <c r="A1605">
        <v>1604</v>
      </c>
      <c r="B1605">
        <v>5</v>
      </c>
      <c r="C1605" t="s">
        <v>166</v>
      </c>
      <c r="D1605">
        <v>480</v>
      </c>
      <c r="E1605">
        <v>5</v>
      </c>
      <c r="F1605" t="s">
        <v>22</v>
      </c>
      <c r="G1605">
        <v>667</v>
      </c>
      <c r="H1605">
        <v>18</v>
      </c>
      <c r="I1605" t="str">
        <f t="shared" si="25"/>
        <v>2024-05</v>
      </c>
    </row>
    <row r="1606" spans="1:9" ht="15" customHeight="1" x14ac:dyDescent="0.25">
      <c r="A1606">
        <v>1605</v>
      </c>
      <c r="B1606">
        <v>5</v>
      </c>
      <c r="C1606" t="s">
        <v>167</v>
      </c>
      <c r="D1606">
        <v>480</v>
      </c>
      <c r="E1606">
        <v>11</v>
      </c>
      <c r="F1606" t="s">
        <v>45</v>
      </c>
      <c r="G1606">
        <v>675</v>
      </c>
      <c r="H1606">
        <v>25</v>
      </c>
      <c r="I1606" t="str">
        <f t="shared" si="25"/>
        <v>2024-05</v>
      </c>
    </row>
    <row r="1607" spans="1:9" ht="15" customHeight="1" x14ac:dyDescent="0.25">
      <c r="A1607">
        <v>1606</v>
      </c>
      <c r="B1607">
        <v>5</v>
      </c>
      <c r="C1607" t="s">
        <v>168</v>
      </c>
      <c r="D1607">
        <v>480</v>
      </c>
      <c r="E1607">
        <v>4</v>
      </c>
      <c r="F1607" t="s">
        <v>27</v>
      </c>
      <c r="G1607">
        <v>729</v>
      </c>
      <c r="H1607">
        <v>17</v>
      </c>
      <c r="I1607" t="str">
        <f t="shared" si="25"/>
        <v>2024-05</v>
      </c>
    </row>
    <row r="1608" spans="1:9" ht="15" customHeight="1" x14ac:dyDescent="0.25">
      <c r="A1608">
        <v>1607</v>
      </c>
      <c r="B1608">
        <v>5</v>
      </c>
      <c r="C1608" t="s">
        <v>169</v>
      </c>
      <c r="D1608">
        <v>480</v>
      </c>
      <c r="E1608">
        <v>9</v>
      </c>
      <c r="F1608" t="s">
        <v>45</v>
      </c>
      <c r="G1608">
        <v>694</v>
      </c>
      <c r="H1608">
        <v>32</v>
      </c>
      <c r="I1608" t="str">
        <f t="shared" si="25"/>
        <v>2024-05</v>
      </c>
    </row>
    <row r="1609" spans="1:9" ht="15" customHeight="1" x14ac:dyDescent="0.25">
      <c r="A1609">
        <v>1608</v>
      </c>
      <c r="B1609">
        <v>5</v>
      </c>
      <c r="C1609" t="s">
        <v>170</v>
      </c>
      <c r="D1609">
        <v>480</v>
      </c>
      <c r="E1609">
        <v>32</v>
      </c>
      <c r="F1609" t="s">
        <v>29</v>
      </c>
      <c r="G1609">
        <v>679</v>
      </c>
      <c r="H1609">
        <v>15</v>
      </c>
      <c r="I1609" t="str">
        <f t="shared" si="25"/>
        <v>2024-05</v>
      </c>
    </row>
    <row r="1610" spans="1:9" ht="15" customHeight="1" x14ac:dyDescent="0.25">
      <c r="A1610">
        <v>1609</v>
      </c>
      <c r="B1610">
        <v>5</v>
      </c>
      <c r="C1610" t="s">
        <v>171</v>
      </c>
      <c r="D1610">
        <v>480</v>
      </c>
      <c r="E1610">
        <v>19</v>
      </c>
      <c r="F1610" t="s">
        <v>27</v>
      </c>
      <c r="G1610">
        <v>619</v>
      </c>
      <c r="H1610">
        <v>19</v>
      </c>
      <c r="I1610" t="str">
        <f t="shared" si="25"/>
        <v>2024-05</v>
      </c>
    </row>
    <row r="1611" spans="1:9" ht="15" customHeight="1" x14ac:dyDescent="0.25">
      <c r="A1611">
        <v>1610</v>
      </c>
      <c r="B1611">
        <v>5</v>
      </c>
      <c r="C1611" t="s">
        <v>172</v>
      </c>
      <c r="D1611">
        <v>480</v>
      </c>
      <c r="E1611">
        <v>13</v>
      </c>
      <c r="F1611" t="s">
        <v>24</v>
      </c>
      <c r="G1611">
        <v>621</v>
      </c>
      <c r="H1611">
        <v>17</v>
      </c>
      <c r="I1611" t="str">
        <f t="shared" si="25"/>
        <v>2024-05</v>
      </c>
    </row>
    <row r="1612" spans="1:9" ht="15" customHeight="1" x14ac:dyDescent="0.25">
      <c r="A1612">
        <v>1611</v>
      </c>
      <c r="B1612">
        <v>5</v>
      </c>
      <c r="C1612" t="s">
        <v>173</v>
      </c>
      <c r="D1612">
        <v>480</v>
      </c>
      <c r="E1612">
        <v>76</v>
      </c>
      <c r="F1612" t="s">
        <v>45</v>
      </c>
      <c r="G1612">
        <v>651</v>
      </c>
      <c r="H1612">
        <v>19</v>
      </c>
      <c r="I1612" t="str">
        <f t="shared" si="25"/>
        <v>2024-05</v>
      </c>
    </row>
    <row r="1613" spans="1:9" ht="15" customHeight="1" x14ac:dyDescent="0.25">
      <c r="A1613">
        <v>1612</v>
      </c>
      <c r="B1613">
        <v>5</v>
      </c>
      <c r="C1613" t="s">
        <v>174</v>
      </c>
      <c r="D1613">
        <v>480</v>
      </c>
      <c r="E1613">
        <v>1</v>
      </c>
      <c r="F1613" t="s">
        <v>45</v>
      </c>
      <c r="G1613">
        <v>657</v>
      </c>
      <c r="H1613">
        <v>21</v>
      </c>
      <c r="I1613" t="str">
        <f t="shared" si="25"/>
        <v>2024-05</v>
      </c>
    </row>
    <row r="1614" spans="1:9" ht="15" customHeight="1" x14ac:dyDescent="0.25">
      <c r="A1614">
        <v>1613</v>
      </c>
      <c r="B1614">
        <v>5</v>
      </c>
      <c r="C1614" t="s">
        <v>175</v>
      </c>
      <c r="D1614">
        <v>480</v>
      </c>
      <c r="E1614">
        <v>72</v>
      </c>
      <c r="F1614" t="s">
        <v>22</v>
      </c>
      <c r="G1614">
        <v>555</v>
      </c>
      <c r="H1614">
        <v>25</v>
      </c>
      <c r="I1614" t="str">
        <f t="shared" si="25"/>
        <v>2024-05</v>
      </c>
    </row>
    <row r="1615" spans="1:9" ht="15" customHeight="1" x14ac:dyDescent="0.25">
      <c r="A1615">
        <v>1614</v>
      </c>
      <c r="B1615">
        <v>5</v>
      </c>
      <c r="C1615" t="s">
        <v>176</v>
      </c>
      <c r="D1615">
        <v>480</v>
      </c>
      <c r="E1615">
        <v>2</v>
      </c>
      <c r="F1615" t="s">
        <v>33</v>
      </c>
      <c r="G1615">
        <v>775</v>
      </c>
      <c r="H1615">
        <v>24</v>
      </c>
      <c r="I1615" t="str">
        <f t="shared" si="25"/>
        <v>2024-05</v>
      </c>
    </row>
    <row r="1616" spans="1:9" ht="15" customHeight="1" x14ac:dyDescent="0.25">
      <c r="A1616">
        <v>1615</v>
      </c>
      <c r="B1616">
        <v>5</v>
      </c>
      <c r="C1616" t="s">
        <v>177</v>
      </c>
      <c r="D1616">
        <v>480</v>
      </c>
      <c r="E1616">
        <v>36</v>
      </c>
      <c r="F1616" t="s">
        <v>27</v>
      </c>
      <c r="G1616">
        <v>632</v>
      </c>
      <c r="H1616">
        <v>25</v>
      </c>
      <c r="I1616" t="str">
        <f t="shared" si="25"/>
        <v>2024-05</v>
      </c>
    </row>
    <row r="1617" spans="1:9" ht="15" customHeight="1" x14ac:dyDescent="0.25">
      <c r="A1617">
        <v>1616</v>
      </c>
      <c r="B1617">
        <v>5</v>
      </c>
      <c r="C1617" t="s">
        <v>178</v>
      </c>
      <c r="D1617">
        <v>480</v>
      </c>
      <c r="E1617">
        <v>5</v>
      </c>
      <c r="F1617" t="s">
        <v>24</v>
      </c>
      <c r="G1617">
        <v>647</v>
      </c>
      <c r="H1617">
        <v>33</v>
      </c>
      <c r="I1617" t="str">
        <f t="shared" si="25"/>
        <v>2024-05</v>
      </c>
    </row>
    <row r="1618" spans="1:9" ht="15" customHeight="1" x14ac:dyDescent="0.25">
      <c r="A1618">
        <v>1617</v>
      </c>
      <c r="B1618">
        <v>5</v>
      </c>
      <c r="C1618" t="s">
        <v>179</v>
      </c>
      <c r="D1618">
        <v>480</v>
      </c>
      <c r="E1618">
        <v>61</v>
      </c>
      <c r="F1618" t="s">
        <v>29</v>
      </c>
      <c r="G1618">
        <v>667</v>
      </c>
      <c r="H1618">
        <v>26</v>
      </c>
      <c r="I1618" t="str">
        <f t="shared" si="25"/>
        <v>2024-06</v>
      </c>
    </row>
    <row r="1619" spans="1:9" ht="15" customHeight="1" x14ac:dyDescent="0.25">
      <c r="A1619">
        <v>1618</v>
      </c>
      <c r="B1619">
        <v>5</v>
      </c>
      <c r="C1619" t="s">
        <v>180</v>
      </c>
      <c r="D1619">
        <v>480</v>
      </c>
      <c r="E1619">
        <v>40</v>
      </c>
      <c r="F1619" t="s">
        <v>22</v>
      </c>
      <c r="G1619">
        <v>589</v>
      </c>
      <c r="H1619">
        <v>17</v>
      </c>
      <c r="I1619" t="str">
        <f t="shared" si="25"/>
        <v>2024-06</v>
      </c>
    </row>
    <row r="1620" spans="1:9" ht="15" customHeight="1" x14ac:dyDescent="0.25">
      <c r="A1620">
        <v>1619</v>
      </c>
      <c r="B1620">
        <v>5</v>
      </c>
      <c r="C1620" t="s">
        <v>181</v>
      </c>
      <c r="D1620">
        <v>480</v>
      </c>
      <c r="E1620">
        <v>9</v>
      </c>
      <c r="F1620" t="s">
        <v>27</v>
      </c>
      <c r="G1620">
        <v>713</v>
      </c>
      <c r="H1620">
        <v>713</v>
      </c>
      <c r="I1620" t="str">
        <f t="shared" si="25"/>
        <v>2024-06</v>
      </c>
    </row>
    <row r="1621" spans="1:9" ht="15" customHeight="1" x14ac:dyDescent="0.25">
      <c r="A1621">
        <v>1620</v>
      </c>
      <c r="B1621">
        <v>5</v>
      </c>
      <c r="C1621" t="s">
        <v>182</v>
      </c>
      <c r="D1621">
        <v>480</v>
      </c>
      <c r="E1621">
        <v>3</v>
      </c>
      <c r="F1621" t="s">
        <v>24</v>
      </c>
      <c r="G1621">
        <v>716</v>
      </c>
      <c r="H1621">
        <v>33</v>
      </c>
      <c r="I1621" t="str">
        <f t="shared" si="25"/>
        <v>2024-06</v>
      </c>
    </row>
    <row r="1622" spans="1:9" ht="15" customHeight="1" x14ac:dyDescent="0.25">
      <c r="A1622">
        <v>1621</v>
      </c>
      <c r="B1622">
        <v>5</v>
      </c>
      <c r="C1622" t="s">
        <v>183</v>
      </c>
      <c r="D1622">
        <v>480</v>
      </c>
      <c r="E1622">
        <v>11</v>
      </c>
      <c r="F1622" t="s">
        <v>33</v>
      </c>
      <c r="G1622">
        <v>637</v>
      </c>
      <c r="H1622">
        <v>15</v>
      </c>
      <c r="I1622" t="str">
        <f t="shared" si="25"/>
        <v>2024-06</v>
      </c>
    </row>
    <row r="1623" spans="1:9" ht="15" customHeight="1" x14ac:dyDescent="0.25">
      <c r="A1623">
        <v>1622</v>
      </c>
      <c r="B1623">
        <v>5</v>
      </c>
      <c r="C1623" t="s">
        <v>184</v>
      </c>
      <c r="D1623">
        <v>480</v>
      </c>
      <c r="E1623">
        <v>6</v>
      </c>
      <c r="F1623" t="s">
        <v>22</v>
      </c>
      <c r="G1623">
        <v>668</v>
      </c>
      <c r="H1623">
        <v>27</v>
      </c>
      <c r="I1623" t="str">
        <f t="shared" si="25"/>
        <v>2024-06</v>
      </c>
    </row>
    <row r="1624" spans="1:9" ht="15" customHeight="1" x14ac:dyDescent="0.25">
      <c r="A1624">
        <v>1623</v>
      </c>
      <c r="B1624">
        <v>5</v>
      </c>
      <c r="C1624" t="s">
        <v>185</v>
      </c>
      <c r="D1624">
        <v>480</v>
      </c>
      <c r="E1624">
        <v>22</v>
      </c>
      <c r="F1624" t="s">
        <v>24</v>
      </c>
      <c r="G1624">
        <v>702</v>
      </c>
      <c r="H1624">
        <v>21</v>
      </c>
      <c r="I1624" t="str">
        <f t="shared" si="25"/>
        <v>2024-06</v>
      </c>
    </row>
    <row r="1625" spans="1:9" ht="15" customHeight="1" x14ac:dyDescent="0.25">
      <c r="A1625">
        <v>1624</v>
      </c>
      <c r="B1625">
        <v>5</v>
      </c>
      <c r="C1625" t="s">
        <v>186</v>
      </c>
      <c r="D1625">
        <v>480</v>
      </c>
      <c r="E1625">
        <v>42</v>
      </c>
      <c r="F1625" t="s">
        <v>29</v>
      </c>
      <c r="G1625">
        <v>604</v>
      </c>
      <c r="H1625">
        <v>21</v>
      </c>
      <c r="I1625" t="str">
        <f t="shared" si="25"/>
        <v>2024-06</v>
      </c>
    </row>
    <row r="1626" spans="1:9" ht="15" customHeight="1" x14ac:dyDescent="0.25">
      <c r="A1626">
        <v>1625</v>
      </c>
      <c r="B1626">
        <v>5</v>
      </c>
      <c r="C1626" t="s">
        <v>187</v>
      </c>
      <c r="D1626">
        <v>480</v>
      </c>
      <c r="E1626">
        <v>39</v>
      </c>
      <c r="F1626" t="s">
        <v>45</v>
      </c>
      <c r="G1626">
        <v>605</v>
      </c>
      <c r="H1626">
        <v>13</v>
      </c>
      <c r="I1626" t="str">
        <f t="shared" si="25"/>
        <v>2024-06</v>
      </c>
    </row>
    <row r="1627" spans="1:9" ht="15" customHeight="1" x14ac:dyDescent="0.25">
      <c r="A1627">
        <v>1626</v>
      </c>
      <c r="B1627">
        <v>5</v>
      </c>
      <c r="C1627" t="s">
        <v>188</v>
      </c>
      <c r="D1627">
        <v>480</v>
      </c>
      <c r="E1627">
        <v>52</v>
      </c>
      <c r="F1627" t="s">
        <v>27</v>
      </c>
      <c r="G1627">
        <v>609</v>
      </c>
      <c r="H1627">
        <v>25</v>
      </c>
      <c r="I1627" t="str">
        <f t="shared" si="25"/>
        <v>2024-06</v>
      </c>
    </row>
    <row r="1628" spans="1:9" ht="15" customHeight="1" x14ac:dyDescent="0.25">
      <c r="A1628">
        <v>1627</v>
      </c>
      <c r="B1628">
        <v>5</v>
      </c>
      <c r="C1628" t="s">
        <v>189</v>
      </c>
      <c r="D1628">
        <v>480</v>
      </c>
      <c r="E1628">
        <v>0</v>
      </c>
      <c r="F1628" t="s">
        <v>33</v>
      </c>
      <c r="G1628">
        <v>735</v>
      </c>
      <c r="H1628">
        <v>21</v>
      </c>
      <c r="I1628" t="str">
        <f t="shared" si="25"/>
        <v>2024-06</v>
      </c>
    </row>
    <row r="1629" spans="1:9" ht="15" customHeight="1" x14ac:dyDescent="0.25">
      <c r="A1629">
        <v>1628</v>
      </c>
      <c r="B1629">
        <v>5</v>
      </c>
      <c r="C1629" t="s">
        <v>190</v>
      </c>
      <c r="D1629">
        <v>480</v>
      </c>
      <c r="E1629">
        <v>1</v>
      </c>
      <c r="F1629" t="s">
        <v>27</v>
      </c>
      <c r="G1629">
        <v>721</v>
      </c>
      <c r="H1629">
        <v>19</v>
      </c>
      <c r="I1629" t="str">
        <f t="shared" si="25"/>
        <v>2024-06</v>
      </c>
    </row>
    <row r="1630" spans="1:9" ht="15" customHeight="1" x14ac:dyDescent="0.25">
      <c r="A1630">
        <v>1629</v>
      </c>
      <c r="B1630">
        <v>5</v>
      </c>
      <c r="C1630" t="s">
        <v>191</v>
      </c>
      <c r="D1630">
        <v>480</v>
      </c>
      <c r="E1630">
        <v>11</v>
      </c>
      <c r="F1630" t="s">
        <v>22</v>
      </c>
      <c r="G1630">
        <v>629</v>
      </c>
      <c r="H1630">
        <v>14</v>
      </c>
      <c r="I1630" t="str">
        <f t="shared" si="25"/>
        <v>2024-06</v>
      </c>
    </row>
    <row r="1631" spans="1:9" ht="15" customHeight="1" x14ac:dyDescent="0.25">
      <c r="A1631">
        <v>1630</v>
      </c>
      <c r="B1631">
        <v>5</v>
      </c>
      <c r="C1631" t="s">
        <v>192</v>
      </c>
      <c r="D1631">
        <v>480</v>
      </c>
      <c r="E1631">
        <v>8</v>
      </c>
      <c r="F1631" t="s">
        <v>24</v>
      </c>
      <c r="G1631">
        <v>634</v>
      </c>
      <c r="H1631">
        <v>32</v>
      </c>
      <c r="I1631" t="str">
        <f t="shared" si="25"/>
        <v>2024-06</v>
      </c>
    </row>
    <row r="1632" spans="1:9" ht="15" customHeight="1" x14ac:dyDescent="0.25">
      <c r="A1632">
        <v>1631</v>
      </c>
      <c r="B1632">
        <v>5</v>
      </c>
      <c r="C1632" t="s">
        <v>193</v>
      </c>
      <c r="D1632">
        <v>480</v>
      </c>
      <c r="E1632">
        <v>0</v>
      </c>
      <c r="F1632" t="s">
        <v>33</v>
      </c>
      <c r="G1632">
        <v>704</v>
      </c>
      <c r="H1632">
        <v>15</v>
      </c>
      <c r="I1632" t="str">
        <f t="shared" si="25"/>
        <v>2024-06</v>
      </c>
    </row>
    <row r="1633" spans="1:9" ht="15" customHeight="1" x14ac:dyDescent="0.25">
      <c r="A1633">
        <v>1632</v>
      </c>
      <c r="B1633">
        <v>5</v>
      </c>
      <c r="C1633" t="s">
        <v>194</v>
      </c>
      <c r="D1633">
        <v>480</v>
      </c>
      <c r="E1633">
        <v>8</v>
      </c>
      <c r="F1633" t="s">
        <v>45</v>
      </c>
      <c r="G1633">
        <v>757</v>
      </c>
      <c r="H1633">
        <v>757</v>
      </c>
      <c r="I1633" t="str">
        <f t="shared" si="25"/>
        <v>2024-06</v>
      </c>
    </row>
    <row r="1634" spans="1:9" ht="15" customHeight="1" x14ac:dyDescent="0.25">
      <c r="A1634">
        <v>1633</v>
      </c>
      <c r="B1634">
        <v>5</v>
      </c>
      <c r="C1634" t="s">
        <v>195</v>
      </c>
      <c r="D1634">
        <v>480</v>
      </c>
      <c r="E1634">
        <v>82</v>
      </c>
      <c r="F1634" t="s">
        <v>45</v>
      </c>
      <c r="G1634">
        <v>549</v>
      </c>
      <c r="H1634">
        <v>24</v>
      </c>
      <c r="I1634" t="str">
        <f t="shared" si="25"/>
        <v>2024-06</v>
      </c>
    </row>
    <row r="1635" spans="1:9" ht="15" customHeight="1" x14ac:dyDescent="0.25">
      <c r="A1635">
        <v>1634</v>
      </c>
      <c r="B1635">
        <v>5</v>
      </c>
      <c r="C1635" t="s">
        <v>196</v>
      </c>
      <c r="D1635">
        <v>480</v>
      </c>
      <c r="E1635">
        <v>19</v>
      </c>
      <c r="F1635" t="s">
        <v>27</v>
      </c>
      <c r="G1635">
        <v>733</v>
      </c>
      <c r="H1635">
        <v>27</v>
      </c>
      <c r="I1635" t="str">
        <f t="shared" si="25"/>
        <v>2024-06</v>
      </c>
    </row>
    <row r="1636" spans="1:9" ht="15" customHeight="1" x14ac:dyDescent="0.25">
      <c r="A1636">
        <v>1635</v>
      </c>
      <c r="B1636">
        <v>5</v>
      </c>
      <c r="C1636" t="s">
        <v>197</v>
      </c>
      <c r="D1636">
        <v>480</v>
      </c>
      <c r="E1636">
        <v>18</v>
      </c>
      <c r="F1636" t="s">
        <v>27</v>
      </c>
      <c r="G1636">
        <v>636</v>
      </c>
      <c r="H1636">
        <v>15</v>
      </c>
      <c r="I1636" t="str">
        <f t="shared" si="25"/>
        <v>2024-06</v>
      </c>
    </row>
    <row r="1637" spans="1:9" ht="15" customHeight="1" x14ac:dyDescent="0.25">
      <c r="A1637">
        <v>1636</v>
      </c>
      <c r="B1637">
        <v>5</v>
      </c>
      <c r="C1637" t="s">
        <v>198</v>
      </c>
      <c r="D1637">
        <v>480</v>
      </c>
      <c r="E1637">
        <v>60</v>
      </c>
      <c r="F1637" t="s">
        <v>29</v>
      </c>
      <c r="G1637">
        <v>596</v>
      </c>
      <c r="H1637">
        <v>18</v>
      </c>
      <c r="I1637" t="str">
        <f t="shared" si="25"/>
        <v>2024-06</v>
      </c>
    </row>
    <row r="1638" spans="1:9" ht="15" customHeight="1" x14ac:dyDescent="0.25">
      <c r="A1638">
        <v>1637</v>
      </c>
      <c r="B1638">
        <v>5</v>
      </c>
      <c r="C1638" t="s">
        <v>199</v>
      </c>
      <c r="D1638">
        <v>480</v>
      </c>
      <c r="E1638">
        <v>34</v>
      </c>
      <c r="F1638" t="s">
        <v>45</v>
      </c>
      <c r="G1638">
        <v>634</v>
      </c>
      <c r="H1638">
        <v>33</v>
      </c>
      <c r="I1638" t="str">
        <f t="shared" si="25"/>
        <v>2024-06</v>
      </c>
    </row>
    <row r="1639" spans="1:9" ht="15" customHeight="1" x14ac:dyDescent="0.25">
      <c r="A1639">
        <v>1638</v>
      </c>
      <c r="B1639">
        <v>5</v>
      </c>
      <c r="C1639" t="s">
        <v>200</v>
      </c>
      <c r="D1639">
        <v>480</v>
      </c>
      <c r="E1639">
        <v>32</v>
      </c>
      <c r="F1639" t="s">
        <v>29</v>
      </c>
      <c r="G1639">
        <v>673</v>
      </c>
      <c r="H1639">
        <v>33</v>
      </c>
      <c r="I1639" t="str">
        <f t="shared" si="25"/>
        <v>2024-06</v>
      </c>
    </row>
    <row r="1640" spans="1:9" ht="15" customHeight="1" x14ac:dyDescent="0.25">
      <c r="A1640">
        <v>1639</v>
      </c>
      <c r="B1640">
        <v>5</v>
      </c>
      <c r="C1640" t="s">
        <v>201</v>
      </c>
      <c r="D1640">
        <v>480</v>
      </c>
      <c r="E1640">
        <v>1</v>
      </c>
      <c r="F1640" t="s">
        <v>45</v>
      </c>
      <c r="G1640">
        <v>669</v>
      </c>
      <c r="H1640">
        <v>23</v>
      </c>
      <c r="I1640" t="str">
        <f t="shared" si="25"/>
        <v>2024-06</v>
      </c>
    </row>
    <row r="1641" spans="1:9" ht="15" customHeight="1" x14ac:dyDescent="0.25">
      <c r="A1641">
        <v>1640</v>
      </c>
      <c r="B1641">
        <v>5</v>
      </c>
      <c r="C1641" t="s">
        <v>202</v>
      </c>
      <c r="D1641">
        <v>480</v>
      </c>
      <c r="E1641">
        <v>6</v>
      </c>
      <c r="F1641" t="s">
        <v>45</v>
      </c>
      <c r="G1641">
        <v>733</v>
      </c>
      <c r="H1641">
        <v>37</v>
      </c>
      <c r="I1641" t="str">
        <f t="shared" si="25"/>
        <v>2024-06</v>
      </c>
    </row>
    <row r="1642" spans="1:9" ht="15" customHeight="1" x14ac:dyDescent="0.25">
      <c r="A1642">
        <v>1641</v>
      </c>
      <c r="B1642">
        <v>5</v>
      </c>
      <c r="C1642" t="s">
        <v>203</v>
      </c>
      <c r="D1642">
        <v>480</v>
      </c>
      <c r="E1642">
        <v>13</v>
      </c>
      <c r="F1642" t="s">
        <v>27</v>
      </c>
      <c r="G1642">
        <v>664</v>
      </c>
      <c r="H1642">
        <v>34</v>
      </c>
      <c r="I1642" t="str">
        <f t="shared" si="25"/>
        <v>2024-06</v>
      </c>
    </row>
    <row r="1643" spans="1:9" ht="15" customHeight="1" x14ac:dyDescent="0.25">
      <c r="A1643">
        <v>1642</v>
      </c>
      <c r="B1643">
        <v>5</v>
      </c>
      <c r="C1643" t="s">
        <v>204</v>
      </c>
      <c r="D1643">
        <v>480</v>
      </c>
      <c r="E1643">
        <v>14</v>
      </c>
      <c r="F1643" t="s">
        <v>33</v>
      </c>
      <c r="G1643">
        <v>684</v>
      </c>
      <c r="H1643">
        <v>20</v>
      </c>
      <c r="I1643" t="str">
        <f t="shared" si="25"/>
        <v>2024-06</v>
      </c>
    </row>
    <row r="1644" spans="1:9" ht="15" customHeight="1" x14ac:dyDescent="0.25">
      <c r="A1644">
        <v>1643</v>
      </c>
      <c r="B1644">
        <v>5</v>
      </c>
      <c r="C1644" t="s">
        <v>205</v>
      </c>
      <c r="D1644">
        <v>480</v>
      </c>
      <c r="E1644">
        <v>58</v>
      </c>
      <c r="F1644" t="s">
        <v>45</v>
      </c>
      <c r="G1644">
        <v>630</v>
      </c>
      <c r="H1644">
        <v>28</v>
      </c>
      <c r="I1644" t="str">
        <f t="shared" si="25"/>
        <v>2024-06</v>
      </c>
    </row>
    <row r="1645" spans="1:9" ht="15" customHeight="1" x14ac:dyDescent="0.25">
      <c r="A1645">
        <v>1644</v>
      </c>
      <c r="B1645">
        <v>5</v>
      </c>
      <c r="C1645" t="s">
        <v>206</v>
      </c>
      <c r="D1645">
        <v>480</v>
      </c>
      <c r="E1645">
        <v>40</v>
      </c>
      <c r="F1645" t="s">
        <v>29</v>
      </c>
      <c r="G1645">
        <v>626</v>
      </c>
      <c r="H1645">
        <v>20</v>
      </c>
      <c r="I1645" t="str">
        <f t="shared" si="25"/>
        <v>2024-06</v>
      </c>
    </row>
    <row r="1646" spans="1:9" ht="15" customHeight="1" x14ac:dyDescent="0.25">
      <c r="A1646">
        <v>1645</v>
      </c>
      <c r="B1646">
        <v>5</v>
      </c>
      <c r="C1646" t="s">
        <v>207</v>
      </c>
      <c r="D1646">
        <v>480</v>
      </c>
      <c r="E1646">
        <v>46</v>
      </c>
      <c r="F1646" t="s">
        <v>27</v>
      </c>
      <c r="G1646">
        <v>620</v>
      </c>
      <c r="H1646">
        <v>28</v>
      </c>
      <c r="I1646" t="str">
        <f t="shared" si="25"/>
        <v>2024-06</v>
      </c>
    </row>
    <row r="1647" spans="1:9" ht="15" customHeight="1" x14ac:dyDescent="0.25">
      <c r="A1647">
        <v>1646</v>
      </c>
      <c r="B1647">
        <v>5</v>
      </c>
      <c r="C1647" t="s">
        <v>208</v>
      </c>
      <c r="D1647">
        <v>480</v>
      </c>
      <c r="E1647">
        <v>69</v>
      </c>
      <c r="F1647" t="s">
        <v>45</v>
      </c>
      <c r="G1647">
        <v>620</v>
      </c>
      <c r="H1647">
        <v>27</v>
      </c>
      <c r="I1647" t="str">
        <f t="shared" si="25"/>
        <v>2024-06</v>
      </c>
    </row>
    <row r="1648" spans="1:9" ht="15" customHeight="1" x14ac:dyDescent="0.25">
      <c r="A1648">
        <v>1647</v>
      </c>
      <c r="B1648">
        <v>5</v>
      </c>
      <c r="C1648" t="s">
        <v>209</v>
      </c>
      <c r="D1648">
        <v>480</v>
      </c>
      <c r="E1648">
        <v>39</v>
      </c>
      <c r="F1648" t="s">
        <v>29</v>
      </c>
      <c r="G1648">
        <v>696</v>
      </c>
      <c r="H1648">
        <v>22</v>
      </c>
      <c r="I1648" t="str">
        <f t="shared" si="25"/>
        <v>2024-07</v>
      </c>
    </row>
    <row r="1649" spans="1:9" ht="15" customHeight="1" x14ac:dyDescent="0.25">
      <c r="A1649">
        <v>1648</v>
      </c>
      <c r="B1649">
        <v>5</v>
      </c>
      <c r="C1649" t="s">
        <v>210</v>
      </c>
      <c r="D1649">
        <v>480</v>
      </c>
      <c r="E1649">
        <v>1</v>
      </c>
      <c r="F1649" t="s">
        <v>27</v>
      </c>
      <c r="G1649">
        <v>690</v>
      </c>
      <c r="H1649">
        <v>29</v>
      </c>
      <c r="I1649" t="str">
        <f t="shared" si="25"/>
        <v>2024-07</v>
      </c>
    </row>
    <row r="1650" spans="1:9" ht="15" customHeight="1" x14ac:dyDescent="0.25">
      <c r="A1650">
        <v>1649</v>
      </c>
      <c r="B1650">
        <v>5</v>
      </c>
      <c r="C1650" t="s">
        <v>211</v>
      </c>
      <c r="D1650">
        <v>480</v>
      </c>
      <c r="E1650">
        <v>14</v>
      </c>
      <c r="F1650" t="s">
        <v>27</v>
      </c>
      <c r="G1650">
        <v>722</v>
      </c>
      <c r="H1650">
        <v>22</v>
      </c>
      <c r="I1650" t="str">
        <f t="shared" si="25"/>
        <v>2024-07</v>
      </c>
    </row>
    <row r="1651" spans="1:9" ht="15" customHeight="1" x14ac:dyDescent="0.25">
      <c r="A1651">
        <v>1650</v>
      </c>
      <c r="B1651">
        <v>5</v>
      </c>
      <c r="C1651" t="s">
        <v>212</v>
      </c>
      <c r="D1651">
        <v>480</v>
      </c>
      <c r="E1651">
        <v>24</v>
      </c>
      <c r="F1651" t="s">
        <v>33</v>
      </c>
      <c r="G1651">
        <v>627</v>
      </c>
      <c r="H1651">
        <v>28</v>
      </c>
      <c r="I1651" t="str">
        <f t="shared" si="25"/>
        <v>2024-07</v>
      </c>
    </row>
    <row r="1652" spans="1:9" ht="15" customHeight="1" x14ac:dyDescent="0.25">
      <c r="A1652">
        <v>1651</v>
      </c>
      <c r="B1652">
        <v>5</v>
      </c>
      <c r="C1652" t="s">
        <v>213</v>
      </c>
      <c r="D1652">
        <v>480</v>
      </c>
      <c r="E1652">
        <v>19</v>
      </c>
      <c r="F1652" t="s">
        <v>29</v>
      </c>
      <c r="G1652">
        <v>636</v>
      </c>
      <c r="H1652">
        <v>18</v>
      </c>
      <c r="I1652" t="str">
        <f t="shared" si="25"/>
        <v>2024-07</v>
      </c>
    </row>
    <row r="1653" spans="1:9" ht="15" customHeight="1" x14ac:dyDescent="0.25">
      <c r="A1653">
        <v>1652</v>
      </c>
      <c r="B1653">
        <v>5</v>
      </c>
      <c r="C1653" t="s">
        <v>214</v>
      </c>
      <c r="D1653">
        <v>480</v>
      </c>
      <c r="E1653">
        <v>33</v>
      </c>
      <c r="F1653" t="s">
        <v>29</v>
      </c>
      <c r="G1653">
        <v>655</v>
      </c>
      <c r="H1653">
        <v>16</v>
      </c>
      <c r="I1653" t="str">
        <f t="shared" si="25"/>
        <v>2024-07</v>
      </c>
    </row>
    <row r="1654" spans="1:9" ht="15" customHeight="1" x14ac:dyDescent="0.25">
      <c r="A1654">
        <v>1653</v>
      </c>
      <c r="B1654">
        <v>5</v>
      </c>
      <c r="C1654" t="s">
        <v>215</v>
      </c>
      <c r="D1654">
        <v>480</v>
      </c>
      <c r="E1654">
        <v>83</v>
      </c>
      <c r="F1654" t="s">
        <v>45</v>
      </c>
      <c r="G1654">
        <v>611</v>
      </c>
      <c r="H1654">
        <v>31</v>
      </c>
      <c r="I1654" t="str">
        <f t="shared" si="25"/>
        <v>2024-07</v>
      </c>
    </row>
    <row r="1655" spans="1:9" ht="15" customHeight="1" x14ac:dyDescent="0.25">
      <c r="A1655">
        <v>1654</v>
      </c>
      <c r="B1655">
        <v>5</v>
      </c>
      <c r="C1655" t="s">
        <v>216</v>
      </c>
      <c r="D1655">
        <v>480</v>
      </c>
      <c r="E1655">
        <v>13</v>
      </c>
      <c r="F1655" t="s">
        <v>45</v>
      </c>
      <c r="G1655">
        <v>684</v>
      </c>
      <c r="H1655">
        <v>34</v>
      </c>
      <c r="I1655" t="str">
        <f t="shared" si="25"/>
        <v>2024-07</v>
      </c>
    </row>
    <row r="1656" spans="1:9" ht="15" customHeight="1" x14ac:dyDescent="0.25">
      <c r="A1656">
        <v>1655</v>
      </c>
      <c r="B1656">
        <v>5</v>
      </c>
      <c r="C1656" t="s">
        <v>217</v>
      </c>
      <c r="D1656">
        <v>480</v>
      </c>
      <c r="E1656">
        <v>18</v>
      </c>
      <c r="F1656" t="s">
        <v>29</v>
      </c>
      <c r="G1656">
        <v>709</v>
      </c>
      <c r="H1656">
        <v>19</v>
      </c>
      <c r="I1656" t="str">
        <f t="shared" si="25"/>
        <v>2024-07</v>
      </c>
    </row>
    <row r="1657" spans="1:9" ht="15" customHeight="1" x14ac:dyDescent="0.25">
      <c r="A1657">
        <v>1656</v>
      </c>
      <c r="B1657">
        <v>5</v>
      </c>
      <c r="C1657" t="s">
        <v>218</v>
      </c>
      <c r="D1657">
        <v>480</v>
      </c>
      <c r="E1657">
        <v>14</v>
      </c>
      <c r="F1657" t="s">
        <v>29</v>
      </c>
      <c r="G1657">
        <v>631</v>
      </c>
      <c r="H1657">
        <v>16</v>
      </c>
      <c r="I1657" t="str">
        <f t="shared" si="25"/>
        <v>2024-07</v>
      </c>
    </row>
    <row r="1658" spans="1:9" ht="15" customHeight="1" x14ac:dyDescent="0.25">
      <c r="A1658">
        <v>1657</v>
      </c>
      <c r="B1658">
        <v>5</v>
      </c>
      <c r="C1658" t="s">
        <v>219</v>
      </c>
      <c r="D1658">
        <v>480</v>
      </c>
      <c r="E1658">
        <v>0</v>
      </c>
      <c r="F1658" t="s">
        <v>33</v>
      </c>
      <c r="G1658">
        <v>638</v>
      </c>
      <c r="H1658">
        <v>33</v>
      </c>
      <c r="I1658" t="str">
        <f t="shared" si="25"/>
        <v>2024-07</v>
      </c>
    </row>
    <row r="1659" spans="1:9" ht="15" customHeight="1" x14ac:dyDescent="0.25">
      <c r="A1659">
        <v>1658</v>
      </c>
      <c r="B1659">
        <v>5</v>
      </c>
      <c r="C1659" t="s">
        <v>220</v>
      </c>
      <c r="D1659">
        <v>480</v>
      </c>
      <c r="E1659">
        <v>6</v>
      </c>
      <c r="F1659" t="s">
        <v>29</v>
      </c>
      <c r="G1659">
        <v>721</v>
      </c>
      <c r="H1659">
        <v>34</v>
      </c>
      <c r="I1659" t="str">
        <f t="shared" si="25"/>
        <v>2024-07</v>
      </c>
    </row>
    <row r="1660" spans="1:9" ht="15" customHeight="1" x14ac:dyDescent="0.25">
      <c r="A1660">
        <v>1659</v>
      </c>
      <c r="B1660">
        <v>5</v>
      </c>
      <c r="C1660" t="s">
        <v>221</v>
      </c>
      <c r="D1660">
        <v>480</v>
      </c>
      <c r="E1660">
        <v>19</v>
      </c>
      <c r="F1660" t="s">
        <v>29</v>
      </c>
      <c r="G1660">
        <v>629</v>
      </c>
      <c r="H1660">
        <v>27</v>
      </c>
      <c r="I1660" t="str">
        <f t="shared" si="25"/>
        <v>2024-07</v>
      </c>
    </row>
    <row r="1661" spans="1:9" ht="15" customHeight="1" x14ac:dyDescent="0.25">
      <c r="A1661">
        <v>1660</v>
      </c>
      <c r="B1661">
        <v>5</v>
      </c>
      <c r="C1661" t="s">
        <v>222</v>
      </c>
      <c r="D1661">
        <v>480</v>
      </c>
      <c r="E1661">
        <v>22</v>
      </c>
      <c r="F1661" t="s">
        <v>45</v>
      </c>
      <c r="G1661">
        <v>707</v>
      </c>
      <c r="H1661">
        <v>32</v>
      </c>
      <c r="I1661" t="str">
        <f t="shared" si="25"/>
        <v>2024-07</v>
      </c>
    </row>
    <row r="1662" spans="1:9" ht="15" customHeight="1" x14ac:dyDescent="0.25">
      <c r="A1662">
        <v>1661</v>
      </c>
      <c r="B1662">
        <v>5</v>
      </c>
      <c r="C1662" t="s">
        <v>223</v>
      </c>
      <c r="D1662">
        <v>480</v>
      </c>
      <c r="E1662">
        <v>90</v>
      </c>
      <c r="F1662" t="s">
        <v>29</v>
      </c>
      <c r="G1662">
        <v>583</v>
      </c>
      <c r="H1662">
        <v>17</v>
      </c>
      <c r="I1662" t="str">
        <f t="shared" si="25"/>
        <v>2024-07</v>
      </c>
    </row>
    <row r="1663" spans="1:9" ht="15" customHeight="1" x14ac:dyDescent="0.25">
      <c r="A1663">
        <v>1662</v>
      </c>
      <c r="B1663">
        <v>5</v>
      </c>
      <c r="C1663" t="s">
        <v>224</v>
      </c>
      <c r="D1663">
        <v>480</v>
      </c>
      <c r="E1663">
        <v>25</v>
      </c>
      <c r="F1663" t="s">
        <v>29</v>
      </c>
      <c r="G1663">
        <v>609</v>
      </c>
      <c r="H1663">
        <v>30</v>
      </c>
      <c r="I1663" t="str">
        <f t="shared" si="25"/>
        <v>2024-07</v>
      </c>
    </row>
    <row r="1664" spans="1:9" ht="15" customHeight="1" x14ac:dyDescent="0.25">
      <c r="A1664">
        <v>1663</v>
      </c>
      <c r="B1664">
        <v>5</v>
      </c>
      <c r="C1664" t="s">
        <v>225</v>
      </c>
      <c r="D1664">
        <v>480</v>
      </c>
      <c r="E1664">
        <v>3</v>
      </c>
      <c r="F1664" t="s">
        <v>27</v>
      </c>
      <c r="G1664">
        <v>676</v>
      </c>
      <c r="H1664">
        <v>31</v>
      </c>
      <c r="I1664" t="str">
        <f t="shared" si="25"/>
        <v>2024-07</v>
      </c>
    </row>
    <row r="1665" spans="1:9" ht="15" customHeight="1" x14ac:dyDescent="0.25">
      <c r="A1665">
        <v>1664</v>
      </c>
      <c r="B1665">
        <v>5</v>
      </c>
      <c r="C1665" t="s">
        <v>226</v>
      </c>
      <c r="D1665">
        <v>480</v>
      </c>
      <c r="E1665">
        <v>22</v>
      </c>
      <c r="F1665" t="s">
        <v>45</v>
      </c>
      <c r="G1665">
        <v>659</v>
      </c>
      <c r="H1665">
        <v>23</v>
      </c>
      <c r="I1665" t="str">
        <f t="shared" si="25"/>
        <v>2024-07</v>
      </c>
    </row>
    <row r="1666" spans="1:9" ht="15" customHeight="1" x14ac:dyDescent="0.25">
      <c r="A1666">
        <v>1665</v>
      </c>
      <c r="B1666">
        <v>5</v>
      </c>
      <c r="C1666" t="s">
        <v>227</v>
      </c>
      <c r="D1666">
        <v>480</v>
      </c>
      <c r="E1666">
        <v>47</v>
      </c>
      <c r="F1666" t="s">
        <v>29</v>
      </c>
      <c r="G1666">
        <v>616</v>
      </c>
      <c r="H1666">
        <v>30</v>
      </c>
      <c r="I1666" t="str">
        <f t="shared" ref="I1666:I1729" si="26">TEXT(C1666,"yyyy-mm")</f>
        <v>2024-07</v>
      </c>
    </row>
    <row r="1667" spans="1:9" ht="15" customHeight="1" x14ac:dyDescent="0.25">
      <c r="A1667">
        <v>1666</v>
      </c>
      <c r="B1667">
        <v>5</v>
      </c>
      <c r="C1667" t="s">
        <v>228</v>
      </c>
      <c r="D1667">
        <v>480</v>
      </c>
      <c r="E1667">
        <v>2</v>
      </c>
      <c r="F1667" t="s">
        <v>45</v>
      </c>
      <c r="G1667">
        <v>744</v>
      </c>
      <c r="H1667">
        <v>36</v>
      </c>
      <c r="I1667" t="str">
        <f t="shared" si="26"/>
        <v>2024-07</v>
      </c>
    </row>
    <row r="1668" spans="1:9" ht="15" customHeight="1" x14ac:dyDescent="0.25">
      <c r="A1668">
        <v>1667</v>
      </c>
      <c r="B1668">
        <v>5</v>
      </c>
      <c r="C1668" t="s">
        <v>229</v>
      </c>
      <c r="D1668">
        <v>480</v>
      </c>
      <c r="E1668">
        <v>4</v>
      </c>
      <c r="F1668" t="s">
        <v>22</v>
      </c>
      <c r="G1668">
        <v>690</v>
      </c>
      <c r="H1668">
        <v>16</v>
      </c>
      <c r="I1668" t="str">
        <f t="shared" si="26"/>
        <v>2024-07</v>
      </c>
    </row>
    <row r="1669" spans="1:9" ht="15" customHeight="1" x14ac:dyDescent="0.25">
      <c r="A1669">
        <v>1668</v>
      </c>
      <c r="B1669">
        <v>5</v>
      </c>
      <c r="C1669" t="s">
        <v>230</v>
      </c>
      <c r="D1669">
        <v>480</v>
      </c>
      <c r="E1669">
        <v>29</v>
      </c>
      <c r="F1669" t="s">
        <v>29</v>
      </c>
      <c r="G1669">
        <v>669</v>
      </c>
      <c r="H1669">
        <v>27</v>
      </c>
      <c r="I1669" t="str">
        <f t="shared" si="26"/>
        <v>2024-07</v>
      </c>
    </row>
    <row r="1670" spans="1:9" ht="15" customHeight="1" x14ac:dyDescent="0.25">
      <c r="A1670">
        <v>1669</v>
      </c>
      <c r="B1670">
        <v>5</v>
      </c>
      <c r="C1670" t="s">
        <v>231</v>
      </c>
      <c r="D1670">
        <v>480</v>
      </c>
      <c r="E1670">
        <v>5</v>
      </c>
      <c r="F1670" t="s">
        <v>27</v>
      </c>
      <c r="G1670">
        <v>656</v>
      </c>
      <c r="H1670">
        <v>12</v>
      </c>
      <c r="I1670" t="str">
        <f t="shared" si="26"/>
        <v>2024-07</v>
      </c>
    </row>
    <row r="1671" spans="1:9" ht="15" customHeight="1" x14ac:dyDescent="0.25">
      <c r="A1671">
        <v>1670</v>
      </c>
      <c r="B1671">
        <v>5</v>
      </c>
      <c r="C1671" t="s">
        <v>232</v>
      </c>
      <c r="D1671">
        <v>480</v>
      </c>
      <c r="E1671">
        <v>9</v>
      </c>
      <c r="F1671" t="s">
        <v>27</v>
      </c>
      <c r="G1671">
        <v>702</v>
      </c>
      <c r="H1671">
        <v>34</v>
      </c>
      <c r="I1671" t="str">
        <f t="shared" si="26"/>
        <v>2024-07</v>
      </c>
    </row>
    <row r="1672" spans="1:9" ht="15" customHeight="1" x14ac:dyDescent="0.25">
      <c r="A1672">
        <v>1671</v>
      </c>
      <c r="B1672">
        <v>5</v>
      </c>
      <c r="C1672" t="s">
        <v>233</v>
      </c>
      <c r="D1672">
        <v>480</v>
      </c>
      <c r="E1672">
        <v>26</v>
      </c>
      <c r="F1672" t="s">
        <v>22</v>
      </c>
      <c r="G1672">
        <v>659</v>
      </c>
      <c r="H1672">
        <v>34</v>
      </c>
      <c r="I1672" t="str">
        <f t="shared" si="26"/>
        <v>2024-07</v>
      </c>
    </row>
    <row r="1673" spans="1:9" ht="15" customHeight="1" x14ac:dyDescent="0.25">
      <c r="A1673">
        <v>1672</v>
      </c>
      <c r="B1673">
        <v>5</v>
      </c>
      <c r="C1673" t="s">
        <v>234</v>
      </c>
      <c r="D1673">
        <v>480</v>
      </c>
      <c r="E1673">
        <v>31</v>
      </c>
      <c r="F1673" t="s">
        <v>27</v>
      </c>
      <c r="G1673">
        <v>721</v>
      </c>
      <c r="H1673">
        <v>26</v>
      </c>
      <c r="I1673" t="str">
        <f t="shared" si="26"/>
        <v>2024-07</v>
      </c>
    </row>
    <row r="1674" spans="1:9" ht="15" customHeight="1" x14ac:dyDescent="0.25">
      <c r="A1674">
        <v>1673</v>
      </c>
      <c r="B1674">
        <v>5</v>
      </c>
      <c r="C1674" t="s">
        <v>235</v>
      </c>
      <c r="D1674">
        <v>480</v>
      </c>
      <c r="E1674">
        <v>7</v>
      </c>
      <c r="F1674" t="s">
        <v>22</v>
      </c>
      <c r="G1674">
        <v>630</v>
      </c>
      <c r="H1674">
        <v>27</v>
      </c>
      <c r="I1674" t="str">
        <f t="shared" si="26"/>
        <v>2024-07</v>
      </c>
    </row>
    <row r="1675" spans="1:9" ht="15" customHeight="1" x14ac:dyDescent="0.25">
      <c r="A1675">
        <v>1674</v>
      </c>
      <c r="B1675">
        <v>5</v>
      </c>
      <c r="C1675" t="s">
        <v>236</v>
      </c>
      <c r="D1675">
        <v>480</v>
      </c>
      <c r="E1675">
        <v>3</v>
      </c>
      <c r="F1675" t="s">
        <v>29</v>
      </c>
      <c r="G1675">
        <v>673</v>
      </c>
      <c r="H1675">
        <v>24</v>
      </c>
      <c r="I1675" t="str">
        <f t="shared" si="26"/>
        <v>2024-07</v>
      </c>
    </row>
    <row r="1676" spans="1:9" ht="15" customHeight="1" x14ac:dyDescent="0.25">
      <c r="A1676">
        <v>1675</v>
      </c>
      <c r="B1676">
        <v>5</v>
      </c>
      <c r="C1676" t="s">
        <v>237</v>
      </c>
      <c r="D1676">
        <v>480</v>
      </c>
      <c r="E1676">
        <v>20</v>
      </c>
      <c r="F1676" t="s">
        <v>29</v>
      </c>
      <c r="G1676">
        <v>691</v>
      </c>
      <c r="H1676">
        <v>16</v>
      </c>
      <c r="I1676" t="str">
        <f t="shared" si="26"/>
        <v>2024-07</v>
      </c>
    </row>
    <row r="1677" spans="1:9" ht="15" customHeight="1" x14ac:dyDescent="0.25">
      <c r="A1677">
        <v>1676</v>
      </c>
      <c r="B1677">
        <v>5</v>
      </c>
      <c r="C1677" t="s">
        <v>238</v>
      </c>
      <c r="D1677">
        <v>480</v>
      </c>
      <c r="E1677">
        <v>11</v>
      </c>
      <c r="F1677" t="s">
        <v>45</v>
      </c>
      <c r="G1677">
        <v>707</v>
      </c>
      <c r="H1677">
        <v>37</v>
      </c>
      <c r="I1677" t="str">
        <f t="shared" si="26"/>
        <v>2024-07</v>
      </c>
    </row>
    <row r="1678" spans="1:9" ht="15" customHeight="1" x14ac:dyDescent="0.25">
      <c r="A1678">
        <v>1677</v>
      </c>
      <c r="B1678">
        <v>5</v>
      </c>
      <c r="C1678" t="s">
        <v>239</v>
      </c>
      <c r="D1678">
        <v>480</v>
      </c>
      <c r="E1678">
        <v>31</v>
      </c>
      <c r="F1678" t="s">
        <v>22</v>
      </c>
      <c r="G1678">
        <v>719</v>
      </c>
      <c r="H1678">
        <v>32</v>
      </c>
      <c r="I1678" t="str">
        <f t="shared" si="26"/>
        <v>2024-07</v>
      </c>
    </row>
    <row r="1679" spans="1:9" ht="15" customHeight="1" x14ac:dyDescent="0.25">
      <c r="A1679">
        <v>1678</v>
      </c>
      <c r="B1679">
        <v>5</v>
      </c>
      <c r="C1679" t="s">
        <v>240</v>
      </c>
      <c r="D1679">
        <v>480</v>
      </c>
      <c r="E1679">
        <v>21</v>
      </c>
      <c r="F1679" t="s">
        <v>45</v>
      </c>
      <c r="G1679">
        <v>632</v>
      </c>
      <c r="H1679">
        <v>26</v>
      </c>
      <c r="I1679" t="str">
        <f t="shared" si="26"/>
        <v>2024-08</v>
      </c>
    </row>
    <row r="1680" spans="1:9" ht="15" customHeight="1" x14ac:dyDescent="0.25">
      <c r="A1680">
        <v>1679</v>
      </c>
      <c r="B1680">
        <v>5</v>
      </c>
      <c r="C1680" t="s">
        <v>241</v>
      </c>
      <c r="D1680">
        <v>480</v>
      </c>
      <c r="E1680">
        <v>23</v>
      </c>
      <c r="F1680" t="s">
        <v>45</v>
      </c>
      <c r="G1680">
        <v>687</v>
      </c>
      <c r="H1680">
        <v>24</v>
      </c>
      <c r="I1680" t="str">
        <f t="shared" si="26"/>
        <v>2024-08</v>
      </c>
    </row>
    <row r="1681" spans="1:9" ht="15" customHeight="1" x14ac:dyDescent="0.25">
      <c r="A1681">
        <v>1680</v>
      </c>
      <c r="B1681">
        <v>5</v>
      </c>
      <c r="C1681" t="s">
        <v>242</v>
      </c>
      <c r="D1681">
        <v>480</v>
      </c>
      <c r="E1681">
        <v>18</v>
      </c>
      <c r="F1681" t="s">
        <v>24</v>
      </c>
      <c r="G1681">
        <v>656</v>
      </c>
      <c r="H1681">
        <v>24</v>
      </c>
      <c r="I1681" t="str">
        <f t="shared" si="26"/>
        <v>2024-08</v>
      </c>
    </row>
    <row r="1682" spans="1:9" ht="15" customHeight="1" x14ac:dyDescent="0.25">
      <c r="A1682">
        <v>1681</v>
      </c>
      <c r="B1682">
        <v>5</v>
      </c>
      <c r="C1682" t="s">
        <v>243</v>
      </c>
      <c r="D1682">
        <v>480</v>
      </c>
      <c r="E1682">
        <v>5</v>
      </c>
      <c r="F1682" t="s">
        <v>29</v>
      </c>
      <c r="G1682">
        <v>744</v>
      </c>
      <c r="H1682">
        <v>18</v>
      </c>
      <c r="I1682" t="str">
        <f t="shared" si="26"/>
        <v>2024-08</v>
      </c>
    </row>
    <row r="1683" spans="1:9" ht="15" customHeight="1" x14ac:dyDescent="0.25">
      <c r="A1683">
        <v>1682</v>
      </c>
      <c r="B1683">
        <v>5</v>
      </c>
      <c r="C1683" t="s">
        <v>244</v>
      </c>
      <c r="D1683">
        <v>480</v>
      </c>
      <c r="E1683">
        <v>2</v>
      </c>
      <c r="F1683" t="s">
        <v>27</v>
      </c>
      <c r="G1683">
        <v>694</v>
      </c>
      <c r="H1683">
        <v>28</v>
      </c>
      <c r="I1683" t="str">
        <f t="shared" si="26"/>
        <v>2024-08</v>
      </c>
    </row>
    <row r="1684" spans="1:9" ht="15" customHeight="1" x14ac:dyDescent="0.25">
      <c r="A1684">
        <v>1683</v>
      </c>
      <c r="B1684">
        <v>5</v>
      </c>
      <c r="C1684" t="s">
        <v>245</v>
      </c>
      <c r="D1684">
        <v>480</v>
      </c>
      <c r="E1684">
        <v>14</v>
      </c>
      <c r="F1684" t="s">
        <v>29</v>
      </c>
      <c r="G1684">
        <v>653</v>
      </c>
      <c r="H1684">
        <v>24</v>
      </c>
      <c r="I1684" t="str">
        <f t="shared" si="26"/>
        <v>2024-08</v>
      </c>
    </row>
    <row r="1685" spans="1:9" ht="15" customHeight="1" x14ac:dyDescent="0.25">
      <c r="A1685">
        <v>1684</v>
      </c>
      <c r="B1685">
        <v>5</v>
      </c>
      <c r="C1685" t="s">
        <v>246</v>
      </c>
      <c r="D1685">
        <v>480</v>
      </c>
      <c r="E1685">
        <v>10</v>
      </c>
      <c r="F1685" t="s">
        <v>45</v>
      </c>
      <c r="G1685">
        <v>755</v>
      </c>
      <c r="H1685">
        <v>38</v>
      </c>
      <c r="I1685" t="str">
        <f t="shared" si="26"/>
        <v>2024-08</v>
      </c>
    </row>
    <row r="1686" spans="1:9" ht="15" customHeight="1" x14ac:dyDescent="0.25">
      <c r="A1686">
        <v>1685</v>
      </c>
      <c r="B1686">
        <v>5</v>
      </c>
      <c r="C1686" t="s">
        <v>247</v>
      </c>
      <c r="D1686">
        <v>480</v>
      </c>
      <c r="E1686">
        <v>17</v>
      </c>
      <c r="F1686" t="s">
        <v>29</v>
      </c>
      <c r="G1686">
        <v>657</v>
      </c>
      <c r="H1686">
        <v>29</v>
      </c>
      <c r="I1686" t="str">
        <f t="shared" si="26"/>
        <v>2024-08</v>
      </c>
    </row>
    <row r="1687" spans="1:9" ht="15" customHeight="1" x14ac:dyDescent="0.25">
      <c r="A1687">
        <v>1686</v>
      </c>
      <c r="B1687">
        <v>5</v>
      </c>
      <c r="C1687" t="s">
        <v>248</v>
      </c>
      <c r="D1687">
        <v>480</v>
      </c>
      <c r="E1687">
        <v>0</v>
      </c>
      <c r="F1687" t="s">
        <v>33</v>
      </c>
      <c r="G1687">
        <v>703</v>
      </c>
      <c r="H1687">
        <v>21</v>
      </c>
      <c r="I1687" t="str">
        <f t="shared" si="26"/>
        <v>2024-08</v>
      </c>
    </row>
    <row r="1688" spans="1:9" ht="15" customHeight="1" x14ac:dyDescent="0.25">
      <c r="A1688">
        <v>1687</v>
      </c>
      <c r="B1688">
        <v>5</v>
      </c>
      <c r="C1688" t="s">
        <v>249</v>
      </c>
      <c r="D1688">
        <v>480</v>
      </c>
      <c r="E1688">
        <v>61</v>
      </c>
      <c r="F1688" t="s">
        <v>24</v>
      </c>
      <c r="G1688">
        <v>553</v>
      </c>
      <c r="H1688">
        <v>20</v>
      </c>
      <c r="I1688" t="str">
        <f t="shared" si="26"/>
        <v>2024-08</v>
      </c>
    </row>
    <row r="1689" spans="1:9" ht="15" customHeight="1" x14ac:dyDescent="0.25">
      <c r="A1689">
        <v>1688</v>
      </c>
      <c r="B1689">
        <v>5</v>
      </c>
      <c r="C1689" t="s">
        <v>250</v>
      </c>
      <c r="D1689">
        <v>480</v>
      </c>
      <c r="E1689">
        <v>33</v>
      </c>
      <c r="F1689" t="s">
        <v>29</v>
      </c>
      <c r="G1689">
        <v>656</v>
      </c>
      <c r="H1689">
        <v>13</v>
      </c>
      <c r="I1689" t="str">
        <f t="shared" si="26"/>
        <v>2024-08</v>
      </c>
    </row>
    <row r="1690" spans="1:9" ht="15" customHeight="1" x14ac:dyDescent="0.25">
      <c r="A1690">
        <v>1689</v>
      </c>
      <c r="B1690">
        <v>5</v>
      </c>
      <c r="C1690" t="s">
        <v>251</v>
      </c>
      <c r="D1690">
        <v>480</v>
      </c>
      <c r="E1690">
        <v>87</v>
      </c>
      <c r="F1690" t="s">
        <v>45</v>
      </c>
      <c r="G1690">
        <v>580</v>
      </c>
      <c r="H1690">
        <v>23</v>
      </c>
      <c r="I1690" t="str">
        <f t="shared" si="26"/>
        <v>2024-08</v>
      </c>
    </row>
    <row r="1691" spans="1:9" ht="15" customHeight="1" x14ac:dyDescent="0.25">
      <c r="A1691">
        <v>1690</v>
      </c>
      <c r="B1691">
        <v>5</v>
      </c>
      <c r="C1691" t="s">
        <v>252</v>
      </c>
      <c r="D1691">
        <v>480</v>
      </c>
      <c r="E1691">
        <v>6</v>
      </c>
      <c r="F1691" t="s">
        <v>29</v>
      </c>
      <c r="G1691">
        <v>695</v>
      </c>
      <c r="H1691">
        <v>23</v>
      </c>
      <c r="I1691" t="str">
        <f t="shared" si="26"/>
        <v>2024-08</v>
      </c>
    </row>
    <row r="1692" spans="1:9" ht="15" customHeight="1" x14ac:dyDescent="0.25">
      <c r="A1692">
        <v>1691</v>
      </c>
      <c r="B1692">
        <v>5</v>
      </c>
      <c r="C1692" t="s">
        <v>253</v>
      </c>
      <c r="D1692">
        <v>480</v>
      </c>
      <c r="E1692">
        <v>1</v>
      </c>
      <c r="F1692" t="s">
        <v>45</v>
      </c>
      <c r="G1692">
        <v>646</v>
      </c>
      <c r="H1692">
        <v>31</v>
      </c>
      <c r="I1692" t="str">
        <f t="shared" si="26"/>
        <v>2024-08</v>
      </c>
    </row>
    <row r="1693" spans="1:9" ht="15" customHeight="1" x14ac:dyDescent="0.25">
      <c r="A1693">
        <v>1692</v>
      </c>
      <c r="B1693">
        <v>5</v>
      </c>
      <c r="C1693" t="s">
        <v>254</v>
      </c>
      <c r="D1693">
        <v>480</v>
      </c>
      <c r="E1693">
        <v>6</v>
      </c>
      <c r="F1693" t="s">
        <v>45</v>
      </c>
      <c r="G1693">
        <v>653</v>
      </c>
      <c r="H1693">
        <v>23</v>
      </c>
      <c r="I1693" t="str">
        <f t="shared" si="26"/>
        <v>2024-08</v>
      </c>
    </row>
    <row r="1694" spans="1:9" ht="15" customHeight="1" x14ac:dyDescent="0.25">
      <c r="A1694">
        <v>1693</v>
      </c>
      <c r="B1694">
        <v>5</v>
      </c>
      <c r="C1694" t="s">
        <v>255</v>
      </c>
      <c r="D1694">
        <v>480</v>
      </c>
      <c r="E1694">
        <v>35</v>
      </c>
      <c r="F1694" t="s">
        <v>27</v>
      </c>
      <c r="G1694">
        <v>594</v>
      </c>
      <c r="H1694">
        <v>22</v>
      </c>
      <c r="I1694" t="str">
        <f t="shared" si="26"/>
        <v>2024-08</v>
      </c>
    </row>
    <row r="1695" spans="1:9" ht="15" customHeight="1" x14ac:dyDescent="0.25">
      <c r="A1695">
        <v>1694</v>
      </c>
      <c r="B1695">
        <v>5</v>
      </c>
      <c r="C1695" t="s">
        <v>256</v>
      </c>
      <c r="D1695">
        <v>480</v>
      </c>
      <c r="E1695">
        <v>3</v>
      </c>
      <c r="F1695" t="s">
        <v>22</v>
      </c>
      <c r="G1695">
        <v>633</v>
      </c>
      <c r="H1695">
        <v>12</v>
      </c>
      <c r="I1695" t="str">
        <f t="shared" si="26"/>
        <v>2024-08</v>
      </c>
    </row>
    <row r="1696" spans="1:9" ht="15" customHeight="1" x14ac:dyDescent="0.25">
      <c r="A1696">
        <v>1695</v>
      </c>
      <c r="B1696">
        <v>5</v>
      </c>
      <c r="C1696" t="s">
        <v>257</v>
      </c>
      <c r="D1696">
        <v>480</v>
      </c>
      <c r="E1696">
        <v>43</v>
      </c>
      <c r="F1696" t="s">
        <v>27</v>
      </c>
      <c r="G1696">
        <v>591</v>
      </c>
      <c r="H1696">
        <v>11</v>
      </c>
      <c r="I1696" t="str">
        <f t="shared" si="26"/>
        <v>2024-08</v>
      </c>
    </row>
    <row r="1697" spans="1:9" ht="15" customHeight="1" x14ac:dyDescent="0.25">
      <c r="A1697">
        <v>1696</v>
      </c>
      <c r="B1697">
        <v>5</v>
      </c>
      <c r="C1697" t="s">
        <v>258</v>
      </c>
      <c r="D1697">
        <v>480</v>
      </c>
      <c r="E1697">
        <v>14</v>
      </c>
      <c r="F1697" t="s">
        <v>29</v>
      </c>
      <c r="G1697">
        <v>735</v>
      </c>
      <c r="H1697">
        <v>20</v>
      </c>
      <c r="I1697" t="str">
        <f t="shared" si="26"/>
        <v>2024-08</v>
      </c>
    </row>
    <row r="1698" spans="1:9" ht="15" customHeight="1" x14ac:dyDescent="0.25">
      <c r="A1698">
        <v>1697</v>
      </c>
      <c r="B1698">
        <v>5</v>
      </c>
      <c r="C1698" t="s">
        <v>259</v>
      </c>
      <c r="D1698">
        <v>480</v>
      </c>
      <c r="E1698">
        <v>13</v>
      </c>
      <c r="F1698" t="s">
        <v>24</v>
      </c>
      <c r="G1698">
        <v>621</v>
      </c>
      <c r="H1698">
        <v>21</v>
      </c>
      <c r="I1698" t="str">
        <f t="shared" si="26"/>
        <v>2024-08</v>
      </c>
    </row>
    <row r="1699" spans="1:9" ht="15" customHeight="1" x14ac:dyDescent="0.25">
      <c r="A1699">
        <v>1698</v>
      </c>
      <c r="B1699">
        <v>5</v>
      </c>
      <c r="C1699" t="s">
        <v>260</v>
      </c>
      <c r="D1699">
        <v>480</v>
      </c>
      <c r="E1699">
        <v>21</v>
      </c>
      <c r="F1699" t="s">
        <v>24</v>
      </c>
      <c r="G1699">
        <v>685</v>
      </c>
      <c r="H1699">
        <v>20</v>
      </c>
      <c r="I1699" t="str">
        <f t="shared" si="26"/>
        <v>2024-08</v>
      </c>
    </row>
    <row r="1700" spans="1:9" ht="15" customHeight="1" x14ac:dyDescent="0.25">
      <c r="A1700">
        <v>1699</v>
      </c>
      <c r="B1700">
        <v>5</v>
      </c>
      <c r="C1700" t="s">
        <v>261</v>
      </c>
      <c r="D1700">
        <v>480</v>
      </c>
      <c r="E1700">
        <v>9</v>
      </c>
      <c r="F1700" t="s">
        <v>33</v>
      </c>
      <c r="G1700">
        <v>636</v>
      </c>
      <c r="H1700">
        <v>19</v>
      </c>
      <c r="I1700" t="str">
        <f t="shared" si="26"/>
        <v>2024-08</v>
      </c>
    </row>
    <row r="1701" spans="1:9" ht="15" customHeight="1" x14ac:dyDescent="0.25">
      <c r="A1701">
        <v>1700</v>
      </c>
      <c r="B1701">
        <v>5</v>
      </c>
      <c r="C1701" t="s">
        <v>262</v>
      </c>
      <c r="D1701">
        <v>480</v>
      </c>
      <c r="E1701">
        <v>2</v>
      </c>
      <c r="F1701" t="s">
        <v>27</v>
      </c>
      <c r="G1701">
        <v>743</v>
      </c>
      <c r="H1701">
        <v>39</v>
      </c>
      <c r="I1701" t="str">
        <f t="shared" si="26"/>
        <v>2024-08</v>
      </c>
    </row>
    <row r="1702" spans="1:9" ht="15" customHeight="1" x14ac:dyDescent="0.25">
      <c r="A1702">
        <v>1701</v>
      </c>
      <c r="B1702">
        <v>5</v>
      </c>
      <c r="C1702" t="s">
        <v>263</v>
      </c>
      <c r="D1702">
        <v>480</v>
      </c>
      <c r="E1702">
        <v>85</v>
      </c>
      <c r="F1702" t="s">
        <v>29</v>
      </c>
      <c r="G1702">
        <v>626</v>
      </c>
      <c r="H1702">
        <v>24</v>
      </c>
      <c r="I1702" t="str">
        <f t="shared" si="26"/>
        <v>2024-08</v>
      </c>
    </row>
    <row r="1703" spans="1:9" ht="15" customHeight="1" x14ac:dyDescent="0.25">
      <c r="A1703">
        <v>1702</v>
      </c>
      <c r="B1703">
        <v>5</v>
      </c>
      <c r="C1703" t="s">
        <v>264</v>
      </c>
      <c r="D1703">
        <v>480</v>
      </c>
      <c r="E1703">
        <v>29</v>
      </c>
      <c r="F1703" t="s">
        <v>29</v>
      </c>
      <c r="G1703">
        <v>634</v>
      </c>
      <c r="H1703">
        <v>25</v>
      </c>
      <c r="I1703" t="str">
        <f t="shared" si="26"/>
        <v>2024-08</v>
      </c>
    </row>
    <row r="1704" spans="1:9" ht="15" customHeight="1" x14ac:dyDescent="0.25">
      <c r="A1704">
        <v>1703</v>
      </c>
      <c r="B1704">
        <v>5</v>
      </c>
      <c r="C1704" t="s">
        <v>265</v>
      </c>
      <c r="D1704">
        <v>480</v>
      </c>
      <c r="E1704">
        <v>14</v>
      </c>
      <c r="F1704" t="s">
        <v>33</v>
      </c>
      <c r="G1704">
        <v>683</v>
      </c>
      <c r="H1704">
        <v>30</v>
      </c>
      <c r="I1704" t="str">
        <f t="shared" si="26"/>
        <v>2024-08</v>
      </c>
    </row>
    <row r="1705" spans="1:9" ht="15" customHeight="1" x14ac:dyDescent="0.25">
      <c r="A1705">
        <v>1704</v>
      </c>
      <c r="B1705">
        <v>5</v>
      </c>
      <c r="C1705" t="s">
        <v>266</v>
      </c>
      <c r="D1705">
        <v>480</v>
      </c>
      <c r="E1705">
        <v>8</v>
      </c>
      <c r="F1705" t="s">
        <v>27</v>
      </c>
      <c r="G1705">
        <v>668</v>
      </c>
      <c r="H1705">
        <v>34</v>
      </c>
      <c r="I1705" t="str">
        <f t="shared" si="26"/>
        <v>2024-08</v>
      </c>
    </row>
    <row r="1706" spans="1:9" ht="15" customHeight="1" x14ac:dyDescent="0.25">
      <c r="A1706">
        <v>1705</v>
      </c>
      <c r="B1706">
        <v>5</v>
      </c>
      <c r="C1706" t="s">
        <v>267</v>
      </c>
      <c r="D1706">
        <v>480</v>
      </c>
      <c r="E1706">
        <v>1</v>
      </c>
      <c r="F1706" t="s">
        <v>22</v>
      </c>
      <c r="G1706">
        <v>703</v>
      </c>
      <c r="H1706">
        <v>35</v>
      </c>
      <c r="I1706" t="str">
        <f t="shared" si="26"/>
        <v>2024-08</v>
      </c>
    </row>
    <row r="1707" spans="1:9" ht="15" customHeight="1" x14ac:dyDescent="0.25">
      <c r="A1707">
        <v>1706</v>
      </c>
      <c r="B1707">
        <v>5</v>
      </c>
      <c r="C1707" t="s">
        <v>268</v>
      </c>
      <c r="D1707">
        <v>480</v>
      </c>
      <c r="E1707">
        <v>23</v>
      </c>
      <c r="F1707" t="s">
        <v>27</v>
      </c>
      <c r="G1707">
        <v>679</v>
      </c>
      <c r="H1707">
        <v>18</v>
      </c>
      <c r="I1707" t="str">
        <f t="shared" si="26"/>
        <v>2024-08</v>
      </c>
    </row>
    <row r="1708" spans="1:9" ht="15" customHeight="1" x14ac:dyDescent="0.25">
      <c r="A1708">
        <v>1707</v>
      </c>
      <c r="B1708">
        <v>5</v>
      </c>
      <c r="C1708" t="s">
        <v>269</v>
      </c>
      <c r="D1708">
        <v>480</v>
      </c>
      <c r="E1708">
        <v>10</v>
      </c>
      <c r="F1708" t="s">
        <v>27</v>
      </c>
      <c r="G1708">
        <v>743</v>
      </c>
      <c r="H1708">
        <v>28</v>
      </c>
      <c r="I1708" t="str">
        <f t="shared" si="26"/>
        <v>2024-08</v>
      </c>
    </row>
    <row r="1709" spans="1:9" ht="15" customHeight="1" x14ac:dyDescent="0.25">
      <c r="A1709">
        <v>1708</v>
      </c>
      <c r="B1709">
        <v>5</v>
      </c>
      <c r="C1709" t="s">
        <v>270</v>
      </c>
      <c r="D1709">
        <v>480</v>
      </c>
      <c r="E1709">
        <v>17</v>
      </c>
      <c r="F1709" t="s">
        <v>29</v>
      </c>
      <c r="G1709">
        <v>624</v>
      </c>
      <c r="H1709">
        <v>11</v>
      </c>
      <c r="I1709" t="str">
        <f t="shared" si="26"/>
        <v>2024-08</v>
      </c>
    </row>
    <row r="1710" spans="1:9" ht="15" customHeight="1" x14ac:dyDescent="0.25">
      <c r="A1710">
        <v>1709</v>
      </c>
      <c r="B1710">
        <v>5</v>
      </c>
      <c r="C1710" t="s">
        <v>271</v>
      </c>
      <c r="D1710">
        <v>480</v>
      </c>
      <c r="E1710">
        <v>81</v>
      </c>
      <c r="F1710" t="s">
        <v>29</v>
      </c>
      <c r="G1710">
        <v>572</v>
      </c>
      <c r="H1710">
        <v>22</v>
      </c>
      <c r="I1710" t="str">
        <f t="shared" si="26"/>
        <v>2024-09</v>
      </c>
    </row>
    <row r="1711" spans="1:9" ht="15" customHeight="1" x14ac:dyDescent="0.25">
      <c r="A1711">
        <v>1710</v>
      </c>
      <c r="B1711">
        <v>5</v>
      </c>
      <c r="C1711" t="s">
        <v>272</v>
      </c>
      <c r="D1711">
        <v>480</v>
      </c>
      <c r="E1711">
        <v>2</v>
      </c>
      <c r="F1711" t="s">
        <v>29</v>
      </c>
      <c r="G1711">
        <v>730</v>
      </c>
      <c r="H1711">
        <v>37</v>
      </c>
      <c r="I1711" t="str">
        <f t="shared" si="26"/>
        <v>2024-09</v>
      </c>
    </row>
    <row r="1712" spans="1:9" ht="15" customHeight="1" x14ac:dyDescent="0.25">
      <c r="A1712">
        <v>1711</v>
      </c>
      <c r="B1712">
        <v>5</v>
      </c>
      <c r="C1712" t="s">
        <v>273</v>
      </c>
      <c r="D1712">
        <v>480</v>
      </c>
      <c r="E1712">
        <v>20</v>
      </c>
      <c r="F1712" t="s">
        <v>27</v>
      </c>
      <c r="G1712">
        <v>624</v>
      </c>
      <c r="H1712">
        <v>24</v>
      </c>
      <c r="I1712" t="str">
        <f t="shared" si="26"/>
        <v>2024-09</v>
      </c>
    </row>
    <row r="1713" spans="1:9" ht="15" customHeight="1" x14ac:dyDescent="0.25">
      <c r="A1713">
        <v>1712</v>
      </c>
      <c r="B1713">
        <v>5</v>
      </c>
      <c r="C1713" t="s">
        <v>274</v>
      </c>
      <c r="D1713">
        <v>480</v>
      </c>
      <c r="E1713">
        <v>35</v>
      </c>
      <c r="F1713" t="s">
        <v>45</v>
      </c>
      <c r="G1713">
        <v>642</v>
      </c>
      <c r="H1713">
        <v>31</v>
      </c>
      <c r="I1713" t="str">
        <f t="shared" si="26"/>
        <v>2024-09</v>
      </c>
    </row>
    <row r="1714" spans="1:9" ht="15" customHeight="1" x14ac:dyDescent="0.25">
      <c r="A1714">
        <v>1713</v>
      </c>
      <c r="B1714">
        <v>5</v>
      </c>
      <c r="C1714" t="s">
        <v>275</v>
      </c>
      <c r="D1714">
        <v>480</v>
      </c>
      <c r="E1714">
        <v>25</v>
      </c>
      <c r="F1714" t="s">
        <v>45</v>
      </c>
      <c r="G1714">
        <v>726</v>
      </c>
      <c r="H1714">
        <v>29</v>
      </c>
      <c r="I1714" t="str">
        <f t="shared" si="26"/>
        <v>2024-09</v>
      </c>
    </row>
    <row r="1715" spans="1:9" ht="15" customHeight="1" x14ac:dyDescent="0.25">
      <c r="A1715">
        <v>1714</v>
      </c>
      <c r="B1715">
        <v>5</v>
      </c>
      <c r="C1715" t="s">
        <v>276</v>
      </c>
      <c r="D1715">
        <v>480</v>
      </c>
      <c r="E1715">
        <v>3</v>
      </c>
      <c r="F1715" t="s">
        <v>29</v>
      </c>
      <c r="G1715">
        <v>674</v>
      </c>
      <c r="H1715">
        <v>16</v>
      </c>
      <c r="I1715" t="str">
        <f t="shared" si="26"/>
        <v>2024-09</v>
      </c>
    </row>
    <row r="1716" spans="1:9" ht="15" customHeight="1" x14ac:dyDescent="0.25">
      <c r="A1716">
        <v>1715</v>
      </c>
      <c r="B1716">
        <v>5</v>
      </c>
      <c r="C1716" t="s">
        <v>277</v>
      </c>
      <c r="D1716">
        <v>480</v>
      </c>
      <c r="E1716">
        <v>58</v>
      </c>
      <c r="F1716" t="s">
        <v>22</v>
      </c>
      <c r="G1716">
        <v>655</v>
      </c>
      <c r="H1716">
        <v>27</v>
      </c>
      <c r="I1716" t="str">
        <f t="shared" si="26"/>
        <v>2024-09</v>
      </c>
    </row>
    <row r="1717" spans="1:9" ht="15" customHeight="1" x14ac:dyDescent="0.25">
      <c r="A1717">
        <v>1716</v>
      </c>
      <c r="B1717">
        <v>5</v>
      </c>
      <c r="C1717" t="s">
        <v>278</v>
      </c>
      <c r="D1717">
        <v>480</v>
      </c>
      <c r="E1717">
        <v>8</v>
      </c>
      <c r="F1717" t="s">
        <v>27</v>
      </c>
      <c r="G1717">
        <v>648</v>
      </c>
      <c r="H1717">
        <v>29</v>
      </c>
      <c r="I1717" t="str">
        <f t="shared" si="26"/>
        <v>2024-09</v>
      </c>
    </row>
    <row r="1718" spans="1:9" ht="15" customHeight="1" x14ac:dyDescent="0.25">
      <c r="A1718">
        <v>1717</v>
      </c>
      <c r="B1718">
        <v>5</v>
      </c>
      <c r="C1718" t="s">
        <v>279</v>
      </c>
      <c r="D1718">
        <v>480</v>
      </c>
      <c r="E1718">
        <v>15</v>
      </c>
      <c r="F1718" t="s">
        <v>33</v>
      </c>
      <c r="G1718">
        <v>645</v>
      </c>
      <c r="H1718">
        <v>25</v>
      </c>
      <c r="I1718" t="str">
        <f t="shared" si="26"/>
        <v>2024-09</v>
      </c>
    </row>
    <row r="1719" spans="1:9" ht="15" customHeight="1" x14ac:dyDescent="0.25">
      <c r="A1719">
        <v>1718</v>
      </c>
      <c r="B1719">
        <v>5</v>
      </c>
      <c r="C1719" t="s">
        <v>280</v>
      </c>
      <c r="D1719">
        <v>480</v>
      </c>
      <c r="E1719">
        <v>1</v>
      </c>
      <c r="F1719" t="s">
        <v>22</v>
      </c>
      <c r="G1719">
        <v>679</v>
      </c>
      <c r="H1719">
        <v>23</v>
      </c>
      <c r="I1719" t="str">
        <f t="shared" si="26"/>
        <v>2024-09</v>
      </c>
    </row>
    <row r="1720" spans="1:9" ht="15" customHeight="1" x14ac:dyDescent="0.25">
      <c r="A1720">
        <v>1719</v>
      </c>
      <c r="B1720">
        <v>5</v>
      </c>
      <c r="C1720" t="s">
        <v>281</v>
      </c>
      <c r="D1720">
        <v>480</v>
      </c>
      <c r="E1720">
        <v>3</v>
      </c>
      <c r="F1720" t="s">
        <v>24</v>
      </c>
      <c r="G1720">
        <v>774</v>
      </c>
      <c r="H1720">
        <v>19</v>
      </c>
      <c r="I1720" t="str">
        <f t="shared" si="26"/>
        <v>2024-09</v>
      </c>
    </row>
    <row r="1721" spans="1:9" ht="15" customHeight="1" x14ac:dyDescent="0.25">
      <c r="A1721">
        <v>1720</v>
      </c>
      <c r="B1721">
        <v>5</v>
      </c>
      <c r="C1721" t="s">
        <v>282</v>
      </c>
      <c r="D1721">
        <v>480</v>
      </c>
      <c r="E1721">
        <v>3</v>
      </c>
      <c r="F1721" t="s">
        <v>29</v>
      </c>
      <c r="G1721">
        <v>658</v>
      </c>
      <c r="H1721">
        <v>30</v>
      </c>
      <c r="I1721" t="str">
        <f t="shared" si="26"/>
        <v>2024-09</v>
      </c>
    </row>
    <row r="1722" spans="1:9" ht="15" customHeight="1" x14ac:dyDescent="0.25">
      <c r="A1722">
        <v>1721</v>
      </c>
      <c r="B1722">
        <v>5</v>
      </c>
      <c r="C1722" t="s">
        <v>283</v>
      </c>
      <c r="D1722">
        <v>480</v>
      </c>
      <c r="E1722">
        <v>13</v>
      </c>
      <c r="F1722" t="s">
        <v>24</v>
      </c>
      <c r="G1722">
        <v>697</v>
      </c>
      <c r="H1722">
        <v>13</v>
      </c>
      <c r="I1722" t="str">
        <f t="shared" si="26"/>
        <v>2024-09</v>
      </c>
    </row>
    <row r="1723" spans="1:9" ht="15" customHeight="1" x14ac:dyDescent="0.25">
      <c r="A1723">
        <v>1722</v>
      </c>
      <c r="B1723">
        <v>5</v>
      </c>
      <c r="C1723" t="s">
        <v>284</v>
      </c>
      <c r="D1723">
        <v>480</v>
      </c>
      <c r="E1723">
        <v>0</v>
      </c>
      <c r="F1723" t="s">
        <v>33</v>
      </c>
      <c r="G1723">
        <v>698</v>
      </c>
      <c r="H1723">
        <v>33</v>
      </c>
      <c r="I1723" t="str">
        <f t="shared" si="26"/>
        <v>2024-09</v>
      </c>
    </row>
    <row r="1724" spans="1:9" ht="15" customHeight="1" x14ac:dyDescent="0.25">
      <c r="A1724">
        <v>1723</v>
      </c>
      <c r="B1724">
        <v>5</v>
      </c>
      <c r="C1724" t="s">
        <v>285</v>
      </c>
      <c r="D1724">
        <v>480</v>
      </c>
      <c r="E1724">
        <v>52</v>
      </c>
      <c r="F1724" t="s">
        <v>24</v>
      </c>
      <c r="G1724">
        <v>575</v>
      </c>
      <c r="H1724">
        <v>21</v>
      </c>
      <c r="I1724" t="str">
        <f t="shared" si="26"/>
        <v>2024-09</v>
      </c>
    </row>
    <row r="1725" spans="1:9" ht="15" customHeight="1" x14ac:dyDescent="0.25">
      <c r="A1725">
        <v>1724</v>
      </c>
      <c r="B1725">
        <v>5</v>
      </c>
      <c r="C1725" t="s">
        <v>286</v>
      </c>
      <c r="D1725">
        <v>480</v>
      </c>
      <c r="E1725">
        <v>59</v>
      </c>
      <c r="F1725" t="s">
        <v>22</v>
      </c>
      <c r="G1725">
        <v>605</v>
      </c>
      <c r="H1725">
        <v>28</v>
      </c>
      <c r="I1725" t="str">
        <f t="shared" si="26"/>
        <v>2024-09</v>
      </c>
    </row>
    <row r="1726" spans="1:9" ht="15" customHeight="1" x14ac:dyDescent="0.25">
      <c r="A1726">
        <v>1725</v>
      </c>
      <c r="B1726">
        <v>5</v>
      </c>
      <c r="C1726" t="s">
        <v>287</v>
      </c>
      <c r="D1726">
        <v>480</v>
      </c>
      <c r="E1726">
        <v>3</v>
      </c>
      <c r="F1726" t="s">
        <v>22</v>
      </c>
      <c r="G1726">
        <v>766</v>
      </c>
      <c r="H1726">
        <v>34</v>
      </c>
      <c r="I1726" t="str">
        <f t="shared" si="26"/>
        <v>2024-09</v>
      </c>
    </row>
    <row r="1727" spans="1:9" ht="15" customHeight="1" x14ac:dyDescent="0.25">
      <c r="A1727">
        <v>1726</v>
      </c>
      <c r="B1727">
        <v>5</v>
      </c>
      <c r="C1727" t="s">
        <v>288</v>
      </c>
      <c r="D1727">
        <v>480</v>
      </c>
      <c r="E1727">
        <v>69</v>
      </c>
      <c r="F1727" t="s">
        <v>24</v>
      </c>
      <c r="G1727">
        <v>627</v>
      </c>
      <c r="H1727">
        <v>19</v>
      </c>
      <c r="I1727" t="str">
        <f t="shared" si="26"/>
        <v>2024-09</v>
      </c>
    </row>
    <row r="1728" spans="1:9" ht="15" customHeight="1" x14ac:dyDescent="0.25">
      <c r="A1728">
        <v>1727</v>
      </c>
      <c r="B1728">
        <v>5</v>
      </c>
      <c r="C1728" t="s">
        <v>289</v>
      </c>
      <c r="D1728">
        <v>480</v>
      </c>
      <c r="E1728">
        <v>68</v>
      </c>
      <c r="F1728" t="s">
        <v>22</v>
      </c>
      <c r="G1728">
        <v>578</v>
      </c>
      <c r="H1728">
        <v>17</v>
      </c>
      <c r="I1728" t="str">
        <f t="shared" si="26"/>
        <v>2024-09</v>
      </c>
    </row>
    <row r="1729" spans="1:9" ht="15" customHeight="1" x14ac:dyDescent="0.25">
      <c r="A1729">
        <v>1728</v>
      </c>
      <c r="B1729">
        <v>5</v>
      </c>
      <c r="C1729" t="s">
        <v>290</v>
      </c>
      <c r="D1729">
        <v>480</v>
      </c>
      <c r="E1729">
        <v>29</v>
      </c>
      <c r="F1729" t="s">
        <v>29</v>
      </c>
      <c r="G1729">
        <v>701</v>
      </c>
      <c r="H1729">
        <v>701</v>
      </c>
      <c r="I1729" t="str">
        <f t="shared" si="26"/>
        <v>2024-09</v>
      </c>
    </row>
    <row r="1730" spans="1:9" ht="15" customHeight="1" x14ac:dyDescent="0.25">
      <c r="A1730">
        <v>1729</v>
      </c>
      <c r="B1730">
        <v>5</v>
      </c>
      <c r="C1730" t="s">
        <v>291</v>
      </c>
      <c r="D1730">
        <v>480</v>
      </c>
      <c r="E1730">
        <v>5</v>
      </c>
      <c r="F1730" t="s">
        <v>22</v>
      </c>
      <c r="G1730">
        <v>743</v>
      </c>
      <c r="H1730">
        <v>33</v>
      </c>
      <c r="I1730" t="str">
        <f t="shared" ref="I1730:I1793" si="27">TEXT(C1730,"yyyy-mm")</f>
        <v>2024-09</v>
      </c>
    </row>
    <row r="1731" spans="1:9" ht="15" customHeight="1" x14ac:dyDescent="0.25">
      <c r="A1731">
        <v>1730</v>
      </c>
      <c r="B1731">
        <v>5</v>
      </c>
      <c r="C1731" t="s">
        <v>292</v>
      </c>
      <c r="D1731">
        <v>480</v>
      </c>
      <c r="E1731">
        <v>1</v>
      </c>
      <c r="F1731" t="s">
        <v>45</v>
      </c>
      <c r="G1731">
        <v>688</v>
      </c>
      <c r="H1731">
        <v>19</v>
      </c>
      <c r="I1731" t="str">
        <f t="shared" si="27"/>
        <v>2024-09</v>
      </c>
    </row>
    <row r="1732" spans="1:9" ht="15" customHeight="1" x14ac:dyDescent="0.25">
      <c r="A1732">
        <v>1731</v>
      </c>
      <c r="B1732">
        <v>5</v>
      </c>
      <c r="C1732" t="s">
        <v>293</v>
      </c>
      <c r="D1732">
        <v>480</v>
      </c>
      <c r="E1732">
        <v>8</v>
      </c>
      <c r="F1732" t="s">
        <v>29</v>
      </c>
      <c r="G1732">
        <v>765</v>
      </c>
      <c r="H1732">
        <v>31</v>
      </c>
      <c r="I1732" t="str">
        <f t="shared" si="27"/>
        <v>2024-09</v>
      </c>
    </row>
    <row r="1733" spans="1:9" ht="15" customHeight="1" x14ac:dyDescent="0.25">
      <c r="A1733">
        <v>1732</v>
      </c>
      <c r="B1733">
        <v>5</v>
      </c>
      <c r="C1733" t="s">
        <v>294</v>
      </c>
      <c r="D1733">
        <v>480</v>
      </c>
      <c r="E1733">
        <v>30</v>
      </c>
      <c r="F1733" t="s">
        <v>24</v>
      </c>
      <c r="G1733">
        <v>729</v>
      </c>
      <c r="H1733">
        <v>22</v>
      </c>
      <c r="I1733" t="str">
        <f t="shared" si="27"/>
        <v>2024-09</v>
      </c>
    </row>
    <row r="1734" spans="1:9" ht="15" customHeight="1" x14ac:dyDescent="0.25">
      <c r="A1734">
        <v>1733</v>
      </c>
      <c r="B1734">
        <v>5</v>
      </c>
      <c r="C1734" t="s">
        <v>295</v>
      </c>
      <c r="D1734">
        <v>480</v>
      </c>
      <c r="E1734">
        <v>39</v>
      </c>
      <c r="F1734" t="s">
        <v>24</v>
      </c>
      <c r="G1734">
        <v>640</v>
      </c>
      <c r="H1734">
        <v>31</v>
      </c>
      <c r="I1734" t="str">
        <f t="shared" si="27"/>
        <v>2024-09</v>
      </c>
    </row>
    <row r="1735" spans="1:9" ht="15" customHeight="1" x14ac:dyDescent="0.25">
      <c r="A1735">
        <v>1734</v>
      </c>
      <c r="B1735">
        <v>5</v>
      </c>
      <c r="C1735" t="s">
        <v>296</v>
      </c>
      <c r="D1735">
        <v>480</v>
      </c>
      <c r="E1735">
        <v>4</v>
      </c>
      <c r="F1735" t="s">
        <v>29</v>
      </c>
      <c r="G1735">
        <v>766</v>
      </c>
      <c r="H1735">
        <v>19</v>
      </c>
      <c r="I1735" t="str">
        <f t="shared" si="27"/>
        <v>2024-09</v>
      </c>
    </row>
    <row r="1736" spans="1:9" ht="15" customHeight="1" x14ac:dyDescent="0.25">
      <c r="A1736">
        <v>1735</v>
      </c>
      <c r="B1736">
        <v>5</v>
      </c>
      <c r="C1736" t="s">
        <v>297</v>
      </c>
      <c r="D1736">
        <v>480</v>
      </c>
      <c r="E1736">
        <v>9</v>
      </c>
      <c r="F1736" t="s">
        <v>24</v>
      </c>
      <c r="G1736">
        <v>730</v>
      </c>
      <c r="H1736">
        <v>23</v>
      </c>
      <c r="I1736" t="str">
        <f t="shared" si="27"/>
        <v>2024-09</v>
      </c>
    </row>
    <row r="1737" spans="1:9" ht="15" customHeight="1" x14ac:dyDescent="0.25">
      <c r="A1737">
        <v>1736</v>
      </c>
      <c r="B1737">
        <v>5</v>
      </c>
      <c r="C1737" t="s">
        <v>298</v>
      </c>
      <c r="D1737">
        <v>480</v>
      </c>
      <c r="E1737">
        <v>22</v>
      </c>
      <c r="F1737" t="s">
        <v>27</v>
      </c>
      <c r="G1737">
        <v>666</v>
      </c>
      <c r="H1737">
        <v>29</v>
      </c>
      <c r="I1737" t="str">
        <f t="shared" si="27"/>
        <v>2024-09</v>
      </c>
    </row>
    <row r="1738" spans="1:9" ht="15" customHeight="1" x14ac:dyDescent="0.25">
      <c r="A1738">
        <v>1737</v>
      </c>
      <c r="B1738">
        <v>5</v>
      </c>
      <c r="C1738" t="s">
        <v>299</v>
      </c>
      <c r="D1738">
        <v>480</v>
      </c>
      <c r="E1738">
        <v>6</v>
      </c>
      <c r="F1738" t="s">
        <v>45</v>
      </c>
      <c r="G1738">
        <v>633</v>
      </c>
      <c r="H1738">
        <v>18</v>
      </c>
      <c r="I1738" t="str">
        <f t="shared" si="27"/>
        <v>2024-09</v>
      </c>
    </row>
    <row r="1739" spans="1:9" ht="15" customHeight="1" x14ac:dyDescent="0.25">
      <c r="A1739">
        <v>1738</v>
      </c>
      <c r="B1739">
        <v>5</v>
      </c>
      <c r="C1739" t="s">
        <v>300</v>
      </c>
      <c r="D1739">
        <v>480</v>
      </c>
      <c r="E1739">
        <v>15</v>
      </c>
      <c r="F1739" t="s">
        <v>22</v>
      </c>
      <c r="G1739">
        <v>636</v>
      </c>
      <c r="H1739">
        <v>19</v>
      </c>
      <c r="I1739" t="str">
        <f t="shared" si="27"/>
        <v>2024-09</v>
      </c>
    </row>
    <row r="1740" spans="1:9" ht="15" customHeight="1" x14ac:dyDescent="0.25">
      <c r="A1740">
        <v>1739</v>
      </c>
      <c r="B1740">
        <v>5</v>
      </c>
      <c r="C1740" t="s">
        <v>301</v>
      </c>
      <c r="D1740">
        <v>480</v>
      </c>
      <c r="E1740">
        <v>12</v>
      </c>
      <c r="F1740" t="s">
        <v>29</v>
      </c>
      <c r="G1740">
        <v>624</v>
      </c>
      <c r="H1740">
        <v>24</v>
      </c>
      <c r="I1740" t="str">
        <f t="shared" si="27"/>
        <v>2024-10</v>
      </c>
    </row>
    <row r="1741" spans="1:9" ht="15" customHeight="1" x14ac:dyDescent="0.25">
      <c r="A1741">
        <v>1740</v>
      </c>
      <c r="B1741">
        <v>5</v>
      </c>
      <c r="C1741" t="s">
        <v>302</v>
      </c>
      <c r="D1741">
        <v>480</v>
      </c>
      <c r="E1741">
        <v>52</v>
      </c>
      <c r="F1741" t="s">
        <v>22</v>
      </c>
      <c r="G1741">
        <v>584</v>
      </c>
      <c r="H1741">
        <v>23</v>
      </c>
      <c r="I1741" t="str">
        <f t="shared" si="27"/>
        <v>2024-10</v>
      </c>
    </row>
    <row r="1742" spans="1:9" ht="15" customHeight="1" x14ac:dyDescent="0.25">
      <c r="A1742">
        <v>1741</v>
      </c>
      <c r="B1742">
        <v>5</v>
      </c>
      <c r="C1742" t="s">
        <v>303</v>
      </c>
      <c r="D1742">
        <v>480</v>
      </c>
      <c r="E1742">
        <v>26</v>
      </c>
      <c r="F1742" t="s">
        <v>33</v>
      </c>
      <c r="G1742">
        <v>657</v>
      </c>
      <c r="H1742">
        <v>28</v>
      </c>
      <c r="I1742" t="str">
        <f t="shared" si="27"/>
        <v>2024-10</v>
      </c>
    </row>
    <row r="1743" spans="1:9" ht="15" customHeight="1" x14ac:dyDescent="0.25">
      <c r="A1743">
        <v>1742</v>
      </c>
      <c r="B1743">
        <v>5</v>
      </c>
      <c r="C1743" t="s">
        <v>304</v>
      </c>
      <c r="D1743">
        <v>480</v>
      </c>
      <c r="E1743">
        <v>12</v>
      </c>
      <c r="F1743" t="s">
        <v>45</v>
      </c>
      <c r="G1743">
        <v>689</v>
      </c>
      <c r="H1743">
        <v>12</v>
      </c>
      <c r="I1743" t="str">
        <f t="shared" si="27"/>
        <v>2024-10</v>
      </c>
    </row>
    <row r="1744" spans="1:9" ht="15" customHeight="1" x14ac:dyDescent="0.25">
      <c r="A1744">
        <v>1743</v>
      </c>
      <c r="B1744">
        <v>5</v>
      </c>
      <c r="C1744" t="s">
        <v>305</v>
      </c>
      <c r="D1744">
        <v>480</v>
      </c>
      <c r="E1744">
        <v>28</v>
      </c>
      <c r="F1744" t="s">
        <v>27</v>
      </c>
      <c r="G1744">
        <v>688</v>
      </c>
      <c r="H1744">
        <v>13</v>
      </c>
      <c r="I1744" t="str">
        <f t="shared" si="27"/>
        <v>2024-10</v>
      </c>
    </row>
    <row r="1745" spans="1:9" ht="15" customHeight="1" x14ac:dyDescent="0.25">
      <c r="A1745">
        <v>1744</v>
      </c>
      <c r="B1745">
        <v>5</v>
      </c>
      <c r="C1745" t="s">
        <v>306</v>
      </c>
      <c r="D1745">
        <v>480</v>
      </c>
      <c r="E1745">
        <v>11</v>
      </c>
      <c r="F1745" t="s">
        <v>29</v>
      </c>
      <c r="G1745">
        <v>760</v>
      </c>
      <c r="H1745">
        <v>25</v>
      </c>
      <c r="I1745" t="str">
        <f t="shared" si="27"/>
        <v>2024-10</v>
      </c>
    </row>
    <row r="1746" spans="1:9" ht="15" customHeight="1" x14ac:dyDescent="0.25">
      <c r="A1746">
        <v>1745</v>
      </c>
      <c r="B1746">
        <v>5</v>
      </c>
      <c r="C1746" t="s">
        <v>307</v>
      </c>
      <c r="D1746">
        <v>480</v>
      </c>
      <c r="E1746">
        <v>17</v>
      </c>
      <c r="F1746" t="s">
        <v>22</v>
      </c>
      <c r="G1746">
        <v>740</v>
      </c>
      <c r="H1746">
        <v>32</v>
      </c>
      <c r="I1746" t="str">
        <f t="shared" si="27"/>
        <v>2024-10</v>
      </c>
    </row>
    <row r="1747" spans="1:9" ht="15" customHeight="1" x14ac:dyDescent="0.25">
      <c r="A1747">
        <v>1746</v>
      </c>
      <c r="B1747">
        <v>5</v>
      </c>
      <c r="C1747" t="s">
        <v>308</v>
      </c>
      <c r="D1747">
        <v>480</v>
      </c>
      <c r="E1747">
        <v>21</v>
      </c>
      <c r="F1747" t="s">
        <v>24</v>
      </c>
      <c r="G1747">
        <v>718</v>
      </c>
      <c r="H1747">
        <v>35</v>
      </c>
      <c r="I1747" t="str">
        <f t="shared" si="27"/>
        <v>2024-10</v>
      </c>
    </row>
    <row r="1748" spans="1:9" ht="15" customHeight="1" x14ac:dyDescent="0.25">
      <c r="A1748">
        <v>1747</v>
      </c>
      <c r="B1748">
        <v>5</v>
      </c>
      <c r="C1748" t="s">
        <v>309</v>
      </c>
      <c r="D1748">
        <v>480</v>
      </c>
      <c r="E1748">
        <v>14</v>
      </c>
      <c r="F1748" t="s">
        <v>29</v>
      </c>
      <c r="G1748">
        <v>682</v>
      </c>
      <c r="H1748">
        <v>21</v>
      </c>
      <c r="I1748" t="str">
        <f t="shared" si="27"/>
        <v>2024-10</v>
      </c>
    </row>
    <row r="1749" spans="1:9" ht="15" customHeight="1" x14ac:dyDescent="0.25">
      <c r="A1749">
        <v>1748</v>
      </c>
      <c r="B1749">
        <v>5</v>
      </c>
      <c r="C1749" t="s">
        <v>310</v>
      </c>
      <c r="D1749">
        <v>480</v>
      </c>
      <c r="E1749">
        <v>83</v>
      </c>
      <c r="F1749" t="s">
        <v>22</v>
      </c>
      <c r="G1749">
        <v>608</v>
      </c>
      <c r="H1749">
        <v>12</v>
      </c>
      <c r="I1749" t="str">
        <f t="shared" si="27"/>
        <v>2024-10</v>
      </c>
    </row>
    <row r="1750" spans="1:9" ht="15" customHeight="1" x14ac:dyDescent="0.25">
      <c r="A1750">
        <v>1749</v>
      </c>
      <c r="B1750">
        <v>5</v>
      </c>
      <c r="C1750" t="s">
        <v>311</v>
      </c>
      <c r="D1750">
        <v>480</v>
      </c>
      <c r="E1750">
        <v>48</v>
      </c>
      <c r="F1750" t="s">
        <v>45</v>
      </c>
      <c r="G1750">
        <v>633</v>
      </c>
      <c r="H1750">
        <v>12</v>
      </c>
      <c r="I1750" t="str">
        <f t="shared" si="27"/>
        <v>2024-10</v>
      </c>
    </row>
    <row r="1751" spans="1:9" ht="15" customHeight="1" x14ac:dyDescent="0.25">
      <c r="A1751">
        <v>1750</v>
      </c>
      <c r="B1751">
        <v>5</v>
      </c>
      <c r="C1751" t="s">
        <v>312</v>
      </c>
      <c r="D1751">
        <v>480</v>
      </c>
      <c r="E1751">
        <v>19</v>
      </c>
      <c r="F1751" t="s">
        <v>24</v>
      </c>
      <c r="G1751">
        <v>666</v>
      </c>
      <c r="H1751">
        <v>32</v>
      </c>
      <c r="I1751" t="str">
        <f t="shared" si="27"/>
        <v>2024-10</v>
      </c>
    </row>
    <row r="1752" spans="1:9" ht="15" customHeight="1" x14ac:dyDescent="0.25">
      <c r="A1752">
        <v>1751</v>
      </c>
      <c r="B1752">
        <v>5</v>
      </c>
      <c r="C1752" t="s">
        <v>313</v>
      </c>
      <c r="D1752">
        <v>480</v>
      </c>
      <c r="E1752">
        <v>5</v>
      </c>
      <c r="F1752" t="s">
        <v>33</v>
      </c>
      <c r="G1752">
        <v>747</v>
      </c>
      <c r="H1752">
        <v>28</v>
      </c>
      <c r="I1752" t="str">
        <f t="shared" si="27"/>
        <v>2024-10</v>
      </c>
    </row>
    <row r="1753" spans="1:9" ht="15" customHeight="1" x14ac:dyDescent="0.25">
      <c r="A1753">
        <v>1752</v>
      </c>
      <c r="B1753">
        <v>5</v>
      </c>
      <c r="C1753" t="s">
        <v>314</v>
      </c>
      <c r="D1753">
        <v>480</v>
      </c>
      <c r="E1753">
        <v>1</v>
      </c>
      <c r="F1753" t="s">
        <v>27</v>
      </c>
      <c r="G1753">
        <v>775</v>
      </c>
      <c r="H1753">
        <v>28</v>
      </c>
      <c r="I1753" t="str">
        <f t="shared" si="27"/>
        <v>2024-10</v>
      </c>
    </row>
    <row r="1754" spans="1:9" ht="15" customHeight="1" x14ac:dyDescent="0.25">
      <c r="A1754">
        <v>1753</v>
      </c>
      <c r="B1754">
        <v>5</v>
      </c>
      <c r="C1754" t="s">
        <v>315</v>
      </c>
      <c r="D1754">
        <v>480</v>
      </c>
      <c r="E1754">
        <v>8</v>
      </c>
      <c r="F1754" t="s">
        <v>27</v>
      </c>
      <c r="G1754">
        <v>690</v>
      </c>
      <c r="H1754">
        <v>33</v>
      </c>
      <c r="I1754" t="str">
        <f t="shared" si="27"/>
        <v>2024-10</v>
      </c>
    </row>
    <row r="1755" spans="1:9" ht="15" customHeight="1" x14ac:dyDescent="0.25">
      <c r="A1755">
        <v>1754</v>
      </c>
      <c r="B1755">
        <v>5</v>
      </c>
      <c r="C1755" t="s">
        <v>316</v>
      </c>
      <c r="D1755">
        <v>480</v>
      </c>
      <c r="E1755">
        <v>8</v>
      </c>
      <c r="F1755" t="s">
        <v>29</v>
      </c>
      <c r="G1755">
        <v>650</v>
      </c>
      <c r="H1755">
        <v>14</v>
      </c>
      <c r="I1755" t="str">
        <f t="shared" si="27"/>
        <v>2024-10</v>
      </c>
    </row>
    <row r="1756" spans="1:9" ht="15" customHeight="1" x14ac:dyDescent="0.25">
      <c r="A1756">
        <v>1755</v>
      </c>
      <c r="B1756">
        <v>5</v>
      </c>
      <c r="C1756" t="s">
        <v>317</v>
      </c>
      <c r="D1756">
        <v>480</v>
      </c>
      <c r="E1756">
        <v>8</v>
      </c>
      <c r="F1756" t="s">
        <v>27</v>
      </c>
      <c r="G1756">
        <v>735</v>
      </c>
      <c r="H1756">
        <v>25</v>
      </c>
      <c r="I1756" t="str">
        <f t="shared" si="27"/>
        <v>2024-10</v>
      </c>
    </row>
    <row r="1757" spans="1:9" ht="15" customHeight="1" x14ac:dyDescent="0.25">
      <c r="A1757">
        <v>1756</v>
      </c>
      <c r="B1757">
        <v>5</v>
      </c>
      <c r="C1757" t="s">
        <v>318</v>
      </c>
      <c r="D1757">
        <v>480</v>
      </c>
      <c r="E1757">
        <v>6</v>
      </c>
      <c r="F1757" t="s">
        <v>27</v>
      </c>
      <c r="G1757">
        <v>648</v>
      </c>
      <c r="H1757">
        <v>19</v>
      </c>
      <c r="I1757" t="str">
        <f t="shared" si="27"/>
        <v>2024-10</v>
      </c>
    </row>
    <row r="1758" spans="1:9" ht="15" customHeight="1" x14ac:dyDescent="0.25">
      <c r="A1758">
        <v>1757</v>
      </c>
      <c r="B1758">
        <v>5</v>
      </c>
      <c r="C1758" t="s">
        <v>319</v>
      </c>
      <c r="D1758">
        <v>480</v>
      </c>
      <c r="E1758">
        <v>68</v>
      </c>
      <c r="F1758" t="s">
        <v>22</v>
      </c>
      <c r="G1758">
        <v>586</v>
      </c>
      <c r="H1758">
        <v>31</v>
      </c>
      <c r="I1758" t="str">
        <f t="shared" si="27"/>
        <v>2024-10</v>
      </c>
    </row>
    <row r="1759" spans="1:9" ht="15" customHeight="1" x14ac:dyDescent="0.25">
      <c r="A1759">
        <v>1758</v>
      </c>
      <c r="B1759">
        <v>5</v>
      </c>
      <c r="C1759" t="s">
        <v>320</v>
      </c>
      <c r="D1759">
        <v>480</v>
      </c>
      <c r="E1759">
        <v>16</v>
      </c>
      <c r="F1759" t="s">
        <v>24</v>
      </c>
      <c r="G1759">
        <v>637</v>
      </c>
      <c r="H1759">
        <v>31</v>
      </c>
      <c r="I1759" t="str">
        <f t="shared" si="27"/>
        <v>2024-10</v>
      </c>
    </row>
    <row r="1760" spans="1:9" ht="15" customHeight="1" x14ac:dyDescent="0.25">
      <c r="A1760">
        <v>1759</v>
      </c>
      <c r="B1760">
        <v>5</v>
      </c>
      <c r="C1760" t="s">
        <v>321</v>
      </c>
      <c r="D1760">
        <v>480</v>
      </c>
      <c r="E1760">
        <v>15</v>
      </c>
      <c r="F1760" t="s">
        <v>22</v>
      </c>
      <c r="G1760">
        <v>714</v>
      </c>
      <c r="H1760">
        <v>38</v>
      </c>
      <c r="I1760" t="str">
        <f t="shared" si="27"/>
        <v>2024-10</v>
      </c>
    </row>
    <row r="1761" spans="1:9" ht="15" customHeight="1" x14ac:dyDescent="0.25">
      <c r="A1761">
        <v>1760</v>
      </c>
      <c r="B1761">
        <v>5</v>
      </c>
      <c r="C1761" t="s">
        <v>322</v>
      </c>
      <c r="D1761">
        <v>480</v>
      </c>
      <c r="E1761">
        <v>1</v>
      </c>
      <c r="F1761" t="s">
        <v>45</v>
      </c>
      <c r="G1761">
        <v>645</v>
      </c>
      <c r="H1761">
        <v>28</v>
      </c>
      <c r="I1761" t="str">
        <f t="shared" si="27"/>
        <v>2024-10</v>
      </c>
    </row>
    <row r="1762" spans="1:9" ht="15" customHeight="1" x14ac:dyDescent="0.25">
      <c r="A1762">
        <v>1761</v>
      </c>
      <c r="B1762">
        <v>5</v>
      </c>
      <c r="C1762" t="s">
        <v>323</v>
      </c>
      <c r="D1762">
        <v>480</v>
      </c>
      <c r="E1762">
        <v>8</v>
      </c>
      <c r="F1762" t="s">
        <v>27</v>
      </c>
      <c r="G1762">
        <v>648</v>
      </c>
      <c r="H1762">
        <v>12</v>
      </c>
      <c r="I1762" t="str">
        <f t="shared" si="27"/>
        <v>2024-10</v>
      </c>
    </row>
    <row r="1763" spans="1:9" ht="15" customHeight="1" x14ac:dyDescent="0.25">
      <c r="A1763">
        <v>1762</v>
      </c>
      <c r="B1763">
        <v>5</v>
      </c>
      <c r="C1763" t="s">
        <v>324</v>
      </c>
      <c r="D1763">
        <v>480</v>
      </c>
      <c r="E1763">
        <v>0</v>
      </c>
      <c r="F1763" t="s">
        <v>33</v>
      </c>
      <c r="G1763">
        <v>747</v>
      </c>
      <c r="H1763">
        <v>17</v>
      </c>
      <c r="I1763" t="str">
        <f t="shared" si="27"/>
        <v>2024-10</v>
      </c>
    </row>
    <row r="1764" spans="1:9" ht="15" customHeight="1" x14ac:dyDescent="0.25">
      <c r="A1764">
        <v>1763</v>
      </c>
      <c r="B1764">
        <v>5</v>
      </c>
      <c r="C1764" t="s">
        <v>325</v>
      </c>
      <c r="D1764">
        <v>480</v>
      </c>
      <c r="E1764">
        <v>15</v>
      </c>
      <c r="F1764" t="s">
        <v>27</v>
      </c>
      <c r="G1764">
        <v>699</v>
      </c>
      <c r="H1764">
        <v>23</v>
      </c>
      <c r="I1764" t="str">
        <f t="shared" si="27"/>
        <v>2024-10</v>
      </c>
    </row>
    <row r="1765" spans="1:9" ht="15" customHeight="1" x14ac:dyDescent="0.25">
      <c r="A1765">
        <v>1764</v>
      </c>
      <c r="B1765">
        <v>5</v>
      </c>
      <c r="C1765" t="s">
        <v>326</v>
      </c>
      <c r="D1765">
        <v>480</v>
      </c>
      <c r="E1765">
        <v>0</v>
      </c>
      <c r="F1765" t="s">
        <v>33</v>
      </c>
      <c r="G1765">
        <v>748</v>
      </c>
      <c r="H1765">
        <v>13</v>
      </c>
      <c r="I1765" t="str">
        <f t="shared" si="27"/>
        <v>2024-10</v>
      </c>
    </row>
    <row r="1766" spans="1:9" ht="15" customHeight="1" x14ac:dyDescent="0.25">
      <c r="A1766">
        <v>1765</v>
      </c>
      <c r="B1766">
        <v>5</v>
      </c>
      <c r="C1766" t="s">
        <v>327</v>
      </c>
      <c r="D1766">
        <v>480</v>
      </c>
      <c r="E1766">
        <v>35</v>
      </c>
      <c r="F1766" t="s">
        <v>27</v>
      </c>
      <c r="G1766">
        <v>709</v>
      </c>
      <c r="H1766">
        <v>23</v>
      </c>
      <c r="I1766" t="str">
        <f t="shared" si="27"/>
        <v>2024-10</v>
      </c>
    </row>
    <row r="1767" spans="1:9" ht="15" customHeight="1" x14ac:dyDescent="0.25">
      <c r="A1767">
        <v>1766</v>
      </c>
      <c r="B1767">
        <v>5</v>
      </c>
      <c r="C1767" t="s">
        <v>328</v>
      </c>
      <c r="D1767">
        <v>480</v>
      </c>
      <c r="E1767">
        <v>18</v>
      </c>
      <c r="F1767" t="s">
        <v>45</v>
      </c>
      <c r="G1767">
        <v>676</v>
      </c>
      <c r="H1767">
        <v>21</v>
      </c>
      <c r="I1767" t="str">
        <f t="shared" si="27"/>
        <v>2024-10</v>
      </c>
    </row>
    <row r="1768" spans="1:9" ht="15" customHeight="1" x14ac:dyDescent="0.25">
      <c r="A1768">
        <v>1767</v>
      </c>
      <c r="B1768">
        <v>5</v>
      </c>
      <c r="C1768" t="s">
        <v>329</v>
      </c>
      <c r="D1768">
        <v>480</v>
      </c>
      <c r="E1768">
        <v>53</v>
      </c>
      <c r="F1768" t="s">
        <v>22</v>
      </c>
      <c r="G1768">
        <v>680</v>
      </c>
      <c r="H1768">
        <v>20</v>
      </c>
      <c r="I1768" t="str">
        <f t="shared" si="27"/>
        <v>2024-10</v>
      </c>
    </row>
    <row r="1769" spans="1:9" ht="15" customHeight="1" x14ac:dyDescent="0.25">
      <c r="A1769">
        <v>1768</v>
      </c>
      <c r="B1769">
        <v>5</v>
      </c>
      <c r="C1769" t="s">
        <v>330</v>
      </c>
      <c r="D1769">
        <v>480</v>
      </c>
      <c r="E1769">
        <v>23</v>
      </c>
      <c r="F1769" t="s">
        <v>29</v>
      </c>
      <c r="G1769">
        <v>733</v>
      </c>
      <c r="H1769">
        <v>38</v>
      </c>
      <c r="I1769" t="str">
        <f t="shared" si="27"/>
        <v>2024-10</v>
      </c>
    </row>
    <row r="1770" spans="1:9" ht="15" customHeight="1" x14ac:dyDescent="0.25">
      <c r="A1770">
        <v>1769</v>
      </c>
      <c r="B1770">
        <v>5</v>
      </c>
      <c r="C1770" t="s">
        <v>331</v>
      </c>
      <c r="D1770">
        <v>480</v>
      </c>
      <c r="E1770">
        <v>17</v>
      </c>
      <c r="F1770" t="s">
        <v>22</v>
      </c>
      <c r="G1770">
        <v>674</v>
      </c>
      <c r="H1770">
        <v>18</v>
      </c>
      <c r="I1770" t="str">
        <f t="shared" si="27"/>
        <v>2024-10</v>
      </c>
    </row>
    <row r="1771" spans="1:9" ht="15" customHeight="1" x14ac:dyDescent="0.25">
      <c r="A1771">
        <v>1770</v>
      </c>
      <c r="B1771">
        <v>5</v>
      </c>
      <c r="C1771" t="s">
        <v>332</v>
      </c>
      <c r="D1771">
        <v>480</v>
      </c>
      <c r="E1771">
        <v>78</v>
      </c>
      <c r="F1771" t="s">
        <v>45</v>
      </c>
      <c r="G1771">
        <v>547</v>
      </c>
      <c r="H1771">
        <v>21</v>
      </c>
      <c r="I1771" t="str">
        <f t="shared" si="27"/>
        <v>2024-11</v>
      </c>
    </row>
    <row r="1772" spans="1:9" ht="15" customHeight="1" x14ac:dyDescent="0.25">
      <c r="A1772">
        <v>1771</v>
      </c>
      <c r="B1772">
        <v>5</v>
      </c>
      <c r="C1772" t="s">
        <v>333</v>
      </c>
      <c r="D1772">
        <v>480</v>
      </c>
      <c r="E1772">
        <v>8</v>
      </c>
      <c r="F1772" t="s">
        <v>45</v>
      </c>
      <c r="G1772">
        <v>662</v>
      </c>
      <c r="H1772">
        <v>21</v>
      </c>
      <c r="I1772" t="str">
        <f t="shared" si="27"/>
        <v>2024-11</v>
      </c>
    </row>
    <row r="1773" spans="1:9" ht="15" customHeight="1" x14ac:dyDescent="0.25">
      <c r="A1773">
        <v>1772</v>
      </c>
      <c r="B1773">
        <v>5</v>
      </c>
      <c r="C1773" t="s">
        <v>334</v>
      </c>
      <c r="D1773">
        <v>480</v>
      </c>
      <c r="E1773">
        <v>164</v>
      </c>
      <c r="F1773" t="s">
        <v>27</v>
      </c>
      <c r="G1773">
        <v>421</v>
      </c>
      <c r="H1773">
        <v>16</v>
      </c>
      <c r="I1773" t="str">
        <f t="shared" si="27"/>
        <v>2024-11</v>
      </c>
    </row>
    <row r="1774" spans="1:9" ht="15" customHeight="1" x14ac:dyDescent="0.25">
      <c r="A1774">
        <v>1773</v>
      </c>
      <c r="B1774">
        <v>5</v>
      </c>
      <c r="C1774" t="s">
        <v>335</v>
      </c>
      <c r="D1774">
        <v>480</v>
      </c>
      <c r="E1774">
        <v>2</v>
      </c>
      <c r="F1774" t="s">
        <v>29</v>
      </c>
      <c r="G1774">
        <v>652</v>
      </c>
      <c r="H1774">
        <v>22</v>
      </c>
      <c r="I1774" t="str">
        <f t="shared" si="27"/>
        <v>2024-11</v>
      </c>
    </row>
    <row r="1775" spans="1:9" ht="15" customHeight="1" x14ac:dyDescent="0.25">
      <c r="A1775">
        <v>1774</v>
      </c>
      <c r="B1775">
        <v>5</v>
      </c>
      <c r="C1775" t="s">
        <v>336</v>
      </c>
      <c r="D1775">
        <v>480</v>
      </c>
      <c r="E1775">
        <v>17</v>
      </c>
      <c r="F1775" t="s">
        <v>27</v>
      </c>
      <c r="G1775">
        <v>647</v>
      </c>
      <c r="H1775">
        <v>18</v>
      </c>
      <c r="I1775" t="str">
        <f t="shared" si="27"/>
        <v>2024-11</v>
      </c>
    </row>
    <row r="1776" spans="1:9" ht="15" customHeight="1" x14ac:dyDescent="0.25">
      <c r="A1776">
        <v>1775</v>
      </c>
      <c r="B1776">
        <v>5</v>
      </c>
      <c r="C1776" t="s">
        <v>337</v>
      </c>
      <c r="D1776">
        <v>480</v>
      </c>
      <c r="E1776">
        <v>2</v>
      </c>
      <c r="F1776" t="s">
        <v>45</v>
      </c>
      <c r="G1776">
        <v>674</v>
      </c>
      <c r="H1776">
        <v>35</v>
      </c>
      <c r="I1776" t="str">
        <f t="shared" si="27"/>
        <v>2024-11</v>
      </c>
    </row>
    <row r="1777" spans="1:9" ht="15" customHeight="1" x14ac:dyDescent="0.25">
      <c r="A1777">
        <v>1776</v>
      </c>
      <c r="B1777">
        <v>5</v>
      </c>
      <c r="C1777" t="s">
        <v>338</v>
      </c>
      <c r="D1777">
        <v>480</v>
      </c>
      <c r="E1777">
        <v>70</v>
      </c>
      <c r="F1777" t="s">
        <v>45</v>
      </c>
      <c r="G1777">
        <v>582</v>
      </c>
      <c r="H1777">
        <v>22</v>
      </c>
      <c r="I1777" t="str">
        <f t="shared" si="27"/>
        <v>2024-11</v>
      </c>
    </row>
    <row r="1778" spans="1:9" ht="15" customHeight="1" x14ac:dyDescent="0.25">
      <c r="A1778">
        <v>1777</v>
      </c>
      <c r="B1778">
        <v>5</v>
      </c>
      <c r="C1778" t="s">
        <v>339</v>
      </c>
      <c r="D1778">
        <v>480</v>
      </c>
      <c r="E1778">
        <v>58</v>
      </c>
      <c r="F1778" t="s">
        <v>45</v>
      </c>
      <c r="G1778">
        <v>556</v>
      </c>
      <c r="H1778">
        <v>26</v>
      </c>
      <c r="I1778" t="str">
        <f t="shared" si="27"/>
        <v>2024-11</v>
      </c>
    </row>
    <row r="1779" spans="1:9" ht="15" customHeight="1" x14ac:dyDescent="0.25">
      <c r="A1779">
        <v>1778</v>
      </c>
      <c r="B1779">
        <v>5</v>
      </c>
      <c r="C1779" t="s">
        <v>340</v>
      </c>
      <c r="D1779">
        <v>480</v>
      </c>
      <c r="E1779">
        <v>72</v>
      </c>
      <c r="F1779" t="s">
        <v>24</v>
      </c>
      <c r="G1779">
        <v>549</v>
      </c>
      <c r="H1779">
        <v>13</v>
      </c>
      <c r="I1779" t="str">
        <f t="shared" si="27"/>
        <v>2024-11</v>
      </c>
    </row>
    <row r="1780" spans="1:9" ht="15" customHeight="1" x14ac:dyDescent="0.25">
      <c r="A1780">
        <v>1779</v>
      </c>
      <c r="B1780">
        <v>5</v>
      </c>
      <c r="C1780" t="s">
        <v>341</v>
      </c>
      <c r="D1780">
        <v>480</v>
      </c>
      <c r="E1780">
        <v>79</v>
      </c>
      <c r="F1780" t="s">
        <v>22</v>
      </c>
      <c r="G1780">
        <v>595</v>
      </c>
      <c r="H1780">
        <v>10</v>
      </c>
      <c r="I1780" t="str">
        <f t="shared" si="27"/>
        <v>2024-11</v>
      </c>
    </row>
    <row r="1781" spans="1:9" ht="15" customHeight="1" x14ac:dyDescent="0.25">
      <c r="A1781">
        <v>1780</v>
      </c>
      <c r="B1781">
        <v>5</v>
      </c>
      <c r="C1781" t="s">
        <v>342</v>
      </c>
      <c r="D1781">
        <v>480</v>
      </c>
      <c r="E1781">
        <v>7</v>
      </c>
      <c r="F1781" t="s">
        <v>33</v>
      </c>
      <c r="G1781">
        <v>689</v>
      </c>
      <c r="H1781">
        <v>29</v>
      </c>
      <c r="I1781" t="str">
        <f t="shared" si="27"/>
        <v>2024-11</v>
      </c>
    </row>
    <row r="1782" spans="1:9" ht="15" customHeight="1" x14ac:dyDescent="0.25">
      <c r="A1782">
        <v>1781</v>
      </c>
      <c r="B1782">
        <v>5</v>
      </c>
      <c r="C1782" t="s">
        <v>343</v>
      </c>
      <c r="D1782">
        <v>480</v>
      </c>
      <c r="E1782">
        <v>32</v>
      </c>
      <c r="F1782" t="s">
        <v>24</v>
      </c>
      <c r="G1782">
        <v>728</v>
      </c>
      <c r="H1782">
        <v>20</v>
      </c>
      <c r="I1782" t="str">
        <f t="shared" si="27"/>
        <v>2024-11</v>
      </c>
    </row>
    <row r="1783" spans="1:9" ht="15" customHeight="1" x14ac:dyDescent="0.25">
      <c r="A1783">
        <v>1782</v>
      </c>
      <c r="B1783">
        <v>5</v>
      </c>
      <c r="C1783" t="s">
        <v>344</v>
      </c>
      <c r="D1783">
        <v>480</v>
      </c>
      <c r="E1783">
        <v>18</v>
      </c>
      <c r="F1783" t="s">
        <v>45</v>
      </c>
      <c r="G1783">
        <v>685</v>
      </c>
      <c r="H1783">
        <v>22</v>
      </c>
      <c r="I1783" t="str">
        <f t="shared" si="27"/>
        <v>2024-11</v>
      </c>
    </row>
    <row r="1784" spans="1:9" ht="15" customHeight="1" x14ac:dyDescent="0.25">
      <c r="A1784">
        <v>1783</v>
      </c>
      <c r="B1784">
        <v>5</v>
      </c>
      <c r="C1784" t="s">
        <v>345</v>
      </c>
      <c r="D1784">
        <v>480</v>
      </c>
      <c r="E1784">
        <v>4</v>
      </c>
      <c r="F1784" t="s">
        <v>27</v>
      </c>
      <c r="G1784">
        <v>771</v>
      </c>
      <c r="H1784">
        <v>37</v>
      </c>
      <c r="I1784" t="str">
        <f t="shared" si="27"/>
        <v>2024-11</v>
      </c>
    </row>
    <row r="1785" spans="1:9" ht="15" customHeight="1" x14ac:dyDescent="0.25">
      <c r="A1785">
        <v>1784</v>
      </c>
      <c r="B1785">
        <v>5</v>
      </c>
      <c r="C1785" t="s">
        <v>346</v>
      </c>
      <c r="D1785">
        <v>480</v>
      </c>
      <c r="E1785">
        <v>16</v>
      </c>
      <c r="F1785" t="s">
        <v>45</v>
      </c>
      <c r="G1785">
        <v>698</v>
      </c>
      <c r="H1785">
        <v>18</v>
      </c>
      <c r="I1785" t="str">
        <f t="shared" si="27"/>
        <v>2024-11</v>
      </c>
    </row>
    <row r="1786" spans="1:9" ht="15" customHeight="1" x14ac:dyDescent="0.25">
      <c r="A1786">
        <v>1785</v>
      </c>
      <c r="B1786">
        <v>5</v>
      </c>
      <c r="C1786" t="s">
        <v>347</v>
      </c>
      <c r="D1786">
        <v>480</v>
      </c>
      <c r="E1786">
        <v>19</v>
      </c>
      <c r="F1786" t="s">
        <v>29</v>
      </c>
      <c r="G1786">
        <v>706</v>
      </c>
      <c r="H1786">
        <v>25</v>
      </c>
      <c r="I1786" t="str">
        <f t="shared" si="27"/>
        <v>2024-11</v>
      </c>
    </row>
    <row r="1787" spans="1:9" ht="15" customHeight="1" x14ac:dyDescent="0.25">
      <c r="A1787">
        <v>1786</v>
      </c>
      <c r="B1787">
        <v>5</v>
      </c>
      <c r="C1787" t="s">
        <v>348</v>
      </c>
      <c r="D1787">
        <v>480</v>
      </c>
      <c r="E1787">
        <v>113</v>
      </c>
      <c r="F1787" t="s">
        <v>45</v>
      </c>
      <c r="G1787">
        <v>553</v>
      </c>
      <c r="H1787">
        <v>17</v>
      </c>
      <c r="I1787" t="str">
        <f t="shared" si="27"/>
        <v>2024-11</v>
      </c>
    </row>
    <row r="1788" spans="1:9" ht="15" customHeight="1" x14ac:dyDescent="0.25">
      <c r="A1788">
        <v>1787</v>
      </c>
      <c r="B1788">
        <v>5</v>
      </c>
      <c r="C1788" t="s">
        <v>349</v>
      </c>
      <c r="D1788">
        <v>480</v>
      </c>
      <c r="E1788">
        <v>36</v>
      </c>
      <c r="F1788" t="s">
        <v>27</v>
      </c>
      <c r="G1788">
        <v>608</v>
      </c>
      <c r="H1788">
        <v>19</v>
      </c>
      <c r="I1788" t="str">
        <f t="shared" si="27"/>
        <v>2024-11</v>
      </c>
    </row>
    <row r="1789" spans="1:9" ht="15" customHeight="1" x14ac:dyDescent="0.25">
      <c r="A1789">
        <v>1788</v>
      </c>
      <c r="B1789">
        <v>5</v>
      </c>
      <c r="C1789" t="s">
        <v>350</v>
      </c>
      <c r="D1789">
        <v>480</v>
      </c>
      <c r="E1789">
        <v>10</v>
      </c>
      <c r="F1789" t="s">
        <v>45</v>
      </c>
      <c r="G1789">
        <v>682</v>
      </c>
      <c r="H1789">
        <v>31</v>
      </c>
      <c r="I1789" t="str">
        <f t="shared" si="27"/>
        <v>2024-11</v>
      </c>
    </row>
    <row r="1790" spans="1:9" ht="15" customHeight="1" x14ac:dyDescent="0.25">
      <c r="A1790">
        <v>1789</v>
      </c>
      <c r="B1790">
        <v>5</v>
      </c>
      <c r="C1790" t="s">
        <v>351</v>
      </c>
      <c r="D1790">
        <v>480</v>
      </c>
      <c r="E1790">
        <v>16</v>
      </c>
      <c r="F1790" t="s">
        <v>29</v>
      </c>
      <c r="G1790">
        <v>725</v>
      </c>
      <c r="H1790">
        <v>28</v>
      </c>
      <c r="I1790" t="str">
        <f t="shared" si="27"/>
        <v>2024-11</v>
      </c>
    </row>
    <row r="1791" spans="1:9" ht="15" customHeight="1" x14ac:dyDescent="0.25">
      <c r="A1791">
        <v>1790</v>
      </c>
      <c r="B1791">
        <v>5</v>
      </c>
      <c r="C1791" t="s">
        <v>352</v>
      </c>
      <c r="D1791">
        <v>480</v>
      </c>
      <c r="E1791">
        <v>10</v>
      </c>
      <c r="F1791" t="s">
        <v>33</v>
      </c>
      <c r="G1791">
        <v>737</v>
      </c>
      <c r="H1791">
        <v>19</v>
      </c>
      <c r="I1791" t="str">
        <f t="shared" si="27"/>
        <v>2024-11</v>
      </c>
    </row>
    <row r="1792" spans="1:9" ht="15" customHeight="1" x14ac:dyDescent="0.25">
      <c r="A1792">
        <v>1791</v>
      </c>
      <c r="B1792">
        <v>5</v>
      </c>
      <c r="C1792" t="s">
        <v>353</v>
      </c>
      <c r="D1792">
        <v>480</v>
      </c>
      <c r="E1792">
        <v>6</v>
      </c>
      <c r="F1792" t="s">
        <v>27</v>
      </c>
      <c r="G1792">
        <v>698</v>
      </c>
      <c r="H1792">
        <v>19</v>
      </c>
      <c r="I1792" t="str">
        <f t="shared" si="27"/>
        <v>2024-11</v>
      </c>
    </row>
    <row r="1793" spans="1:9" ht="15" customHeight="1" x14ac:dyDescent="0.25">
      <c r="A1793">
        <v>1792</v>
      </c>
      <c r="B1793">
        <v>5</v>
      </c>
      <c r="C1793" t="s">
        <v>354</v>
      </c>
      <c r="D1793">
        <v>480</v>
      </c>
      <c r="E1793">
        <v>0</v>
      </c>
      <c r="F1793" t="s">
        <v>33</v>
      </c>
      <c r="G1793">
        <v>728</v>
      </c>
      <c r="H1793">
        <v>26</v>
      </c>
      <c r="I1793" t="str">
        <f t="shared" si="27"/>
        <v>2024-11</v>
      </c>
    </row>
    <row r="1794" spans="1:9" ht="15" customHeight="1" x14ac:dyDescent="0.25">
      <c r="A1794">
        <v>1793</v>
      </c>
      <c r="B1794">
        <v>5</v>
      </c>
      <c r="C1794" t="s">
        <v>355</v>
      </c>
      <c r="D1794">
        <v>480</v>
      </c>
      <c r="E1794">
        <v>14</v>
      </c>
      <c r="F1794" t="s">
        <v>45</v>
      </c>
      <c r="G1794">
        <v>753</v>
      </c>
      <c r="H1794">
        <v>28</v>
      </c>
      <c r="I1794" t="str">
        <f t="shared" ref="I1794:I1857" si="28">TEXT(C1794,"yyyy-mm")</f>
        <v>2024-11</v>
      </c>
    </row>
    <row r="1795" spans="1:9" ht="15" customHeight="1" x14ac:dyDescent="0.25">
      <c r="A1795">
        <v>1794</v>
      </c>
      <c r="B1795">
        <v>5</v>
      </c>
      <c r="C1795" t="s">
        <v>356</v>
      </c>
      <c r="D1795">
        <v>480</v>
      </c>
      <c r="E1795">
        <v>48</v>
      </c>
      <c r="F1795" t="s">
        <v>22</v>
      </c>
      <c r="G1795">
        <v>587</v>
      </c>
      <c r="H1795">
        <v>22</v>
      </c>
      <c r="I1795" t="str">
        <f t="shared" si="28"/>
        <v>2024-11</v>
      </c>
    </row>
    <row r="1796" spans="1:9" ht="15" customHeight="1" x14ac:dyDescent="0.25">
      <c r="A1796">
        <v>1795</v>
      </c>
      <c r="B1796">
        <v>5</v>
      </c>
      <c r="C1796" t="s">
        <v>357</v>
      </c>
      <c r="D1796">
        <v>480</v>
      </c>
      <c r="E1796">
        <v>49</v>
      </c>
      <c r="F1796" t="s">
        <v>22</v>
      </c>
      <c r="G1796">
        <v>645</v>
      </c>
      <c r="H1796">
        <v>28</v>
      </c>
      <c r="I1796" t="str">
        <f t="shared" si="28"/>
        <v>2024-11</v>
      </c>
    </row>
    <row r="1797" spans="1:9" ht="15" customHeight="1" x14ac:dyDescent="0.25">
      <c r="A1797">
        <v>1796</v>
      </c>
      <c r="B1797">
        <v>5</v>
      </c>
      <c r="C1797" t="s">
        <v>358</v>
      </c>
      <c r="D1797">
        <v>480</v>
      </c>
      <c r="E1797">
        <v>11</v>
      </c>
      <c r="F1797" t="s">
        <v>45</v>
      </c>
      <c r="G1797">
        <v>631</v>
      </c>
      <c r="H1797">
        <v>21</v>
      </c>
      <c r="I1797" t="str">
        <f t="shared" si="28"/>
        <v>2024-11</v>
      </c>
    </row>
    <row r="1798" spans="1:9" ht="15" customHeight="1" x14ac:dyDescent="0.25">
      <c r="A1798">
        <v>1797</v>
      </c>
      <c r="B1798">
        <v>5</v>
      </c>
      <c r="C1798" t="s">
        <v>359</v>
      </c>
      <c r="D1798">
        <v>480</v>
      </c>
      <c r="E1798">
        <v>12</v>
      </c>
      <c r="F1798" t="s">
        <v>24</v>
      </c>
      <c r="G1798">
        <v>742</v>
      </c>
      <c r="H1798">
        <v>19</v>
      </c>
      <c r="I1798" t="str">
        <f t="shared" si="28"/>
        <v>2024-11</v>
      </c>
    </row>
    <row r="1799" spans="1:9" ht="15" customHeight="1" x14ac:dyDescent="0.25">
      <c r="A1799">
        <v>1798</v>
      </c>
      <c r="B1799">
        <v>5</v>
      </c>
      <c r="C1799" t="s">
        <v>360</v>
      </c>
      <c r="D1799">
        <v>480</v>
      </c>
      <c r="E1799">
        <v>83</v>
      </c>
      <c r="F1799" t="s">
        <v>27</v>
      </c>
      <c r="G1799">
        <v>640</v>
      </c>
      <c r="H1799">
        <v>17</v>
      </c>
      <c r="I1799" t="str">
        <f t="shared" si="28"/>
        <v>2024-11</v>
      </c>
    </row>
    <row r="1800" spans="1:9" ht="15" customHeight="1" x14ac:dyDescent="0.25">
      <c r="A1800">
        <v>1799</v>
      </c>
      <c r="B1800">
        <v>5</v>
      </c>
      <c r="C1800" t="s">
        <v>361</v>
      </c>
      <c r="D1800">
        <v>480</v>
      </c>
      <c r="E1800">
        <v>10</v>
      </c>
      <c r="F1800" t="s">
        <v>45</v>
      </c>
      <c r="G1800">
        <v>749</v>
      </c>
      <c r="H1800">
        <v>39</v>
      </c>
      <c r="I1800" t="str">
        <f t="shared" si="28"/>
        <v>2024-11</v>
      </c>
    </row>
    <row r="1801" spans="1:9" ht="15" customHeight="1" x14ac:dyDescent="0.25">
      <c r="A1801">
        <v>1800</v>
      </c>
      <c r="B1801">
        <v>5</v>
      </c>
      <c r="C1801" t="s">
        <v>362</v>
      </c>
      <c r="D1801">
        <v>480</v>
      </c>
      <c r="E1801">
        <v>14</v>
      </c>
      <c r="F1801" t="s">
        <v>27</v>
      </c>
      <c r="G1801">
        <v>660</v>
      </c>
      <c r="H1801">
        <v>24</v>
      </c>
      <c r="I1801" t="str">
        <f t="shared" si="28"/>
        <v>2024-12</v>
      </c>
    </row>
    <row r="1802" spans="1:9" ht="15" customHeight="1" x14ac:dyDescent="0.25">
      <c r="A1802">
        <v>1801</v>
      </c>
      <c r="B1802">
        <v>5</v>
      </c>
      <c r="C1802" t="s">
        <v>363</v>
      </c>
      <c r="D1802">
        <v>480</v>
      </c>
      <c r="E1802">
        <v>28</v>
      </c>
      <c r="F1802" t="s">
        <v>27</v>
      </c>
      <c r="G1802">
        <v>633</v>
      </c>
      <c r="H1802">
        <v>28</v>
      </c>
      <c r="I1802" t="str">
        <f t="shared" si="28"/>
        <v>2024-12</v>
      </c>
    </row>
    <row r="1803" spans="1:9" ht="15" customHeight="1" x14ac:dyDescent="0.25">
      <c r="A1803">
        <v>1802</v>
      </c>
      <c r="B1803">
        <v>5</v>
      </c>
      <c r="C1803" t="s">
        <v>364</v>
      </c>
      <c r="D1803">
        <v>480</v>
      </c>
      <c r="E1803">
        <v>1</v>
      </c>
      <c r="F1803" t="s">
        <v>45</v>
      </c>
      <c r="G1803">
        <v>638</v>
      </c>
      <c r="H1803">
        <v>20</v>
      </c>
      <c r="I1803" t="str">
        <f t="shared" si="28"/>
        <v>2024-12</v>
      </c>
    </row>
    <row r="1804" spans="1:9" ht="15" customHeight="1" x14ac:dyDescent="0.25">
      <c r="A1804">
        <v>1803</v>
      </c>
      <c r="B1804">
        <v>5</v>
      </c>
      <c r="C1804" t="s">
        <v>365</v>
      </c>
      <c r="D1804">
        <v>480</v>
      </c>
      <c r="E1804">
        <v>10</v>
      </c>
      <c r="F1804" t="s">
        <v>22</v>
      </c>
      <c r="G1804">
        <v>665</v>
      </c>
      <c r="H1804">
        <v>23</v>
      </c>
      <c r="I1804" t="str">
        <f t="shared" si="28"/>
        <v>2024-12</v>
      </c>
    </row>
    <row r="1805" spans="1:9" ht="15" customHeight="1" x14ac:dyDescent="0.25">
      <c r="A1805">
        <v>1804</v>
      </c>
      <c r="B1805">
        <v>5</v>
      </c>
      <c r="C1805" t="s">
        <v>366</v>
      </c>
      <c r="D1805">
        <v>480</v>
      </c>
      <c r="E1805">
        <v>9</v>
      </c>
      <c r="F1805" t="s">
        <v>33</v>
      </c>
      <c r="G1805">
        <v>648</v>
      </c>
      <c r="H1805">
        <v>18</v>
      </c>
      <c r="I1805" t="str">
        <f t="shared" si="28"/>
        <v>2024-12</v>
      </c>
    </row>
    <row r="1806" spans="1:9" ht="15" customHeight="1" x14ac:dyDescent="0.25">
      <c r="A1806">
        <v>1805</v>
      </c>
      <c r="B1806">
        <v>5</v>
      </c>
      <c r="C1806" t="s">
        <v>367</v>
      </c>
      <c r="D1806">
        <v>480</v>
      </c>
      <c r="E1806">
        <v>90</v>
      </c>
      <c r="F1806" t="s">
        <v>45</v>
      </c>
      <c r="G1806">
        <v>563</v>
      </c>
      <c r="H1806">
        <v>19</v>
      </c>
      <c r="I1806" t="str">
        <f t="shared" si="28"/>
        <v>2024-12</v>
      </c>
    </row>
    <row r="1807" spans="1:9" ht="15" customHeight="1" x14ac:dyDescent="0.25">
      <c r="A1807">
        <v>1806</v>
      </c>
      <c r="B1807">
        <v>5</v>
      </c>
      <c r="C1807" t="s">
        <v>368</v>
      </c>
      <c r="D1807">
        <v>480</v>
      </c>
      <c r="E1807">
        <v>21</v>
      </c>
      <c r="F1807" t="s">
        <v>22</v>
      </c>
      <c r="G1807">
        <v>744</v>
      </c>
      <c r="H1807">
        <v>19</v>
      </c>
      <c r="I1807" t="str">
        <f t="shared" si="28"/>
        <v>2024-12</v>
      </c>
    </row>
    <row r="1808" spans="1:9" ht="15" customHeight="1" x14ac:dyDescent="0.25">
      <c r="A1808">
        <v>1807</v>
      </c>
      <c r="B1808">
        <v>5</v>
      </c>
      <c r="C1808" t="s">
        <v>369</v>
      </c>
      <c r="D1808">
        <v>480</v>
      </c>
      <c r="E1808">
        <v>27</v>
      </c>
      <c r="F1808" t="s">
        <v>45</v>
      </c>
      <c r="G1808">
        <v>697</v>
      </c>
      <c r="H1808">
        <v>27</v>
      </c>
      <c r="I1808" t="str">
        <f t="shared" si="28"/>
        <v>2024-12</v>
      </c>
    </row>
    <row r="1809" spans="1:9" ht="15" customHeight="1" x14ac:dyDescent="0.25">
      <c r="A1809">
        <v>1808</v>
      </c>
      <c r="B1809">
        <v>5</v>
      </c>
      <c r="C1809" t="s">
        <v>370</v>
      </c>
      <c r="D1809">
        <v>480</v>
      </c>
      <c r="E1809">
        <v>2</v>
      </c>
      <c r="F1809" t="s">
        <v>45</v>
      </c>
      <c r="G1809">
        <v>730</v>
      </c>
      <c r="H1809">
        <v>14</v>
      </c>
      <c r="I1809" t="str">
        <f t="shared" si="28"/>
        <v>2024-12</v>
      </c>
    </row>
    <row r="1810" spans="1:9" ht="15" customHeight="1" x14ac:dyDescent="0.25">
      <c r="A1810">
        <v>1809</v>
      </c>
      <c r="B1810">
        <v>5</v>
      </c>
      <c r="C1810" t="s">
        <v>371</v>
      </c>
      <c r="D1810">
        <v>480</v>
      </c>
      <c r="E1810">
        <v>22</v>
      </c>
      <c r="F1810" t="s">
        <v>22</v>
      </c>
      <c r="G1810">
        <v>708</v>
      </c>
      <c r="H1810">
        <v>18</v>
      </c>
      <c r="I1810" t="str">
        <f t="shared" si="28"/>
        <v>2024-12</v>
      </c>
    </row>
    <row r="1811" spans="1:9" ht="15" customHeight="1" x14ac:dyDescent="0.25">
      <c r="A1811">
        <v>1810</v>
      </c>
      <c r="B1811">
        <v>5</v>
      </c>
      <c r="C1811" t="s">
        <v>372</v>
      </c>
      <c r="D1811">
        <v>480</v>
      </c>
      <c r="E1811">
        <v>45</v>
      </c>
      <c r="F1811" t="s">
        <v>45</v>
      </c>
      <c r="G1811">
        <v>577</v>
      </c>
      <c r="H1811">
        <v>27</v>
      </c>
      <c r="I1811" t="str">
        <f t="shared" si="28"/>
        <v>2024-12</v>
      </c>
    </row>
    <row r="1812" spans="1:9" ht="15" customHeight="1" x14ac:dyDescent="0.25">
      <c r="A1812">
        <v>1811</v>
      </c>
      <c r="B1812">
        <v>5</v>
      </c>
      <c r="C1812" t="s">
        <v>373</v>
      </c>
      <c r="D1812">
        <v>480</v>
      </c>
      <c r="E1812">
        <v>15</v>
      </c>
      <c r="F1812" t="s">
        <v>29</v>
      </c>
      <c r="G1812">
        <v>644</v>
      </c>
      <c r="H1812">
        <v>14</v>
      </c>
      <c r="I1812" t="str">
        <f t="shared" si="28"/>
        <v>2024-12</v>
      </c>
    </row>
    <row r="1813" spans="1:9" ht="15" customHeight="1" x14ac:dyDescent="0.25">
      <c r="A1813">
        <v>1812</v>
      </c>
      <c r="B1813">
        <v>5</v>
      </c>
      <c r="C1813" t="s">
        <v>374</v>
      </c>
      <c r="D1813">
        <v>480</v>
      </c>
      <c r="E1813">
        <v>74</v>
      </c>
      <c r="F1813" t="s">
        <v>24</v>
      </c>
      <c r="G1813">
        <v>544</v>
      </c>
      <c r="H1813">
        <v>13</v>
      </c>
      <c r="I1813" t="str">
        <f t="shared" si="28"/>
        <v>2024-12</v>
      </c>
    </row>
    <row r="1814" spans="1:9" ht="15" customHeight="1" x14ac:dyDescent="0.25">
      <c r="A1814">
        <v>1813</v>
      </c>
      <c r="B1814">
        <v>5</v>
      </c>
      <c r="C1814" t="s">
        <v>375</v>
      </c>
      <c r="D1814">
        <v>480</v>
      </c>
      <c r="E1814">
        <v>10</v>
      </c>
      <c r="F1814" t="s">
        <v>22</v>
      </c>
      <c r="G1814">
        <v>709</v>
      </c>
      <c r="H1814">
        <v>26</v>
      </c>
      <c r="I1814" t="str">
        <f t="shared" si="28"/>
        <v>2024-12</v>
      </c>
    </row>
    <row r="1815" spans="1:9" ht="15" customHeight="1" x14ac:dyDescent="0.25">
      <c r="A1815">
        <v>1814</v>
      </c>
      <c r="B1815">
        <v>5</v>
      </c>
      <c r="C1815" t="s">
        <v>376</v>
      </c>
      <c r="D1815">
        <v>480</v>
      </c>
      <c r="E1815">
        <v>3</v>
      </c>
      <c r="F1815" t="s">
        <v>45</v>
      </c>
      <c r="G1815">
        <v>671</v>
      </c>
      <c r="H1815">
        <v>17</v>
      </c>
      <c r="I1815" t="str">
        <f t="shared" si="28"/>
        <v>2024-12</v>
      </c>
    </row>
    <row r="1816" spans="1:9" ht="15" customHeight="1" x14ac:dyDescent="0.25">
      <c r="A1816">
        <v>1815</v>
      </c>
      <c r="B1816">
        <v>5</v>
      </c>
      <c r="C1816" t="s">
        <v>377</v>
      </c>
      <c r="D1816">
        <v>480</v>
      </c>
      <c r="E1816">
        <v>5</v>
      </c>
      <c r="F1816" t="s">
        <v>45</v>
      </c>
      <c r="G1816">
        <v>686</v>
      </c>
      <c r="H1816">
        <v>29</v>
      </c>
      <c r="I1816" t="str">
        <f t="shared" si="28"/>
        <v>2024-12</v>
      </c>
    </row>
    <row r="1817" spans="1:9" ht="15" customHeight="1" x14ac:dyDescent="0.25">
      <c r="A1817">
        <v>1816</v>
      </c>
      <c r="B1817">
        <v>5</v>
      </c>
      <c r="C1817" t="s">
        <v>378</v>
      </c>
      <c r="D1817">
        <v>480</v>
      </c>
      <c r="E1817">
        <v>5</v>
      </c>
      <c r="F1817" t="s">
        <v>45</v>
      </c>
      <c r="G1817">
        <v>679</v>
      </c>
      <c r="H1817">
        <v>21</v>
      </c>
      <c r="I1817" t="str">
        <f t="shared" si="28"/>
        <v>2024-12</v>
      </c>
    </row>
    <row r="1818" spans="1:9" ht="15" customHeight="1" x14ac:dyDescent="0.25">
      <c r="A1818">
        <v>1817</v>
      </c>
      <c r="B1818">
        <v>5</v>
      </c>
      <c r="C1818" t="s">
        <v>379</v>
      </c>
      <c r="D1818">
        <v>480</v>
      </c>
      <c r="E1818">
        <v>91</v>
      </c>
      <c r="F1818" t="s">
        <v>29</v>
      </c>
      <c r="G1818">
        <v>627</v>
      </c>
      <c r="H1818">
        <v>29</v>
      </c>
      <c r="I1818" t="str">
        <f t="shared" si="28"/>
        <v>2024-12</v>
      </c>
    </row>
    <row r="1819" spans="1:9" ht="15" customHeight="1" x14ac:dyDescent="0.25">
      <c r="A1819">
        <v>1818</v>
      </c>
      <c r="B1819">
        <v>5</v>
      </c>
      <c r="C1819" t="s">
        <v>380</v>
      </c>
      <c r="D1819">
        <v>480</v>
      </c>
      <c r="E1819">
        <v>6</v>
      </c>
      <c r="F1819" t="s">
        <v>24</v>
      </c>
      <c r="G1819">
        <v>634</v>
      </c>
      <c r="H1819">
        <v>18</v>
      </c>
      <c r="I1819" t="str">
        <f t="shared" si="28"/>
        <v>2024-12</v>
      </c>
    </row>
    <row r="1820" spans="1:9" ht="15" customHeight="1" x14ac:dyDescent="0.25">
      <c r="A1820">
        <v>1819</v>
      </c>
      <c r="B1820">
        <v>5</v>
      </c>
      <c r="C1820" t="s">
        <v>381</v>
      </c>
      <c r="D1820">
        <v>480</v>
      </c>
      <c r="E1820">
        <v>7</v>
      </c>
      <c r="F1820" t="s">
        <v>45</v>
      </c>
      <c r="G1820">
        <v>697</v>
      </c>
      <c r="H1820">
        <v>31</v>
      </c>
      <c r="I1820" t="str">
        <f t="shared" si="28"/>
        <v>2024-12</v>
      </c>
    </row>
    <row r="1821" spans="1:9" ht="15" customHeight="1" x14ac:dyDescent="0.25">
      <c r="A1821">
        <v>1820</v>
      </c>
      <c r="B1821">
        <v>5</v>
      </c>
      <c r="C1821" t="s">
        <v>382</v>
      </c>
      <c r="D1821">
        <v>480</v>
      </c>
      <c r="E1821">
        <v>47</v>
      </c>
      <c r="F1821" t="s">
        <v>33</v>
      </c>
      <c r="G1821">
        <v>683</v>
      </c>
      <c r="H1821">
        <v>21</v>
      </c>
      <c r="I1821" t="str">
        <f t="shared" si="28"/>
        <v>2024-12</v>
      </c>
    </row>
    <row r="1822" spans="1:9" ht="15" customHeight="1" x14ac:dyDescent="0.25">
      <c r="A1822">
        <v>1821</v>
      </c>
      <c r="B1822">
        <v>5</v>
      </c>
      <c r="C1822" t="s">
        <v>383</v>
      </c>
      <c r="D1822">
        <v>480</v>
      </c>
      <c r="E1822">
        <v>28</v>
      </c>
      <c r="F1822" t="s">
        <v>29</v>
      </c>
      <c r="G1822">
        <v>639</v>
      </c>
      <c r="H1822">
        <v>12</v>
      </c>
      <c r="I1822" t="str">
        <f t="shared" si="28"/>
        <v>2024-12</v>
      </c>
    </row>
    <row r="1823" spans="1:9" ht="15" customHeight="1" x14ac:dyDescent="0.25">
      <c r="A1823">
        <v>1822</v>
      </c>
      <c r="B1823">
        <v>5</v>
      </c>
      <c r="C1823" t="s">
        <v>384</v>
      </c>
      <c r="D1823">
        <v>480</v>
      </c>
      <c r="E1823">
        <v>29</v>
      </c>
      <c r="F1823" t="s">
        <v>33</v>
      </c>
      <c r="G1823">
        <v>595</v>
      </c>
      <c r="H1823">
        <v>19</v>
      </c>
      <c r="I1823" t="str">
        <f t="shared" si="28"/>
        <v>2024-12</v>
      </c>
    </row>
    <row r="1824" spans="1:9" ht="15" customHeight="1" x14ac:dyDescent="0.25">
      <c r="A1824">
        <v>1823</v>
      </c>
      <c r="B1824">
        <v>5</v>
      </c>
      <c r="C1824" t="s">
        <v>385</v>
      </c>
      <c r="D1824">
        <v>480</v>
      </c>
      <c r="E1824">
        <v>9</v>
      </c>
      <c r="F1824" t="s">
        <v>22</v>
      </c>
      <c r="G1824">
        <v>721</v>
      </c>
      <c r="H1824">
        <v>32</v>
      </c>
      <c r="I1824" t="str">
        <f t="shared" si="28"/>
        <v>2024-12</v>
      </c>
    </row>
    <row r="1825" spans="1:9" ht="15" customHeight="1" x14ac:dyDescent="0.25">
      <c r="A1825">
        <v>1824</v>
      </c>
      <c r="B1825">
        <v>5</v>
      </c>
      <c r="C1825" t="s">
        <v>386</v>
      </c>
      <c r="D1825">
        <v>480</v>
      </c>
      <c r="E1825">
        <v>8</v>
      </c>
      <c r="F1825" t="s">
        <v>29</v>
      </c>
      <c r="G1825">
        <v>740</v>
      </c>
      <c r="H1825">
        <v>21</v>
      </c>
      <c r="I1825" t="str">
        <f t="shared" si="28"/>
        <v>2024-12</v>
      </c>
    </row>
    <row r="1826" spans="1:9" ht="15" customHeight="1" x14ac:dyDescent="0.25">
      <c r="A1826">
        <v>1825</v>
      </c>
      <c r="B1826">
        <v>5</v>
      </c>
      <c r="C1826" t="s">
        <v>387</v>
      </c>
      <c r="D1826">
        <v>480</v>
      </c>
      <c r="E1826">
        <v>14</v>
      </c>
      <c r="F1826" t="s">
        <v>22</v>
      </c>
      <c r="G1826">
        <v>718</v>
      </c>
      <c r="H1826">
        <v>30</v>
      </c>
      <c r="I1826" t="str">
        <f t="shared" si="28"/>
        <v>2024-12</v>
      </c>
    </row>
    <row r="1827" spans="1:9" ht="15" customHeight="1" x14ac:dyDescent="0.25">
      <c r="A1827">
        <v>1826</v>
      </c>
      <c r="B1827">
        <v>5</v>
      </c>
      <c r="C1827" t="s">
        <v>388</v>
      </c>
      <c r="D1827">
        <v>480</v>
      </c>
      <c r="E1827">
        <v>106</v>
      </c>
      <c r="F1827" t="s">
        <v>22</v>
      </c>
      <c r="G1827">
        <v>518</v>
      </c>
      <c r="H1827">
        <v>21</v>
      </c>
      <c r="I1827" t="str">
        <f t="shared" si="28"/>
        <v>2024-12</v>
      </c>
    </row>
    <row r="1828" spans="1:9" ht="15" customHeight="1" x14ac:dyDescent="0.25">
      <c r="A1828">
        <v>1827</v>
      </c>
      <c r="B1828">
        <v>5</v>
      </c>
      <c r="C1828" t="s">
        <v>389</v>
      </c>
      <c r="D1828">
        <v>480</v>
      </c>
      <c r="E1828">
        <v>23</v>
      </c>
      <c r="F1828" t="s">
        <v>45</v>
      </c>
      <c r="G1828">
        <v>731</v>
      </c>
      <c r="H1828">
        <v>17</v>
      </c>
      <c r="I1828" t="str">
        <f t="shared" si="28"/>
        <v>2024-12</v>
      </c>
    </row>
    <row r="1829" spans="1:9" ht="15" customHeight="1" x14ac:dyDescent="0.25">
      <c r="A1829">
        <v>1828</v>
      </c>
      <c r="B1829">
        <v>5</v>
      </c>
      <c r="C1829" t="s">
        <v>390</v>
      </c>
      <c r="D1829">
        <v>480</v>
      </c>
      <c r="E1829">
        <v>34</v>
      </c>
      <c r="F1829" t="s">
        <v>27</v>
      </c>
      <c r="G1829">
        <v>666</v>
      </c>
      <c r="H1829">
        <v>18</v>
      </c>
      <c r="I1829" t="str">
        <f t="shared" si="28"/>
        <v>2024-12</v>
      </c>
    </row>
    <row r="1830" spans="1:9" ht="15" customHeight="1" x14ac:dyDescent="0.25">
      <c r="A1830">
        <v>1829</v>
      </c>
      <c r="B1830">
        <v>5</v>
      </c>
      <c r="C1830" t="s">
        <v>391</v>
      </c>
      <c r="D1830">
        <v>480</v>
      </c>
      <c r="E1830">
        <v>15</v>
      </c>
      <c r="F1830" t="s">
        <v>27</v>
      </c>
      <c r="G1830">
        <v>660</v>
      </c>
      <c r="H1830">
        <v>25</v>
      </c>
      <c r="I1830" t="str">
        <f t="shared" si="28"/>
        <v>2024-12</v>
      </c>
    </row>
    <row r="1831" spans="1:9" ht="15" customHeight="1" x14ac:dyDescent="0.25">
      <c r="A1831">
        <v>1830</v>
      </c>
      <c r="B1831">
        <v>5</v>
      </c>
      <c r="C1831" t="s">
        <v>392</v>
      </c>
      <c r="D1831">
        <v>480</v>
      </c>
      <c r="E1831">
        <v>53</v>
      </c>
      <c r="F1831" t="s">
        <v>27</v>
      </c>
      <c r="G1831">
        <v>637</v>
      </c>
      <c r="H1831">
        <v>25</v>
      </c>
      <c r="I1831" t="str">
        <f t="shared" si="28"/>
        <v>2024-12</v>
      </c>
    </row>
    <row r="1832" spans="1:9" ht="15" customHeight="1" x14ac:dyDescent="0.25">
      <c r="A1832">
        <v>1831</v>
      </c>
      <c r="B1832">
        <v>6</v>
      </c>
      <c r="C1832" t="s">
        <v>21</v>
      </c>
      <c r="D1832">
        <v>480</v>
      </c>
      <c r="E1832">
        <v>15</v>
      </c>
      <c r="F1832" t="s">
        <v>29</v>
      </c>
      <c r="G1832">
        <v>1278</v>
      </c>
      <c r="H1832">
        <v>13</v>
      </c>
      <c r="I1832" t="str">
        <f t="shared" si="28"/>
        <v>2024-01</v>
      </c>
    </row>
    <row r="1833" spans="1:9" ht="15" customHeight="1" x14ac:dyDescent="0.25">
      <c r="A1833">
        <v>1832</v>
      </c>
      <c r="B1833">
        <v>6</v>
      </c>
      <c r="C1833" t="s">
        <v>23</v>
      </c>
      <c r="D1833">
        <v>480</v>
      </c>
      <c r="E1833">
        <v>11</v>
      </c>
      <c r="F1833" t="s">
        <v>27</v>
      </c>
      <c r="G1833">
        <v>1293</v>
      </c>
      <c r="H1833">
        <v>13</v>
      </c>
      <c r="I1833" t="str">
        <f t="shared" si="28"/>
        <v>2024-01</v>
      </c>
    </row>
    <row r="1834" spans="1:9" ht="15" customHeight="1" x14ac:dyDescent="0.25">
      <c r="A1834">
        <v>1833</v>
      </c>
      <c r="B1834">
        <v>6</v>
      </c>
      <c r="C1834" t="s">
        <v>25</v>
      </c>
      <c r="D1834">
        <v>480</v>
      </c>
      <c r="E1834">
        <v>16</v>
      </c>
      <c r="F1834" t="s">
        <v>27</v>
      </c>
      <c r="G1834">
        <v>1268</v>
      </c>
      <c r="H1834">
        <v>10</v>
      </c>
      <c r="I1834" t="str">
        <f t="shared" si="28"/>
        <v>2024-01</v>
      </c>
    </row>
    <row r="1835" spans="1:9" ht="15" customHeight="1" x14ac:dyDescent="0.25">
      <c r="A1835">
        <v>1834</v>
      </c>
      <c r="B1835">
        <v>6</v>
      </c>
      <c r="C1835" t="s">
        <v>26</v>
      </c>
      <c r="D1835">
        <v>480</v>
      </c>
      <c r="E1835">
        <v>149</v>
      </c>
      <c r="F1835" t="s">
        <v>27</v>
      </c>
      <c r="G1835">
        <v>982</v>
      </c>
      <c r="H1835">
        <v>14</v>
      </c>
      <c r="I1835" t="str">
        <f t="shared" si="28"/>
        <v>2024-01</v>
      </c>
    </row>
    <row r="1836" spans="1:9" ht="15" customHeight="1" x14ac:dyDescent="0.25">
      <c r="A1836">
        <v>1835</v>
      </c>
      <c r="B1836">
        <v>6</v>
      </c>
      <c r="C1836" t="s">
        <v>28</v>
      </c>
      <c r="D1836">
        <v>480</v>
      </c>
      <c r="E1836">
        <v>6</v>
      </c>
      <c r="F1836" t="s">
        <v>22</v>
      </c>
      <c r="G1836">
        <v>1381</v>
      </c>
      <c r="H1836">
        <v>22</v>
      </c>
      <c r="I1836" t="str">
        <f t="shared" si="28"/>
        <v>2024-01</v>
      </c>
    </row>
    <row r="1837" spans="1:9" ht="15" customHeight="1" x14ac:dyDescent="0.25">
      <c r="A1837">
        <v>1836</v>
      </c>
      <c r="B1837">
        <v>6</v>
      </c>
      <c r="C1837" t="s">
        <v>30</v>
      </c>
      <c r="D1837">
        <v>480</v>
      </c>
      <c r="E1837">
        <v>82</v>
      </c>
      <c r="F1837" t="s">
        <v>45</v>
      </c>
      <c r="G1837">
        <v>1007</v>
      </c>
      <c r="H1837">
        <v>14</v>
      </c>
      <c r="I1837" t="str">
        <f t="shared" si="28"/>
        <v>2024-01</v>
      </c>
    </row>
    <row r="1838" spans="1:9" ht="15" customHeight="1" x14ac:dyDescent="0.25">
      <c r="A1838">
        <v>1837</v>
      </c>
      <c r="B1838">
        <v>6</v>
      </c>
      <c r="C1838" t="s">
        <v>31</v>
      </c>
      <c r="D1838">
        <v>480</v>
      </c>
      <c r="E1838">
        <v>101</v>
      </c>
      <c r="F1838" t="s">
        <v>22</v>
      </c>
      <c r="G1838">
        <v>1061</v>
      </c>
      <c r="H1838">
        <v>15</v>
      </c>
      <c r="I1838" t="str">
        <f t="shared" si="28"/>
        <v>2024-01</v>
      </c>
    </row>
    <row r="1839" spans="1:9" ht="15" customHeight="1" x14ac:dyDescent="0.25">
      <c r="A1839">
        <v>1838</v>
      </c>
      <c r="B1839">
        <v>6</v>
      </c>
      <c r="C1839" t="s">
        <v>32</v>
      </c>
      <c r="D1839">
        <v>480</v>
      </c>
      <c r="E1839">
        <v>34</v>
      </c>
      <c r="F1839" t="s">
        <v>45</v>
      </c>
      <c r="G1839">
        <v>1236</v>
      </c>
      <c r="H1839">
        <v>8</v>
      </c>
      <c r="I1839" t="str">
        <f t="shared" si="28"/>
        <v>2024-01</v>
      </c>
    </row>
    <row r="1840" spans="1:9" ht="15" customHeight="1" x14ac:dyDescent="0.25">
      <c r="A1840">
        <v>1839</v>
      </c>
      <c r="B1840">
        <v>6</v>
      </c>
      <c r="C1840" t="s">
        <v>34</v>
      </c>
      <c r="D1840">
        <v>480</v>
      </c>
      <c r="E1840">
        <v>57</v>
      </c>
      <c r="F1840" t="s">
        <v>22</v>
      </c>
      <c r="G1840">
        <v>1062</v>
      </c>
      <c r="H1840">
        <v>12</v>
      </c>
      <c r="I1840" t="str">
        <f t="shared" si="28"/>
        <v>2024-01</v>
      </c>
    </row>
    <row r="1841" spans="1:9" ht="15" customHeight="1" x14ac:dyDescent="0.25">
      <c r="A1841">
        <v>1840</v>
      </c>
      <c r="B1841">
        <v>6</v>
      </c>
      <c r="C1841" t="s">
        <v>35</v>
      </c>
      <c r="D1841">
        <v>480</v>
      </c>
      <c r="E1841">
        <v>19</v>
      </c>
      <c r="F1841" t="s">
        <v>24</v>
      </c>
      <c r="G1841">
        <v>1282</v>
      </c>
      <c r="H1841">
        <v>10</v>
      </c>
      <c r="I1841" t="str">
        <f t="shared" si="28"/>
        <v>2024-01</v>
      </c>
    </row>
    <row r="1842" spans="1:9" ht="15" customHeight="1" x14ac:dyDescent="0.25">
      <c r="A1842">
        <v>1841</v>
      </c>
      <c r="B1842">
        <v>6</v>
      </c>
      <c r="C1842" t="s">
        <v>36</v>
      </c>
      <c r="D1842">
        <v>480</v>
      </c>
      <c r="E1842">
        <v>66</v>
      </c>
      <c r="F1842" t="s">
        <v>27</v>
      </c>
      <c r="G1842">
        <v>1211</v>
      </c>
      <c r="H1842">
        <v>10</v>
      </c>
      <c r="I1842" t="str">
        <f t="shared" si="28"/>
        <v>2024-01</v>
      </c>
    </row>
    <row r="1843" spans="1:9" ht="15" customHeight="1" x14ac:dyDescent="0.25">
      <c r="A1843">
        <v>1842</v>
      </c>
      <c r="B1843">
        <v>6</v>
      </c>
      <c r="C1843" t="s">
        <v>37</v>
      </c>
      <c r="D1843">
        <v>480</v>
      </c>
      <c r="E1843">
        <v>6</v>
      </c>
      <c r="F1843" t="s">
        <v>24</v>
      </c>
      <c r="G1843">
        <v>1208</v>
      </c>
      <c r="H1843">
        <v>20</v>
      </c>
      <c r="I1843" t="str">
        <f t="shared" si="28"/>
        <v>2024-01</v>
      </c>
    </row>
    <row r="1844" spans="1:9" ht="15" customHeight="1" x14ac:dyDescent="0.25">
      <c r="A1844">
        <v>1843</v>
      </c>
      <c r="B1844">
        <v>6</v>
      </c>
      <c r="C1844" t="s">
        <v>38</v>
      </c>
      <c r="D1844">
        <v>480</v>
      </c>
      <c r="E1844">
        <v>42</v>
      </c>
      <c r="F1844" t="s">
        <v>24</v>
      </c>
      <c r="G1844">
        <v>1198</v>
      </c>
      <c r="H1844">
        <v>9</v>
      </c>
      <c r="I1844" t="str">
        <f t="shared" si="28"/>
        <v>2024-01</v>
      </c>
    </row>
    <row r="1845" spans="1:9" ht="15" customHeight="1" x14ac:dyDescent="0.25">
      <c r="A1845">
        <v>1844</v>
      </c>
      <c r="B1845">
        <v>6</v>
      </c>
      <c r="C1845" t="s">
        <v>39</v>
      </c>
      <c r="D1845">
        <v>480</v>
      </c>
      <c r="E1845">
        <v>59</v>
      </c>
      <c r="F1845" t="s">
        <v>22</v>
      </c>
      <c r="G1845">
        <v>1249</v>
      </c>
      <c r="H1845">
        <v>20</v>
      </c>
      <c r="I1845" t="str">
        <f t="shared" si="28"/>
        <v>2024-01</v>
      </c>
    </row>
    <row r="1846" spans="1:9" ht="15" customHeight="1" x14ac:dyDescent="0.25">
      <c r="A1846">
        <v>1845</v>
      </c>
      <c r="B1846">
        <v>6</v>
      </c>
      <c r="C1846" t="s">
        <v>40</v>
      </c>
      <c r="D1846">
        <v>480</v>
      </c>
      <c r="E1846">
        <v>55</v>
      </c>
      <c r="F1846" t="s">
        <v>22</v>
      </c>
      <c r="G1846">
        <v>1066</v>
      </c>
      <c r="H1846">
        <v>8</v>
      </c>
      <c r="I1846" t="str">
        <f t="shared" si="28"/>
        <v>2024-01</v>
      </c>
    </row>
    <row r="1847" spans="1:9" ht="15" customHeight="1" x14ac:dyDescent="0.25">
      <c r="A1847">
        <v>1846</v>
      </c>
      <c r="B1847">
        <v>6</v>
      </c>
      <c r="C1847" t="s">
        <v>41</v>
      </c>
      <c r="D1847">
        <v>480</v>
      </c>
      <c r="E1847">
        <v>2</v>
      </c>
      <c r="F1847" t="s">
        <v>33</v>
      </c>
      <c r="G1847">
        <v>1249</v>
      </c>
      <c r="H1847">
        <v>9</v>
      </c>
      <c r="I1847" t="str">
        <f t="shared" si="28"/>
        <v>2024-01</v>
      </c>
    </row>
    <row r="1848" spans="1:9" ht="15" customHeight="1" x14ac:dyDescent="0.25">
      <c r="A1848">
        <v>1847</v>
      </c>
      <c r="B1848">
        <v>6</v>
      </c>
      <c r="C1848" t="s">
        <v>42</v>
      </c>
      <c r="D1848">
        <v>480</v>
      </c>
      <c r="E1848">
        <v>17</v>
      </c>
      <c r="F1848" t="s">
        <v>24</v>
      </c>
      <c r="G1848">
        <v>1244</v>
      </c>
      <c r="H1848">
        <v>22</v>
      </c>
      <c r="I1848" t="str">
        <f t="shared" si="28"/>
        <v>2024-01</v>
      </c>
    </row>
    <row r="1849" spans="1:9" ht="15" customHeight="1" x14ac:dyDescent="0.25">
      <c r="A1849">
        <v>1848</v>
      </c>
      <c r="B1849">
        <v>6</v>
      </c>
      <c r="C1849" t="s">
        <v>43</v>
      </c>
      <c r="D1849">
        <v>480</v>
      </c>
      <c r="E1849">
        <v>53</v>
      </c>
      <c r="F1849" t="s">
        <v>22</v>
      </c>
      <c r="G1849">
        <v>1259</v>
      </c>
      <c r="H1849">
        <v>19</v>
      </c>
      <c r="I1849" t="str">
        <f t="shared" si="28"/>
        <v>2024-01</v>
      </c>
    </row>
    <row r="1850" spans="1:9" ht="15" customHeight="1" x14ac:dyDescent="0.25">
      <c r="A1850">
        <v>1849</v>
      </c>
      <c r="B1850">
        <v>6</v>
      </c>
      <c r="C1850" t="s">
        <v>44</v>
      </c>
      <c r="D1850">
        <v>480</v>
      </c>
      <c r="E1850">
        <v>6</v>
      </c>
      <c r="F1850" t="s">
        <v>29</v>
      </c>
      <c r="G1850">
        <v>1370</v>
      </c>
      <c r="H1850">
        <v>13</v>
      </c>
      <c r="I1850" t="str">
        <f t="shared" si="28"/>
        <v>2024-01</v>
      </c>
    </row>
    <row r="1851" spans="1:9" ht="15" customHeight="1" x14ac:dyDescent="0.25">
      <c r="A1851">
        <v>1850</v>
      </c>
      <c r="B1851">
        <v>6</v>
      </c>
      <c r="C1851" t="s">
        <v>46</v>
      </c>
      <c r="D1851">
        <v>480</v>
      </c>
      <c r="E1851">
        <v>57</v>
      </c>
      <c r="F1851" t="s">
        <v>24</v>
      </c>
      <c r="G1851">
        <v>1126</v>
      </c>
      <c r="H1851">
        <v>21</v>
      </c>
      <c r="I1851" t="str">
        <f t="shared" si="28"/>
        <v>2024-01</v>
      </c>
    </row>
    <row r="1852" spans="1:9" ht="15" customHeight="1" x14ac:dyDescent="0.25">
      <c r="A1852">
        <v>1851</v>
      </c>
      <c r="B1852">
        <v>6</v>
      </c>
      <c r="C1852" t="s">
        <v>47</v>
      </c>
      <c r="D1852">
        <v>480</v>
      </c>
      <c r="E1852">
        <v>17</v>
      </c>
      <c r="F1852" t="s">
        <v>45</v>
      </c>
      <c r="G1852">
        <v>1216</v>
      </c>
      <c r="H1852">
        <v>21</v>
      </c>
      <c r="I1852" t="str">
        <f t="shared" si="28"/>
        <v>2024-01</v>
      </c>
    </row>
    <row r="1853" spans="1:9" ht="15" customHeight="1" x14ac:dyDescent="0.25">
      <c r="A1853">
        <v>1852</v>
      </c>
      <c r="B1853">
        <v>6</v>
      </c>
      <c r="C1853" t="s">
        <v>48</v>
      </c>
      <c r="D1853">
        <v>480</v>
      </c>
      <c r="E1853">
        <v>1</v>
      </c>
      <c r="F1853" t="s">
        <v>22</v>
      </c>
      <c r="G1853">
        <v>1374</v>
      </c>
      <c r="H1853">
        <v>21</v>
      </c>
      <c r="I1853" t="str">
        <f t="shared" si="28"/>
        <v>2024-01</v>
      </c>
    </row>
    <row r="1854" spans="1:9" ht="15" customHeight="1" x14ac:dyDescent="0.25">
      <c r="A1854">
        <v>1853</v>
      </c>
      <c r="B1854">
        <v>6</v>
      </c>
      <c r="C1854" t="s">
        <v>49</v>
      </c>
      <c r="D1854">
        <v>480</v>
      </c>
      <c r="E1854">
        <v>102</v>
      </c>
      <c r="F1854" t="s">
        <v>22</v>
      </c>
      <c r="G1854">
        <v>1145</v>
      </c>
      <c r="H1854">
        <v>21</v>
      </c>
      <c r="I1854" t="str">
        <f t="shared" si="28"/>
        <v>2024-01</v>
      </c>
    </row>
    <row r="1855" spans="1:9" ht="15" customHeight="1" x14ac:dyDescent="0.25">
      <c r="A1855">
        <v>1854</v>
      </c>
      <c r="B1855">
        <v>6</v>
      </c>
      <c r="C1855" t="s">
        <v>50</v>
      </c>
      <c r="D1855">
        <v>480</v>
      </c>
      <c r="E1855">
        <v>3</v>
      </c>
      <c r="F1855" t="s">
        <v>22</v>
      </c>
      <c r="G1855">
        <v>1403</v>
      </c>
      <c r="H1855">
        <v>20</v>
      </c>
      <c r="I1855" t="str">
        <f t="shared" si="28"/>
        <v>2024-01</v>
      </c>
    </row>
    <row r="1856" spans="1:9" ht="15" customHeight="1" x14ac:dyDescent="0.25">
      <c r="A1856">
        <v>1855</v>
      </c>
      <c r="B1856">
        <v>6</v>
      </c>
      <c r="C1856" t="s">
        <v>51</v>
      </c>
      <c r="D1856">
        <v>480</v>
      </c>
      <c r="E1856">
        <v>59</v>
      </c>
      <c r="F1856" t="s">
        <v>45</v>
      </c>
      <c r="G1856">
        <v>1069</v>
      </c>
      <c r="H1856">
        <v>15</v>
      </c>
      <c r="I1856" t="str">
        <f t="shared" si="28"/>
        <v>2024-01</v>
      </c>
    </row>
    <row r="1857" spans="1:9" ht="15" customHeight="1" x14ac:dyDescent="0.25">
      <c r="A1857">
        <v>1856</v>
      </c>
      <c r="B1857">
        <v>6</v>
      </c>
      <c r="C1857" t="s">
        <v>52</v>
      </c>
      <c r="D1857">
        <v>480</v>
      </c>
      <c r="E1857">
        <v>229</v>
      </c>
      <c r="F1857" t="s">
        <v>29</v>
      </c>
      <c r="G1857">
        <v>751</v>
      </c>
      <c r="H1857">
        <v>8</v>
      </c>
      <c r="I1857" t="str">
        <f t="shared" si="28"/>
        <v>2024-01</v>
      </c>
    </row>
    <row r="1858" spans="1:9" ht="15" customHeight="1" x14ac:dyDescent="0.25">
      <c r="A1858">
        <v>1857</v>
      </c>
      <c r="B1858">
        <v>6</v>
      </c>
      <c r="C1858" t="s">
        <v>53</v>
      </c>
      <c r="D1858">
        <v>480</v>
      </c>
      <c r="E1858">
        <v>2</v>
      </c>
      <c r="F1858" t="s">
        <v>27</v>
      </c>
      <c r="G1858">
        <v>1278</v>
      </c>
      <c r="H1858">
        <v>1278</v>
      </c>
      <c r="I1858" t="str">
        <f t="shared" ref="I1858:I1921" si="29">TEXT(C1858,"yyyy-mm")</f>
        <v>2024-01</v>
      </c>
    </row>
    <row r="1859" spans="1:9" ht="15" customHeight="1" x14ac:dyDescent="0.25">
      <c r="A1859">
        <v>1858</v>
      </c>
      <c r="B1859">
        <v>6</v>
      </c>
      <c r="C1859" t="s">
        <v>54</v>
      </c>
      <c r="D1859">
        <v>480</v>
      </c>
      <c r="E1859">
        <v>68</v>
      </c>
      <c r="F1859" t="s">
        <v>29</v>
      </c>
      <c r="G1859">
        <v>1125</v>
      </c>
      <c r="H1859">
        <v>7</v>
      </c>
      <c r="I1859" t="str">
        <f t="shared" si="29"/>
        <v>2024-01</v>
      </c>
    </row>
    <row r="1860" spans="1:9" ht="15" customHeight="1" x14ac:dyDescent="0.25">
      <c r="A1860">
        <v>1859</v>
      </c>
      <c r="B1860">
        <v>6</v>
      </c>
      <c r="C1860" t="s">
        <v>55</v>
      </c>
      <c r="D1860">
        <v>480</v>
      </c>
      <c r="E1860">
        <v>31</v>
      </c>
      <c r="F1860" t="s">
        <v>22</v>
      </c>
      <c r="G1860">
        <v>1228</v>
      </c>
      <c r="H1860">
        <v>22</v>
      </c>
      <c r="I1860" t="str">
        <f t="shared" si="29"/>
        <v>2024-01</v>
      </c>
    </row>
    <row r="1861" spans="1:9" ht="15" customHeight="1" x14ac:dyDescent="0.25">
      <c r="A1861">
        <v>1860</v>
      </c>
      <c r="B1861">
        <v>6</v>
      </c>
      <c r="C1861" t="s">
        <v>56</v>
      </c>
      <c r="D1861">
        <v>480</v>
      </c>
      <c r="E1861">
        <v>58</v>
      </c>
      <c r="F1861" t="s">
        <v>22</v>
      </c>
      <c r="G1861">
        <v>1116</v>
      </c>
      <c r="H1861">
        <v>14</v>
      </c>
      <c r="I1861" t="str">
        <f t="shared" si="29"/>
        <v>2024-01</v>
      </c>
    </row>
    <row r="1862" spans="1:9" ht="15" customHeight="1" x14ac:dyDescent="0.25">
      <c r="A1862">
        <v>1861</v>
      </c>
      <c r="B1862">
        <v>6</v>
      </c>
      <c r="C1862" t="s">
        <v>57</v>
      </c>
      <c r="D1862">
        <v>480</v>
      </c>
      <c r="E1862">
        <v>3</v>
      </c>
      <c r="F1862" t="s">
        <v>22</v>
      </c>
      <c r="G1862">
        <v>1444</v>
      </c>
      <c r="H1862">
        <v>15</v>
      </c>
      <c r="I1862" t="str">
        <f t="shared" si="29"/>
        <v>2024-01</v>
      </c>
    </row>
    <row r="1863" spans="1:9" ht="15" customHeight="1" x14ac:dyDescent="0.25">
      <c r="A1863">
        <v>1862</v>
      </c>
      <c r="B1863">
        <v>6</v>
      </c>
      <c r="C1863" t="s">
        <v>58</v>
      </c>
      <c r="D1863">
        <v>480</v>
      </c>
      <c r="E1863">
        <v>36</v>
      </c>
      <c r="F1863" t="s">
        <v>24</v>
      </c>
      <c r="G1863">
        <v>1185</v>
      </c>
      <c r="H1863">
        <v>17</v>
      </c>
      <c r="I1863" t="str">
        <f t="shared" si="29"/>
        <v>2024-02</v>
      </c>
    </row>
    <row r="1864" spans="1:9" ht="15" customHeight="1" x14ac:dyDescent="0.25">
      <c r="A1864">
        <v>1863</v>
      </c>
      <c r="B1864">
        <v>6</v>
      </c>
      <c r="C1864" t="s">
        <v>59</v>
      </c>
      <c r="D1864">
        <v>480</v>
      </c>
      <c r="E1864">
        <v>61</v>
      </c>
      <c r="F1864" t="s">
        <v>29</v>
      </c>
      <c r="G1864">
        <v>1206</v>
      </c>
      <c r="H1864">
        <v>11</v>
      </c>
      <c r="I1864" t="str">
        <f t="shared" si="29"/>
        <v>2024-02</v>
      </c>
    </row>
    <row r="1865" spans="1:9" ht="15" customHeight="1" x14ac:dyDescent="0.25">
      <c r="A1865">
        <v>1864</v>
      </c>
      <c r="B1865">
        <v>6</v>
      </c>
      <c r="C1865" t="s">
        <v>60</v>
      </c>
      <c r="D1865">
        <v>480</v>
      </c>
      <c r="E1865">
        <v>21</v>
      </c>
      <c r="F1865" t="s">
        <v>45</v>
      </c>
      <c r="G1865">
        <v>1164</v>
      </c>
      <c r="H1865">
        <v>16</v>
      </c>
      <c r="I1865" t="str">
        <f t="shared" si="29"/>
        <v>2024-02</v>
      </c>
    </row>
    <row r="1866" spans="1:9" ht="15" customHeight="1" x14ac:dyDescent="0.25">
      <c r="A1866">
        <v>1865</v>
      </c>
      <c r="B1866">
        <v>6</v>
      </c>
      <c r="C1866" t="s">
        <v>61</v>
      </c>
      <c r="D1866">
        <v>480</v>
      </c>
      <c r="E1866">
        <v>2</v>
      </c>
      <c r="F1866" t="s">
        <v>45</v>
      </c>
      <c r="G1866">
        <v>1343</v>
      </c>
      <c r="H1866">
        <v>23</v>
      </c>
      <c r="I1866" t="str">
        <f t="shared" si="29"/>
        <v>2024-02</v>
      </c>
    </row>
    <row r="1867" spans="1:9" ht="15" customHeight="1" x14ac:dyDescent="0.25">
      <c r="A1867">
        <v>1866</v>
      </c>
      <c r="B1867">
        <v>6</v>
      </c>
      <c r="C1867" t="s">
        <v>62</v>
      </c>
      <c r="D1867">
        <v>480</v>
      </c>
      <c r="E1867">
        <v>125</v>
      </c>
      <c r="F1867" t="s">
        <v>45</v>
      </c>
      <c r="G1867">
        <v>967</v>
      </c>
      <c r="H1867">
        <v>11</v>
      </c>
      <c r="I1867" t="str">
        <f t="shared" si="29"/>
        <v>2024-02</v>
      </c>
    </row>
    <row r="1868" spans="1:9" ht="15" customHeight="1" x14ac:dyDescent="0.25">
      <c r="A1868">
        <v>1867</v>
      </c>
      <c r="B1868">
        <v>6</v>
      </c>
      <c r="C1868" t="s">
        <v>63</v>
      </c>
      <c r="D1868">
        <v>480</v>
      </c>
      <c r="E1868">
        <v>4</v>
      </c>
      <c r="F1868" t="s">
        <v>29</v>
      </c>
      <c r="G1868">
        <v>1358</v>
      </c>
      <c r="H1868">
        <v>22</v>
      </c>
      <c r="I1868" t="str">
        <f t="shared" si="29"/>
        <v>2024-02</v>
      </c>
    </row>
    <row r="1869" spans="1:9" ht="15" customHeight="1" x14ac:dyDescent="0.25">
      <c r="A1869">
        <v>1868</v>
      </c>
      <c r="B1869">
        <v>6</v>
      </c>
      <c r="C1869" t="s">
        <v>64</v>
      </c>
      <c r="D1869">
        <v>480</v>
      </c>
      <c r="E1869">
        <v>15</v>
      </c>
      <c r="F1869" t="s">
        <v>45</v>
      </c>
      <c r="G1869">
        <v>1259</v>
      </c>
      <c r="H1869">
        <v>21</v>
      </c>
      <c r="I1869" t="str">
        <f t="shared" si="29"/>
        <v>2024-02</v>
      </c>
    </row>
    <row r="1870" spans="1:9" ht="15" customHeight="1" x14ac:dyDescent="0.25">
      <c r="A1870">
        <v>1869</v>
      </c>
      <c r="B1870">
        <v>6</v>
      </c>
      <c r="C1870" t="s">
        <v>65</v>
      </c>
      <c r="D1870">
        <v>480</v>
      </c>
      <c r="E1870">
        <v>118</v>
      </c>
      <c r="F1870" t="s">
        <v>22</v>
      </c>
      <c r="G1870">
        <v>943</v>
      </c>
      <c r="H1870">
        <v>12</v>
      </c>
      <c r="I1870" t="str">
        <f t="shared" si="29"/>
        <v>2024-02</v>
      </c>
    </row>
    <row r="1871" spans="1:9" ht="15" customHeight="1" x14ac:dyDescent="0.25">
      <c r="A1871">
        <v>1870</v>
      </c>
      <c r="B1871">
        <v>6</v>
      </c>
      <c r="C1871" t="s">
        <v>66</v>
      </c>
      <c r="D1871">
        <v>480</v>
      </c>
      <c r="E1871">
        <v>12</v>
      </c>
      <c r="F1871" t="s">
        <v>22</v>
      </c>
      <c r="G1871">
        <v>1181</v>
      </c>
      <c r="H1871">
        <v>20</v>
      </c>
      <c r="I1871" t="str">
        <f t="shared" si="29"/>
        <v>2024-02</v>
      </c>
    </row>
    <row r="1872" spans="1:9" ht="15" customHeight="1" x14ac:dyDescent="0.25">
      <c r="A1872">
        <v>1871</v>
      </c>
      <c r="B1872">
        <v>6</v>
      </c>
      <c r="C1872" t="s">
        <v>67</v>
      </c>
      <c r="D1872">
        <v>480</v>
      </c>
      <c r="E1872">
        <v>97</v>
      </c>
      <c r="F1872" t="s">
        <v>33</v>
      </c>
      <c r="G1872">
        <v>1112</v>
      </c>
      <c r="H1872">
        <v>7</v>
      </c>
      <c r="I1872" t="str">
        <f t="shared" si="29"/>
        <v>2024-02</v>
      </c>
    </row>
    <row r="1873" spans="1:9" ht="15" customHeight="1" x14ac:dyDescent="0.25">
      <c r="A1873">
        <v>1872</v>
      </c>
      <c r="B1873">
        <v>6</v>
      </c>
      <c r="C1873" t="s">
        <v>68</v>
      </c>
      <c r="D1873">
        <v>480</v>
      </c>
      <c r="E1873">
        <v>105</v>
      </c>
      <c r="F1873" t="s">
        <v>27</v>
      </c>
      <c r="G1873">
        <v>1019</v>
      </c>
      <c r="H1873">
        <v>10</v>
      </c>
      <c r="I1873" t="str">
        <f t="shared" si="29"/>
        <v>2024-02</v>
      </c>
    </row>
    <row r="1874" spans="1:9" ht="15" customHeight="1" x14ac:dyDescent="0.25">
      <c r="A1874">
        <v>1873</v>
      </c>
      <c r="B1874">
        <v>6</v>
      </c>
      <c r="C1874" t="s">
        <v>69</v>
      </c>
      <c r="D1874">
        <v>480</v>
      </c>
      <c r="E1874">
        <v>44</v>
      </c>
      <c r="F1874" t="s">
        <v>22</v>
      </c>
      <c r="G1874">
        <v>1097</v>
      </c>
      <c r="H1874">
        <v>17</v>
      </c>
      <c r="I1874" t="str">
        <f t="shared" si="29"/>
        <v>2024-02</v>
      </c>
    </row>
    <row r="1875" spans="1:9" ht="15" customHeight="1" x14ac:dyDescent="0.25">
      <c r="A1875">
        <v>1874</v>
      </c>
      <c r="B1875">
        <v>6</v>
      </c>
      <c r="C1875" t="s">
        <v>70</v>
      </c>
      <c r="D1875">
        <v>480</v>
      </c>
      <c r="E1875">
        <v>49</v>
      </c>
      <c r="F1875" t="s">
        <v>29</v>
      </c>
      <c r="G1875">
        <v>1109</v>
      </c>
      <c r="H1875">
        <v>9</v>
      </c>
      <c r="I1875" t="str">
        <f t="shared" si="29"/>
        <v>2024-02</v>
      </c>
    </row>
    <row r="1876" spans="1:9" ht="15" customHeight="1" x14ac:dyDescent="0.25">
      <c r="A1876">
        <v>1875</v>
      </c>
      <c r="B1876">
        <v>6</v>
      </c>
      <c r="C1876" t="s">
        <v>71</v>
      </c>
      <c r="D1876">
        <v>480</v>
      </c>
      <c r="E1876">
        <v>11</v>
      </c>
      <c r="F1876" t="s">
        <v>24</v>
      </c>
      <c r="G1876">
        <v>1171</v>
      </c>
      <c r="H1876">
        <v>15</v>
      </c>
      <c r="I1876" t="str">
        <f t="shared" si="29"/>
        <v>2024-02</v>
      </c>
    </row>
    <row r="1877" spans="1:9" ht="15" customHeight="1" x14ac:dyDescent="0.25">
      <c r="A1877">
        <v>1876</v>
      </c>
      <c r="B1877">
        <v>6</v>
      </c>
      <c r="C1877" t="s">
        <v>72</v>
      </c>
      <c r="D1877">
        <v>480</v>
      </c>
      <c r="E1877">
        <v>104</v>
      </c>
      <c r="F1877" t="s">
        <v>29</v>
      </c>
      <c r="G1877">
        <v>930</v>
      </c>
      <c r="H1877">
        <v>6</v>
      </c>
      <c r="I1877" t="str">
        <f t="shared" si="29"/>
        <v>2024-02</v>
      </c>
    </row>
    <row r="1878" spans="1:9" ht="15" customHeight="1" x14ac:dyDescent="0.25">
      <c r="A1878">
        <v>1877</v>
      </c>
      <c r="B1878">
        <v>6</v>
      </c>
      <c r="C1878" t="s">
        <v>73</v>
      </c>
      <c r="D1878">
        <v>480</v>
      </c>
      <c r="E1878">
        <v>48</v>
      </c>
      <c r="F1878" t="s">
        <v>33</v>
      </c>
      <c r="G1878">
        <v>1270</v>
      </c>
      <c r="H1878">
        <v>13</v>
      </c>
      <c r="I1878" t="str">
        <f t="shared" si="29"/>
        <v>2024-02</v>
      </c>
    </row>
    <row r="1879" spans="1:9" ht="15" customHeight="1" x14ac:dyDescent="0.25">
      <c r="A1879">
        <v>1878</v>
      </c>
      <c r="B1879">
        <v>6</v>
      </c>
      <c r="C1879" t="s">
        <v>74</v>
      </c>
      <c r="D1879">
        <v>480</v>
      </c>
      <c r="E1879">
        <v>24</v>
      </c>
      <c r="F1879" t="s">
        <v>27</v>
      </c>
      <c r="G1879">
        <v>1281</v>
      </c>
      <c r="H1879">
        <v>12</v>
      </c>
      <c r="I1879" t="str">
        <f t="shared" si="29"/>
        <v>2024-02</v>
      </c>
    </row>
    <row r="1880" spans="1:9" ht="15" customHeight="1" x14ac:dyDescent="0.25">
      <c r="A1880">
        <v>1879</v>
      </c>
      <c r="B1880">
        <v>6</v>
      </c>
      <c r="C1880" t="s">
        <v>75</v>
      </c>
      <c r="D1880">
        <v>480</v>
      </c>
      <c r="E1880">
        <v>1</v>
      </c>
      <c r="F1880" t="s">
        <v>29</v>
      </c>
      <c r="G1880">
        <v>1384</v>
      </c>
      <c r="H1880">
        <v>19</v>
      </c>
      <c r="I1880" t="str">
        <f t="shared" si="29"/>
        <v>2024-02</v>
      </c>
    </row>
    <row r="1881" spans="1:9" ht="15" customHeight="1" x14ac:dyDescent="0.25">
      <c r="A1881">
        <v>1880</v>
      </c>
      <c r="B1881">
        <v>6</v>
      </c>
      <c r="C1881" t="s">
        <v>76</v>
      </c>
      <c r="D1881">
        <v>480</v>
      </c>
      <c r="E1881">
        <v>49</v>
      </c>
      <c r="F1881" t="s">
        <v>22</v>
      </c>
      <c r="G1881">
        <v>1247</v>
      </c>
      <c r="H1881">
        <v>18</v>
      </c>
      <c r="I1881" t="str">
        <f t="shared" si="29"/>
        <v>2024-02</v>
      </c>
    </row>
    <row r="1882" spans="1:9" ht="15" customHeight="1" x14ac:dyDescent="0.25">
      <c r="A1882">
        <v>1881</v>
      </c>
      <c r="B1882">
        <v>6</v>
      </c>
      <c r="C1882" t="s">
        <v>77</v>
      </c>
      <c r="D1882">
        <v>480</v>
      </c>
      <c r="E1882">
        <v>13</v>
      </c>
      <c r="F1882" t="s">
        <v>45</v>
      </c>
      <c r="G1882">
        <v>1246</v>
      </c>
      <c r="H1882">
        <v>9</v>
      </c>
      <c r="I1882" t="str">
        <f t="shared" si="29"/>
        <v>2024-02</v>
      </c>
    </row>
    <row r="1883" spans="1:9" ht="15" customHeight="1" x14ac:dyDescent="0.25">
      <c r="A1883">
        <v>1882</v>
      </c>
      <c r="B1883">
        <v>6</v>
      </c>
      <c r="C1883" t="s">
        <v>78</v>
      </c>
      <c r="D1883">
        <v>480</v>
      </c>
      <c r="E1883">
        <v>7</v>
      </c>
      <c r="F1883" t="s">
        <v>27</v>
      </c>
      <c r="G1883">
        <v>1351</v>
      </c>
      <c r="H1883">
        <v>23</v>
      </c>
      <c r="I1883" t="str">
        <f t="shared" si="29"/>
        <v>2024-02</v>
      </c>
    </row>
    <row r="1884" spans="1:9" ht="15" customHeight="1" x14ac:dyDescent="0.25">
      <c r="A1884">
        <v>1883</v>
      </c>
      <c r="B1884">
        <v>6</v>
      </c>
      <c r="C1884" t="s">
        <v>79</v>
      </c>
      <c r="D1884">
        <v>480</v>
      </c>
      <c r="E1884">
        <v>186</v>
      </c>
      <c r="F1884" t="s">
        <v>24</v>
      </c>
      <c r="G1884">
        <v>831</v>
      </c>
      <c r="H1884">
        <v>7</v>
      </c>
      <c r="I1884" t="str">
        <f t="shared" si="29"/>
        <v>2024-02</v>
      </c>
    </row>
    <row r="1885" spans="1:9" ht="15" customHeight="1" x14ac:dyDescent="0.25">
      <c r="A1885">
        <v>1884</v>
      </c>
      <c r="B1885">
        <v>6</v>
      </c>
      <c r="C1885" t="s">
        <v>80</v>
      </c>
      <c r="D1885">
        <v>480</v>
      </c>
      <c r="E1885">
        <v>6</v>
      </c>
      <c r="F1885" t="s">
        <v>45</v>
      </c>
      <c r="G1885">
        <v>1391</v>
      </c>
      <c r="H1885">
        <v>18</v>
      </c>
      <c r="I1885" t="str">
        <f t="shared" si="29"/>
        <v>2024-02</v>
      </c>
    </row>
    <row r="1886" spans="1:9" ht="15" customHeight="1" x14ac:dyDescent="0.25">
      <c r="A1886">
        <v>1885</v>
      </c>
      <c r="B1886">
        <v>6</v>
      </c>
      <c r="C1886" t="s">
        <v>81</v>
      </c>
      <c r="D1886">
        <v>480</v>
      </c>
      <c r="E1886">
        <v>54</v>
      </c>
      <c r="F1886" t="s">
        <v>27</v>
      </c>
      <c r="G1886">
        <v>1243</v>
      </c>
      <c r="H1886">
        <v>18</v>
      </c>
      <c r="I1886" t="str">
        <f t="shared" si="29"/>
        <v>2024-02</v>
      </c>
    </row>
    <row r="1887" spans="1:9" ht="15" customHeight="1" x14ac:dyDescent="0.25">
      <c r="A1887">
        <v>1886</v>
      </c>
      <c r="B1887">
        <v>6</v>
      </c>
      <c r="C1887" t="s">
        <v>82</v>
      </c>
      <c r="D1887">
        <v>480</v>
      </c>
      <c r="E1887">
        <v>102</v>
      </c>
      <c r="F1887" t="s">
        <v>22</v>
      </c>
      <c r="G1887">
        <v>944</v>
      </c>
      <c r="H1887">
        <v>14</v>
      </c>
      <c r="I1887" t="str">
        <f t="shared" si="29"/>
        <v>2024-02</v>
      </c>
    </row>
    <row r="1888" spans="1:9" ht="15" customHeight="1" x14ac:dyDescent="0.25">
      <c r="A1888">
        <v>1887</v>
      </c>
      <c r="B1888">
        <v>6</v>
      </c>
      <c r="C1888" t="s">
        <v>83</v>
      </c>
      <c r="D1888">
        <v>480</v>
      </c>
      <c r="E1888">
        <v>107</v>
      </c>
      <c r="F1888" t="s">
        <v>22</v>
      </c>
      <c r="G1888">
        <v>981</v>
      </c>
      <c r="H1888">
        <v>14</v>
      </c>
      <c r="I1888" t="str">
        <f t="shared" si="29"/>
        <v>2024-02</v>
      </c>
    </row>
    <row r="1889" spans="1:9" ht="15" customHeight="1" x14ac:dyDescent="0.25">
      <c r="A1889">
        <v>1888</v>
      </c>
      <c r="B1889">
        <v>6</v>
      </c>
      <c r="C1889" t="s">
        <v>84</v>
      </c>
      <c r="D1889">
        <v>480</v>
      </c>
      <c r="E1889">
        <v>21</v>
      </c>
      <c r="F1889" t="s">
        <v>22</v>
      </c>
      <c r="G1889">
        <v>1386</v>
      </c>
      <c r="H1889">
        <v>9</v>
      </c>
      <c r="I1889" t="str">
        <f t="shared" si="29"/>
        <v>2024-02</v>
      </c>
    </row>
    <row r="1890" spans="1:9" ht="15" customHeight="1" x14ac:dyDescent="0.25">
      <c r="A1890">
        <v>1889</v>
      </c>
      <c r="B1890">
        <v>6</v>
      </c>
      <c r="C1890" t="s">
        <v>85</v>
      </c>
      <c r="D1890">
        <v>480</v>
      </c>
      <c r="E1890">
        <v>49</v>
      </c>
      <c r="F1890" t="s">
        <v>27</v>
      </c>
      <c r="G1890">
        <v>1104</v>
      </c>
      <c r="H1890">
        <v>16</v>
      </c>
      <c r="I1890" t="str">
        <f t="shared" si="29"/>
        <v>2024-02</v>
      </c>
    </row>
    <row r="1891" spans="1:9" ht="15" customHeight="1" x14ac:dyDescent="0.25">
      <c r="A1891">
        <v>1890</v>
      </c>
      <c r="B1891">
        <v>6</v>
      </c>
      <c r="C1891" t="s">
        <v>86</v>
      </c>
      <c r="D1891">
        <v>480</v>
      </c>
      <c r="E1891">
        <v>10</v>
      </c>
      <c r="F1891" t="s">
        <v>29</v>
      </c>
      <c r="G1891">
        <v>1222</v>
      </c>
      <c r="H1891">
        <v>15</v>
      </c>
      <c r="I1891" t="str">
        <f t="shared" si="29"/>
        <v>2024-02</v>
      </c>
    </row>
    <row r="1892" spans="1:9" ht="15" customHeight="1" x14ac:dyDescent="0.25">
      <c r="A1892">
        <v>1891</v>
      </c>
      <c r="B1892">
        <v>6</v>
      </c>
      <c r="C1892" t="s">
        <v>87</v>
      </c>
      <c r="D1892">
        <v>480</v>
      </c>
      <c r="E1892">
        <v>139</v>
      </c>
      <c r="F1892" t="s">
        <v>22</v>
      </c>
      <c r="G1892">
        <v>882</v>
      </c>
      <c r="H1892">
        <v>7</v>
      </c>
      <c r="I1892" t="str">
        <f t="shared" si="29"/>
        <v>2024-03</v>
      </c>
    </row>
    <row r="1893" spans="1:9" ht="15" customHeight="1" x14ac:dyDescent="0.25">
      <c r="A1893">
        <v>1892</v>
      </c>
      <c r="B1893">
        <v>6</v>
      </c>
      <c r="C1893" t="s">
        <v>88</v>
      </c>
      <c r="D1893">
        <v>480</v>
      </c>
      <c r="E1893">
        <v>80</v>
      </c>
      <c r="F1893" t="s">
        <v>45</v>
      </c>
      <c r="G1893">
        <v>1102</v>
      </c>
      <c r="H1893">
        <v>19</v>
      </c>
      <c r="I1893" t="str">
        <f t="shared" si="29"/>
        <v>2024-03</v>
      </c>
    </row>
    <row r="1894" spans="1:9" ht="15" customHeight="1" x14ac:dyDescent="0.25">
      <c r="A1894">
        <v>1893</v>
      </c>
      <c r="B1894">
        <v>6</v>
      </c>
      <c r="C1894" t="s">
        <v>89</v>
      </c>
      <c r="D1894">
        <v>480</v>
      </c>
      <c r="E1894">
        <v>8</v>
      </c>
      <c r="F1894" t="s">
        <v>29</v>
      </c>
      <c r="G1894">
        <v>1340</v>
      </c>
      <c r="H1894">
        <v>12</v>
      </c>
      <c r="I1894" t="str">
        <f t="shared" si="29"/>
        <v>2024-03</v>
      </c>
    </row>
    <row r="1895" spans="1:9" ht="15" customHeight="1" x14ac:dyDescent="0.25">
      <c r="A1895">
        <v>1894</v>
      </c>
      <c r="B1895">
        <v>6</v>
      </c>
      <c r="C1895" t="s">
        <v>90</v>
      </c>
      <c r="D1895">
        <v>480</v>
      </c>
      <c r="E1895">
        <v>9</v>
      </c>
      <c r="F1895" t="s">
        <v>29</v>
      </c>
      <c r="G1895">
        <v>1347</v>
      </c>
      <c r="H1895">
        <v>18</v>
      </c>
      <c r="I1895" t="str">
        <f t="shared" si="29"/>
        <v>2024-03</v>
      </c>
    </row>
    <row r="1896" spans="1:9" ht="15" customHeight="1" x14ac:dyDescent="0.25">
      <c r="A1896">
        <v>1895</v>
      </c>
      <c r="B1896">
        <v>6</v>
      </c>
      <c r="C1896" t="s">
        <v>91</v>
      </c>
      <c r="D1896">
        <v>480</v>
      </c>
      <c r="E1896">
        <v>79</v>
      </c>
      <c r="F1896" t="s">
        <v>22</v>
      </c>
      <c r="G1896">
        <v>1060</v>
      </c>
      <c r="H1896">
        <v>12</v>
      </c>
      <c r="I1896" t="str">
        <f t="shared" si="29"/>
        <v>2024-03</v>
      </c>
    </row>
    <row r="1897" spans="1:9" ht="15" customHeight="1" x14ac:dyDescent="0.25">
      <c r="A1897">
        <v>1896</v>
      </c>
      <c r="B1897">
        <v>6</v>
      </c>
      <c r="C1897" t="s">
        <v>92</v>
      </c>
      <c r="D1897">
        <v>480</v>
      </c>
      <c r="E1897">
        <v>29</v>
      </c>
      <c r="F1897" t="s">
        <v>27</v>
      </c>
      <c r="G1897">
        <v>1369</v>
      </c>
      <c r="H1897">
        <v>13</v>
      </c>
      <c r="I1897" t="str">
        <f t="shared" si="29"/>
        <v>2024-03</v>
      </c>
    </row>
    <row r="1898" spans="1:9" ht="15" customHeight="1" x14ac:dyDescent="0.25">
      <c r="A1898">
        <v>1897</v>
      </c>
      <c r="B1898">
        <v>6</v>
      </c>
      <c r="C1898" t="s">
        <v>93</v>
      </c>
      <c r="D1898">
        <v>480</v>
      </c>
      <c r="E1898">
        <v>19</v>
      </c>
      <c r="F1898" t="s">
        <v>27</v>
      </c>
      <c r="G1898">
        <v>1231</v>
      </c>
      <c r="H1898">
        <v>16</v>
      </c>
      <c r="I1898" t="str">
        <f t="shared" si="29"/>
        <v>2024-03</v>
      </c>
    </row>
    <row r="1899" spans="1:9" ht="15" customHeight="1" x14ac:dyDescent="0.25">
      <c r="A1899">
        <v>1898</v>
      </c>
      <c r="B1899">
        <v>6</v>
      </c>
      <c r="C1899" t="s">
        <v>94</v>
      </c>
      <c r="D1899">
        <v>480</v>
      </c>
      <c r="E1899">
        <v>16</v>
      </c>
      <c r="F1899" t="s">
        <v>27</v>
      </c>
      <c r="G1899">
        <v>1390</v>
      </c>
      <c r="H1899">
        <v>13</v>
      </c>
      <c r="I1899" t="str">
        <f t="shared" si="29"/>
        <v>2024-03</v>
      </c>
    </row>
    <row r="1900" spans="1:9" ht="15" customHeight="1" x14ac:dyDescent="0.25">
      <c r="A1900">
        <v>1899</v>
      </c>
      <c r="B1900">
        <v>6</v>
      </c>
      <c r="C1900" t="s">
        <v>95</v>
      </c>
      <c r="D1900">
        <v>480</v>
      </c>
      <c r="E1900">
        <v>128</v>
      </c>
      <c r="F1900" t="s">
        <v>29</v>
      </c>
      <c r="G1900">
        <v>888</v>
      </c>
      <c r="H1900">
        <v>12</v>
      </c>
      <c r="I1900" t="str">
        <f t="shared" si="29"/>
        <v>2024-03</v>
      </c>
    </row>
    <row r="1901" spans="1:9" ht="15" customHeight="1" x14ac:dyDescent="0.25">
      <c r="A1901">
        <v>1900</v>
      </c>
      <c r="B1901">
        <v>6</v>
      </c>
      <c r="C1901" t="s">
        <v>96</v>
      </c>
      <c r="D1901">
        <v>480</v>
      </c>
      <c r="E1901">
        <v>134</v>
      </c>
      <c r="F1901" t="s">
        <v>27</v>
      </c>
      <c r="G1901">
        <v>886</v>
      </c>
      <c r="H1901">
        <v>16</v>
      </c>
      <c r="I1901" t="str">
        <f t="shared" si="29"/>
        <v>2024-03</v>
      </c>
    </row>
    <row r="1902" spans="1:9" ht="15" customHeight="1" x14ac:dyDescent="0.25">
      <c r="A1902">
        <v>1901</v>
      </c>
      <c r="B1902">
        <v>6</v>
      </c>
      <c r="C1902" t="s">
        <v>97</v>
      </c>
      <c r="D1902">
        <v>480</v>
      </c>
      <c r="E1902">
        <v>34</v>
      </c>
      <c r="F1902" t="s">
        <v>45</v>
      </c>
      <c r="G1902">
        <v>1344</v>
      </c>
      <c r="H1902">
        <v>19</v>
      </c>
      <c r="I1902" t="str">
        <f t="shared" si="29"/>
        <v>2024-03</v>
      </c>
    </row>
    <row r="1903" spans="1:9" ht="15" customHeight="1" x14ac:dyDescent="0.25">
      <c r="A1903">
        <v>1902</v>
      </c>
      <c r="B1903">
        <v>6</v>
      </c>
      <c r="C1903" t="s">
        <v>98</v>
      </c>
      <c r="D1903">
        <v>480</v>
      </c>
      <c r="E1903">
        <v>20</v>
      </c>
      <c r="F1903" t="s">
        <v>33</v>
      </c>
      <c r="G1903">
        <v>1184</v>
      </c>
      <c r="H1903">
        <v>11</v>
      </c>
      <c r="I1903" t="str">
        <f t="shared" si="29"/>
        <v>2024-03</v>
      </c>
    </row>
    <row r="1904" spans="1:9" ht="15" customHeight="1" x14ac:dyDescent="0.25">
      <c r="A1904">
        <v>1903</v>
      </c>
      <c r="B1904">
        <v>6</v>
      </c>
      <c r="C1904" t="s">
        <v>99</v>
      </c>
      <c r="D1904">
        <v>480</v>
      </c>
      <c r="E1904">
        <v>5</v>
      </c>
      <c r="F1904" t="s">
        <v>33</v>
      </c>
      <c r="G1904">
        <v>1210</v>
      </c>
      <c r="H1904">
        <v>9</v>
      </c>
      <c r="I1904" t="str">
        <f t="shared" si="29"/>
        <v>2024-03</v>
      </c>
    </row>
    <row r="1905" spans="1:9" ht="15" customHeight="1" x14ac:dyDescent="0.25">
      <c r="A1905">
        <v>1904</v>
      </c>
      <c r="B1905">
        <v>6</v>
      </c>
      <c r="C1905" t="s">
        <v>100</v>
      </c>
      <c r="D1905">
        <v>480</v>
      </c>
      <c r="E1905">
        <v>31</v>
      </c>
      <c r="F1905" t="s">
        <v>27</v>
      </c>
      <c r="G1905">
        <v>1313</v>
      </c>
      <c r="H1905">
        <v>10</v>
      </c>
      <c r="I1905" t="str">
        <f t="shared" si="29"/>
        <v>2024-03</v>
      </c>
    </row>
    <row r="1906" spans="1:9" ht="15" customHeight="1" x14ac:dyDescent="0.25">
      <c r="A1906">
        <v>1905</v>
      </c>
      <c r="B1906">
        <v>6</v>
      </c>
      <c r="C1906" t="s">
        <v>101</v>
      </c>
      <c r="D1906">
        <v>480</v>
      </c>
      <c r="E1906">
        <v>7</v>
      </c>
      <c r="F1906" t="s">
        <v>24</v>
      </c>
      <c r="G1906">
        <v>1342</v>
      </c>
      <c r="H1906">
        <v>11</v>
      </c>
      <c r="I1906" t="str">
        <f t="shared" si="29"/>
        <v>2024-03</v>
      </c>
    </row>
    <row r="1907" spans="1:9" ht="15" customHeight="1" x14ac:dyDescent="0.25">
      <c r="A1907">
        <v>1906</v>
      </c>
      <c r="B1907">
        <v>6</v>
      </c>
      <c r="C1907" t="s">
        <v>102</v>
      </c>
      <c r="D1907">
        <v>480</v>
      </c>
      <c r="E1907">
        <v>5</v>
      </c>
      <c r="F1907" t="s">
        <v>22</v>
      </c>
      <c r="G1907">
        <v>1216</v>
      </c>
      <c r="H1907">
        <v>21</v>
      </c>
      <c r="I1907" t="str">
        <f t="shared" si="29"/>
        <v>2024-03</v>
      </c>
    </row>
    <row r="1908" spans="1:9" ht="15" customHeight="1" x14ac:dyDescent="0.25">
      <c r="A1908">
        <v>1907</v>
      </c>
      <c r="B1908">
        <v>6</v>
      </c>
      <c r="C1908" t="s">
        <v>103</v>
      </c>
      <c r="D1908">
        <v>480</v>
      </c>
      <c r="E1908">
        <v>97</v>
      </c>
      <c r="F1908" t="s">
        <v>24</v>
      </c>
      <c r="G1908">
        <v>1022</v>
      </c>
      <c r="H1908">
        <v>14</v>
      </c>
      <c r="I1908" t="str">
        <f t="shared" si="29"/>
        <v>2024-03</v>
      </c>
    </row>
    <row r="1909" spans="1:9" ht="15" customHeight="1" x14ac:dyDescent="0.25">
      <c r="A1909">
        <v>1908</v>
      </c>
      <c r="B1909">
        <v>6</v>
      </c>
      <c r="C1909" t="s">
        <v>104</v>
      </c>
      <c r="D1909">
        <v>480</v>
      </c>
      <c r="E1909">
        <v>43</v>
      </c>
      <c r="F1909" t="s">
        <v>24</v>
      </c>
      <c r="G1909">
        <v>1248</v>
      </c>
      <c r="H1909">
        <v>18</v>
      </c>
      <c r="I1909" t="str">
        <f t="shared" si="29"/>
        <v>2024-03</v>
      </c>
    </row>
    <row r="1910" spans="1:9" ht="15" customHeight="1" x14ac:dyDescent="0.25">
      <c r="A1910">
        <v>1909</v>
      </c>
      <c r="B1910">
        <v>6</v>
      </c>
      <c r="C1910" t="s">
        <v>105</v>
      </c>
      <c r="D1910">
        <v>480</v>
      </c>
      <c r="E1910">
        <v>56</v>
      </c>
      <c r="F1910" t="s">
        <v>22</v>
      </c>
      <c r="G1910">
        <v>1110</v>
      </c>
      <c r="H1910">
        <v>7</v>
      </c>
      <c r="I1910" t="str">
        <f t="shared" si="29"/>
        <v>2024-03</v>
      </c>
    </row>
    <row r="1911" spans="1:9" ht="15" customHeight="1" x14ac:dyDescent="0.25">
      <c r="A1911">
        <v>1910</v>
      </c>
      <c r="B1911">
        <v>6</v>
      </c>
      <c r="C1911" t="s">
        <v>106</v>
      </c>
      <c r="D1911">
        <v>480</v>
      </c>
      <c r="E1911">
        <v>34</v>
      </c>
      <c r="F1911" t="s">
        <v>22</v>
      </c>
      <c r="G1911">
        <v>1329</v>
      </c>
      <c r="H1911">
        <v>1329</v>
      </c>
      <c r="I1911" t="str">
        <f t="shared" si="29"/>
        <v>2024-03</v>
      </c>
    </row>
    <row r="1912" spans="1:9" ht="15" customHeight="1" x14ac:dyDescent="0.25">
      <c r="A1912">
        <v>1911</v>
      </c>
      <c r="B1912">
        <v>6</v>
      </c>
      <c r="C1912" t="s">
        <v>107</v>
      </c>
      <c r="D1912">
        <v>480</v>
      </c>
      <c r="E1912">
        <v>101</v>
      </c>
      <c r="F1912" t="s">
        <v>45</v>
      </c>
      <c r="G1912">
        <v>1152</v>
      </c>
      <c r="H1912">
        <v>9</v>
      </c>
      <c r="I1912" t="str">
        <f t="shared" si="29"/>
        <v>2024-03</v>
      </c>
    </row>
    <row r="1913" spans="1:9" ht="15" customHeight="1" x14ac:dyDescent="0.25">
      <c r="A1913">
        <v>1912</v>
      </c>
      <c r="B1913">
        <v>6</v>
      </c>
      <c r="C1913" t="s">
        <v>108</v>
      </c>
      <c r="D1913">
        <v>480</v>
      </c>
      <c r="E1913">
        <v>66</v>
      </c>
      <c r="F1913" t="s">
        <v>29</v>
      </c>
      <c r="G1913">
        <v>1182</v>
      </c>
      <c r="H1913">
        <v>21</v>
      </c>
      <c r="I1913" t="str">
        <f t="shared" si="29"/>
        <v>2024-03</v>
      </c>
    </row>
    <row r="1914" spans="1:9" ht="15" customHeight="1" x14ac:dyDescent="0.25">
      <c r="A1914">
        <v>1913</v>
      </c>
      <c r="B1914">
        <v>6</v>
      </c>
      <c r="C1914" t="s">
        <v>109</v>
      </c>
      <c r="D1914">
        <v>480</v>
      </c>
      <c r="E1914">
        <v>240</v>
      </c>
      <c r="F1914" t="s">
        <v>33</v>
      </c>
      <c r="G1914">
        <v>687</v>
      </c>
      <c r="H1914">
        <v>6</v>
      </c>
      <c r="I1914" t="str">
        <f t="shared" si="29"/>
        <v>2024-03</v>
      </c>
    </row>
    <row r="1915" spans="1:9" ht="15" customHeight="1" x14ac:dyDescent="0.25">
      <c r="A1915">
        <v>1914</v>
      </c>
      <c r="B1915">
        <v>6</v>
      </c>
      <c r="C1915" t="s">
        <v>110</v>
      </c>
      <c r="D1915">
        <v>480</v>
      </c>
      <c r="E1915">
        <v>90</v>
      </c>
      <c r="F1915" t="s">
        <v>29</v>
      </c>
      <c r="G1915">
        <v>985</v>
      </c>
      <c r="H1915">
        <v>15</v>
      </c>
      <c r="I1915" t="str">
        <f t="shared" si="29"/>
        <v>2024-03</v>
      </c>
    </row>
    <row r="1916" spans="1:9" ht="15" customHeight="1" x14ac:dyDescent="0.25">
      <c r="A1916">
        <v>1915</v>
      </c>
      <c r="B1916">
        <v>6</v>
      </c>
      <c r="C1916" t="s">
        <v>111</v>
      </c>
      <c r="D1916">
        <v>480</v>
      </c>
      <c r="E1916">
        <v>136</v>
      </c>
      <c r="F1916" t="s">
        <v>22</v>
      </c>
      <c r="G1916">
        <v>924</v>
      </c>
      <c r="H1916">
        <v>13</v>
      </c>
      <c r="I1916" t="str">
        <f t="shared" si="29"/>
        <v>2024-03</v>
      </c>
    </row>
    <row r="1917" spans="1:9" ht="15" customHeight="1" x14ac:dyDescent="0.25">
      <c r="A1917">
        <v>1916</v>
      </c>
      <c r="B1917">
        <v>6</v>
      </c>
      <c r="C1917" t="s">
        <v>112</v>
      </c>
      <c r="D1917">
        <v>480</v>
      </c>
      <c r="E1917">
        <v>31</v>
      </c>
      <c r="F1917" t="s">
        <v>22</v>
      </c>
      <c r="G1917">
        <v>1220</v>
      </c>
      <c r="H1917">
        <v>12</v>
      </c>
      <c r="I1917" t="str">
        <f t="shared" si="29"/>
        <v>2024-03</v>
      </c>
    </row>
    <row r="1918" spans="1:9" ht="15" customHeight="1" x14ac:dyDescent="0.25">
      <c r="A1918">
        <v>1917</v>
      </c>
      <c r="B1918">
        <v>6</v>
      </c>
      <c r="C1918" t="s">
        <v>113</v>
      </c>
      <c r="D1918">
        <v>480</v>
      </c>
      <c r="E1918">
        <v>81</v>
      </c>
      <c r="F1918" t="s">
        <v>29</v>
      </c>
      <c r="G1918">
        <v>1200</v>
      </c>
      <c r="H1918">
        <v>21</v>
      </c>
      <c r="I1918" t="str">
        <f t="shared" si="29"/>
        <v>2024-03</v>
      </c>
    </row>
    <row r="1919" spans="1:9" ht="15" customHeight="1" x14ac:dyDescent="0.25">
      <c r="A1919">
        <v>1918</v>
      </c>
      <c r="B1919">
        <v>6</v>
      </c>
      <c r="C1919" t="s">
        <v>114</v>
      </c>
      <c r="D1919">
        <v>480</v>
      </c>
      <c r="E1919">
        <v>10</v>
      </c>
      <c r="F1919" t="s">
        <v>29</v>
      </c>
      <c r="G1919">
        <v>1397</v>
      </c>
      <c r="H1919">
        <v>21</v>
      </c>
      <c r="I1919" t="str">
        <f t="shared" si="29"/>
        <v>2024-03</v>
      </c>
    </row>
    <row r="1920" spans="1:9" ht="15" customHeight="1" x14ac:dyDescent="0.25">
      <c r="A1920">
        <v>1919</v>
      </c>
      <c r="B1920">
        <v>6</v>
      </c>
      <c r="C1920" t="s">
        <v>115</v>
      </c>
      <c r="D1920">
        <v>480</v>
      </c>
      <c r="E1920">
        <v>16</v>
      </c>
      <c r="F1920" t="s">
        <v>45</v>
      </c>
      <c r="G1920">
        <v>1161</v>
      </c>
      <c r="H1920">
        <v>11</v>
      </c>
      <c r="I1920" t="str">
        <f t="shared" si="29"/>
        <v>2024-03</v>
      </c>
    </row>
    <row r="1921" spans="1:9" ht="15" customHeight="1" x14ac:dyDescent="0.25">
      <c r="A1921">
        <v>1920</v>
      </c>
      <c r="B1921">
        <v>6</v>
      </c>
      <c r="C1921" t="s">
        <v>116</v>
      </c>
      <c r="D1921">
        <v>480</v>
      </c>
      <c r="E1921">
        <v>138</v>
      </c>
      <c r="F1921" t="s">
        <v>24</v>
      </c>
      <c r="G1921">
        <v>968</v>
      </c>
      <c r="H1921">
        <v>14</v>
      </c>
      <c r="I1921" t="str">
        <f t="shared" si="29"/>
        <v>2024-03</v>
      </c>
    </row>
    <row r="1922" spans="1:9" ht="15" customHeight="1" x14ac:dyDescent="0.25">
      <c r="A1922">
        <v>1921</v>
      </c>
      <c r="B1922">
        <v>6</v>
      </c>
      <c r="C1922" t="s">
        <v>117</v>
      </c>
      <c r="D1922">
        <v>480</v>
      </c>
      <c r="E1922">
        <v>16</v>
      </c>
      <c r="F1922" t="s">
        <v>27</v>
      </c>
      <c r="G1922">
        <v>1337</v>
      </c>
      <c r="H1922">
        <v>8</v>
      </c>
      <c r="I1922" t="str">
        <f t="shared" ref="I1922:I1985" si="30">TEXT(C1922,"yyyy-mm")</f>
        <v>2024-03</v>
      </c>
    </row>
    <row r="1923" spans="1:9" ht="15" customHeight="1" x14ac:dyDescent="0.25">
      <c r="A1923">
        <v>1922</v>
      </c>
      <c r="B1923">
        <v>6</v>
      </c>
      <c r="C1923" t="s">
        <v>118</v>
      </c>
      <c r="D1923">
        <v>480</v>
      </c>
      <c r="E1923">
        <v>26</v>
      </c>
      <c r="F1923" t="s">
        <v>45</v>
      </c>
      <c r="G1923">
        <v>1284</v>
      </c>
      <c r="H1923">
        <v>10</v>
      </c>
      <c r="I1923" t="str">
        <f t="shared" si="30"/>
        <v>2024-04</v>
      </c>
    </row>
    <row r="1924" spans="1:9" ht="15" customHeight="1" x14ac:dyDescent="0.25">
      <c r="A1924">
        <v>1923</v>
      </c>
      <c r="B1924">
        <v>6</v>
      </c>
      <c r="C1924" t="s">
        <v>119</v>
      </c>
      <c r="D1924">
        <v>480</v>
      </c>
      <c r="E1924">
        <v>98</v>
      </c>
      <c r="F1924" t="s">
        <v>27</v>
      </c>
      <c r="G1924">
        <v>993</v>
      </c>
      <c r="H1924">
        <v>14</v>
      </c>
      <c r="I1924" t="str">
        <f t="shared" si="30"/>
        <v>2024-04</v>
      </c>
    </row>
    <row r="1925" spans="1:9" ht="15" customHeight="1" x14ac:dyDescent="0.25">
      <c r="A1925">
        <v>1924</v>
      </c>
      <c r="B1925">
        <v>6</v>
      </c>
      <c r="C1925" t="s">
        <v>120</v>
      </c>
      <c r="D1925">
        <v>480</v>
      </c>
      <c r="E1925">
        <v>29</v>
      </c>
      <c r="F1925" t="s">
        <v>45</v>
      </c>
      <c r="G1925">
        <v>1267</v>
      </c>
      <c r="H1925">
        <v>9</v>
      </c>
      <c r="I1925" t="str">
        <f t="shared" si="30"/>
        <v>2024-04</v>
      </c>
    </row>
    <row r="1926" spans="1:9" ht="15" customHeight="1" x14ac:dyDescent="0.25">
      <c r="A1926">
        <v>1925</v>
      </c>
      <c r="B1926">
        <v>6</v>
      </c>
      <c r="C1926" t="s">
        <v>121</v>
      </c>
      <c r="D1926">
        <v>480</v>
      </c>
      <c r="E1926">
        <v>0</v>
      </c>
      <c r="F1926" t="s">
        <v>33</v>
      </c>
      <c r="G1926">
        <v>1436</v>
      </c>
      <c r="H1926">
        <v>13</v>
      </c>
      <c r="I1926" t="str">
        <f t="shared" si="30"/>
        <v>2024-04</v>
      </c>
    </row>
    <row r="1927" spans="1:9" ht="15" customHeight="1" x14ac:dyDescent="0.25">
      <c r="A1927">
        <v>1926</v>
      </c>
      <c r="B1927">
        <v>6</v>
      </c>
      <c r="C1927" t="s">
        <v>122</v>
      </c>
      <c r="D1927">
        <v>480</v>
      </c>
      <c r="E1927">
        <v>97</v>
      </c>
      <c r="F1927" t="s">
        <v>24</v>
      </c>
      <c r="G1927">
        <v>1166</v>
      </c>
      <c r="H1927">
        <v>10</v>
      </c>
      <c r="I1927" t="str">
        <f t="shared" si="30"/>
        <v>2024-04</v>
      </c>
    </row>
    <row r="1928" spans="1:9" ht="15" customHeight="1" x14ac:dyDescent="0.25">
      <c r="A1928">
        <v>1927</v>
      </c>
      <c r="B1928">
        <v>6</v>
      </c>
      <c r="C1928" t="s">
        <v>123</v>
      </c>
      <c r="D1928">
        <v>480</v>
      </c>
      <c r="E1928">
        <v>17</v>
      </c>
      <c r="F1928" t="s">
        <v>27</v>
      </c>
      <c r="G1928">
        <v>1319</v>
      </c>
      <c r="H1928">
        <v>24</v>
      </c>
      <c r="I1928" t="str">
        <f t="shared" si="30"/>
        <v>2024-04</v>
      </c>
    </row>
    <row r="1929" spans="1:9" ht="15" customHeight="1" x14ac:dyDescent="0.25">
      <c r="A1929">
        <v>1928</v>
      </c>
      <c r="B1929">
        <v>6</v>
      </c>
      <c r="C1929" t="s">
        <v>124</v>
      </c>
      <c r="D1929">
        <v>480</v>
      </c>
      <c r="E1929">
        <v>140</v>
      </c>
      <c r="F1929" t="s">
        <v>24</v>
      </c>
      <c r="G1929">
        <v>937</v>
      </c>
      <c r="H1929">
        <v>15</v>
      </c>
      <c r="I1929" t="str">
        <f t="shared" si="30"/>
        <v>2024-04</v>
      </c>
    </row>
    <row r="1930" spans="1:9" ht="15" customHeight="1" x14ac:dyDescent="0.25">
      <c r="A1930">
        <v>1929</v>
      </c>
      <c r="B1930">
        <v>6</v>
      </c>
      <c r="C1930" t="s">
        <v>125</v>
      </c>
      <c r="D1930">
        <v>480</v>
      </c>
      <c r="E1930">
        <v>8</v>
      </c>
      <c r="F1930" t="s">
        <v>29</v>
      </c>
      <c r="G1930">
        <v>1431</v>
      </c>
      <c r="H1930">
        <v>26</v>
      </c>
      <c r="I1930" t="str">
        <f t="shared" si="30"/>
        <v>2024-04</v>
      </c>
    </row>
    <row r="1931" spans="1:9" ht="15" customHeight="1" x14ac:dyDescent="0.25">
      <c r="A1931">
        <v>1930</v>
      </c>
      <c r="B1931">
        <v>6</v>
      </c>
      <c r="C1931" t="s">
        <v>126</v>
      </c>
      <c r="D1931">
        <v>480</v>
      </c>
      <c r="E1931">
        <v>10</v>
      </c>
      <c r="F1931" t="s">
        <v>24</v>
      </c>
      <c r="G1931">
        <v>1240</v>
      </c>
      <c r="H1931">
        <v>9</v>
      </c>
      <c r="I1931" t="str">
        <f t="shared" si="30"/>
        <v>2024-04</v>
      </c>
    </row>
    <row r="1932" spans="1:9" ht="15" customHeight="1" x14ac:dyDescent="0.25">
      <c r="A1932">
        <v>1931</v>
      </c>
      <c r="B1932">
        <v>6</v>
      </c>
      <c r="C1932" t="s">
        <v>127</v>
      </c>
      <c r="D1932">
        <v>480</v>
      </c>
      <c r="E1932">
        <v>17</v>
      </c>
      <c r="F1932" t="s">
        <v>29</v>
      </c>
      <c r="G1932">
        <v>1360</v>
      </c>
      <c r="H1932">
        <v>15</v>
      </c>
      <c r="I1932" t="str">
        <f t="shared" si="30"/>
        <v>2024-04</v>
      </c>
    </row>
    <row r="1933" spans="1:9" ht="15" customHeight="1" x14ac:dyDescent="0.25">
      <c r="A1933">
        <v>1932</v>
      </c>
      <c r="B1933">
        <v>6</v>
      </c>
      <c r="C1933" t="s">
        <v>128</v>
      </c>
      <c r="D1933">
        <v>480</v>
      </c>
      <c r="E1933">
        <v>5</v>
      </c>
      <c r="F1933" t="s">
        <v>27</v>
      </c>
      <c r="G1933">
        <v>1265</v>
      </c>
      <c r="H1933">
        <v>23</v>
      </c>
      <c r="I1933" t="str">
        <f t="shared" si="30"/>
        <v>2024-04</v>
      </c>
    </row>
    <row r="1934" spans="1:9" ht="15" customHeight="1" x14ac:dyDescent="0.25">
      <c r="A1934">
        <v>1933</v>
      </c>
      <c r="B1934">
        <v>6</v>
      </c>
      <c r="C1934" t="s">
        <v>129</v>
      </c>
      <c r="D1934">
        <v>480</v>
      </c>
      <c r="E1934">
        <v>56</v>
      </c>
      <c r="F1934" t="s">
        <v>29</v>
      </c>
      <c r="G1934">
        <v>1147</v>
      </c>
      <c r="H1934">
        <v>9</v>
      </c>
      <c r="I1934" t="str">
        <f t="shared" si="30"/>
        <v>2024-04</v>
      </c>
    </row>
    <row r="1935" spans="1:9" ht="15" customHeight="1" x14ac:dyDescent="0.25">
      <c r="A1935">
        <v>1934</v>
      </c>
      <c r="B1935">
        <v>6</v>
      </c>
      <c r="C1935" t="s">
        <v>130</v>
      </c>
      <c r="D1935">
        <v>480</v>
      </c>
      <c r="E1935">
        <v>242</v>
      </c>
      <c r="F1935" t="s">
        <v>22</v>
      </c>
      <c r="G1935">
        <v>699</v>
      </c>
      <c r="H1935">
        <v>6</v>
      </c>
      <c r="I1935" t="str">
        <f t="shared" si="30"/>
        <v>2024-04</v>
      </c>
    </row>
    <row r="1936" spans="1:9" ht="15" customHeight="1" x14ac:dyDescent="0.25">
      <c r="A1936">
        <v>1935</v>
      </c>
      <c r="B1936">
        <v>6</v>
      </c>
      <c r="C1936" t="s">
        <v>131</v>
      </c>
      <c r="D1936">
        <v>480</v>
      </c>
      <c r="E1936">
        <v>4</v>
      </c>
      <c r="F1936" t="s">
        <v>22</v>
      </c>
      <c r="G1936">
        <v>1188</v>
      </c>
      <c r="H1936">
        <v>9</v>
      </c>
      <c r="I1936" t="str">
        <f t="shared" si="30"/>
        <v>2024-04</v>
      </c>
    </row>
    <row r="1937" spans="1:9" ht="15" customHeight="1" x14ac:dyDescent="0.25">
      <c r="A1937">
        <v>1936</v>
      </c>
      <c r="B1937">
        <v>6</v>
      </c>
      <c r="C1937" t="s">
        <v>132</v>
      </c>
      <c r="D1937">
        <v>480</v>
      </c>
      <c r="E1937">
        <v>49</v>
      </c>
      <c r="F1937" t="s">
        <v>22</v>
      </c>
      <c r="G1937">
        <v>1294</v>
      </c>
      <c r="H1937">
        <v>16</v>
      </c>
      <c r="I1937" t="str">
        <f t="shared" si="30"/>
        <v>2024-04</v>
      </c>
    </row>
    <row r="1938" spans="1:9" ht="15" customHeight="1" x14ac:dyDescent="0.25">
      <c r="A1938">
        <v>1937</v>
      </c>
      <c r="B1938">
        <v>6</v>
      </c>
      <c r="C1938" t="s">
        <v>133</v>
      </c>
      <c r="D1938">
        <v>480</v>
      </c>
      <c r="E1938">
        <v>105</v>
      </c>
      <c r="F1938" t="s">
        <v>29</v>
      </c>
      <c r="G1938">
        <v>1021</v>
      </c>
      <c r="H1938">
        <v>15</v>
      </c>
      <c r="I1938" t="str">
        <f t="shared" si="30"/>
        <v>2024-04</v>
      </c>
    </row>
    <row r="1939" spans="1:9" ht="15" customHeight="1" x14ac:dyDescent="0.25">
      <c r="A1939">
        <v>1938</v>
      </c>
      <c r="B1939">
        <v>6</v>
      </c>
      <c r="C1939" t="s">
        <v>134</v>
      </c>
      <c r="D1939">
        <v>480</v>
      </c>
      <c r="E1939">
        <v>74</v>
      </c>
      <c r="F1939" t="s">
        <v>22</v>
      </c>
      <c r="G1939">
        <v>1041</v>
      </c>
      <c r="H1939">
        <v>11</v>
      </c>
      <c r="I1939" t="str">
        <f t="shared" si="30"/>
        <v>2024-04</v>
      </c>
    </row>
    <row r="1940" spans="1:9" ht="15" customHeight="1" x14ac:dyDescent="0.25">
      <c r="A1940">
        <v>1939</v>
      </c>
      <c r="B1940">
        <v>6</v>
      </c>
      <c r="C1940" t="s">
        <v>135</v>
      </c>
      <c r="D1940">
        <v>480</v>
      </c>
      <c r="E1940">
        <v>57</v>
      </c>
      <c r="F1940" t="s">
        <v>27</v>
      </c>
      <c r="G1940">
        <v>1060</v>
      </c>
      <c r="H1940">
        <v>11</v>
      </c>
      <c r="I1940" t="str">
        <f t="shared" si="30"/>
        <v>2024-04</v>
      </c>
    </row>
    <row r="1941" spans="1:9" ht="15" customHeight="1" x14ac:dyDescent="0.25">
      <c r="A1941">
        <v>1940</v>
      </c>
      <c r="B1941">
        <v>6</v>
      </c>
      <c r="C1941" t="s">
        <v>136</v>
      </c>
      <c r="D1941">
        <v>480</v>
      </c>
      <c r="E1941">
        <v>43</v>
      </c>
      <c r="F1941" t="s">
        <v>27</v>
      </c>
      <c r="G1941">
        <v>1329</v>
      </c>
      <c r="H1941">
        <v>16</v>
      </c>
      <c r="I1941" t="str">
        <f t="shared" si="30"/>
        <v>2024-04</v>
      </c>
    </row>
    <row r="1942" spans="1:9" ht="15" customHeight="1" x14ac:dyDescent="0.25">
      <c r="A1942">
        <v>1941</v>
      </c>
      <c r="B1942">
        <v>6</v>
      </c>
      <c r="C1942" t="s">
        <v>137</v>
      </c>
      <c r="D1942">
        <v>480</v>
      </c>
      <c r="E1942">
        <v>96</v>
      </c>
      <c r="F1942" t="s">
        <v>45</v>
      </c>
      <c r="G1942">
        <v>1042</v>
      </c>
      <c r="H1942">
        <v>16</v>
      </c>
      <c r="I1942" t="str">
        <f t="shared" si="30"/>
        <v>2024-04</v>
      </c>
    </row>
    <row r="1943" spans="1:9" ht="15" customHeight="1" x14ac:dyDescent="0.25">
      <c r="A1943">
        <v>1942</v>
      </c>
      <c r="B1943">
        <v>6</v>
      </c>
      <c r="C1943" t="s">
        <v>138</v>
      </c>
      <c r="D1943">
        <v>480</v>
      </c>
      <c r="E1943">
        <v>51</v>
      </c>
      <c r="F1943" t="s">
        <v>29</v>
      </c>
      <c r="G1943">
        <v>1278</v>
      </c>
      <c r="H1943">
        <v>14</v>
      </c>
      <c r="I1943" t="str">
        <f t="shared" si="30"/>
        <v>2024-04</v>
      </c>
    </row>
    <row r="1944" spans="1:9" ht="15" customHeight="1" x14ac:dyDescent="0.25">
      <c r="A1944">
        <v>1943</v>
      </c>
      <c r="B1944">
        <v>6</v>
      </c>
      <c r="C1944" t="s">
        <v>139</v>
      </c>
      <c r="D1944">
        <v>480</v>
      </c>
      <c r="E1944">
        <v>52</v>
      </c>
      <c r="F1944" t="s">
        <v>27</v>
      </c>
      <c r="G1944">
        <v>1211</v>
      </c>
      <c r="H1944">
        <v>13</v>
      </c>
      <c r="I1944" t="str">
        <f t="shared" si="30"/>
        <v>2024-04</v>
      </c>
    </row>
    <row r="1945" spans="1:9" ht="15" customHeight="1" x14ac:dyDescent="0.25">
      <c r="A1945">
        <v>1944</v>
      </c>
      <c r="B1945">
        <v>6</v>
      </c>
      <c r="C1945" t="s">
        <v>140</v>
      </c>
      <c r="D1945">
        <v>480</v>
      </c>
      <c r="E1945">
        <v>8</v>
      </c>
      <c r="F1945" t="s">
        <v>27</v>
      </c>
      <c r="G1945">
        <v>1189</v>
      </c>
      <c r="H1945">
        <v>7</v>
      </c>
      <c r="I1945" t="str">
        <f t="shared" si="30"/>
        <v>2024-04</v>
      </c>
    </row>
    <row r="1946" spans="1:9" ht="15" customHeight="1" x14ac:dyDescent="0.25">
      <c r="A1946">
        <v>1945</v>
      </c>
      <c r="B1946">
        <v>6</v>
      </c>
      <c r="C1946" t="s">
        <v>141</v>
      </c>
      <c r="D1946">
        <v>480</v>
      </c>
      <c r="E1946">
        <v>117</v>
      </c>
      <c r="F1946" t="s">
        <v>27</v>
      </c>
      <c r="G1946">
        <v>944</v>
      </c>
      <c r="H1946">
        <v>8</v>
      </c>
      <c r="I1946" t="str">
        <f t="shared" si="30"/>
        <v>2024-04</v>
      </c>
    </row>
    <row r="1947" spans="1:9" ht="15" customHeight="1" x14ac:dyDescent="0.25">
      <c r="A1947">
        <v>1946</v>
      </c>
      <c r="B1947">
        <v>6</v>
      </c>
      <c r="C1947" t="s">
        <v>142</v>
      </c>
      <c r="D1947">
        <v>480</v>
      </c>
      <c r="E1947">
        <v>75</v>
      </c>
      <c r="F1947" t="s">
        <v>27</v>
      </c>
      <c r="G1947">
        <v>1073</v>
      </c>
      <c r="H1947">
        <v>13</v>
      </c>
      <c r="I1947" t="str">
        <f t="shared" si="30"/>
        <v>2024-04</v>
      </c>
    </row>
    <row r="1948" spans="1:9" ht="15" customHeight="1" x14ac:dyDescent="0.25">
      <c r="A1948">
        <v>1947</v>
      </c>
      <c r="B1948">
        <v>6</v>
      </c>
      <c r="C1948" t="s">
        <v>143</v>
      </c>
      <c r="D1948">
        <v>480</v>
      </c>
      <c r="E1948">
        <v>10</v>
      </c>
      <c r="F1948" t="s">
        <v>27</v>
      </c>
      <c r="G1948">
        <v>1420</v>
      </c>
      <c r="H1948">
        <v>24</v>
      </c>
      <c r="I1948" t="str">
        <f t="shared" si="30"/>
        <v>2024-04</v>
      </c>
    </row>
    <row r="1949" spans="1:9" ht="15" customHeight="1" x14ac:dyDescent="0.25">
      <c r="A1949">
        <v>1948</v>
      </c>
      <c r="B1949">
        <v>6</v>
      </c>
      <c r="C1949" t="s">
        <v>144</v>
      </c>
      <c r="D1949">
        <v>480</v>
      </c>
      <c r="E1949">
        <v>113</v>
      </c>
      <c r="F1949" t="s">
        <v>27</v>
      </c>
      <c r="G1949">
        <v>991</v>
      </c>
      <c r="H1949">
        <v>15</v>
      </c>
      <c r="I1949" t="str">
        <f t="shared" si="30"/>
        <v>2024-04</v>
      </c>
    </row>
    <row r="1950" spans="1:9" ht="15" customHeight="1" x14ac:dyDescent="0.25">
      <c r="A1950">
        <v>1949</v>
      </c>
      <c r="B1950">
        <v>6</v>
      </c>
      <c r="C1950" t="s">
        <v>145</v>
      </c>
      <c r="D1950">
        <v>480</v>
      </c>
      <c r="E1950">
        <v>8</v>
      </c>
      <c r="F1950" t="s">
        <v>29</v>
      </c>
      <c r="G1950">
        <v>1165</v>
      </c>
      <c r="H1950">
        <v>7</v>
      </c>
      <c r="I1950" t="str">
        <f t="shared" si="30"/>
        <v>2024-04</v>
      </c>
    </row>
    <row r="1951" spans="1:9" ht="15" customHeight="1" x14ac:dyDescent="0.25">
      <c r="A1951">
        <v>1950</v>
      </c>
      <c r="B1951">
        <v>6</v>
      </c>
      <c r="C1951" t="s">
        <v>146</v>
      </c>
      <c r="D1951">
        <v>480</v>
      </c>
      <c r="E1951">
        <v>50</v>
      </c>
      <c r="F1951" t="s">
        <v>27</v>
      </c>
      <c r="G1951">
        <v>1173</v>
      </c>
      <c r="H1951">
        <v>14</v>
      </c>
      <c r="I1951" t="str">
        <f t="shared" si="30"/>
        <v>2024-04</v>
      </c>
    </row>
    <row r="1952" spans="1:9" ht="15" customHeight="1" x14ac:dyDescent="0.25">
      <c r="A1952">
        <v>1951</v>
      </c>
      <c r="B1952">
        <v>6</v>
      </c>
      <c r="C1952" t="s">
        <v>147</v>
      </c>
      <c r="D1952">
        <v>480</v>
      </c>
      <c r="E1952">
        <v>0</v>
      </c>
      <c r="F1952" t="s">
        <v>33</v>
      </c>
      <c r="G1952">
        <v>1300</v>
      </c>
      <c r="H1952">
        <v>19</v>
      </c>
      <c r="I1952" t="str">
        <f t="shared" si="30"/>
        <v>2024-04</v>
      </c>
    </row>
    <row r="1953" spans="1:9" ht="15" customHeight="1" x14ac:dyDescent="0.25">
      <c r="A1953">
        <v>1952</v>
      </c>
      <c r="B1953">
        <v>6</v>
      </c>
      <c r="C1953" t="s">
        <v>148</v>
      </c>
      <c r="D1953">
        <v>480</v>
      </c>
      <c r="E1953">
        <v>33</v>
      </c>
      <c r="F1953" t="s">
        <v>45</v>
      </c>
      <c r="G1953">
        <v>1291</v>
      </c>
      <c r="H1953">
        <v>11</v>
      </c>
      <c r="I1953" t="str">
        <f t="shared" si="30"/>
        <v>2024-05</v>
      </c>
    </row>
    <row r="1954" spans="1:9" ht="15" customHeight="1" x14ac:dyDescent="0.25">
      <c r="A1954">
        <v>1953</v>
      </c>
      <c r="B1954">
        <v>6</v>
      </c>
      <c r="C1954" t="s">
        <v>149</v>
      </c>
      <c r="D1954">
        <v>480</v>
      </c>
      <c r="E1954">
        <v>95</v>
      </c>
      <c r="F1954" t="s">
        <v>27</v>
      </c>
      <c r="G1954">
        <v>1080</v>
      </c>
      <c r="H1954">
        <v>9</v>
      </c>
      <c r="I1954" t="str">
        <f t="shared" si="30"/>
        <v>2024-05</v>
      </c>
    </row>
    <row r="1955" spans="1:9" ht="15" customHeight="1" x14ac:dyDescent="0.25">
      <c r="A1955">
        <v>1954</v>
      </c>
      <c r="B1955">
        <v>6</v>
      </c>
      <c r="C1955" t="s">
        <v>150</v>
      </c>
      <c r="D1955">
        <v>480</v>
      </c>
      <c r="E1955">
        <v>15</v>
      </c>
      <c r="F1955" t="s">
        <v>27</v>
      </c>
      <c r="G1955">
        <v>1315</v>
      </c>
      <c r="H1955">
        <v>21</v>
      </c>
      <c r="I1955" t="str">
        <f t="shared" si="30"/>
        <v>2024-05</v>
      </c>
    </row>
    <row r="1956" spans="1:9" ht="15" customHeight="1" x14ac:dyDescent="0.25">
      <c r="A1956">
        <v>1955</v>
      </c>
      <c r="B1956">
        <v>6</v>
      </c>
      <c r="C1956" t="s">
        <v>151</v>
      </c>
      <c r="D1956">
        <v>480</v>
      </c>
      <c r="E1956">
        <v>30</v>
      </c>
      <c r="F1956" t="s">
        <v>27</v>
      </c>
      <c r="G1956">
        <v>1176</v>
      </c>
      <c r="H1956">
        <v>20</v>
      </c>
      <c r="I1956" t="str">
        <f t="shared" si="30"/>
        <v>2024-05</v>
      </c>
    </row>
    <row r="1957" spans="1:9" ht="15" customHeight="1" x14ac:dyDescent="0.25">
      <c r="A1957">
        <v>1956</v>
      </c>
      <c r="B1957">
        <v>6</v>
      </c>
      <c r="C1957" t="s">
        <v>152</v>
      </c>
      <c r="D1957">
        <v>480</v>
      </c>
      <c r="E1957">
        <v>62</v>
      </c>
      <c r="F1957" t="s">
        <v>27</v>
      </c>
      <c r="G1957">
        <v>1139</v>
      </c>
      <c r="H1957">
        <v>14</v>
      </c>
      <c r="I1957" t="str">
        <f t="shared" si="30"/>
        <v>2024-05</v>
      </c>
    </row>
    <row r="1958" spans="1:9" ht="15" customHeight="1" x14ac:dyDescent="0.25">
      <c r="A1958">
        <v>1957</v>
      </c>
      <c r="B1958">
        <v>6</v>
      </c>
      <c r="C1958" t="s">
        <v>153</v>
      </c>
      <c r="D1958">
        <v>480</v>
      </c>
      <c r="E1958">
        <v>12</v>
      </c>
      <c r="F1958" t="s">
        <v>27</v>
      </c>
      <c r="G1958">
        <v>1323</v>
      </c>
      <c r="H1958">
        <v>14</v>
      </c>
      <c r="I1958" t="str">
        <f t="shared" si="30"/>
        <v>2024-05</v>
      </c>
    </row>
    <row r="1959" spans="1:9" ht="15" customHeight="1" x14ac:dyDescent="0.25">
      <c r="A1959">
        <v>1958</v>
      </c>
      <c r="B1959">
        <v>6</v>
      </c>
      <c r="C1959" t="s">
        <v>154</v>
      </c>
      <c r="D1959">
        <v>480</v>
      </c>
      <c r="E1959">
        <v>308</v>
      </c>
      <c r="F1959" t="s">
        <v>33</v>
      </c>
      <c r="G1959">
        <v>471</v>
      </c>
      <c r="H1959">
        <v>5</v>
      </c>
      <c r="I1959" t="str">
        <f t="shared" si="30"/>
        <v>2024-05</v>
      </c>
    </row>
    <row r="1960" spans="1:9" ht="15" customHeight="1" x14ac:dyDescent="0.25">
      <c r="A1960">
        <v>1959</v>
      </c>
      <c r="B1960">
        <v>6</v>
      </c>
      <c r="C1960" t="s">
        <v>155</v>
      </c>
      <c r="D1960">
        <v>480</v>
      </c>
      <c r="E1960">
        <v>47</v>
      </c>
      <c r="F1960" t="s">
        <v>22</v>
      </c>
      <c r="G1960">
        <v>1297</v>
      </c>
      <c r="H1960">
        <v>21</v>
      </c>
      <c r="I1960" t="str">
        <f t="shared" si="30"/>
        <v>2024-05</v>
      </c>
    </row>
    <row r="1961" spans="1:9" ht="15" customHeight="1" x14ac:dyDescent="0.25">
      <c r="A1961">
        <v>1960</v>
      </c>
      <c r="B1961">
        <v>6</v>
      </c>
      <c r="C1961" t="s">
        <v>156</v>
      </c>
      <c r="D1961">
        <v>480</v>
      </c>
      <c r="E1961">
        <v>34</v>
      </c>
      <c r="F1961" t="s">
        <v>27</v>
      </c>
      <c r="G1961">
        <v>1285</v>
      </c>
      <c r="H1961">
        <v>17</v>
      </c>
      <c r="I1961" t="str">
        <f t="shared" si="30"/>
        <v>2024-05</v>
      </c>
    </row>
    <row r="1962" spans="1:9" ht="15" customHeight="1" x14ac:dyDescent="0.25">
      <c r="A1962">
        <v>1961</v>
      </c>
      <c r="B1962">
        <v>6</v>
      </c>
      <c r="C1962" t="s">
        <v>157</v>
      </c>
      <c r="D1962">
        <v>480</v>
      </c>
      <c r="E1962">
        <v>38</v>
      </c>
      <c r="F1962" t="s">
        <v>33</v>
      </c>
      <c r="G1962">
        <v>1138</v>
      </c>
      <c r="H1962">
        <v>13</v>
      </c>
      <c r="I1962" t="str">
        <f t="shared" si="30"/>
        <v>2024-05</v>
      </c>
    </row>
    <row r="1963" spans="1:9" ht="15" customHeight="1" x14ac:dyDescent="0.25">
      <c r="A1963">
        <v>1962</v>
      </c>
      <c r="B1963">
        <v>6</v>
      </c>
      <c r="C1963" t="s">
        <v>158</v>
      </c>
      <c r="D1963">
        <v>480</v>
      </c>
      <c r="E1963">
        <v>16</v>
      </c>
      <c r="F1963" t="s">
        <v>24</v>
      </c>
      <c r="G1963">
        <v>1389</v>
      </c>
      <c r="H1963">
        <v>14</v>
      </c>
      <c r="I1963" t="str">
        <f t="shared" si="30"/>
        <v>2024-05</v>
      </c>
    </row>
    <row r="1964" spans="1:9" ht="15" customHeight="1" x14ac:dyDescent="0.25">
      <c r="A1964">
        <v>1963</v>
      </c>
      <c r="B1964">
        <v>6</v>
      </c>
      <c r="C1964" t="s">
        <v>159</v>
      </c>
      <c r="D1964">
        <v>480</v>
      </c>
      <c r="E1964">
        <v>172</v>
      </c>
      <c r="F1964" t="s">
        <v>29</v>
      </c>
      <c r="G1964">
        <v>854</v>
      </c>
      <c r="H1964">
        <v>12</v>
      </c>
      <c r="I1964" t="str">
        <f t="shared" si="30"/>
        <v>2024-05</v>
      </c>
    </row>
    <row r="1965" spans="1:9" ht="15" customHeight="1" x14ac:dyDescent="0.25">
      <c r="A1965">
        <v>1964</v>
      </c>
      <c r="B1965">
        <v>6</v>
      </c>
      <c r="C1965" t="s">
        <v>160</v>
      </c>
      <c r="D1965">
        <v>480</v>
      </c>
      <c r="E1965">
        <v>44</v>
      </c>
      <c r="F1965" t="s">
        <v>24</v>
      </c>
      <c r="G1965">
        <v>1107</v>
      </c>
      <c r="H1965">
        <v>12</v>
      </c>
      <c r="I1965" t="str">
        <f t="shared" si="30"/>
        <v>2024-05</v>
      </c>
    </row>
    <row r="1966" spans="1:9" ht="15" customHeight="1" x14ac:dyDescent="0.25">
      <c r="A1966">
        <v>1965</v>
      </c>
      <c r="B1966">
        <v>6</v>
      </c>
      <c r="C1966" t="s">
        <v>161</v>
      </c>
      <c r="D1966">
        <v>480</v>
      </c>
      <c r="E1966">
        <v>5</v>
      </c>
      <c r="F1966" t="s">
        <v>22</v>
      </c>
      <c r="G1966">
        <v>1342</v>
      </c>
      <c r="H1966">
        <v>15</v>
      </c>
      <c r="I1966" t="str">
        <f t="shared" si="30"/>
        <v>2024-05</v>
      </c>
    </row>
    <row r="1967" spans="1:9" ht="15" customHeight="1" x14ac:dyDescent="0.25">
      <c r="A1967">
        <v>1966</v>
      </c>
      <c r="B1967">
        <v>6</v>
      </c>
      <c r="C1967" t="s">
        <v>162</v>
      </c>
      <c r="D1967">
        <v>480</v>
      </c>
      <c r="E1967">
        <v>85</v>
      </c>
      <c r="F1967" t="s">
        <v>29</v>
      </c>
      <c r="G1967">
        <v>1024</v>
      </c>
      <c r="H1967">
        <v>8</v>
      </c>
      <c r="I1967" t="str">
        <f t="shared" si="30"/>
        <v>2024-05</v>
      </c>
    </row>
    <row r="1968" spans="1:9" ht="15" customHeight="1" x14ac:dyDescent="0.25">
      <c r="A1968">
        <v>1967</v>
      </c>
      <c r="B1968">
        <v>6</v>
      </c>
      <c r="C1968" t="s">
        <v>163</v>
      </c>
      <c r="D1968">
        <v>480</v>
      </c>
      <c r="E1968">
        <v>29</v>
      </c>
      <c r="F1968" t="s">
        <v>45</v>
      </c>
      <c r="G1968">
        <v>1354</v>
      </c>
      <c r="H1968">
        <v>20</v>
      </c>
      <c r="I1968" t="str">
        <f t="shared" si="30"/>
        <v>2024-05</v>
      </c>
    </row>
    <row r="1969" spans="1:9" ht="15" customHeight="1" x14ac:dyDescent="0.25">
      <c r="A1969">
        <v>1968</v>
      </c>
      <c r="B1969">
        <v>6</v>
      </c>
      <c r="C1969" t="s">
        <v>164</v>
      </c>
      <c r="D1969">
        <v>480</v>
      </c>
      <c r="E1969">
        <v>30</v>
      </c>
      <c r="F1969" t="s">
        <v>27</v>
      </c>
      <c r="G1969">
        <v>1244</v>
      </c>
      <c r="H1969">
        <v>9</v>
      </c>
      <c r="I1969" t="str">
        <f t="shared" si="30"/>
        <v>2024-05</v>
      </c>
    </row>
    <row r="1970" spans="1:9" ht="15" customHeight="1" x14ac:dyDescent="0.25">
      <c r="A1970">
        <v>1969</v>
      </c>
      <c r="B1970">
        <v>6</v>
      </c>
      <c r="C1970" t="s">
        <v>165</v>
      </c>
      <c r="D1970">
        <v>480</v>
      </c>
      <c r="E1970">
        <v>236</v>
      </c>
      <c r="F1970" t="s">
        <v>24</v>
      </c>
      <c r="G1970">
        <v>695</v>
      </c>
      <c r="H1970">
        <v>6</v>
      </c>
      <c r="I1970" t="str">
        <f t="shared" si="30"/>
        <v>2024-05</v>
      </c>
    </row>
    <row r="1971" spans="1:9" ht="15" customHeight="1" x14ac:dyDescent="0.25">
      <c r="A1971">
        <v>1970</v>
      </c>
      <c r="B1971">
        <v>6</v>
      </c>
      <c r="C1971" t="s">
        <v>166</v>
      </c>
      <c r="D1971">
        <v>480</v>
      </c>
      <c r="E1971">
        <v>50</v>
      </c>
      <c r="F1971" t="s">
        <v>45</v>
      </c>
      <c r="G1971">
        <v>1087</v>
      </c>
      <c r="H1971">
        <v>20</v>
      </c>
      <c r="I1971" t="str">
        <f t="shared" si="30"/>
        <v>2024-05</v>
      </c>
    </row>
    <row r="1972" spans="1:9" ht="15" customHeight="1" x14ac:dyDescent="0.25">
      <c r="A1972">
        <v>1971</v>
      </c>
      <c r="B1972">
        <v>6</v>
      </c>
      <c r="C1972" t="s">
        <v>167</v>
      </c>
      <c r="D1972">
        <v>480</v>
      </c>
      <c r="E1972">
        <v>10</v>
      </c>
      <c r="F1972" t="s">
        <v>24</v>
      </c>
      <c r="G1972">
        <v>1335</v>
      </c>
      <c r="H1972">
        <v>12</v>
      </c>
      <c r="I1972" t="str">
        <f t="shared" si="30"/>
        <v>2024-05</v>
      </c>
    </row>
    <row r="1973" spans="1:9" ht="15" customHeight="1" x14ac:dyDescent="0.25">
      <c r="A1973">
        <v>1972</v>
      </c>
      <c r="B1973">
        <v>6</v>
      </c>
      <c r="C1973" t="s">
        <v>168</v>
      </c>
      <c r="D1973">
        <v>480</v>
      </c>
      <c r="E1973">
        <v>71</v>
      </c>
      <c r="F1973" t="s">
        <v>45</v>
      </c>
      <c r="G1973">
        <v>1192</v>
      </c>
      <c r="H1973">
        <v>17</v>
      </c>
      <c r="I1973" t="str">
        <f t="shared" si="30"/>
        <v>2024-05</v>
      </c>
    </row>
    <row r="1974" spans="1:9" ht="15" customHeight="1" x14ac:dyDescent="0.25">
      <c r="A1974">
        <v>1973</v>
      </c>
      <c r="B1974">
        <v>6</v>
      </c>
      <c r="C1974" t="s">
        <v>169</v>
      </c>
      <c r="D1974">
        <v>480</v>
      </c>
      <c r="E1974">
        <v>54</v>
      </c>
      <c r="F1974" t="s">
        <v>29</v>
      </c>
      <c r="G1974">
        <v>1270</v>
      </c>
      <c r="H1974">
        <v>9</v>
      </c>
      <c r="I1974" t="str">
        <f t="shared" si="30"/>
        <v>2024-05</v>
      </c>
    </row>
    <row r="1975" spans="1:9" ht="15" customHeight="1" x14ac:dyDescent="0.25">
      <c r="A1975">
        <v>1974</v>
      </c>
      <c r="B1975">
        <v>6</v>
      </c>
      <c r="C1975" t="s">
        <v>170</v>
      </c>
      <c r="D1975">
        <v>480</v>
      </c>
      <c r="E1975">
        <v>22</v>
      </c>
      <c r="F1975" t="s">
        <v>45</v>
      </c>
      <c r="G1975">
        <v>1194</v>
      </c>
      <c r="H1975">
        <v>22</v>
      </c>
      <c r="I1975" t="str">
        <f t="shared" si="30"/>
        <v>2024-05</v>
      </c>
    </row>
    <row r="1976" spans="1:9" ht="15" customHeight="1" x14ac:dyDescent="0.25">
      <c r="A1976">
        <v>1975</v>
      </c>
      <c r="B1976">
        <v>6</v>
      </c>
      <c r="C1976" t="s">
        <v>171</v>
      </c>
      <c r="D1976">
        <v>480</v>
      </c>
      <c r="E1976">
        <v>27</v>
      </c>
      <c r="F1976" t="s">
        <v>27</v>
      </c>
      <c r="G1976">
        <v>1309</v>
      </c>
      <c r="H1976">
        <v>19</v>
      </c>
      <c r="I1976" t="str">
        <f t="shared" si="30"/>
        <v>2024-05</v>
      </c>
    </row>
    <row r="1977" spans="1:9" ht="15" customHeight="1" x14ac:dyDescent="0.25">
      <c r="A1977">
        <v>1976</v>
      </c>
      <c r="B1977">
        <v>6</v>
      </c>
      <c r="C1977" t="s">
        <v>172</v>
      </c>
      <c r="D1977">
        <v>480</v>
      </c>
      <c r="E1977">
        <v>13</v>
      </c>
      <c r="F1977" t="s">
        <v>24</v>
      </c>
      <c r="G1977">
        <v>1215</v>
      </c>
      <c r="H1977">
        <v>11</v>
      </c>
      <c r="I1977" t="str">
        <f t="shared" si="30"/>
        <v>2024-05</v>
      </c>
    </row>
    <row r="1978" spans="1:9" ht="15" customHeight="1" x14ac:dyDescent="0.25">
      <c r="A1978">
        <v>1977</v>
      </c>
      <c r="B1978">
        <v>6</v>
      </c>
      <c r="C1978" t="s">
        <v>173</v>
      </c>
      <c r="D1978">
        <v>480</v>
      </c>
      <c r="E1978">
        <v>30</v>
      </c>
      <c r="F1978" t="s">
        <v>29</v>
      </c>
      <c r="G1978">
        <v>1170</v>
      </c>
      <c r="H1978">
        <v>7</v>
      </c>
      <c r="I1978" t="str">
        <f t="shared" si="30"/>
        <v>2024-05</v>
      </c>
    </row>
    <row r="1979" spans="1:9" ht="15" customHeight="1" x14ac:dyDescent="0.25">
      <c r="A1979">
        <v>1978</v>
      </c>
      <c r="B1979">
        <v>6</v>
      </c>
      <c r="C1979" t="s">
        <v>174</v>
      </c>
      <c r="D1979">
        <v>480</v>
      </c>
      <c r="E1979">
        <v>119</v>
      </c>
      <c r="F1979" t="s">
        <v>27</v>
      </c>
      <c r="G1979">
        <v>1092</v>
      </c>
      <c r="H1979">
        <v>11</v>
      </c>
      <c r="I1979" t="str">
        <f t="shared" si="30"/>
        <v>2024-05</v>
      </c>
    </row>
    <row r="1980" spans="1:9" ht="15" customHeight="1" x14ac:dyDescent="0.25">
      <c r="A1980">
        <v>1979</v>
      </c>
      <c r="B1980">
        <v>6</v>
      </c>
      <c r="C1980" t="s">
        <v>175</v>
      </c>
      <c r="D1980">
        <v>480</v>
      </c>
      <c r="E1980">
        <v>23</v>
      </c>
      <c r="F1980" t="s">
        <v>27</v>
      </c>
      <c r="G1980">
        <v>1128</v>
      </c>
      <c r="H1980">
        <v>16</v>
      </c>
      <c r="I1980" t="str">
        <f t="shared" si="30"/>
        <v>2024-05</v>
      </c>
    </row>
    <row r="1981" spans="1:9" ht="15" customHeight="1" x14ac:dyDescent="0.25">
      <c r="A1981">
        <v>1980</v>
      </c>
      <c r="B1981">
        <v>6</v>
      </c>
      <c r="C1981" t="s">
        <v>176</v>
      </c>
      <c r="D1981">
        <v>480</v>
      </c>
      <c r="E1981">
        <v>99</v>
      </c>
      <c r="F1981" t="s">
        <v>33</v>
      </c>
      <c r="G1981">
        <v>971</v>
      </c>
      <c r="H1981">
        <v>8</v>
      </c>
      <c r="I1981" t="str">
        <f t="shared" si="30"/>
        <v>2024-05</v>
      </c>
    </row>
    <row r="1982" spans="1:9" ht="15" customHeight="1" x14ac:dyDescent="0.25">
      <c r="A1982">
        <v>1981</v>
      </c>
      <c r="B1982">
        <v>6</v>
      </c>
      <c r="C1982" t="s">
        <v>177</v>
      </c>
      <c r="D1982">
        <v>480</v>
      </c>
      <c r="E1982">
        <v>88</v>
      </c>
      <c r="F1982" t="s">
        <v>24</v>
      </c>
      <c r="G1982">
        <v>1106</v>
      </c>
      <c r="H1982">
        <v>7</v>
      </c>
      <c r="I1982" t="str">
        <f t="shared" si="30"/>
        <v>2024-05</v>
      </c>
    </row>
    <row r="1983" spans="1:9" ht="15" customHeight="1" x14ac:dyDescent="0.25">
      <c r="A1983">
        <v>1982</v>
      </c>
      <c r="B1983">
        <v>6</v>
      </c>
      <c r="C1983" t="s">
        <v>178</v>
      </c>
      <c r="D1983">
        <v>480</v>
      </c>
      <c r="E1983">
        <v>55</v>
      </c>
      <c r="F1983" t="s">
        <v>22</v>
      </c>
      <c r="G1983">
        <v>1123</v>
      </c>
      <c r="H1983">
        <v>12</v>
      </c>
      <c r="I1983" t="str">
        <f t="shared" si="30"/>
        <v>2024-05</v>
      </c>
    </row>
    <row r="1984" spans="1:9" ht="15" customHeight="1" x14ac:dyDescent="0.25">
      <c r="A1984">
        <v>1983</v>
      </c>
      <c r="B1984">
        <v>6</v>
      </c>
      <c r="C1984" t="s">
        <v>179</v>
      </c>
      <c r="D1984">
        <v>480</v>
      </c>
      <c r="E1984">
        <v>83</v>
      </c>
      <c r="F1984" t="s">
        <v>29</v>
      </c>
      <c r="G1984">
        <v>1165</v>
      </c>
      <c r="H1984">
        <v>13</v>
      </c>
      <c r="I1984" t="str">
        <f t="shared" si="30"/>
        <v>2024-06</v>
      </c>
    </row>
    <row r="1985" spans="1:9" ht="15" customHeight="1" x14ac:dyDescent="0.25">
      <c r="A1985">
        <v>1984</v>
      </c>
      <c r="B1985">
        <v>6</v>
      </c>
      <c r="C1985" t="s">
        <v>180</v>
      </c>
      <c r="D1985">
        <v>480</v>
      </c>
      <c r="E1985">
        <v>166</v>
      </c>
      <c r="F1985" t="s">
        <v>45</v>
      </c>
      <c r="G1985">
        <v>848</v>
      </c>
      <c r="H1985">
        <v>13</v>
      </c>
      <c r="I1985" t="str">
        <f t="shared" si="30"/>
        <v>2024-06</v>
      </c>
    </row>
    <row r="1986" spans="1:9" ht="15" customHeight="1" x14ac:dyDescent="0.25">
      <c r="A1986">
        <v>1985</v>
      </c>
      <c r="B1986">
        <v>6</v>
      </c>
      <c r="C1986" t="s">
        <v>181</v>
      </c>
      <c r="D1986">
        <v>480</v>
      </c>
      <c r="E1986">
        <v>37</v>
      </c>
      <c r="F1986" t="s">
        <v>24</v>
      </c>
      <c r="G1986">
        <v>1322</v>
      </c>
      <c r="H1986">
        <v>23</v>
      </c>
      <c r="I1986" t="str">
        <f t="shared" ref="I1986:I2049" si="31">TEXT(C1986,"yyyy-mm")</f>
        <v>2024-06</v>
      </c>
    </row>
    <row r="1987" spans="1:9" ht="15" customHeight="1" x14ac:dyDescent="0.25">
      <c r="A1987">
        <v>1986</v>
      </c>
      <c r="B1987">
        <v>6</v>
      </c>
      <c r="C1987" t="s">
        <v>182</v>
      </c>
      <c r="D1987">
        <v>480</v>
      </c>
      <c r="E1987">
        <v>5</v>
      </c>
      <c r="F1987" t="s">
        <v>24</v>
      </c>
      <c r="G1987">
        <v>1428</v>
      </c>
      <c r="H1987">
        <v>23</v>
      </c>
      <c r="I1987" t="str">
        <f t="shared" si="31"/>
        <v>2024-06</v>
      </c>
    </row>
    <row r="1988" spans="1:9" ht="15" customHeight="1" x14ac:dyDescent="0.25">
      <c r="A1988">
        <v>1987</v>
      </c>
      <c r="B1988">
        <v>6</v>
      </c>
      <c r="C1988" t="s">
        <v>183</v>
      </c>
      <c r="D1988">
        <v>480</v>
      </c>
      <c r="E1988">
        <v>88</v>
      </c>
      <c r="F1988" t="s">
        <v>45</v>
      </c>
      <c r="G1988">
        <v>1011</v>
      </c>
      <c r="H1988">
        <v>16</v>
      </c>
      <c r="I1988" t="str">
        <f t="shared" si="31"/>
        <v>2024-06</v>
      </c>
    </row>
    <row r="1989" spans="1:9" ht="15" customHeight="1" x14ac:dyDescent="0.25">
      <c r="A1989">
        <v>1988</v>
      </c>
      <c r="B1989">
        <v>6</v>
      </c>
      <c r="C1989" t="s">
        <v>184</v>
      </c>
      <c r="D1989">
        <v>480</v>
      </c>
      <c r="E1989">
        <v>107</v>
      </c>
      <c r="F1989" t="s">
        <v>24</v>
      </c>
      <c r="G1989">
        <v>981</v>
      </c>
      <c r="H1989">
        <v>17</v>
      </c>
      <c r="I1989" t="str">
        <f t="shared" si="31"/>
        <v>2024-06</v>
      </c>
    </row>
    <row r="1990" spans="1:9" ht="15" customHeight="1" x14ac:dyDescent="0.25">
      <c r="A1990">
        <v>1989</v>
      </c>
      <c r="B1990">
        <v>6</v>
      </c>
      <c r="C1990" t="s">
        <v>185</v>
      </c>
      <c r="D1990">
        <v>480</v>
      </c>
      <c r="E1990">
        <v>2</v>
      </c>
      <c r="F1990" t="s">
        <v>29</v>
      </c>
      <c r="G1990">
        <v>1219</v>
      </c>
      <c r="H1990">
        <v>15</v>
      </c>
      <c r="I1990" t="str">
        <f t="shared" si="31"/>
        <v>2024-06</v>
      </c>
    </row>
    <row r="1991" spans="1:9" ht="15" customHeight="1" x14ac:dyDescent="0.25">
      <c r="A1991">
        <v>1990</v>
      </c>
      <c r="B1991">
        <v>6</v>
      </c>
      <c r="C1991" t="s">
        <v>186</v>
      </c>
      <c r="D1991">
        <v>480</v>
      </c>
      <c r="E1991">
        <v>48</v>
      </c>
      <c r="F1991" t="s">
        <v>27</v>
      </c>
      <c r="G1991">
        <v>1226</v>
      </c>
      <c r="H1991">
        <v>7</v>
      </c>
      <c r="I1991" t="str">
        <f t="shared" si="31"/>
        <v>2024-06</v>
      </c>
    </row>
    <row r="1992" spans="1:9" ht="15" customHeight="1" x14ac:dyDescent="0.25">
      <c r="A1992">
        <v>1991</v>
      </c>
      <c r="B1992">
        <v>6</v>
      </c>
      <c r="C1992" t="s">
        <v>187</v>
      </c>
      <c r="D1992">
        <v>480</v>
      </c>
      <c r="E1992">
        <v>183</v>
      </c>
      <c r="F1992" t="s">
        <v>29</v>
      </c>
      <c r="G1992">
        <v>739</v>
      </c>
      <c r="H1992">
        <v>5</v>
      </c>
      <c r="I1992" t="str">
        <f t="shared" si="31"/>
        <v>2024-06</v>
      </c>
    </row>
    <row r="1993" spans="1:9" ht="15" customHeight="1" x14ac:dyDescent="0.25">
      <c r="A1993">
        <v>1992</v>
      </c>
      <c r="B1993">
        <v>6</v>
      </c>
      <c r="C1993" t="s">
        <v>188</v>
      </c>
      <c r="D1993">
        <v>480</v>
      </c>
      <c r="E1993">
        <v>0</v>
      </c>
      <c r="F1993" t="s">
        <v>33</v>
      </c>
      <c r="G1993">
        <v>1341</v>
      </c>
      <c r="H1993">
        <v>24</v>
      </c>
      <c r="I1993" t="str">
        <f t="shared" si="31"/>
        <v>2024-06</v>
      </c>
    </row>
    <row r="1994" spans="1:9" ht="15" customHeight="1" x14ac:dyDescent="0.25">
      <c r="A1994">
        <v>1993</v>
      </c>
      <c r="B1994">
        <v>6</v>
      </c>
      <c r="C1994" t="s">
        <v>189</v>
      </c>
      <c r="D1994">
        <v>480</v>
      </c>
      <c r="E1994">
        <v>62</v>
      </c>
      <c r="F1994" t="s">
        <v>22</v>
      </c>
      <c r="G1994">
        <v>1229</v>
      </c>
      <c r="H1994">
        <v>7</v>
      </c>
      <c r="I1994" t="str">
        <f t="shared" si="31"/>
        <v>2024-06</v>
      </c>
    </row>
    <row r="1995" spans="1:9" ht="15" customHeight="1" x14ac:dyDescent="0.25">
      <c r="A1995">
        <v>1994</v>
      </c>
      <c r="B1995">
        <v>6</v>
      </c>
      <c r="C1995" t="s">
        <v>190</v>
      </c>
      <c r="D1995">
        <v>480</v>
      </c>
      <c r="E1995">
        <v>44</v>
      </c>
      <c r="F1995" t="s">
        <v>27</v>
      </c>
      <c r="G1995">
        <v>1190</v>
      </c>
      <c r="H1995">
        <v>14</v>
      </c>
      <c r="I1995" t="str">
        <f t="shared" si="31"/>
        <v>2024-06</v>
      </c>
    </row>
    <row r="1996" spans="1:9" ht="15" customHeight="1" x14ac:dyDescent="0.25">
      <c r="A1996">
        <v>1995</v>
      </c>
      <c r="B1996">
        <v>6</v>
      </c>
      <c r="C1996" t="s">
        <v>191</v>
      </c>
      <c r="D1996">
        <v>480</v>
      </c>
      <c r="E1996">
        <v>4</v>
      </c>
      <c r="F1996" t="s">
        <v>24</v>
      </c>
      <c r="G1996">
        <v>1362</v>
      </c>
      <c r="H1996">
        <v>17</v>
      </c>
      <c r="I1996" t="str">
        <f t="shared" si="31"/>
        <v>2024-06</v>
      </c>
    </row>
    <row r="1997" spans="1:9" ht="15" customHeight="1" x14ac:dyDescent="0.25">
      <c r="A1997">
        <v>1996</v>
      </c>
      <c r="B1997">
        <v>6</v>
      </c>
      <c r="C1997" t="s">
        <v>192</v>
      </c>
      <c r="D1997">
        <v>480</v>
      </c>
      <c r="E1997">
        <v>82</v>
      </c>
      <c r="F1997" t="s">
        <v>22</v>
      </c>
      <c r="G1997">
        <v>1093</v>
      </c>
      <c r="H1997">
        <v>8</v>
      </c>
      <c r="I1997" t="str">
        <f t="shared" si="31"/>
        <v>2024-06</v>
      </c>
    </row>
    <row r="1998" spans="1:9" ht="15" customHeight="1" x14ac:dyDescent="0.25">
      <c r="A1998">
        <v>1997</v>
      </c>
      <c r="B1998">
        <v>6</v>
      </c>
      <c r="C1998" t="s">
        <v>193</v>
      </c>
      <c r="D1998">
        <v>480</v>
      </c>
      <c r="E1998">
        <v>59</v>
      </c>
      <c r="F1998" t="s">
        <v>29</v>
      </c>
      <c r="G1998">
        <v>1079</v>
      </c>
      <c r="H1998">
        <v>18</v>
      </c>
      <c r="I1998" t="str">
        <f t="shared" si="31"/>
        <v>2024-06</v>
      </c>
    </row>
    <row r="1999" spans="1:9" ht="15" customHeight="1" x14ac:dyDescent="0.25">
      <c r="A1999">
        <v>1998</v>
      </c>
      <c r="B1999">
        <v>6</v>
      </c>
      <c r="C1999" t="s">
        <v>194</v>
      </c>
      <c r="D1999">
        <v>480</v>
      </c>
      <c r="E1999">
        <v>53</v>
      </c>
      <c r="F1999" t="s">
        <v>45</v>
      </c>
      <c r="G1999">
        <v>1091</v>
      </c>
      <c r="H1999">
        <v>20</v>
      </c>
      <c r="I1999" t="str">
        <f t="shared" si="31"/>
        <v>2024-06</v>
      </c>
    </row>
    <row r="2000" spans="1:9" ht="15" customHeight="1" x14ac:dyDescent="0.25">
      <c r="A2000">
        <v>1999</v>
      </c>
      <c r="B2000">
        <v>6</v>
      </c>
      <c r="C2000" t="s">
        <v>195</v>
      </c>
      <c r="D2000">
        <v>480</v>
      </c>
      <c r="E2000">
        <v>41</v>
      </c>
      <c r="F2000" t="s">
        <v>22</v>
      </c>
      <c r="G2000">
        <v>1100</v>
      </c>
      <c r="H2000">
        <v>15</v>
      </c>
      <c r="I2000" t="str">
        <f t="shared" si="31"/>
        <v>2024-06</v>
      </c>
    </row>
    <row r="2001" spans="1:9" ht="15" customHeight="1" x14ac:dyDescent="0.25">
      <c r="A2001">
        <v>2000</v>
      </c>
      <c r="B2001">
        <v>6</v>
      </c>
      <c r="C2001" t="s">
        <v>196</v>
      </c>
      <c r="D2001">
        <v>480</v>
      </c>
      <c r="E2001">
        <v>16</v>
      </c>
      <c r="F2001" t="s">
        <v>45</v>
      </c>
      <c r="G2001">
        <v>1360</v>
      </c>
      <c r="H2001">
        <v>22</v>
      </c>
      <c r="I2001" t="str">
        <f t="shared" si="31"/>
        <v>2024-06</v>
      </c>
    </row>
    <row r="2002" spans="1:9" ht="15" customHeight="1" x14ac:dyDescent="0.25">
      <c r="A2002">
        <v>2001</v>
      </c>
      <c r="B2002">
        <v>6</v>
      </c>
      <c r="C2002" t="s">
        <v>197</v>
      </c>
      <c r="D2002">
        <v>480</v>
      </c>
      <c r="E2002">
        <v>219</v>
      </c>
      <c r="F2002" t="s">
        <v>45</v>
      </c>
      <c r="G2002">
        <v>719</v>
      </c>
      <c r="H2002">
        <v>8</v>
      </c>
      <c r="I2002" t="str">
        <f t="shared" si="31"/>
        <v>2024-06</v>
      </c>
    </row>
    <row r="2003" spans="1:9" ht="15" customHeight="1" x14ac:dyDescent="0.25">
      <c r="A2003">
        <v>2002</v>
      </c>
      <c r="B2003">
        <v>6</v>
      </c>
      <c r="C2003" t="s">
        <v>198</v>
      </c>
      <c r="D2003">
        <v>480</v>
      </c>
      <c r="E2003">
        <v>79</v>
      </c>
      <c r="F2003" t="s">
        <v>22</v>
      </c>
      <c r="G2003">
        <v>1019</v>
      </c>
      <c r="H2003">
        <v>13</v>
      </c>
      <c r="I2003" t="str">
        <f t="shared" si="31"/>
        <v>2024-06</v>
      </c>
    </row>
    <row r="2004" spans="1:9" ht="15" customHeight="1" x14ac:dyDescent="0.25">
      <c r="A2004">
        <v>2003</v>
      </c>
      <c r="B2004">
        <v>6</v>
      </c>
      <c r="C2004" t="s">
        <v>199</v>
      </c>
      <c r="D2004">
        <v>480</v>
      </c>
      <c r="E2004">
        <v>44</v>
      </c>
      <c r="F2004" t="s">
        <v>22</v>
      </c>
      <c r="G2004">
        <v>1097</v>
      </c>
      <c r="H2004">
        <v>12</v>
      </c>
      <c r="I2004" t="str">
        <f t="shared" si="31"/>
        <v>2024-06</v>
      </c>
    </row>
    <row r="2005" spans="1:9" ht="15" customHeight="1" x14ac:dyDescent="0.25">
      <c r="A2005">
        <v>2004</v>
      </c>
      <c r="B2005">
        <v>6</v>
      </c>
      <c r="C2005" t="s">
        <v>200</v>
      </c>
      <c r="D2005">
        <v>480</v>
      </c>
      <c r="E2005">
        <v>108</v>
      </c>
      <c r="F2005" t="s">
        <v>22</v>
      </c>
      <c r="G2005">
        <v>1101</v>
      </c>
      <c r="H2005">
        <v>8</v>
      </c>
      <c r="I2005" t="str">
        <f t="shared" si="31"/>
        <v>2024-06</v>
      </c>
    </row>
    <row r="2006" spans="1:9" ht="15" customHeight="1" x14ac:dyDescent="0.25">
      <c r="A2006">
        <v>2005</v>
      </c>
      <c r="B2006">
        <v>6</v>
      </c>
      <c r="C2006" t="s">
        <v>201</v>
      </c>
      <c r="D2006">
        <v>480</v>
      </c>
      <c r="E2006">
        <v>5</v>
      </c>
      <c r="F2006" t="s">
        <v>29</v>
      </c>
      <c r="G2006">
        <v>1243</v>
      </c>
      <c r="H2006">
        <v>21</v>
      </c>
      <c r="I2006" t="str">
        <f t="shared" si="31"/>
        <v>2024-06</v>
      </c>
    </row>
    <row r="2007" spans="1:9" ht="15" customHeight="1" x14ac:dyDescent="0.25">
      <c r="A2007">
        <v>2006</v>
      </c>
      <c r="B2007">
        <v>6</v>
      </c>
      <c r="C2007" t="s">
        <v>202</v>
      </c>
      <c r="D2007">
        <v>480</v>
      </c>
      <c r="E2007">
        <v>7</v>
      </c>
      <c r="F2007" t="s">
        <v>24</v>
      </c>
      <c r="G2007">
        <v>1363</v>
      </c>
      <c r="H2007">
        <v>10</v>
      </c>
      <c r="I2007" t="str">
        <f t="shared" si="31"/>
        <v>2024-06</v>
      </c>
    </row>
    <row r="2008" spans="1:9" ht="15" customHeight="1" x14ac:dyDescent="0.25">
      <c r="A2008">
        <v>2007</v>
      </c>
      <c r="B2008">
        <v>6</v>
      </c>
      <c r="C2008" t="s">
        <v>203</v>
      </c>
      <c r="D2008">
        <v>480</v>
      </c>
      <c r="E2008">
        <v>55</v>
      </c>
      <c r="F2008" t="s">
        <v>27</v>
      </c>
      <c r="G2008">
        <v>1135</v>
      </c>
      <c r="H2008">
        <v>18</v>
      </c>
      <c r="I2008" t="str">
        <f t="shared" si="31"/>
        <v>2024-06</v>
      </c>
    </row>
    <row r="2009" spans="1:9" ht="15" customHeight="1" x14ac:dyDescent="0.25">
      <c r="A2009">
        <v>2008</v>
      </c>
      <c r="B2009">
        <v>6</v>
      </c>
      <c r="C2009" t="s">
        <v>204</v>
      </c>
      <c r="D2009">
        <v>480</v>
      </c>
      <c r="E2009">
        <v>15</v>
      </c>
      <c r="F2009" t="s">
        <v>27</v>
      </c>
      <c r="G2009">
        <v>1318</v>
      </c>
      <c r="H2009">
        <v>12</v>
      </c>
      <c r="I2009" t="str">
        <f t="shared" si="31"/>
        <v>2024-06</v>
      </c>
    </row>
    <row r="2010" spans="1:9" ht="15" customHeight="1" x14ac:dyDescent="0.25">
      <c r="A2010">
        <v>2009</v>
      </c>
      <c r="B2010">
        <v>6</v>
      </c>
      <c r="C2010" t="s">
        <v>205</v>
      </c>
      <c r="D2010">
        <v>480</v>
      </c>
      <c r="E2010">
        <v>70</v>
      </c>
      <c r="F2010" t="s">
        <v>27</v>
      </c>
      <c r="G2010">
        <v>1218</v>
      </c>
      <c r="H2010">
        <v>9</v>
      </c>
      <c r="I2010" t="str">
        <f t="shared" si="31"/>
        <v>2024-06</v>
      </c>
    </row>
    <row r="2011" spans="1:9" ht="15" customHeight="1" x14ac:dyDescent="0.25">
      <c r="A2011">
        <v>2010</v>
      </c>
      <c r="B2011">
        <v>6</v>
      </c>
      <c r="C2011" t="s">
        <v>206</v>
      </c>
      <c r="D2011">
        <v>480</v>
      </c>
      <c r="E2011">
        <v>114</v>
      </c>
      <c r="F2011" t="s">
        <v>29</v>
      </c>
      <c r="G2011">
        <v>1028</v>
      </c>
      <c r="H2011">
        <v>8</v>
      </c>
      <c r="I2011" t="str">
        <f t="shared" si="31"/>
        <v>2024-06</v>
      </c>
    </row>
    <row r="2012" spans="1:9" ht="15" customHeight="1" x14ac:dyDescent="0.25">
      <c r="A2012">
        <v>2011</v>
      </c>
      <c r="B2012">
        <v>6</v>
      </c>
      <c r="C2012" t="s">
        <v>207</v>
      </c>
      <c r="D2012">
        <v>480</v>
      </c>
      <c r="E2012">
        <v>31</v>
      </c>
      <c r="F2012" t="s">
        <v>29</v>
      </c>
      <c r="G2012">
        <v>1148</v>
      </c>
      <c r="H2012">
        <v>17</v>
      </c>
      <c r="I2012" t="str">
        <f t="shared" si="31"/>
        <v>2024-06</v>
      </c>
    </row>
    <row r="2013" spans="1:9" ht="15" customHeight="1" x14ac:dyDescent="0.25">
      <c r="A2013">
        <v>2012</v>
      </c>
      <c r="B2013">
        <v>6</v>
      </c>
      <c r="C2013" t="s">
        <v>208</v>
      </c>
      <c r="D2013">
        <v>480</v>
      </c>
      <c r="E2013">
        <v>80</v>
      </c>
      <c r="F2013" t="s">
        <v>22</v>
      </c>
      <c r="G2013">
        <v>1010</v>
      </c>
      <c r="H2013">
        <v>12</v>
      </c>
      <c r="I2013" t="str">
        <f t="shared" si="31"/>
        <v>2024-06</v>
      </c>
    </row>
    <row r="2014" spans="1:9" ht="15" customHeight="1" x14ac:dyDescent="0.25">
      <c r="A2014">
        <v>2013</v>
      </c>
      <c r="B2014">
        <v>6</v>
      </c>
      <c r="C2014" t="s">
        <v>209</v>
      </c>
      <c r="D2014">
        <v>480</v>
      </c>
      <c r="E2014">
        <v>95</v>
      </c>
      <c r="F2014" t="s">
        <v>29</v>
      </c>
      <c r="G2014">
        <v>1158</v>
      </c>
      <c r="H2014">
        <v>14</v>
      </c>
      <c r="I2014" t="str">
        <f t="shared" si="31"/>
        <v>2024-07</v>
      </c>
    </row>
    <row r="2015" spans="1:9" ht="15" customHeight="1" x14ac:dyDescent="0.25">
      <c r="A2015">
        <v>2014</v>
      </c>
      <c r="B2015">
        <v>6</v>
      </c>
      <c r="C2015" t="s">
        <v>210</v>
      </c>
      <c r="D2015">
        <v>480</v>
      </c>
      <c r="E2015">
        <v>170</v>
      </c>
      <c r="F2015" t="s">
        <v>22</v>
      </c>
      <c r="G2015">
        <v>860</v>
      </c>
      <c r="H2015">
        <v>9</v>
      </c>
      <c r="I2015" t="str">
        <f t="shared" si="31"/>
        <v>2024-07</v>
      </c>
    </row>
    <row r="2016" spans="1:9" ht="15" customHeight="1" x14ac:dyDescent="0.25">
      <c r="A2016">
        <v>2015</v>
      </c>
      <c r="B2016">
        <v>6</v>
      </c>
      <c r="C2016" t="s">
        <v>211</v>
      </c>
      <c r="D2016">
        <v>480</v>
      </c>
      <c r="E2016">
        <v>106</v>
      </c>
      <c r="F2016" t="s">
        <v>24</v>
      </c>
      <c r="G2016">
        <v>1028</v>
      </c>
      <c r="H2016">
        <v>12</v>
      </c>
      <c r="I2016" t="str">
        <f t="shared" si="31"/>
        <v>2024-07</v>
      </c>
    </row>
    <row r="2017" spans="1:9" ht="15" customHeight="1" x14ac:dyDescent="0.25">
      <c r="A2017">
        <v>2016</v>
      </c>
      <c r="B2017">
        <v>6</v>
      </c>
      <c r="C2017" t="s">
        <v>212</v>
      </c>
      <c r="D2017">
        <v>480</v>
      </c>
      <c r="E2017">
        <v>38</v>
      </c>
      <c r="F2017" t="s">
        <v>24</v>
      </c>
      <c r="G2017">
        <v>1306</v>
      </c>
      <c r="H2017">
        <v>21</v>
      </c>
      <c r="I2017" t="str">
        <f t="shared" si="31"/>
        <v>2024-07</v>
      </c>
    </row>
    <row r="2018" spans="1:9" ht="15" customHeight="1" x14ac:dyDescent="0.25">
      <c r="A2018">
        <v>2017</v>
      </c>
      <c r="B2018">
        <v>6</v>
      </c>
      <c r="C2018" t="s">
        <v>213</v>
      </c>
      <c r="D2018">
        <v>480</v>
      </c>
      <c r="E2018">
        <v>29</v>
      </c>
      <c r="F2018" t="s">
        <v>45</v>
      </c>
      <c r="G2018">
        <v>1198</v>
      </c>
      <c r="H2018">
        <v>14</v>
      </c>
      <c r="I2018" t="str">
        <f t="shared" si="31"/>
        <v>2024-07</v>
      </c>
    </row>
    <row r="2019" spans="1:9" ht="15" customHeight="1" x14ac:dyDescent="0.25">
      <c r="A2019">
        <v>2018</v>
      </c>
      <c r="B2019">
        <v>6</v>
      </c>
      <c r="C2019" t="s">
        <v>214</v>
      </c>
      <c r="D2019">
        <v>480</v>
      </c>
      <c r="E2019">
        <v>48</v>
      </c>
      <c r="F2019" t="s">
        <v>29</v>
      </c>
      <c r="G2019">
        <v>1124</v>
      </c>
      <c r="H2019">
        <v>18</v>
      </c>
      <c r="I2019" t="str">
        <f t="shared" si="31"/>
        <v>2024-07</v>
      </c>
    </row>
    <row r="2020" spans="1:9" ht="15" customHeight="1" x14ac:dyDescent="0.25">
      <c r="A2020">
        <v>2019</v>
      </c>
      <c r="B2020">
        <v>6</v>
      </c>
      <c r="C2020" t="s">
        <v>215</v>
      </c>
      <c r="D2020">
        <v>480</v>
      </c>
      <c r="E2020">
        <v>37</v>
      </c>
      <c r="F2020" t="s">
        <v>45</v>
      </c>
      <c r="G2020">
        <v>1177</v>
      </c>
      <c r="H2020">
        <v>8</v>
      </c>
      <c r="I2020" t="str">
        <f t="shared" si="31"/>
        <v>2024-07</v>
      </c>
    </row>
    <row r="2021" spans="1:9" ht="15" customHeight="1" x14ac:dyDescent="0.25">
      <c r="A2021">
        <v>2020</v>
      </c>
      <c r="B2021">
        <v>6</v>
      </c>
      <c r="C2021" t="s">
        <v>216</v>
      </c>
      <c r="D2021">
        <v>480</v>
      </c>
      <c r="E2021">
        <v>15</v>
      </c>
      <c r="F2021" t="s">
        <v>29</v>
      </c>
      <c r="G2021">
        <v>1402</v>
      </c>
      <c r="H2021">
        <v>14</v>
      </c>
      <c r="I2021" t="str">
        <f t="shared" si="31"/>
        <v>2024-07</v>
      </c>
    </row>
    <row r="2022" spans="1:9" ht="15" customHeight="1" x14ac:dyDescent="0.25">
      <c r="A2022">
        <v>2021</v>
      </c>
      <c r="B2022">
        <v>6</v>
      </c>
      <c r="C2022" t="s">
        <v>217</v>
      </c>
      <c r="D2022">
        <v>480</v>
      </c>
      <c r="E2022">
        <v>10</v>
      </c>
      <c r="F2022" t="s">
        <v>27</v>
      </c>
      <c r="G2022">
        <v>1284</v>
      </c>
      <c r="H2022">
        <v>13</v>
      </c>
      <c r="I2022" t="str">
        <f t="shared" si="31"/>
        <v>2024-07</v>
      </c>
    </row>
    <row r="2023" spans="1:9" ht="15" customHeight="1" x14ac:dyDescent="0.25">
      <c r="A2023">
        <v>2022</v>
      </c>
      <c r="B2023">
        <v>6</v>
      </c>
      <c r="C2023" t="s">
        <v>218</v>
      </c>
      <c r="D2023">
        <v>480</v>
      </c>
      <c r="E2023">
        <v>2</v>
      </c>
      <c r="F2023" t="s">
        <v>24</v>
      </c>
      <c r="G2023">
        <v>1267</v>
      </c>
      <c r="H2023">
        <v>16</v>
      </c>
      <c r="I2023" t="str">
        <f t="shared" si="31"/>
        <v>2024-07</v>
      </c>
    </row>
    <row r="2024" spans="1:9" ht="15" customHeight="1" x14ac:dyDescent="0.25">
      <c r="A2024">
        <v>2023</v>
      </c>
      <c r="B2024">
        <v>6</v>
      </c>
      <c r="C2024" t="s">
        <v>219</v>
      </c>
      <c r="D2024">
        <v>480</v>
      </c>
      <c r="E2024">
        <v>45</v>
      </c>
      <c r="F2024" t="s">
        <v>22</v>
      </c>
      <c r="G2024">
        <v>1162</v>
      </c>
      <c r="H2024">
        <v>13</v>
      </c>
      <c r="I2024" t="str">
        <f t="shared" si="31"/>
        <v>2024-07</v>
      </c>
    </row>
    <row r="2025" spans="1:9" ht="15" customHeight="1" x14ac:dyDescent="0.25">
      <c r="A2025">
        <v>2024</v>
      </c>
      <c r="B2025">
        <v>6</v>
      </c>
      <c r="C2025" t="s">
        <v>220</v>
      </c>
      <c r="D2025">
        <v>480</v>
      </c>
      <c r="E2025">
        <v>191</v>
      </c>
      <c r="F2025" t="s">
        <v>27</v>
      </c>
      <c r="G2025">
        <v>775</v>
      </c>
      <c r="H2025">
        <v>7</v>
      </c>
      <c r="I2025" t="str">
        <f t="shared" si="31"/>
        <v>2024-07</v>
      </c>
    </row>
    <row r="2026" spans="1:9" ht="15" customHeight="1" x14ac:dyDescent="0.25">
      <c r="A2026">
        <v>2025</v>
      </c>
      <c r="B2026">
        <v>6</v>
      </c>
      <c r="C2026" t="s">
        <v>221</v>
      </c>
      <c r="D2026">
        <v>480</v>
      </c>
      <c r="E2026">
        <v>15</v>
      </c>
      <c r="F2026" t="s">
        <v>29</v>
      </c>
      <c r="G2026">
        <v>1269</v>
      </c>
      <c r="H2026">
        <v>20</v>
      </c>
      <c r="I2026" t="str">
        <f t="shared" si="31"/>
        <v>2024-07</v>
      </c>
    </row>
    <row r="2027" spans="1:9" ht="15" customHeight="1" x14ac:dyDescent="0.25">
      <c r="A2027">
        <v>2026</v>
      </c>
      <c r="B2027">
        <v>6</v>
      </c>
      <c r="C2027" t="s">
        <v>222</v>
      </c>
      <c r="D2027">
        <v>480</v>
      </c>
      <c r="E2027">
        <v>13</v>
      </c>
      <c r="F2027" t="s">
        <v>22</v>
      </c>
      <c r="G2027">
        <v>1343</v>
      </c>
      <c r="H2027">
        <v>8</v>
      </c>
      <c r="I2027" t="str">
        <f t="shared" si="31"/>
        <v>2024-07</v>
      </c>
    </row>
    <row r="2028" spans="1:9" ht="15" customHeight="1" x14ac:dyDescent="0.25">
      <c r="A2028">
        <v>2027</v>
      </c>
      <c r="B2028">
        <v>6</v>
      </c>
      <c r="C2028" t="s">
        <v>223</v>
      </c>
      <c r="D2028">
        <v>480</v>
      </c>
      <c r="E2028">
        <v>30</v>
      </c>
      <c r="F2028" t="s">
        <v>33</v>
      </c>
      <c r="G2028">
        <v>1311</v>
      </c>
      <c r="H2028">
        <v>13</v>
      </c>
      <c r="I2028" t="str">
        <f t="shared" si="31"/>
        <v>2024-07</v>
      </c>
    </row>
    <row r="2029" spans="1:9" ht="15" customHeight="1" x14ac:dyDescent="0.25">
      <c r="A2029">
        <v>2028</v>
      </c>
      <c r="B2029">
        <v>6</v>
      </c>
      <c r="C2029" t="s">
        <v>224</v>
      </c>
      <c r="D2029">
        <v>480</v>
      </c>
      <c r="E2029">
        <v>47</v>
      </c>
      <c r="F2029" t="s">
        <v>29</v>
      </c>
      <c r="G2029">
        <v>1118</v>
      </c>
      <c r="H2029">
        <v>17</v>
      </c>
      <c r="I2029" t="str">
        <f t="shared" si="31"/>
        <v>2024-07</v>
      </c>
    </row>
    <row r="2030" spans="1:9" ht="15" customHeight="1" x14ac:dyDescent="0.25">
      <c r="A2030">
        <v>2029</v>
      </c>
      <c r="B2030">
        <v>6</v>
      </c>
      <c r="C2030" t="s">
        <v>225</v>
      </c>
      <c r="D2030">
        <v>480</v>
      </c>
      <c r="E2030">
        <v>3</v>
      </c>
      <c r="F2030" t="s">
        <v>27</v>
      </c>
      <c r="G2030">
        <v>1411</v>
      </c>
      <c r="H2030">
        <v>12</v>
      </c>
      <c r="I2030" t="str">
        <f t="shared" si="31"/>
        <v>2024-07</v>
      </c>
    </row>
    <row r="2031" spans="1:9" ht="15" customHeight="1" x14ac:dyDescent="0.25">
      <c r="A2031">
        <v>2030</v>
      </c>
      <c r="B2031">
        <v>6</v>
      </c>
      <c r="C2031" t="s">
        <v>226</v>
      </c>
      <c r="D2031">
        <v>480</v>
      </c>
      <c r="E2031">
        <v>117</v>
      </c>
      <c r="F2031" t="s">
        <v>22</v>
      </c>
      <c r="G2031">
        <v>969</v>
      </c>
      <c r="H2031">
        <v>14</v>
      </c>
      <c r="I2031" t="str">
        <f t="shared" si="31"/>
        <v>2024-07</v>
      </c>
    </row>
    <row r="2032" spans="1:9" ht="15" customHeight="1" x14ac:dyDescent="0.25">
      <c r="A2032">
        <v>2031</v>
      </c>
      <c r="B2032">
        <v>6</v>
      </c>
      <c r="C2032" t="s">
        <v>227</v>
      </c>
      <c r="D2032">
        <v>480</v>
      </c>
      <c r="E2032">
        <v>21</v>
      </c>
      <c r="F2032" t="s">
        <v>45</v>
      </c>
      <c r="G2032">
        <v>1372</v>
      </c>
      <c r="H2032">
        <v>10</v>
      </c>
      <c r="I2032" t="str">
        <f t="shared" si="31"/>
        <v>2024-07</v>
      </c>
    </row>
    <row r="2033" spans="1:9" ht="15" customHeight="1" x14ac:dyDescent="0.25">
      <c r="A2033">
        <v>2032</v>
      </c>
      <c r="B2033">
        <v>6</v>
      </c>
      <c r="C2033" t="s">
        <v>228</v>
      </c>
      <c r="D2033">
        <v>480</v>
      </c>
      <c r="E2033">
        <v>11</v>
      </c>
      <c r="F2033" t="s">
        <v>27</v>
      </c>
      <c r="G2033">
        <v>1290</v>
      </c>
      <c r="H2033">
        <v>1290</v>
      </c>
      <c r="I2033" t="str">
        <f t="shared" si="31"/>
        <v>2024-07</v>
      </c>
    </row>
    <row r="2034" spans="1:9" ht="15" customHeight="1" x14ac:dyDescent="0.25">
      <c r="A2034">
        <v>2033</v>
      </c>
      <c r="B2034">
        <v>6</v>
      </c>
      <c r="C2034" t="s">
        <v>229</v>
      </c>
      <c r="D2034">
        <v>480</v>
      </c>
      <c r="E2034">
        <v>12</v>
      </c>
      <c r="F2034" t="s">
        <v>29</v>
      </c>
      <c r="G2034">
        <v>1409</v>
      </c>
      <c r="H2034">
        <v>26</v>
      </c>
      <c r="I2034" t="str">
        <f t="shared" si="31"/>
        <v>2024-07</v>
      </c>
    </row>
    <row r="2035" spans="1:9" ht="15" customHeight="1" x14ac:dyDescent="0.25">
      <c r="A2035">
        <v>2034</v>
      </c>
      <c r="B2035">
        <v>6</v>
      </c>
      <c r="C2035" t="s">
        <v>230</v>
      </c>
      <c r="D2035">
        <v>480</v>
      </c>
      <c r="E2035">
        <v>26</v>
      </c>
      <c r="F2035" t="s">
        <v>27</v>
      </c>
      <c r="G2035">
        <v>1362</v>
      </c>
      <c r="H2035">
        <v>17</v>
      </c>
      <c r="I2035" t="str">
        <f t="shared" si="31"/>
        <v>2024-07</v>
      </c>
    </row>
    <row r="2036" spans="1:9" ht="15" customHeight="1" x14ac:dyDescent="0.25">
      <c r="A2036">
        <v>2035</v>
      </c>
      <c r="B2036">
        <v>6</v>
      </c>
      <c r="C2036" t="s">
        <v>231</v>
      </c>
      <c r="D2036">
        <v>480</v>
      </c>
      <c r="E2036">
        <v>17</v>
      </c>
      <c r="F2036" t="s">
        <v>45</v>
      </c>
      <c r="G2036">
        <v>1329</v>
      </c>
      <c r="H2036">
        <v>19</v>
      </c>
      <c r="I2036" t="str">
        <f t="shared" si="31"/>
        <v>2024-07</v>
      </c>
    </row>
    <row r="2037" spans="1:9" ht="15" customHeight="1" x14ac:dyDescent="0.25">
      <c r="A2037">
        <v>2036</v>
      </c>
      <c r="B2037">
        <v>6</v>
      </c>
      <c r="C2037" t="s">
        <v>232</v>
      </c>
      <c r="D2037">
        <v>480</v>
      </c>
      <c r="E2037">
        <v>256</v>
      </c>
      <c r="F2037" t="s">
        <v>24</v>
      </c>
      <c r="G2037">
        <v>586</v>
      </c>
      <c r="H2037">
        <v>8</v>
      </c>
      <c r="I2037" t="str">
        <f t="shared" si="31"/>
        <v>2024-07</v>
      </c>
    </row>
    <row r="2038" spans="1:9" ht="15" customHeight="1" x14ac:dyDescent="0.25">
      <c r="A2038">
        <v>2037</v>
      </c>
      <c r="B2038">
        <v>6</v>
      </c>
      <c r="C2038" t="s">
        <v>233</v>
      </c>
      <c r="D2038">
        <v>480</v>
      </c>
      <c r="E2038">
        <v>3</v>
      </c>
      <c r="F2038" t="s">
        <v>24</v>
      </c>
      <c r="G2038">
        <v>1207</v>
      </c>
      <c r="H2038">
        <v>7</v>
      </c>
      <c r="I2038" t="str">
        <f t="shared" si="31"/>
        <v>2024-07</v>
      </c>
    </row>
    <row r="2039" spans="1:9" ht="15" customHeight="1" x14ac:dyDescent="0.25">
      <c r="A2039">
        <v>2038</v>
      </c>
      <c r="B2039">
        <v>6</v>
      </c>
      <c r="C2039" t="s">
        <v>234</v>
      </c>
      <c r="D2039">
        <v>480</v>
      </c>
      <c r="E2039">
        <v>426</v>
      </c>
      <c r="F2039" t="s">
        <v>22</v>
      </c>
      <c r="G2039">
        <v>158</v>
      </c>
      <c r="H2039">
        <v>2</v>
      </c>
      <c r="I2039" t="str">
        <f t="shared" si="31"/>
        <v>2024-07</v>
      </c>
    </row>
    <row r="2040" spans="1:9" ht="15" customHeight="1" x14ac:dyDescent="0.25">
      <c r="A2040">
        <v>2039</v>
      </c>
      <c r="B2040">
        <v>6</v>
      </c>
      <c r="C2040" t="s">
        <v>235</v>
      </c>
      <c r="D2040">
        <v>480</v>
      </c>
      <c r="E2040">
        <v>40</v>
      </c>
      <c r="F2040" t="s">
        <v>24</v>
      </c>
      <c r="G2040">
        <v>1161</v>
      </c>
      <c r="H2040">
        <v>9</v>
      </c>
      <c r="I2040" t="str">
        <f t="shared" si="31"/>
        <v>2024-07</v>
      </c>
    </row>
    <row r="2041" spans="1:9" ht="15" customHeight="1" x14ac:dyDescent="0.25">
      <c r="A2041">
        <v>2040</v>
      </c>
      <c r="B2041">
        <v>6</v>
      </c>
      <c r="C2041" t="s">
        <v>236</v>
      </c>
      <c r="D2041">
        <v>480</v>
      </c>
      <c r="E2041">
        <v>19</v>
      </c>
      <c r="F2041" t="s">
        <v>24</v>
      </c>
      <c r="G2041">
        <v>1236</v>
      </c>
      <c r="H2041">
        <v>19</v>
      </c>
      <c r="I2041" t="str">
        <f t="shared" si="31"/>
        <v>2024-07</v>
      </c>
    </row>
    <row r="2042" spans="1:9" ht="15" customHeight="1" x14ac:dyDescent="0.25">
      <c r="A2042">
        <v>2041</v>
      </c>
      <c r="B2042">
        <v>6</v>
      </c>
      <c r="C2042" t="s">
        <v>237</v>
      </c>
      <c r="D2042">
        <v>480</v>
      </c>
      <c r="E2042">
        <v>44</v>
      </c>
      <c r="F2042" t="s">
        <v>45</v>
      </c>
      <c r="G2042">
        <v>1094</v>
      </c>
      <c r="H2042">
        <v>7</v>
      </c>
      <c r="I2042" t="str">
        <f t="shared" si="31"/>
        <v>2024-07</v>
      </c>
    </row>
    <row r="2043" spans="1:9" ht="15" customHeight="1" x14ac:dyDescent="0.25">
      <c r="A2043">
        <v>2042</v>
      </c>
      <c r="B2043">
        <v>6</v>
      </c>
      <c r="C2043" t="s">
        <v>238</v>
      </c>
      <c r="D2043">
        <v>480</v>
      </c>
      <c r="E2043">
        <v>6</v>
      </c>
      <c r="F2043" t="s">
        <v>45</v>
      </c>
      <c r="G2043">
        <v>1281</v>
      </c>
      <c r="H2043">
        <v>23</v>
      </c>
      <c r="I2043" t="str">
        <f t="shared" si="31"/>
        <v>2024-07</v>
      </c>
    </row>
    <row r="2044" spans="1:9" ht="15" customHeight="1" x14ac:dyDescent="0.25">
      <c r="A2044">
        <v>2043</v>
      </c>
      <c r="B2044">
        <v>6</v>
      </c>
      <c r="C2044" t="s">
        <v>239</v>
      </c>
      <c r="D2044">
        <v>480</v>
      </c>
      <c r="E2044">
        <v>57</v>
      </c>
      <c r="F2044" t="s">
        <v>45</v>
      </c>
      <c r="G2044">
        <v>1239</v>
      </c>
      <c r="H2044">
        <v>15</v>
      </c>
      <c r="I2044" t="str">
        <f t="shared" si="31"/>
        <v>2024-07</v>
      </c>
    </row>
    <row r="2045" spans="1:9" ht="15" customHeight="1" x14ac:dyDescent="0.25">
      <c r="A2045">
        <v>2044</v>
      </c>
      <c r="B2045">
        <v>6</v>
      </c>
      <c r="C2045" t="s">
        <v>240</v>
      </c>
      <c r="D2045">
        <v>480</v>
      </c>
      <c r="E2045">
        <v>25</v>
      </c>
      <c r="F2045" t="s">
        <v>24</v>
      </c>
      <c r="G2045">
        <v>1150</v>
      </c>
      <c r="H2045">
        <v>19</v>
      </c>
      <c r="I2045" t="str">
        <f t="shared" si="31"/>
        <v>2024-08</v>
      </c>
    </row>
    <row r="2046" spans="1:9" ht="15" customHeight="1" x14ac:dyDescent="0.25">
      <c r="A2046">
        <v>2045</v>
      </c>
      <c r="B2046">
        <v>6</v>
      </c>
      <c r="C2046" t="s">
        <v>241</v>
      </c>
      <c r="D2046">
        <v>480</v>
      </c>
      <c r="E2046">
        <v>86</v>
      </c>
      <c r="F2046" t="s">
        <v>45</v>
      </c>
      <c r="G2046">
        <v>1009</v>
      </c>
      <c r="H2046">
        <v>12</v>
      </c>
      <c r="I2046" t="str">
        <f t="shared" si="31"/>
        <v>2024-08</v>
      </c>
    </row>
    <row r="2047" spans="1:9" ht="15" customHeight="1" x14ac:dyDescent="0.25">
      <c r="A2047">
        <v>2046</v>
      </c>
      <c r="B2047">
        <v>6</v>
      </c>
      <c r="C2047" t="s">
        <v>242</v>
      </c>
      <c r="D2047">
        <v>480</v>
      </c>
      <c r="E2047">
        <v>37</v>
      </c>
      <c r="F2047" t="s">
        <v>45</v>
      </c>
      <c r="G2047">
        <v>1252</v>
      </c>
      <c r="H2047">
        <v>22</v>
      </c>
      <c r="I2047" t="str">
        <f t="shared" si="31"/>
        <v>2024-08</v>
      </c>
    </row>
    <row r="2048" spans="1:9" ht="15" customHeight="1" x14ac:dyDescent="0.25">
      <c r="A2048">
        <v>2047</v>
      </c>
      <c r="B2048">
        <v>6</v>
      </c>
      <c r="C2048" t="s">
        <v>243</v>
      </c>
      <c r="D2048">
        <v>480</v>
      </c>
      <c r="E2048">
        <v>49</v>
      </c>
      <c r="F2048" t="s">
        <v>24</v>
      </c>
      <c r="G2048">
        <v>1197</v>
      </c>
      <c r="H2048">
        <v>8</v>
      </c>
      <c r="I2048" t="str">
        <f t="shared" si="31"/>
        <v>2024-08</v>
      </c>
    </row>
    <row r="2049" spans="1:9" ht="15" customHeight="1" x14ac:dyDescent="0.25">
      <c r="A2049">
        <v>2048</v>
      </c>
      <c r="B2049">
        <v>6</v>
      </c>
      <c r="C2049" t="s">
        <v>244</v>
      </c>
      <c r="D2049">
        <v>480</v>
      </c>
      <c r="E2049">
        <v>3</v>
      </c>
      <c r="F2049" t="s">
        <v>27</v>
      </c>
      <c r="G2049">
        <v>1227</v>
      </c>
      <c r="H2049">
        <v>8</v>
      </c>
      <c r="I2049" t="str">
        <f t="shared" si="31"/>
        <v>2024-08</v>
      </c>
    </row>
    <row r="2050" spans="1:9" ht="15" customHeight="1" x14ac:dyDescent="0.25">
      <c r="A2050">
        <v>2049</v>
      </c>
      <c r="B2050">
        <v>6</v>
      </c>
      <c r="C2050" t="s">
        <v>245</v>
      </c>
      <c r="D2050">
        <v>480</v>
      </c>
      <c r="E2050">
        <v>77</v>
      </c>
      <c r="F2050" t="s">
        <v>45</v>
      </c>
      <c r="G2050">
        <v>1162</v>
      </c>
      <c r="H2050">
        <v>9</v>
      </c>
      <c r="I2050" t="str">
        <f t="shared" ref="I2050:I2113" si="32">TEXT(C2050,"yyyy-mm")</f>
        <v>2024-08</v>
      </c>
    </row>
    <row r="2051" spans="1:9" ht="15" customHeight="1" x14ac:dyDescent="0.25">
      <c r="A2051">
        <v>2050</v>
      </c>
      <c r="B2051">
        <v>6</v>
      </c>
      <c r="C2051" t="s">
        <v>246</v>
      </c>
      <c r="D2051">
        <v>480</v>
      </c>
      <c r="E2051">
        <v>102</v>
      </c>
      <c r="F2051" t="s">
        <v>33</v>
      </c>
      <c r="G2051">
        <v>965</v>
      </c>
      <c r="H2051">
        <v>9</v>
      </c>
      <c r="I2051" t="str">
        <f t="shared" si="32"/>
        <v>2024-08</v>
      </c>
    </row>
    <row r="2052" spans="1:9" ht="15" customHeight="1" x14ac:dyDescent="0.25">
      <c r="A2052">
        <v>2051</v>
      </c>
      <c r="B2052">
        <v>6</v>
      </c>
      <c r="C2052" t="s">
        <v>247</v>
      </c>
      <c r="D2052">
        <v>480</v>
      </c>
      <c r="E2052">
        <v>16</v>
      </c>
      <c r="F2052" t="s">
        <v>29</v>
      </c>
      <c r="G2052">
        <v>1243</v>
      </c>
      <c r="H2052">
        <v>11</v>
      </c>
      <c r="I2052" t="str">
        <f t="shared" si="32"/>
        <v>2024-08</v>
      </c>
    </row>
    <row r="2053" spans="1:9" ht="15" customHeight="1" x14ac:dyDescent="0.25">
      <c r="A2053">
        <v>2052</v>
      </c>
      <c r="B2053">
        <v>6</v>
      </c>
      <c r="C2053" t="s">
        <v>248</v>
      </c>
      <c r="D2053">
        <v>480</v>
      </c>
      <c r="E2053">
        <v>38</v>
      </c>
      <c r="F2053" t="s">
        <v>27</v>
      </c>
      <c r="G2053">
        <v>1193</v>
      </c>
      <c r="H2053">
        <v>22</v>
      </c>
      <c r="I2053" t="str">
        <f t="shared" si="32"/>
        <v>2024-08</v>
      </c>
    </row>
    <row r="2054" spans="1:9" ht="15" customHeight="1" x14ac:dyDescent="0.25">
      <c r="A2054">
        <v>2053</v>
      </c>
      <c r="B2054">
        <v>6</v>
      </c>
      <c r="C2054" t="s">
        <v>249</v>
      </c>
      <c r="D2054">
        <v>480</v>
      </c>
      <c r="E2054">
        <v>3</v>
      </c>
      <c r="F2054" t="s">
        <v>45</v>
      </c>
      <c r="G2054">
        <v>1215</v>
      </c>
      <c r="H2054">
        <v>8</v>
      </c>
      <c r="I2054" t="str">
        <f t="shared" si="32"/>
        <v>2024-08</v>
      </c>
    </row>
    <row r="2055" spans="1:9" ht="15" customHeight="1" x14ac:dyDescent="0.25">
      <c r="A2055">
        <v>2054</v>
      </c>
      <c r="B2055">
        <v>6</v>
      </c>
      <c r="C2055" t="s">
        <v>250</v>
      </c>
      <c r="D2055">
        <v>480</v>
      </c>
      <c r="E2055">
        <v>55</v>
      </c>
      <c r="F2055" t="s">
        <v>33</v>
      </c>
      <c r="G2055">
        <v>1061</v>
      </c>
      <c r="H2055">
        <v>17</v>
      </c>
      <c r="I2055" t="str">
        <f t="shared" si="32"/>
        <v>2024-08</v>
      </c>
    </row>
    <row r="2056" spans="1:9" ht="15" customHeight="1" x14ac:dyDescent="0.25">
      <c r="A2056">
        <v>2055</v>
      </c>
      <c r="B2056">
        <v>6</v>
      </c>
      <c r="C2056" t="s">
        <v>251</v>
      </c>
      <c r="D2056">
        <v>480</v>
      </c>
      <c r="E2056">
        <v>40</v>
      </c>
      <c r="F2056" t="s">
        <v>24</v>
      </c>
      <c r="G2056">
        <v>1219</v>
      </c>
      <c r="H2056">
        <v>16</v>
      </c>
      <c r="I2056" t="str">
        <f t="shared" si="32"/>
        <v>2024-08</v>
      </c>
    </row>
    <row r="2057" spans="1:9" ht="15" customHeight="1" x14ac:dyDescent="0.25">
      <c r="A2057">
        <v>2056</v>
      </c>
      <c r="B2057">
        <v>6</v>
      </c>
      <c r="C2057" t="s">
        <v>252</v>
      </c>
      <c r="D2057">
        <v>480</v>
      </c>
      <c r="E2057">
        <v>10</v>
      </c>
      <c r="F2057" t="s">
        <v>27</v>
      </c>
      <c r="G2057">
        <v>1212</v>
      </c>
      <c r="H2057">
        <v>12</v>
      </c>
      <c r="I2057" t="str">
        <f t="shared" si="32"/>
        <v>2024-08</v>
      </c>
    </row>
    <row r="2058" spans="1:9" ht="15" customHeight="1" x14ac:dyDescent="0.25">
      <c r="A2058">
        <v>2057</v>
      </c>
      <c r="B2058">
        <v>6</v>
      </c>
      <c r="C2058" t="s">
        <v>253</v>
      </c>
      <c r="D2058">
        <v>480</v>
      </c>
      <c r="E2058">
        <v>51</v>
      </c>
      <c r="F2058" t="s">
        <v>45</v>
      </c>
      <c r="G2058">
        <v>1109</v>
      </c>
      <c r="H2058">
        <v>8</v>
      </c>
      <c r="I2058" t="str">
        <f t="shared" si="32"/>
        <v>2024-08</v>
      </c>
    </row>
    <row r="2059" spans="1:9" ht="15" customHeight="1" x14ac:dyDescent="0.25">
      <c r="A2059">
        <v>2058</v>
      </c>
      <c r="B2059">
        <v>6</v>
      </c>
      <c r="C2059" t="s">
        <v>254</v>
      </c>
      <c r="D2059">
        <v>480</v>
      </c>
      <c r="E2059">
        <v>199</v>
      </c>
      <c r="F2059" t="s">
        <v>24</v>
      </c>
      <c r="G2059">
        <v>696</v>
      </c>
      <c r="H2059">
        <v>11</v>
      </c>
      <c r="I2059" t="str">
        <f t="shared" si="32"/>
        <v>2024-08</v>
      </c>
    </row>
    <row r="2060" spans="1:9" ht="15" customHeight="1" x14ac:dyDescent="0.25">
      <c r="A2060">
        <v>2059</v>
      </c>
      <c r="B2060">
        <v>6</v>
      </c>
      <c r="C2060" t="s">
        <v>255</v>
      </c>
      <c r="D2060">
        <v>480</v>
      </c>
      <c r="E2060">
        <v>88</v>
      </c>
      <c r="F2060" t="s">
        <v>27</v>
      </c>
      <c r="G2060">
        <v>1033</v>
      </c>
      <c r="H2060">
        <v>8</v>
      </c>
      <c r="I2060" t="str">
        <f t="shared" si="32"/>
        <v>2024-08</v>
      </c>
    </row>
    <row r="2061" spans="1:9" ht="15" customHeight="1" x14ac:dyDescent="0.25">
      <c r="A2061">
        <v>2060</v>
      </c>
      <c r="B2061">
        <v>6</v>
      </c>
      <c r="C2061" t="s">
        <v>256</v>
      </c>
      <c r="D2061">
        <v>480</v>
      </c>
      <c r="E2061">
        <v>8</v>
      </c>
      <c r="F2061" t="s">
        <v>27</v>
      </c>
      <c r="G2061">
        <v>1354</v>
      </c>
      <c r="H2061">
        <v>19</v>
      </c>
      <c r="I2061" t="str">
        <f t="shared" si="32"/>
        <v>2024-08</v>
      </c>
    </row>
    <row r="2062" spans="1:9" ht="15" customHeight="1" x14ac:dyDescent="0.25">
      <c r="A2062">
        <v>2061</v>
      </c>
      <c r="B2062">
        <v>6</v>
      </c>
      <c r="C2062" t="s">
        <v>257</v>
      </c>
      <c r="D2062">
        <v>480</v>
      </c>
      <c r="E2062">
        <v>86</v>
      </c>
      <c r="F2062" t="s">
        <v>24</v>
      </c>
      <c r="G2062">
        <v>1185</v>
      </c>
      <c r="H2062">
        <v>17</v>
      </c>
      <c r="I2062" t="str">
        <f t="shared" si="32"/>
        <v>2024-08</v>
      </c>
    </row>
    <row r="2063" spans="1:9" ht="15" customHeight="1" x14ac:dyDescent="0.25">
      <c r="A2063">
        <v>2062</v>
      </c>
      <c r="B2063">
        <v>6</v>
      </c>
      <c r="C2063" t="s">
        <v>258</v>
      </c>
      <c r="D2063">
        <v>480</v>
      </c>
      <c r="E2063">
        <v>9</v>
      </c>
      <c r="F2063" t="s">
        <v>45</v>
      </c>
      <c r="G2063">
        <v>1227</v>
      </c>
      <c r="H2063">
        <v>20</v>
      </c>
      <c r="I2063" t="str">
        <f t="shared" si="32"/>
        <v>2024-08</v>
      </c>
    </row>
    <row r="2064" spans="1:9" ht="15" customHeight="1" x14ac:dyDescent="0.25">
      <c r="A2064">
        <v>2063</v>
      </c>
      <c r="B2064">
        <v>6</v>
      </c>
      <c r="C2064" t="s">
        <v>259</v>
      </c>
      <c r="D2064">
        <v>480</v>
      </c>
      <c r="E2064">
        <v>13</v>
      </c>
      <c r="F2064" t="s">
        <v>27</v>
      </c>
      <c r="G2064">
        <v>1170</v>
      </c>
      <c r="H2064">
        <v>17</v>
      </c>
      <c r="I2064" t="str">
        <f t="shared" si="32"/>
        <v>2024-08</v>
      </c>
    </row>
    <row r="2065" spans="1:9" ht="15" customHeight="1" x14ac:dyDescent="0.25">
      <c r="A2065">
        <v>2064</v>
      </c>
      <c r="B2065">
        <v>6</v>
      </c>
      <c r="C2065" t="s">
        <v>260</v>
      </c>
      <c r="D2065">
        <v>480</v>
      </c>
      <c r="E2065">
        <v>29</v>
      </c>
      <c r="F2065" t="s">
        <v>33</v>
      </c>
      <c r="G2065">
        <v>1352</v>
      </c>
      <c r="H2065">
        <v>19</v>
      </c>
      <c r="I2065" t="str">
        <f t="shared" si="32"/>
        <v>2024-08</v>
      </c>
    </row>
    <row r="2066" spans="1:9" ht="15" customHeight="1" x14ac:dyDescent="0.25">
      <c r="A2066">
        <v>2065</v>
      </c>
      <c r="B2066">
        <v>6</v>
      </c>
      <c r="C2066" t="s">
        <v>261</v>
      </c>
      <c r="D2066">
        <v>480</v>
      </c>
      <c r="E2066">
        <v>5</v>
      </c>
      <c r="F2066" t="s">
        <v>24</v>
      </c>
      <c r="G2066">
        <v>1432</v>
      </c>
      <c r="H2066">
        <v>13</v>
      </c>
      <c r="I2066" t="str">
        <f t="shared" si="32"/>
        <v>2024-08</v>
      </c>
    </row>
    <row r="2067" spans="1:9" ht="15" customHeight="1" x14ac:dyDescent="0.25">
      <c r="A2067">
        <v>2066</v>
      </c>
      <c r="B2067">
        <v>6</v>
      </c>
      <c r="C2067" t="s">
        <v>262</v>
      </c>
      <c r="D2067">
        <v>480</v>
      </c>
      <c r="E2067">
        <v>23</v>
      </c>
      <c r="F2067" t="s">
        <v>33</v>
      </c>
      <c r="G2067">
        <v>1233</v>
      </c>
      <c r="H2067">
        <v>8</v>
      </c>
      <c r="I2067" t="str">
        <f t="shared" si="32"/>
        <v>2024-08</v>
      </c>
    </row>
    <row r="2068" spans="1:9" ht="15" customHeight="1" x14ac:dyDescent="0.25">
      <c r="A2068">
        <v>2067</v>
      </c>
      <c r="B2068">
        <v>6</v>
      </c>
      <c r="C2068" t="s">
        <v>263</v>
      </c>
      <c r="D2068">
        <v>480</v>
      </c>
      <c r="E2068">
        <v>38</v>
      </c>
      <c r="F2068" t="s">
        <v>27</v>
      </c>
      <c r="G2068">
        <v>1121</v>
      </c>
      <c r="H2068">
        <v>12</v>
      </c>
      <c r="I2068" t="str">
        <f t="shared" si="32"/>
        <v>2024-08</v>
      </c>
    </row>
    <row r="2069" spans="1:9" ht="15" customHeight="1" x14ac:dyDescent="0.25">
      <c r="A2069">
        <v>2068</v>
      </c>
      <c r="B2069">
        <v>6</v>
      </c>
      <c r="C2069" t="s">
        <v>264</v>
      </c>
      <c r="D2069">
        <v>480</v>
      </c>
      <c r="E2069">
        <v>24</v>
      </c>
      <c r="F2069" t="s">
        <v>24</v>
      </c>
      <c r="G2069">
        <v>1328</v>
      </c>
      <c r="H2069">
        <v>21</v>
      </c>
      <c r="I2069" t="str">
        <f t="shared" si="32"/>
        <v>2024-08</v>
      </c>
    </row>
    <row r="2070" spans="1:9" ht="15" customHeight="1" x14ac:dyDescent="0.25">
      <c r="A2070">
        <v>2069</v>
      </c>
      <c r="B2070">
        <v>6</v>
      </c>
      <c r="C2070" t="s">
        <v>265</v>
      </c>
      <c r="D2070">
        <v>480</v>
      </c>
      <c r="E2070">
        <v>9</v>
      </c>
      <c r="F2070" t="s">
        <v>29</v>
      </c>
      <c r="G2070">
        <v>1261</v>
      </c>
      <c r="H2070">
        <v>13</v>
      </c>
      <c r="I2070" t="str">
        <f t="shared" si="32"/>
        <v>2024-08</v>
      </c>
    </row>
    <row r="2071" spans="1:9" ht="15" customHeight="1" x14ac:dyDescent="0.25">
      <c r="A2071">
        <v>2070</v>
      </c>
      <c r="B2071">
        <v>6</v>
      </c>
      <c r="C2071" t="s">
        <v>266</v>
      </c>
      <c r="D2071">
        <v>480</v>
      </c>
      <c r="E2071">
        <v>9</v>
      </c>
      <c r="F2071" t="s">
        <v>22</v>
      </c>
      <c r="G2071">
        <v>1379</v>
      </c>
      <c r="H2071">
        <v>20</v>
      </c>
      <c r="I2071" t="str">
        <f t="shared" si="32"/>
        <v>2024-08</v>
      </c>
    </row>
    <row r="2072" spans="1:9" ht="15" customHeight="1" x14ac:dyDescent="0.25">
      <c r="A2072">
        <v>2071</v>
      </c>
      <c r="B2072">
        <v>6</v>
      </c>
      <c r="C2072" t="s">
        <v>267</v>
      </c>
      <c r="D2072">
        <v>480</v>
      </c>
      <c r="E2072">
        <v>11</v>
      </c>
      <c r="F2072" t="s">
        <v>27</v>
      </c>
      <c r="G2072">
        <v>1255</v>
      </c>
      <c r="H2072">
        <v>9</v>
      </c>
      <c r="I2072" t="str">
        <f t="shared" si="32"/>
        <v>2024-08</v>
      </c>
    </row>
    <row r="2073" spans="1:9" ht="15" customHeight="1" x14ac:dyDescent="0.25">
      <c r="A2073">
        <v>2072</v>
      </c>
      <c r="B2073">
        <v>6</v>
      </c>
      <c r="C2073" t="s">
        <v>268</v>
      </c>
      <c r="D2073">
        <v>480</v>
      </c>
      <c r="E2073">
        <v>56</v>
      </c>
      <c r="F2073" t="s">
        <v>33</v>
      </c>
      <c r="G2073">
        <v>1075</v>
      </c>
      <c r="H2073">
        <v>20</v>
      </c>
      <c r="I2073" t="str">
        <f t="shared" si="32"/>
        <v>2024-08</v>
      </c>
    </row>
    <row r="2074" spans="1:9" ht="15" customHeight="1" x14ac:dyDescent="0.25">
      <c r="A2074">
        <v>2073</v>
      </c>
      <c r="B2074">
        <v>6</v>
      </c>
      <c r="C2074" t="s">
        <v>269</v>
      </c>
      <c r="D2074">
        <v>480</v>
      </c>
      <c r="E2074">
        <v>86</v>
      </c>
      <c r="F2074" t="s">
        <v>29</v>
      </c>
      <c r="G2074">
        <v>1060</v>
      </c>
      <c r="H2074">
        <v>14</v>
      </c>
      <c r="I2074" t="str">
        <f t="shared" si="32"/>
        <v>2024-08</v>
      </c>
    </row>
    <row r="2075" spans="1:9" ht="15" customHeight="1" x14ac:dyDescent="0.25">
      <c r="A2075">
        <v>2074</v>
      </c>
      <c r="B2075">
        <v>6</v>
      </c>
      <c r="C2075" t="s">
        <v>270</v>
      </c>
      <c r="D2075">
        <v>480</v>
      </c>
      <c r="E2075">
        <v>137</v>
      </c>
      <c r="F2075" t="s">
        <v>24</v>
      </c>
      <c r="G2075">
        <v>955</v>
      </c>
      <c r="H2075">
        <v>8</v>
      </c>
      <c r="I2075" t="str">
        <f t="shared" si="32"/>
        <v>2024-08</v>
      </c>
    </row>
    <row r="2076" spans="1:9" ht="15" customHeight="1" x14ac:dyDescent="0.25">
      <c r="A2076">
        <v>2075</v>
      </c>
      <c r="B2076">
        <v>6</v>
      </c>
      <c r="C2076" t="s">
        <v>271</v>
      </c>
      <c r="D2076">
        <v>480</v>
      </c>
      <c r="E2076">
        <v>27</v>
      </c>
      <c r="F2076" t="s">
        <v>27</v>
      </c>
      <c r="G2076">
        <v>1338</v>
      </c>
      <c r="H2076">
        <v>19</v>
      </c>
      <c r="I2076" t="str">
        <f t="shared" si="32"/>
        <v>2024-09</v>
      </c>
    </row>
    <row r="2077" spans="1:9" ht="15" customHeight="1" x14ac:dyDescent="0.25">
      <c r="A2077">
        <v>2076</v>
      </c>
      <c r="B2077">
        <v>6</v>
      </c>
      <c r="C2077" t="s">
        <v>272</v>
      </c>
      <c r="D2077">
        <v>480</v>
      </c>
      <c r="E2077">
        <v>59</v>
      </c>
      <c r="F2077" t="s">
        <v>22</v>
      </c>
      <c r="G2077">
        <v>1249</v>
      </c>
      <c r="H2077">
        <v>21</v>
      </c>
      <c r="I2077" t="str">
        <f t="shared" si="32"/>
        <v>2024-09</v>
      </c>
    </row>
    <row r="2078" spans="1:9" ht="15" customHeight="1" x14ac:dyDescent="0.25">
      <c r="A2078">
        <v>2077</v>
      </c>
      <c r="B2078">
        <v>6</v>
      </c>
      <c r="C2078" t="s">
        <v>273</v>
      </c>
      <c r="D2078">
        <v>480</v>
      </c>
      <c r="E2078">
        <v>143</v>
      </c>
      <c r="F2078" t="s">
        <v>45</v>
      </c>
      <c r="G2078">
        <v>849</v>
      </c>
      <c r="H2078">
        <v>11</v>
      </c>
      <c r="I2078" t="str">
        <f t="shared" si="32"/>
        <v>2024-09</v>
      </c>
    </row>
    <row r="2079" spans="1:9" ht="15" customHeight="1" x14ac:dyDescent="0.25">
      <c r="A2079">
        <v>2078</v>
      </c>
      <c r="B2079">
        <v>6</v>
      </c>
      <c r="C2079" t="s">
        <v>274</v>
      </c>
      <c r="D2079">
        <v>480</v>
      </c>
      <c r="E2079">
        <v>76</v>
      </c>
      <c r="F2079" t="s">
        <v>29</v>
      </c>
      <c r="G2079">
        <v>1173</v>
      </c>
      <c r="H2079">
        <v>16</v>
      </c>
      <c r="I2079" t="str">
        <f t="shared" si="32"/>
        <v>2024-09</v>
      </c>
    </row>
    <row r="2080" spans="1:9" ht="15" customHeight="1" x14ac:dyDescent="0.25">
      <c r="A2080">
        <v>2079</v>
      </c>
      <c r="B2080">
        <v>6</v>
      </c>
      <c r="C2080" t="s">
        <v>275</v>
      </c>
      <c r="D2080">
        <v>480</v>
      </c>
      <c r="E2080">
        <v>10</v>
      </c>
      <c r="F2080" t="s">
        <v>33</v>
      </c>
      <c r="G2080">
        <v>1375</v>
      </c>
      <c r="H2080">
        <v>21</v>
      </c>
      <c r="I2080" t="str">
        <f t="shared" si="32"/>
        <v>2024-09</v>
      </c>
    </row>
    <row r="2081" spans="1:9" ht="15" customHeight="1" x14ac:dyDescent="0.25">
      <c r="A2081">
        <v>2080</v>
      </c>
      <c r="B2081">
        <v>6</v>
      </c>
      <c r="C2081" t="s">
        <v>276</v>
      </c>
      <c r="D2081">
        <v>480</v>
      </c>
      <c r="E2081">
        <v>5</v>
      </c>
      <c r="F2081" t="s">
        <v>45</v>
      </c>
      <c r="G2081">
        <v>1298</v>
      </c>
      <c r="H2081">
        <v>10</v>
      </c>
      <c r="I2081" t="str">
        <f t="shared" si="32"/>
        <v>2024-09</v>
      </c>
    </row>
    <row r="2082" spans="1:9" ht="15" customHeight="1" x14ac:dyDescent="0.25">
      <c r="A2082">
        <v>2081</v>
      </c>
      <c r="B2082">
        <v>6</v>
      </c>
      <c r="C2082" t="s">
        <v>277</v>
      </c>
      <c r="D2082">
        <v>480</v>
      </c>
      <c r="E2082">
        <v>23</v>
      </c>
      <c r="F2082" t="s">
        <v>22</v>
      </c>
      <c r="G2082">
        <v>1131</v>
      </c>
      <c r="H2082">
        <v>12</v>
      </c>
      <c r="I2082" t="str">
        <f t="shared" si="32"/>
        <v>2024-09</v>
      </c>
    </row>
    <row r="2083" spans="1:9" ht="15" customHeight="1" x14ac:dyDescent="0.25">
      <c r="A2083">
        <v>2082</v>
      </c>
      <c r="B2083">
        <v>6</v>
      </c>
      <c r="C2083" t="s">
        <v>278</v>
      </c>
      <c r="D2083">
        <v>480</v>
      </c>
      <c r="E2083">
        <v>45</v>
      </c>
      <c r="F2083" t="s">
        <v>27</v>
      </c>
      <c r="G2083">
        <v>1228</v>
      </c>
      <c r="H2083">
        <v>17</v>
      </c>
      <c r="I2083" t="str">
        <f t="shared" si="32"/>
        <v>2024-09</v>
      </c>
    </row>
    <row r="2084" spans="1:9" ht="15" customHeight="1" x14ac:dyDescent="0.25">
      <c r="A2084">
        <v>2083</v>
      </c>
      <c r="B2084">
        <v>6</v>
      </c>
      <c r="C2084" t="s">
        <v>279</v>
      </c>
      <c r="D2084">
        <v>480</v>
      </c>
      <c r="E2084">
        <v>102</v>
      </c>
      <c r="F2084" t="s">
        <v>33</v>
      </c>
      <c r="G2084">
        <v>979</v>
      </c>
      <c r="H2084">
        <v>7</v>
      </c>
      <c r="I2084" t="str">
        <f t="shared" si="32"/>
        <v>2024-09</v>
      </c>
    </row>
    <row r="2085" spans="1:9" ht="15" customHeight="1" x14ac:dyDescent="0.25">
      <c r="A2085">
        <v>2084</v>
      </c>
      <c r="B2085">
        <v>6</v>
      </c>
      <c r="C2085" t="s">
        <v>280</v>
      </c>
      <c r="D2085">
        <v>480</v>
      </c>
      <c r="E2085">
        <v>108</v>
      </c>
      <c r="F2085" t="s">
        <v>24</v>
      </c>
      <c r="G2085">
        <v>950</v>
      </c>
      <c r="H2085">
        <v>17</v>
      </c>
      <c r="I2085" t="str">
        <f t="shared" si="32"/>
        <v>2024-09</v>
      </c>
    </row>
    <row r="2086" spans="1:9" ht="15" customHeight="1" x14ac:dyDescent="0.25">
      <c r="A2086">
        <v>2085</v>
      </c>
      <c r="B2086">
        <v>6</v>
      </c>
      <c r="C2086" t="s">
        <v>281</v>
      </c>
      <c r="D2086">
        <v>480</v>
      </c>
      <c r="E2086">
        <v>104</v>
      </c>
      <c r="F2086" t="s">
        <v>22</v>
      </c>
      <c r="G2086">
        <v>1036</v>
      </c>
      <c r="H2086">
        <v>19</v>
      </c>
      <c r="I2086" t="str">
        <f t="shared" si="32"/>
        <v>2024-09</v>
      </c>
    </row>
    <row r="2087" spans="1:9" ht="15" customHeight="1" x14ac:dyDescent="0.25">
      <c r="A2087">
        <v>2086</v>
      </c>
      <c r="B2087">
        <v>6</v>
      </c>
      <c r="C2087" t="s">
        <v>282</v>
      </c>
      <c r="D2087">
        <v>480</v>
      </c>
      <c r="E2087">
        <v>5</v>
      </c>
      <c r="F2087" t="s">
        <v>24</v>
      </c>
      <c r="G2087">
        <v>1254</v>
      </c>
      <c r="H2087">
        <v>17</v>
      </c>
      <c r="I2087" t="str">
        <f t="shared" si="32"/>
        <v>2024-09</v>
      </c>
    </row>
    <row r="2088" spans="1:9" ht="15" customHeight="1" x14ac:dyDescent="0.25">
      <c r="A2088">
        <v>2087</v>
      </c>
      <c r="B2088">
        <v>6</v>
      </c>
      <c r="C2088" t="s">
        <v>283</v>
      </c>
      <c r="D2088">
        <v>480</v>
      </c>
      <c r="E2088">
        <v>24</v>
      </c>
      <c r="F2088" t="s">
        <v>22</v>
      </c>
      <c r="G2088">
        <v>1369</v>
      </c>
      <c r="H2088">
        <v>9</v>
      </c>
      <c r="I2088" t="str">
        <f t="shared" si="32"/>
        <v>2024-09</v>
      </c>
    </row>
    <row r="2089" spans="1:9" ht="15" customHeight="1" x14ac:dyDescent="0.25">
      <c r="A2089">
        <v>2088</v>
      </c>
      <c r="B2089">
        <v>6</v>
      </c>
      <c r="C2089" t="s">
        <v>284</v>
      </c>
      <c r="D2089">
        <v>480</v>
      </c>
      <c r="E2089">
        <v>45</v>
      </c>
      <c r="F2089" t="s">
        <v>27</v>
      </c>
      <c r="G2089">
        <v>1221</v>
      </c>
      <c r="H2089">
        <v>17</v>
      </c>
      <c r="I2089" t="str">
        <f t="shared" si="32"/>
        <v>2024-09</v>
      </c>
    </row>
    <row r="2090" spans="1:9" ht="15" customHeight="1" x14ac:dyDescent="0.25">
      <c r="A2090">
        <v>2089</v>
      </c>
      <c r="B2090">
        <v>6</v>
      </c>
      <c r="C2090" t="s">
        <v>285</v>
      </c>
      <c r="D2090">
        <v>480</v>
      </c>
      <c r="E2090">
        <v>16</v>
      </c>
      <c r="F2090" t="s">
        <v>24</v>
      </c>
      <c r="G2090">
        <v>1241</v>
      </c>
      <c r="H2090">
        <v>20</v>
      </c>
      <c r="I2090" t="str">
        <f t="shared" si="32"/>
        <v>2024-09</v>
      </c>
    </row>
    <row r="2091" spans="1:9" ht="15" customHeight="1" x14ac:dyDescent="0.25">
      <c r="A2091">
        <v>2090</v>
      </c>
      <c r="B2091">
        <v>6</v>
      </c>
      <c r="C2091" t="s">
        <v>286</v>
      </c>
      <c r="D2091">
        <v>480</v>
      </c>
      <c r="E2091">
        <v>12</v>
      </c>
      <c r="F2091" t="s">
        <v>24</v>
      </c>
      <c r="G2091">
        <v>1378</v>
      </c>
      <c r="H2091">
        <v>18</v>
      </c>
      <c r="I2091" t="str">
        <f t="shared" si="32"/>
        <v>2024-09</v>
      </c>
    </row>
    <row r="2092" spans="1:9" ht="15" customHeight="1" x14ac:dyDescent="0.25">
      <c r="A2092">
        <v>2091</v>
      </c>
      <c r="B2092">
        <v>6</v>
      </c>
      <c r="C2092" t="s">
        <v>287</v>
      </c>
      <c r="D2092">
        <v>480</v>
      </c>
      <c r="E2092">
        <v>81</v>
      </c>
      <c r="F2092" t="s">
        <v>45</v>
      </c>
      <c r="G2092">
        <v>1148</v>
      </c>
      <c r="H2092">
        <v>10</v>
      </c>
      <c r="I2092" t="str">
        <f t="shared" si="32"/>
        <v>2024-09</v>
      </c>
    </row>
    <row r="2093" spans="1:9" ht="15" customHeight="1" x14ac:dyDescent="0.25">
      <c r="A2093">
        <v>2092</v>
      </c>
      <c r="B2093">
        <v>6</v>
      </c>
      <c r="C2093" t="s">
        <v>288</v>
      </c>
      <c r="D2093">
        <v>480</v>
      </c>
      <c r="E2093">
        <v>47</v>
      </c>
      <c r="F2093" t="s">
        <v>27</v>
      </c>
      <c r="G2093">
        <v>1285</v>
      </c>
      <c r="H2093">
        <v>15</v>
      </c>
      <c r="I2093" t="str">
        <f t="shared" si="32"/>
        <v>2024-09</v>
      </c>
    </row>
    <row r="2094" spans="1:9" ht="15" customHeight="1" x14ac:dyDescent="0.25">
      <c r="A2094">
        <v>2093</v>
      </c>
      <c r="B2094">
        <v>6</v>
      </c>
      <c r="C2094" t="s">
        <v>289</v>
      </c>
      <c r="D2094">
        <v>480</v>
      </c>
      <c r="E2094">
        <v>192</v>
      </c>
      <c r="F2094" t="s">
        <v>24</v>
      </c>
      <c r="G2094">
        <v>785</v>
      </c>
      <c r="H2094">
        <v>6</v>
      </c>
      <c r="I2094" t="str">
        <f t="shared" si="32"/>
        <v>2024-09</v>
      </c>
    </row>
    <row r="2095" spans="1:9" ht="15" customHeight="1" x14ac:dyDescent="0.25">
      <c r="A2095">
        <v>2094</v>
      </c>
      <c r="B2095">
        <v>6</v>
      </c>
      <c r="C2095" t="s">
        <v>290</v>
      </c>
      <c r="D2095">
        <v>480</v>
      </c>
      <c r="E2095">
        <v>27</v>
      </c>
      <c r="F2095" t="s">
        <v>22</v>
      </c>
      <c r="G2095">
        <v>1366</v>
      </c>
      <c r="H2095">
        <v>14</v>
      </c>
      <c r="I2095" t="str">
        <f t="shared" si="32"/>
        <v>2024-09</v>
      </c>
    </row>
    <row r="2096" spans="1:9" ht="15" customHeight="1" x14ac:dyDescent="0.25">
      <c r="A2096">
        <v>2095</v>
      </c>
      <c r="B2096">
        <v>6</v>
      </c>
      <c r="C2096" t="s">
        <v>291</v>
      </c>
      <c r="D2096">
        <v>480</v>
      </c>
      <c r="E2096">
        <v>114</v>
      </c>
      <c r="F2096" t="s">
        <v>27</v>
      </c>
      <c r="G2096">
        <v>1089</v>
      </c>
      <c r="H2096">
        <v>11</v>
      </c>
      <c r="I2096" t="str">
        <f t="shared" si="32"/>
        <v>2024-09</v>
      </c>
    </row>
    <row r="2097" spans="1:9" ht="15" customHeight="1" x14ac:dyDescent="0.25">
      <c r="A2097">
        <v>2096</v>
      </c>
      <c r="B2097">
        <v>6</v>
      </c>
      <c r="C2097" t="s">
        <v>292</v>
      </c>
      <c r="D2097">
        <v>480</v>
      </c>
      <c r="E2097">
        <v>4</v>
      </c>
      <c r="F2097" t="s">
        <v>24</v>
      </c>
      <c r="G2097">
        <v>1373</v>
      </c>
      <c r="H2097">
        <v>13</v>
      </c>
      <c r="I2097" t="str">
        <f t="shared" si="32"/>
        <v>2024-09</v>
      </c>
    </row>
    <row r="2098" spans="1:9" ht="15" customHeight="1" x14ac:dyDescent="0.25">
      <c r="A2098">
        <v>2097</v>
      </c>
      <c r="B2098">
        <v>6</v>
      </c>
      <c r="C2098" t="s">
        <v>293</v>
      </c>
      <c r="D2098">
        <v>480</v>
      </c>
      <c r="E2098">
        <v>86</v>
      </c>
      <c r="F2098" t="s">
        <v>29</v>
      </c>
      <c r="G2098">
        <v>1072</v>
      </c>
      <c r="H2098">
        <v>13</v>
      </c>
      <c r="I2098" t="str">
        <f t="shared" si="32"/>
        <v>2024-09</v>
      </c>
    </row>
    <row r="2099" spans="1:9" ht="15" customHeight="1" x14ac:dyDescent="0.25">
      <c r="A2099">
        <v>2098</v>
      </c>
      <c r="B2099">
        <v>6</v>
      </c>
      <c r="C2099" t="s">
        <v>294</v>
      </c>
      <c r="D2099">
        <v>480</v>
      </c>
      <c r="E2099">
        <v>85</v>
      </c>
      <c r="F2099" t="s">
        <v>45</v>
      </c>
      <c r="G2099">
        <v>1061</v>
      </c>
      <c r="H2099">
        <v>12</v>
      </c>
      <c r="I2099" t="str">
        <f t="shared" si="32"/>
        <v>2024-09</v>
      </c>
    </row>
    <row r="2100" spans="1:9" ht="15" customHeight="1" x14ac:dyDescent="0.25">
      <c r="A2100">
        <v>2099</v>
      </c>
      <c r="B2100">
        <v>6</v>
      </c>
      <c r="C2100" t="s">
        <v>295</v>
      </c>
      <c r="D2100">
        <v>480</v>
      </c>
      <c r="E2100">
        <v>26</v>
      </c>
      <c r="F2100" t="s">
        <v>24</v>
      </c>
      <c r="G2100">
        <v>1215</v>
      </c>
      <c r="H2100">
        <v>15</v>
      </c>
      <c r="I2100" t="str">
        <f t="shared" si="32"/>
        <v>2024-09</v>
      </c>
    </row>
    <row r="2101" spans="1:9" ht="15" customHeight="1" x14ac:dyDescent="0.25">
      <c r="A2101">
        <v>2100</v>
      </c>
      <c r="B2101">
        <v>6</v>
      </c>
      <c r="C2101" t="s">
        <v>296</v>
      </c>
      <c r="D2101">
        <v>480</v>
      </c>
      <c r="E2101">
        <v>93</v>
      </c>
      <c r="F2101" t="s">
        <v>45</v>
      </c>
      <c r="G2101">
        <v>1035</v>
      </c>
      <c r="H2101">
        <v>13</v>
      </c>
      <c r="I2101" t="str">
        <f t="shared" si="32"/>
        <v>2024-09</v>
      </c>
    </row>
    <row r="2102" spans="1:9" ht="15" customHeight="1" x14ac:dyDescent="0.25">
      <c r="A2102">
        <v>2101</v>
      </c>
      <c r="B2102">
        <v>6</v>
      </c>
      <c r="C2102" t="s">
        <v>297</v>
      </c>
      <c r="D2102">
        <v>480</v>
      </c>
      <c r="E2102">
        <v>63</v>
      </c>
      <c r="F2102" t="s">
        <v>27</v>
      </c>
      <c r="G2102">
        <v>1093</v>
      </c>
      <c r="H2102">
        <v>10</v>
      </c>
      <c r="I2102" t="str">
        <f t="shared" si="32"/>
        <v>2024-09</v>
      </c>
    </row>
    <row r="2103" spans="1:9" ht="15" customHeight="1" x14ac:dyDescent="0.25">
      <c r="A2103">
        <v>2102</v>
      </c>
      <c r="B2103">
        <v>6</v>
      </c>
      <c r="C2103" t="s">
        <v>298</v>
      </c>
      <c r="D2103">
        <v>480</v>
      </c>
      <c r="E2103">
        <v>153</v>
      </c>
      <c r="F2103" t="s">
        <v>29</v>
      </c>
      <c r="G2103">
        <v>943</v>
      </c>
      <c r="H2103">
        <v>12</v>
      </c>
      <c r="I2103" t="str">
        <f t="shared" si="32"/>
        <v>2024-09</v>
      </c>
    </row>
    <row r="2104" spans="1:9" ht="15" customHeight="1" x14ac:dyDescent="0.25">
      <c r="A2104">
        <v>2103</v>
      </c>
      <c r="B2104">
        <v>6</v>
      </c>
      <c r="C2104" t="s">
        <v>299</v>
      </c>
      <c r="D2104">
        <v>480</v>
      </c>
      <c r="E2104">
        <v>59</v>
      </c>
      <c r="F2104" t="s">
        <v>29</v>
      </c>
      <c r="G2104">
        <v>1044</v>
      </c>
      <c r="H2104">
        <v>14</v>
      </c>
      <c r="I2104" t="str">
        <f t="shared" si="32"/>
        <v>2024-09</v>
      </c>
    </row>
    <row r="2105" spans="1:9" ht="15" customHeight="1" x14ac:dyDescent="0.25">
      <c r="A2105">
        <v>2104</v>
      </c>
      <c r="B2105">
        <v>6</v>
      </c>
      <c r="C2105" t="s">
        <v>300</v>
      </c>
      <c r="D2105">
        <v>480</v>
      </c>
      <c r="E2105">
        <v>40</v>
      </c>
      <c r="F2105" t="s">
        <v>22</v>
      </c>
      <c r="G2105">
        <v>1223</v>
      </c>
      <c r="H2105">
        <v>13</v>
      </c>
      <c r="I2105" t="str">
        <f t="shared" si="32"/>
        <v>2024-09</v>
      </c>
    </row>
    <row r="2106" spans="1:9" ht="15" customHeight="1" x14ac:dyDescent="0.25">
      <c r="A2106">
        <v>2105</v>
      </c>
      <c r="B2106">
        <v>6</v>
      </c>
      <c r="C2106" t="s">
        <v>301</v>
      </c>
      <c r="D2106">
        <v>480</v>
      </c>
      <c r="E2106">
        <v>4</v>
      </c>
      <c r="F2106" t="s">
        <v>45</v>
      </c>
      <c r="G2106">
        <v>1226</v>
      </c>
      <c r="H2106">
        <v>1226</v>
      </c>
      <c r="I2106" t="str">
        <f t="shared" si="32"/>
        <v>2024-10</v>
      </c>
    </row>
    <row r="2107" spans="1:9" ht="15" customHeight="1" x14ac:dyDescent="0.25">
      <c r="A2107">
        <v>2106</v>
      </c>
      <c r="B2107">
        <v>6</v>
      </c>
      <c r="C2107" t="s">
        <v>302</v>
      </c>
      <c r="D2107">
        <v>480</v>
      </c>
      <c r="E2107">
        <v>29</v>
      </c>
      <c r="F2107" t="s">
        <v>22</v>
      </c>
      <c r="G2107">
        <v>1233</v>
      </c>
      <c r="H2107">
        <v>8</v>
      </c>
      <c r="I2107" t="str">
        <f t="shared" si="32"/>
        <v>2024-10</v>
      </c>
    </row>
    <row r="2108" spans="1:9" ht="15" customHeight="1" x14ac:dyDescent="0.25">
      <c r="A2108">
        <v>2107</v>
      </c>
      <c r="B2108">
        <v>6</v>
      </c>
      <c r="C2108" t="s">
        <v>303</v>
      </c>
      <c r="D2108">
        <v>480</v>
      </c>
      <c r="E2108">
        <v>2</v>
      </c>
      <c r="F2108" t="s">
        <v>45</v>
      </c>
      <c r="G2108">
        <v>1377</v>
      </c>
      <c r="H2108">
        <v>17</v>
      </c>
      <c r="I2108" t="str">
        <f t="shared" si="32"/>
        <v>2024-10</v>
      </c>
    </row>
    <row r="2109" spans="1:9" ht="15" customHeight="1" x14ac:dyDescent="0.25">
      <c r="A2109">
        <v>2108</v>
      </c>
      <c r="B2109">
        <v>6</v>
      </c>
      <c r="C2109" t="s">
        <v>304</v>
      </c>
      <c r="D2109">
        <v>480</v>
      </c>
      <c r="E2109">
        <v>40</v>
      </c>
      <c r="F2109" t="s">
        <v>45</v>
      </c>
      <c r="G2109">
        <v>1146</v>
      </c>
      <c r="H2109">
        <v>17</v>
      </c>
      <c r="I2109" t="str">
        <f t="shared" si="32"/>
        <v>2024-10</v>
      </c>
    </row>
    <row r="2110" spans="1:9" ht="15" customHeight="1" x14ac:dyDescent="0.25">
      <c r="A2110">
        <v>2109</v>
      </c>
      <c r="B2110">
        <v>6</v>
      </c>
      <c r="C2110" t="s">
        <v>305</v>
      </c>
      <c r="D2110">
        <v>480</v>
      </c>
      <c r="E2110">
        <v>10</v>
      </c>
      <c r="F2110" t="s">
        <v>27</v>
      </c>
      <c r="G2110">
        <v>1210</v>
      </c>
      <c r="H2110">
        <v>14</v>
      </c>
      <c r="I2110" t="str">
        <f t="shared" si="32"/>
        <v>2024-10</v>
      </c>
    </row>
    <row r="2111" spans="1:9" ht="15" customHeight="1" x14ac:dyDescent="0.25">
      <c r="A2111">
        <v>2110</v>
      </c>
      <c r="B2111">
        <v>6</v>
      </c>
      <c r="C2111" t="s">
        <v>306</v>
      </c>
      <c r="D2111">
        <v>480</v>
      </c>
      <c r="E2111">
        <v>19</v>
      </c>
      <c r="F2111" t="s">
        <v>24</v>
      </c>
      <c r="G2111">
        <v>1202</v>
      </c>
      <c r="H2111">
        <v>17</v>
      </c>
      <c r="I2111" t="str">
        <f t="shared" si="32"/>
        <v>2024-10</v>
      </c>
    </row>
    <row r="2112" spans="1:9" ht="15" customHeight="1" x14ac:dyDescent="0.25">
      <c r="A2112">
        <v>2111</v>
      </c>
      <c r="B2112">
        <v>6</v>
      </c>
      <c r="C2112" t="s">
        <v>307</v>
      </c>
      <c r="D2112">
        <v>480</v>
      </c>
      <c r="E2112">
        <v>59</v>
      </c>
      <c r="F2112" t="s">
        <v>29</v>
      </c>
      <c r="G2112">
        <v>1239</v>
      </c>
      <c r="H2112">
        <v>14</v>
      </c>
      <c r="I2112" t="str">
        <f t="shared" si="32"/>
        <v>2024-10</v>
      </c>
    </row>
    <row r="2113" spans="1:9" ht="15" customHeight="1" x14ac:dyDescent="0.25">
      <c r="A2113">
        <v>2112</v>
      </c>
      <c r="B2113">
        <v>6</v>
      </c>
      <c r="C2113" t="s">
        <v>308</v>
      </c>
      <c r="D2113">
        <v>480</v>
      </c>
      <c r="E2113">
        <v>4</v>
      </c>
      <c r="F2113" t="s">
        <v>27</v>
      </c>
      <c r="G2113">
        <v>1248</v>
      </c>
      <c r="H2113">
        <v>23</v>
      </c>
      <c r="I2113" t="str">
        <f t="shared" si="32"/>
        <v>2024-10</v>
      </c>
    </row>
    <row r="2114" spans="1:9" ht="15" customHeight="1" x14ac:dyDescent="0.25">
      <c r="A2114">
        <v>2113</v>
      </c>
      <c r="B2114">
        <v>6</v>
      </c>
      <c r="C2114" t="s">
        <v>309</v>
      </c>
      <c r="D2114">
        <v>480</v>
      </c>
      <c r="E2114">
        <v>51</v>
      </c>
      <c r="F2114" t="s">
        <v>24</v>
      </c>
      <c r="G2114">
        <v>1234</v>
      </c>
      <c r="H2114">
        <v>7</v>
      </c>
      <c r="I2114" t="str">
        <f t="shared" ref="I2114:I2177" si="33">TEXT(C2114,"yyyy-mm")</f>
        <v>2024-10</v>
      </c>
    </row>
    <row r="2115" spans="1:9" ht="15" customHeight="1" x14ac:dyDescent="0.25">
      <c r="A2115">
        <v>2114</v>
      </c>
      <c r="B2115">
        <v>6</v>
      </c>
      <c r="C2115" t="s">
        <v>310</v>
      </c>
      <c r="D2115">
        <v>480</v>
      </c>
      <c r="E2115">
        <v>41</v>
      </c>
      <c r="F2115" t="s">
        <v>27</v>
      </c>
      <c r="G2115">
        <v>1091</v>
      </c>
      <c r="H2115">
        <v>14</v>
      </c>
      <c r="I2115" t="str">
        <f t="shared" si="33"/>
        <v>2024-10</v>
      </c>
    </row>
    <row r="2116" spans="1:9" ht="15" customHeight="1" x14ac:dyDescent="0.25">
      <c r="A2116">
        <v>2115</v>
      </c>
      <c r="B2116">
        <v>6</v>
      </c>
      <c r="C2116" t="s">
        <v>311</v>
      </c>
      <c r="D2116">
        <v>480</v>
      </c>
      <c r="E2116">
        <v>143</v>
      </c>
      <c r="F2116" t="s">
        <v>45</v>
      </c>
      <c r="G2116">
        <v>1019</v>
      </c>
      <c r="H2116">
        <v>13</v>
      </c>
      <c r="I2116" t="str">
        <f t="shared" si="33"/>
        <v>2024-10</v>
      </c>
    </row>
    <row r="2117" spans="1:9" ht="15" customHeight="1" x14ac:dyDescent="0.25">
      <c r="A2117">
        <v>2116</v>
      </c>
      <c r="B2117">
        <v>6</v>
      </c>
      <c r="C2117" t="s">
        <v>312</v>
      </c>
      <c r="D2117">
        <v>480</v>
      </c>
      <c r="E2117">
        <v>34</v>
      </c>
      <c r="F2117" t="s">
        <v>22</v>
      </c>
      <c r="G2117">
        <v>1343</v>
      </c>
      <c r="H2117">
        <v>1343</v>
      </c>
      <c r="I2117" t="str">
        <f t="shared" si="33"/>
        <v>2024-10</v>
      </c>
    </row>
    <row r="2118" spans="1:9" ht="15" customHeight="1" x14ac:dyDescent="0.25">
      <c r="A2118">
        <v>2117</v>
      </c>
      <c r="B2118">
        <v>6</v>
      </c>
      <c r="C2118" t="s">
        <v>313</v>
      </c>
      <c r="D2118">
        <v>480</v>
      </c>
      <c r="E2118">
        <v>3</v>
      </c>
      <c r="F2118" t="s">
        <v>27</v>
      </c>
      <c r="G2118">
        <v>1304</v>
      </c>
      <c r="H2118">
        <v>12</v>
      </c>
      <c r="I2118" t="str">
        <f t="shared" si="33"/>
        <v>2024-10</v>
      </c>
    </row>
    <row r="2119" spans="1:9" ht="15" customHeight="1" x14ac:dyDescent="0.25">
      <c r="A2119">
        <v>2118</v>
      </c>
      <c r="B2119">
        <v>6</v>
      </c>
      <c r="C2119" t="s">
        <v>314</v>
      </c>
      <c r="D2119">
        <v>480</v>
      </c>
      <c r="E2119">
        <v>35</v>
      </c>
      <c r="F2119" t="s">
        <v>22</v>
      </c>
      <c r="G2119">
        <v>1214</v>
      </c>
      <c r="H2119">
        <v>16</v>
      </c>
      <c r="I2119" t="str">
        <f t="shared" si="33"/>
        <v>2024-10</v>
      </c>
    </row>
    <row r="2120" spans="1:9" ht="15" customHeight="1" x14ac:dyDescent="0.25">
      <c r="A2120">
        <v>2119</v>
      </c>
      <c r="B2120">
        <v>6</v>
      </c>
      <c r="C2120" t="s">
        <v>315</v>
      </c>
      <c r="D2120">
        <v>480</v>
      </c>
      <c r="E2120">
        <v>25</v>
      </c>
      <c r="F2120" t="s">
        <v>45</v>
      </c>
      <c r="G2120">
        <v>1164</v>
      </c>
      <c r="H2120">
        <v>14</v>
      </c>
      <c r="I2120" t="str">
        <f t="shared" si="33"/>
        <v>2024-10</v>
      </c>
    </row>
    <row r="2121" spans="1:9" ht="15" customHeight="1" x14ac:dyDescent="0.25">
      <c r="A2121">
        <v>2120</v>
      </c>
      <c r="B2121">
        <v>6</v>
      </c>
      <c r="C2121" t="s">
        <v>316</v>
      </c>
      <c r="D2121">
        <v>480</v>
      </c>
      <c r="E2121">
        <v>100</v>
      </c>
      <c r="F2121" t="s">
        <v>22</v>
      </c>
      <c r="G2121">
        <v>1083</v>
      </c>
      <c r="H2121">
        <v>11</v>
      </c>
      <c r="I2121" t="str">
        <f t="shared" si="33"/>
        <v>2024-10</v>
      </c>
    </row>
    <row r="2122" spans="1:9" ht="15" customHeight="1" x14ac:dyDescent="0.25">
      <c r="A2122">
        <v>2121</v>
      </c>
      <c r="B2122">
        <v>6</v>
      </c>
      <c r="C2122" t="s">
        <v>317</v>
      </c>
      <c r="D2122">
        <v>480</v>
      </c>
      <c r="E2122">
        <v>155</v>
      </c>
      <c r="F2122" t="s">
        <v>29</v>
      </c>
      <c r="G2122">
        <v>973</v>
      </c>
      <c r="H2122">
        <v>8</v>
      </c>
      <c r="I2122" t="str">
        <f t="shared" si="33"/>
        <v>2024-10</v>
      </c>
    </row>
    <row r="2123" spans="1:9" ht="15" customHeight="1" x14ac:dyDescent="0.25">
      <c r="A2123">
        <v>2122</v>
      </c>
      <c r="B2123">
        <v>6</v>
      </c>
      <c r="C2123" t="s">
        <v>318</v>
      </c>
      <c r="D2123">
        <v>480</v>
      </c>
      <c r="E2123">
        <v>2</v>
      </c>
      <c r="F2123" t="s">
        <v>27</v>
      </c>
      <c r="G2123">
        <v>1383</v>
      </c>
      <c r="H2123">
        <v>23</v>
      </c>
      <c r="I2123" t="str">
        <f t="shared" si="33"/>
        <v>2024-10</v>
      </c>
    </row>
    <row r="2124" spans="1:9" ht="15" customHeight="1" x14ac:dyDescent="0.25">
      <c r="A2124">
        <v>2123</v>
      </c>
      <c r="B2124">
        <v>6</v>
      </c>
      <c r="C2124" t="s">
        <v>319</v>
      </c>
      <c r="D2124">
        <v>480</v>
      </c>
      <c r="E2124">
        <v>195</v>
      </c>
      <c r="F2124" t="s">
        <v>24</v>
      </c>
      <c r="G2124">
        <v>849</v>
      </c>
      <c r="H2124">
        <v>11</v>
      </c>
      <c r="I2124" t="str">
        <f t="shared" si="33"/>
        <v>2024-10</v>
      </c>
    </row>
    <row r="2125" spans="1:9" ht="15" customHeight="1" x14ac:dyDescent="0.25">
      <c r="A2125">
        <v>2124</v>
      </c>
      <c r="B2125">
        <v>6</v>
      </c>
      <c r="C2125" t="s">
        <v>320</v>
      </c>
      <c r="D2125">
        <v>480</v>
      </c>
      <c r="E2125">
        <v>42</v>
      </c>
      <c r="F2125" t="s">
        <v>33</v>
      </c>
      <c r="G2125">
        <v>1086</v>
      </c>
      <c r="H2125">
        <v>10</v>
      </c>
      <c r="I2125" t="str">
        <f t="shared" si="33"/>
        <v>2024-10</v>
      </c>
    </row>
    <row r="2126" spans="1:9" ht="15" customHeight="1" x14ac:dyDescent="0.25">
      <c r="A2126">
        <v>2125</v>
      </c>
      <c r="B2126">
        <v>6</v>
      </c>
      <c r="C2126" t="s">
        <v>321</v>
      </c>
      <c r="D2126">
        <v>480</v>
      </c>
      <c r="E2126">
        <v>34</v>
      </c>
      <c r="F2126" t="s">
        <v>33</v>
      </c>
      <c r="G2126">
        <v>1261</v>
      </c>
      <c r="H2126">
        <v>16</v>
      </c>
      <c r="I2126" t="str">
        <f t="shared" si="33"/>
        <v>2024-10</v>
      </c>
    </row>
    <row r="2127" spans="1:9" ht="15" customHeight="1" x14ac:dyDescent="0.25">
      <c r="A2127">
        <v>2126</v>
      </c>
      <c r="B2127">
        <v>6</v>
      </c>
      <c r="C2127" t="s">
        <v>322</v>
      </c>
      <c r="D2127">
        <v>480</v>
      </c>
      <c r="E2127">
        <v>76</v>
      </c>
      <c r="F2127" t="s">
        <v>29</v>
      </c>
      <c r="G2127">
        <v>1061</v>
      </c>
      <c r="H2127">
        <v>14</v>
      </c>
      <c r="I2127" t="str">
        <f t="shared" si="33"/>
        <v>2024-10</v>
      </c>
    </row>
    <row r="2128" spans="1:9" ht="15" customHeight="1" x14ac:dyDescent="0.25">
      <c r="A2128">
        <v>2127</v>
      </c>
      <c r="B2128">
        <v>6</v>
      </c>
      <c r="C2128" t="s">
        <v>323</v>
      </c>
      <c r="D2128">
        <v>480</v>
      </c>
      <c r="E2128">
        <v>5</v>
      </c>
      <c r="F2128" t="s">
        <v>24</v>
      </c>
      <c r="G2128">
        <v>1284</v>
      </c>
      <c r="H2128">
        <v>20</v>
      </c>
      <c r="I2128" t="str">
        <f t="shared" si="33"/>
        <v>2024-10</v>
      </c>
    </row>
    <row r="2129" spans="1:9" ht="15" customHeight="1" x14ac:dyDescent="0.25">
      <c r="A2129">
        <v>2128</v>
      </c>
      <c r="B2129">
        <v>6</v>
      </c>
      <c r="C2129" t="s">
        <v>324</v>
      </c>
      <c r="D2129">
        <v>480</v>
      </c>
      <c r="E2129">
        <v>67</v>
      </c>
      <c r="F2129" t="s">
        <v>45</v>
      </c>
      <c r="G2129">
        <v>1255</v>
      </c>
      <c r="H2129">
        <v>12</v>
      </c>
      <c r="I2129" t="str">
        <f t="shared" si="33"/>
        <v>2024-10</v>
      </c>
    </row>
    <row r="2130" spans="1:9" ht="15" customHeight="1" x14ac:dyDescent="0.25">
      <c r="A2130">
        <v>2129</v>
      </c>
      <c r="B2130">
        <v>6</v>
      </c>
      <c r="C2130" t="s">
        <v>325</v>
      </c>
      <c r="D2130">
        <v>480</v>
      </c>
      <c r="E2130">
        <v>39</v>
      </c>
      <c r="F2130" t="s">
        <v>24</v>
      </c>
      <c r="G2130">
        <v>1171</v>
      </c>
      <c r="H2130">
        <v>13</v>
      </c>
      <c r="I2130" t="str">
        <f t="shared" si="33"/>
        <v>2024-10</v>
      </c>
    </row>
    <row r="2131" spans="1:9" ht="15" customHeight="1" x14ac:dyDescent="0.25">
      <c r="A2131">
        <v>2130</v>
      </c>
      <c r="B2131">
        <v>6</v>
      </c>
      <c r="C2131" t="s">
        <v>326</v>
      </c>
      <c r="D2131">
        <v>480</v>
      </c>
      <c r="E2131">
        <v>110</v>
      </c>
      <c r="F2131" t="s">
        <v>45</v>
      </c>
      <c r="G2131">
        <v>1058</v>
      </c>
      <c r="H2131">
        <v>18</v>
      </c>
      <c r="I2131" t="str">
        <f t="shared" si="33"/>
        <v>2024-10</v>
      </c>
    </row>
    <row r="2132" spans="1:9" ht="15" customHeight="1" x14ac:dyDescent="0.25">
      <c r="A2132">
        <v>2131</v>
      </c>
      <c r="B2132">
        <v>6</v>
      </c>
      <c r="C2132" t="s">
        <v>327</v>
      </c>
      <c r="D2132">
        <v>480</v>
      </c>
      <c r="E2132">
        <v>12</v>
      </c>
      <c r="F2132" t="s">
        <v>33</v>
      </c>
      <c r="G2132">
        <v>1390</v>
      </c>
      <c r="H2132">
        <v>9</v>
      </c>
      <c r="I2132" t="str">
        <f t="shared" si="33"/>
        <v>2024-10</v>
      </c>
    </row>
    <row r="2133" spans="1:9" ht="15" customHeight="1" x14ac:dyDescent="0.25">
      <c r="A2133">
        <v>2132</v>
      </c>
      <c r="B2133">
        <v>6</v>
      </c>
      <c r="C2133" t="s">
        <v>328</v>
      </c>
      <c r="D2133">
        <v>480</v>
      </c>
      <c r="E2133">
        <v>124</v>
      </c>
      <c r="F2133" t="s">
        <v>27</v>
      </c>
      <c r="G2133">
        <v>945</v>
      </c>
      <c r="H2133">
        <v>9</v>
      </c>
      <c r="I2133" t="str">
        <f t="shared" si="33"/>
        <v>2024-10</v>
      </c>
    </row>
    <row r="2134" spans="1:9" ht="15" customHeight="1" x14ac:dyDescent="0.25">
      <c r="A2134">
        <v>2133</v>
      </c>
      <c r="B2134">
        <v>6</v>
      </c>
      <c r="C2134" t="s">
        <v>329</v>
      </c>
      <c r="D2134">
        <v>480</v>
      </c>
      <c r="E2134">
        <v>40</v>
      </c>
      <c r="F2134" t="s">
        <v>33</v>
      </c>
      <c r="G2134">
        <v>1324</v>
      </c>
      <c r="H2134">
        <v>9</v>
      </c>
      <c r="I2134" t="str">
        <f t="shared" si="33"/>
        <v>2024-10</v>
      </c>
    </row>
    <row r="2135" spans="1:9" ht="15" customHeight="1" x14ac:dyDescent="0.25">
      <c r="A2135">
        <v>2134</v>
      </c>
      <c r="B2135">
        <v>6</v>
      </c>
      <c r="C2135" t="s">
        <v>330</v>
      </c>
      <c r="D2135">
        <v>480</v>
      </c>
      <c r="E2135">
        <v>24</v>
      </c>
      <c r="F2135" t="s">
        <v>22</v>
      </c>
      <c r="G2135">
        <v>1350</v>
      </c>
      <c r="H2135">
        <v>15</v>
      </c>
      <c r="I2135" t="str">
        <f t="shared" si="33"/>
        <v>2024-10</v>
      </c>
    </row>
    <row r="2136" spans="1:9" ht="15" customHeight="1" x14ac:dyDescent="0.25">
      <c r="A2136">
        <v>2135</v>
      </c>
      <c r="B2136">
        <v>6</v>
      </c>
      <c r="C2136" t="s">
        <v>331</v>
      </c>
      <c r="D2136">
        <v>480</v>
      </c>
      <c r="E2136">
        <v>12</v>
      </c>
      <c r="F2136" t="s">
        <v>27</v>
      </c>
      <c r="G2136">
        <v>1268</v>
      </c>
      <c r="H2136">
        <v>14</v>
      </c>
      <c r="I2136" t="str">
        <f t="shared" si="33"/>
        <v>2024-10</v>
      </c>
    </row>
    <row r="2137" spans="1:9" ht="15" customHeight="1" x14ac:dyDescent="0.25">
      <c r="A2137">
        <v>2136</v>
      </c>
      <c r="B2137">
        <v>6</v>
      </c>
      <c r="C2137" t="s">
        <v>332</v>
      </c>
      <c r="D2137">
        <v>480</v>
      </c>
      <c r="E2137">
        <v>140</v>
      </c>
      <c r="F2137" t="s">
        <v>29</v>
      </c>
      <c r="G2137">
        <v>988</v>
      </c>
      <c r="H2137">
        <v>12</v>
      </c>
      <c r="I2137" t="str">
        <f t="shared" si="33"/>
        <v>2024-11</v>
      </c>
    </row>
    <row r="2138" spans="1:9" ht="15" customHeight="1" x14ac:dyDescent="0.25">
      <c r="A2138">
        <v>2137</v>
      </c>
      <c r="B2138">
        <v>6</v>
      </c>
      <c r="C2138" t="s">
        <v>333</v>
      </c>
      <c r="D2138">
        <v>480</v>
      </c>
      <c r="E2138">
        <v>252</v>
      </c>
      <c r="F2138" t="s">
        <v>45</v>
      </c>
      <c r="G2138">
        <v>623</v>
      </c>
      <c r="H2138">
        <v>4</v>
      </c>
      <c r="I2138" t="str">
        <f t="shared" si="33"/>
        <v>2024-11</v>
      </c>
    </row>
    <row r="2139" spans="1:9" ht="15" customHeight="1" x14ac:dyDescent="0.25">
      <c r="A2139">
        <v>2138</v>
      </c>
      <c r="B2139">
        <v>6</v>
      </c>
      <c r="C2139" t="s">
        <v>334</v>
      </c>
      <c r="D2139">
        <v>480</v>
      </c>
      <c r="E2139">
        <v>17</v>
      </c>
      <c r="F2139" t="s">
        <v>29</v>
      </c>
      <c r="G2139">
        <v>1258</v>
      </c>
      <c r="H2139">
        <v>10</v>
      </c>
      <c r="I2139" t="str">
        <f t="shared" si="33"/>
        <v>2024-11</v>
      </c>
    </row>
    <row r="2140" spans="1:9" ht="15" customHeight="1" x14ac:dyDescent="0.25">
      <c r="A2140">
        <v>2139</v>
      </c>
      <c r="B2140">
        <v>6</v>
      </c>
      <c r="C2140" t="s">
        <v>335</v>
      </c>
      <c r="D2140">
        <v>480</v>
      </c>
      <c r="E2140">
        <v>167</v>
      </c>
      <c r="F2140" t="s">
        <v>45</v>
      </c>
      <c r="G2140">
        <v>910</v>
      </c>
      <c r="H2140">
        <v>8</v>
      </c>
      <c r="I2140" t="str">
        <f t="shared" si="33"/>
        <v>2024-11</v>
      </c>
    </row>
    <row r="2141" spans="1:9" ht="15" customHeight="1" x14ac:dyDescent="0.25">
      <c r="A2141">
        <v>2140</v>
      </c>
      <c r="B2141">
        <v>6</v>
      </c>
      <c r="C2141" t="s">
        <v>336</v>
      </c>
      <c r="D2141">
        <v>480</v>
      </c>
      <c r="E2141">
        <v>50</v>
      </c>
      <c r="F2141" t="s">
        <v>33</v>
      </c>
      <c r="G2141">
        <v>1239</v>
      </c>
      <c r="H2141">
        <v>22</v>
      </c>
      <c r="I2141" t="str">
        <f t="shared" si="33"/>
        <v>2024-11</v>
      </c>
    </row>
    <row r="2142" spans="1:9" ht="15" customHeight="1" x14ac:dyDescent="0.25">
      <c r="A2142">
        <v>2141</v>
      </c>
      <c r="B2142">
        <v>6</v>
      </c>
      <c r="C2142" t="s">
        <v>337</v>
      </c>
      <c r="D2142">
        <v>480</v>
      </c>
      <c r="E2142">
        <v>121</v>
      </c>
      <c r="F2142" t="s">
        <v>33</v>
      </c>
      <c r="G2142">
        <v>992</v>
      </c>
      <c r="H2142">
        <v>15</v>
      </c>
      <c r="I2142" t="str">
        <f t="shared" si="33"/>
        <v>2024-11</v>
      </c>
    </row>
    <row r="2143" spans="1:9" ht="15" customHeight="1" x14ac:dyDescent="0.25">
      <c r="A2143">
        <v>2142</v>
      </c>
      <c r="B2143">
        <v>6</v>
      </c>
      <c r="C2143" t="s">
        <v>338</v>
      </c>
      <c r="D2143">
        <v>480</v>
      </c>
      <c r="E2143">
        <v>46</v>
      </c>
      <c r="F2143" t="s">
        <v>24</v>
      </c>
      <c r="G2143">
        <v>1208</v>
      </c>
      <c r="H2143">
        <v>9</v>
      </c>
      <c r="I2143" t="str">
        <f t="shared" si="33"/>
        <v>2024-11</v>
      </c>
    </row>
    <row r="2144" spans="1:9" ht="15" customHeight="1" x14ac:dyDescent="0.25">
      <c r="A2144">
        <v>2143</v>
      </c>
      <c r="B2144">
        <v>6</v>
      </c>
      <c r="C2144" t="s">
        <v>339</v>
      </c>
      <c r="D2144">
        <v>480</v>
      </c>
      <c r="E2144">
        <v>7</v>
      </c>
      <c r="F2144" t="s">
        <v>45</v>
      </c>
      <c r="G2144">
        <v>1311</v>
      </c>
      <c r="H2144">
        <v>1311</v>
      </c>
      <c r="I2144" t="str">
        <f t="shared" si="33"/>
        <v>2024-11</v>
      </c>
    </row>
    <row r="2145" spans="1:9" ht="15" customHeight="1" x14ac:dyDescent="0.25">
      <c r="A2145">
        <v>2144</v>
      </c>
      <c r="B2145">
        <v>6</v>
      </c>
      <c r="C2145" t="s">
        <v>340</v>
      </c>
      <c r="D2145">
        <v>480</v>
      </c>
      <c r="E2145">
        <v>1</v>
      </c>
      <c r="F2145" t="s">
        <v>33</v>
      </c>
      <c r="G2145">
        <v>1381</v>
      </c>
      <c r="H2145">
        <v>9</v>
      </c>
      <c r="I2145" t="str">
        <f t="shared" si="33"/>
        <v>2024-11</v>
      </c>
    </row>
    <row r="2146" spans="1:9" ht="15" customHeight="1" x14ac:dyDescent="0.25">
      <c r="A2146">
        <v>2145</v>
      </c>
      <c r="B2146">
        <v>6</v>
      </c>
      <c r="C2146" t="s">
        <v>341</v>
      </c>
      <c r="D2146">
        <v>480</v>
      </c>
      <c r="E2146">
        <v>51</v>
      </c>
      <c r="F2146" t="s">
        <v>29</v>
      </c>
      <c r="G2146">
        <v>1191</v>
      </c>
      <c r="H2146">
        <v>21</v>
      </c>
      <c r="I2146" t="str">
        <f t="shared" si="33"/>
        <v>2024-11</v>
      </c>
    </row>
    <row r="2147" spans="1:9" ht="15" customHeight="1" x14ac:dyDescent="0.25">
      <c r="A2147">
        <v>2146</v>
      </c>
      <c r="B2147">
        <v>6</v>
      </c>
      <c r="C2147" t="s">
        <v>342</v>
      </c>
      <c r="D2147">
        <v>480</v>
      </c>
      <c r="E2147">
        <v>37</v>
      </c>
      <c r="F2147" t="s">
        <v>22</v>
      </c>
      <c r="G2147">
        <v>1108</v>
      </c>
      <c r="H2147">
        <v>14</v>
      </c>
      <c r="I2147" t="str">
        <f t="shared" si="33"/>
        <v>2024-11</v>
      </c>
    </row>
    <row r="2148" spans="1:9" ht="15" customHeight="1" x14ac:dyDescent="0.25">
      <c r="A2148">
        <v>2147</v>
      </c>
      <c r="B2148">
        <v>6</v>
      </c>
      <c r="C2148" t="s">
        <v>343</v>
      </c>
      <c r="D2148">
        <v>480</v>
      </c>
      <c r="E2148">
        <v>104</v>
      </c>
      <c r="F2148" t="s">
        <v>45</v>
      </c>
      <c r="G2148">
        <v>1144</v>
      </c>
      <c r="H2148">
        <v>13</v>
      </c>
      <c r="I2148" t="str">
        <f t="shared" si="33"/>
        <v>2024-11</v>
      </c>
    </row>
    <row r="2149" spans="1:9" ht="15" customHeight="1" x14ac:dyDescent="0.25">
      <c r="A2149">
        <v>2148</v>
      </c>
      <c r="B2149">
        <v>6</v>
      </c>
      <c r="C2149" t="s">
        <v>344</v>
      </c>
      <c r="D2149">
        <v>480</v>
      </c>
      <c r="E2149">
        <v>21</v>
      </c>
      <c r="F2149" t="s">
        <v>45</v>
      </c>
      <c r="G2149">
        <v>1372</v>
      </c>
      <c r="H2149">
        <v>11</v>
      </c>
      <c r="I2149" t="str">
        <f t="shared" si="33"/>
        <v>2024-11</v>
      </c>
    </row>
    <row r="2150" spans="1:9" ht="15" customHeight="1" x14ac:dyDescent="0.25">
      <c r="A2150">
        <v>2149</v>
      </c>
      <c r="B2150">
        <v>6</v>
      </c>
      <c r="C2150" t="s">
        <v>345</v>
      </c>
      <c r="D2150">
        <v>480</v>
      </c>
      <c r="E2150">
        <v>54</v>
      </c>
      <c r="F2150" t="s">
        <v>22</v>
      </c>
      <c r="G2150">
        <v>1150</v>
      </c>
      <c r="H2150">
        <v>7</v>
      </c>
      <c r="I2150" t="str">
        <f t="shared" si="33"/>
        <v>2024-11</v>
      </c>
    </row>
    <row r="2151" spans="1:9" ht="15" customHeight="1" x14ac:dyDescent="0.25">
      <c r="A2151">
        <v>2150</v>
      </c>
      <c r="B2151">
        <v>6</v>
      </c>
      <c r="C2151" t="s">
        <v>346</v>
      </c>
      <c r="D2151">
        <v>480</v>
      </c>
      <c r="E2151">
        <v>24</v>
      </c>
      <c r="F2151" t="s">
        <v>27</v>
      </c>
      <c r="G2151">
        <v>1194</v>
      </c>
      <c r="H2151">
        <v>17</v>
      </c>
      <c r="I2151" t="str">
        <f t="shared" si="33"/>
        <v>2024-11</v>
      </c>
    </row>
    <row r="2152" spans="1:9" ht="15" customHeight="1" x14ac:dyDescent="0.25">
      <c r="A2152">
        <v>2151</v>
      </c>
      <c r="B2152">
        <v>6</v>
      </c>
      <c r="C2152" t="s">
        <v>347</v>
      </c>
      <c r="D2152">
        <v>480</v>
      </c>
      <c r="E2152">
        <v>168</v>
      </c>
      <c r="F2152" t="s">
        <v>22</v>
      </c>
      <c r="G2152">
        <v>817</v>
      </c>
      <c r="H2152">
        <v>13</v>
      </c>
      <c r="I2152" t="str">
        <f t="shared" si="33"/>
        <v>2024-11</v>
      </c>
    </row>
    <row r="2153" spans="1:9" ht="15" customHeight="1" x14ac:dyDescent="0.25">
      <c r="A2153">
        <v>2152</v>
      </c>
      <c r="B2153">
        <v>6</v>
      </c>
      <c r="C2153" t="s">
        <v>348</v>
      </c>
      <c r="D2153">
        <v>480</v>
      </c>
      <c r="E2153">
        <v>3</v>
      </c>
      <c r="F2153" t="s">
        <v>27</v>
      </c>
      <c r="G2153">
        <v>1324</v>
      </c>
      <c r="H2153">
        <v>9</v>
      </c>
      <c r="I2153" t="str">
        <f t="shared" si="33"/>
        <v>2024-11</v>
      </c>
    </row>
    <row r="2154" spans="1:9" ht="15" customHeight="1" x14ac:dyDescent="0.25">
      <c r="A2154">
        <v>2153</v>
      </c>
      <c r="B2154">
        <v>6</v>
      </c>
      <c r="C2154" t="s">
        <v>349</v>
      </c>
      <c r="D2154">
        <v>480</v>
      </c>
      <c r="E2154">
        <v>154</v>
      </c>
      <c r="F2154" t="s">
        <v>24</v>
      </c>
      <c r="G2154">
        <v>948</v>
      </c>
      <c r="H2154">
        <v>13</v>
      </c>
      <c r="I2154" t="str">
        <f t="shared" si="33"/>
        <v>2024-11</v>
      </c>
    </row>
    <row r="2155" spans="1:9" ht="15" customHeight="1" x14ac:dyDescent="0.25">
      <c r="A2155">
        <v>2154</v>
      </c>
      <c r="B2155">
        <v>6</v>
      </c>
      <c r="C2155" t="s">
        <v>350</v>
      </c>
      <c r="D2155">
        <v>480</v>
      </c>
      <c r="E2155">
        <v>98</v>
      </c>
      <c r="F2155" t="s">
        <v>45</v>
      </c>
      <c r="G2155">
        <v>1085</v>
      </c>
      <c r="H2155">
        <v>20</v>
      </c>
      <c r="I2155" t="str">
        <f t="shared" si="33"/>
        <v>2024-11</v>
      </c>
    </row>
    <row r="2156" spans="1:9" ht="15" customHeight="1" x14ac:dyDescent="0.25">
      <c r="A2156">
        <v>2155</v>
      </c>
      <c r="B2156">
        <v>6</v>
      </c>
      <c r="C2156" t="s">
        <v>351</v>
      </c>
      <c r="D2156">
        <v>480</v>
      </c>
      <c r="E2156">
        <v>71</v>
      </c>
      <c r="F2156" t="s">
        <v>29</v>
      </c>
      <c r="G2156">
        <v>1227</v>
      </c>
      <c r="H2156">
        <v>15</v>
      </c>
      <c r="I2156" t="str">
        <f t="shared" si="33"/>
        <v>2024-11</v>
      </c>
    </row>
    <row r="2157" spans="1:9" ht="15" customHeight="1" x14ac:dyDescent="0.25">
      <c r="A2157">
        <v>2156</v>
      </c>
      <c r="B2157">
        <v>6</v>
      </c>
      <c r="C2157" t="s">
        <v>352</v>
      </c>
      <c r="D2157">
        <v>480</v>
      </c>
      <c r="E2157">
        <v>7</v>
      </c>
      <c r="F2157" t="s">
        <v>29</v>
      </c>
      <c r="G2157">
        <v>1310</v>
      </c>
      <c r="H2157">
        <v>10</v>
      </c>
      <c r="I2157" t="str">
        <f t="shared" si="33"/>
        <v>2024-11</v>
      </c>
    </row>
    <row r="2158" spans="1:9" ht="15" customHeight="1" x14ac:dyDescent="0.25">
      <c r="A2158">
        <v>2157</v>
      </c>
      <c r="B2158">
        <v>6</v>
      </c>
      <c r="C2158" t="s">
        <v>353</v>
      </c>
      <c r="D2158">
        <v>480</v>
      </c>
      <c r="E2158">
        <v>50</v>
      </c>
      <c r="F2158" t="s">
        <v>24</v>
      </c>
      <c r="G2158">
        <v>1180</v>
      </c>
      <c r="H2158">
        <v>16</v>
      </c>
      <c r="I2158" t="str">
        <f t="shared" si="33"/>
        <v>2024-11</v>
      </c>
    </row>
    <row r="2159" spans="1:9" ht="15" customHeight="1" x14ac:dyDescent="0.25">
      <c r="A2159">
        <v>2158</v>
      </c>
      <c r="B2159">
        <v>6</v>
      </c>
      <c r="C2159" t="s">
        <v>354</v>
      </c>
      <c r="D2159">
        <v>480</v>
      </c>
      <c r="E2159">
        <v>0</v>
      </c>
      <c r="F2159" t="s">
        <v>33</v>
      </c>
      <c r="G2159">
        <v>1237</v>
      </c>
      <c r="H2159">
        <v>15</v>
      </c>
      <c r="I2159" t="str">
        <f t="shared" si="33"/>
        <v>2024-11</v>
      </c>
    </row>
    <row r="2160" spans="1:9" ht="15" customHeight="1" x14ac:dyDescent="0.25">
      <c r="A2160">
        <v>2159</v>
      </c>
      <c r="B2160">
        <v>6</v>
      </c>
      <c r="C2160" t="s">
        <v>355</v>
      </c>
      <c r="D2160">
        <v>480</v>
      </c>
      <c r="E2160">
        <v>170</v>
      </c>
      <c r="F2160" t="s">
        <v>24</v>
      </c>
      <c r="G2160">
        <v>833</v>
      </c>
      <c r="H2160">
        <v>9</v>
      </c>
      <c r="I2160" t="str">
        <f t="shared" si="33"/>
        <v>2024-11</v>
      </c>
    </row>
    <row r="2161" spans="1:9" ht="15" customHeight="1" x14ac:dyDescent="0.25">
      <c r="A2161">
        <v>2160</v>
      </c>
      <c r="B2161">
        <v>6</v>
      </c>
      <c r="C2161" t="s">
        <v>356</v>
      </c>
      <c r="D2161">
        <v>480</v>
      </c>
      <c r="E2161">
        <v>71</v>
      </c>
      <c r="F2161" t="s">
        <v>29</v>
      </c>
      <c r="G2161">
        <v>1151</v>
      </c>
      <c r="H2161">
        <v>11</v>
      </c>
      <c r="I2161" t="str">
        <f t="shared" si="33"/>
        <v>2024-11</v>
      </c>
    </row>
    <row r="2162" spans="1:9" ht="15" customHeight="1" x14ac:dyDescent="0.25">
      <c r="A2162">
        <v>2161</v>
      </c>
      <c r="B2162">
        <v>6</v>
      </c>
      <c r="C2162" t="s">
        <v>357</v>
      </c>
      <c r="D2162">
        <v>480</v>
      </c>
      <c r="E2162">
        <v>30</v>
      </c>
      <c r="F2162" t="s">
        <v>45</v>
      </c>
      <c r="G2162">
        <v>1166</v>
      </c>
      <c r="H2162">
        <v>21</v>
      </c>
      <c r="I2162" t="str">
        <f t="shared" si="33"/>
        <v>2024-11</v>
      </c>
    </row>
    <row r="2163" spans="1:9" ht="15" customHeight="1" x14ac:dyDescent="0.25">
      <c r="A2163">
        <v>2162</v>
      </c>
      <c r="B2163">
        <v>6</v>
      </c>
      <c r="C2163" t="s">
        <v>358</v>
      </c>
      <c r="D2163">
        <v>480</v>
      </c>
      <c r="E2163">
        <v>7</v>
      </c>
      <c r="F2163" t="s">
        <v>45</v>
      </c>
      <c r="G2163">
        <v>1267</v>
      </c>
      <c r="H2163">
        <v>8</v>
      </c>
      <c r="I2163" t="str">
        <f t="shared" si="33"/>
        <v>2024-11</v>
      </c>
    </row>
    <row r="2164" spans="1:9" ht="15" customHeight="1" x14ac:dyDescent="0.25">
      <c r="A2164">
        <v>2163</v>
      </c>
      <c r="B2164">
        <v>6</v>
      </c>
      <c r="C2164" t="s">
        <v>359</v>
      </c>
      <c r="D2164">
        <v>480</v>
      </c>
      <c r="E2164">
        <v>14</v>
      </c>
      <c r="F2164" t="s">
        <v>27</v>
      </c>
      <c r="G2164">
        <v>1359</v>
      </c>
      <c r="H2164">
        <v>11</v>
      </c>
      <c r="I2164" t="str">
        <f t="shared" si="33"/>
        <v>2024-11</v>
      </c>
    </row>
    <row r="2165" spans="1:9" ht="15" customHeight="1" x14ac:dyDescent="0.25">
      <c r="A2165">
        <v>2164</v>
      </c>
      <c r="B2165">
        <v>6</v>
      </c>
      <c r="C2165" t="s">
        <v>360</v>
      </c>
      <c r="D2165">
        <v>480</v>
      </c>
      <c r="E2165">
        <v>4</v>
      </c>
      <c r="F2165" t="s">
        <v>24</v>
      </c>
      <c r="G2165">
        <v>1304</v>
      </c>
      <c r="H2165">
        <v>8</v>
      </c>
      <c r="I2165" t="str">
        <f t="shared" si="33"/>
        <v>2024-11</v>
      </c>
    </row>
    <row r="2166" spans="1:9" ht="15" customHeight="1" x14ac:dyDescent="0.25">
      <c r="A2166">
        <v>2165</v>
      </c>
      <c r="B2166">
        <v>6</v>
      </c>
      <c r="C2166" t="s">
        <v>361</v>
      </c>
      <c r="D2166">
        <v>480</v>
      </c>
      <c r="E2166">
        <v>5</v>
      </c>
      <c r="F2166" t="s">
        <v>29</v>
      </c>
      <c r="G2166">
        <v>1393</v>
      </c>
      <c r="H2166">
        <v>1393</v>
      </c>
      <c r="I2166" t="str">
        <f t="shared" si="33"/>
        <v>2024-11</v>
      </c>
    </row>
    <row r="2167" spans="1:9" ht="15" customHeight="1" x14ac:dyDescent="0.25">
      <c r="A2167">
        <v>2166</v>
      </c>
      <c r="B2167">
        <v>6</v>
      </c>
      <c r="C2167" t="s">
        <v>362</v>
      </c>
      <c r="D2167">
        <v>480</v>
      </c>
      <c r="E2167">
        <v>139</v>
      </c>
      <c r="F2167" t="s">
        <v>27</v>
      </c>
      <c r="G2167">
        <v>1009</v>
      </c>
      <c r="H2167">
        <v>14</v>
      </c>
      <c r="I2167" t="str">
        <f t="shared" si="33"/>
        <v>2024-12</v>
      </c>
    </row>
    <row r="2168" spans="1:9" ht="15" customHeight="1" x14ac:dyDescent="0.25">
      <c r="A2168">
        <v>2167</v>
      </c>
      <c r="B2168">
        <v>6</v>
      </c>
      <c r="C2168" t="s">
        <v>363</v>
      </c>
      <c r="D2168">
        <v>480</v>
      </c>
      <c r="E2168">
        <v>3</v>
      </c>
      <c r="F2168" t="s">
        <v>45</v>
      </c>
      <c r="G2168">
        <v>1392</v>
      </c>
      <c r="H2168">
        <v>23</v>
      </c>
      <c r="I2168" t="str">
        <f t="shared" si="33"/>
        <v>2024-12</v>
      </c>
    </row>
    <row r="2169" spans="1:9" ht="15" customHeight="1" x14ac:dyDescent="0.25">
      <c r="A2169">
        <v>2168</v>
      </c>
      <c r="B2169">
        <v>6</v>
      </c>
      <c r="C2169" t="s">
        <v>364</v>
      </c>
      <c r="D2169">
        <v>480</v>
      </c>
      <c r="E2169">
        <v>91</v>
      </c>
      <c r="F2169" t="s">
        <v>24</v>
      </c>
      <c r="G2169">
        <v>1073</v>
      </c>
      <c r="H2169">
        <v>9</v>
      </c>
      <c r="I2169" t="str">
        <f t="shared" si="33"/>
        <v>2024-12</v>
      </c>
    </row>
    <row r="2170" spans="1:9" ht="15" customHeight="1" x14ac:dyDescent="0.25">
      <c r="A2170">
        <v>2169</v>
      </c>
      <c r="B2170">
        <v>6</v>
      </c>
      <c r="C2170" t="s">
        <v>365</v>
      </c>
      <c r="D2170">
        <v>480</v>
      </c>
      <c r="E2170">
        <v>105</v>
      </c>
      <c r="F2170" t="s">
        <v>33</v>
      </c>
      <c r="G2170">
        <v>1082</v>
      </c>
      <c r="H2170">
        <v>20</v>
      </c>
      <c r="I2170" t="str">
        <f t="shared" si="33"/>
        <v>2024-12</v>
      </c>
    </row>
    <row r="2171" spans="1:9" ht="15" customHeight="1" x14ac:dyDescent="0.25">
      <c r="A2171">
        <v>2170</v>
      </c>
      <c r="B2171">
        <v>6</v>
      </c>
      <c r="C2171" t="s">
        <v>366</v>
      </c>
      <c r="D2171">
        <v>480</v>
      </c>
      <c r="E2171">
        <v>9</v>
      </c>
      <c r="F2171" t="s">
        <v>29</v>
      </c>
      <c r="G2171">
        <v>1222</v>
      </c>
      <c r="H2171">
        <v>10</v>
      </c>
      <c r="I2171" t="str">
        <f t="shared" si="33"/>
        <v>2024-12</v>
      </c>
    </row>
    <row r="2172" spans="1:9" ht="15" customHeight="1" x14ac:dyDescent="0.25">
      <c r="A2172">
        <v>2171</v>
      </c>
      <c r="B2172">
        <v>6</v>
      </c>
      <c r="C2172" t="s">
        <v>367</v>
      </c>
      <c r="D2172">
        <v>480</v>
      </c>
      <c r="E2172">
        <v>89</v>
      </c>
      <c r="F2172" t="s">
        <v>22</v>
      </c>
      <c r="G2172">
        <v>1006</v>
      </c>
      <c r="H2172">
        <v>7</v>
      </c>
      <c r="I2172" t="str">
        <f t="shared" si="33"/>
        <v>2024-12</v>
      </c>
    </row>
    <row r="2173" spans="1:9" ht="15" customHeight="1" x14ac:dyDescent="0.25">
      <c r="A2173">
        <v>2172</v>
      </c>
      <c r="B2173">
        <v>6</v>
      </c>
      <c r="C2173" t="s">
        <v>368</v>
      </c>
      <c r="D2173">
        <v>480</v>
      </c>
      <c r="E2173">
        <v>371</v>
      </c>
      <c r="F2173" t="s">
        <v>27</v>
      </c>
      <c r="G2173">
        <v>270</v>
      </c>
      <c r="H2173">
        <v>4</v>
      </c>
      <c r="I2173" t="str">
        <f t="shared" si="33"/>
        <v>2024-12</v>
      </c>
    </row>
    <row r="2174" spans="1:9" ht="15" customHeight="1" x14ac:dyDescent="0.25">
      <c r="A2174">
        <v>2173</v>
      </c>
      <c r="B2174">
        <v>6</v>
      </c>
      <c r="C2174" t="s">
        <v>369</v>
      </c>
      <c r="D2174">
        <v>480</v>
      </c>
      <c r="E2174">
        <v>25</v>
      </c>
      <c r="F2174" t="s">
        <v>27</v>
      </c>
      <c r="G2174">
        <v>1343</v>
      </c>
      <c r="H2174">
        <v>17</v>
      </c>
      <c r="I2174" t="str">
        <f t="shared" si="33"/>
        <v>2024-12</v>
      </c>
    </row>
    <row r="2175" spans="1:9" ht="15" customHeight="1" x14ac:dyDescent="0.25">
      <c r="A2175">
        <v>2174</v>
      </c>
      <c r="B2175">
        <v>6</v>
      </c>
      <c r="C2175" t="s">
        <v>370</v>
      </c>
      <c r="D2175">
        <v>480</v>
      </c>
      <c r="E2175">
        <v>131</v>
      </c>
      <c r="F2175" t="s">
        <v>24</v>
      </c>
      <c r="G2175">
        <v>1047</v>
      </c>
      <c r="H2175">
        <v>6</v>
      </c>
      <c r="I2175" t="str">
        <f t="shared" si="33"/>
        <v>2024-12</v>
      </c>
    </row>
    <row r="2176" spans="1:9" ht="15" customHeight="1" x14ac:dyDescent="0.25">
      <c r="A2176">
        <v>2175</v>
      </c>
      <c r="B2176">
        <v>6</v>
      </c>
      <c r="C2176" t="s">
        <v>371</v>
      </c>
      <c r="D2176">
        <v>480</v>
      </c>
      <c r="E2176">
        <v>4</v>
      </c>
      <c r="F2176" t="s">
        <v>29</v>
      </c>
      <c r="G2176">
        <v>1242</v>
      </c>
      <c r="H2176">
        <v>18</v>
      </c>
      <c r="I2176" t="str">
        <f t="shared" si="33"/>
        <v>2024-12</v>
      </c>
    </row>
    <row r="2177" spans="1:9" ht="15" customHeight="1" x14ac:dyDescent="0.25">
      <c r="A2177">
        <v>2176</v>
      </c>
      <c r="B2177">
        <v>6</v>
      </c>
      <c r="C2177" t="s">
        <v>372</v>
      </c>
      <c r="D2177">
        <v>480</v>
      </c>
      <c r="E2177">
        <v>124</v>
      </c>
      <c r="F2177" t="s">
        <v>24</v>
      </c>
      <c r="G2177">
        <v>972</v>
      </c>
      <c r="H2177">
        <v>13</v>
      </c>
      <c r="I2177" t="str">
        <f t="shared" si="33"/>
        <v>2024-12</v>
      </c>
    </row>
    <row r="2178" spans="1:9" ht="15" customHeight="1" x14ac:dyDescent="0.25">
      <c r="A2178">
        <v>2177</v>
      </c>
      <c r="B2178">
        <v>6</v>
      </c>
      <c r="C2178" t="s">
        <v>373</v>
      </c>
      <c r="D2178">
        <v>480</v>
      </c>
      <c r="E2178">
        <v>11</v>
      </c>
      <c r="F2178" t="s">
        <v>24</v>
      </c>
      <c r="G2178">
        <v>1375</v>
      </c>
      <c r="H2178">
        <v>25</v>
      </c>
      <c r="I2178" t="str">
        <f t="shared" ref="I2178:I2197" si="34">TEXT(C2178,"yyyy-mm")</f>
        <v>2024-12</v>
      </c>
    </row>
    <row r="2179" spans="1:9" ht="15" customHeight="1" x14ac:dyDescent="0.25">
      <c r="A2179">
        <v>2178</v>
      </c>
      <c r="B2179">
        <v>6</v>
      </c>
      <c r="C2179" t="s">
        <v>374</v>
      </c>
      <c r="D2179">
        <v>480</v>
      </c>
      <c r="E2179">
        <v>17</v>
      </c>
      <c r="F2179" t="s">
        <v>24</v>
      </c>
      <c r="G2179">
        <v>1274</v>
      </c>
      <c r="H2179">
        <v>9</v>
      </c>
      <c r="I2179" t="str">
        <f t="shared" si="34"/>
        <v>2024-12</v>
      </c>
    </row>
    <row r="2180" spans="1:9" ht="15" customHeight="1" x14ac:dyDescent="0.25">
      <c r="A2180">
        <v>2179</v>
      </c>
      <c r="B2180">
        <v>6</v>
      </c>
      <c r="C2180" t="s">
        <v>375</v>
      </c>
      <c r="D2180">
        <v>480</v>
      </c>
      <c r="E2180">
        <v>46</v>
      </c>
      <c r="F2180" t="s">
        <v>45</v>
      </c>
      <c r="G2180">
        <v>1196</v>
      </c>
      <c r="H2180">
        <v>9</v>
      </c>
      <c r="I2180" t="str">
        <f t="shared" si="34"/>
        <v>2024-12</v>
      </c>
    </row>
    <row r="2181" spans="1:9" ht="15" customHeight="1" x14ac:dyDescent="0.25">
      <c r="A2181">
        <v>2180</v>
      </c>
      <c r="B2181">
        <v>6</v>
      </c>
      <c r="C2181" t="s">
        <v>376</v>
      </c>
      <c r="D2181">
        <v>480</v>
      </c>
      <c r="E2181">
        <v>33</v>
      </c>
      <c r="F2181" t="s">
        <v>22</v>
      </c>
      <c r="G2181">
        <v>1188</v>
      </c>
      <c r="H2181">
        <v>15</v>
      </c>
      <c r="I2181" t="str">
        <f t="shared" si="34"/>
        <v>2024-12</v>
      </c>
    </row>
    <row r="2182" spans="1:9" ht="15" customHeight="1" x14ac:dyDescent="0.25">
      <c r="A2182">
        <v>2181</v>
      </c>
      <c r="B2182">
        <v>6</v>
      </c>
      <c r="C2182" t="s">
        <v>377</v>
      </c>
      <c r="D2182">
        <v>480</v>
      </c>
      <c r="E2182">
        <v>49</v>
      </c>
      <c r="F2182" t="s">
        <v>22</v>
      </c>
      <c r="G2182">
        <v>1064</v>
      </c>
      <c r="H2182">
        <v>16</v>
      </c>
      <c r="I2182" t="str">
        <f t="shared" si="34"/>
        <v>2024-12</v>
      </c>
    </row>
    <row r="2183" spans="1:9" ht="15" customHeight="1" x14ac:dyDescent="0.25">
      <c r="A2183">
        <v>2182</v>
      </c>
      <c r="B2183">
        <v>6</v>
      </c>
      <c r="C2183" t="s">
        <v>378</v>
      </c>
      <c r="D2183">
        <v>480</v>
      </c>
      <c r="E2183">
        <v>70</v>
      </c>
      <c r="F2183" t="s">
        <v>22</v>
      </c>
      <c r="G2183">
        <v>1097</v>
      </c>
      <c r="H2183">
        <v>7</v>
      </c>
      <c r="I2183" t="str">
        <f t="shared" si="34"/>
        <v>2024-12</v>
      </c>
    </row>
    <row r="2184" spans="1:9" ht="15" customHeight="1" x14ac:dyDescent="0.25">
      <c r="A2184">
        <v>2183</v>
      </c>
      <c r="B2184">
        <v>6</v>
      </c>
      <c r="C2184" t="s">
        <v>379</v>
      </c>
      <c r="D2184">
        <v>480</v>
      </c>
      <c r="E2184">
        <v>79</v>
      </c>
      <c r="F2184" t="s">
        <v>29</v>
      </c>
      <c r="G2184">
        <v>1210</v>
      </c>
      <c r="H2184">
        <v>11</v>
      </c>
      <c r="I2184" t="str">
        <f t="shared" si="34"/>
        <v>2024-12</v>
      </c>
    </row>
    <row r="2185" spans="1:9" ht="15" customHeight="1" x14ac:dyDescent="0.25">
      <c r="A2185">
        <v>2184</v>
      </c>
      <c r="B2185">
        <v>6</v>
      </c>
      <c r="C2185" t="s">
        <v>380</v>
      </c>
      <c r="D2185">
        <v>480</v>
      </c>
      <c r="E2185">
        <v>22</v>
      </c>
      <c r="F2185" t="s">
        <v>45</v>
      </c>
      <c r="G2185">
        <v>1177</v>
      </c>
      <c r="H2185">
        <v>15</v>
      </c>
      <c r="I2185" t="str">
        <f t="shared" si="34"/>
        <v>2024-12</v>
      </c>
    </row>
    <row r="2186" spans="1:9" ht="15" customHeight="1" x14ac:dyDescent="0.25">
      <c r="A2186">
        <v>2185</v>
      </c>
      <c r="B2186">
        <v>6</v>
      </c>
      <c r="C2186" t="s">
        <v>381</v>
      </c>
      <c r="D2186">
        <v>480</v>
      </c>
      <c r="E2186">
        <v>9</v>
      </c>
      <c r="F2186" t="s">
        <v>24</v>
      </c>
      <c r="G2186">
        <v>1258</v>
      </c>
      <c r="H2186">
        <v>18</v>
      </c>
      <c r="I2186" t="str">
        <f t="shared" si="34"/>
        <v>2024-12</v>
      </c>
    </row>
    <row r="2187" spans="1:9" ht="15" customHeight="1" x14ac:dyDescent="0.25">
      <c r="A2187">
        <v>2186</v>
      </c>
      <c r="B2187">
        <v>6</v>
      </c>
      <c r="C2187" t="s">
        <v>382</v>
      </c>
      <c r="D2187">
        <v>480</v>
      </c>
      <c r="E2187">
        <v>46</v>
      </c>
      <c r="F2187" t="s">
        <v>22</v>
      </c>
      <c r="G2187">
        <v>1167</v>
      </c>
      <c r="H2187">
        <v>13</v>
      </c>
      <c r="I2187" t="str">
        <f t="shared" si="34"/>
        <v>2024-12</v>
      </c>
    </row>
    <row r="2188" spans="1:9" ht="15" customHeight="1" x14ac:dyDescent="0.25">
      <c r="A2188">
        <v>2187</v>
      </c>
      <c r="B2188">
        <v>6</v>
      </c>
      <c r="C2188" t="s">
        <v>383</v>
      </c>
      <c r="D2188">
        <v>480</v>
      </c>
      <c r="E2188">
        <v>46</v>
      </c>
      <c r="F2188" t="s">
        <v>45</v>
      </c>
      <c r="G2188">
        <v>1071</v>
      </c>
      <c r="H2188">
        <v>7</v>
      </c>
      <c r="I2188" t="str">
        <f t="shared" si="34"/>
        <v>2024-12</v>
      </c>
    </row>
    <row r="2189" spans="1:9" ht="15" customHeight="1" x14ac:dyDescent="0.25">
      <c r="A2189">
        <v>2188</v>
      </c>
      <c r="B2189">
        <v>6</v>
      </c>
      <c r="C2189" t="s">
        <v>384</v>
      </c>
      <c r="D2189">
        <v>480</v>
      </c>
      <c r="E2189">
        <v>120</v>
      </c>
      <c r="F2189" t="s">
        <v>27</v>
      </c>
      <c r="G2189">
        <v>903</v>
      </c>
      <c r="H2189">
        <v>13</v>
      </c>
      <c r="I2189" t="str">
        <f t="shared" si="34"/>
        <v>2024-12</v>
      </c>
    </row>
    <row r="2190" spans="1:9" ht="15" customHeight="1" x14ac:dyDescent="0.25">
      <c r="A2190">
        <v>2189</v>
      </c>
      <c r="B2190">
        <v>6</v>
      </c>
      <c r="C2190" t="s">
        <v>385</v>
      </c>
      <c r="D2190">
        <v>480</v>
      </c>
      <c r="E2190">
        <v>143</v>
      </c>
      <c r="F2190" t="s">
        <v>27</v>
      </c>
      <c r="G2190">
        <v>883</v>
      </c>
      <c r="H2190">
        <v>9</v>
      </c>
      <c r="I2190" t="str">
        <f t="shared" si="34"/>
        <v>2024-12</v>
      </c>
    </row>
    <row r="2191" spans="1:9" ht="15" customHeight="1" x14ac:dyDescent="0.25">
      <c r="A2191">
        <v>2190</v>
      </c>
      <c r="B2191">
        <v>6</v>
      </c>
      <c r="C2191" t="s">
        <v>386</v>
      </c>
      <c r="D2191">
        <v>480</v>
      </c>
      <c r="E2191">
        <v>47</v>
      </c>
      <c r="F2191" t="s">
        <v>45</v>
      </c>
      <c r="G2191">
        <v>1288</v>
      </c>
      <c r="H2191">
        <v>23</v>
      </c>
      <c r="I2191" t="str">
        <f t="shared" si="34"/>
        <v>2024-12</v>
      </c>
    </row>
    <row r="2192" spans="1:9" ht="15" customHeight="1" x14ac:dyDescent="0.25">
      <c r="A2192">
        <v>2191</v>
      </c>
      <c r="B2192">
        <v>6</v>
      </c>
      <c r="C2192" t="s">
        <v>387</v>
      </c>
      <c r="D2192">
        <v>480</v>
      </c>
      <c r="E2192">
        <v>76</v>
      </c>
      <c r="F2192" t="s">
        <v>27</v>
      </c>
      <c r="G2192">
        <v>1016</v>
      </c>
      <c r="H2192">
        <v>14</v>
      </c>
      <c r="I2192" t="str">
        <f t="shared" si="34"/>
        <v>2024-12</v>
      </c>
    </row>
    <row r="2193" spans="1:9" ht="15" customHeight="1" x14ac:dyDescent="0.25">
      <c r="A2193">
        <v>2192</v>
      </c>
      <c r="B2193">
        <v>6</v>
      </c>
      <c r="C2193" t="s">
        <v>388</v>
      </c>
      <c r="D2193">
        <v>480</v>
      </c>
      <c r="E2193">
        <v>29</v>
      </c>
      <c r="F2193" t="s">
        <v>22</v>
      </c>
      <c r="G2193">
        <v>1234</v>
      </c>
      <c r="H2193">
        <v>8</v>
      </c>
      <c r="I2193" t="str">
        <f t="shared" si="34"/>
        <v>2024-12</v>
      </c>
    </row>
    <row r="2194" spans="1:9" ht="15" customHeight="1" x14ac:dyDescent="0.25">
      <c r="A2194">
        <v>2193</v>
      </c>
      <c r="B2194">
        <v>6</v>
      </c>
      <c r="C2194" t="s">
        <v>389</v>
      </c>
      <c r="D2194">
        <v>480</v>
      </c>
      <c r="E2194">
        <v>12</v>
      </c>
      <c r="F2194" t="s">
        <v>27</v>
      </c>
      <c r="G2194">
        <v>1368</v>
      </c>
      <c r="H2194">
        <v>16</v>
      </c>
      <c r="I2194" t="str">
        <f t="shared" si="34"/>
        <v>2024-12</v>
      </c>
    </row>
    <row r="2195" spans="1:9" ht="15" customHeight="1" x14ac:dyDescent="0.25">
      <c r="A2195">
        <v>2194</v>
      </c>
      <c r="B2195">
        <v>6</v>
      </c>
      <c r="C2195" t="s">
        <v>390</v>
      </c>
      <c r="D2195">
        <v>480</v>
      </c>
      <c r="E2195">
        <v>20</v>
      </c>
      <c r="F2195" t="s">
        <v>29</v>
      </c>
      <c r="G2195">
        <v>1236</v>
      </c>
      <c r="H2195">
        <v>1236</v>
      </c>
      <c r="I2195" t="str">
        <f t="shared" si="34"/>
        <v>2024-12</v>
      </c>
    </row>
    <row r="2196" spans="1:9" ht="15" customHeight="1" x14ac:dyDescent="0.25">
      <c r="A2196">
        <v>2195</v>
      </c>
      <c r="B2196">
        <v>6</v>
      </c>
      <c r="C2196" t="s">
        <v>391</v>
      </c>
      <c r="D2196">
        <v>480</v>
      </c>
      <c r="E2196">
        <v>78</v>
      </c>
      <c r="F2196" t="s">
        <v>27</v>
      </c>
      <c r="G2196">
        <v>1054</v>
      </c>
      <c r="H2196">
        <v>8</v>
      </c>
      <c r="I2196" t="str">
        <f t="shared" si="34"/>
        <v>2024-12</v>
      </c>
    </row>
    <row r="2197" spans="1:9" ht="15" customHeight="1" x14ac:dyDescent="0.25">
      <c r="A2197">
        <v>2196</v>
      </c>
      <c r="B2197">
        <v>6</v>
      </c>
      <c r="C2197" t="s">
        <v>392</v>
      </c>
      <c r="D2197">
        <v>480</v>
      </c>
      <c r="E2197">
        <v>16</v>
      </c>
      <c r="F2197" t="s">
        <v>22</v>
      </c>
      <c r="G2197">
        <v>1391</v>
      </c>
      <c r="H2197">
        <v>18</v>
      </c>
      <c r="I2197" t="str">
        <f t="shared" si="34"/>
        <v>2024-12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9"/>
  <sheetViews>
    <sheetView zoomScaleNormal="100" workbookViewId="0">
      <pane ySplit="1" topLeftCell="A2" activePane="bottomLeft" state="frozen"/>
      <selection pane="bottomLeft" activeCell="E9" sqref="E9"/>
    </sheetView>
  </sheetViews>
  <sheetFormatPr baseColWidth="10" defaultColWidth="8.7109375" defaultRowHeight="15" x14ac:dyDescent="0.25"/>
  <cols>
    <col min="1" max="2" width="10" customWidth="1"/>
    <col min="3" max="3" width="12" customWidth="1"/>
    <col min="4" max="4" width="14" customWidth="1"/>
    <col min="5" max="5" width="12" customWidth="1"/>
  </cols>
  <sheetData>
    <row r="1" spans="1:5" ht="15" customHeight="1" x14ac:dyDescent="0.25">
      <c r="A1" s="1" t="s">
        <v>393</v>
      </c>
      <c r="B1" s="1" t="s">
        <v>0</v>
      </c>
      <c r="C1" s="1" t="s">
        <v>394</v>
      </c>
      <c r="D1" s="1" t="s">
        <v>395</v>
      </c>
      <c r="E1" s="1" t="s">
        <v>396</v>
      </c>
    </row>
    <row r="2" spans="1:5" ht="15" customHeight="1" x14ac:dyDescent="0.25">
      <c r="A2">
        <v>1</v>
      </c>
      <c r="B2">
        <v>1</v>
      </c>
      <c r="C2" t="s">
        <v>397</v>
      </c>
      <c r="D2" t="s">
        <v>398</v>
      </c>
      <c r="E2">
        <v>19201.32</v>
      </c>
    </row>
    <row r="3" spans="1:5" ht="15" customHeight="1" x14ac:dyDescent="0.25">
      <c r="A3">
        <v>2</v>
      </c>
      <c r="B3">
        <v>1</v>
      </c>
      <c r="C3" t="s">
        <v>397</v>
      </c>
      <c r="D3" t="s">
        <v>399</v>
      </c>
      <c r="E3">
        <v>6589.18</v>
      </c>
    </row>
    <row r="4" spans="1:5" ht="15" customHeight="1" x14ac:dyDescent="0.25">
      <c r="A4">
        <v>3</v>
      </c>
      <c r="B4">
        <v>1</v>
      </c>
      <c r="C4" t="s">
        <v>397</v>
      </c>
      <c r="D4" t="s">
        <v>400</v>
      </c>
      <c r="E4">
        <v>3932.06</v>
      </c>
    </row>
    <row r="5" spans="1:5" ht="15" customHeight="1" x14ac:dyDescent="0.25">
      <c r="A5">
        <v>4</v>
      </c>
      <c r="B5">
        <v>1</v>
      </c>
      <c r="C5" t="s">
        <v>397</v>
      </c>
      <c r="D5" t="s">
        <v>401</v>
      </c>
      <c r="E5">
        <v>30088.84</v>
      </c>
    </row>
    <row r="6" spans="1:5" ht="15" customHeight="1" x14ac:dyDescent="0.25">
      <c r="A6">
        <v>5</v>
      </c>
      <c r="B6">
        <v>1</v>
      </c>
      <c r="C6" t="s">
        <v>402</v>
      </c>
      <c r="D6" t="s">
        <v>398</v>
      </c>
      <c r="E6">
        <v>19109.580000000002</v>
      </c>
    </row>
    <row r="7" spans="1:5" ht="15" customHeight="1" x14ac:dyDescent="0.25">
      <c r="A7">
        <v>6</v>
      </c>
      <c r="B7">
        <v>1</v>
      </c>
      <c r="C7" t="s">
        <v>402</v>
      </c>
      <c r="D7" t="s">
        <v>399</v>
      </c>
      <c r="E7">
        <v>5150.24</v>
      </c>
    </row>
    <row r="8" spans="1:5" ht="15" customHeight="1" x14ac:dyDescent="0.25">
      <c r="A8">
        <v>7</v>
      </c>
      <c r="B8">
        <v>1</v>
      </c>
      <c r="C8" t="s">
        <v>402</v>
      </c>
      <c r="D8" t="s">
        <v>400</v>
      </c>
      <c r="E8">
        <v>3458.13</v>
      </c>
    </row>
    <row r="9" spans="1:5" ht="15" customHeight="1" x14ac:dyDescent="0.25">
      <c r="A9">
        <v>8</v>
      </c>
      <c r="B9">
        <v>1</v>
      </c>
      <c r="C9" t="s">
        <v>402</v>
      </c>
      <c r="D9" t="s">
        <v>401</v>
      </c>
      <c r="E9">
        <v>26710.74</v>
      </c>
    </row>
    <row r="10" spans="1:5" ht="15" customHeight="1" x14ac:dyDescent="0.25">
      <c r="A10">
        <v>9</v>
      </c>
      <c r="B10">
        <v>1</v>
      </c>
      <c r="C10" t="s">
        <v>403</v>
      </c>
      <c r="D10" t="s">
        <v>398</v>
      </c>
      <c r="E10">
        <v>22829.13</v>
      </c>
    </row>
    <row r="11" spans="1:5" ht="15" customHeight="1" x14ac:dyDescent="0.25">
      <c r="A11">
        <v>10</v>
      </c>
      <c r="B11">
        <v>1</v>
      </c>
      <c r="C11" t="s">
        <v>403</v>
      </c>
      <c r="D11" t="s">
        <v>399</v>
      </c>
      <c r="E11">
        <v>5725.06</v>
      </c>
    </row>
    <row r="12" spans="1:5" ht="15" customHeight="1" x14ac:dyDescent="0.25">
      <c r="A12">
        <v>11</v>
      </c>
      <c r="B12">
        <v>1</v>
      </c>
      <c r="C12" t="s">
        <v>403</v>
      </c>
      <c r="D12" t="s">
        <v>400</v>
      </c>
      <c r="E12">
        <v>4939.08</v>
      </c>
    </row>
    <row r="13" spans="1:5" ht="15" customHeight="1" x14ac:dyDescent="0.25">
      <c r="A13">
        <v>12</v>
      </c>
      <c r="B13">
        <v>1</v>
      </c>
      <c r="C13" t="s">
        <v>403</v>
      </c>
      <c r="D13" t="s">
        <v>401</v>
      </c>
      <c r="E13">
        <v>29551.19</v>
      </c>
    </row>
    <row r="14" spans="1:5" ht="15" customHeight="1" x14ac:dyDescent="0.25">
      <c r="A14">
        <v>13</v>
      </c>
      <c r="B14">
        <v>1</v>
      </c>
      <c r="C14" t="s">
        <v>404</v>
      </c>
      <c r="D14" t="s">
        <v>398</v>
      </c>
      <c r="E14">
        <v>16630.310000000001</v>
      </c>
    </row>
    <row r="15" spans="1:5" ht="15" customHeight="1" x14ac:dyDescent="0.25">
      <c r="A15">
        <v>14</v>
      </c>
      <c r="B15">
        <v>1</v>
      </c>
      <c r="C15" t="s">
        <v>404</v>
      </c>
      <c r="D15" t="s">
        <v>399</v>
      </c>
      <c r="E15">
        <v>4909.0200000000004</v>
      </c>
    </row>
    <row r="16" spans="1:5" ht="15" customHeight="1" x14ac:dyDescent="0.25">
      <c r="A16">
        <v>15</v>
      </c>
      <c r="B16">
        <v>1</v>
      </c>
      <c r="C16" t="s">
        <v>404</v>
      </c>
      <c r="D16" t="s">
        <v>400</v>
      </c>
      <c r="E16">
        <v>3403.69</v>
      </c>
    </row>
    <row r="17" spans="1:5" ht="15" customHeight="1" x14ac:dyDescent="0.25">
      <c r="A17">
        <v>16</v>
      </c>
      <c r="B17">
        <v>1</v>
      </c>
      <c r="C17" t="s">
        <v>404</v>
      </c>
      <c r="D17" t="s">
        <v>401</v>
      </c>
      <c r="E17">
        <v>29106.17</v>
      </c>
    </row>
    <row r="18" spans="1:5" ht="15" customHeight="1" x14ac:dyDescent="0.25">
      <c r="A18">
        <v>17</v>
      </c>
      <c r="B18">
        <v>1</v>
      </c>
      <c r="C18" t="s">
        <v>405</v>
      </c>
      <c r="D18" t="s">
        <v>398</v>
      </c>
      <c r="E18">
        <v>16197.03</v>
      </c>
    </row>
    <row r="19" spans="1:5" ht="15" customHeight="1" x14ac:dyDescent="0.25">
      <c r="A19">
        <v>18</v>
      </c>
      <c r="B19">
        <v>1</v>
      </c>
      <c r="C19" t="s">
        <v>405</v>
      </c>
      <c r="D19" t="s">
        <v>399</v>
      </c>
      <c r="E19">
        <v>5913.81</v>
      </c>
    </row>
    <row r="20" spans="1:5" ht="15" customHeight="1" x14ac:dyDescent="0.25">
      <c r="A20">
        <v>19</v>
      </c>
      <c r="B20">
        <v>1</v>
      </c>
      <c r="C20" t="s">
        <v>405</v>
      </c>
      <c r="D20" t="s">
        <v>400</v>
      </c>
      <c r="E20">
        <v>4203.3999999999996</v>
      </c>
    </row>
    <row r="21" spans="1:5" ht="15" customHeight="1" x14ac:dyDescent="0.25">
      <c r="A21">
        <v>20</v>
      </c>
      <c r="B21">
        <v>1</v>
      </c>
      <c r="C21" t="s">
        <v>405</v>
      </c>
      <c r="D21" t="s">
        <v>401</v>
      </c>
      <c r="E21">
        <v>29068.35</v>
      </c>
    </row>
    <row r="22" spans="1:5" ht="15" customHeight="1" x14ac:dyDescent="0.25">
      <c r="A22">
        <v>21</v>
      </c>
      <c r="B22">
        <v>1</v>
      </c>
      <c r="C22" t="s">
        <v>406</v>
      </c>
      <c r="D22" t="s">
        <v>398</v>
      </c>
      <c r="E22">
        <v>15419.08</v>
      </c>
    </row>
    <row r="23" spans="1:5" ht="15" customHeight="1" x14ac:dyDescent="0.25">
      <c r="A23">
        <v>22</v>
      </c>
      <c r="B23">
        <v>1</v>
      </c>
      <c r="C23" t="s">
        <v>406</v>
      </c>
      <c r="D23" t="s">
        <v>399</v>
      </c>
      <c r="E23">
        <v>6019.1</v>
      </c>
    </row>
    <row r="24" spans="1:5" ht="15" customHeight="1" x14ac:dyDescent="0.25">
      <c r="A24">
        <v>23</v>
      </c>
      <c r="B24">
        <v>1</v>
      </c>
      <c r="C24" t="s">
        <v>406</v>
      </c>
      <c r="D24" t="s">
        <v>400</v>
      </c>
      <c r="E24">
        <v>4170.1499999999996</v>
      </c>
    </row>
    <row r="25" spans="1:5" ht="15" customHeight="1" x14ac:dyDescent="0.25">
      <c r="A25">
        <v>24</v>
      </c>
      <c r="B25">
        <v>1</v>
      </c>
      <c r="C25" t="s">
        <v>406</v>
      </c>
      <c r="D25" t="s">
        <v>401</v>
      </c>
      <c r="E25">
        <v>26760.34</v>
      </c>
    </row>
    <row r="26" spans="1:5" ht="15" customHeight="1" x14ac:dyDescent="0.25">
      <c r="A26">
        <v>25</v>
      </c>
      <c r="B26">
        <v>1</v>
      </c>
      <c r="C26" t="s">
        <v>407</v>
      </c>
      <c r="D26" t="s">
        <v>398</v>
      </c>
      <c r="E26">
        <v>21765.25</v>
      </c>
    </row>
    <row r="27" spans="1:5" ht="15" customHeight="1" x14ac:dyDescent="0.25">
      <c r="A27">
        <v>26</v>
      </c>
      <c r="B27">
        <v>1</v>
      </c>
      <c r="C27" t="s">
        <v>407</v>
      </c>
      <c r="D27" t="s">
        <v>399</v>
      </c>
      <c r="E27">
        <v>5315.03</v>
      </c>
    </row>
    <row r="28" spans="1:5" ht="15" customHeight="1" x14ac:dyDescent="0.25">
      <c r="A28">
        <v>27</v>
      </c>
      <c r="B28">
        <v>1</v>
      </c>
      <c r="C28" t="s">
        <v>407</v>
      </c>
      <c r="D28" t="s">
        <v>400</v>
      </c>
      <c r="E28">
        <v>4815.66</v>
      </c>
    </row>
    <row r="29" spans="1:5" ht="15" customHeight="1" x14ac:dyDescent="0.25">
      <c r="A29">
        <v>28</v>
      </c>
      <c r="B29">
        <v>1</v>
      </c>
      <c r="C29" t="s">
        <v>407</v>
      </c>
      <c r="D29" t="s">
        <v>401</v>
      </c>
      <c r="E29">
        <v>28660.98</v>
      </c>
    </row>
    <row r="30" spans="1:5" ht="15" customHeight="1" x14ac:dyDescent="0.25">
      <c r="A30">
        <v>29</v>
      </c>
      <c r="B30">
        <v>1</v>
      </c>
      <c r="C30" t="s">
        <v>408</v>
      </c>
      <c r="D30" t="s">
        <v>398</v>
      </c>
      <c r="E30">
        <v>19402.84</v>
      </c>
    </row>
    <row r="31" spans="1:5" ht="15" customHeight="1" x14ac:dyDescent="0.25">
      <c r="A31">
        <v>30</v>
      </c>
      <c r="B31">
        <v>1</v>
      </c>
      <c r="C31" t="s">
        <v>408</v>
      </c>
      <c r="D31" t="s">
        <v>399</v>
      </c>
      <c r="E31">
        <v>6898.58</v>
      </c>
    </row>
    <row r="32" spans="1:5" ht="15" customHeight="1" x14ac:dyDescent="0.25">
      <c r="A32">
        <v>31</v>
      </c>
      <c r="B32">
        <v>1</v>
      </c>
      <c r="C32" t="s">
        <v>408</v>
      </c>
      <c r="D32" t="s">
        <v>400</v>
      </c>
    </row>
    <row r="33" spans="1:5" ht="15" customHeight="1" x14ac:dyDescent="0.25">
      <c r="A33">
        <v>32</v>
      </c>
      <c r="B33">
        <v>1</v>
      </c>
      <c r="C33" t="s">
        <v>408</v>
      </c>
      <c r="D33" t="s">
        <v>401</v>
      </c>
      <c r="E33">
        <v>21729.97</v>
      </c>
    </row>
    <row r="34" spans="1:5" ht="15" customHeight="1" x14ac:dyDescent="0.25">
      <c r="A34">
        <v>33</v>
      </c>
      <c r="B34">
        <v>1</v>
      </c>
      <c r="C34" t="s">
        <v>409</v>
      </c>
      <c r="D34" t="s">
        <v>398</v>
      </c>
      <c r="E34">
        <v>20391.89</v>
      </c>
    </row>
    <row r="35" spans="1:5" ht="15" customHeight="1" x14ac:dyDescent="0.25">
      <c r="A35">
        <v>34</v>
      </c>
      <c r="B35">
        <v>1</v>
      </c>
      <c r="C35" t="s">
        <v>409</v>
      </c>
      <c r="D35" t="s">
        <v>399</v>
      </c>
      <c r="E35">
        <v>6374.02</v>
      </c>
    </row>
    <row r="36" spans="1:5" ht="15" customHeight="1" x14ac:dyDescent="0.25">
      <c r="A36">
        <v>35</v>
      </c>
      <c r="B36">
        <v>1</v>
      </c>
      <c r="C36" t="s">
        <v>409</v>
      </c>
      <c r="D36" t="s">
        <v>400</v>
      </c>
      <c r="E36">
        <v>4478.75</v>
      </c>
    </row>
    <row r="37" spans="1:5" ht="15" customHeight="1" x14ac:dyDescent="0.25">
      <c r="A37">
        <v>36</v>
      </c>
      <c r="B37">
        <v>1</v>
      </c>
      <c r="C37" t="s">
        <v>409</v>
      </c>
      <c r="D37" t="s">
        <v>401</v>
      </c>
      <c r="E37">
        <v>24224.98</v>
      </c>
    </row>
    <row r="38" spans="1:5" ht="15" customHeight="1" x14ac:dyDescent="0.25">
      <c r="A38">
        <v>37</v>
      </c>
      <c r="B38">
        <v>1</v>
      </c>
      <c r="C38" t="s">
        <v>410</v>
      </c>
      <c r="D38" t="s">
        <v>398</v>
      </c>
      <c r="E38">
        <v>22561.8</v>
      </c>
    </row>
    <row r="39" spans="1:5" ht="15" customHeight="1" x14ac:dyDescent="0.25">
      <c r="A39">
        <v>38</v>
      </c>
      <c r="B39">
        <v>1</v>
      </c>
      <c r="C39" t="s">
        <v>410</v>
      </c>
      <c r="D39" t="s">
        <v>399</v>
      </c>
      <c r="E39">
        <v>6562.11</v>
      </c>
    </row>
    <row r="40" spans="1:5" ht="15" customHeight="1" x14ac:dyDescent="0.25">
      <c r="A40">
        <v>39</v>
      </c>
      <c r="B40">
        <v>1</v>
      </c>
      <c r="C40" t="s">
        <v>410</v>
      </c>
      <c r="D40" t="s">
        <v>400</v>
      </c>
      <c r="E40">
        <v>3370.8</v>
      </c>
    </row>
    <row r="41" spans="1:5" ht="15" customHeight="1" x14ac:dyDescent="0.25">
      <c r="A41">
        <v>40</v>
      </c>
      <c r="B41">
        <v>1</v>
      </c>
      <c r="C41" t="s">
        <v>410</v>
      </c>
      <c r="D41" t="s">
        <v>401</v>
      </c>
      <c r="E41">
        <v>25622.55</v>
      </c>
    </row>
    <row r="42" spans="1:5" ht="15" customHeight="1" x14ac:dyDescent="0.25">
      <c r="A42">
        <v>41</v>
      </c>
      <c r="B42">
        <v>1</v>
      </c>
      <c r="C42" t="s">
        <v>411</v>
      </c>
      <c r="D42" t="s">
        <v>398</v>
      </c>
      <c r="E42">
        <v>21207.200000000001</v>
      </c>
    </row>
    <row r="43" spans="1:5" ht="15" customHeight="1" x14ac:dyDescent="0.25">
      <c r="A43">
        <v>42</v>
      </c>
      <c r="B43">
        <v>1</v>
      </c>
      <c r="C43" t="s">
        <v>411</v>
      </c>
      <c r="D43" t="s">
        <v>399</v>
      </c>
      <c r="E43">
        <v>7182.4</v>
      </c>
    </row>
    <row r="44" spans="1:5" ht="15" customHeight="1" x14ac:dyDescent="0.25">
      <c r="A44">
        <v>43</v>
      </c>
      <c r="B44">
        <v>1</v>
      </c>
      <c r="C44" t="s">
        <v>411</v>
      </c>
      <c r="D44" t="s">
        <v>400</v>
      </c>
      <c r="E44">
        <v>4189.1899999999996</v>
      </c>
    </row>
    <row r="45" spans="1:5" ht="15" customHeight="1" x14ac:dyDescent="0.25">
      <c r="A45">
        <v>44</v>
      </c>
      <c r="B45">
        <v>1</v>
      </c>
      <c r="C45" t="s">
        <v>411</v>
      </c>
      <c r="D45" t="s">
        <v>401</v>
      </c>
      <c r="E45">
        <v>31184.34</v>
      </c>
    </row>
    <row r="46" spans="1:5" ht="15" customHeight="1" x14ac:dyDescent="0.25">
      <c r="A46">
        <v>45</v>
      </c>
      <c r="B46">
        <v>1</v>
      </c>
      <c r="C46" t="s">
        <v>412</v>
      </c>
      <c r="D46" t="s">
        <v>398</v>
      </c>
      <c r="E46">
        <v>16809.02</v>
      </c>
    </row>
    <row r="47" spans="1:5" ht="15" customHeight="1" x14ac:dyDescent="0.25">
      <c r="A47">
        <v>46</v>
      </c>
      <c r="B47">
        <v>1</v>
      </c>
      <c r="C47" t="s">
        <v>412</v>
      </c>
      <c r="D47" t="s">
        <v>399</v>
      </c>
      <c r="E47">
        <v>6031.8</v>
      </c>
    </row>
    <row r="48" spans="1:5" ht="15" customHeight="1" x14ac:dyDescent="0.25">
      <c r="A48">
        <v>47</v>
      </c>
      <c r="B48">
        <v>1</v>
      </c>
      <c r="C48" t="s">
        <v>412</v>
      </c>
      <c r="D48" t="s">
        <v>400</v>
      </c>
      <c r="E48">
        <v>4997.1899999999996</v>
      </c>
    </row>
    <row r="49" spans="1:5" ht="15" customHeight="1" x14ac:dyDescent="0.25">
      <c r="A49">
        <v>48</v>
      </c>
      <c r="B49">
        <v>1</v>
      </c>
      <c r="C49" t="s">
        <v>412</v>
      </c>
      <c r="D49" t="s">
        <v>401</v>
      </c>
      <c r="E49">
        <v>31203.21</v>
      </c>
    </row>
    <row r="50" spans="1:5" ht="15" customHeight="1" x14ac:dyDescent="0.25">
      <c r="A50">
        <v>49</v>
      </c>
      <c r="B50">
        <v>2</v>
      </c>
      <c r="C50" t="s">
        <v>397</v>
      </c>
      <c r="D50" t="s">
        <v>398</v>
      </c>
      <c r="E50">
        <v>20571.41</v>
      </c>
    </row>
    <row r="51" spans="1:5" ht="15" customHeight="1" x14ac:dyDescent="0.25">
      <c r="A51">
        <v>50</v>
      </c>
      <c r="B51">
        <v>2</v>
      </c>
      <c r="C51" t="s">
        <v>397</v>
      </c>
      <c r="D51" t="s">
        <v>399</v>
      </c>
      <c r="E51">
        <v>7376.94</v>
      </c>
    </row>
    <row r="52" spans="1:5" ht="15" customHeight="1" x14ac:dyDescent="0.25">
      <c r="A52">
        <v>51</v>
      </c>
      <c r="B52">
        <v>2</v>
      </c>
      <c r="C52" t="s">
        <v>397</v>
      </c>
      <c r="D52" t="s">
        <v>400</v>
      </c>
      <c r="E52">
        <v>3377.55</v>
      </c>
    </row>
    <row r="53" spans="1:5" ht="15" customHeight="1" x14ac:dyDescent="0.25">
      <c r="A53">
        <v>52</v>
      </c>
      <c r="B53">
        <v>2</v>
      </c>
      <c r="C53" t="s">
        <v>397</v>
      </c>
      <c r="D53" t="s">
        <v>401</v>
      </c>
      <c r="E53">
        <v>30812.44</v>
      </c>
    </row>
    <row r="54" spans="1:5" ht="15" customHeight="1" x14ac:dyDescent="0.25">
      <c r="A54">
        <v>53</v>
      </c>
      <c r="B54">
        <v>2</v>
      </c>
      <c r="C54" t="s">
        <v>402</v>
      </c>
      <c r="D54" t="s">
        <v>398</v>
      </c>
      <c r="E54">
        <v>17285.580000000002</v>
      </c>
    </row>
    <row r="55" spans="1:5" ht="15" customHeight="1" x14ac:dyDescent="0.25">
      <c r="A55">
        <v>54</v>
      </c>
      <c r="B55">
        <v>2</v>
      </c>
      <c r="C55" t="s">
        <v>402</v>
      </c>
      <c r="D55" t="s">
        <v>399</v>
      </c>
      <c r="E55">
        <v>5334.99</v>
      </c>
    </row>
    <row r="56" spans="1:5" ht="15" customHeight="1" x14ac:dyDescent="0.25">
      <c r="A56">
        <v>55</v>
      </c>
      <c r="B56">
        <v>2</v>
      </c>
      <c r="C56" t="s">
        <v>402</v>
      </c>
      <c r="D56" t="s">
        <v>400</v>
      </c>
      <c r="E56">
        <v>3678.74</v>
      </c>
    </row>
    <row r="57" spans="1:5" ht="15" customHeight="1" x14ac:dyDescent="0.25">
      <c r="A57">
        <v>56</v>
      </c>
      <c r="B57">
        <v>2</v>
      </c>
      <c r="C57" t="s">
        <v>402</v>
      </c>
      <c r="D57" t="s">
        <v>401</v>
      </c>
      <c r="E57">
        <v>25224.61</v>
      </c>
    </row>
    <row r="58" spans="1:5" ht="15" customHeight="1" x14ac:dyDescent="0.25">
      <c r="A58">
        <v>57</v>
      </c>
      <c r="B58">
        <v>2</v>
      </c>
      <c r="C58" t="s">
        <v>403</v>
      </c>
      <c r="D58" t="s">
        <v>398</v>
      </c>
      <c r="E58">
        <v>16660.73</v>
      </c>
    </row>
    <row r="59" spans="1:5" ht="15" customHeight="1" x14ac:dyDescent="0.25">
      <c r="A59">
        <v>58</v>
      </c>
      <c r="B59">
        <v>2</v>
      </c>
      <c r="C59" t="s">
        <v>403</v>
      </c>
      <c r="D59" t="s">
        <v>399</v>
      </c>
      <c r="E59">
        <v>5761.7</v>
      </c>
    </row>
    <row r="60" spans="1:5" ht="15" customHeight="1" x14ac:dyDescent="0.25">
      <c r="A60">
        <v>59</v>
      </c>
      <c r="B60">
        <v>2</v>
      </c>
      <c r="C60" t="s">
        <v>403</v>
      </c>
      <c r="D60" t="s">
        <v>400</v>
      </c>
      <c r="E60">
        <v>3469.96</v>
      </c>
    </row>
    <row r="61" spans="1:5" ht="15" customHeight="1" x14ac:dyDescent="0.25">
      <c r="A61">
        <v>60</v>
      </c>
      <c r="B61">
        <v>2</v>
      </c>
      <c r="C61" t="s">
        <v>403</v>
      </c>
      <c r="D61" t="s">
        <v>401</v>
      </c>
      <c r="E61">
        <v>23702.21</v>
      </c>
    </row>
    <row r="62" spans="1:5" ht="15" customHeight="1" x14ac:dyDescent="0.25">
      <c r="A62">
        <v>61</v>
      </c>
      <c r="B62">
        <v>2</v>
      </c>
      <c r="C62" t="s">
        <v>404</v>
      </c>
      <c r="D62" t="s">
        <v>398</v>
      </c>
      <c r="E62">
        <v>19550.55</v>
      </c>
    </row>
    <row r="63" spans="1:5" ht="15" customHeight="1" x14ac:dyDescent="0.25">
      <c r="A63">
        <v>62</v>
      </c>
      <c r="B63">
        <v>2</v>
      </c>
      <c r="C63" t="s">
        <v>404</v>
      </c>
      <c r="D63" t="s">
        <v>399</v>
      </c>
      <c r="E63">
        <v>6125.56</v>
      </c>
    </row>
    <row r="64" spans="1:5" ht="15" customHeight="1" x14ac:dyDescent="0.25">
      <c r="A64">
        <v>63</v>
      </c>
      <c r="B64">
        <v>2</v>
      </c>
      <c r="C64" t="s">
        <v>404</v>
      </c>
      <c r="D64" t="s">
        <v>400</v>
      </c>
      <c r="E64">
        <v>3893.44</v>
      </c>
    </row>
    <row r="65" spans="1:5" ht="15" customHeight="1" x14ac:dyDescent="0.25">
      <c r="A65">
        <v>64</v>
      </c>
      <c r="B65">
        <v>2</v>
      </c>
      <c r="C65" t="s">
        <v>404</v>
      </c>
      <c r="D65" t="s">
        <v>401</v>
      </c>
      <c r="E65">
        <v>29330.65</v>
      </c>
    </row>
    <row r="66" spans="1:5" ht="15" customHeight="1" x14ac:dyDescent="0.25">
      <c r="A66">
        <v>65</v>
      </c>
      <c r="B66">
        <v>2</v>
      </c>
      <c r="C66" t="s">
        <v>405</v>
      </c>
      <c r="D66" t="s">
        <v>398</v>
      </c>
      <c r="E66">
        <v>22441.59</v>
      </c>
    </row>
    <row r="67" spans="1:5" ht="15" customHeight="1" x14ac:dyDescent="0.25">
      <c r="A67">
        <v>66</v>
      </c>
      <c r="B67">
        <v>2</v>
      </c>
      <c r="C67" t="s">
        <v>405</v>
      </c>
      <c r="D67" t="s">
        <v>399</v>
      </c>
      <c r="E67">
        <v>7070.37</v>
      </c>
    </row>
    <row r="68" spans="1:5" ht="15" customHeight="1" x14ac:dyDescent="0.25">
      <c r="A68">
        <v>67</v>
      </c>
      <c r="B68">
        <v>2</v>
      </c>
      <c r="C68" t="s">
        <v>405</v>
      </c>
      <c r="D68" t="s">
        <v>400</v>
      </c>
      <c r="E68">
        <v>3864</v>
      </c>
    </row>
    <row r="69" spans="1:5" ht="15" customHeight="1" x14ac:dyDescent="0.25">
      <c r="A69">
        <v>68</v>
      </c>
      <c r="B69">
        <v>2</v>
      </c>
      <c r="C69" t="s">
        <v>405</v>
      </c>
      <c r="D69" t="s">
        <v>401</v>
      </c>
      <c r="E69">
        <v>29305.53</v>
      </c>
    </row>
    <row r="70" spans="1:5" ht="15" customHeight="1" x14ac:dyDescent="0.25">
      <c r="A70">
        <v>69</v>
      </c>
      <c r="B70">
        <v>2</v>
      </c>
      <c r="C70" t="s">
        <v>406</v>
      </c>
      <c r="D70" t="s">
        <v>398</v>
      </c>
      <c r="E70">
        <v>15767.82</v>
      </c>
    </row>
    <row r="71" spans="1:5" ht="15" customHeight="1" x14ac:dyDescent="0.25">
      <c r="A71">
        <v>70</v>
      </c>
      <c r="B71">
        <v>2</v>
      </c>
      <c r="C71" t="s">
        <v>406</v>
      </c>
      <c r="D71" t="s">
        <v>399</v>
      </c>
      <c r="E71">
        <v>5190.95</v>
      </c>
    </row>
    <row r="72" spans="1:5" ht="15" customHeight="1" x14ac:dyDescent="0.25">
      <c r="A72">
        <v>71</v>
      </c>
      <c r="B72">
        <v>2</v>
      </c>
      <c r="C72" t="s">
        <v>406</v>
      </c>
      <c r="D72" t="s">
        <v>400</v>
      </c>
      <c r="E72">
        <v>3891.25</v>
      </c>
    </row>
    <row r="73" spans="1:5" ht="15" customHeight="1" x14ac:dyDescent="0.25">
      <c r="A73">
        <v>72</v>
      </c>
      <c r="B73">
        <v>2</v>
      </c>
      <c r="C73" t="s">
        <v>406</v>
      </c>
      <c r="D73" t="s">
        <v>401</v>
      </c>
      <c r="E73">
        <v>30096.28</v>
      </c>
    </row>
    <row r="74" spans="1:5" ht="15" customHeight="1" x14ac:dyDescent="0.25">
      <c r="A74">
        <v>73</v>
      </c>
      <c r="B74">
        <v>2</v>
      </c>
      <c r="C74" t="s">
        <v>407</v>
      </c>
      <c r="D74" t="s">
        <v>398</v>
      </c>
      <c r="E74">
        <v>16617.13</v>
      </c>
    </row>
    <row r="75" spans="1:5" ht="15" customHeight="1" x14ac:dyDescent="0.25">
      <c r="A75">
        <v>74</v>
      </c>
      <c r="B75">
        <v>2</v>
      </c>
      <c r="C75" t="s">
        <v>407</v>
      </c>
      <c r="D75" t="s">
        <v>399</v>
      </c>
      <c r="E75">
        <v>4989.76</v>
      </c>
    </row>
    <row r="76" spans="1:5" ht="15" customHeight="1" x14ac:dyDescent="0.25">
      <c r="A76">
        <v>75</v>
      </c>
      <c r="B76">
        <v>2</v>
      </c>
      <c r="C76" t="s">
        <v>407</v>
      </c>
      <c r="D76" t="s">
        <v>400</v>
      </c>
      <c r="E76">
        <v>3463.42</v>
      </c>
    </row>
    <row r="77" spans="1:5" ht="15" customHeight="1" x14ac:dyDescent="0.25">
      <c r="A77">
        <v>76</v>
      </c>
      <c r="B77">
        <v>2</v>
      </c>
      <c r="C77" t="s">
        <v>407</v>
      </c>
      <c r="D77" t="s">
        <v>401</v>
      </c>
      <c r="E77">
        <v>30734.31</v>
      </c>
    </row>
    <row r="78" spans="1:5" ht="15" customHeight="1" x14ac:dyDescent="0.25">
      <c r="A78">
        <v>77</v>
      </c>
      <c r="B78">
        <v>2</v>
      </c>
      <c r="C78" t="s">
        <v>408</v>
      </c>
      <c r="D78" t="s">
        <v>398</v>
      </c>
      <c r="E78">
        <v>20104.05</v>
      </c>
    </row>
    <row r="79" spans="1:5" ht="15" customHeight="1" x14ac:dyDescent="0.25">
      <c r="A79">
        <v>78</v>
      </c>
      <c r="B79">
        <v>2</v>
      </c>
      <c r="C79" t="s">
        <v>408</v>
      </c>
      <c r="D79" t="s">
        <v>399</v>
      </c>
      <c r="E79">
        <v>5559.6</v>
      </c>
    </row>
    <row r="80" spans="1:5" ht="15" customHeight="1" x14ac:dyDescent="0.25">
      <c r="A80">
        <v>79</v>
      </c>
      <c r="B80">
        <v>2</v>
      </c>
      <c r="C80" t="s">
        <v>408</v>
      </c>
      <c r="D80" t="s">
        <v>400</v>
      </c>
      <c r="E80">
        <v>4310.59</v>
      </c>
    </row>
    <row r="81" spans="1:5" ht="15" customHeight="1" x14ac:dyDescent="0.25">
      <c r="A81">
        <v>80</v>
      </c>
      <c r="B81">
        <v>2</v>
      </c>
      <c r="C81" t="s">
        <v>408</v>
      </c>
      <c r="D81" t="s">
        <v>401</v>
      </c>
      <c r="E81">
        <v>26594.75</v>
      </c>
    </row>
    <row r="82" spans="1:5" ht="15" customHeight="1" x14ac:dyDescent="0.25">
      <c r="A82">
        <v>81</v>
      </c>
      <c r="B82">
        <v>2</v>
      </c>
      <c r="C82" t="s">
        <v>409</v>
      </c>
      <c r="D82" t="s">
        <v>398</v>
      </c>
      <c r="E82">
        <v>20298.919999999998</v>
      </c>
    </row>
    <row r="83" spans="1:5" ht="15" customHeight="1" x14ac:dyDescent="0.25">
      <c r="A83">
        <v>82</v>
      </c>
      <c r="B83">
        <v>2</v>
      </c>
      <c r="C83" t="s">
        <v>409</v>
      </c>
      <c r="D83" t="s">
        <v>399</v>
      </c>
      <c r="E83">
        <v>5499.56</v>
      </c>
    </row>
    <row r="84" spans="1:5" ht="15" customHeight="1" x14ac:dyDescent="0.25">
      <c r="A84">
        <v>83</v>
      </c>
      <c r="B84">
        <v>2</v>
      </c>
      <c r="C84" t="s">
        <v>409</v>
      </c>
      <c r="D84" t="s">
        <v>400</v>
      </c>
      <c r="E84">
        <v>4928.8100000000004</v>
      </c>
    </row>
    <row r="85" spans="1:5" ht="15" customHeight="1" x14ac:dyDescent="0.25">
      <c r="A85">
        <v>84</v>
      </c>
      <c r="B85">
        <v>2</v>
      </c>
      <c r="C85" t="s">
        <v>409</v>
      </c>
      <c r="D85" t="s">
        <v>401</v>
      </c>
      <c r="E85">
        <v>23867.11</v>
      </c>
    </row>
    <row r="86" spans="1:5" ht="15" customHeight="1" x14ac:dyDescent="0.25">
      <c r="A86">
        <v>85</v>
      </c>
      <c r="B86">
        <v>2</v>
      </c>
      <c r="C86" t="s">
        <v>410</v>
      </c>
      <c r="D86" t="s">
        <v>398</v>
      </c>
      <c r="E86">
        <v>20647.18</v>
      </c>
    </row>
    <row r="87" spans="1:5" ht="15" customHeight="1" x14ac:dyDescent="0.25">
      <c r="A87">
        <v>86</v>
      </c>
      <c r="B87">
        <v>2</v>
      </c>
      <c r="C87" t="s">
        <v>410</v>
      </c>
      <c r="D87" t="s">
        <v>399</v>
      </c>
      <c r="E87">
        <v>4848.37</v>
      </c>
    </row>
    <row r="88" spans="1:5" ht="15" customHeight="1" x14ac:dyDescent="0.25">
      <c r="A88">
        <v>87</v>
      </c>
      <c r="B88">
        <v>2</v>
      </c>
      <c r="C88" t="s">
        <v>410</v>
      </c>
      <c r="D88" t="s">
        <v>400</v>
      </c>
      <c r="E88">
        <v>3945.31</v>
      </c>
    </row>
    <row r="89" spans="1:5" ht="15" customHeight="1" x14ac:dyDescent="0.25">
      <c r="A89">
        <v>88</v>
      </c>
      <c r="B89">
        <v>2</v>
      </c>
      <c r="C89" t="s">
        <v>410</v>
      </c>
      <c r="D89" t="s">
        <v>401</v>
      </c>
      <c r="E89">
        <v>24396.37</v>
      </c>
    </row>
    <row r="90" spans="1:5" ht="15" customHeight="1" x14ac:dyDescent="0.25">
      <c r="A90">
        <v>89</v>
      </c>
      <c r="B90">
        <v>2</v>
      </c>
      <c r="C90" t="s">
        <v>411</v>
      </c>
      <c r="D90" t="s">
        <v>398</v>
      </c>
      <c r="E90">
        <v>19291.36</v>
      </c>
    </row>
    <row r="91" spans="1:5" ht="15" customHeight="1" x14ac:dyDescent="0.25">
      <c r="A91">
        <v>90</v>
      </c>
      <c r="B91">
        <v>2</v>
      </c>
      <c r="C91" t="s">
        <v>411</v>
      </c>
      <c r="D91" t="s">
        <v>399</v>
      </c>
      <c r="E91">
        <v>5018.21</v>
      </c>
    </row>
    <row r="92" spans="1:5" ht="15" customHeight="1" x14ac:dyDescent="0.25">
      <c r="A92">
        <v>91</v>
      </c>
      <c r="B92">
        <v>2</v>
      </c>
      <c r="C92" t="s">
        <v>411</v>
      </c>
      <c r="D92" t="s">
        <v>400</v>
      </c>
      <c r="E92">
        <v>4780.26</v>
      </c>
    </row>
    <row r="93" spans="1:5" ht="15" customHeight="1" x14ac:dyDescent="0.25">
      <c r="A93">
        <v>92</v>
      </c>
      <c r="B93">
        <v>2</v>
      </c>
      <c r="C93" t="s">
        <v>411</v>
      </c>
      <c r="D93" t="s">
        <v>401</v>
      </c>
      <c r="E93">
        <v>22722.26</v>
      </c>
    </row>
    <row r="94" spans="1:5" ht="15" customHeight="1" x14ac:dyDescent="0.25">
      <c r="A94">
        <v>93</v>
      </c>
      <c r="B94">
        <v>2</v>
      </c>
      <c r="C94" t="s">
        <v>412</v>
      </c>
      <c r="D94" t="s">
        <v>398</v>
      </c>
      <c r="E94">
        <v>20493.34</v>
      </c>
    </row>
    <row r="95" spans="1:5" ht="15" customHeight="1" x14ac:dyDescent="0.25">
      <c r="A95">
        <v>94</v>
      </c>
      <c r="B95">
        <v>2</v>
      </c>
      <c r="C95" t="s">
        <v>412</v>
      </c>
      <c r="D95" t="s">
        <v>399</v>
      </c>
      <c r="E95">
        <v>7209.64</v>
      </c>
    </row>
    <row r="96" spans="1:5" ht="15" customHeight="1" x14ac:dyDescent="0.25">
      <c r="A96">
        <v>95</v>
      </c>
      <c r="B96">
        <v>2</v>
      </c>
      <c r="C96" t="s">
        <v>412</v>
      </c>
      <c r="D96" t="s">
        <v>400</v>
      </c>
      <c r="E96">
        <v>4323.75</v>
      </c>
    </row>
    <row r="97" spans="1:5" ht="15" customHeight="1" x14ac:dyDescent="0.25">
      <c r="A97">
        <v>96</v>
      </c>
      <c r="B97">
        <v>2</v>
      </c>
      <c r="C97" t="s">
        <v>412</v>
      </c>
      <c r="D97" t="s">
        <v>401</v>
      </c>
      <c r="E97">
        <v>29261.040000000001</v>
      </c>
    </row>
    <row r="98" spans="1:5" ht="15" customHeight="1" x14ac:dyDescent="0.25">
      <c r="A98">
        <v>97</v>
      </c>
      <c r="B98">
        <v>3</v>
      </c>
      <c r="C98" t="s">
        <v>397</v>
      </c>
      <c r="D98" t="s">
        <v>398</v>
      </c>
      <c r="E98">
        <v>20356.740000000002</v>
      </c>
    </row>
    <row r="99" spans="1:5" ht="15" customHeight="1" x14ac:dyDescent="0.25">
      <c r="A99">
        <v>98</v>
      </c>
      <c r="B99">
        <v>3</v>
      </c>
      <c r="C99" t="s">
        <v>397</v>
      </c>
      <c r="D99" t="s">
        <v>399</v>
      </c>
      <c r="E99">
        <v>5866.59</v>
      </c>
    </row>
    <row r="100" spans="1:5" ht="15" customHeight="1" x14ac:dyDescent="0.25">
      <c r="A100">
        <v>99</v>
      </c>
      <c r="B100">
        <v>3</v>
      </c>
      <c r="C100" t="s">
        <v>397</v>
      </c>
      <c r="D100" t="s">
        <v>400</v>
      </c>
      <c r="E100">
        <v>4817.72</v>
      </c>
    </row>
    <row r="101" spans="1:5" ht="15" customHeight="1" x14ac:dyDescent="0.25">
      <c r="A101">
        <v>100</v>
      </c>
      <c r="B101">
        <v>3</v>
      </c>
      <c r="C101" t="s">
        <v>397</v>
      </c>
      <c r="D101" t="s">
        <v>401</v>
      </c>
      <c r="E101">
        <v>23683.77</v>
      </c>
    </row>
    <row r="102" spans="1:5" ht="15" customHeight="1" x14ac:dyDescent="0.25">
      <c r="A102">
        <v>101</v>
      </c>
      <c r="B102">
        <v>3</v>
      </c>
      <c r="C102" t="s">
        <v>402</v>
      </c>
      <c r="D102" t="s">
        <v>398</v>
      </c>
      <c r="E102">
        <v>19540.919999999998</v>
      </c>
    </row>
    <row r="103" spans="1:5" ht="15" customHeight="1" x14ac:dyDescent="0.25">
      <c r="A103">
        <v>102</v>
      </c>
      <c r="B103">
        <v>3</v>
      </c>
      <c r="C103" t="s">
        <v>402</v>
      </c>
      <c r="D103" t="s">
        <v>399</v>
      </c>
      <c r="E103">
        <v>7036.19</v>
      </c>
    </row>
    <row r="104" spans="1:5" ht="15" customHeight="1" x14ac:dyDescent="0.25">
      <c r="A104">
        <v>103</v>
      </c>
      <c r="B104">
        <v>3</v>
      </c>
      <c r="C104" t="s">
        <v>402</v>
      </c>
      <c r="D104" t="s">
        <v>400</v>
      </c>
      <c r="E104">
        <v>3957.91</v>
      </c>
    </row>
    <row r="105" spans="1:5" ht="15" customHeight="1" x14ac:dyDescent="0.25">
      <c r="A105">
        <v>104</v>
      </c>
      <c r="B105">
        <v>3</v>
      </c>
      <c r="C105" t="s">
        <v>402</v>
      </c>
      <c r="D105" t="s">
        <v>401</v>
      </c>
      <c r="E105">
        <v>23784.6</v>
      </c>
    </row>
    <row r="106" spans="1:5" ht="15" customHeight="1" x14ac:dyDescent="0.25">
      <c r="A106">
        <v>105</v>
      </c>
      <c r="B106">
        <v>3</v>
      </c>
      <c r="C106" t="s">
        <v>403</v>
      </c>
      <c r="D106" t="s">
        <v>398</v>
      </c>
      <c r="E106">
        <v>18534.11</v>
      </c>
    </row>
    <row r="107" spans="1:5" ht="15" customHeight="1" x14ac:dyDescent="0.25">
      <c r="A107">
        <v>106</v>
      </c>
      <c r="B107">
        <v>3</v>
      </c>
      <c r="C107" t="s">
        <v>403</v>
      </c>
      <c r="D107" t="s">
        <v>399</v>
      </c>
      <c r="E107">
        <v>7253.89</v>
      </c>
    </row>
    <row r="108" spans="1:5" ht="15" customHeight="1" x14ac:dyDescent="0.25">
      <c r="A108">
        <v>107</v>
      </c>
      <c r="B108">
        <v>3</v>
      </c>
      <c r="C108" t="s">
        <v>403</v>
      </c>
      <c r="D108" t="s">
        <v>400</v>
      </c>
      <c r="E108">
        <v>5059.84</v>
      </c>
    </row>
    <row r="109" spans="1:5" ht="15" customHeight="1" x14ac:dyDescent="0.25">
      <c r="A109">
        <v>108</v>
      </c>
      <c r="B109">
        <v>3</v>
      </c>
      <c r="C109" t="s">
        <v>403</v>
      </c>
      <c r="D109" t="s">
        <v>401</v>
      </c>
      <c r="E109">
        <v>26813.54</v>
      </c>
    </row>
    <row r="110" spans="1:5" ht="15" customHeight="1" x14ac:dyDescent="0.25">
      <c r="A110">
        <v>109</v>
      </c>
      <c r="B110">
        <v>3</v>
      </c>
      <c r="C110" t="s">
        <v>404</v>
      </c>
      <c r="D110" t="s">
        <v>398</v>
      </c>
      <c r="E110">
        <v>20353.2</v>
      </c>
    </row>
    <row r="111" spans="1:5" ht="15" customHeight="1" x14ac:dyDescent="0.25">
      <c r="A111">
        <v>110</v>
      </c>
      <c r="B111">
        <v>3</v>
      </c>
      <c r="C111" t="s">
        <v>404</v>
      </c>
      <c r="D111" t="s">
        <v>399</v>
      </c>
      <c r="E111">
        <v>7509.82</v>
      </c>
    </row>
    <row r="112" spans="1:5" ht="15" customHeight="1" x14ac:dyDescent="0.25">
      <c r="A112">
        <v>111</v>
      </c>
      <c r="B112">
        <v>3</v>
      </c>
      <c r="C112" t="s">
        <v>404</v>
      </c>
      <c r="D112" t="s">
        <v>400</v>
      </c>
      <c r="E112">
        <v>3397.09</v>
      </c>
    </row>
    <row r="113" spans="1:5" ht="15" customHeight="1" x14ac:dyDescent="0.25">
      <c r="A113">
        <v>112</v>
      </c>
      <c r="B113">
        <v>3</v>
      </c>
      <c r="C113" t="s">
        <v>404</v>
      </c>
      <c r="D113" t="s">
        <v>401</v>
      </c>
      <c r="E113">
        <v>22900.98</v>
      </c>
    </row>
    <row r="114" spans="1:5" ht="15" customHeight="1" x14ac:dyDescent="0.25">
      <c r="A114">
        <v>113</v>
      </c>
      <c r="B114">
        <v>3</v>
      </c>
      <c r="C114" t="s">
        <v>405</v>
      </c>
      <c r="D114" t="s">
        <v>398</v>
      </c>
      <c r="E114">
        <v>20780.099999999999</v>
      </c>
    </row>
    <row r="115" spans="1:5" ht="15" customHeight="1" x14ac:dyDescent="0.25">
      <c r="A115">
        <v>114</v>
      </c>
      <c r="B115">
        <v>3</v>
      </c>
      <c r="C115" t="s">
        <v>405</v>
      </c>
      <c r="D115" t="s">
        <v>399</v>
      </c>
      <c r="E115">
        <v>7271.23</v>
      </c>
    </row>
    <row r="116" spans="1:5" ht="15" customHeight="1" x14ac:dyDescent="0.25">
      <c r="A116">
        <v>115</v>
      </c>
      <c r="B116">
        <v>3</v>
      </c>
      <c r="C116" t="s">
        <v>405</v>
      </c>
      <c r="D116" t="s">
        <v>400</v>
      </c>
      <c r="E116">
        <v>4914.0600000000004</v>
      </c>
    </row>
    <row r="117" spans="1:5" ht="15" customHeight="1" x14ac:dyDescent="0.25">
      <c r="A117">
        <v>116</v>
      </c>
      <c r="B117">
        <v>3</v>
      </c>
      <c r="C117" t="s">
        <v>405</v>
      </c>
      <c r="D117" t="s">
        <v>401</v>
      </c>
      <c r="E117">
        <v>25188.84</v>
      </c>
    </row>
    <row r="118" spans="1:5" ht="15" customHeight="1" x14ac:dyDescent="0.25">
      <c r="A118">
        <v>117</v>
      </c>
      <c r="B118">
        <v>3</v>
      </c>
      <c r="C118" t="s">
        <v>406</v>
      </c>
      <c r="D118" t="s">
        <v>398</v>
      </c>
      <c r="E118">
        <v>15204.06</v>
      </c>
    </row>
    <row r="119" spans="1:5" ht="15" customHeight="1" x14ac:dyDescent="0.25">
      <c r="A119">
        <v>118</v>
      </c>
      <c r="B119">
        <v>3</v>
      </c>
      <c r="C119" t="s">
        <v>406</v>
      </c>
      <c r="D119" t="s">
        <v>399</v>
      </c>
      <c r="E119">
        <v>6113.34</v>
      </c>
    </row>
    <row r="120" spans="1:5" ht="15" customHeight="1" x14ac:dyDescent="0.25">
      <c r="A120">
        <v>119</v>
      </c>
      <c r="B120">
        <v>3</v>
      </c>
      <c r="C120" t="s">
        <v>406</v>
      </c>
      <c r="D120" t="s">
        <v>400</v>
      </c>
      <c r="E120">
        <v>3661.47</v>
      </c>
    </row>
    <row r="121" spans="1:5" ht="15" customHeight="1" x14ac:dyDescent="0.25">
      <c r="A121">
        <v>120</v>
      </c>
      <c r="B121">
        <v>3</v>
      </c>
      <c r="C121" t="s">
        <v>406</v>
      </c>
      <c r="D121" t="s">
        <v>401</v>
      </c>
      <c r="E121">
        <v>23639.96</v>
      </c>
    </row>
    <row r="122" spans="1:5" ht="15" customHeight="1" x14ac:dyDescent="0.25">
      <c r="A122">
        <v>121</v>
      </c>
      <c r="B122">
        <v>3</v>
      </c>
      <c r="C122" t="s">
        <v>407</v>
      </c>
      <c r="D122" t="s">
        <v>398</v>
      </c>
      <c r="E122">
        <v>21350.41</v>
      </c>
    </row>
    <row r="123" spans="1:5" ht="15" customHeight="1" x14ac:dyDescent="0.25">
      <c r="A123">
        <v>122</v>
      </c>
      <c r="B123">
        <v>3</v>
      </c>
      <c r="C123" t="s">
        <v>407</v>
      </c>
      <c r="D123" t="s">
        <v>399</v>
      </c>
      <c r="E123">
        <v>5026.58</v>
      </c>
    </row>
    <row r="124" spans="1:5" ht="15" customHeight="1" x14ac:dyDescent="0.25">
      <c r="A124">
        <v>123</v>
      </c>
      <c r="B124">
        <v>3</v>
      </c>
      <c r="C124" t="s">
        <v>407</v>
      </c>
      <c r="D124" t="s">
        <v>400</v>
      </c>
      <c r="E124">
        <v>4855.16</v>
      </c>
    </row>
    <row r="125" spans="1:5" ht="15" customHeight="1" x14ac:dyDescent="0.25">
      <c r="A125">
        <v>124</v>
      </c>
      <c r="B125">
        <v>3</v>
      </c>
      <c r="C125" t="s">
        <v>407</v>
      </c>
      <c r="D125" t="s">
        <v>401</v>
      </c>
      <c r="E125">
        <v>25345.86</v>
      </c>
    </row>
    <row r="126" spans="1:5" ht="15" customHeight="1" x14ac:dyDescent="0.25">
      <c r="A126">
        <v>125</v>
      </c>
      <c r="B126">
        <v>3</v>
      </c>
      <c r="C126" t="s">
        <v>408</v>
      </c>
      <c r="D126" t="s">
        <v>398</v>
      </c>
      <c r="E126">
        <v>19764.580000000002</v>
      </c>
    </row>
    <row r="127" spans="1:5" ht="15" customHeight="1" x14ac:dyDescent="0.25">
      <c r="A127">
        <v>126</v>
      </c>
      <c r="B127">
        <v>3</v>
      </c>
      <c r="C127" t="s">
        <v>408</v>
      </c>
      <c r="D127" t="s">
        <v>399</v>
      </c>
      <c r="E127">
        <v>5068.96</v>
      </c>
    </row>
    <row r="128" spans="1:5" ht="15" customHeight="1" x14ac:dyDescent="0.25">
      <c r="A128">
        <v>127</v>
      </c>
      <c r="B128">
        <v>3</v>
      </c>
      <c r="C128" t="s">
        <v>408</v>
      </c>
      <c r="D128" t="s">
        <v>400</v>
      </c>
      <c r="E128">
        <v>3874.72</v>
      </c>
    </row>
    <row r="129" spans="1:5" ht="15" customHeight="1" x14ac:dyDescent="0.25">
      <c r="A129">
        <v>128</v>
      </c>
      <c r="B129">
        <v>3</v>
      </c>
      <c r="C129" t="s">
        <v>408</v>
      </c>
      <c r="D129" t="s">
        <v>401</v>
      </c>
      <c r="E129">
        <v>21121.26</v>
      </c>
    </row>
    <row r="130" spans="1:5" ht="15" customHeight="1" x14ac:dyDescent="0.25">
      <c r="A130">
        <v>129</v>
      </c>
      <c r="B130">
        <v>3</v>
      </c>
      <c r="C130" t="s">
        <v>409</v>
      </c>
      <c r="D130" t="s">
        <v>398</v>
      </c>
      <c r="E130">
        <v>23053.89</v>
      </c>
    </row>
    <row r="131" spans="1:5" ht="15" customHeight="1" x14ac:dyDescent="0.25">
      <c r="A131">
        <v>130</v>
      </c>
      <c r="B131">
        <v>3</v>
      </c>
      <c r="C131" t="s">
        <v>409</v>
      </c>
      <c r="D131" t="s">
        <v>399</v>
      </c>
      <c r="E131">
        <v>7221.78</v>
      </c>
    </row>
    <row r="132" spans="1:5" ht="15" customHeight="1" x14ac:dyDescent="0.25">
      <c r="A132">
        <v>131</v>
      </c>
      <c r="B132">
        <v>3</v>
      </c>
      <c r="C132" t="s">
        <v>409</v>
      </c>
      <c r="D132" t="s">
        <v>400</v>
      </c>
      <c r="E132">
        <v>4119.2700000000004</v>
      </c>
    </row>
    <row r="133" spans="1:5" ht="15" customHeight="1" x14ac:dyDescent="0.25">
      <c r="A133">
        <v>132</v>
      </c>
      <c r="B133">
        <v>3</v>
      </c>
      <c r="C133" t="s">
        <v>409</v>
      </c>
      <c r="D133" t="s">
        <v>401</v>
      </c>
      <c r="E133">
        <v>22795.03</v>
      </c>
    </row>
    <row r="134" spans="1:5" ht="15" customHeight="1" x14ac:dyDescent="0.25">
      <c r="A134">
        <v>133</v>
      </c>
      <c r="B134">
        <v>3</v>
      </c>
      <c r="C134" t="s">
        <v>410</v>
      </c>
      <c r="D134" t="s">
        <v>398</v>
      </c>
      <c r="E134">
        <v>22801.1</v>
      </c>
    </row>
    <row r="135" spans="1:5" ht="15" customHeight="1" x14ac:dyDescent="0.25">
      <c r="A135">
        <v>134</v>
      </c>
      <c r="B135">
        <v>3</v>
      </c>
      <c r="C135" t="s">
        <v>410</v>
      </c>
      <c r="D135" t="s">
        <v>399</v>
      </c>
      <c r="E135">
        <v>5833.79</v>
      </c>
    </row>
    <row r="136" spans="1:5" ht="15" customHeight="1" x14ac:dyDescent="0.25">
      <c r="A136">
        <v>135</v>
      </c>
      <c r="B136">
        <v>3</v>
      </c>
      <c r="C136" t="s">
        <v>410</v>
      </c>
      <c r="D136" t="s">
        <v>400</v>
      </c>
      <c r="E136">
        <v>3521.97</v>
      </c>
    </row>
    <row r="137" spans="1:5" ht="15" customHeight="1" x14ac:dyDescent="0.25">
      <c r="A137">
        <v>136</v>
      </c>
      <c r="B137">
        <v>3</v>
      </c>
      <c r="C137" t="s">
        <v>410</v>
      </c>
      <c r="D137" t="s">
        <v>401</v>
      </c>
      <c r="E137">
        <v>27039.55</v>
      </c>
    </row>
    <row r="138" spans="1:5" ht="15" customHeight="1" x14ac:dyDescent="0.25">
      <c r="A138">
        <v>137</v>
      </c>
      <c r="B138">
        <v>3</v>
      </c>
      <c r="C138" t="s">
        <v>411</v>
      </c>
      <c r="D138" t="s">
        <v>398</v>
      </c>
      <c r="E138">
        <v>22893.97</v>
      </c>
    </row>
    <row r="139" spans="1:5" ht="15" customHeight="1" x14ac:dyDescent="0.25">
      <c r="A139">
        <v>138</v>
      </c>
      <c r="B139">
        <v>3</v>
      </c>
      <c r="C139" t="s">
        <v>411</v>
      </c>
      <c r="D139" t="s">
        <v>399</v>
      </c>
      <c r="E139">
        <v>4811.49</v>
      </c>
    </row>
    <row r="140" spans="1:5" ht="15" customHeight="1" x14ac:dyDescent="0.25">
      <c r="A140">
        <v>139</v>
      </c>
      <c r="B140">
        <v>3</v>
      </c>
      <c r="C140" t="s">
        <v>411</v>
      </c>
      <c r="D140" t="s">
        <v>400</v>
      </c>
      <c r="E140">
        <v>3676.25</v>
      </c>
    </row>
    <row r="141" spans="1:5" ht="15" customHeight="1" x14ac:dyDescent="0.25">
      <c r="A141">
        <v>140</v>
      </c>
      <c r="B141">
        <v>3</v>
      </c>
      <c r="C141" t="s">
        <v>411</v>
      </c>
      <c r="D141" t="s">
        <v>401</v>
      </c>
      <c r="E141">
        <v>31730.6</v>
      </c>
    </row>
    <row r="142" spans="1:5" ht="15" customHeight="1" x14ac:dyDescent="0.25">
      <c r="A142">
        <v>141</v>
      </c>
      <c r="B142">
        <v>3</v>
      </c>
      <c r="C142" t="s">
        <v>412</v>
      </c>
      <c r="D142" t="s">
        <v>398</v>
      </c>
      <c r="E142">
        <v>15939.77</v>
      </c>
    </row>
    <row r="143" spans="1:5" ht="15" customHeight="1" x14ac:dyDescent="0.25">
      <c r="A143">
        <v>142</v>
      </c>
      <c r="B143">
        <v>3</v>
      </c>
      <c r="C143" t="s">
        <v>412</v>
      </c>
      <c r="D143" t="s">
        <v>399</v>
      </c>
      <c r="E143">
        <v>5139.7299999999996</v>
      </c>
    </row>
    <row r="144" spans="1:5" ht="15" customHeight="1" x14ac:dyDescent="0.25">
      <c r="A144">
        <v>143</v>
      </c>
      <c r="B144">
        <v>3</v>
      </c>
      <c r="C144" t="s">
        <v>412</v>
      </c>
      <c r="D144" t="s">
        <v>400</v>
      </c>
      <c r="E144">
        <v>4340.37</v>
      </c>
    </row>
    <row r="145" spans="1:5" ht="15" customHeight="1" x14ac:dyDescent="0.25">
      <c r="A145">
        <v>144</v>
      </c>
      <c r="B145">
        <v>3</v>
      </c>
      <c r="C145" t="s">
        <v>412</v>
      </c>
      <c r="D145" t="s">
        <v>401</v>
      </c>
      <c r="E145">
        <v>30773.05</v>
      </c>
    </row>
    <row r="146" spans="1:5" ht="15" customHeight="1" x14ac:dyDescent="0.25">
      <c r="A146">
        <v>145</v>
      </c>
      <c r="B146">
        <v>4</v>
      </c>
      <c r="C146" t="s">
        <v>397</v>
      </c>
      <c r="D146" t="s">
        <v>398</v>
      </c>
      <c r="E146">
        <v>18693.990000000002</v>
      </c>
    </row>
    <row r="147" spans="1:5" ht="15" customHeight="1" x14ac:dyDescent="0.25">
      <c r="A147">
        <v>146</v>
      </c>
      <c r="B147">
        <v>4</v>
      </c>
      <c r="C147" t="s">
        <v>397</v>
      </c>
      <c r="D147" t="s">
        <v>399</v>
      </c>
      <c r="E147">
        <v>7783.69</v>
      </c>
    </row>
    <row r="148" spans="1:5" ht="15" customHeight="1" x14ac:dyDescent="0.25">
      <c r="A148">
        <v>147</v>
      </c>
      <c r="B148">
        <v>4</v>
      </c>
      <c r="C148" t="s">
        <v>397</v>
      </c>
      <c r="D148" t="s">
        <v>400</v>
      </c>
      <c r="E148">
        <v>4558.34</v>
      </c>
    </row>
    <row r="149" spans="1:5" ht="15" customHeight="1" x14ac:dyDescent="0.25">
      <c r="A149">
        <v>148</v>
      </c>
      <c r="B149">
        <v>4</v>
      </c>
      <c r="C149" t="s">
        <v>397</v>
      </c>
      <c r="D149" t="s">
        <v>401</v>
      </c>
      <c r="E149">
        <v>20925.939999999999</v>
      </c>
    </row>
    <row r="150" spans="1:5" ht="15" customHeight="1" x14ac:dyDescent="0.25">
      <c r="A150">
        <v>149</v>
      </c>
      <c r="B150">
        <v>4</v>
      </c>
      <c r="C150" t="s">
        <v>402</v>
      </c>
      <c r="D150" t="s">
        <v>398</v>
      </c>
      <c r="E150">
        <v>23335.49</v>
      </c>
    </row>
    <row r="151" spans="1:5" ht="15" customHeight="1" x14ac:dyDescent="0.25">
      <c r="A151">
        <v>150</v>
      </c>
      <c r="B151">
        <v>4</v>
      </c>
      <c r="C151" t="s">
        <v>402</v>
      </c>
      <c r="D151" t="s">
        <v>399</v>
      </c>
      <c r="E151">
        <v>6023.68</v>
      </c>
    </row>
    <row r="152" spans="1:5" ht="15" customHeight="1" x14ac:dyDescent="0.25">
      <c r="A152">
        <v>151</v>
      </c>
      <c r="B152">
        <v>4</v>
      </c>
      <c r="C152" t="s">
        <v>402</v>
      </c>
      <c r="D152" t="s">
        <v>400</v>
      </c>
      <c r="E152">
        <v>3774.81</v>
      </c>
    </row>
    <row r="153" spans="1:5" ht="15" customHeight="1" x14ac:dyDescent="0.25">
      <c r="A153">
        <v>152</v>
      </c>
      <c r="B153">
        <v>4</v>
      </c>
      <c r="C153" t="s">
        <v>402</v>
      </c>
      <c r="D153" t="s">
        <v>401</v>
      </c>
      <c r="E153">
        <v>26973.49</v>
      </c>
    </row>
    <row r="154" spans="1:5" ht="15" customHeight="1" x14ac:dyDescent="0.25">
      <c r="A154">
        <v>153</v>
      </c>
      <c r="B154">
        <v>4</v>
      </c>
      <c r="C154" t="s">
        <v>403</v>
      </c>
      <c r="D154" t="s">
        <v>398</v>
      </c>
      <c r="E154">
        <v>17138.77</v>
      </c>
    </row>
    <row r="155" spans="1:5" ht="15" customHeight="1" x14ac:dyDescent="0.25">
      <c r="A155">
        <v>154</v>
      </c>
      <c r="B155">
        <v>4</v>
      </c>
      <c r="C155" t="s">
        <v>403</v>
      </c>
      <c r="D155" t="s">
        <v>399</v>
      </c>
      <c r="E155">
        <v>5059.37</v>
      </c>
    </row>
    <row r="156" spans="1:5" ht="15" customHeight="1" x14ac:dyDescent="0.25">
      <c r="A156">
        <v>155</v>
      </c>
      <c r="B156">
        <v>4</v>
      </c>
      <c r="C156" t="s">
        <v>403</v>
      </c>
      <c r="D156" t="s">
        <v>400</v>
      </c>
      <c r="E156">
        <v>3202.86</v>
      </c>
    </row>
    <row r="157" spans="1:5" ht="15" customHeight="1" x14ac:dyDescent="0.25">
      <c r="A157">
        <v>156</v>
      </c>
      <c r="B157">
        <v>4</v>
      </c>
      <c r="C157" t="s">
        <v>403</v>
      </c>
      <c r="D157" t="s">
        <v>401</v>
      </c>
      <c r="E157">
        <v>25619.79</v>
      </c>
    </row>
    <row r="158" spans="1:5" ht="15" customHeight="1" x14ac:dyDescent="0.25">
      <c r="A158">
        <v>157</v>
      </c>
      <c r="B158">
        <v>4</v>
      </c>
      <c r="C158" t="s">
        <v>404</v>
      </c>
      <c r="D158" t="s">
        <v>398</v>
      </c>
      <c r="E158">
        <v>21931.77</v>
      </c>
    </row>
    <row r="159" spans="1:5" ht="15" customHeight="1" x14ac:dyDescent="0.25">
      <c r="A159">
        <v>158</v>
      </c>
      <c r="B159">
        <v>4</v>
      </c>
      <c r="C159" t="s">
        <v>404</v>
      </c>
      <c r="D159" t="s">
        <v>399</v>
      </c>
      <c r="E159">
        <v>6516.95</v>
      </c>
    </row>
    <row r="160" spans="1:5" ht="15" customHeight="1" x14ac:dyDescent="0.25">
      <c r="A160">
        <v>159</v>
      </c>
      <c r="B160">
        <v>4</v>
      </c>
      <c r="C160" t="s">
        <v>404</v>
      </c>
      <c r="D160" t="s">
        <v>400</v>
      </c>
      <c r="E160">
        <v>5198.41</v>
      </c>
    </row>
    <row r="161" spans="1:5" ht="15" customHeight="1" x14ac:dyDescent="0.25">
      <c r="A161">
        <v>160</v>
      </c>
      <c r="B161">
        <v>4</v>
      </c>
      <c r="C161" t="s">
        <v>404</v>
      </c>
      <c r="D161" t="s">
        <v>401</v>
      </c>
      <c r="E161">
        <v>23585.58</v>
      </c>
    </row>
    <row r="162" spans="1:5" ht="15" customHeight="1" x14ac:dyDescent="0.25">
      <c r="A162">
        <v>161</v>
      </c>
      <c r="B162">
        <v>4</v>
      </c>
      <c r="C162" t="s">
        <v>405</v>
      </c>
      <c r="D162" t="s">
        <v>398</v>
      </c>
      <c r="E162">
        <v>16924.099999999999</v>
      </c>
    </row>
    <row r="163" spans="1:5" ht="15" customHeight="1" x14ac:dyDescent="0.25">
      <c r="A163">
        <v>162</v>
      </c>
      <c r="B163">
        <v>4</v>
      </c>
      <c r="C163" t="s">
        <v>405</v>
      </c>
      <c r="D163" t="s">
        <v>399</v>
      </c>
      <c r="E163">
        <v>5279.25</v>
      </c>
    </row>
    <row r="164" spans="1:5" ht="15" customHeight="1" x14ac:dyDescent="0.25">
      <c r="A164">
        <v>163</v>
      </c>
      <c r="B164">
        <v>4</v>
      </c>
      <c r="C164" t="s">
        <v>405</v>
      </c>
      <c r="D164" t="s">
        <v>400</v>
      </c>
      <c r="E164">
        <v>3528.13</v>
      </c>
    </row>
    <row r="165" spans="1:5" ht="15" customHeight="1" x14ac:dyDescent="0.25">
      <c r="A165">
        <v>164</v>
      </c>
      <c r="B165">
        <v>4</v>
      </c>
      <c r="C165" t="s">
        <v>405</v>
      </c>
      <c r="D165" t="s">
        <v>401</v>
      </c>
      <c r="E165">
        <v>23564.83</v>
      </c>
    </row>
    <row r="166" spans="1:5" ht="15" customHeight="1" x14ac:dyDescent="0.25">
      <c r="A166">
        <v>165</v>
      </c>
      <c r="B166">
        <v>4</v>
      </c>
      <c r="C166" t="s">
        <v>406</v>
      </c>
      <c r="D166" t="s">
        <v>398</v>
      </c>
      <c r="E166">
        <v>21535.56</v>
      </c>
    </row>
    <row r="167" spans="1:5" ht="15" customHeight="1" x14ac:dyDescent="0.25">
      <c r="A167">
        <v>166</v>
      </c>
      <c r="B167">
        <v>4</v>
      </c>
      <c r="C167" t="s">
        <v>406</v>
      </c>
      <c r="D167" t="s">
        <v>399</v>
      </c>
      <c r="E167">
        <v>7517.27</v>
      </c>
    </row>
    <row r="168" spans="1:5" ht="15" customHeight="1" x14ac:dyDescent="0.25">
      <c r="A168">
        <v>167</v>
      </c>
      <c r="B168">
        <v>4</v>
      </c>
      <c r="C168" t="s">
        <v>406</v>
      </c>
      <c r="D168" t="s">
        <v>400</v>
      </c>
      <c r="E168">
        <v>5150.17</v>
      </c>
    </row>
    <row r="169" spans="1:5" ht="15" customHeight="1" x14ac:dyDescent="0.25">
      <c r="A169">
        <v>168</v>
      </c>
      <c r="B169">
        <v>4</v>
      </c>
      <c r="C169" t="s">
        <v>406</v>
      </c>
      <c r="D169" t="s">
        <v>401</v>
      </c>
      <c r="E169">
        <v>22903.62</v>
      </c>
    </row>
    <row r="170" spans="1:5" ht="15" customHeight="1" x14ac:dyDescent="0.25">
      <c r="A170">
        <v>169</v>
      </c>
      <c r="B170">
        <v>4</v>
      </c>
      <c r="C170" t="s">
        <v>407</v>
      </c>
      <c r="D170" t="s">
        <v>398</v>
      </c>
      <c r="E170">
        <v>22331.68</v>
      </c>
    </row>
    <row r="171" spans="1:5" ht="15" customHeight="1" x14ac:dyDescent="0.25">
      <c r="A171">
        <v>170</v>
      </c>
      <c r="B171">
        <v>4</v>
      </c>
      <c r="C171" t="s">
        <v>407</v>
      </c>
      <c r="D171" t="s">
        <v>399</v>
      </c>
      <c r="E171">
        <v>5784.77</v>
      </c>
    </row>
    <row r="172" spans="1:5" ht="15" customHeight="1" x14ac:dyDescent="0.25">
      <c r="A172">
        <v>171</v>
      </c>
      <c r="B172">
        <v>4</v>
      </c>
      <c r="C172" t="s">
        <v>407</v>
      </c>
      <c r="D172" t="s">
        <v>400</v>
      </c>
      <c r="E172">
        <v>3425.68</v>
      </c>
    </row>
    <row r="173" spans="1:5" ht="15" customHeight="1" x14ac:dyDescent="0.25">
      <c r="A173">
        <v>172</v>
      </c>
      <c r="B173">
        <v>4</v>
      </c>
      <c r="C173" t="s">
        <v>407</v>
      </c>
      <c r="D173" t="s">
        <v>401</v>
      </c>
      <c r="E173">
        <v>30875.31</v>
      </c>
    </row>
    <row r="174" spans="1:5" ht="15" customHeight="1" x14ac:dyDescent="0.25">
      <c r="A174">
        <v>173</v>
      </c>
      <c r="B174">
        <v>4</v>
      </c>
      <c r="C174" t="s">
        <v>408</v>
      </c>
      <c r="D174" t="s">
        <v>398</v>
      </c>
    </row>
    <row r="175" spans="1:5" ht="15" customHeight="1" x14ac:dyDescent="0.25">
      <c r="A175">
        <v>174</v>
      </c>
      <c r="B175">
        <v>4</v>
      </c>
      <c r="C175" t="s">
        <v>408</v>
      </c>
      <c r="D175" t="s">
        <v>399</v>
      </c>
      <c r="E175">
        <v>5294.19</v>
      </c>
    </row>
    <row r="176" spans="1:5" ht="15" customHeight="1" x14ac:dyDescent="0.25">
      <c r="A176">
        <v>175</v>
      </c>
      <c r="B176">
        <v>4</v>
      </c>
      <c r="C176" t="s">
        <v>408</v>
      </c>
      <c r="D176" t="s">
        <v>400</v>
      </c>
      <c r="E176">
        <v>4059.66</v>
      </c>
    </row>
    <row r="177" spans="1:5" ht="15" customHeight="1" x14ac:dyDescent="0.25">
      <c r="A177">
        <v>176</v>
      </c>
      <c r="B177">
        <v>4</v>
      </c>
      <c r="C177" t="s">
        <v>408</v>
      </c>
      <c r="D177" t="s">
        <v>401</v>
      </c>
      <c r="E177">
        <v>23590.720000000001</v>
      </c>
    </row>
    <row r="178" spans="1:5" ht="15" customHeight="1" x14ac:dyDescent="0.25">
      <c r="A178">
        <v>177</v>
      </c>
      <c r="B178">
        <v>4</v>
      </c>
      <c r="C178" t="s">
        <v>409</v>
      </c>
      <c r="D178" t="s">
        <v>398</v>
      </c>
      <c r="E178">
        <v>21031.15</v>
      </c>
    </row>
    <row r="179" spans="1:5" ht="15" customHeight="1" x14ac:dyDescent="0.25">
      <c r="A179">
        <v>178</v>
      </c>
      <c r="B179">
        <v>4</v>
      </c>
      <c r="C179" t="s">
        <v>409</v>
      </c>
      <c r="D179" t="s">
        <v>399</v>
      </c>
      <c r="E179">
        <v>6160.25</v>
      </c>
    </row>
    <row r="180" spans="1:5" ht="15" customHeight="1" x14ac:dyDescent="0.25">
      <c r="A180">
        <v>179</v>
      </c>
      <c r="B180">
        <v>4</v>
      </c>
      <c r="C180" t="s">
        <v>409</v>
      </c>
      <c r="D180" t="s">
        <v>400</v>
      </c>
      <c r="E180">
        <v>5178.5600000000004</v>
      </c>
    </row>
    <row r="181" spans="1:5" ht="15" customHeight="1" x14ac:dyDescent="0.25">
      <c r="A181">
        <v>180</v>
      </c>
      <c r="B181">
        <v>4</v>
      </c>
      <c r="C181" t="s">
        <v>409</v>
      </c>
      <c r="D181" t="s">
        <v>401</v>
      </c>
      <c r="E181">
        <v>20684.310000000001</v>
      </c>
    </row>
    <row r="182" spans="1:5" ht="15" customHeight="1" x14ac:dyDescent="0.25">
      <c r="A182">
        <v>181</v>
      </c>
      <c r="B182">
        <v>4</v>
      </c>
      <c r="C182" t="s">
        <v>410</v>
      </c>
      <c r="D182" t="s">
        <v>398</v>
      </c>
      <c r="E182">
        <v>17595.14</v>
      </c>
    </row>
    <row r="183" spans="1:5" ht="15" customHeight="1" x14ac:dyDescent="0.25">
      <c r="A183">
        <v>182</v>
      </c>
      <c r="B183">
        <v>4</v>
      </c>
      <c r="C183" t="s">
        <v>410</v>
      </c>
      <c r="D183" t="s">
        <v>399</v>
      </c>
      <c r="E183">
        <v>6245.7</v>
      </c>
    </row>
    <row r="184" spans="1:5" ht="15" customHeight="1" x14ac:dyDescent="0.25">
      <c r="A184">
        <v>183</v>
      </c>
      <c r="B184">
        <v>4</v>
      </c>
      <c r="C184" t="s">
        <v>410</v>
      </c>
      <c r="D184" t="s">
        <v>400</v>
      </c>
    </row>
    <row r="185" spans="1:5" ht="15" customHeight="1" x14ac:dyDescent="0.25">
      <c r="A185">
        <v>184</v>
      </c>
      <c r="B185">
        <v>4</v>
      </c>
      <c r="C185" t="s">
        <v>410</v>
      </c>
      <c r="D185" t="s">
        <v>401</v>
      </c>
      <c r="E185">
        <v>23949.200000000001</v>
      </c>
    </row>
    <row r="186" spans="1:5" ht="15" customHeight="1" x14ac:dyDescent="0.25">
      <c r="A186">
        <v>185</v>
      </c>
      <c r="B186">
        <v>4</v>
      </c>
      <c r="C186" t="s">
        <v>411</v>
      </c>
      <c r="D186" t="s">
        <v>398</v>
      </c>
      <c r="E186">
        <v>20963.16</v>
      </c>
    </row>
    <row r="187" spans="1:5" ht="15" customHeight="1" x14ac:dyDescent="0.25">
      <c r="A187">
        <v>186</v>
      </c>
      <c r="B187">
        <v>4</v>
      </c>
      <c r="C187" t="s">
        <v>411</v>
      </c>
      <c r="D187" t="s">
        <v>399</v>
      </c>
    </row>
    <row r="188" spans="1:5" ht="15" customHeight="1" x14ac:dyDescent="0.25">
      <c r="A188">
        <v>187</v>
      </c>
      <c r="B188">
        <v>4</v>
      </c>
      <c r="C188" t="s">
        <v>411</v>
      </c>
      <c r="D188" t="s">
        <v>400</v>
      </c>
      <c r="E188">
        <v>5077.4399999999996</v>
      </c>
    </row>
    <row r="189" spans="1:5" ht="15" customHeight="1" x14ac:dyDescent="0.25">
      <c r="A189">
        <v>188</v>
      </c>
      <c r="B189">
        <v>4</v>
      </c>
      <c r="C189" t="s">
        <v>411</v>
      </c>
      <c r="D189" t="s">
        <v>401</v>
      </c>
      <c r="E189">
        <v>30063.67</v>
      </c>
    </row>
    <row r="190" spans="1:5" ht="15" customHeight="1" x14ac:dyDescent="0.25">
      <c r="A190">
        <v>189</v>
      </c>
      <c r="B190">
        <v>4</v>
      </c>
      <c r="C190" t="s">
        <v>412</v>
      </c>
      <c r="D190" t="s">
        <v>398</v>
      </c>
      <c r="E190">
        <v>22055.22</v>
      </c>
    </row>
    <row r="191" spans="1:5" ht="15" customHeight="1" x14ac:dyDescent="0.25">
      <c r="A191">
        <v>190</v>
      </c>
      <c r="B191">
        <v>4</v>
      </c>
      <c r="C191" t="s">
        <v>412</v>
      </c>
      <c r="D191" t="s">
        <v>399</v>
      </c>
      <c r="E191">
        <v>6451.64</v>
      </c>
    </row>
    <row r="192" spans="1:5" ht="15" customHeight="1" x14ac:dyDescent="0.25">
      <c r="A192">
        <v>191</v>
      </c>
      <c r="B192">
        <v>4</v>
      </c>
      <c r="C192" t="s">
        <v>412</v>
      </c>
      <c r="D192" t="s">
        <v>400</v>
      </c>
      <c r="E192">
        <v>4851.78</v>
      </c>
    </row>
    <row r="193" spans="1:5" ht="15" customHeight="1" x14ac:dyDescent="0.25">
      <c r="A193">
        <v>192</v>
      </c>
      <c r="B193">
        <v>4</v>
      </c>
      <c r="C193" t="s">
        <v>412</v>
      </c>
      <c r="D193" t="s">
        <v>401</v>
      </c>
      <c r="E193">
        <v>23793.8</v>
      </c>
    </row>
    <row r="194" spans="1:5" ht="15" customHeight="1" x14ac:dyDescent="0.25">
      <c r="A194">
        <v>193</v>
      </c>
      <c r="B194">
        <v>5</v>
      </c>
      <c r="C194" t="s">
        <v>397</v>
      </c>
      <c r="D194" t="s">
        <v>398</v>
      </c>
      <c r="E194">
        <v>17986.310000000001</v>
      </c>
    </row>
    <row r="195" spans="1:5" ht="15" customHeight="1" x14ac:dyDescent="0.25">
      <c r="A195">
        <v>194</v>
      </c>
      <c r="B195">
        <v>5</v>
      </c>
      <c r="C195" t="s">
        <v>397</v>
      </c>
      <c r="D195" t="s">
        <v>399</v>
      </c>
      <c r="E195">
        <v>5750.74</v>
      </c>
    </row>
    <row r="196" spans="1:5" ht="15" customHeight="1" x14ac:dyDescent="0.25">
      <c r="A196">
        <v>195</v>
      </c>
      <c r="B196">
        <v>5</v>
      </c>
      <c r="C196" t="s">
        <v>397</v>
      </c>
      <c r="D196" t="s">
        <v>400</v>
      </c>
      <c r="E196">
        <v>4134.7700000000004</v>
      </c>
    </row>
    <row r="197" spans="1:5" ht="15" customHeight="1" x14ac:dyDescent="0.25">
      <c r="A197">
        <v>196</v>
      </c>
      <c r="B197">
        <v>5</v>
      </c>
      <c r="C197" t="s">
        <v>397</v>
      </c>
      <c r="D197" t="s">
        <v>401</v>
      </c>
      <c r="E197">
        <v>23569.75</v>
      </c>
    </row>
    <row r="198" spans="1:5" ht="15" customHeight="1" x14ac:dyDescent="0.25">
      <c r="A198">
        <v>197</v>
      </c>
      <c r="B198">
        <v>5</v>
      </c>
      <c r="C198" t="s">
        <v>402</v>
      </c>
      <c r="D198" t="s">
        <v>398</v>
      </c>
      <c r="E198">
        <v>23054.5</v>
      </c>
    </row>
    <row r="199" spans="1:5" ht="15" customHeight="1" x14ac:dyDescent="0.25">
      <c r="A199">
        <v>198</v>
      </c>
      <c r="B199">
        <v>5</v>
      </c>
      <c r="C199" t="s">
        <v>402</v>
      </c>
      <c r="D199" t="s">
        <v>399</v>
      </c>
      <c r="E199">
        <v>5738.53</v>
      </c>
    </row>
    <row r="200" spans="1:5" ht="15" customHeight="1" x14ac:dyDescent="0.25">
      <c r="A200">
        <v>199</v>
      </c>
      <c r="B200">
        <v>5</v>
      </c>
      <c r="C200" t="s">
        <v>402</v>
      </c>
      <c r="D200" t="s">
        <v>400</v>
      </c>
      <c r="E200">
        <v>3396.09</v>
      </c>
    </row>
    <row r="201" spans="1:5" ht="15" customHeight="1" x14ac:dyDescent="0.25">
      <c r="A201">
        <v>200</v>
      </c>
      <c r="B201">
        <v>5</v>
      </c>
      <c r="C201" t="s">
        <v>402</v>
      </c>
      <c r="D201" t="s">
        <v>401</v>
      </c>
      <c r="E201">
        <v>26585.21</v>
      </c>
    </row>
    <row r="202" spans="1:5" ht="15" customHeight="1" x14ac:dyDescent="0.25">
      <c r="A202">
        <v>201</v>
      </c>
      <c r="B202">
        <v>5</v>
      </c>
      <c r="C202" t="s">
        <v>403</v>
      </c>
      <c r="D202" t="s">
        <v>398</v>
      </c>
      <c r="E202">
        <v>14913.89</v>
      </c>
    </row>
    <row r="203" spans="1:5" ht="15" customHeight="1" x14ac:dyDescent="0.25">
      <c r="A203">
        <v>202</v>
      </c>
      <c r="B203">
        <v>5</v>
      </c>
      <c r="C203" t="s">
        <v>403</v>
      </c>
      <c r="D203" t="s">
        <v>399</v>
      </c>
      <c r="E203">
        <v>5131.63</v>
      </c>
    </row>
    <row r="204" spans="1:5" ht="15" customHeight="1" x14ac:dyDescent="0.25">
      <c r="A204">
        <v>203</v>
      </c>
      <c r="B204">
        <v>5</v>
      </c>
      <c r="C204" t="s">
        <v>403</v>
      </c>
      <c r="D204" t="s">
        <v>400</v>
      </c>
      <c r="E204">
        <v>3638.78</v>
      </c>
    </row>
    <row r="205" spans="1:5" ht="15" customHeight="1" x14ac:dyDescent="0.25">
      <c r="A205">
        <v>204</v>
      </c>
      <c r="B205">
        <v>5</v>
      </c>
      <c r="C205" t="s">
        <v>403</v>
      </c>
      <c r="D205" t="s">
        <v>401</v>
      </c>
      <c r="E205">
        <v>25804.38</v>
      </c>
    </row>
    <row r="206" spans="1:5" ht="15" customHeight="1" x14ac:dyDescent="0.25">
      <c r="A206">
        <v>205</v>
      </c>
      <c r="B206">
        <v>5</v>
      </c>
      <c r="C206" t="s">
        <v>404</v>
      </c>
      <c r="D206" t="s">
        <v>398</v>
      </c>
      <c r="E206">
        <v>18299.259999999998</v>
      </c>
    </row>
    <row r="207" spans="1:5" ht="15" customHeight="1" x14ac:dyDescent="0.25">
      <c r="A207">
        <v>206</v>
      </c>
      <c r="B207">
        <v>5</v>
      </c>
      <c r="C207" t="s">
        <v>404</v>
      </c>
      <c r="D207" t="s">
        <v>399</v>
      </c>
      <c r="E207">
        <v>7199.08</v>
      </c>
    </row>
    <row r="208" spans="1:5" ht="15" customHeight="1" x14ac:dyDescent="0.25">
      <c r="A208">
        <v>207</v>
      </c>
      <c r="B208">
        <v>5</v>
      </c>
      <c r="C208" t="s">
        <v>404</v>
      </c>
      <c r="D208" t="s">
        <v>400</v>
      </c>
      <c r="E208">
        <v>4678.95</v>
      </c>
    </row>
    <row r="209" spans="1:5" ht="15" customHeight="1" x14ac:dyDescent="0.25">
      <c r="A209">
        <v>208</v>
      </c>
      <c r="B209">
        <v>5</v>
      </c>
      <c r="C209" t="s">
        <v>404</v>
      </c>
      <c r="D209" t="s">
        <v>401</v>
      </c>
      <c r="E209">
        <v>25328.98</v>
      </c>
    </row>
    <row r="210" spans="1:5" ht="15" customHeight="1" x14ac:dyDescent="0.25">
      <c r="A210">
        <v>209</v>
      </c>
      <c r="B210">
        <v>5</v>
      </c>
      <c r="C210" t="s">
        <v>405</v>
      </c>
      <c r="D210" t="s">
        <v>398</v>
      </c>
      <c r="E210">
        <v>17403.34</v>
      </c>
    </row>
    <row r="211" spans="1:5" ht="15" customHeight="1" x14ac:dyDescent="0.25">
      <c r="A211">
        <v>210</v>
      </c>
      <c r="B211">
        <v>5</v>
      </c>
      <c r="C211" t="s">
        <v>405</v>
      </c>
      <c r="D211" t="s">
        <v>399</v>
      </c>
      <c r="E211">
        <v>5749.41</v>
      </c>
    </row>
    <row r="212" spans="1:5" ht="15" customHeight="1" x14ac:dyDescent="0.25">
      <c r="A212">
        <v>211</v>
      </c>
      <c r="B212">
        <v>5</v>
      </c>
      <c r="C212" t="s">
        <v>405</v>
      </c>
      <c r="D212" t="s">
        <v>400</v>
      </c>
      <c r="E212">
        <v>4747.99</v>
      </c>
    </row>
    <row r="213" spans="1:5" ht="15" customHeight="1" x14ac:dyDescent="0.25">
      <c r="A213">
        <v>212</v>
      </c>
      <c r="B213">
        <v>5</v>
      </c>
      <c r="C213" t="s">
        <v>405</v>
      </c>
      <c r="D213" t="s">
        <v>401</v>
      </c>
      <c r="E213">
        <v>20650.91</v>
      </c>
    </row>
    <row r="214" spans="1:5" ht="15" customHeight="1" x14ac:dyDescent="0.25">
      <c r="A214">
        <v>213</v>
      </c>
      <c r="B214">
        <v>5</v>
      </c>
      <c r="C214" t="s">
        <v>406</v>
      </c>
      <c r="D214" t="s">
        <v>398</v>
      </c>
      <c r="E214">
        <v>14515.39</v>
      </c>
    </row>
    <row r="215" spans="1:5" ht="15" customHeight="1" x14ac:dyDescent="0.25">
      <c r="A215">
        <v>214</v>
      </c>
      <c r="B215">
        <v>5</v>
      </c>
      <c r="C215" t="s">
        <v>406</v>
      </c>
      <c r="D215" t="s">
        <v>399</v>
      </c>
      <c r="E215">
        <v>7186.63</v>
      </c>
    </row>
    <row r="216" spans="1:5" ht="15" customHeight="1" x14ac:dyDescent="0.25">
      <c r="A216">
        <v>215</v>
      </c>
      <c r="B216">
        <v>5</v>
      </c>
      <c r="C216" t="s">
        <v>406</v>
      </c>
      <c r="D216" t="s">
        <v>400</v>
      </c>
      <c r="E216">
        <v>4154.29</v>
      </c>
    </row>
    <row r="217" spans="1:5" ht="15" customHeight="1" x14ac:dyDescent="0.25">
      <c r="A217">
        <v>216</v>
      </c>
      <c r="B217">
        <v>5</v>
      </c>
      <c r="C217" t="s">
        <v>406</v>
      </c>
      <c r="D217" t="s">
        <v>401</v>
      </c>
      <c r="E217">
        <v>21636.01</v>
      </c>
    </row>
    <row r="218" spans="1:5" ht="15" customHeight="1" x14ac:dyDescent="0.25">
      <c r="A218">
        <v>217</v>
      </c>
      <c r="B218">
        <v>5</v>
      </c>
      <c r="C218" t="s">
        <v>407</v>
      </c>
      <c r="D218" t="s">
        <v>398</v>
      </c>
      <c r="E218">
        <v>16520.09</v>
      </c>
    </row>
    <row r="219" spans="1:5" ht="15" customHeight="1" x14ac:dyDescent="0.25">
      <c r="A219">
        <v>218</v>
      </c>
      <c r="B219">
        <v>5</v>
      </c>
      <c r="C219" t="s">
        <v>407</v>
      </c>
      <c r="D219" t="s">
        <v>399</v>
      </c>
    </row>
    <row r="220" spans="1:5" ht="15" customHeight="1" x14ac:dyDescent="0.25">
      <c r="A220">
        <v>219</v>
      </c>
      <c r="B220">
        <v>5</v>
      </c>
      <c r="C220" t="s">
        <v>407</v>
      </c>
      <c r="D220" t="s">
        <v>400</v>
      </c>
      <c r="E220">
        <v>4919.01</v>
      </c>
    </row>
    <row r="221" spans="1:5" ht="15" customHeight="1" x14ac:dyDescent="0.25">
      <c r="A221">
        <v>220</v>
      </c>
      <c r="B221">
        <v>5</v>
      </c>
      <c r="C221" t="s">
        <v>407</v>
      </c>
      <c r="D221" t="s">
        <v>401</v>
      </c>
      <c r="E221">
        <v>28872.31</v>
      </c>
    </row>
    <row r="222" spans="1:5" ht="15" customHeight="1" x14ac:dyDescent="0.25">
      <c r="A222">
        <v>221</v>
      </c>
      <c r="B222">
        <v>5</v>
      </c>
      <c r="C222" t="s">
        <v>408</v>
      </c>
      <c r="D222" t="s">
        <v>398</v>
      </c>
      <c r="E222">
        <v>18740.03</v>
      </c>
    </row>
    <row r="223" spans="1:5" ht="15" customHeight="1" x14ac:dyDescent="0.25">
      <c r="A223">
        <v>222</v>
      </c>
      <c r="B223">
        <v>5</v>
      </c>
      <c r="C223" t="s">
        <v>408</v>
      </c>
      <c r="D223" t="s">
        <v>399</v>
      </c>
      <c r="E223">
        <v>6360.97</v>
      </c>
    </row>
    <row r="224" spans="1:5" ht="15" customHeight="1" x14ac:dyDescent="0.25">
      <c r="A224">
        <v>223</v>
      </c>
      <c r="B224">
        <v>5</v>
      </c>
      <c r="C224" t="s">
        <v>408</v>
      </c>
      <c r="D224" t="s">
        <v>400</v>
      </c>
      <c r="E224">
        <v>5150.49</v>
      </c>
    </row>
    <row r="225" spans="1:5" ht="15" customHeight="1" x14ac:dyDescent="0.25">
      <c r="A225">
        <v>224</v>
      </c>
      <c r="B225">
        <v>5</v>
      </c>
      <c r="C225" t="s">
        <v>408</v>
      </c>
      <c r="D225" t="s">
        <v>401</v>
      </c>
      <c r="E225">
        <v>32072.13</v>
      </c>
    </row>
    <row r="226" spans="1:5" ht="15" customHeight="1" x14ac:dyDescent="0.25">
      <c r="A226">
        <v>225</v>
      </c>
      <c r="B226">
        <v>5</v>
      </c>
      <c r="C226" t="s">
        <v>409</v>
      </c>
      <c r="D226" t="s">
        <v>398</v>
      </c>
      <c r="E226">
        <v>16337.42</v>
      </c>
    </row>
    <row r="227" spans="1:5" ht="15" customHeight="1" x14ac:dyDescent="0.25">
      <c r="A227">
        <v>226</v>
      </c>
      <c r="B227">
        <v>5</v>
      </c>
      <c r="C227" t="s">
        <v>409</v>
      </c>
      <c r="D227" t="s">
        <v>399</v>
      </c>
      <c r="E227">
        <v>7233.31</v>
      </c>
    </row>
    <row r="228" spans="1:5" ht="15" customHeight="1" x14ac:dyDescent="0.25">
      <c r="A228">
        <v>227</v>
      </c>
      <c r="B228">
        <v>5</v>
      </c>
      <c r="C228" t="s">
        <v>409</v>
      </c>
      <c r="D228" t="s">
        <v>400</v>
      </c>
      <c r="E228">
        <v>3594.49</v>
      </c>
    </row>
    <row r="229" spans="1:5" ht="15" customHeight="1" x14ac:dyDescent="0.25">
      <c r="A229">
        <v>228</v>
      </c>
      <c r="B229">
        <v>5</v>
      </c>
      <c r="C229" t="s">
        <v>409</v>
      </c>
      <c r="D229" t="s">
        <v>401</v>
      </c>
      <c r="E229">
        <v>22669.22</v>
      </c>
    </row>
    <row r="230" spans="1:5" ht="15" customHeight="1" x14ac:dyDescent="0.25">
      <c r="A230">
        <v>229</v>
      </c>
      <c r="B230">
        <v>5</v>
      </c>
      <c r="C230" t="s">
        <v>410</v>
      </c>
      <c r="D230" t="s">
        <v>398</v>
      </c>
      <c r="E230">
        <v>20484.84</v>
      </c>
    </row>
    <row r="231" spans="1:5" ht="15" customHeight="1" x14ac:dyDescent="0.25">
      <c r="A231">
        <v>230</v>
      </c>
      <c r="B231">
        <v>5</v>
      </c>
      <c r="C231" t="s">
        <v>410</v>
      </c>
      <c r="D231" t="s">
        <v>399</v>
      </c>
    </row>
    <row r="232" spans="1:5" ht="15" customHeight="1" x14ac:dyDescent="0.25">
      <c r="A232">
        <v>231</v>
      </c>
      <c r="B232">
        <v>5</v>
      </c>
      <c r="C232" t="s">
        <v>410</v>
      </c>
      <c r="D232" t="s">
        <v>400</v>
      </c>
      <c r="E232">
        <v>5063.09</v>
      </c>
    </row>
    <row r="233" spans="1:5" ht="15" customHeight="1" x14ac:dyDescent="0.25">
      <c r="A233">
        <v>232</v>
      </c>
      <c r="B233">
        <v>5</v>
      </c>
      <c r="C233" t="s">
        <v>410</v>
      </c>
      <c r="D233" t="s">
        <v>401</v>
      </c>
      <c r="E233">
        <v>21112.62</v>
      </c>
    </row>
    <row r="234" spans="1:5" ht="15" customHeight="1" x14ac:dyDescent="0.25">
      <c r="A234">
        <v>233</v>
      </c>
      <c r="B234">
        <v>5</v>
      </c>
      <c r="C234" t="s">
        <v>411</v>
      </c>
      <c r="D234" t="s">
        <v>398</v>
      </c>
      <c r="E234">
        <v>19003.73</v>
      </c>
    </row>
    <row r="235" spans="1:5" ht="15" customHeight="1" x14ac:dyDescent="0.25">
      <c r="A235">
        <v>234</v>
      </c>
      <c r="B235">
        <v>5</v>
      </c>
      <c r="C235" t="s">
        <v>411</v>
      </c>
      <c r="D235" t="s">
        <v>399</v>
      </c>
      <c r="E235">
        <v>7555.56</v>
      </c>
    </row>
    <row r="236" spans="1:5" ht="15" customHeight="1" x14ac:dyDescent="0.25">
      <c r="A236">
        <v>235</v>
      </c>
      <c r="B236">
        <v>5</v>
      </c>
      <c r="C236" t="s">
        <v>411</v>
      </c>
      <c r="D236" t="s">
        <v>400</v>
      </c>
      <c r="E236">
        <v>5008.2299999999996</v>
      </c>
    </row>
    <row r="237" spans="1:5" ht="15" customHeight="1" x14ac:dyDescent="0.25">
      <c r="A237">
        <v>236</v>
      </c>
      <c r="B237">
        <v>5</v>
      </c>
      <c r="C237" t="s">
        <v>411</v>
      </c>
      <c r="D237" t="s">
        <v>401</v>
      </c>
      <c r="E237">
        <v>21956.62</v>
      </c>
    </row>
    <row r="238" spans="1:5" ht="15" customHeight="1" x14ac:dyDescent="0.25">
      <c r="A238">
        <v>237</v>
      </c>
      <c r="B238">
        <v>5</v>
      </c>
      <c r="C238" t="s">
        <v>412</v>
      </c>
      <c r="D238" t="s">
        <v>398</v>
      </c>
    </row>
    <row r="239" spans="1:5" ht="15" customHeight="1" x14ac:dyDescent="0.25">
      <c r="A239">
        <v>238</v>
      </c>
      <c r="B239">
        <v>5</v>
      </c>
      <c r="C239" t="s">
        <v>412</v>
      </c>
      <c r="D239" t="s">
        <v>399</v>
      </c>
      <c r="E239">
        <v>6657.36</v>
      </c>
    </row>
    <row r="240" spans="1:5" ht="15" customHeight="1" x14ac:dyDescent="0.25">
      <c r="A240">
        <v>239</v>
      </c>
      <c r="B240">
        <v>5</v>
      </c>
      <c r="C240" t="s">
        <v>412</v>
      </c>
      <c r="D240" t="s">
        <v>400</v>
      </c>
      <c r="E240">
        <v>3518.79</v>
      </c>
    </row>
    <row r="241" spans="1:5" ht="15" customHeight="1" x14ac:dyDescent="0.25">
      <c r="A241">
        <v>240</v>
      </c>
      <c r="B241">
        <v>5</v>
      </c>
      <c r="C241" t="s">
        <v>412</v>
      </c>
      <c r="D241" t="s">
        <v>401</v>
      </c>
      <c r="E241">
        <v>32100.28</v>
      </c>
    </row>
    <row r="242" spans="1:5" ht="15" customHeight="1" x14ac:dyDescent="0.25">
      <c r="A242">
        <v>241</v>
      </c>
      <c r="B242">
        <v>6</v>
      </c>
      <c r="C242" t="s">
        <v>397</v>
      </c>
      <c r="D242" t="s">
        <v>398</v>
      </c>
      <c r="E242">
        <v>22632.74</v>
      </c>
    </row>
    <row r="243" spans="1:5" ht="15" customHeight="1" x14ac:dyDescent="0.25">
      <c r="A243">
        <v>242</v>
      </c>
      <c r="B243">
        <v>6</v>
      </c>
      <c r="C243" t="s">
        <v>397</v>
      </c>
      <c r="D243" t="s">
        <v>399</v>
      </c>
      <c r="E243">
        <v>5300.85</v>
      </c>
    </row>
    <row r="244" spans="1:5" ht="15" customHeight="1" x14ac:dyDescent="0.25">
      <c r="A244">
        <v>243</v>
      </c>
      <c r="B244">
        <v>6</v>
      </c>
      <c r="C244" t="s">
        <v>397</v>
      </c>
      <c r="D244" t="s">
        <v>400</v>
      </c>
      <c r="E244">
        <v>3442.31</v>
      </c>
    </row>
    <row r="245" spans="1:5" ht="15" customHeight="1" x14ac:dyDescent="0.25">
      <c r="A245">
        <v>244</v>
      </c>
      <c r="B245">
        <v>6</v>
      </c>
      <c r="C245" t="s">
        <v>397</v>
      </c>
      <c r="D245" t="s">
        <v>401</v>
      </c>
    </row>
    <row r="246" spans="1:5" ht="15" customHeight="1" x14ac:dyDescent="0.25">
      <c r="A246">
        <v>245</v>
      </c>
      <c r="B246">
        <v>6</v>
      </c>
      <c r="C246" t="s">
        <v>402</v>
      </c>
      <c r="D246" t="s">
        <v>398</v>
      </c>
      <c r="E246">
        <v>22584.99</v>
      </c>
    </row>
    <row r="247" spans="1:5" ht="15" customHeight="1" x14ac:dyDescent="0.25">
      <c r="A247">
        <v>246</v>
      </c>
      <c r="B247">
        <v>6</v>
      </c>
      <c r="C247" t="s">
        <v>402</v>
      </c>
      <c r="D247" t="s">
        <v>399</v>
      </c>
      <c r="E247">
        <v>5380.87</v>
      </c>
    </row>
    <row r="248" spans="1:5" ht="15" customHeight="1" x14ac:dyDescent="0.25">
      <c r="A248">
        <v>247</v>
      </c>
      <c r="B248">
        <v>6</v>
      </c>
      <c r="C248" t="s">
        <v>402</v>
      </c>
      <c r="D248" t="s">
        <v>400</v>
      </c>
      <c r="E248">
        <v>4032.57</v>
      </c>
    </row>
    <row r="249" spans="1:5" ht="15" customHeight="1" x14ac:dyDescent="0.25">
      <c r="A249">
        <v>248</v>
      </c>
      <c r="B249">
        <v>6</v>
      </c>
      <c r="C249" t="s">
        <v>402</v>
      </c>
      <c r="D249" t="s">
        <v>401</v>
      </c>
      <c r="E249">
        <v>25610.639999999999</v>
      </c>
    </row>
    <row r="250" spans="1:5" ht="15" customHeight="1" x14ac:dyDescent="0.25">
      <c r="A250">
        <v>249</v>
      </c>
      <c r="B250">
        <v>6</v>
      </c>
      <c r="C250" t="s">
        <v>403</v>
      </c>
      <c r="D250" t="s">
        <v>398</v>
      </c>
      <c r="E250">
        <v>19791.099999999999</v>
      </c>
    </row>
    <row r="251" spans="1:5" ht="15" customHeight="1" x14ac:dyDescent="0.25">
      <c r="A251">
        <v>250</v>
      </c>
      <c r="B251">
        <v>6</v>
      </c>
      <c r="C251" t="s">
        <v>403</v>
      </c>
      <c r="D251" t="s">
        <v>399</v>
      </c>
      <c r="E251">
        <v>5015.21</v>
      </c>
    </row>
    <row r="252" spans="1:5" ht="15" customHeight="1" x14ac:dyDescent="0.25">
      <c r="A252">
        <v>251</v>
      </c>
      <c r="B252">
        <v>6</v>
      </c>
      <c r="C252" t="s">
        <v>403</v>
      </c>
      <c r="D252" t="s">
        <v>400</v>
      </c>
      <c r="E252">
        <v>3653.52</v>
      </c>
    </row>
    <row r="253" spans="1:5" ht="15" customHeight="1" x14ac:dyDescent="0.25">
      <c r="A253">
        <v>252</v>
      </c>
      <c r="B253">
        <v>6</v>
      </c>
      <c r="C253" t="s">
        <v>403</v>
      </c>
      <c r="D253" t="s">
        <v>401</v>
      </c>
      <c r="E253">
        <v>31643.63</v>
      </c>
    </row>
    <row r="254" spans="1:5" ht="15" customHeight="1" x14ac:dyDescent="0.25">
      <c r="A254">
        <v>253</v>
      </c>
      <c r="B254">
        <v>6</v>
      </c>
      <c r="C254" t="s">
        <v>404</v>
      </c>
      <c r="D254" t="s">
        <v>398</v>
      </c>
      <c r="E254">
        <v>22575.69</v>
      </c>
    </row>
    <row r="255" spans="1:5" ht="15" customHeight="1" x14ac:dyDescent="0.25">
      <c r="A255">
        <v>254</v>
      </c>
      <c r="B255">
        <v>6</v>
      </c>
      <c r="C255" t="s">
        <v>404</v>
      </c>
      <c r="D255" t="s">
        <v>399</v>
      </c>
      <c r="E255">
        <v>7143.87</v>
      </c>
    </row>
    <row r="256" spans="1:5" ht="15" customHeight="1" x14ac:dyDescent="0.25">
      <c r="A256">
        <v>255</v>
      </c>
      <c r="B256">
        <v>6</v>
      </c>
      <c r="C256" t="s">
        <v>404</v>
      </c>
      <c r="D256" t="s">
        <v>400</v>
      </c>
      <c r="E256">
        <v>3238.8</v>
      </c>
    </row>
    <row r="257" spans="1:5" ht="15" customHeight="1" x14ac:dyDescent="0.25">
      <c r="A257">
        <v>256</v>
      </c>
      <c r="B257">
        <v>6</v>
      </c>
      <c r="C257" t="s">
        <v>404</v>
      </c>
      <c r="D257" t="s">
        <v>401</v>
      </c>
      <c r="E257">
        <v>24087.58</v>
      </c>
    </row>
    <row r="258" spans="1:5" ht="15" customHeight="1" x14ac:dyDescent="0.25">
      <c r="A258">
        <v>257</v>
      </c>
      <c r="B258">
        <v>6</v>
      </c>
      <c r="C258" t="s">
        <v>405</v>
      </c>
      <c r="D258" t="s">
        <v>398</v>
      </c>
      <c r="E258">
        <v>20051.63</v>
      </c>
    </row>
    <row r="259" spans="1:5" ht="15" customHeight="1" x14ac:dyDescent="0.25">
      <c r="A259">
        <v>258</v>
      </c>
      <c r="B259">
        <v>6</v>
      </c>
      <c r="C259" t="s">
        <v>405</v>
      </c>
      <c r="D259" t="s">
        <v>399</v>
      </c>
    </row>
    <row r="260" spans="1:5" ht="15" customHeight="1" x14ac:dyDescent="0.25">
      <c r="A260">
        <v>259</v>
      </c>
      <c r="B260">
        <v>6</v>
      </c>
      <c r="C260" t="s">
        <v>405</v>
      </c>
      <c r="D260" t="s">
        <v>400</v>
      </c>
      <c r="E260">
        <v>5019.17</v>
      </c>
    </row>
    <row r="261" spans="1:5" ht="15" customHeight="1" x14ac:dyDescent="0.25">
      <c r="A261">
        <v>260</v>
      </c>
      <c r="B261">
        <v>6</v>
      </c>
      <c r="C261" t="s">
        <v>405</v>
      </c>
      <c r="D261" t="s">
        <v>401</v>
      </c>
      <c r="E261">
        <v>27923.62</v>
      </c>
    </row>
    <row r="262" spans="1:5" ht="15" customHeight="1" x14ac:dyDescent="0.25">
      <c r="A262">
        <v>261</v>
      </c>
      <c r="B262">
        <v>6</v>
      </c>
      <c r="C262" t="s">
        <v>406</v>
      </c>
      <c r="D262" t="s">
        <v>398</v>
      </c>
      <c r="E262">
        <v>15047.16</v>
      </c>
    </row>
    <row r="263" spans="1:5" ht="15" customHeight="1" x14ac:dyDescent="0.25">
      <c r="A263">
        <v>262</v>
      </c>
      <c r="B263">
        <v>6</v>
      </c>
      <c r="C263" t="s">
        <v>406</v>
      </c>
      <c r="D263" t="s">
        <v>399</v>
      </c>
      <c r="E263">
        <v>7527.02</v>
      </c>
    </row>
    <row r="264" spans="1:5" ht="15" customHeight="1" x14ac:dyDescent="0.25">
      <c r="A264">
        <v>263</v>
      </c>
      <c r="B264">
        <v>6</v>
      </c>
      <c r="C264" t="s">
        <v>406</v>
      </c>
      <c r="D264" t="s">
        <v>400</v>
      </c>
      <c r="E264">
        <v>5115.53</v>
      </c>
    </row>
    <row r="265" spans="1:5" ht="15" customHeight="1" x14ac:dyDescent="0.25">
      <c r="A265">
        <v>264</v>
      </c>
      <c r="B265">
        <v>6</v>
      </c>
      <c r="C265" t="s">
        <v>406</v>
      </c>
      <c r="D265" t="s">
        <v>401</v>
      </c>
      <c r="E265">
        <v>20971.41</v>
      </c>
    </row>
    <row r="266" spans="1:5" ht="15" customHeight="1" x14ac:dyDescent="0.25">
      <c r="A266">
        <v>265</v>
      </c>
      <c r="B266">
        <v>6</v>
      </c>
      <c r="C266" t="s">
        <v>407</v>
      </c>
      <c r="D266" t="s">
        <v>398</v>
      </c>
      <c r="E266">
        <v>19191.240000000002</v>
      </c>
    </row>
    <row r="267" spans="1:5" ht="15" customHeight="1" x14ac:dyDescent="0.25">
      <c r="A267">
        <v>266</v>
      </c>
      <c r="B267">
        <v>6</v>
      </c>
      <c r="C267" t="s">
        <v>407</v>
      </c>
      <c r="D267" t="s">
        <v>399</v>
      </c>
      <c r="E267">
        <v>5710.09</v>
      </c>
    </row>
    <row r="268" spans="1:5" ht="15" customHeight="1" x14ac:dyDescent="0.25">
      <c r="A268">
        <v>267</v>
      </c>
      <c r="B268">
        <v>6</v>
      </c>
      <c r="C268" t="s">
        <v>407</v>
      </c>
      <c r="D268" t="s">
        <v>400</v>
      </c>
      <c r="E268">
        <v>3985.68</v>
      </c>
    </row>
    <row r="269" spans="1:5" ht="15" customHeight="1" x14ac:dyDescent="0.25">
      <c r="A269">
        <v>268</v>
      </c>
      <c r="B269">
        <v>6</v>
      </c>
      <c r="C269" t="s">
        <v>407</v>
      </c>
      <c r="D269" t="s">
        <v>401</v>
      </c>
      <c r="E269">
        <v>22245.64</v>
      </c>
    </row>
    <row r="270" spans="1:5" ht="15" customHeight="1" x14ac:dyDescent="0.25">
      <c r="A270">
        <v>269</v>
      </c>
      <c r="B270">
        <v>6</v>
      </c>
      <c r="C270" t="s">
        <v>408</v>
      </c>
      <c r="D270" t="s">
        <v>398</v>
      </c>
      <c r="E270">
        <v>19602.650000000001</v>
      </c>
    </row>
    <row r="271" spans="1:5" ht="15" customHeight="1" x14ac:dyDescent="0.25">
      <c r="A271">
        <v>270</v>
      </c>
      <c r="B271">
        <v>6</v>
      </c>
      <c r="C271" t="s">
        <v>408</v>
      </c>
      <c r="D271" t="s">
        <v>399</v>
      </c>
      <c r="E271">
        <v>7673.94</v>
      </c>
    </row>
    <row r="272" spans="1:5" ht="15" customHeight="1" x14ac:dyDescent="0.25">
      <c r="A272">
        <v>271</v>
      </c>
      <c r="B272">
        <v>6</v>
      </c>
      <c r="C272" t="s">
        <v>408</v>
      </c>
      <c r="D272" t="s">
        <v>400</v>
      </c>
      <c r="E272">
        <v>4206.1499999999996</v>
      </c>
    </row>
    <row r="273" spans="1:5" ht="15" customHeight="1" x14ac:dyDescent="0.25">
      <c r="A273">
        <v>272</v>
      </c>
      <c r="B273">
        <v>6</v>
      </c>
      <c r="C273" t="s">
        <v>408</v>
      </c>
      <c r="D273" t="s">
        <v>401</v>
      </c>
      <c r="E273">
        <v>21036.43</v>
      </c>
    </row>
    <row r="274" spans="1:5" ht="15" customHeight="1" x14ac:dyDescent="0.25">
      <c r="A274">
        <v>273</v>
      </c>
      <c r="B274">
        <v>6</v>
      </c>
      <c r="C274" t="s">
        <v>409</v>
      </c>
      <c r="D274" t="s">
        <v>398</v>
      </c>
      <c r="E274">
        <v>19980.009999999998</v>
      </c>
    </row>
    <row r="275" spans="1:5" ht="15" customHeight="1" x14ac:dyDescent="0.25">
      <c r="A275">
        <v>274</v>
      </c>
      <c r="B275">
        <v>6</v>
      </c>
      <c r="C275" t="s">
        <v>409</v>
      </c>
      <c r="D275" t="s">
        <v>399</v>
      </c>
      <c r="E275">
        <v>5820.67</v>
      </c>
    </row>
    <row r="276" spans="1:5" ht="15" customHeight="1" x14ac:dyDescent="0.25">
      <c r="A276">
        <v>275</v>
      </c>
      <c r="B276">
        <v>6</v>
      </c>
      <c r="C276" t="s">
        <v>409</v>
      </c>
      <c r="D276" t="s">
        <v>400</v>
      </c>
      <c r="E276">
        <v>4911.8500000000004</v>
      </c>
    </row>
    <row r="277" spans="1:5" ht="15" customHeight="1" x14ac:dyDescent="0.25">
      <c r="A277">
        <v>276</v>
      </c>
      <c r="B277">
        <v>6</v>
      </c>
      <c r="C277" t="s">
        <v>409</v>
      </c>
      <c r="D277" t="s">
        <v>401</v>
      </c>
      <c r="E277">
        <v>25433.48</v>
      </c>
    </row>
    <row r="278" spans="1:5" ht="15" customHeight="1" x14ac:dyDescent="0.25">
      <c r="A278">
        <v>277</v>
      </c>
      <c r="B278">
        <v>6</v>
      </c>
      <c r="C278" t="s">
        <v>410</v>
      </c>
      <c r="D278" t="s">
        <v>398</v>
      </c>
      <c r="E278">
        <v>16135.56</v>
      </c>
    </row>
    <row r="279" spans="1:5" ht="15" customHeight="1" x14ac:dyDescent="0.25">
      <c r="A279">
        <v>278</v>
      </c>
      <c r="B279">
        <v>6</v>
      </c>
      <c r="C279" t="s">
        <v>410</v>
      </c>
      <c r="D279" t="s">
        <v>399</v>
      </c>
      <c r="E279">
        <v>5373.32</v>
      </c>
    </row>
    <row r="280" spans="1:5" ht="15" customHeight="1" x14ac:dyDescent="0.25">
      <c r="A280">
        <v>279</v>
      </c>
      <c r="B280">
        <v>6</v>
      </c>
      <c r="C280" t="s">
        <v>410</v>
      </c>
      <c r="D280" t="s">
        <v>400</v>
      </c>
      <c r="E280">
        <v>4737.53</v>
      </c>
    </row>
    <row r="281" spans="1:5" ht="15" customHeight="1" x14ac:dyDescent="0.25">
      <c r="A281">
        <v>280</v>
      </c>
      <c r="B281">
        <v>6</v>
      </c>
      <c r="C281" t="s">
        <v>410</v>
      </c>
      <c r="D281" t="s">
        <v>401</v>
      </c>
      <c r="E281">
        <v>23319.84</v>
      </c>
    </row>
    <row r="282" spans="1:5" ht="15" customHeight="1" x14ac:dyDescent="0.25">
      <c r="A282">
        <v>281</v>
      </c>
      <c r="B282">
        <v>6</v>
      </c>
      <c r="C282" t="s">
        <v>411</v>
      </c>
      <c r="D282" t="s">
        <v>398</v>
      </c>
      <c r="E282">
        <v>21305.1</v>
      </c>
    </row>
    <row r="283" spans="1:5" ht="15" customHeight="1" x14ac:dyDescent="0.25">
      <c r="A283">
        <v>282</v>
      </c>
      <c r="B283">
        <v>6</v>
      </c>
      <c r="C283" t="s">
        <v>411</v>
      </c>
      <c r="D283" t="s">
        <v>399</v>
      </c>
      <c r="E283">
        <v>5417.66</v>
      </c>
    </row>
    <row r="284" spans="1:5" ht="15" customHeight="1" x14ac:dyDescent="0.25">
      <c r="A284">
        <v>283</v>
      </c>
      <c r="B284">
        <v>6</v>
      </c>
      <c r="C284" t="s">
        <v>411</v>
      </c>
      <c r="D284" t="s">
        <v>400</v>
      </c>
      <c r="E284">
        <v>3843.37</v>
      </c>
    </row>
    <row r="285" spans="1:5" ht="15" customHeight="1" x14ac:dyDescent="0.25">
      <c r="A285">
        <v>284</v>
      </c>
      <c r="B285">
        <v>6</v>
      </c>
      <c r="C285" t="s">
        <v>411</v>
      </c>
      <c r="D285" t="s">
        <v>401</v>
      </c>
      <c r="E285">
        <v>25818.59</v>
      </c>
    </row>
    <row r="286" spans="1:5" ht="15" customHeight="1" x14ac:dyDescent="0.25">
      <c r="A286">
        <v>285</v>
      </c>
      <c r="B286">
        <v>6</v>
      </c>
      <c r="C286" t="s">
        <v>412</v>
      </c>
      <c r="D286" t="s">
        <v>398</v>
      </c>
      <c r="E286">
        <v>22888.76</v>
      </c>
    </row>
    <row r="287" spans="1:5" ht="15" customHeight="1" x14ac:dyDescent="0.25">
      <c r="A287">
        <v>286</v>
      </c>
      <c r="B287">
        <v>6</v>
      </c>
      <c r="C287" t="s">
        <v>412</v>
      </c>
      <c r="D287" t="s">
        <v>399</v>
      </c>
      <c r="E287">
        <v>7595.19</v>
      </c>
    </row>
    <row r="288" spans="1:5" ht="15" customHeight="1" x14ac:dyDescent="0.25">
      <c r="A288">
        <v>287</v>
      </c>
      <c r="B288">
        <v>6</v>
      </c>
      <c r="C288" t="s">
        <v>412</v>
      </c>
      <c r="D288" t="s">
        <v>400</v>
      </c>
    </row>
    <row r="289" spans="1:5" ht="15" customHeight="1" x14ac:dyDescent="0.25">
      <c r="A289">
        <v>288</v>
      </c>
      <c r="B289">
        <v>6</v>
      </c>
      <c r="C289" t="s">
        <v>412</v>
      </c>
      <c r="D289" t="s">
        <v>401</v>
      </c>
      <c r="E289">
        <v>24477.74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"/>
  <sheetViews>
    <sheetView tabSelected="1" zoomScaleNormal="100" workbookViewId="0">
      <pane ySplit="3" topLeftCell="A4" activePane="bottomLeft" state="frozen"/>
      <selection pane="bottomLeft" activeCell="B4" sqref="B4"/>
    </sheetView>
  </sheetViews>
  <sheetFormatPr baseColWidth="10" defaultColWidth="8.7109375" defaultRowHeight="15" x14ac:dyDescent="0.25"/>
  <cols>
    <col min="1" max="1" width="8" customWidth="1"/>
    <col min="2" max="2" width="12" customWidth="1"/>
    <col min="3" max="3" width="16" customWidth="1"/>
    <col min="4" max="4" width="18" customWidth="1"/>
    <col min="5" max="7" width="12" customWidth="1"/>
    <col min="8" max="8" width="10" customWidth="1"/>
    <col min="9" max="9" width="12" customWidth="1"/>
    <col min="10" max="10" width="10" customWidth="1"/>
  </cols>
  <sheetData>
    <row r="1" spans="1:10" ht="15" customHeight="1" x14ac:dyDescent="0.25">
      <c r="A1" s="2" t="s">
        <v>413</v>
      </c>
    </row>
    <row r="3" spans="1:10" ht="15" customHeight="1" x14ac:dyDescent="0.25">
      <c r="A3" s="1" t="s">
        <v>0</v>
      </c>
      <c r="B3" s="1" t="s">
        <v>1</v>
      </c>
      <c r="C3" s="1" t="s">
        <v>414</v>
      </c>
      <c r="D3" s="1" t="s">
        <v>415</v>
      </c>
      <c r="E3" s="1" t="s">
        <v>416</v>
      </c>
      <c r="F3" s="1" t="s">
        <v>417</v>
      </c>
      <c r="G3" s="1" t="s">
        <v>418</v>
      </c>
      <c r="H3" s="1" t="s">
        <v>419</v>
      </c>
      <c r="I3" s="1" t="s">
        <v>420</v>
      </c>
      <c r="J3" s="1" t="s">
        <v>421</v>
      </c>
    </row>
    <row r="4" spans="1:10" ht="15" customHeight="1" x14ac:dyDescent="0.25">
      <c r="A4">
        <v>1</v>
      </c>
      <c r="B4" t="str">
        <f>VLOOKUP(A4,Lines!$A$2:$D$7,2,FALSE())</f>
        <v>Line 1</v>
      </c>
      <c r="C4">
        <f>SUMIF('Production Log'!$B$2:$B$2197,A4,'Production Log'!$D$2:$D$2197)</f>
        <v>175680</v>
      </c>
      <c r="D4">
        <f>SUMIF('Production Log'!$B$2:$B$2197,A4,'Production Log'!$E$2:$E$2197)</f>
        <v>15114</v>
      </c>
      <c r="E4">
        <f>SUMIF('Production Log'!$B$2:$B$2197,A4,'Production Log'!$G$2:$G$2197)</f>
        <v>239606</v>
      </c>
      <c r="F4">
        <f>SUMIF('Production Log'!$B$2:$B$2197,A4,'Production Log'!$H$2:$H$2197)</f>
        <v>14153</v>
      </c>
      <c r="G4" s="3">
        <f t="shared" ref="G4:G9" si="0">(C4-D4)/C4</f>
        <v>0.91396857923497266</v>
      </c>
      <c r="H4" s="3">
        <f t="shared" ref="H4:H9" si="1">(E4-F4)/E4</f>
        <v>0.94093219702344677</v>
      </c>
      <c r="I4" s="3">
        <f>(E4/((C4-D4)/60))/VLOOKUP(A4,Lines!$A$2:$D$7,4,FALSE())</f>
        <v>0.95250551175217668</v>
      </c>
      <c r="J4" s="3">
        <f t="shared" ref="J4:J9" si="2">G4*H4*I4</f>
        <v>0.81913803627485171</v>
      </c>
    </row>
    <row r="5" spans="1:10" ht="15" customHeight="1" x14ac:dyDescent="0.25">
      <c r="A5">
        <v>2</v>
      </c>
      <c r="B5" t="str">
        <f>VLOOKUP(A5,Lines!$A$2:$D$7,2,FALSE())</f>
        <v>Line 2</v>
      </c>
      <c r="C5">
        <f>SUMIF('Production Log'!$B$2:$B$2197,A5,'Production Log'!$D$2:$D$2197)</f>
        <v>175680</v>
      </c>
      <c r="D5">
        <f>SUMIF('Production Log'!$B$2:$B$2197,A5,'Production Log'!$E$2:$E$2197)</f>
        <v>6677</v>
      </c>
      <c r="E5">
        <f>SUMIF('Production Log'!$B$2:$B$2197,A5,'Production Log'!$G$2:$G$2197)</f>
        <v>467851</v>
      </c>
      <c r="F5">
        <f>SUMIF('Production Log'!$B$2:$B$2197,A5,'Production Log'!$H$2:$H$2197)</f>
        <v>30475</v>
      </c>
      <c r="G5" s="3">
        <f t="shared" si="0"/>
        <v>0.96199339708561016</v>
      </c>
      <c r="H5" s="3">
        <f t="shared" si="1"/>
        <v>0.93486174016941292</v>
      </c>
      <c r="I5" s="3">
        <f>(E5/((C5-D5)/60))/VLOOKUP(A5,Lines!$A$2:$D$7,4,FALSE())</f>
        <v>0.95458619689876956</v>
      </c>
      <c r="J5" s="3">
        <f t="shared" si="2"/>
        <v>0.85848878839268883</v>
      </c>
    </row>
    <row r="6" spans="1:10" ht="15" customHeight="1" x14ac:dyDescent="0.25">
      <c r="A6">
        <v>3</v>
      </c>
      <c r="B6" t="str">
        <f>VLOOKUP(A6,Lines!$A$2:$D$7,2,FALSE())</f>
        <v>Line 3</v>
      </c>
      <c r="C6">
        <f>SUMIF('Production Log'!$B$2:$B$2197,A6,'Production Log'!$D$2:$D$2197)</f>
        <v>175680</v>
      </c>
      <c r="D6">
        <f>SUMIF('Production Log'!$B$2:$B$2197,A6,'Production Log'!$E$2:$E$2197)</f>
        <v>35446</v>
      </c>
      <c r="E6">
        <f>SUMIF('Production Log'!$B$2:$B$2197,A6,'Production Log'!$G$2:$G$2197)</f>
        <v>245550</v>
      </c>
      <c r="F6">
        <f>SUMIF('Production Log'!$B$2:$B$2197,A6,'Production Log'!$H$2:$H$2197)</f>
        <v>7147</v>
      </c>
      <c r="G6" s="3">
        <f t="shared" si="0"/>
        <v>0.79823542805100178</v>
      </c>
      <c r="H6" s="3">
        <f t="shared" si="1"/>
        <v>0.97089391162695993</v>
      </c>
      <c r="I6" s="3">
        <f>(E6/((C6-D6)/60))/VLOOKUP(A6,Lines!$A$2:$D$7,4,FALSE())</f>
        <v>0.94648751179977575</v>
      </c>
      <c r="J6" s="3">
        <f t="shared" si="2"/>
        <v>0.7335296361935707</v>
      </c>
    </row>
    <row r="7" spans="1:10" ht="15" customHeight="1" x14ac:dyDescent="0.25">
      <c r="A7">
        <v>4</v>
      </c>
      <c r="B7" t="str">
        <f>VLOOKUP(A7,Lines!$A$2:$D$7,2,FALSE())</f>
        <v>Line 4</v>
      </c>
      <c r="C7">
        <f>SUMIF('Production Log'!$B$2:$B$2197,A7,'Production Log'!$D$2:$D$2197)</f>
        <v>175680</v>
      </c>
      <c r="D7">
        <f>SUMIF('Production Log'!$B$2:$B$2197,A7,'Production Log'!$E$2:$E$2197)</f>
        <v>17684</v>
      </c>
      <c r="E7">
        <f>SUMIF('Production Log'!$B$2:$B$2197,A7,'Production Log'!$G$2:$G$2197)</f>
        <v>242603</v>
      </c>
      <c r="F7">
        <f>SUMIF('Production Log'!$B$2:$B$2197,A7,'Production Log'!$H$2:$H$2197)</f>
        <v>18161</v>
      </c>
      <c r="G7" s="3">
        <f t="shared" si="0"/>
        <v>0.89933970856102008</v>
      </c>
      <c r="H7" s="3">
        <f t="shared" si="1"/>
        <v>0.92514107410048518</v>
      </c>
      <c r="I7" s="3">
        <f>(E7/((C7-D7)/60))/VLOOKUP(A7,Lines!$A$2:$D$7,4,FALSE())</f>
        <v>0.94979437036511161</v>
      </c>
      <c r="J7" s="3">
        <f t="shared" si="2"/>
        <v>0.79024421159371305</v>
      </c>
    </row>
    <row r="8" spans="1:10" ht="15" customHeight="1" x14ac:dyDescent="0.25">
      <c r="A8">
        <v>5</v>
      </c>
      <c r="B8" t="str">
        <f>VLOOKUP(A8,Lines!$A$2:$D$7,2,FALSE())</f>
        <v>Line 5</v>
      </c>
      <c r="C8">
        <f>SUMIF('Production Log'!$B$2:$B$2197,A8,'Production Log'!$D$2:$D$2197)</f>
        <v>175680</v>
      </c>
      <c r="D8">
        <f>SUMIF('Production Log'!$B$2:$B$2197,A8,'Production Log'!$E$2:$E$2197)</f>
        <v>9124</v>
      </c>
      <c r="E8">
        <f>SUMIF('Production Log'!$B$2:$B$2197,A8,'Production Log'!$G$2:$G$2197)</f>
        <v>244421</v>
      </c>
      <c r="F8">
        <f>SUMIF('Production Log'!$B$2:$B$2197,A8,'Production Log'!$H$2:$H$2197)</f>
        <v>11388</v>
      </c>
      <c r="G8" s="3">
        <f t="shared" si="0"/>
        <v>0.94806466302367942</v>
      </c>
      <c r="H8" s="3">
        <f t="shared" si="1"/>
        <v>0.9534082587011754</v>
      </c>
      <c r="I8" s="3">
        <f>(E8/((C8-D8)/60))/VLOOKUP(A8,Lines!$A$2:$D$7,4,FALSE())</f>
        <v>0.94677446469617121</v>
      </c>
      <c r="J8" s="3">
        <f t="shared" si="2"/>
        <v>0.85578250778541631</v>
      </c>
    </row>
    <row r="9" spans="1:10" ht="15" customHeight="1" x14ac:dyDescent="0.25">
      <c r="A9">
        <v>6</v>
      </c>
      <c r="B9" t="str">
        <f>VLOOKUP(A9,Lines!$A$2:$D$7,2,FALSE())</f>
        <v>Line 6</v>
      </c>
      <c r="C9">
        <f>SUMIF('Production Log'!$B$2:$B$2197,A9,'Production Log'!$D$2:$D$2197)</f>
        <v>175680</v>
      </c>
      <c r="D9">
        <f>SUMIF('Production Log'!$B$2:$B$2197,A9,'Production Log'!$E$2:$E$2197)</f>
        <v>21106</v>
      </c>
      <c r="E9">
        <f>SUMIF('Production Log'!$B$2:$B$2197,A9,'Production Log'!$G$2:$G$2197)</f>
        <v>426078</v>
      </c>
      <c r="F9">
        <f>SUMIF('Production Log'!$B$2:$B$2197,A9,'Production Log'!$H$2:$H$2197)</f>
        <v>15332</v>
      </c>
      <c r="G9" s="3">
        <f t="shared" si="0"/>
        <v>0.87986111111111109</v>
      </c>
      <c r="H9" s="3">
        <f t="shared" si="1"/>
        <v>0.96401597829505392</v>
      </c>
      <c r="I9" s="3">
        <f>(E9/((C9-D9)/60))/VLOOKUP(A9,Lines!$A$2:$D$7,4,FALSE())</f>
        <v>0.9505055719322919</v>
      </c>
      <c r="J9" s="3">
        <f t="shared" si="2"/>
        <v>0.80621898750078513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9"/>
  <sheetViews>
    <sheetView zoomScaleNormal="100" workbookViewId="0">
      <pane ySplit="3" topLeftCell="A4" activePane="bottomLeft" state="frozen"/>
      <selection pane="bottomLeft" activeCell="B9" sqref="B9"/>
    </sheetView>
  </sheetViews>
  <sheetFormatPr baseColWidth="10" defaultColWidth="8.7109375" defaultRowHeight="15" x14ac:dyDescent="0.25"/>
  <cols>
    <col min="1" max="1" width="20" customWidth="1"/>
    <col min="2" max="2" width="18" customWidth="1"/>
    <col min="3" max="3" width="8" customWidth="1"/>
  </cols>
  <sheetData>
    <row r="1" spans="1:3" ht="15" customHeight="1" x14ac:dyDescent="0.25">
      <c r="A1" s="2" t="s">
        <v>422</v>
      </c>
    </row>
    <row r="3" spans="1:3" ht="15" customHeight="1" x14ac:dyDescent="0.25">
      <c r="A3" s="1" t="s">
        <v>17</v>
      </c>
      <c r="B3" s="1" t="s">
        <v>423</v>
      </c>
      <c r="C3" s="1" t="s">
        <v>424</v>
      </c>
    </row>
    <row r="4" spans="1:3" ht="15" customHeight="1" x14ac:dyDescent="0.25">
      <c r="A4" t="s">
        <v>27</v>
      </c>
      <c r="B4">
        <f>SUMIF('Production Log'!$F$2:$F$2197,A4,'Production Log'!$E$2:$E$2197)</f>
        <v>20488</v>
      </c>
      <c r="C4">
        <f t="shared" ref="C4:C9" si="0">RANK(B4,$B$4:$B$9)</f>
        <v>2</v>
      </c>
    </row>
    <row r="5" spans="1:3" ht="15" customHeight="1" x14ac:dyDescent="0.25">
      <c r="A5" t="s">
        <v>24</v>
      </c>
      <c r="B5">
        <f>SUMIF('Production Log'!$F$2:$F$2197,A5,'Production Log'!$E$2:$E$2197)</f>
        <v>18462</v>
      </c>
      <c r="C5">
        <f t="shared" si="0"/>
        <v>4</v>
      </c>
    </row>
    <row r="6" spans="1:3" ht="15" customHeight="1" x14ac:dyDescent="0.25">
      <c r="A6" t="s">
        <v>29</v>
      </c>
      <c r="B6">
        <f>SUMIF('Production Log'!$F$2:$F$2197,A6,'Production Log'!$E$2:$E$2197)</f>
        <v>17324</v>
      </c>
      <c r="C6">
        <f t="shared" si="0"/>
        <v>5</v>
      </c>
    </row>
    <row r="7" spans="1:3" ht="15" customHeight="1" x14ac:dyDescent="0.25">
      <c r="A7" t="s">
        <v>45</v>
      </c>
      <c r="B7">
        <f>SUMIF('Production Log'!$F$2:$F$2197,A7,'Production Log'!$E$2:$E$2197)</f>
        <v>19084</v>
      </c>
      <c r="C7">
        <f t="shared" si="0"/>
        <v>3</v>
      </c>
    </row>
    <row r="8" spans="1:3" ht="15" customHeight="1" x14ac:dyDescent="0.25">
      <c r="A8" t="s">
        <v>22</v>
      </c>
      <c r="B8">
        <f>SUMIF('Production Log'!$F$2:$F$2197,A8,'Production Log'!$E$2:$E$2197)</f>
        <v>21156</v>
      </c>
      <c r="C8">
        <f t="shared" si="0"/>
        <v>1</v>
      </c>
    </row>
    <row r="9" spans="1:3" ht="15" customHeight="1" x14ac:dyDescent="0.25">
      <c r="A9" t="s">
        <v>33</v>
      </c>
      <c r="B9">
        <f>SUMIF('Production Log'!$F$2:$F$2197,A9,'Production Log'!$E$2:$E$2197)</f>
        <v>8637</v>
      </c>
      <c r="C9">
        <f t="shared" si="0"/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5"/>
  <sheetViews>
    <sheetView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1" width="8" customWidth="1"/>
    <col min="2" max="3" width="12" customWidth="1"/>
    <col min="4" max="5" width="14" customWidth="1"/>
  </cols>
  <sheetData>
    <row r="1" spans="1:5" ht="15" customHeight="1" x14ac:dyDescent="0.25">
      <c r="A1" s="2" t="s">
        <v>425</v>
      </c>
    </row>
    <row r="3" spans="1:5" ht="15" customHeight="1" x14ac:dyDescent="0.25">
      <c r="A3" s="1" t="s">
        <v>0</v>
      </c>
      <c r="B3" s="1" t="s">
        <v>394</v>
      </c>
      <c r="C3" s="1" t="s">
        <v>416</v>
      </c>
      <c r="D3" s="1" t="s">
        <v>426</v>
      </c>
      <c r="E3" s="1" t="s">
        <v>427</v>
      </c>
    </row>
    <row r="4" spans="1:5" ht="15" customHeight="1" x14ac:dyDescent="0.25">
      <c r="A4">
        <v>1</v>
      </c>
      <c r="B4" t="s">
        <v>397</v>
      </c>
      <c r="C4">
        <f>SUMIFS('Production Log'!$G$2:$G$2197,'Production Log'!$B$2:$B$2197,A4,'Production Log'!$I$2:$I$2197,B4)</f>
        <v>20008</v>
      </c>
      <c r="D4" s="4">
        <f>SUMIFS('Monthly Costs'!$E$2:$E$289,'Monthly Costs'!$B$2:$B$289,A4,'Monthly Costs'!$C$2:$C$289,B4)</f>
        <v>59811.4</v>
      </c>
      <c r="E4" s="5">
        <f t="shared" ref="E4:E35" si="0">IFERROR(D4/C4,"")</f>
        <v>2.9893742502998801</v>
      </c>
    </row>
    <row r="5" spans="1:5" ht="15" customHeight="1" x14ac:dyDescent="0.25">
      <c r="A5">
        <v>1</v>
      </c>
      <c r="B5" t="s">
        <v>402</v>
      </c>
      <c r="C5">
        <f>SUMIFS('Production Log'!$G$2:$G$2197,'Production Log'!$B$2:$B$2197,A5,'Production Log'!$I$2:$I$2197,B5)</f>
        <v>18762</v>
      </c>
      <c r="D5" s="4">
        <f>SUMIFS('Monthly Costs'!$E$2:$E$289,'Monthly Costs'!$B$2:$B$289,A5,'Monthly Costs'!$C$2:$C$289,B5)</f>
        <v>54428.69</v>
      </c>
      <c r="E5" s="5">
        <f t="shared" si="0"/>
        <v>2.9010068223003946</v>
      </c>
    </row>
    <row r="6" spans="1:5" ht="15" customHeight="1" x14ac:dyDescent="0.25">
      <c r="A6">
        <v>1</v>
      </c>
      <c r="B6" t="s">
        <v>403</v>
      </c>
      <c r="C6">
        <f>SUMIFS('Production Log'!$G$2:$G$2197,'Production Log'!$B$2:$B$2197,A6,'Production Log'!$I$2:$I$2197,B6)</f>
        <v>20127</v>
      </c>
      <c r="D6" s="4">
        <f>SUMIFS('Monthly Costs'!$E$2:$E$289,'Monthly Costs'!$B$2:$B$289,A6,'Monthly Costs'!$C$2:$C$289,B6)</f>
        <v>63044.460000000006</v>
      </c>
      <c r="E6" s="5">
        <f t="shared" si="0"/>
        <v>3.1323326874347894</v>
      </c>
    </row>
    <row r="7" spans="1:5" ht="15" customHeight="1" x14ac:dyDescent="0.25">
      <c r="A7">
        <v>1</v>
      </c>
      <c r="B7" t="s">
        <v>404</v>
      </c>
      <c r="C7">
        <f>SUMIFS('Production Log'!$G$2:$G$2197,'Production Log'!$B$2:$B$2197,A7,'Production Log'!$I$2:$I$2197,B7)</f>
        <v>19666</v>
      </c>
      <c r="D7" s="4">
        <f>SUMIFS('Monthly Costs'!$E$2:$E$289,'Monthly Costs'!$B$2:$B$289,A7,'Monthly Costs'!$C$2:$C$289,B7)</f>
        <v>54049.19</v>
      </c>
      <c r="E7" s="5">
        <f t="shared" si="0"/>
        <v>2.7483570629512868</v>
      </c>
    </row>
    <row r="8" spans="1:5" ht="15" customHeight="1" x14ac:dyDescent="0.25">
      <c r="A8">
        <v>1</v>
      </c>
      <c r="B8" t="s">
        <v>405</v>
      </c>
      <c r="C8">
        <f>SUMIFS('Production Log'!$G$2:$G$2197,'Production Log'!$B$2:$B$2197,A8,'Production Log'!$I$2:$I$2197,B8)</f>
        <v>20966</v>
      </c>
      <c r="D8" s="4">
        <f>SUMIFS('Monthly Costs'!$E$2:$E$289,'Monthly Costs'!$B$2:$B$289,A8,'Monthly Costs'!$C$2:$C$289,B8)</f>
        <v>55382.59</v>
      </c>
      <c r="E8" s="5">
        <f t="shared" si="0"/>
        <v>2.6415429743394063</v>
      </c>
    </row>
    <row r="9" spans="1:5" ht="15" customHeight="1" x14ac:dyDescent="0.25">
      <c r="A9">
        <v>1</v>
      </c>
      <c r="B9" t="s">
        <v>406</v>
      </c>
      <c r="C9">
        <f>SUMIFS('Production Log'!$G$2:$G$2197,'Production Log'!$B$2:$B$2197,A9,'Production Log'!$I$2:$I$2197,B9)</f>
        <v>19088</v>
      </c>
      <c r="D9" s="4">
        <f>SUMIFS('Monthly Costs'!$E$2:$E$289,'Monthly Costs'!$B$2:$B$289,A9,'Monthly Costs'!$C$2:$C$289,B9)</f>
        <v>52368.67</v>
      </c>
      <c r="E9" s="5">
        <f t="shared" si="0"/>
        <v>2.7435388725901091</v>
      </c>
    </row>
    <row r="10" spans="1:5" ht="15" customHeight="1" x14ac:dyDescent="0.25">
      <c r="A10">
        <v>1</v>
      </c>
      <c r="B10" t="s">
        <v>407</v>
      </c>
      <c r="C10">
        <f>SUMIFS('Production Log'!$G$2:$G$2197,'Production Log'!$B$2:$B$2197,A10,'Production Log'!$I$2:$I$2197,B10)</f>
        <v>20273</v>
      </c>
      <c r="D10" s="4">
        <f>SUMIFS('Monthly Costs'!$E$2:$E$289,'Monthly Costs'!$B$2:$B$289,A10,'Monthly Costs'!$C$2:$C$289,B10)</f>
        <v>60556.92</v>
      </c>
      <c r="E10" s="5">
        <f t="shared" si="0"/>
        <v>2.9870724609085975</v>
      </c>
    </row>
    <row r="11" spans="1:5" ht="15" customHeight="1" x14ac:dyDescent="0.25">
      <c r="A11">
        <v>1</v>
      </c>
      <c r="B11" t="s">
        <v>408</v>
      </c>
      <c r="C11">
        <f>SUMIFS('Production Log'!$G$2:$G$2197,'Production Log'!$B$2:$B$2197,A11,'Production Log'!$I$2:$I$2197,B11)</f>
        <v>20447</v>
      </c>
      <c r="D11" s="4">
        <f>SUMIFS('Monthly Costs'!$E$2:$E$289,'Monthly Costs'!$B$2:$B$289,A11,'Monthly Costs'!$C$2:$C$289,B11)</f>
        <v>48031.39</v>
      </c>
      <c r="E11" s="5">
        <f t="shared" si="0"/>
        <v>2.3490678339120654</v>
      </c>
    </row>
    <row r="12" spans="1:5" ht="15" customHeight="1" x14ac:dyDescent="0.25">
      <c r="A12">
        <v>1</v>
      </c>
      <c r="B12" t="s">
        <v>409</v>
      </c>
      <c r="C12">
        <f>SUMIFS('Production Log'!$G$2:$G$2197,'Production Log'!$B$2:$B$2197,A12,'Production Log'!$I$2:$I$2197,B12)</f>
        <v>20055</v>
      </c>
      <c r="D12" s="4">
        <f>SUMIFS('Monthly Costs'!$E$2:$E$289,'Monthly Costs'!$B$2:$B$289,A12,'Monthly Costs'!$C$2:$C$289,B12)</f>
        <v>55469.64</v>
      </c>
      <c r="E12" s="5">
        <f t="shared" si="0"/>
        <v>2.7658758414360509</v>
      </c>
    </row>
    <row r="13" spans="1:5" ht="15" customHeight="1" x14ac:dyDescent="0.25">
      <c r="A13">
        <v>1</v>
      </c>
      <c r="B13" t="s">
        <v>410</v>
      </c>
      <c r="C13">
        <f>SUMIFS('Production Log'!$G$2:$G$2197,'Production Log'!$B$2:$B$2197,A13,'Production Log'!$I$2:$I$2197,B13)</f>
        <v>20335</v>
      </c>
      <c r="D13" s="4">
        <f>SUMIFS('Monthly Costs'!$E$2:$E$289,'Monthly Costs'!$B$2:$B$289,A13,'Monthly Costs'!$C$2:$C$289,B13)</f>
        <v>58117.259999999995</v>
      </c>
      <c r="E13" s="5">
        <f t="shared" si="0"/>
        <v>2.8579916400295056</v>
      </c>
    </row>
    <row r="14" spans="1:5" ht="15" customHeight="1" x14ac:dyDescent="0.25">
      <c r="A14">
        <v>1</v>
      </c>
      <c r="B14" t="s">
        <v>411</v>
      </c>
      <c r="C14">
        <f>SUMIFS('Production Log'!$G$2:$G$2197,'Production Log'!$B$2:$B$2197,A14,'Production Log'!$I$2:$I$2197,B14)</f>
        <v>19199</v>
      </c>
      <c r="D14" s="4">
        <f>SUMIFS('Monthly Costs'!$E$2:$E$289,'Monthly Costs'!$B$2:$B$289,A14,'Monthly Costs'!$C$2:$C$289,B14)</f>
        <v>63763.13</v>
      </c>
      <c r="E14" s="5">
        <f t="shared" si="0"/>
        <v>3.3211693317360278</v>
      </c>
    </row>
    <row r="15" spans="1:5" ht="15" customHeight="1" x14ac:dyDescent="0.25">
      <c r="A15">
        <v>1</v>
      </c>
      <c r="B15" t="s">
        <v>412</v>
      </c>
      <c r="C15">
        <f>SUMIFS('Production Log'!$G$2:$G$2197,'Production Log'!$B$2:$B$2197,A15,'Production Log'!$I$2:$I$2197,B15)</f>
        <v>20680</v>
      </c>
      <c r="D15" s="4">
        <f>SUMIFS('Monthly Costs'!$E$2:$E$289,'Monthly Costs'!$B$2:$B$289,A15,'Monthly Costs'!$C$2:$C$289,B15)</f>
        <v>59041.22</v>
      </c>
      <c r="E15" s="5">
        <f t="shared" si="0"/>
        <v>2.8549912959381043</v>
      </c>
    </row>
    <row r="16" spans="1:5" ht="15" customHeight="1" x14ac:dyDescent="0.25">
      <c r="A16">
        <v>2</v>
      </c>
      <c r="B16" t="s">
        <v>397</v>
      </c>
      <c r="C16">
        <f>SUMIFS('Production Log'!$G$2:$G$2197,'Production Log'!$B$2:$B$2197,A16,'Production Log'!$I$2:$I$2197,B16)</f>
        <v>39873</v>
      </c>
      <c r="D16" s="4">
        <f>SUMIFS('Monthly Costs'!$E$2:$E$289,'Monthly Costs'!$B$2:$B$289,A16,'Monthly Costs'!$C$2:$C$289,B16)</f>
        <v>62138.34</v>
      </c>
      <c r="E16" s="5">
        <f t="shared" si="0"/>
        <v>1.5584064404484237</v>
      </c>
    </row>
    <row r="17" spans="1:5" ht="15" customHeight="1" x14ac:dyDescent="0.25">
      <c r="A17">
        <v>2</v>
      </c>
      <c r="B17" t="s">
        <v>402</v>
      </c>
      <c r="C17">
        <f>SUMIFS('Production Log'!$G$2:$G$2197,'Production Log'!$B$2:$B$2197,A17,'Production Log'!$I$2:$I$2197,B17)</f>
        <v>37288</v>
      </c>
      <c r="D17" s="4">
        <f>SUMIFS('Monthly Costs'!$E$2:$E$289,'Monthly Costs'!$B$2:$B$289,A17,'Monthly Costs'!$C$2:$C$289,B17)</f>
        <v>51523.92</v>
      </c>
      <c r="E17" s="5">
        <f t="shared" si="0"/>
        <v>1.3817828792104698</v>
      </c>
    </row>
    <row r="18" spans="1:5" ht="15" customHeight="1" x14ac:dyDescent="0.25">
      <c r="A18">
        <v>2</v>
      </c>
      <c r="B18" t="s">
        <v>403</v>
      </c>
      <c r="C18">
        <f>SUMIFS('Production Log'!$G$2:$G$2197,'Production Log'!$B$2:$B$2197,A18,'Production Log'!$I$2:$I$2197,B18)</f>
        <v>39211</v>
      </c>
      <c r="D18" s="4">
        <f>SUMIFS('Monthly Costs'!$E$2:$E$289,'Monthly Costs'!$B$2:$B$289,A18,'Monthly Costs'!$C$2:$C$289,B18)</f>
        <v>49594.6</v>
      </c>
      <c r="E18" s="5">
        <f t="shared" si="0"/>
        <v>1.2648134452067021</v>
      </c>
    </row>
    <row r="19" spans="1:5" ht="15" customHeight="1" x14ac:dyDescent="0.25">
      <c r="A19">
        <v>2</v>
      </c>
      <c r="B19" t="s">
        <v>404</v>
      </c>
      <c r="C19">
        <f>SUMIFS('Production Log'!$G$2:$G$2197,'Production Log'!$B$2:$B$2197,A19,'Production Log'!$I$2:$I$2197,B19)</f>
        <v>39134</v>
      </c>
      <c r="D19" s="4">
        <f>SUMIFS('Monthly Costs'!$E$2:$E$289,'Monthly Costs'!$B$2:$B$289,A19,'Monthly Costs'!$C$2:$C$289,B19)</f>
        <v>58900.2</v>
      </c>
      <c r="E19" s="5">
        <f t="shared" si="0"/>
        <v>1.5050902028926252</v>
      </c>
    </row>
    <row r="20" spans="1:5" ht="15" customHeight="1" x14ac:dyDescent="0.25">
      <c r="A20">
        <v>2</v>
      </c>
      <c r="B20" t="s">
        <v>405</v>
      </c>
      <c r="C20">
        <f>SUMIFS('Production Log'!$G$2:$G$2197,'Production Log'!$B$2:$B$2197,A20,'Production Log'!$I$2:$I$2197,B20)</f>
        <v>39645</v>
      </c>
      <c r="D20" s="4">
        <f>SUMIFS('Monthly Costs'!$E$2:$E$289,'Monthly Costs'!$B$2:$B$289,A20,'Monthly Costs'!$C$2:$C$289,B20)</f>
        <v>62681.49</v>
      </c>
      <c r="E20" s="5">
        <f t="shared" si="0"/>
        <v>1.5810692395005674</v>
      </c>
    </row>
    <row r="21" spans="1:5" ht="15" customHeight="1" x14ac:dyDescent="0.25">
      <c r="A21">
        <v>2</v>
      </c>
      <c r="B21" t="s">
        <v>406</v>
      </c>
      <c r="C21">
        <f>SUMIFS('Production Log'!$G$2:$G$2197,'Production Log'!$B$2:$B$2197,A21,'Production Log'!$I$2:$I$2197,B21)</f>
        <v>38162</v>
      </c>
      <c r="D21" s="4">
        <f>SUMIFS('Monthly Costs'!$E$2:$E$289,'Monthly Costs'!$B$2:$B$289,A21,'Monthly Costs'!$C$2:$C$289,B21)</f>
        <v>54946.3</v>
      </c>
      <c r="E21" s="5">
        <f t="shared" si="0"/>
        <v>1.4398170955400662</v>
      </c>
    </row>
    <row r="22" spans="1:5" ht="15" customHeight="1" x14ac:dyDescent="0.25">
      <c r="A22">
        <v>2</v>
      </c>
      <c r="B22" t="s">
        <v>407</v>
      </c>
      <c r="C22">
        <f>SUMIFS('Production Log'!$G$2:$G$2197,'Production Log'!$B$2:$B$2197,A22,'Production Log'!$I$2:$I$2197,B22)</f>
        <v>40725</v>
      </c>
      <c r="D22" s="4">
        <f>SUMIFS('Monthly Costs'!$E$2:$E$289,'Monthly Costs'!$B$2:$B$289,A22,'Monthly Costs'!$C$2:$C$289,B22)</f>
        <v>55804.619999999995</v>
      </c>
      <c r="E22" s="5">
        <f t="shared" si="0"/>
        <v>1.3702791896869244</v>
      </c>
    </row>
    <row r="23" spans="1:5" ht="15" customHeight="1" x14ac:dyDescent="0.25">
      <c r="A23">
        <v>2</v>
      </c>
      <c r="B23" t="s">
        <v>408</v>
      </c>
      <c r="C23">
        <f>SUMIFS('Production Log'!$G$2:$G$2197,'Production Log'!$B$2:$B$2197,A23,'Production Log'!$I$2:$I$2197,B23)</f>
        <v>39847</v>
      </c>
      <c r="D23" s="4">
        <f>SUMIFS('Monthly Costs'!$E$2:$E$289,'Monthly Costs'!$B$2:$B$289,A23,'Monthly Costs'!$C$2:$C$289,B23)</f>
        <v>56568.990000000005</v>
      </c>
      <c r="E23" s="5">
        <f t="shared" si="0"/>
        <v>1.419654930107662</v>
      </c>
    </row>
    <row r="24" spans="1:5" ht="15" customHeight="1" x14ac:dyDescent="0.25">
      <c r="A24">
        <v>2</v>
      </c>
      <c r="B24" t="s">
        <v>409</v>
      </c>
      <c r="C24">
        <f>SUMIFS('Production Log'!$G$2:$G$2197,'Production Log'!$B$2:$B$2197,A24,'Production Log'!$I$2:$I$2197,B24)</f>
        <v>38223</v>
      </c>
      <c r="D24" s="4">
        <f>SUMIFS('Monthly Costs'!$E$2:$E$289,'Monthly Costs'!$B$2:$B$289,A24,'Monthly Costs'!$C$2:$C$289,B24)</f>
        <v>54594.400000000001</v>
      </c>
      <c r="E24" s="5">
        <f t="shared" si="0"/>
        <v>1.4283127959605473</v>
      </c>
    </row>
    <row r="25" spans="1:5" ht="15" customHeight="1" x14ac:dyDescent="0.25">
      <c r="A25">
        <v>2</v>
      </c>
      <c r="B25" t="s">
        <v>410</v>
      </c>
      <c r="C25">
        <f>SUMIFS('Production Log'!$G$2:$G$2197,'Production Log'!$B$2:$B$2197,A25,'Production Log'!$I$2:$I$2197,B25)</f>
        <v>38972</v>
      </c>
      <c r="D25" s="4">
        <f>SUMIFS('Monthly Costs'!$E$2:$E$289,'Monthly Costs'!$B$2:$B$289,A25,'Monthly Costs'!$C$2:$C$289,B25)</f>
        <v>53837.229999999996</v>
      </c>
      <c r="E25" s="5">
        <f t="shared" si="0"/>
        <v>1.3814335933490711</v>
      </c>
    </row>
    <row r="26" spans="1:5" ht="15" customHeight="1" x14ac:dyDescent="0.25">
      <c r="A26">
        <v>2</v>
      </c>
      <c r="B26" t="s">
        <v>411</v>
      </c>
      <c r="C26">
        <f>SUMIFS('Production Log'!$G$2:$G$2197,'Production Log'!$B$2:$B$2197,A26,'Production Log'!$I$2:$I$2197,B26)</f>
        <v>37676</v>
      </c>
      <c r="D26" s="4">
        <f>SUMIFS('Monthly Costs'!$E$2:$E$289,'Monthly Costs'!$B$2:$B$289,A26,'Monthly Costs'!$C$2:$C$289,B26)</f>
        <v>51812.09</v>
      </c>
      <c r="E26" s="5">
        <f t="shared" si="0"/>
        <v>1.3752014545068478</v>
      </c>
    </row>
    <row r="27" spans="1:5" ht="15" customHeight="1" x14ac:dyDescent="0.25">
      <c r="A27">
        <v>2</v>
      </c>
      <c r="B27" t="s">
        <v>412</v>
      </c>
      <c r="C27">
        <f>SUMIFS('Production Log'!$G$2:$G$2197,'Production Log'!$B$2:$B$2197,A27,'Production Log'!$I$2:$I$2197,B27)</f>
        <v>39095</v>
      </c>
      <c r="D27" s="4">
        <f>SUMIFS('Monthly Costs'!$E$2:$E$289,'Monthly Costs'!$B$2:$B$289,A27,'Monthly Costs'!$C$2:$C$289,B27)</f>
        <v>61287.770000000004</v>
      </c>
      <c r="E27" s="5">
        <f t="shared" si="0"/>
        <v>1.5676626167029033</v>
      </c>
    </row>
    <row r="28" spans="1:5" ht="15" customHeight="1" x14ac:dyDescent="0.25">
      <c r="A28">
        <v>3</v>
      </c>
      <c r="B28" t="s">
        <v>397</v>
      </c>
      <c r="C28">
        <f>SUMIFS('Production Log'!$G$2:$G$2197,'Production Log'!$B$2:$B$2197,A28,'Production Log'!$I$2:$I$2197,B28)</f>
        <v>21131</v>
      </c>
      <c r="D28" s="4">
        <f>SUMIFS('Monthly Costs'!$E$2:$E$289,'Monthly Costs'!$B$2:$B$289,A28,'Monthly Costs'!$C$2:$C$289,B28)</f>
        <v>54724.820000000007</v>
      </c>
      <c r="E28" s="5">
        <f t="shared" si="0"/>
        <v>2.5897884624485354</v>
      </c>
    </row>
    <row r="29" spans="1:5" ht="15" customHeight="1" x14ac:dyDescent="0.25">
      <c r="A29">
        <v>3</v>
      </c>
      <c r="B29" t="s">
        <v>402</v>
      </c>
      <c r="C29">
        <f>SUMIFS('Production Log'!$G$2:$G$2197,'Production Log'!$B$2:$B$2197,A29,'Production Log'!$I$2:$I$2197,B29)</f>
        <v>20587</v>
      </c>
      <c r="D29" s="4">
        <f>SUMIFS('Monthly Costs'!$E$2:$E$289,'Monthly Costs'!$B$2:$B$289,A29,'Monthly Costs'!$C$2:$C$289,B29)</f>
        <v>54319.619999999995</v>
      </c>
      <c r="E29" s="5">
        <f t="shared" si="0"/>
        <v>2.6385398552484576</v>
      </c>
    </row>
    <row r="30" spans="1:5" ht="15" customHeight="1" x14ac:dyDescent="0.25">
      <c r="A30">
        <v>3</v>
      </c>
      <c r="B30" t="s">
        <v>403</v>
      </c>
      <c r="C30">
        <f>SUMIFS('Production Log'!$G$2:$G$2197,'Production Log'!$B$2:$B$2197,A30,'Production Log'!$I$2:$I$2197,B30)</f>
        <v>20270</v>
      </c>
      <c r="D30" s="4">
        <f>SUMIFS('Monthly Costs'!$E$2:$E$289,'Monthly Costs'!$B$2:$B$289,A30,'Monthly Costs'!$C$2:$C$289,B30)</f>
        <v>57661.380000000005</v>
      </c>
      <c r="E30" s="5">
        <f t="shared" si="0"/>
        <v>2.8446660088801186</v>
      </c>
    </row>
    <row r="31" spans="1:5" ht="15" customHeight="1" x14ac:dyDescent="0.25">
      <c r="A31">
        <v>3</v>
      </c>
      <c r="B31" t="s">
        <v>404</v>
      </c>
      <c r="C31">
        <f>SUMIFS('Production Log'!$G$2:$G$2197,'Production Log'!$B$2:$B$2197,A31,'Production Log'!$I$2:$I$2197,B31)</f>
        <v>20227</v>
      </c>
      <c r="D31" s="4">
        <f>SUMIFS('Monthly Costs'!$E$2:$E$289,'Monthly Costs'!$B$2:$B$289,A31,'Monthly Costs'!$C$2:$C$289,B31)</f>
        <v>54161.09</v>
      </c>
      <c r="E31" s="5">
        <f t="shared" si="0"/>
        <v>2.6776630246699953</v>
      </c>
    </row>
    <row r="32" spans="1:5" ht="15" customHeight="1" x14ac:dyDescent="0.25">
      <c r="A32">
        <v>3</v>
      </c>
      <c r="B32" t="s">
        <v>405</v>
      </c>
      <c r="C32">
        <f>SUMIFS('Production Log'!$G$2:$G$2197,'Production Log'!$B$2:$B$2197,A32,'Production Log'!$I$2:$I$2197,B32)</f>
        <v>21239</v>
      </c>
      <c r="D32" s="4">
        <f>SUMIFS('Monthly Costs'!$E$2:$E$289,'Monthly Costs'!$B$2:$B$289,A32,'Monthly Costs'!$C$2:$C$289,B32)</f>
        <v>58154.229999999996</v>
      </c>
      <c r="E32" s="5">
        <f t="shared" si="0"/>
        <v>2.7380870097462213</v>
      </c>
    </row>
    <row r="33" spans="1:5" ht="15" customHeight="1" x14ac:dyDescent="0.25">
      <c r="A33">
        <v>3</v>
      </c>
      <c r="B33" t="s">
        <v>406</v>
      </c>
      <c r="C33">
        <f>SUMIFS('Production Log'!$G$2:$G$2197,'Production Log'!$B$2:$B$2197,A33,'Production Log'!$I$2:$I$2197,B33)</f>
        <v>20264</v>
      </c>
      <c r="D33" s="4">
        <f>SUMIFS('Monthly Costs'!$E$2:$E$289,'Monthly Costs'!$B$2:$B$289,A33,'Monthly Costs'!$C$2:$C$289,B33)</f>
        <v>48618.83</v>
      </c>
      <c r="E33" s="5">
        <f t="shared" si="0"/>
        <v>2.3992711212001581</v>
      </c>
    </row>
    <row r="34" spans="1:5" ht="15" customHeight="1" x14ac:dyDescent="0.25">
      <c r="A34">
        <v>3</v>
      </c>
      <c r="B34" t="s">
        <v>407</v>
      </c>
      <c r="C34">
        <f>SUMIFS('Production Log'!$G$2:$G$2197,'Production Log'!$B$2:$B$2197,A34,'Production Log'!$I$2:$I$2197,B34)</f>
        <v>19968</v>
      </c>
      <c r="D34" s="4">
        <f>SUMIFS('Monthly Costs'!$E$2:$E$289,'Monthly Costs'!$B$2:$B$289,A34,'Monthly Costs'!$C$2:$C$289,B34)</f>
        <v>56578.009999999995</v>
      </c>
      <c r="E34" s="5">
        <f t="shared" si="0"/>
        <v>2.8334339943910254</v>
      </c>
    </row>
    <row r="35" spans="1:5" ht="15" customHeight="1" x14ac:dyDescent="0.25">
      <c r="A35">
        <v>3</v>
      </c>
      <c r="B35" t="s">
        <v>408</v>
      </c>
      <c r="C35">
        <f>SUMIFS('Production Log'!$G$2:$G$2197,'Production Log'!$B$2:$B$2197,A35,'Production Log'!$I$2:$I$2197,B35)</f>
        <v>19614</v>
      </c>
      <c r="D35" s="4">
        <f>SUMIFS('Monthly Costs'!$E$2:$E$289,'Monthly Costs'!$B$2:$B$289,A35,'Monthly Costs'!$C$2:$C$289,B35)</f>
        <v>49829.520000000004</v>
      </c>
      <c r="E35" s="5">
        <f t="shared" si="0"/>
        <v>2.5405078005506274</v>
      </c>
    </row>
    <row r="36" spans="1:5" ht="15" customHeight="1" x14ac:dyDescent="0.25">
      <c r="A36">
        <v>3</v>
      </c>
      <c r="B36" t="s">
        <v>409</v>
      </c>
      <c r="C36">
        <f>SUMIFS('Production Log'!$G$2:$G$2197,'Production Log'!$B$2:$B$2197,A36,'Production Log'!$I$2:$I$2197,B36)</f>
        <v>19991</v>
      </c>
      <c r="D36" s="4">
        <f>SUMIFS('Monthly Costs'!$E$2:$E$289,'Monthly Costs'!$B$2:$B$289,A36,'Monthly Costs'!$C$2:$C$289,B36)</f>
        <v>57189.97</v>
      </c>
      <c r="E36" s="5">
        <f t="shared" ref="E36:E67" si="1">IFERROR(D36/C36,"")</f>
        <v>2.8607858536341353</v>
      </c>
    </row>
    <row r="37" spans="1:5" ht="15" customHeight="1" x14ac:dyDescent="0.25">
      <c r="A37">
        <v>3</v>
      </c>
      <c r="B37" t="s">
        <v>410</v>
      </c>
      <c r="C37">
        <f>SUMIFS('Production Log'!$G$2:$G$2197,'Production Log'!$B$2:$B$2197,A37,'Production Log'!$I$2:$I$2197,B37)</f>
        <v>21998</v>
      </c>
      <c r="D37" s="4">
        <f>SUMIFS('Monthly Costs'!$E$2:$E$289,'Monthly Costs'!$B$2:$B$289,A37,'Monthly Costs'!$C$2:$C$289,B37)</f>
        <v>59196.41</v>
      </c>
      <c r="E37" s="5">
        <f t="shared" si="1"/>
        <v>2.6909905445949631</v>
      </c>
    </row>
    <row r="38" spans="1:5" ht="15" customHeight="1" x14ac:dyDescent="0.25">
      <c r="A38">
        <v>3</v>
      </c>
      <c r="B38" t="s">
        <v>411</v>
      </c>
      <c r="C38">
        <f>SUMIFS('Production Log'!$G$2:$G$2197,'Production Log'!$B$2:$B$2197,A38,'Production Log'!$I$2:$I$2197,B38)</f>
        <v>20126</v>
      </c>
      <c r="D38" s="4">
        <f>SUMIFS('Monthly Costs'!$E$2:$E$289,'Monthly Costs'!$B$2:$B$289,A38,'Monthly Costs'!$C$2:$C$289,B38)</f>
        <v>63112.31</v>
      </c>
      <c r="E38" s="5">
        <f t="shared" si="1"/>
        <v>3.1358595846169135</v>
      </c>
    </row>
    <row r="39" spans="1:5" ht="15" customHeight="1" x14ac:dyDescent="0.25">
      <c r="A39">
        <v>3</v>
      </c>
      <c r="B39" t="s">
        <v>412</v>
      </c>
      <c r="C39">
        <f>SUMIFS('Production Log'!$G$2:$G$2197,'Production Log'!$B$2:$B$2197,A39,'Production Log'!$I$2:$I$2197,B39)</f>
        <v>20135</v>
      </c>
      <c r="D39" s="4">
        <f>SUMIFS('Monthly Costs'!$E$2:$E$289,'Monthly Costs'!$B$2:$B$289,A39,'Monthly Costs'!$C$2:$C$289,B39)</f>
        <v>56192.92</v>
      </c>
      <c r="E39" s="5">
        <f t="shared" si="1"/>
        <v>2.7908080456915818</v>
      </c>
    </row>
    <row r="40" spans="1:5" ht="15" customHeight="1" x14ac:dyDescent="0.25">
      <c r="A40">
        <v>4</v>
      </c>
      <c r="B40" t="s">
        <v>397</v>
      </c>
      <c r="C40">
        <f>SUMIFS('Production Log'!$G$2:$G$2197,'Production Log'!$B$2:$B$2197,A40,'Production Log'!$I$2:$I$2197,B40)</f>
        <v>20860</v>
      </c>
      <c r="D40" s="4">
        <f>SUMIFS('Monthly Costs'!$E$2:$E$289,'Monthly Costs'!$B$2:$B$289,A40,'Monthly Costs'!$C$2:$C$289,B40)</f>
        <v>51961.96</v>
      </c>
      <c r="E40" s="5">
        <f t="shared" si="1"/>
        <v>2.4909856184084371</v>
      </c>
    </row>
    <row r="41" spans="1:5" ht="15" customHeight="1" x14ac:dyDescent="0.25">
      <c r="A41">
        <v>4</v>
      </c>
      <c r="B41" t="s">
        <v>402</v>
      </c>
      <c r="C41">
        <f>SUMIFS('Production Log'!$G$2:$G$2197,'Production Log'!$B$2:$B$2197,A41,'Production Log'!$I$2:$I$2197,B41)</f>
        <v>18555</v>
      </c>
      <c r="D41" s="4">
        <f>SUMIFS('Monthly Costs'!$E$2:$E$289,'Monthly Costs'!$B$2:$B$289,A41,'Monthly Costs'!$C$2:$C$289,B41)</f>
        <v>60107.47</v>
      </c>
      <c r="E41" s="5">
        <f t="shared" si="1"/>
        <v>3.23942171921315</v>
      </c>
    </row>
    <row r="42" spans="1:5" ht="15" customHeight="1" x14ac:dyDescent="0.25">
      <c r="A42">
        <v>4</v>
      </c>
      <c r="B42" t="s">
        <v>403</v>
      </c>
      <c r="C42">
        <f>SUMIFS('Production Log'!$G$2:$G$2197,'Production Log'!$B$2:$B$2197,A42,'Production Log'!$I$2:$I$2197,B42)</f>
        <v>20766</v>
      </c>
      <c r="D42" s="4">
        <f>SUMIFS('Monthly Costs'!$E$2:$E$289,'Monthly Costs'!$B$2:$B$289,A42,'Monthly Costs'!$C$2:$C$289,B42)</f>
        <v>51020.79</v>
      </c>
      <c r="E42" s="5">
        <f t="shared" si="1"/>
        <v>2.4569387460271597</v>
      </c>
    </row>
    <row r="43" spans="1:5" ht="15" customHeight="1" x14ac:dyDescent="0.25">
      <c r="A43">
        <v>4</v>
      </c>
      <c r="B43" t="s">
        <v>404</v>
      </c>
      <c r="C43">
        <f>SUMIFS('Production Log'!$G$2:$G$2197,'Production Log'!$B$2:$B$2197,A43,'Production Log'!$I$2:$I$2197,B43)</f>
        <v>19389</v>
      </c>
      <c r="D43" s="4">
        <f>SUMIFS('Monthly Costs'!$E$2:$E$289,'Monthly Costs'!$B$2:$B$289,A43,'Monthly Costs'!$C$2:$C$289,B43)</f>
        <v>57232.710000000006</v>
      </c>
      <c r="E43" s="5">
        <f t="shared" si="1"/>
        <v>2.9518133993501472</v>
      </c>
    </row>
    <row r="44" spans="1:5" ht="15" customHeight="1" x14ac:dyDescent="0.25">
      <c r="A44">
        <v>4</v>
      </c>
      <c r="B44" t="s">
        <v>405</v>
      </c>
      <c r="C44">
        <f>SUMIFS('Production Log'!$G$2:$G$2197,'Production Log'!$B$2:$B$2197,A44,'Production Log'!$I$2:$I$2197,B44)</f>
        <v>20335</v>
      </c>
      <c r="D44" s="4">
        <f>SUMIFS('Monthly Costs'!$E$2:$E$289,'Monthly Costs'!$B$2:$B$289,A44,'Monthly Costs'!$C$2:$C$289,B44)</f>
        <v>49296.31</v>
      </c>
      <c r="E44" s="5">
        <f t="shared" si="1"/>
        <v>2.4242099827882959</v>
      </c>
    </row>
    <row r="45" spans="1:5" ht="15" customHeight="1" x14ac:dyDescent="0.25">
      <c r="A45">
        <v>4</v>
      </c>
      <c r="B45" t="s">
        <v>406</v>
      </c>
      <c r="C45">
        <f>SUMIFS('Production Log'!$G$2:$G$2197,'Production Log'!$B$2:$B$2197,A45,'Production Log'!$I$2:$I$2197,B45)</f>
        <v>20480</v>
      </c>
      <c r="D45" s="4">
        <f>SUMIFS('Monthly Costs'!$E$2:$E$289,'Monthly Costs'!$B$2:$B$289,A45,'Monthly Costs'!$C$2:$C$289,B45)</f>
        <v>57106.619999999995</v>
      </c>
      <c r="E45" s="5">
        <f t="shared" si="1"/>
        <v>2.7884091796874997</v>
      </c>
    </row>
    <row r="46" spans="1:5" ht="15" customHeight="1" x14ac:dyDescent="0.25">
      <c r="A46">
        <v>4</v>
      </c>
      <c r="B46" t="s">
        <v>407</v>
      </c>
      <c r="C46">
        <f>SUMIFS('Production Log'!$G$2:$G$2197,'Production Log'!$B$2:$B$2197,A46,'Production Log'!$I$2:$I$2197,B46)</f>
        <v>20561</v>
      </c>
      <c r="D46" s="4">
        <f>SUMIFS('Monthly Costs'!$E$2:$E$289,'Monthly Costs'!$B$2:$B$289,A46,'Monthly Costs'!$C$2:$C$289,B46)</f>
        <v>62417.440000000002</v>
      </c>
      <c r="E46" s="5">
        <f t="shared" si="1"/>
        <v>3.0357200525266284</v>
      </c>
    </row>
    <row r="47" spans="1:5" ht="15" customHeight="1" x14ac:dyDescent="0.25">
      <c r="A47">
        <v>4</v>
      </c>
      <c r="B47" t="s">
        <v>408</v>
      </c>
      <c r="C47">
        <f>SUMIFS('Production Log'!$G$2:$G$2197,'Production Log'!$B$2:$B$2197,A47,'Production Log'!$I$2:$I$2197,B47)</f>
        <v>20489</v>
      </c>
      <c r="D47" s="4">
        <f>SUMIFS('Monthly Costs'!$E$2:$E$289,'Monthly Costs'!$B$2:$B$289,A47,'Monthly Costs'!$C$2:$C$289,B47)</f>
        <v>32944.57</v>
      </c>
      <c r="E47" s="5">
        <f t="shared" si="1"/>
        <v>1.6079149787690956</v>
      </c>
    </row>
    <row r="48" spans="1:5" ht="15" customHeight="1" x14ac:dyDescent="0.25">
      <c r="A48">
        <v>4</v>
      </c>
      <c r="B48" t="s">
        <v>409</v>
      </c>
      <c r="C48">
        <f>SUMIFS('Production Log'!$G$2:$G$2197,'Production Log'!$B$2:$B$2197,A48,'Production Log'!$I$2:$I$2197,B48)</f>
        <v>20132</v>
      </c>
      <c r="D48" s="4">
        <f>SUMIFS('Monthly Costs'!$E$2:$E$289,'Monthly Costs'!$B$2:$B$289,A48,'Monthly Costs'!$C$2:$C$289,B48)</f>
        <v>53054.270000000004</v>
      </c>
      <c r="E48" s="5">
        <f t="shared" si="1"/>
        <v>2.6353203854559908</v>
      </c>
    </row>
    <row r="49" spans="1:5" ht="15" customHeight="1" x14ac:dyDescent="0.25">
      <c r="A49">
        <v>4</v>
      </c>
      <c r="B49" t="s">
        <v>410</v>
      </c>
      <c r="C49">
        <f>SUMIFS('Production Log'!$G$2:$G$2197,'Production Log'!$B$2:$B$2197,A49,'Production Log'!$I$2:$I$2197,B49)</f>
        <v>20660</v>
      </c>
      <c r="D49" s="4">
        <f>SUMIFS('Monthly Costs'!$E$2:$E$289,'Monthly Costs'!$B$2:$B$289,A49,'Monthly Costs'!$C$2:$C$289,B49)</f>
        <v>47790.04</v>
      </c>
      <c r="E49" s="5">
        <f t="shared" si="1"/>
        <v>2.3131674733785093</v>
      </c>
    </row>
    <row r="50" spans="1:5" ht="15" customHeight="1" x14ac:dyDescent="0.25">
      <c r="A50">
        <v>4</v>
      </c>
      <c r="B50" t="s">
        <v>411</v>
      </c>
      <c r="C50">
        <f>SUMIFS('Production Log'!$G$2:$G$2197,'Production Log'!$B$2:$B$2197,A50,'Production Log'!$I$2:$I$2197,B50)</f>
        <v>19743</v>
      </c>
      <c r="D50" s="4">
        <f>SUMIFS('Monthly Costs'!$E$2:$E$289,'Monthly Costs'!$B$2:$B$289,A50,'Monthly Costs'!$C$2:$C$289,B50)</f>
        <v>56104.27</v>
      </c>
      <c r="E50" s="5">
        <f t="shared" si="1"/>
        <v>2.8417297269918449</v>
      </c>
    </row>
    <row r="51" spans="1:5" ht="15" customHeight="1" x14ac:dyDescent="0.25">
      <c r="A51">
        <v>4</v>
      </c>
      <c r="B51" t="s">
        <v>412</v>
      </c>
      <c r="C51">
        <f>SUMIFS('Production Log'!$G$2:$G$2197,'Production Log'!$B$2:$B$2197,A51,'Production Log'!$I$2:$I$2197,B51)</f>
        <v>20633</v>
      </c>
      <c r="D51" s="4">
        <f>SUMIFS('Monthly Costs'!$E$2:$E$289,'Monthly Costs'!$B$2:$B$289,A51,'Monthly Costs'!$C$2:$C$289,B51)</f>
        <v>57152.44</v>
      </c>
      <c r="E51" s="5">
        <f t="shared" si="1"/>
        <v>2.769952987931954</v>
      </c>
    </row>
    <row r="52" spans="1:5" ht="15" customHeight="1" x14ac:dyDescent="0.25">
      <c r="A52">
        <v>5</v>
      </c>
      <c r="B52" t="s">
        <v>397</v>
      </c>
      <c r="C52">
        <f>SUMIFS('Production Log'!$G$2:$G$2197,'Production Log'!$B$2:$B$2197,A52,'Production Log'!$I$2:$I$2197,B52)</f>
        <v>20506</v>
      </c>
      <c r="D52" s="4">
        <f>SUMIFS('Monthly Costs'!$E$2:$E$289,'Monthly Costs'!$B$2:$B$289,A52,'Monthly Costs'!$C$2:$C$289,B52)</f>
        <v>51441.570000000007</v>
      </c>
      <c r="E52" s="5">
        <f t="shared" si="1"/>
        <v>2.5086106505413053</v>
      </c>
    </row>
    <row r="53" spans="1:5" ht="15" customHeight="1" x14ac:dyDescent="0.25">
      <c r="A53">
        <v>5</v>
      </c>
      <c r="B53" t="s">
        <v>402</v>
      </c>
      <c r="C53">
        <f>SUMIFS('Production Log'!$G$2:$G$2197,'Production Log'!$B$2:$B$2197,A53,'Production Log'!$I$2:$I$2197,B53)</f>
        <v>20088</v>
      </c>
      <c r="D53" s="4">
        <f>SUMIFS('Monthly Costs'!$E$2:$E$289,'Monthly Costs'!$B$2:$B$289,A53,'Monthly Costs'!$C$2:$C$289,B53)</f>
        <v>58774.33</v>
      </c>
      <c r="E53" s="5">
        <f t="shared" si="1"/>
        <v>2.9258427917164478</v>
      </c>
    </row>
    <row r="54" spans="1:5" ht="15" customHeight="1" x14ac:dyDescent="0.25">
      <c r="A54">
        <v>5</v>
      </c>
      <c r="B54" t="s">
        <v>403</v>
      </c>
      <c r="C54">
        <f>SUMIFS('Production Log'!$G$2:$G$2197,'Production Log'!$B$2:$B$2197,A54,'Production Log'!$I$2:$I$2197,B54)</f>
        <v>20700</v>
      </c>
      <c r="D54" s="4">
        <f>SUMIFS('Monthly Costs'!$E$2:$E$289,'Monthly Costs'!$B$2:$B$289,A54,'Monthly Costs'!$C$2:$C$289,B54)</f>
        <v>49488.68</v>
      </c>
      <c r="E54" s="5">
        <f t="shared" si="1"/>
        <v>2.3907574879227051</v>
      </c>
    </row>
    <row r="55" spans="1:5" ht="15" customHeight="1" x14ac:dyDescent="0.25">
      <c r="A55">
        <v>5</v>
      </c>
      <c r="B55" t="s">
        <v>404</v>
      </c>
      <c r="C55">
        <f>SUMIFS('Production Log'!$G$2:$G$2197,'Production Log'!$B$2:$B$2197,A55,'Production Log'!$I$2:$I$2197,B55)</f>
        <v>19806</v>
      </c>
      <c r="D55" s="4">
        <f>SUMIFS('Monthly Costs'!$E$2:$E$289,'Monthly Costs'!$B$2:$B$289,A55,'Monthly Costs'!$C$2:$C$289,B55)</f>
        <v>55506.27</v>
      </c>
      <c r="E55" s="5">
        <f t="shared" si="1"/>
        <v>2.8024977279612235</v>
      </c>
    </row>
    <row r="56" spans="1:5" ht="15" customHeight="1" x14ac:dyDescent="0.25">
      <c r="A56">
        <v>5</v>
      </c>
      <c r="B56" t="s">
        <v>405</v>
      </c>
      <c r="C56">
        <f>SUMIFS('Production Log'!$G$2:$G$2197,'Production Log'!$B$2:$B$2197,A56,'Production Log'!$I$2:$I$2197,B56)</f>
        <v>20680</v>
      </c>
      <c r="D56" s="4">
        <f>SUMIFS('Monthly Costs'!$E$2:$E$289,'Monthly Costs'!$B$2:$B$289,A56,'Monthly Costs'!$C$2:$C$289,B56)</f>
        <v>48551.649999999994</v>
      </c>
      <c r="E56" s="5">
        <f t="shared" si="1"/>
        <v>2.3477587040618952</v>
      </c>
    </row>
    <row r="57" spans="1:5" ht="15" customHeight="1" x14ac:dyDescent="0.25">
      <c r="A57">
        <v>5</v>
      </c>
      <c r="B57" t="s">
        <v>406</v>
      </c>
      <c r="C57">
        <f>SUMIFS('Production Log'!$G$2:$G$2197,'Production Log'!$B$2:$B$2197,A57,'Production Log'!$I$2:$I$2197,B57)</f>
        <v>19757</v>
      </c>
      <c r="D57" s="4">
        <f>SUMIFS('Monthly Costs'!$E$2:$E$289,'Monthly Costs'!$B$2:$B$289,A57,'Monthly Costs'!$C$2:$C$289,B57)</f>
        <v>47492.32</v>
      </c>
      <c r="E57" s="5">
        <f t="shared" si="1"/>
        <v>2.4038224426785444</v>
      </c>
    </row>
    <row r="58" spans="1:5" ht="15" customHeight="1" x14ac:dyDescent="0.25">
      <c r="A58">
        <v>5</v>
      </c>
      <c r="B58" t="s">
        <v>407</v>
      </c>
      <c r="C58">
        <f>SUMIFS('Production Log'!$G$2:$G$2197,'Production Log'!$B$2:$B$2197,A58,'Production Log'!$I$2:$I$2197,B58)</f>
        <v>20760</v>
      </c>
      <c r="D58" s="4">
        <f>SUMIFS('Monthly Costs'!$E$2:$E$289,'Monthly Costs'!$B$2:$B$289,A58,'Monthly Costs'!$C$2:$C$289,B58)</f>
        <v>50311.41</v>
      </c>
      <c r="E58" s="5">
        <f t="shared" si="1"/>
        <v>2.4234783236994222</v>
      </c>
    </row>
    <row r="59" spans="1:5" ht="15" customHeight="1" x14ac:dyDescent="0.25">
      <c r="A59">
        <v>5</v>
      </c>
      <c r="B59" t="s">
        <v>408</v>
      </c>
      <c r="C59">
        <f>SUMIFS('Production Log'!$G$2:$G$2197,'Production Log'!$B$2:$B$2197,A59,'Production Log'!$I$2:$I$2197,B59)</f>
        <v>20562</v>
      </c>
      <c r="D59" s="4">
        <f>SUMIFS('Monthly Costs'!$E$2:$E$289,'Monthly Costs'!$B$2:$B$289,A59,'Monthly Costs'!$C$2:$C$289,B59)</f>
        <v>62323.619999999995</v>
      </c>
      <c r="E59" s="5">
        <f t="shared" si="1"/>
        <v>3.031009629413481</v>
      </c>
    </row>
    <row r="60" spans="1:5" ht="15" customHeight="1" x14ac:dyDescent="0.25">
      <c r="A60">
        <v>5</v>
      </c>
      <c r="B60" t="s">
        <v>409</v>
      </c>
      <c r="C60">
        <f>SUMIFS('Production Log'!$G$2:$G$2197,'Production Log'!$B$2:$B$2197,A60,'Production Log'!$I$2:$I$2197,B60)</f>
        <v>20270</v>
      </c>
      <c r="D60" s="4">
        <f>SUMIFS('Monthly Costs'!$E$2:$E$289,'Monthly Costs'!$B$2:$B$289,A60,'Monthly Costs'!$C$2:$C$289,B60)</f>
        <v>49834.44</v>
      </c>
      <c r="E60" s="5">
        <f t="shared" si="1"/>
        <v>2.4585318204242723</v>
      </c>
    </row>
    <row r="61" spans="1:5" ht="15" customHeight="1" x14ac:dyDescent="0.25">
      <c r="A61">
        <v>5</v>
      </c>
      <c r="B61" t="s">
        <v>410</v>
      </c>
      <c r="C61">
        <f>SUMIFS('Production Log'!$G$2:$G$2197,'Production Log'!$B$2:$B$2197,A61,'Production Log'!$I$2:$I$2197,B61)</f>
        <v>21190</v>
      </c>
      <c r="D61" s="4">
        <f>SUMIFS('Monthly Costs'!$E$2:$E$289,'Monthly Costs'!$B$2:$B$289,A61,'Monthly Costs'!$C$2:$C$289,B61)</f>
        <v>46660.55</v>
      </c>
      <c r="E61" s="5">
        <f t="shared" si="1"/>
        <v>2.2020080226521945</v>
      </c>
    </row>
    <row r="62" spans="1:5" ht="15" customHeight="1" x14ac:dyDescent="0.25">
      <c r="A62">
        <v>5</v>
      </c>
      <c r="B62" t="s">
        <v>411</v>
      </c>
      <c r="C62">
        <f>SUMIFS('Production Log'!$G$2:$G$2197,'Production Log'!$B$2:$B$2197,A62,'Production Log'!$I$2:$I$2197,B62)</f>
        <v>19640</v>
      </c>
      <c r="D62" s="4">
        <f>SUMIFS('Monthly Costs'!$E$2:$E$289,'Monthly Costs'!$B$2:$B$289,A62,'Monthly Costs'!$C$2:$C$289,B62)</f>
        <v>53524.14</v>
      </c>
      <c r="E62" s="5">
        <f t="shared" si="1"/>
        <v>2.7252617107942974</v>
      </c>
    </row>
    <row r="63" spans="1:5" ht="15" customHeight="1" x14ac:dyDescent="0.25">
      <c r="A63">
        <v>5</v>
      </c>
      <c r="B63" t="s">
        <v>412</v>
      </c>
      <c r="C63">
        <f>SUMIFS('Production Log'!$G$2:$G$2197,'Production Log'!$B$2:$B$2197,A63,'Production Log'!$I$2:$I$2197,B63)</f>
        <v>20462</v>
      </c>
      <c r="D63" s="4">
        <f>SUMIFS('Monthly Costs'!$E$2:$E$289,'Monthly Costs'!$B$2:$B$289,A63,'Monthly Costs'!$C$2:$C$289,B63)</f>
        <v>42276.43</v>
      </c>
      <c r="E63" s="5">
        <f t="shared" si="1"/>
        <v>2.0660947121493498</v>
      </c>
    </row>
    <row r="64" spans="1:5" ht="15" customHeight="1" x14ac:dyDescent="0.25">
      <c r="A64">
        <v>6</v>
      </c>
      <c r="B64" t="s">
        <v>397</v>
      </c>
      <c r="C64">
        <f>SUMIFS('Production Log'!$G$2:$G$2197,'Production Log'!$B$2:$B$2197,A64,'Production Log'!$I$2:$I$2197,B64)</f>
        <v>37179</v>
      </c>
      <c r="D64" s="4">
        <f>SUMIFS('Monthly Costs'!$E$2:$E$289,'Monthly Costs'!$B$2:$B$289,A64,'Monthly Costs'!$C$2:$C$289,B64)</f>
        <v>31375.900000000005</v>
      </c>
      <c r="E64" s="5">
        <f t="shared" si="1"/>
        <v>0.84391457543236792</v>
      </c>
    </row>
    <row r="65" spans="1:5" ht="15" customHeight="1" x14ac:dyDescent="0.25">
      <c r="A65">
        <v>6</v>
      </c>
      <c r="B65" t="s">
        <v>402</v>
      </c>
      <c r="C65">
        <f>SUMIFS('Production Log'!$G$2:$G$2197,'Production Log'!$B$2:$B$2197,A65,'Production Log'!$I$2:$I$2197,B65)</f>
        <v>33925</v>
      </c>
      <c r="D65" s="4">
        <f>SUMIFS('Monthly Costs'!$E$2:$E$289,'Monthly Costs'!$B$2:$B$289,A65,'Monthly Costs'!$C$2:$C$289,B65)</f>
        <v>57609.07</v>
      </c>
      <c r="E65" s="5">
        <f t="shared" si="1"/>
        <v>1.6981302873986734</v>
      </c>
    </row>
    <row r="66" spans="1:5" ht="15" customHeight="1" x14ac:dyDescent="0.25">
      <c r="A66">
        <v>6</v>
      </c>
      <c r="B66" t="s">
        <v>403</v>
      </c>
      <c r="C66">
        <f>SUMIFS('Production Log'!$G$2:$G$2197,'Production Log'!$B$2:$B$2197,A66,'Production Log'!$I$2:$I$2197,B66)</f>
        <v>36026</v>
      </c>
      <c r="D66" s="4">
        <f>SUMIFS('Monthly Costs'!$E$2:$E$289,'Monthly Costs'!$B$2:$B$289,A66,'Monthly Costs'!$C$2:$C$289,B66)</f>
        <v>60103.46</v>
      </c>
      <c r="E66" s="5">
        <f t="shared" si="1"/>
        <v>1.6683356464775441</v>
      </c>
    </row>
    <row r="67" spans="1:5" ht="15" customHeight="1" x14ac:dyDescent="0.25">
      <c r="A67">
        <v>6</v>
      </c>
      <c r="B67" t="s">
        <v>404</v>
      </c>
      <c r="C67">
        <f>SUMIFS('Production Log'!$G$2:$G$2197,'Production Log'!$B$2:$B$2197,A67,'Production Log'!$I$2:$I$2197,B67)</f>
        <v>35263</v>
      </c>
      <c r="D67" s="4">
        <f>SUMIFS('Monthly Costs'!$E$2:$E$289,'Monthly Costs'!$B$2:$B$289,A67,'Monthly Costs'!$C$2:$C$289,B67)</f>
        <v>57045.94</v>
      </c>
      <c r="E67" s="5">
        <f t="shared" si="1"/>
        <v>1.6177279301250602</v>
      </c>
    </row>
    <row r="68" spans="1:5" ht="15" customHeight="1" x14ac:dyDescent="0.25">
      <c r="A68">
        <v>6</v>
      </c>
      <c r="B68" t="s">
        <v>405</v>
      </c>
      <c r="C68">
        <f>SUMIFS('Production Log'!$G$2:$G$2197,'Production Log'!$B$2:$B$2197,A68,'Production Log'!$I$2:$I$2197,B68)</f>
        <v>35716</v>
      </c>
      <c r="D68" s="4">
        <f>SUMIFS('Monthly Costs'!$E$2:$E$289,'Monthly Costs'!$B$2:$B$289,A68,'Monthly Costs'!$C$2:$C$289,B68)</f>
        <v>52994.42</v>
      </c>
      <c r="E68" s="5">
        <f t="shared" ref="E68:E99" si="2">IFERROR(D68/C68,"")</f>
        <v>1.483772538918132</v>
      </c>
    </row>
    <row r="69" spans="1:5" ht="15" customHeight="1" x14ac:dyDescent="0.25">
      <c r="A69">
        <v>6</v>
      </c>
      <c r="B69" t="s">
        <v>406</v>
      </c>
      <c r="C69">
        <f>SUMIFS('Production Log'!$G$2:$G$2197,'Production Log'!$B$2:$B$2197,A69,'Production Log'!$I$2:$I$2197,B69)</f>
        <v>34183</v>
      </c>
      <c r="D69" s="4">
        <f>SUMIFS('Monthly Costs'!$E$2:$E$289,'Monthly Costs'!$B$2:$B$289,A69,'Monthly Costs'!$C$2:$C$289,B69)</f>
        <v>48661.119999999995</v>
      </c>
      <c r="E69" s="5">
        <f t="shared" si="2"/>
        <v>1.4235473773513148</v>
      </c>
    </row>
    <row r="70" spans="1:5" ht="15" customHeight="1" x14ac:dyDescent="0.25">
      <c r="A70">
        <v>6</v>
      </c>
      <c r="B70" t="s">
        <v>407</v>
      </c>
      <c r="C70">
        <f>SUMIFS('Production Log'!$G$2:$G$2197,'Production Log'!$B$2:$B$2197,A70,'Production Log'!$I$2:$I$2197,B70)</f>
        <v>35886</v>
      </c>
      <c r="D70" s="4">
        <f>SUMIFS('Monthly Costs'!$E$2:$E$289,'Monthly Costs'!$B$2:$B$289,A70,'Monthly Costs'!$C$2:$C$289,B70)</f>
        <v>51132.65</v>
      </c>
      <c r="E70" s="5">
        <f t="shared" si="2"/>
        <v>1.4248634565011427</v>
      </c>
    </row>
    <row r="71" spans="1:5" ht="15" customHeight="1" x14ac:dyDescent="0.25">
      <c r="A71">
        <v>6</v>
      </c>
      <c r="B71" t="s">
        <v>408</v>
      </c>
      <c r="C71">
        <f>SUMIFS('Production Log'!$G$2:$G$2197,'Production Log'!$B$2:$B$2197,A71,'Production Log'!$I$2:$I$2197,B71)</f>
        <v>36330</v>
      </c>
      <c r="D71" s="4">
        <f>SUMIFS('Monthly Costs'!$E$2:$E$289,'Monthly Costs'!$B$2:$B$289,A71,'Monthly Costs'!$C$2:$C$289,B71)</f>
        <v>52519.17</v>
      </c>
      <c r="E71" s="5">
        <f t="shared" si="2"/>
        <v>1.4456143682906688</v>
      </c>
    </row>
    <row r="72" spans="1:5" ht="15" customHeight="1" x14ac:dyDescent="0.25">
      <c r="A72">
        <v>6</v>
      </c>
      <c r="B72" t="s">
        <v>409</v>
      </c>
      <c r="C72">
        <f>SUMIFS('Production Log'!$G$2:$G$2197,'Production Log'!$B$2:$B$2197,A72,'Production Log'!$I$2:$I$2197,B72)</f>
        <v>34801</v>
      </c>
      <c r="D72" s="4">
        <f>SUMIFS('Monthly Costs'!$E$2:$E$289,'Monthly Costs'!$B$2:$B$289,A72,'Monthly Costs'!$C$2:$C$289,B72)</f>
        <v>56146.009999999995</v>
      </c>
      <c r="E72" s="5">
        <f t="shared" si="2"/>
        <v>1.6133447314732334</v>
      </c>
    </row>
    <row r="73" spans="1:5" ht="15" customHeight="1" x14ac:dyDescent="0.25">
      <c r="A73">
        <v>6</v>
      </c>
      <c r="B73" t="s">
        <v>410</v>
      </c>
      <c r="C73">
        <f>SUMIFS('Production Log'!$G$2:$G$2197,'Production Log'!$B$2:$B$2197,A73,'Production Log'!$I$2:$I$2197,B73)</f>
        <v>36991</v>
      </c>
      <c r="D73" s="4">
        <f>SUMIFS('Monthly Costs'!$E$2:$E$289,'Monthly Costs'!$B$2:$B$289,A73,'Monthly Costs'!$C$2:$C$289,B73)</f>
        <v>49566.25</v>
      </c>
      <c r="E73" s="5">
        <f t="shared" si="2"/>
        <v>1.3399543132113216</v>
      </c>
    </row>
    <row r="74" spans="1:5" ht="15" customHeight="1" x14ac:dyDescent="0.25">
      <c r="A74">
        <v>6</v>
      </c>
      <c r="B74" t="s">
        <v>411</v>
      </c>
      <c r="C74">
        <f>SUMIFS('Production Log'!$G$2:$G$2197,'Production Log'!$B$2:$B$2197,A74,'Production Log'!$I$2:$I$2197,B74)</f>
        <v>34670</v>
      </c>
      <c r="D74" s="4">
        <f>SUMIFS('Monthly Costs'!$E$2:$E$289,'Monthly Costs'!$B$2:$B$289,A74,'Monthly Costs'!$C$2:$C$289,B74)</f>
        <v>56384.72</v>
      </c>
      <c r="E74" s="5">
        <f t="shared" si="2"/>
        <v>1.6263259301990194</v>
      </c>
    </row>
    <row r="75" spans="1:5" ht="15" customHeight="1" x14ac:dyDescent="0.25">
      <c r="A75">
        <v>6</v>
      </c>
      <c r="B75" t="s">
        <v>412</v>
      </c>
      <c r="C75">
        <f>SUMIFS('Production Log'!$G$2:$G$2197,'Production Log'!$B$2:$B$2197,A75,'Production Log'!$I$2:$I$2197,B75)</f>
        <v>35108</v>
      </c>
      <c r="D75" s="4">
        <f>SUMIFS('Monthly Costs'!$E$2:$E$289,'Monthly Costs'!$B$2:$B$289,A75,'Monthly Costs'!$C$2:$C$289,B75)</f>
        <v>54961.69</v>
      </c>
      <c r="E75" s="5">
        <f t="shared" si="2"/>
        <v>1.565503304090236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7"/>
  <sheetViews>
    <sheetView zoomScaleNormal="100" workbookViewId="0">
      <pane ySplit="3" topLeftCell="A4" activePane="bottomLeft" state="frozen"/>
      <selection pane="bottomLeft"/>
    </sheetView>
  </sheetViews>
  <sheetFormatPr baseColWidth="10" defaultColWidth="8.7109375" defaultRowHeight="15" x14ac:dyDescent="0.25"/>
  <cols>
    <col min="1" max="2" width="14" customWidth="1"/>
  </cols>
  <sheetData>
    <row r="1" spans="1:2" ht="15" customHeight="1" x14ac:dyDescent="0.25">
      <c r="A1" s="2" t="s">
        <v>428</v>
      </c>
    </row>
    <row r="3" spans="1:2" ht="15" customHeight="1" x14ac:dyDescent="0.25">
      <c r="A3" s="1" t="s">
        <v>395</v>
      </c>
      <c r="B3" s="1" t="s">
        <v>426</v>
      </c>
    </row>
    <row r="4" spans="1:2" ht="15" customHeight="1" x14ac:dyDescent="0.25">
      <c r="A4" t="s">
        <v>398</v>
      </c>
      <c r="B4" s="4">
        <f>SUMIF('Monthly Costs'!$D$2:$D$289,A4,'Monthly Costs'!$E$2:$E$289)</f>
        <v>1364408.42</v>
      </c>
    </row>
    <row r="5" spans="1:2" ht="15" customHeight="1" x14ac:dyDescent="0.25">
      <c r="A5" t="s">
        <v>399</v>
      </c>
      <c r="B5" s="4">
        <f>SUMIF('Monthly Costs'!$D$2:$D$289,A5,'Monthly Costs'!$E$2:$E$289)</f>
        <v>417448.06</v>
      </c>
    </row>
    <row r="6" spans="1:2" ht="15" customHeight="1" x14ac:dyDescent="0.25">
      <c r="A6" t="s">
        <v>400</v>
      </c>
      <c r="B6" s="4">
        <f>SUMIF('Monthly Costs'!$D$2:$D$289,A6,'Monthly Costs'!$E$2:$E$289)</f>
        <v>290278.3</v>
      </c>
    </row>
    <row r="7" spans="1:2" ht="15" customHeight="1" x14ac:dyDescent="0.25">
      <c r="A7" t="s">
        <v>401</v>
      </c>
      <c r="B7" s="4">
        <f>SUMIF('Monthly Costs'!$D$2:$D$289,A7,'Monthly Costs'!$E$2:$E$289)</f>
        <v>1836233.5400000003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Lines</vt:lpstr>
      <vt:lpstr>Production Log</vt:lpstr>
      <vt:lpstr>Monthly Costs</vt:lpstr>
      <vt:lpstr>OEE by Line</vt:lpstr>
      <vt:lpstr>Downtime Reasons</vt:lpstr>
      <vt:lpstr>Cost per Unit</vt:lpstr>
      <vt:lpstr>Cost by Category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Juan Jose Carrascal</cp:lastModifiedBy>
  <cp:revision>0</cp:revision>
  <dcterms:created xsi:type="dcterms:W3CDTF">2026-07-09T17:30:13Z</dcterms:created>
  <dcterms:modified xsi:type="dcterms:W3CDTF">2026-07-09T17:55:14Z</dcterms:modified>
  <dc:language>en-US</dc:language>
</cp:coreProperties>
</file>